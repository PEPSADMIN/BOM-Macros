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Memori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3" l="1"/>
  <c r="G5" i="13"/>
  <c r="G2" i="13"/>
  <c r="G4" i="13" l="1"/>
  <c r="H4" i="13" s="1"/>
  <c r="D4" i="13"/>
  <c r="G3" i="13" l="1"/>
  <c r="G12" i="13" l="1"/>
  <c r="H13" i="13" l="1"/>
  <c r="E13" i="13"/>
  <c r="D13" i="13"/>
  <c r="H12" i="13"/>
  <c r="D12" i="13"/>
  <c r="H11" i="13"/>
  <c r="D11" i="13"/>
  <c r="H10" i="13"/>
  <c r="D10" i="13"/>
  <c r="H9" i="13"/>
  <c r="D9" i="13"/>
  <c r="G8" i="13"/>
  <c r="H8" i="13" s="1"/>
  <c r="D8" i="13"/>
  <c r="H7" i="13"/>
  <c r="D7" i="13"/>
  <c r="H6" i="13"/>
  <c r="D6" i="13"/>
  <c r="H5" i="13"/>
  <c r="D5" i="13"/>
  <c r="H3" i="13"/>
  <c r="D3" i="13"/>
  <c r="H2" i="13"/>
  <c r="E2" i="13"/>
  <c r="D2" i="13"/>
</calcChain>
</file>

<file path=xl/sharedStrings.xml><?xml version="1.0" encoding="utf-8"?>
<sst xmlns="http://schemas.openxmlformats.org/spreadsheetml/2006/main" count="20448" uniqueCount="346">
  <si>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</si>
  <si>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</si>
  <si>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</si>
  <si>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</si>
  <si>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</si>
  <si>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</si>
  <si>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</si>
  <si>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</si>
  <si>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</si>
  <si>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</si>
  <si>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</si>
  <si>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</si>
  <si>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</si>
  <si>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</si>
  <si>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</si>
  <si>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</si>
  <si>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</si>
  <si>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</si>
  <si>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</si>
  <si>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</si>
  <si>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</si>
  <si>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</si>
  <si>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</si>
  <si>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</si>
  <si>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</si>
  <si>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</si>
  <si>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</si>
  <si>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</si>
  <si>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</si>
  <si>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</si>
  <si>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</si>
  <si>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</si>
  <si>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</si>
  <si>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</si>
  <si>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</si>
  <si>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</si>
  <si>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</si>
  <si>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</si>
  <si>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</si>
  <si>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</si>
  <si>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</si>
  <si>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</si>
  <si>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</si>
  <si>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</si>
  <si>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</si>
  <si>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</si>
  <si>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</si>
  <si>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</si>
  <si>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</si>
  <si>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</si>
  <si>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</si>
  <si>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</si>
  <si>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</si>
  <si>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</si>
  <si>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</si>
  <si>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</si>
  <si>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</si>
  <si>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</si>
  <si>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</si>
  <si>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</si>
  <si>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</si>
  <si>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</si>
  <si>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</si>
  <si>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</si>
  <si>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</si>
  <si>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</si>
  <si>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</si>
  <si>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</si>
  <si>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</si>
  <si>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</si>
  <si>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</si>
  <si>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</si>
  <si>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</si>
  <si>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</si>
  <si>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</si>
  <si>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</si>
  <si>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</si>
  <si>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</si>
  <si>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</si>
  <si>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</si>
  <si>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</si>
  <si>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</si>
  <si>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</si>
  <si>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</si>
  <si>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</si>
  <si>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</si>
  <si>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</si>
  <si>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</si>
  <si>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</si>
  <si>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</si>
  <si>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</si>
  <si>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</si>
  <si>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</si>
  <si>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</si>
  <si>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</si>
  <si>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</si>
  <si>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</si>
  <si>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</si>
  <si>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</si>
  <si>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</si>
  <si>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</si>
  <si>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RML-EDTAPE-WHT-KNIT</t>
  </si>
  <si>
    <t>5,6,8</t>
  </si>
  <si>
    <t>RMI-PVC-90</t>
  </si>
  <si>
    <t>OR</t>
  </si>
  <si>
    <t>VL</t>
  </si>
  <si>
    <t>HYPMEMFMOR72X33X06</t>
  </si>
  <si>
    <t>SFG-MEMOR-QUILT</t>
  </si>
  <si>
    <t>MEMORIO-FOAM-BLOCK-72X33X06</t>
  </si>
  <si>
    <t>HYPMEMFMOR72X39X06</t>
  </si>
  <si>
    <t>MEMORIO-FOAM-BLOCK-72X39X06</t>
  </si>
  <si>
    <t>HYPMEMFMOR72X45X06</t>
  </si>
  <si>
    <t>MEMORIO-FOAM-BLOCK-72X45X06</t>
  </si>
  <si>
    <t>HYPMEMFMOR72X51X06</t>
  </si>
  <si>
    <t>MEMORIO-FOAM-BLOCK-72X51X06</t>
  </si>
  <si>
    <t>HYPMEMFMOR72X54X06</t>
  </si>
  <si>
    <t>MEMORIO-FOAM-BLOCK-72X54X06</t>
  </si>
  <si>
    <t>HYPMEMFMOR72X57X06</t>
  </si>
  <si>
    <t>MEMORIO-FOAM-BLOCK-72X57X06</t>
  </si>
  <si>
    <t>HYPMEMFMOR72X63X06</t>
  </si>
  <si>
    <t>MEMORIO-FOAM-BLOCK-72X63X06</t>
  </si>
  <si>
    <t>HYPMEMFMOR72X69X06</t>
  </si>
  <si>
    <t>MEMORIO-FOAM-BLOCK-72X69X06</t>
  </si>
  <si>
    <t>HYPMEMFMOR75X33X06</t>
  </si>
  <si>
    <t>MEMORIO-FOAM-BLOCK-75X33X06</t>
  </si>
  <si>
    <t>HYPMEMFMOR75X39X06</t>
  </si>
  <si>
    <t>MEMORIO-FOAM-BLOCK-75X39X06</t>
  </si>
  <si>
    <t>HYPMEMFMOR75X45X06</t>
  </si>
  <si>
    <t>MEMORIO-FOAM-BLOCK-75X45X06</t>
  </si>
  <si>
    <t>HYPMEMFMOR75X51X06</t>
  </si>
  <si>
    <t>MEMORIO-FOAM-BLOCK-75X51X06</t>
  </si>
  <si>
    <t>HYPMEMFMOR75X54X06</t>
  </si>
  <si>
    <t>MEMORIO-FOAM-BLOCK-75X54X06</t>
  </si>
  <si>
    <t>HYPMEMFMOR75X57X06</t>
  </si>
  <si>
    <t>MEMORIO-FOAM-BLOCK-75X57X06</t>
  </si>
  <si>
    <t>HYPMEMFMOR75X63X06</t>
  </si>
  <si>
    <t>MEMORIO-FOAM-BLOCK-75X63X06</t>
  </si>
  <si>
    <t>HYPMEMFMOR75X69X06</t>
  </si>
  <si>
    <t>MEMORIO-FOAM-BLOCK-75X69X06</t>
  </si>
  <si>
    <t>HYPMEMFMOR78X33X06</t>
  </si>
  <si>
    <t>MEMORIO-FOAM-BLOCK-78X33X06</t>
  </si>
  <si>
    <t>HYPMEMFMOR78X39X06</t>
  </si>
  <si>
    <t>MEMORIO-FOAM-BLOCK-78X39X06</t>
  </si>
  <si>
    <t>HYPMEMFMOR78X45X06</t>
  </si>
  <si>
    <t>MEMORIO-FOAM-BLOCK-78X45X06</t>
  </si>
  <si>
    <t>HYPMEMFMOR78X51X06</t>
  </si>
  <si>
    <t>MEMORIO-FOAM-BLOCK-78X51X06</t>
  </si>
  <si>
    <t>HYPMEMFMOR78X54X06</t>
  </si>
  <si>
    <t>MEMORIO-FOAM-BLOCK-78X54X06</t>
  </si>
  <si>
    <t>HYPMEMFMOR78X57X06</t>
  </si>
  <si>
    <t>MEMORIO-FOAM-BLOCK-78X57X06</t>
  </si>
  <si>
    <t>HYPMEMFMOR78X63X06</t>
  </si>
  <si>
    <t>MEMORIO-FOAM-BLOCK-78X63X06</t>
  </si>
  <si>
    <t>HYPMEMFMOR78X69X06</t>
  </si>
  <si>
    <t>MEMORIO-FOAM-BLOCK-78X69X06</t>
  </si>
  <si>
    <t>HYPMEMFMOR80X33X06</t>
  </si>
  <si>
    <t>MEMORIO-FOAM-BLOCK-80X33X06</t>
  </si>
  <si>
    <t>HYPMEMFMOR80X39X06</t>
  </si>
  <si>
    <t>MEMORIO-FOAM-BLOCK-80X39X06</t>
  </si>
  <si>
    <t>HYPMEMFMOR80X45X06</t>
  </si>
  <si>
    <t>MEMORIO-FOAM-BLOCK-80X45X06</t>
  </si>
  <si>
    <t>HYPMEMFMOR80X51X06</t>
  </si>
  <si>
    <t>MEMORIO-FOAM-BLOCK-80X51X06</t>
  </si>
  <si>
    <t>HYPMEMFMOR80X54X06</t>
  </si>
  <si>
    <t>MEMORIO-FOAM-BLOCK-80X54X06</t>
  </si>
  <si>
    <t>HYPMEMFMOR80X57X06</t>
  </si>
  <si>
    <t>MEMORIO-FOAM-BLOCK-80X57X06</t>
  </si>
  <si>
    <t>HYPMEMFMOR80X63X06</t>
  </si>
  <si>
    <t>MEMORIO-FOAM-BLOCK-80X63X06</t>
  </si>
  <si>
    <t>HYPMEMFMOR80X69X06</t>
  </si>
  <si>
    <t>MEMORIO-FOAM-BLOCK-80X69X06</t>
  </si>
  <si>
    <t>HYPMEMFMOR84X33X06</t>
  </si>
  <si>
    <t>MEMORIO-FOAM-BLOCK-84X33X06</t>
  </si>
  <si>
    <t>HYPMEMFMOR84X39X06</t>
  </si>
  <si>
    <t>MEMORIO-FOAM-BLOCK-84X39X06</t>
  </si>
  <si>
    <t>HYPMEMFMOR84X45X06</t>
  </si>
  <si>
    <t>MEMORIO-FOAM-BLOCK-84X45X06</t>
  </si>
  <si>
    <t>HYPMEMFMOR84X51X06</t>
  </si>
  <si>
    <t>MEMORIO-FOAM-BLOCK-84X51X06</t>
  </si>
  <si>
    <t>HYPMEMFMOR84X54X06</t>
  </si>
  <si>
    <t>MEMORIO-FOAM-BLOCK-84X54X06</t>
  </si>
  <si>
    <t>HYPMEMFMOR84X57X06</t>
  </si>
  <si>
    <t>MEMORIO-FOAM-BLOCK-84X57X06</t>
  </si>
  <si>
    <t>HYPMEMFMOR84X63X06</t>
  </si>
  <si>
    <t>MEMORIO-FOAM-BLOCK-84X63X06</t>
  </si>
  <si>
    <t>HYPMEMFMOR84X69X06</t>
  </si>
  <si>
    <t>MEMORIO-FOAM-BLOCK-84X69X06</t>
  </si>
  <si>
    <t>HYPMEMFMVL72X33X06</t>
  </si>
  <si>
    <t>SFG-MEMVL-QUILT</t>
  </si>
  <si>
    <t>HYPMEMFMVL72X39X06</t>
  </si>
  <si>
    <t>HYPMEMFMVL72X45X06</t>
  </si>
  <si>
    <t>HYPMEMFMVL72X51X06</t>
  </si>
  <si>
    <t>HYPMEMFMVL72X54X06</t>
  </si>
  <si>
    <t>HYPMEMFMVL72X57X06</t>
  </si>
  <si>
    <t>HYPMEMFMVL72X63X06</t>
  </si>
  <si>
    <t>HYPMEMFMVL72X69X06</t>
  </si>
  <si>
    <t>HYPMEMFMVL75X33X06</t>
  </si>
  <si>
    <t>HYPMEMFMVL75X39X06</t>
  </si>
  <si>
    <t>HYPMEMFMVL75X45X06</t>
  </si>
  <si>
    <t>HYPMEMFMVL75X51X06</t>
  </si>
  <si>
    <t>HYPMEMFMVL75X54X06</t>
  </si>
  <si>
    <t>HYPMEMFMVL75X57X06</t>
  </si>
  <si>
    <t>HYPMEMFMVL75X63X06</t>
  </si>
  <si>
    <t>HYPMEMFMVL75X69X06</t>
  </si>
  <si>
    <t>HYPMEMFMVL78X33X06</t>
  </si>
  <si>
    <t>HYPMEMFMVL78X39X06</t>
  </si>
  <si>
    <t>HYPMEMFMVL78X45X06</t>
  </si>
  <si>
    <t>HYPMEMFMVL78X51X06</t>
  </si>
  <si>
    <t>HYPMEMFMVL78X54X06</t>
  </si>
  <si>
    <t>HYPMEMFMVL78X57X06</t>
  </si>
  <si>
    <t>HYPMEMFMVL78X63X06</t>
  </si>
  <si>
    <t>HYPMEMFMVL78X69X06</t>
  </si>
  <si>
    <t>HYPMEMFMVL80X33X06</t>
  </si>
  <si>
    <t>HYPMEMFMVL80X39X06</t>
  </si>
  <si>
    <t>HYPMEMFMVL80X45X06</t>
  </si>
  <si>
    <t>HYPMEMFMVL80X51X06</t>
  </si>
  <si>
    <t>HYPMEMFMVL80X54X06</t>
  </si>
  <si>
    <t>HYPMEMFMVL80X57X06</t>
  </si>
  <si>
    <t>HYPMEMFMVL80X63X06</t>
  </si>
  <si>
    <t>HYPMEMFMVL80X69X06</t>
  </si>
  <si>
    <t>HYPMEMFMVL84X33X06</t>
  </si>
  <si>
    <t>HYPMEMFMVL84X39X06</t>
  </si>
  <si>
    <t>HYPMEMFMVL84X45X06</t>
  </si>
  <si>
    <t>HYPMEMFMVL84X51X06</t>
  </si>
  <si>
    <t>HYPMEMFMVL84X54X06</t>
  </si>
  <si>
    <t>HYPMEMFMVL84X57X06</t>
  </si>
  <si>
    <t>HYPMEMFMVL84X63X06</t>
  </si>
  <si>
    <t>HYPMEMFMVL84X69X06</t>
  </si>
  <si>
    <t>RML-CS-CIR-6.5</t>
  </si>
  <si>
    <t>RML-CB-CIR</t>
  </si>
  <si>
    <t>RML-CIR-MRP-LBL</t>
  </si>
  <si>
    <t>30</t>
  </si>
  <si>
    <t>36</t>
  </si>
  <si>
    <t>42</t>
  </si>
  <si>
    <t>48</t>
  </si>
  <si>
    <t>60</t>
  </si>
  <si>
    <t>66</t>
  </si>
  <si>
    <t>RML-POLY-GUM</t>
  </si>
  <si>
    <t>LTR</t>
  </si>
  <si>
    <t>QUILTING</t>
  </si>
  <si>
    <t>SFG-RTC-BNPK-BP</t>
  </si>
  <si>
    <t>HYPMEMFMVL72X30X06</t>
  </si>
  <si>
    <t>MEMORIO-FOAM-BLOCK-72X30X06</t>
  </si>
  <si>
    <t>HYPMEMFMVL72X36X06</t>
  </si>
  <si>
    <t>MEMORIO-FOAM-BLOCK-72X36X06</t>
  </si>
  <si>
    <t>HYPMEMFMVL72X42X06</t>
  </si>
  <si>
    <t>MEMORIO-FOAM-BLOCK-72X42X06</t>
  </si>
  <si>
    <t>HYPMEMFMVL72X48X06</t>
  </si>
  <si>
    <t>MEMORIO-FOAM-BLOCK-72X48X06</t>
  </si>
  <si>
    <t>HYPMEMFMVL72X60X06</t>
  </si>
  <si>
    <t>MEMORIO-FOAM-BLOCK-72X60X06</t>
  </si>
  <si>
    <t>HYPMEMFMVL72X66X06</t>
  </si>
  <si>
    <t>MEMORIO-FOAM-BLOCK-72X66X06</t>
  </si>
  <si>
    <t>HYPMEMFMVL72X72X06</t>
  </si>
  <si>
    <t>MEMORIO-FOAM-BLOCK-72X72X06</t>
  </si>
  <si>
    <t>HYPMEMFMVL75X30X06</t>
  </si>
  <si>
    <t>MEMORIO-FOAM-BLOCK-75X30X06</t>
  </si>
  <si>
    <t>HYPMEMFMVL75X36X06</t>
  </si>
  <si>
    <t>MEMORIO-FOAM-BLOCK-75X36X06</t>
  </si>
  <si>
    <t>HYPMEMFMVL75X42X06</t>
  </si>
  <si>
    <t>MEMORIO-FOAM-BLOCK-75X42X06</t>
  </si>
  <si>
    <t>HYPMEMFMVL75X48X06</t>
  </si>
  <si>
    <t>MEMORIO-FOAM-BLOCK-75X48X06</t>
  </si>
  <si>
    <t>HYPMEMFMVL75X60X06</t>
  </si>
  <si>
    <t>MEMORIO-FOAM-BLOCK-75X60X06</t>
  </si>
  <si>
    <t>HYPMEMFMVL75X66X06</t>
  </si>
  <si>
    <t>MEMORIO-FOAM-BLOCK-75X66X06</t>
  </si>
  <si>
    <t>HYPMEMFMVL75X72X06</t>
  </si>
  <si>
    <t>MEMORIO-FOAM-BLOCK-75X72X06</t>
  </si>
  <si>
    <t>HYPMEMFMVL78X30X06</t>
  </si>
  <si>
    <t>MEMORIO-FOAM-BLOCK-78X30X06</t>
  </si>
  <si>
    <t>HYPMEMFMVL78X36X06</t>
  </si>
  <si>
    <t>MEMORIO-FOAM-BLOCK-78X36X06</t>
  </si>
  <si>
    <t>HYPMEMFMVL78X42X06</t>
  </si>
  <si>
    <t>MEMORIO-FOAM-BLOCK-78X42X06</t>
  </si>
  <si>
    <t>HYPMEMFMVL78X48X06</t>
  </si>
  <si>
    <t>MEMORIO-FOAM-BLOCK-78X48X06</t>
  </si>
  <si>
    <t>HYPMEMFMVL78X60X06</t>
  </si>
  <si>
    <t>MEMORIO-FOAM-BLOCK-78X60X06</t>
  </si>
  <si>
    <t>HYPMEMFMVL78X66X06</t>
  </si>
  <si>
    <t>MEMORIO-FOAM-BLOCK-78X66X06</t>
  </si>
  <si>
    <t>HYPMEMFMVL78X72X06</t>
  </si>
  <si>
    <t>MEMORIO-FOAM-BLOCK-78X72X06</t>
  </si>
  <si>
    <t>HYPMEMFMVL80X30X06</t>
  </si>
  <si>
    <t>MEMORIO-FOAM-BLOCK-80X30X06</t>
  </si>
  <si>
    <t>HYPMEMFMVL80X36X06</t>
  </si>
  <si>
    <t>MEMORIO-FOAM-BLOCK-80X36X06</t>
  </si>
  <si>
    <t>HYPMEMFMVL80X42X06</t>
  </si>
  <si>
    <t>MEMORIO-FOAM-BLOCK-80X42X06</t>
  </si>
  <si>
    <t>HYPMEMFMVL80X48X06</t>
  </si>
  <si>
    <t>MEMORIO-FOAM-BLOCK-80X48X06</t>
  </si>
  <si>
    <t>HYPMEMFMVL80X60X06</t>
  </si>
  <si>
    <t>MEMORIO-FOAM-BLOCK-80X60X06</t>
  </si>
  <si>
    <t>HYPMEMFMVL80X66X06</t>
  </si>
  <si>
    <t>MEMORIO-FOAM-BLOCK-80X66X06</t>
  </si>
  <si>
    <t>HYPMEMFMVL80X72X06</t>
  </si>
  <si>
    <t>MEMORIO-FOAM-BLOCK-80X72X06</t>
  </si>
  <si>
    <t>HYPMEMFMVL84X30X06</t>
  </si>
  <si>
    <t>MEMORIO-FOAM-BLOCK-84X30X06</t>
  </si>
  <si>
    <t>HYPMEMFMVL84X36X06</t>
  </si>
  <si>
    <t>MEMORIO-FOAM-BLOCK-84X36X06</t>
  </si>
  <si>
    <t>HYPMEMFMVL84X42X06</t>
  </si>
  <si>
    <t>MEMORIO-FOAM-BLOCK-84X42X06</t>
  </si>
  <si>
    <t>HYPMEMFMVL84X48X06</t>
  </si>
  <si>
    <t>MEMORIO-FOAM-BLOCK-84X48X06</t>
  </si>
  <si>
    <t>HYPMEMFMVL84X60X06</t>
  </si>
  <si>
    <t>MEMORIO-FOAM-BLOCK-84X60X06</t>
  </si>
  <si>
    <t>HYPMEMFMVL84X66X06</t>
  </si>
  <si>
    <t>MEMORIO-FOAM-BLOCK-84X66X06</t>
  </si>
  <si>
    <t>HYPMEMFMVL84X72X06</t>
  </si>
  <si>
    <t>MEMORIO-FOAM-BLOCK-84X72X06</t>
  </si>
  <si>
    <t>HYPMEMFMOR72X30X06</t>
  </si>
  <si>
    <t>HYPMEMFMOR72X36X06</t>
  </si>
  <si>
    <t>HYPMEMFMOR72X42X06</t>
  </si>
  <si>
    <t>HYPMEMFMOR72X48X06</t>
  </si>
  <si>
    <t>HYPMEMFMOR72X60X06</t>
  </si>
  <si>
    <t>HYPMEMFMOR72X66X06</t>
  </si>
  <si>
    <t>HYPMEMFMOR72X72X06</t>
  </si>
  <si>
    <t>HYPMEMFMOR75X30X06</t>
  </si>
  <si>
    <t>HYPMEMFMOR75X36X06</t>
  </si>
  <si>
    <t>HYPMEMFMOR75X42X06</t>
  </si>
  <si>
    <t>HYPMEMFMOR75X48X06</t>
  </si>
  <si>
    <t>HYPMEMFMOR75X60X06</t>
  </si>
  <si>
    <t>HYPMEMFMOR75X66X06</t>
  </si>
  <si>
    <t>HYPMEMFMOR75X72X06</t>
  </si>
  <si>
    <t>HYPMEMFMOR78X30X06</t>
  </si>
  <si>
    <t>HYPMEMFMOR78X36X06</t>
  </si>
  <si>
    <t>HYPMEMFMOR78X42X06</t>
  </si>
  <si>
    <t>HYPMEMFMOR78X48X06</t>
  </si>
  <si>
    <t>HYPMEMFMOR78X60X06</t>
  </si>
  <si>
    <t>HYPMEMFMOR78X66X06</t>
  </si>
  <si>
    <t>HYPMEMFMOR78X72X06</t>
  </si>
  <si>
    <t>HYPMEMFMOR80X30X06</t>
  </si>
  <si>
    <t>HYPMEMFMOR80X36X06</t>
  </si>
  <si>
    <t>HYPMEMFMOR80X42X06</t>
  </si>
  <si>
    <t>HYPMEMFMOR80X48X06</t>
  </si>
  <si>
    <t>HYPMEMFMOR80X60X06</t>
  </si>
  <si>
    <t>HYPMEMFMOR80X66X06</t>
  </si>
  <si>
    <t>HYPMEMFMOR80X72X06</t>
  </si>
  <si>
    <t>HYPMEMFMOR84X30X06</t>
  </si>
  <si>
    <t>HYPMEMFMOR84X36X06</t>
  </si>
  <si>
    <t>HYPMEMFMOR84X42X06</t>
  </si>
  <si>
    <t>HYPMEMFMOR84X48X06</t>
  </si>
  <si>
    <t>HYPMEMFMOR84X60X06</t>
  </si>
  <si>
    <t>HYPMEMFMOR84X66X06</t>
  </si>
  <si>
    <t>HYPMEMFMOR84X72X06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</si>
</sst>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0" fillId="0" borderId="1" xfId="0" applyNumberFormat="1" applyFont="1" applyBorder="1"/>
    <xf numFmtId="164" fontId="0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2.85546875" style="13" bestFit="1" customWidth="1"/>
    <col min="5" max="5" width="32.28515625" style="13" bestFit="1" customWidth="1"/>
    <col min="6" max="6" width="5.7109375" style="4" bestFit="1" customWidth="1"/>
    <col min="7" max="7" width="10.7109375" style="44" bestFit="1" customWidth="1"/>
    <col min="8" max="8" width="10.7109375" style="4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40" t="s">
        <v>5</v>
      </c>
      <c r="H1" s="40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2">
        <v>1</v>
      </c>
      <c r="B2" s="9" t="s">
        <v>239</v>
      </c>
      <c r="C2" s="9" t="s">
        <v>239</v>
      </c>
      <c r="D2" s="9" t="str">
        <f>"HYPMEMFM"&amp;IF($N$2="VL","VL","OR")&amp;$K$2&amp;"X"&amp;$L$2&amp;"X0"&amp;$M$2</f>
        <v>HYPMEMFMOR75X36X06</v>
      </c>
      <c r="E2" s="1" t="str">
        <f>"SFG-MEM"&amp;IF(N2="OR","OR","VL")&amp;"-QUILT"</f>
        <v>SFG-MEMOR-QUILT</v>
      </c>
      <c r="F2" s="33" t="s">
        <v>14</v>
      </c>
      <c r="G2" s="41">
        <f>IF(K2&lt;79,(L2+1)*1,(K2+1)*1)*0.0254</f>
        <v>0.93979999999999997</v>
      </c>
      <c r="H2" s="42">
        <f>ROUND(G2,3)</f>
        <v>0.94</v>
      </c>
      <c r="I2" s="34" t="s">
        <v>15</v>
      </c>
      <c r="J2" s="5"/>
      <c r="K2" s="6">
        <v>75</v>
      </c>
      <c r="L2" s="6">
        <v>36</v>
      </c>
      <c r="M2" s="29">
        <v>6</v>
      </c>
      <c r="N2" s="6" t="s">
        <v>104</v>
      </c>
      <c r="P2" s="4" t="s">
        <v>102</v>
      </c>
      <c r="R2" s="27" t="s">
        <v>88</v>
      </c>
      <c r="S2" s="27" t="s">
        <v>89</v>
      </c>
      <c r="T2" s="27">
        <v>6</v>
      </c>
      <c r="U2" s="28" t="s">
        <v>104</v>
      </c>
    </row>
    <row r="3" spans="1:21" s="15" customFormat="1" x14ac:dyDescent="0.25">
      <c r="A3" s="31">
        <v>2</v>
      </c>
      <c r="B3" s="9" t="s">
        <v>239</v>
      </c>
      <c r="C3" s="9" t="s">
        <v>239</v>
      </c>
      <c r="D3" s="9" t="str">
        <f t="shared" ref="D3:D13" si="0">"HYPMEMFM"&amp;IF($N$2="VL","VL","OR")&amp;$K$2&amp;"X"&amp;$L$2&amp;"X0"&amp;$M$2</f>
        <v>HYPMEMFMOR75X36X06</v>
      </c>
      <c r="E3" s="46" t="s">
        <v>240</v>
      </c>
      <c r="F3" s="33" t="s">
        <v>14</v>
      </c>
      <c r="G3" s="41">
        <f>IF(K2&lt;79,(L2+1)*1,(K2+1)*1)*0.0254</f>
        <v>0.93979999999999997</v>
      </c>
      <c r="H3" s="42">
        <f t="shared" ref="H3" si="1">ROUND(G3,3)</f>
        <v>0.94</v>
      </c>
      <c r="I3" s="34" t="s">
        <v>15</v>
      </c>
      <c r="J3" s="5"/>
      <c r="K3" s="14"/>
      <c r="L3" s="14"/>
      <c r="M3" s="14"/>
      <c r="N3" s="14"/>
      <c r="O3" s="4"/>
      <c r="R3" s="27" t="s">
        <v>88</v>
      </c>
      <c r="S3" s="27" t="s">
        <v>90</v>
      </c>
      <c r="T3" s="27">
        <v>6</v>
      </c>
      <c r="U3" s="28" t="s">
        <v>104</v>
      </c>
    </row>
    <row r="4" spans="1:21" x14ac:dyDescent="0.25">
      <c r="A4" s="32">
        <v>3</v>
      </c>
      <c r="B4" s="7" t="s">
        <v>17</v>
      </c>
      <c r="C4" s="7" t="s">
        <v>17</v>
      </c>
      <c r="D4" s="9" t="str">
        <f t="shared" si="0"/>
        <v>HYPMEMFMOR75X36X06</v>
      </c>
      <c r="E4" s="38" t="s">
        <v>237</v>
      </c>
      <c r="F4" s="10" t="s">
        <v>238</v>
      </c>
      <c r="G4" s="39">
        <f>((K2-1)*(L2-1)/144)*0.00729*2</f>
        <v>0.26223749999999996</v>
      </c>
      <c r="H4" s="42">
        <f t="shared" ref="H4" si="2">ROUND(G4,3)</f>
        <v>0.26200000000000001</v>
      </c>
      <c r="I4" s="8" t="s">
        <v>13</v>
      </c>
      <c r="J4" s="11"/>
      <c r="O4" s="15"/>
      <c r="R4" s="27" t="s">
        <v>88</v>
      </c>
      <c r="S4" s="27" t="s">
        <v>91</v>
      </c>
      <c r="T4" s="27">
        <v>6</v>
      </c>
      <c r="U4" s="28" t="s">
        <v>104</v>
      </c>
    </row>
    <row r="5" spans="1:21" x14ac:dyDescent="0.25">
      <c r="A5" s="31">
        <v>4</v>
      </c>
      <c r="B5" s="7" t="s">
        <v>17</v>
      </c>
      <c r="C5" s="7" t="s">
        <v>17</v>
      </c>
      <c r="D5" s="9" t="str">
        <f t="shared" si="0"/>
        <v>HYPMEMFMOR75X36X06</v>
      </c>
      <c r="E5" s="16" t="s">
        <v>101</v>
      </c>
      <c r="F5" s="10" t="s">
        <v>14</v>
      </c>
      <c r="G5" s="42">
        <f>(K2+L2+4)*2*0.0254*2</f>
        <v>11.683999999999999</v>
      </c>
      <c r="H5" s="42">
        <f t="shared" ref="H5:H13" si="3">ROUND(G5,3)</f>
        <v>11.683999999999999</v>
      </c>
      <c r="I5" s="8" t="s">
        <v>13</v>
      </c>
      <c r="J5" s="11"/>
      <c r="O5" s="15"/>
      <c r="R5" s="27" t="s">
        <v>88</v>
      </c>
      <c r="S5" s="27" t="s">
        <v>92</v>
      </c>
      <c r="T5" s="27">
        <v>6</v>
      </c>
      <c r="U5" s="28" t="s">
        <v>104</v>
      </c>
    </row>
    <row r="6" spans="1:21" x14ac:dyDescent="0.25">
      <c r="A6" s="32">
        <v>5</v>
      </c>
      <c r="B6" s="7" t="s">
        <v>17</v>
      </c>
      <c r="C6" s="7" t="s">
        <v>17</v>
      </c>
      <c r="D6" s="9" t="str">
        <f t="shared" si="0"/>
        <v>HYPMEMFMOR75X36X06</v>
      </c>
      <c r="E6" s="9" t="s">
        <v>16</v>
      </c>
      <c r="F6" s="10" t="s">
        <v>14</v>
      </c>
      <c r="G6" s="42">
        <f>(K2+L2+4)*2*0.0254*(4.73+1.42)*2</f>
        <v>71.8566</v>
      </c>
      <c r="H6" s="42">
        <f t="shared" si="3"/>
        <v>71.856999999999999</v>
      </c>
      <c r="I6" s="8" t="s">
        <v>13</v>
      </c>
      <c r="J6" s="11"/>
      <c r="R6" s="27" t="s">
        <v>88</v>
      </c>
      <c r="S6" s="27" t="s">
        <v>93</v>
      </c>
      <c r="T6" s="27">
        <v>6</v>
      </c>
      <c r="U6" s="28" t="s">
        <v>104</v>
      </c>
    </row>
    <row r="7" spans="1:21" x14ac:dyDescent="0.25">
      <c r="A7" s="31">
        <v>6</v>
      </c>
      <c r="B7" s="7" t="s">
        <v>17</v>
      </c>
      <c r="C7" s="7" t="s">
        <v>17</v>
      </c>
      <c r="D7" s="9" t="str">
        <f t="shared" si="0"/>
        <v>HYPMEMFMOR75X36X06</v>
      </c>
      <c r="E7" s="36" t="s">
        <v>230</v>
      </c>
      <c r="F7" s="10" t="s">
        <v>11</v>
      </c>
      <c r="G7" s="43">
        <v>1</v>
      </c>
      <c r="H7" s="42">
        <f t="shared" si="3"/>
        <v>1</v>
      </c>
      <c r="I7" s="8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88</v>
      </c>
      <c r="S7" s="27" t="s">
        <v>94</v>
      </c>
      <c r="T7" s="27">
        <v>6</v>
      </c>
      <c r="U7" s="28" t="s">
        <v>104</v>
      </c>
    </row>
    <row r="8" spans="1:21" x14ac:dyDescent="0.25">
      <c r="A8" s="32">
        <v>7</v>
      </c>
      <c r="B8" s="7" t="s">
        <v>18</v>
      </c>
      <c r="C8" s="9" t="s">
        <v>18</v>
      </c>
      <c r="D8" s="9" t="str">
        <f t="shared" si="0"/>
        <v>HYPMEMFMOR75X36X06</v>
      </c>
      <c r="E8" s="9" t="s">
        <v>229</v>
      </c>
      <c r="F8" s="10" t="s">
        <v>12</v>
      </c>
      <c r="G8" s="43">
        <f>(L2+M2+6)*2*0.0254*0.035</f>
        <v>8.5344000000000003E-2</v>
      </c>
      <c r="H8" s="42">
        <f t="shared" si="3"/>
        <v>8.5000000000000006E-2</v>
      </c>
      <c r="I8" s="8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88</v>
      </c>
      <c r="S8" s="27" t="s">
        <v>95</v>
      </c>
      <c r="T8" s="27">
        <v>6</v>
      </c>
      <c r="U8" s="28" t="s">
        <v>104</v>
      </c>
    </row>
    <row r="9" spans="1:21" x14ac:dyDescent="0.25">
      <c r="A9" s="31">
        <v>8</v>
      </c>
      <c r="B9" s="7" t="s">
        <v>18</v>
      </c>
      <c r="C9" s="9" t="s">
        <v>18</v>
      </c>
      <c r="D9" s="9" t="str">
        <f t="shared" si="0"/>
        <v>HYPMEMFMOR75X36X06</v>
      </c>
      <c r="E9" s="16" t="s">
        <v>228</v>
      </c>
      <c r="F9" s="10" t="s">
        <v>11</v>
      </c>
      <c r="G9" s="43">
        <v>4</v>
      </c>
      <c r="H9" s="42">
        <f t="shared" si="3"/>
        <v>4</v>
      </c>
      <c r="I9" s="8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88</v>
      </c>
      <c r="S9" s="27" t="s">
        <v>96</v>
      </c>
      <c r="T9" s="27">
        <v>6</v>
      </c>
      <c r="U9" s="28" t="s">
        <v>104</v>
      </c>
    </row>
    <row r="10" spans="1:21" x14ac:dyDescent="0.25">
      <c r="A10" s="32">
        <v>9</v>
      </c>
      <c r="B10" s="7" t="s">
        <v>18</v>
      </c>
      <c r="C10" s="9" t="s">
        <v>18</v>
      </c>
      <c r="D10" s="9" t="str">
        <f t="shared" si="0"/>
        <v>HYPMEMFMOR75X36X06</v>
      </c>
      <c r="E10" s="9" t="s">
        <v>19</v>
      </c>
      <c r="F10" s="10" t="s">
        <v>11</v>
      </c>
      <c r="G10" s="39">
        <v>1</v>
      </c>
      <c r="H10" s="42">
        <f t="shared" si="3"/>
        <v>1</v>
      </c>
      <c r="I10" s="8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97</v>
      </c>
      <c r="S10" s="27" t="s">
        <v>89</v>
      </c>
      <c r="T10" s="27">
        <v>6</v>
      </c>
      <c r="U10" s="28" t="s">
        <v>104</v>
      </c>
    </row>
    <row r="11" spans="1:21" x14ac:dyDescent="0.25">
      <c r="A11" s="31">
        <v>10</v>
      </c>
      <c r="B11" s="7" t="s">
        <v>18</v>
      </c>
      <c r="C11" s="9" t="s">
        <v>18</v>
      </c>
      <c r="D11" s="9" t="str">
        <f t="shared" si="0"/>
        <v>HYPMEMFMOR75X36X06</v>
      </c>
      <c r="E11" s="9" t="s">
        <v>20</v>
      </c>
      <c r="F11" s="10" t="s">
        <v>11</v>
      </c>
      <c r="G11" s="39">
        <v>1</v>
      </c>
      <c r="H11" s="42">
        <f t="shared" si="3"/>
        <v>1</v>
      </c>
      <c r="I11" s="8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97</v>
      </c>
      <c r="S11" s="27" t="s">
        <v>90</v>
      </c>
      <c r="T11" s="27">
        <v>6</v>
      </c>
      <c r="U11" s="28" t="s">
        <v>104</v>
      </c>
    </row>
    <row r="12" spans="1:21" x14ac:dyDescent="0.25">
      <c r="A12" s="32">
        <v>11</v>
      </c>
      <c r="B12" s="7" t="s">
        <v>18</v>
      </c>
      <c r="C12" s="9" t="s">
        <v>18</v>
      </c>
      <c r="D12" s="9" t="str">
        <f t="shared" si="0"/>
        <v>HYPMEMFMOR75X36X06</v>
      </c>
      <c r="E12" s="9" t="s">
        <v>103</v>
      </c>
      <c r="F12" s="10" t="s">
        <v>12</v>
      </c>
      <c r="G12" s="42">
        <f>(IF(K2&lt;79,(L2*2)+(M2*2),(K2*2)+(M2*2))+4)*89.5*0.0254*0.0254*0.00009*1300</f>
        <v>0.59450977871999999</v>
      </c>
      <c r="H12" s="42">
        <f t="shared" si="3"/>
        <v>0.59499999999999997</v>
      </c>
      <c r="I12" s="8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97</v>
      </c>
      <c r="S12" s="27" t="s">
        <v>91</v>
      </c>
      <c r="T12" s="27">
        <v>6</v>
      </c>
      <c r="U12" s="28" t="s">
        <v>104</v>
      </c>
    </row>
    <row r="13" spans="1:21" x14ac:dyDescent="0.25">
      <c r="A13" s="31">
        <v>12</v>
      </c>
      <c r="B13" s="7" t="s">
        <v>17</v>
      </c>
      <c r="C13" s="7" t="s">
        <v>17</v>
      </c>
      <c r="D13" s="9" t="str">
        <f t="shared" si="0"/>
        <v>HYPMEMFMOR75X36X06</v>
      </c>
      <c r="E13" s="35" t="str">
        <f>"MEMORIO-FOAM-BLOCK-"&amp;K2&amp;"X"&amp;L2&amp;"X0"&amp;M2</f>
        <v>MEMORIO-FOAM-BLOCK-75X36X06</v>
      </c>
      <c r="F13" s="10" t="s">
        <v>11</v>
      </c>
      <c r="G13" s="42">
        <v>1</v>
      </c>
      <c r="H13" s="42">
        <f t="shared" si="3"/>
        <v>1</v>
      </c>
      <c r="I13" s="34" t="s">
        <v>15</v>
      </c>
      <c r="J13" s="11"/>
      <c r="K13" s="17"/>
      <c r="R13" s="27" t="s">
        <v>97</v>
      </c>
      <c r="S13" s="27" t="s">
        <v>92</v>
      </c>
      <c r="T13" s="27">
        <v>6</v>
      </c>
      <c r="U13" s="28" t="s">
        <v>104</v>
      </c>
    </row>
    <row r="14" spans="1:21" x14ac:dyDescent="0.25">
      <c r="J14" s="11"/>
      <c r="M14" s="17"/>
      <c r="O14" s="17"/>
      <c r="R14" s="27" t="s">
        <v>97</v>
      </c>
      <c r="S14" s="27" t="s">
        <v>93</v>
      </c>
      <c r="T14" s="27">
        <v>6</v>
      </c>
      <c r="U14" s="28" t="s">
        <v>104</v>
      </c>
    </row>
    <row r="15" spans="1:21" x14ac:dyDescent="0.25">
      <c r="J15" s="11"/>
      <c r="N15"/>
      <c r="O15"/>
      <c r="R15" s="27" t="s">
        <v>97</v>
      </c>
      <c r="S15" s="27" t="s">
        <v>94</v>
      </c>
      <c r="T15" s="27">
        <v>6</v>
      </c>
      <c r="U15" s="28" t="s">
        <v>104</v>
      </c>
    </row>
    <row r="16" spans="1:21" x14ac:dyDescent="0.25">
      <c r="J16" s="11"/>
      <c r="M16" s="17"/>
      <c r="N16"/>
      <c r="O16"/>
      <c r="R16" s="27" t="s">
        <v>97</v>
      </c>
      <c r="S16" s="27" t="s">
        <v>95</v>
      </c>
      <c r="T16" s="27">
        <v>6</v>
      </c>
      <c r="U16" s="28" t="s">
        <v>104</v>
      </c>
    </row>
    <row r="17" spans="5:21" x14ac:dyDescent="0.25">
      <c r="J17" s="11"/>
      <c r="K17" s="17"/>
      <c r="N17"/>
      <c r="O17"/>
      <c r="R17" s="27" t="s">
        <v>97</v>
      </c>
      <c r="S17" s="27" t="s">
        <v>96</v>
      </c>
      <c r="T17" s="27">
        <v>6</v>
      </c>
      <c r="U17" s="28" t="s">
        <v>104</v>
      </c>
    </row>
    <row r="18" spans="5:21" x14ac:dyDescent="0.25">
      <c r="J18" s="11"/>
      <c r="N18"/>
      <c r="O18"/>
      <c r="R18" s="27" t="s">
        <v>98</v>
      </c>
      <c r="S18" s="27" t="s">
        <v>89</v>
      </c>
      <c r="T18" s="27">
        <v>6</v>
      </c>
      <c r="U18" s="28" t="s">
        <v>104</v>
      </c>
    </row>
    <row r="19" spans="5:21" x14ac:dyDescent="0.25">
      <c r="J19" s="11"/>
      <c r="N19"/>
      <c r="O19"/>
      <c r="R19" s="27" t="s">
        <v>98</v>
      </c>
      <c r="S19" s="27" t="s">
        <v>90</v>
      </c>
      <c r="T19" s="27">
        <v>6</v>
      </c>
      <c r="U19" s="28" t="s">
        <v>104</v>
      </c>
    </row>
    <row r="20" spans="5:21" x14ac:dyDescent="0.25">
      <c r="J20" s="11"/>
      <c r="N20" s="26"/>
      <c r="O20"/>
      <c r="R20" s="27" t="s">
        <v>98</v>
      </c>
      <c r="S20" s="27" t="s">
        <v>91</v>
      </c>
      <c r="T20" s="27">
        <v>6</v>
      </c>
      <c r="U20" s="28" t="s">
        <v>104</v>
      </c>
    </row>
    <row r="21" spans="5:21" x14ac:dyDescent="0.25">
      <c r="J21" s="11"/>
      <c r="N21"/>
      <c r="O21"/>
      <c r="R21" s="27" t="s">
        <v>98</v>
      </c>
      <c r="S21" s="27" t="s">
        <v>92</v>
      </c>
      <c r="T21" s="27">
        <v>6</v>
      </c>
      <c r="U21" s="28" t="s">
        <v>104</v>
      </c>
    </row>
    <row r="22" spans="5:21" x14ac:dyDescent="0.25">
      <c r="J22" s="11"/>
      <c r="N22"/>
      <c r="O22"/>
      <c r="R22" s="27" t="s">
        <v>98</v>
      </c>
      <c r="S22" s="27" t="s">
        <v>93</v>
      </c>
      <c r="T22" s="27">
        <v>6</v>
      </c>
      <c r="U22" s="28" t="s">
        <v>104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98</v>
      </c>
      <c r="S23" s="27" t="s">
        <v>94</v>
      </c>
      <c r="T23" s="27">
        <v>6</v>
      </c>
      <c r="U23" s="28" t="s">
        <v>104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98</v>
      </c>
      <c r="S24" s="27" t="s">
        <v>95</v>
      </c>
      <c r="T24" s="27">
        <v>6</v>
      </c>
      <c r="U24" s="28" t="s">
        <v>104</v>
      </c>
    </row>
    <row r="25" spans="5:21" x14ac:dyDescent="0.25">
      <c r="N25"/>
      <c r="O25"/>
      <c r="R25" s="27" t="s">
        <v>98</v>
      </c>
      <c r="S25" s="27" t="s">
        <v>96</v>
      </c>
      <c r="T25" s="27">
        <v>6</v>
      </c>
      <c r="U25" s="28" t="s">
        <v>104</v>
      </c>
    </row>
    <row r="26" spans="5:21" x14ac:dyDescent="0.25">
      <c r="N26"/>
      <c r="O26"/>
      <c r="R26" s="27" t="s">
        <v>99</v>
      </c>
      <c r="S26" s="27" t="s">
        <v>89</v>
      </c>
      <c r="T26" s="27">
        <v>6</v>
      </c>
      <c r="U26" s="28" t="s">
        <v>104</v>
      </c>
    </row>
    <row r="27" spans="5:21" x14ac:dyDescent="0.25">
      <c r="N27"/>
      <c r="O27"/>
      <c r="R27" s="27" t="s">
        <v>99</v>
      </c>
      <c r="S27" s="27" t="s">
        <v>90</v>
      </c>
      <c r="T27" s="27">
        <v>6</v>
      </c>
      <c r="U27" s="28" t="s">
        <v>104</v>
      </c>
    </row>
    <row r="28" spans="5:21" x14ac:dyDescent="0.25">
      <c r="M28" s="17"/>
      <c r="N28"/>
      <c r="O28"/>
      <c r="R28" s="27" t="s">
        <v>99</v>
      </c>
      <c r="S28" s="27" t="s">
        <v>91</v>
      </c>
      <c r="T28" s="27">
        <v>6</v>
      </c>
      <c r="U28" s="28" t="s">
        <v>104</v>
      </c>
    </row>
    <row r="29" spans="5:21" x14ac:dyDescent="0.25">
      <c r="E29" s="17"/>
      <c r="N29"/>
      <c r="O29"/>
      <c r="R29" s="27" t="s">
        <v>99</v>
      </c>
      <c r="S29" s="27" t="s">
        <v>92</v>
      </c>
      <c r="T29" s="27">
        <v>6</v>
      </c>
      <c r="U29" s="28" t="s">
        <v>104</v>
      </c>
    </row>
    <row r="30" spans="5:21" x14ac:dyDescent="0.25">
      <c r="H30" s="45"/>
      <c r="N30"/>
      <c r="O30"/>
      <c r="R30" s="27" t="s">
        <v>99</v>
      </c>
      <c r="S30" s="27" t="s">
        <v>93</v>
      </c>
      <c r="T30" s="27">
        <v>6</v>
      </c>
      <c r="U30" s="28" t="s">
        <v>104</v>
      </c>
    </row>
    <row r="31" spans="5:21" x14ac:dyDescent="0.25">
      <c r="N31"/>
      <c r="O31"/>
      <c r="R31" s="27" t="s">
        <v>99</v>
      </c>
      <c r="S31" s="27" t="s">
        <v>94</v>
      </c>
      <c r="T31" s="27">
        <v>6</v>
      </c>
      <c r="U31" s="28" t="s">
        <v>104</v>
      </c>
    </row>
    <row r="32" spans="5:21" x14ac:dyDescent="0.25">
      <c r="N32"/>
      <c r="O32"/>
      <c r="R32" s="27" t="s">
        <v>99</v>
      </c>
      <c r="S32" s="27" t="s">
        <v>95</v>
      </c>
      <c r="T32" s="27">
        <v>6</v>
      </c>
      <c r="U32" s="28" t="s">
        <v>104</v>
      </c>
    </row>
    <row r="33" spans="14:21" x14ac:dyDescent="0.25">
      <c r="N33"/>
      <c r="O33"/>
      <c r="R33" s="27" t="s">
        <v>99</v>
      </c>
      <c r="S33" s="27" t="s">
        <v>96</v>
      </c>
      <c r="T33" s="27">
        <v>6</v>
      </c>
      <c r="U33" s="28" t="s">
        <v>104</v>
      </c>
    </row>
    <row r="34" spans="14:21" x14ac:dyDescent="0.25">
      <c r="N34"/>
      <c r="O34"/>
      <c r="R34" s="27" t="s">
        <v>100</v>
      </c>
      <c r="S34" s="27" t="s">
        <v>89</v>
      </c>
      <c r="T34" s="27">
        <v>6</v>
      </c>
      <c r="U34" s="28" t="s">
        <v>104</v>
      </c>
    </row>
    <row r="35" spans="14:21" x14ac:dyDescent="0.25">
      <c r="N35"/>
      <c r="O35"/>
      <c r="R35" s="27" t="s">
        <v>100</v>
      </c>
      <c r="S35" s="27" t="s">
        <v>90</v>
      </c>
      <c r="T35" s="27">
        <v>6</v>
      </c>
      <c r="U35" s="28" t="s">
        <v>104</v>
      </c>
    </row>
    <row r="36" spans="14:21" x14ac:dyDescent="0.25">
      <c r="N36"/>
      <c r="O36"/>
      <c r="R36" s="27" t="s">
        <v>100</v>
      </c>
      <c r="S36" s="27" t="s">
        <v>91</v>
      </c>
      <c r="T36" s="27">
        <v>6</v>
      </c>
      <c r="U36" s="28" t="s">
        <v>104</v>
      </c>
    </row>
    <row r="37" spans="14:21" x14ac:dyDescent="0.25">
      <c r="N37"/>
      <c r="O37"/>
      <c r="R37" s="27" t="s">
        <v>100</v>
      </c>
      <c r="S37" s="27" t="s">
        <v>92</v>
      </c>
      <c r="T37" s="27">
        <v>6</v>
      </c>
      <c r="U37" s="28" t="s">
        <v>104</v>
      </c>
    </row>
    <row r="38" spans="14:21" x14ac:dyDescent="0.25">
      <c r="N38"/>
      <c r="O38"/>
      <c r="R38" s="27" t="s">
        <v>100</v>
      </c>
      <c r="S38" s="27" t="s">
        <v>93</v>
      </c>
      <c r="T38" s="27">
        <v>6</v>
      </c>
      <c r="U38" s="28" t="s">
        <v>104</v>
      </c>
    </row>
    <row r="39" spans="14:21" x14ac:dyDescent="0.25">
      <c r="N39"/>
      <c r="O39"/>
      <c r="R39" s="27" t="s">
        <v>100</v>
      </c>
      <c r="S39" s="27" t="s">
        <v>94</v>
      </c>
      <c r="T39" s="27">
        <v>6</v>
      </c>
      <c r="U39" s="28" t="s">
        <v>104</v>
      </c>
    </row>
    <row r="40" spans="14:21" x14ac:dyDescent="0.25">
      <c r="N40"/>
      <c r="O40"/>
      <c r="R40" s="27" t="s">
        <v>100</v>
      </c>
      <c r="S40" s="27" t="s">
        <v>95</v>
      </c>
      <c r="T40" s="27">
        <v>6</v>
      </c>
      <c r="U40" s="28" t="s">
        <v>104</v>
      </c>
    </row>
    <row r="41" spans="14:21" x14ac:dyDescent="0.25">
      <c r="N41"/>
      <c r="O41"/>
      <c r="R41" s="27" t="s">
        <v>100</v>
      </c>
      <c r="S41" s="27" t="s">
        <v>96</v>
      </c>
      <c r="T41" s="27">
        <v>6</v>
      </c>
      <c r="U41" s="28" t="s">
        <v>104</v>
      </c>
    </row>
    <row r="42" spans="14:21" x14ac:dyDescent="0.25">
      <c r="N42"/>
      <c r="O42"/>
      <c r="R42" s="27" t="s">
        <v>88</v>
      </c>
      <c r="S42" s="27" t="s">
        <v>89</v>
      </c>
      <c r="T42" s="27">
        <v>6</v>
      </c>
      <c r="U42" s="28" t="s">
        <v>105</v>
      </c>
    </row>
    <row r="43" spans="14:21" x14ac:dyDescent="0.25">
      <c r="N43"/>
      <c r="O43"/>
      <c r="R43" s="27" t="s">
        <v>88</v>
      </c>
      <c r="S43" s="27" t="s">
        <v>90</v>
      </c>
      <c r="T43" s="27">
        <v>6</v>
      </c>
      <c r="U43" s="28" t="s">
        <v>105</v>
      </c>
    </row>
    <row r="44" spans="14:21" x14ac:dyDescent="0.25">
      <c r="N44"/>
      <c r="O44"/>
      <c r="R44" s="27" t="s">
        <v>88</v>
      </c>
      <c r="S44" s="27" t="s">
        <v>91</v>
      </c>
      <c r="T44" s="27">
        <v>6</v>
      </c>
      <c r="U44" s="28" t="s">
        <v>105</v>
      </c>
    </row>
    <row r="45" spans="14:21" x14ac:dyDescent="0.25">
      <c r="N45"/>
      <c r="O45"/>
      <c r="R45" s="27" t="s">
        <v>88</v>
      </c>
      <c r="S45" s="27" t="s">
        <v>92</v>
      </c>
      <c r="T45" s="27">
        <v>6</v>
      </c>
      <c r="U45" s="28" t="s">
        <v>105</v>
      </c>
    </row>
    <row r="46" spans="14:21" x14ac:dyDescent="0.25">
      <c r="N46"/>
      <c r="O46"/>
      <c r="R46" s="27" t="s">
        <v>88</v>
      </c>
      <c r="S46" s="27" t="s">
        <v>93</v>
      </c>
      <c r="T46" s="27">
        <v>6</v>
      </c>
      <c r="U46" s="28" t="s">
        <v>105</v>
      </c>
    </row>
    <row r="47" spans="14:21" x14ac:dyDescent="0.25">
      <c r="N47"/>
      <c r="O47"/>
      <c r="R47" s="27" t="s">
        <v>88</v>
      </c>
      <c r="S47" s="27" t="s">
        <v>94</v>
      </c>
      <c r="T47" s="27">
        <v>6</v>
      </c>
      <c r="U47" s="28" t="s">
        <v>105</v>
      </c>
    </row>
    <row r="48" spans="14:21" x14ac:dyDescent="0.25">
      <c r="N48"/>
      <c r="O48"/>
      <c r="R48" s="27" t="s">
        <v>88</v>
      </c>
      <c r="S48" s="27" t="s">
        <v>95</v>
      </c>
      <c r="T48" s="27">
        <v>6</v>
      </c>
      <c r="U48" s="28" t="s">
        <v>105</v>
      </c>
    </row>
    <row r="49" spans="14:21" x14ac:dyDescent="0.25">
      <c r="N49"/>
      <c r="O49"/>
      <c r="R49" s="27" t="s">
        <v>88</v>
      </c>
      <c r="S49" s="27" t="s">
        <v>96</v>
      </c>
      <c r="T49" s="27">
        <v>6</v>
      </c>
      <c r="U49" s="28" t="s">
        <v>105</v>
      </c>
    </row>
    <row r="50" spans="14:21" x14ac:dyDescent="0.25">
      <c r="R50" s="27" t="s">
        <v>97</v>
      </c>
      <c r="S50" s="27" t="s">
        <v>89</v>
      </c>
      <c r="T50" s="27">
        <v>6</v>
      </c>
      <c r="U50" s="28" t="s">
        <v>105</v>
      </c>
    </row>
    <row r="51" spans="14:21" x14ac:dyDescent="0.25">
      <c r="R51" s="27" t="s">
        <v>97</v>
      </c>
      <c r="S51" s="27" t="s">
        <v>90</v>
      </c>
      <c r="T51" s="27">
        <v>6</v>
      </c>
      <c r="U51" s="28" t="s">
        <v>105</v>
      </c>
    </row>
    <row r="52" spans="14:21" x14ac:dyDescent="0.25">
      <c r="R52" s="27" t="s">
        <v>97</v>
      </c>
      <c r="S52" s="27" t="s">
        <v>91</v>
      </c>
      <c r="T52" s="27">
        <v>6</v>
      </c>
      <c r="U52" s="28" t="s">
        <v>105</v>
      </c>
    </row>
    <row r="53" spans="14:21" x14ac:dyDescent="0.25">
      <c r="R53" s="27" t="s">
        <v>97</v>
      </c>
      <c r="S53" s="27" t="s">
        <v>92</v>
      </c>
      <c r="T53" s="27">
        <v>6</v>
      </c>
      <c r="U53" s="28" t="s">
        <v>105</v>
      </c>
    </row>
    <row r="54" spans="14:21" x14ac:dyDescent="0.25">
      <c r="R54" s="27" t="s">
        <v>97</v>
      </c>
      <c r="S54" s="27" t="s">
        <v>93</v>
      </c>
      <c r="T54" s="27">
        <v>6</v>
      </c>
      <c r="U54" s="28" t="s">
        <v>105</v>
      </c>
    </row>
    <row r="55" spans="14:21" x14ac:dyDescent="0.25">
      <c r="R55" s="27" t="s">
        <v>97</v>
      </c>
      <c r="S55" s="27" t="s">
        <v>94</v>
      </c>
      <c r="T55" s="27">
        <v>6</v>
      </c>
      <c r="U55" s="28" t="s">
        <v>105</v>
      </c>
    </row>
    <row r="56" spans="14:21" x14ac:dyDescent="0.25">
      <c r="R56" s="27" t="s">
        <v>97</v>
      </c>
      <c r="S56" s="27" t="s">
        <v>95</v>
      </c>
      <c r="T56" s="27">
        <v>6</v>
      </c>
      <c r="U56" s="28" t="s">
        <v>105</v>
      </c>
    </row>
    <row r="57" spans="14:21" x14ac:dyDescent="0.25">
      <c r="R57" s="27" t="s">
        <v>97</v>
      </c>
      <c r="S57" s="27" t="s">
        <v>96</v>
      </c>
      <c r="T57" s="27">
        <v>6</v>
      </c>
      <c r="U57" s="28" t="s">
        <v>105</v>
      </c>
    </row>
    <row r="58" spans="14:21" x14ac:dyDescent="0.25">
      <c r="R58" s="27" t="s">
        <v>98</v>
      </c>
      <c r="S58" s="27" t="s">
        <v>89</v>
      </c>
      <c r="T58" s="27">
        <v>6</v>
      </c>
      <c r="U58" s="28" t="s">
        <v>105</v>
      </c>
    </row>
    <row r="59" spans="14:21" x14ac:dyDescent="0.25">
      <c r="R59" s="27" t="s">
        <v>98</v>
      </c>
      <c r="S59" s="27" t="s">
        <v>90</v>
      </c>
      <c r="T59" s="27">
        <v>6</v>
      </c>
      <c r="U59" s="28" t="s">
        <v>105</v>
      </c>
    </row>
    <row r="60" spans="14:21" x14ac:dyDescent="0.25">
      <c r="R60" s="27" t="s">
        <v>98</v>
      </c>
      <c r="S60" s="27" t="s">
        <v>91</v>
      </c>
      <c r="T60" s="27">
        <v>6</v>
      </c>
      <c r="U60" s="28" t="s">
        <v>105</v>
      </c>
    </row>
    <row r="61" spans="14:21" x14ac:dyDescent="0.25">
      <c r="R61" s="27" t="s">
        <v>98</v>
      </c>
      <c r="S61" s="27" t="s">
        <v>92</v>
      </c>
      <c r="T61" s="27">
        <v>6</v>
      </c>
      <c r="U61" s="28" t="s">
        <v>105</v>
      </c>
    </row>
    <row r="62" spans="14:21" x14ac:dyDescent="0.25">
      <c r="R62" s="27" t="s">
        <v>98</v>
      </c>
      <c r="S62" s="27" t="s">
        <v>93</v>
      </c>
      <c r="T62" s="27">
        <v>6</v>
      </c>
      <c r="U62" s="28" t="s">
        <v>105</v>
      </c>
    </row>
    <row r="63" spans="14:21" x14ac:dyDescent="0.25">
      <c r="R63" s="27" t="s">
        <v>98</v>
      </c>
      <c r="S63" s="27" t="s">
        <v>94</v>
      </c>
      <c r="T63" s="27">
        <v>6</v>
      </c>
      <c r="U63" s="28" t="s">
        <v>105</v>
      </c>
    </row>
    <row r="64" spans="14:21" x14ac:dyDescent="0.25">
      <c r="R64" s="27" t="s">
        <v>98</v>
      </c>
      <c r="S64" s="27" t="s">
        <v>95</v>
      </c>
      <c r="T64" s="27">
        <v>6</v>
      </c>
      <c r="U64" s="28" t="s">
        <v>105</v>
      </c>
    </row>
    <row r="65" spans="18:21" x14ac:dyDescent="0.25">
      <c r="R65" s="27" t="s">
        <v>98</v>
      </c>
      <c r="S65" s="27" t="s">
        <v>96</v>
      </c>
      <c r="T65" s="27">
        <v>6</v>
      </c>
      <c r="U65" s="28" t="s">
        <v>105</v>
      </c>
    </row>
    <row r="66" spans="18:21" x14ac:dyDescent="0.25">
      <c r="R66" s="27" t="s">
        <v>99</v>
      </c>
      <c r="S66" s="27" t="s">
        <v>89</v>
      </c>
      <c r="T66" s="27">
        <v>6</v>
      </c>
      <c r="U66" s="28" t="s">
        <v>105</v>
      </c>
    </row>
    <row r="67" spans="18:21" x14ac:dyDescent="0.25">
      <c r="R67" s="27" t="s">
        <v>99</v>
      </c>
      <c r="S67" s="27" t="s">
        <v>90</v>
      </c>
      <c r="T67" s="27">
        <v>6</v>
      </c>
      <c r="U67" s="28" t="s">
        <v>105</v>
      </c>
    </row>
    <row r="68" spans="18:21" x14ac:dyDescent="0.25">
      <c r="R68" s="27" t="s">
        <v>99</v>
      </c>
      <c r="S68" s="27" t="s">
        <v>91</v>
      </c>
      <c r="T68" s="27">
        <v>6</v>
      </c>
      <c r="U68" s="28" t="s">
        <v>105</v>
      </c>
    </row>
    <row r="69" spans="18:21" x14ac:dyDescent="0.25">
      <c r="R69" s="27" t="s">
        <v>99</v>
      </c>
      <c r="S69" s="27" t="s">
        <v>92</v>
      </c>
      <c r="T69" s="27">
        <v>6</v>
      </c>
      <c r="U69" s="28" t="s">
        <v>105</v>
      </c>
    </row>
    <row r="70" spans="18:21" x14ac:dyDescent="0.25">
      <c r="R70" s="27" t="s">
        <v>99</v>
      </c>
      <c r="S70" s="27" t="s">
        <v>93</v>
      </c>
      <c r="T70" s="27">
        <v>6</v>
      </c>
      <c r="U70" s="28" t="s">
        <v>105</v>
      </c>
    </row>
    <row r="71" spans="18:21" x14ac:dyDescent="0.25">
      <c r="R71" s="27" t="s">
        <v>99</v>
      </c>
      <c r="S71" s="27" t="s">
        <v>94</v>
      </c>
      <c r="T71" s="27">
        <v>6</v>
      </c>
      <c r="U71" s="28" t="s">
        <v>105</v>
      </c>
    </row>
    <row r="72" spans="18:21" x14ac:dyDescent="0.25">
      <c r="R72" s="27" t="s">
        <v>99</v>
      </c>
      <c r="S72" s="27" t="s">
        <v>95</v>
      </c>
      <c r="T72" s="27">
        <v>6</v>
      </c>
      <c r="U72" s="28" t="s">
        <v>105</v>
      </c>
    </row>
    <row r="73" spans="18:21" x14ac:dyDescent="0.25">
      <c r="R73" s="27" t="s">
        <v>99</v>
      </c>
      <c r="S73" s="27" t="s">
        <v>96</v>
      </c>
      <c r="T73" s="27">
        <v>6</v>
      </c>
      <c r="U73" s="28" t="s">
        <v>105</v>
      </c>
    </row>
    <row r="74" spans="18:21" x14ac:dyDescent="0.25">
      <c r="R74" s="27" t="s">
        <v>100</v>
      </c>
      <c r="S74" s="27" t="s">
        <v>89</v>
      </c>
      <c r="T74" s="27">
        <v>6</v>
      </c>
      <c r="U74" s="28" t="s">
        <v>105</v>
      </c>
    </row>
    <row r="75" spans="18:21" x14ac:dyDescent="0.25">
      <c r="R75" s="27" t="s">
        <v>100</v>
      </c>
      <c r="S75" s="27" t="s">
        <v>90</v>
      </c>
      <c r="T75" s="27">
        <v>6</v>
      </c>
      <c r="U75" s="28" t="s">
        <v>105</v>
      </c>
    </row>
    <row r="76" spans="18:21" x14ac:dyDescent="0.25">
      <c r="R76" s="27" t="s">
        <v>100</v>
      </c>
      <c r="S76" s="27" t="s">
        <v>91</v>
      </c>
      <c r="T76" s="27">
        <v>6</v>
      </c>
      <c r="U76" s="28" t="s">
        <v>105</v>
      </c>
    </row>
    <row r="77" spans="18:21" x14ac:dyDescent="0.25">
      <c r="R77" s="27" t="s">
        <v>100</v>
      </c>
      <c r="S77" s="27" t="s">
        <v>92</v>
      </c>
      <c r="T77" s="27">
        <v>6</v>
      </c>
      <c r="U77" s="28" t="s">
        <v>105</v>
      </c>
    </row>
    <row r="78" spans="18:21" x14ac:dyDescent="0.25">
      <c r="R78" s="27" t="s">
        <v>100</v>
      </c>
      <c r="S78" s="27" t="s">
        <v>93</v>
      </c>
      <c r="T78" s="27">
        <v>6</v>
      </c>
      <c r="U78" s="28" t="s">
        <v>105</v>
      </c>
    </row>
    <row r="79" spans="18:21" x14ac:dyDescent="0.25">
      <c r="R79" s="27" t="s">
        <v>100</v>
      </c>
      <c r="S79" s="27" t="s">
        <v>94</v>
      </c>
      <c r="T79" s="27">
        <v>6</v>
      </c>
      <c r="U79" s="28" t="s">
        <v>105</v>
      </c>
    </row>
    <row r="80" spans="18:21" x14ac:dyDescent="0.25">
      <c r="R80" s="27" t="s">
        <v>100</v>
      </c>
      <c r="S80" s="27" t="s">
        <v>95</v>
      </c>
      <c r="T80" s="27">
        <v>6</v>
      </c>
      <c r="U80" s="28" t="s">
        <v>105</v>
      </c>
    </row>
    <row r="81" spans="18:21" x14ac:dyDescent="0.25">
      <c r="R81" s="27" t="s">
        <v>100</v>
      </c>
      <c r="S81" s="27" t="s">
        <v>96</v>
      </c>
      <c r="T81" s="27">
        <v>6</v>
      </c>
      <c r="U81" s="28" t="s">
        <v>105</v>
      </c>
    </row>
    <row r="82" spans="18:21" x14ac:dyDescent="0.25">
      <c r="R82" s="28" t="s">
        <v>88</v>
      </c>
      <c r="S82" s="28" t="s">
        <v>231</v>
      </c>
      <c r="T82" s="27">
        <v>6</v>
      </c>
      <c r="U82" s="28" t="s">
        <v>105</v>
      </c>
    </row>
    <row r="83" spans="18:21" x14ac:dyDescent="0.25">
      <c r="R83" s="37" t="s">
        <v>88</v>
      </c>
      <c r="S83" s="37" t="s">
        <v>232</v>
      </c>
      <c r="T83" s="27">
        <v>6</v>
      </c>
      <c r="U83" s="28" t="s">
        <v>105</v>
      </c>
    </row>
    <row r="84" spans="18:21" x14ac:dyDescent="0.25">
      <c r="R84" s="28" t="s">
        <v>88</v>
      </c>
      <c r="S84" s="28" t="s">
        <v>233</v>
      </c>
      <c r="T84" s="27">
        <v>6</v>
      </c>
      <c r="U84" s="28" t="s">
        <v>105</v>
      </c>
    </row>
    <row r="85" spans="18:21" x14ac:dyDescent="0.25">
      <c r="R85" s="28" t="s">
        <v>88</v>
      </c>
      <c r="S85" s="28" t="s">
        <v>234</v>
      </c>
      <c r="T85" s="27">
        <v>6</v>
      </c>
      <c r="U85" s="28" t="s">
        <v>105</v>
      </c>
    </row>
    <row r="86" spans="18:21" x14ac:dyDescent="0.25">
      <c r="R86" s="28" t="s">
        <v>88</v>
      </c>
      <c r="S86" s="28" t="s">
        <v>235</v>
      </c>
      <c r="T86" s="27">
        <v>6</v>
      </c>
      <c r="U86" s="28" t="s">
        <v>105</v>
      </c>
    </row>
    <row r="87" spans="18:21" x14ac:dyDescent="0.25">
      <c r="R87" s="28" t="s">
        <v>88</v>
      </c>
      <c r="S87" s="28" t="s">
        <v>236</v>
      </c>
      <c r="T87" s="27">
        <v>6</v>
      </c>
      <c r="U87" s="28" t="s">
        <v>105</v>
      </c>
    </row>
    <row r="88" spans="18:21" x14ac:dyDescent="0.25">
      <c r="R88" s="28" t="s">
        <v>88</v>
      </c>
      <c r="S88" s="28" t="s">
        <v>88</v>
      </c>
      <c r="T88" s="27">
        <v>6</v>
      </c>
      <c r="U88" s="28" t="s">
        <v>105</v>
      </c>
    </row>
    <row r="89" spans="18:21" x14ac:dyDescent="0.25">
      <c r="R89" s="28" t="s">
        <v>97</v>
      </c>
      <c r="S89" s="28" t="s">
        <v>231</v>
      </c>
      <c r="T89" s="27">
        <v>6</v>
      </c>
      <c r="U89" s="28" t="s">
        <v>105</v>
      </c>
    </row>
    <row r="90" spans="18:21" x14ac:dyDescent="0.25">
      <c r="R90" s="28" t="s">
        <v>97</v>
      </c>
      <c r="S90" s="28" t="s">
        <v>232</v>
      </c>
      <c r="T90" s="27">
        <v>6</v>
      </c>
      <c r="U90" s="28" t="s">
        <v>105</v>
      </c>
    </row>
    <row r="91" spans="18:21" x14ac:dyDescent="0.25">
      <c r="R91" s="28" t="s">
        <v>97</v>
      </c>
      <c r="S91" s="28" t="s">
        <v>233</v>
      </c>
      <c r="T91" s="27">
        <v>6</v>
      </c>
      <c r="U91" s="28" t="s">
        <v>105</v>
      </c>
    </row>
    <row r="92" spans="18:21" x14ac:dyDescent="0.25">
      <c r="R92" s="28" t="s">
        <v>97</v>
      </c>
      <c r="S92" s="28" t="s">
        <v>234</v>
      </c>
      <c r="T92" s="27">
        <v>6</v>
      </c>
      <c r="U92" s="28" t="s">
        <v>105</v>
      </c>
    </row>
    <row r="93" spans="18:21" x14ac:dyDescent="0.25">
      <c r="R93" s="28" t="s">
        <v>97</v>
      </c>
      <c r="S93" s="28" t="s">
        <v>235</v>
      </c>
      <c r="T93" s="27">
        <v>6</v>
      </c>
      <c r="U93" s="28" t="s">
        <v>105</v>
      </c>
    </row>
    <row r="94" spans="18:21" x14ac:dyDescent="0.25">
      <c r="R94" s="28" t="s">
        <v>97</v>
      </c>
      <c r="S94" s="28" t="s">
        <v>236</v>
      </c>
      <c r="T94" s="27">
        <v>6</v>
      </c>
      <c r="U94" s="28" t="s">
        <v>105</v>
      </c>
    </row>
    <row r="95" spans="18:21" x14ac:dyDescent="0.25">
      <c r="R95" s="28" t="s">
        <v>97</v>
      </c>
      <c r="S95" s="28" t="s">
        <v>88</v>
      </c>
      <c r="T95" s="27">
        <v>6</v>
      </c>
      <c r="U95" s="28" t="s">
        <v>105</v>
      </c>
    </row>
    <row r="96" spans="18:21" x14ac:dyDescent="0.25">
      <c r="R96" s="28" t="s">
        <v>98</v>
      </c>
      <c r="S96" s="28" t="s">
        <v>231</v>
      </c>
      <c r="T96" s="27">
        <v>6</v>
      </c>
      <c r="U96" s="28" t="s">
        <v>105</v>
      </c>
    </row>
    <row r="97" spans="18:21" x14ac:dyDescent="0.25">
      <c r="R97" s="28" t="s">
        <v>98</v>
      </c>
      <c r="S97" s="28" t="s">
        <v>232</v>
      </c>
      <c r="T97" s="27">
        <v>6</v>
      </c>
      <c r="U97" s="28" t="s">
        <v>105</v>
      </c>
    </row>
    <row r="98" spans="18:21" x14ac:dyDescent="0.25">
      <c r="R98" s="28" t="s">
        <v>98</v>
      </c>
      <c r="S98" s="28" t="s">
        <v>233</v>
      </c>
      <c r="T98" s="27">
        <v>6</v>
      </c>
      <c r="U98" s="28" t="s">
        <v>105</v>
      </c>
    </row>
    <row r="99" spans="18:21" x14ac:dyDescent="0.25">
      <c r="R99" s="28" t="s">
        <v>98</v>
      </c>
      <c r="S99" s="28" t="s">
        <v>234</v>
      </c>
      <c r="T99" s="27">
        <v>6</v>
      </c>
      <c r="U99" s="28" t="s">
        <v>105</v>
      </c>
    </row>
    <row r="100" spans="18:21" x14ac:dyDescent="0.25">
      <c r="R100" s="28" t="s">
        <v>98</v>
      </c>
      <c r="S100" s="28" t="s">
        <v>235</v>
      </c>
      <c r="T100" s="27">
        <v>6</v>
      </c>
      <c r="U100" s="28" t="s">
        <v>105</v>
      </c>
    </row>
    <row r="101" spans="18:21" x14ac:dyDescent="0.25">
      <c r="R101" s="28" t="s">
        <v>98</v>
      </c>
      <c r="S101" s="28" t="s">
        <v>236</v>
      </c>
      <c r="T101" s="27">
        <v>6</v>
      </c>
      <c r="U101" s="28" t="s">
        <v>105</v>
      </c>
    </row>
    <row r="102" spans="18:21" x14ac:dyDescent="0.25">
      <c r="R102" s="28" t="s">
        <v>98</v>
      </c>
      <c r="S102" s="28" t="s">
        <v>88</v>
      </c>
      <c r="T102" s="27">
        <v>6</v>
      </c>
      <c r="U102" s="28" t="s">
        <v>105</v>
      </c>
    </row>
    <row r="103" spans="18:21" x14ac:dyDescent="0.25">
      <c r="R103" s="28" t="s">
        <v>99</v>
      </c>
      <c r="S103" s="28" t="s">
        <v>231</v>
      </c>
      <c r="T103" s="27">
        <v>6</v>
      </c>
      <c r="U103" s="28" t="s">
        <v>105</v>
      </c>
    </row>
    <row r="104" spans="18:21" x14ac:dyDescent="0.25">
      <c r="R104" s="28" t="s">
        <v>99</v>
      </c>
      <c r="S104" s="28" t="s">
        <v>232</v>
      </c>
      <c r="T104" s="27">
        <v>6</v>
      </c>
      <c r="U104" s="28" t="s">
        <v>105</v>
      </c>
    </row>
    <row r="105" spans="18:21" x14ac:dyDescent="0.25">
      <c r="R105" s="28" t="s">
        <v>99</v>
      </c>
      <c r="S105" s="28" t="s">
        <v>233</v>
      </c>
      <c r="T105" s="27">
        <v>6</v>
      </c>
      <c r="U105" s="28" t="s">
        <v>105</v>
      </c>
    </row>
    <row r="106" spans="18:21" x14ac:dyDescent="0.25">
      <c r="R106" s="28" t="s">
        <v>99</v>
      </c>
      <c r="S106" s="28" t="s">
        <v>234</v>
      </c>
      <c r="T106" s="27">
        <v>6</v>
      </c>
      <c r="U106" s="28" t="s">
        <v>105</v>
      </c>
    </row>
    <row r="107" spans="18:21" x14ac:dyDescent="0.25">
      <c r="R107" s="28" t="s">
        <v>99</v>
      </c>
      <c r="S107" s="28" t="s">
        <v>235</v>
      </c>
      <c r="T107" s="27">
        <v>6</v>
      </c>
      <c r="U107" s="28" t="s">
        <v>105</v>
      </c>
    </row>
    <row r="108" spans="18:21" x14ac:dyDescent="0.25">
      <c r="R108" s="28" t="s">
        <v>99</v>
      </c>
      <c r="S108" s="28" t="s">
        <v>236</v>
      </c>
      <c r="T108" s="27">
        <v>6</v>
      </c>
      <c r="U108" s="28" t="s">
        <v>105</v>
      </c>
    </row>
    <row r="109" spans="18:21" x14ac:dyDescent="0.25">
      <c r="R109" s="28" t="s">
        <v>99</v>
      </c>
      <c r="S109" s="28" t="s">
        <v>88</v>
      </c>
      <c r="T109" s="27">
        <v>6</v>
      </c>
      <c r="U109" s="28" t="s">
        <v>105</v>
      </c>
    </row>
    <row r="110" spans="18:21" x14ac:dyDescent="0.25">
      <c r="R110" s="28" t="s">
        <v>100</v>
      </c>
      <c r="S110" s="28" t="s">
        <v>231</v>
      </c>
      <c r="T110" s="27">
        <v>6</v>
      </c>
      <c r="U110" s="28" t="s">
        <v>105</v>
      </c>
    </row>
    <row r="111" spans="18:21" x14ac:dyDescent="0.25">
      <c r="R111" s="28" t="s">
        <v>100</v>
      </c>
      <c r="S111" s="28" t="s">
        <v>232</v>
      </c>
      <c r="T111" s="27">
        <v>6</v>
      </c>
      <c r="U111" s="28" t="s">
        <v>105</v>
      </c>
    </row>
    <row r="112" spans="18:21" x14ac:dyDescent="0.25">
      <c r="R112" s="28" t="s">
        <v>100</v>
      </c>
      <c r="S112" s="28" t="s">
        <v>233</v>
      </c>
      <c r="T112" s="27">
        <v>6</v>
      </c>
      <c r="U112" s="28" t="s">
        <v>105</v>
      </c>
    </row>
    <row r="113" spans="18:21" x14ac:dyDescent="0.25">
      <c r="R113" s="28" t="s">
        <v>100</v>
      </c>
      <c r="S113" s="28" t="s">
        <v>234</v>
      </c>
      <c r="T113" s="27">
        <v>6</v>
      </c>
      <c r="U113" s="28" t="s">
        <v>105</v>
      </c>
    </row>
    <row r="114" spans="18:21" x14ac:dyDescent="0.25">
      <c r="R114" s="28" t="s">
        <v>100</v>
      </c>
      <c r="S114" s="28" t="s">
        <v>235</v>
      </c>
      <c r="T114" s="27">
        <v>6</v>
      </c>
      <c r="U114" s="28" t="s">
        <v>105</v>
      </c>
    </row>
    <row r="115" spans="18:21" x14ac:dyDescent="0.25">
      <c r="R115" s="28" t="s">
        <v>100</v>
      </c>
      <c r="S115" s="28" t="s">
        <v>236</v>
      </c>
      <c r="T115" s="27">
        <v>6</v>
      </c>
      <c r="U115" s="28" t="s">
        <v>105</v>
      </c>
    </row>
    <row r="116" spans="18:21" x14ac:dyDescent="0.25">
      <c r="R116" s="28" t="s">
        <v>100</v>
      </c>
      <c r="S116" s="28" t="s">
        <v>88</v>
      </c>
      <c r="T116" s="27">
        <v>6</v>
      </c>
      <c r="U116" s="28" t="s">
        <v>105</v>
      </c>
    </row>
    <row r="117" spans="18:21" x14ac:dyDescent="0.25">
      <c r="R117" s="28" t="s">
        <v>88</v>
      </c>
      <c r="S117" s="28" t="s">
        <v>231</v>
      </c>
      <c r="T117" s="27">
        <v>6</v>
      </c>
      <c r="U117" s="28" t="s">
        <v>104</v>
      </c>
    </row>
    <row r="118" spans="18:21" x14ac:dyDescent="0.25">
      <c r="R118" s="37" t="s">
        <v>88</v>
      </c>
      <c r="S118" s="37" t="s">
        <v>232</v>
      </c>
      <c r="T118" s="27">
        <v>6</v>
      </c>
      <c r="U118" s="28" t="s">
        <v>104</v>
      </c>
    </row>
    <row r="119" spans="18:21" x14ac:dyDescent="0.25">
      <c r="R119" s="28" t="s">
        <v>88</v>
      </c>
      <c r="S119" s="28" t="s">
        <v>233</v>
      </c>
      <c r="T119" s="27">
        <v>6</v>
      </c>
      <c r="U119" s="28" t="s">
        <v>104</v>
      </c>
    </row>
    <row r="120" spans="18:21" x14ac:dyDescent="0.25">
      <c r="R120" s="28" t="s">
        <v>88</v>
      </c>
      <c r="S120" s="28" t="s">
        <v>234</v>
      </c>
      <c r="T120" s="27">
        <v>6</v>
      </c>
      <c r="U120" s="28" t="s">
        <v>104</v>
      </c>
    </row>
    <row r="121" spans="18:21" x14ac:dyDescent="0.25">
      <c r="R121" s="28" t="s">
        <v>88</v>
      </c>
      <c r="S121" s="28" t="s">
        <v>235</v>
      </c>
      <c r="T121" s="27">
        <v>6</v>
      </c>
      <c r="U121" s="28" t="s">
        <v>104</v>
      </c>
    </row>
    <row r="122" spans="18:21" x14ac:dyDescent="0.25">
      <c r="R122" s="28" t="s">
        <v>88</v>
      </c>
      <c r="S122" s="28" t="s">
        <v>236</v>
      </c>
      <c r="T122" s="27">
        <v>6</v>
      </c>
      <c r="U122" s="28" t="s">
        <v>104</v>
      </c>
    </row>
    <row r="123" spans="18:21" x14ac:dyDescent="0.25">
      <c r="R123" s="28" t="s">
        <v>88</v>
      </c>
      <c r="S123" s="28" t="s">
        <v>88</v>
      </c>
      <c r="T123" s="27">
        <v>6</v>
      </c>
      <c r="U123" s="28" t="s">
        <v>104</v>
      </c>
    </row>
    <row r="124" spans="18:21" x14ac:dyDescent="0.25">
      <c r="R124" s="28" t="s">
        <v>97</v>
      </c>
      <c r="S124" s="28" t="s">
        <v>231</v>
      </c>
      <c r="T124" s="27">
        <v>6</v>
      </c>
      <c r="U124" s="28" t="s">
        <v>104</v>
      </c>
    </row>
    <row r="125" spans="18:21" x14ac:dyDescent="0.25">
      <c r="R125" s="28" t="s">
        <v>97</v>
      </c>
      <c r="S125" s="28" t="s">
        <v>232</v>
      </c>
      <c r="T125" s="27">
        <v>6</v>
      </c>
      <c r="U125" s="28" t="s">
        <v>104</v>
      </c>
    </row>
    <row r="126" spans="18:21" x14ac:dyDescent="0.25">
      <c r="R126" s="28" t="s">
        <v>97</v>
      </c>
      <c r="S126" s="28" t="s">
        <v>233</v>
      </c>
      <c r="T126" s="27">
        <v>6</v>
      </c>
      <c r="U126" s="28" t="s">
        <v>104</v>
      </c>
    </row>
    <row r="127" spans="18:21" x14ac:dyDescent="0.25">
      <c r="R127" s="28" t="s">
        <v>97</v>
      </c>
      <c r="S127" s="28" t="s">
        <v>234</v>
      </c>
      <c r="T127" s="27">
        <v>6</v>
      </c>
      <c r="U127" s="28" t="s">
        <v>104</v>
      </c>
    </row>
    <row r="128" spans="18:21" x14ac:dyDescent="0.25">
      <c r="R128" s="28" t="s">
        <v>97</v>
      </c>
      <c r="S128" s="28" t="s">
        <v>235</v>
      </c>
      <c r="T128" s="27">
        <v>6</v>
      </c>
      <c r="U128" s="28" t="s">
        <v>104</v>
      </c>
    </row>
    <row r="129" spans="18:21" x14ac:dyDescent="0.25">
      <c r="R129" s="28" t="s">
        <v>97</v>
      </c>
      <c r="S129" s="28" t="s">
        <v>236</v>
      </c>
      <c r="T129" s="27">
        <v>6</v>
      </c>
      <c r="U129" s="28" t="s">
        <v>104</v>
      </c>
    </row>
    <row r="130" spans="18:21" x14ac:dyDescent="0.25">
      <c r="R130" s="28" t="s">
        <v>97</v>
      </c>
      <c r="S130" s="28" t="s">
        <v>88</v>
      </c>
      <c r="T130" s="27">
        <v>6</v>
      </c>
      <c r="U130" s="28" t="s">
        <v>104</v>
      </c>
    </row>
    <row r="131" spans="18:21" x14ac:dyDescent="0.25">
      <c r="R131" s="28" t="s">
        <v>98</v>
      </c>
      <c r="S131" s="28" t="s">
        <v>231</v>
      </c>
      <c r="T131" s="27">
        <v>6</v>
      </c>
      <c r="U131" s="28" t="s">
        <v>104</v>
      </c>
    </row>
    <row r="132" spans="18:21" x14ac:dyDescent="0.25">
      <c r="R132" s="28" t="s">
        <v>98</v>
      </c>
      <c r="S132" s="28" t="s">
        <v>232</v>
      </c>
      <c r="T132" s="27">
        <v>6</v>
      </c>
      <c r="U132" s="28" t="s">
        <v>104</v>
      </c>
    </row>
    <row r="133" spans="18:21" x14ac:dyDescent="0.25">
      <c r="R133" s="28" t="s">
        <v>98</v>
      </c>
      <c r="S133" s="28" t="s">
        <v>233</v>
      </c>
      <c r="T133" s="27">
        <v>6</v>
      </c>
      <c r="U133" s="28" t="s">
        <v>104</v>
      </c>
    </row>
    <row r="134" spans="18:21" x14ac:dyDescent="0.25">
      <c r="R134" s="28" t="s">
        <v>98</v>
      </c>
      <c r="S134" s="28" t="s">
        <v>234</v>
      </c>
      <c r="T134" s="27">
        <v>6</v>
      </c>
      <c r="U134" s="28" t="s">
        <v>104</v>
      </c>
    </row>
    <row r="135" spans="18:21" x14ac:dyDescent="0.25">
      <c r="R135" s="28" t="s">
        <v>98</v>
      </c>
      <c r="S135" s="28" t="s">
        <v>235</v>
      </c>
      <c r="T135" s="27">
        <v>6</v>
      </c>
      <c r="U135" s="28" t="s">
        <v>104</v>
      </c>
    </row>
    <row r="136" spans="18:21" x14ac:dyDescent="0.25">
      <c r="R136" s="28" t="s">
        <v>98</v>
      </c>
      <c r="S136" s="28" t="s">
        <v>236</v>
      </c>
      <c r="T136" s="27">
        <v>6</v>
      </c>
      <c r="U136" s="28" t="s">
        <v>104</v>
      </c>
    </row>
    <row r="137" spans="18:21" x14ac:dyDescent="0.25">
      <c r="R137" s="28" t="s">
        <v>98</v>
      </c>
      <c r="S137" s="28" t="s">
        <v>88</v>
      </c>
      <c r="T137" s="27">
        <v>6</v>
      </c>
      <c r="U137" s="28" t="s">
        <v>104</v>
      </c>
    </row>
    <row r="138" spans="18:21" x14ac:dyDescent="0.25">
      <c r="R138" s="28" t="s">
        <v>99</v>
      </c>
      <c r="S138" s="28" t="s">
        <v>231</v>
      </c>
      <c r="T138" s="27">
        <v>6</v>
      </c>
      <c r="U138" s="28" t="s">
        <v>104</v>
      </c>
    </row>
    <row r="139" spans="18:21" x14ac:dyDescent="0.25">
      <c r="R139" s="28" t="s">
        <v>99</v>
      </c>
      <c r="S139" s="28" t="s">
        <v>232</v>
      </c>
      <c r="T139" s="27">
        <v>6</v>
      </c>
      <c r="U139" s="28" t="s">
        <v>104</v>
      </c>
    </row>
    <row r="140" spans="18:21" x14ac:dyDescent="0.25">
      <c r="R140" s="28" t="s">
        <v>99</v>
      </c>
      <c r="S140" s="28" t="s">
        <v>233</v>
      </c>
      <c r="T140" s="27">
        <v>6</v>
      </c>
      <c r="U140" s="28" t="s">
        <v>104</v>
      </c>
    </row>
    <row r="141" spans="18:21" x14ac:dyDescent="0.25">
      <c r="R141" s="28" t="s">
        <v>99</v>
      </c>
      <c r="S141" s="28" t="s">
        <v>234</v>
      </c>
      <c r="T141" s="27">
        <v>6</v>
      </c>
      <c r="U141" s="28" t="s">
        <v>104</v>
      </c>
    </row>
    <row r="142" spans="18:21" x14ac:dyDescent="0.25">
      <c r="R142" s="28" t="s">
        <v>99</v>
      </c>
      <c r="S142" s="28" t="s">
        <v>235</v>
      </c>
      <c r="T142" s="27">
        <v>6</v>
      </c>
      <c r="U142" s="28" t="s">
        <v>104</v>
      </c>
    </row>
    <row r="143" spans="18:21" x14ac:dyDescent="0.25">
      <c r="R143" s="28" t="s">
        <v>99</v>
      </c>
      <c r="S143" s="28" t="s">
        <v>236</v>
      </c>
      <c r="T143" s="27">
        <v>6</v>
      </c>
      <c r="U143" s="28" t="s">
        <v>104</v>
      </c>
    </row>
    <row r="144" spans="18:21" x14ac:dyDescent="0.25">
      <c r="R144" s="28" t="s">
        <v>99</v>
      </c>
      <c r="S144" s="28" t="s">
        <v>88</v>
      </c>
      <c r="T144" s="27">
        <v>6</v>
      </c>
      <c r="U144" s="28" t="s">
        <v>104</v>
      </c>
    </row>
    <row r="145" spans="18:21" x14ac:dyDescent="0.25">
      <c r="R145" s="28" t="s">
        <v>100</v>
      </c>
      <c r="S145" s="28" t="s">
        <v>231</v>
      </c>
      <c r="T145" s="27">
        <v>6</v>
      </c>
      <c r="U145" s="28" t="s">
        <v>104</v>
      </c>
    </row>
    <row r="146" spans="18:21" x14ac:dyDescent="0.25">
      <c r="R146" s="28" t="s">
        <v>100</v>
      </c>
      <c r="S146" s="28" t="s">
        <v>232</v>
      </c>
      <c r="T146" s="27">
        <v>6</v>
      </c>
      <c r="U146" s="28" t="s">
        <v>104</v>
      </c>
    </row>
    <row r="147" spans="18:21" x14ac:dyDescent="0.25">
      <c r="R147" s="28" t="s">
        <v>100</v>
      </c>
      <c r="S147" s="28" t="s">
        <v>233</v>
      </c>
      <c r="T147" s="27">
        <v>6</v>
      </c>
      <c r="U147" s="28" t="s">
        <v>104</v>
      </c>
    </row>
    <row r="148" spans="18:21" x14ac:dyDescent="0.25">
      <c r="R148" s="28" t="s">
        <v>100</v>
      </c>
      <c r="S148" s="28" t="s">
        <v>234</v>
      </c>
      <c r="T148" s="27">
        <v>6</v>
      </c>
      <c r="U148" s="28" t="s">
        <v>104</v>
      </c>
    </row>
    <row r="149" spans="18:21" x14ac:dyDescent="0.25">
      <c r="R149" s="28" t="s">
        <v>100</v>
      </c>
      <c r="S149" s="28" t="s">
        <v>235</v>
      </c>
      <c r="T149" s="27">
        <v>6</v>
      </c>
      <c r="U149" s="28" t="s">
        <v>104</v>
      </c>
    </row>
    <row r="150" spans="18:21" x14ac:dyDescent="0.25">
      <c r="R150" s="28" t="s">
        <v>100</v>
      </c>
      <c r="S150" s="28" t="s">
        <v>236</v>
      </c>
      <c r="T150" s="27">
        <v>6</v>
      </c>
      <c r="U150" s="28" t="s">
        <v>104</v>
      </c>
    </row>
    <row r="151" spans="18:21" x14ac:dyDescent="0.25">
      <c r="R151" s="28" t="s">
        <v>100</v>
      </c>
      <c r="S151" s="28" t="s">
        <v>88</v>
      </c>
      <c r="T151" s="27">
        <v>6</v>
      </c>
      <c r="U151" s="28" t="s">
        <v>104</v>
      </c>
    </row>
    <row r="152" spans="18:21" x14ac:dyDescent="0.25">
      <c r="R152" s="27"/>
      <c r="S152" s="27"/>
      <c r="T152" s="28"/>
      <c r="U152" s="28"/>
    </row>
    <row r="153" spans="18:21" x14ac:dyDescent="0.25">
      <c r="R153" s="27"/>
      <c r="S153" s="27"/>
      <c r="T153" s="28"/>
      <c r="U153" s="28"/>
    </row>
    <row r="154" spans="18:21" x14ac:dyDescent="0.25">
      <c r="R154" s="27"/>
      <c r="S154" s="27"/>
      <c r="T154" s="28"/>
      <c r="U154" s="28"/>
    </row>
    <row r="155" spans="18:21" x14ac:dyDescent="0.25">
      <c r="R155" s="27"/>
      <c r="S155" s="27"/>
      <c r="T155" s="28"/>
      <c r="U155" s="28"/>
    </row>
    <row r="156" spans="18:21" x14ac:dyDescent="0.25">
      <c r="R156" s="27"/>
      <c r="S156" s="27"/>
      <c r="T156" s="28"/>
      <c r="U156" s="28"/>
    </row>
    <row r="157" spans="18:21" x14ac:dyDescent="0.25">
      <c r="R157" s="27"/>
      <c r="S157" s="27"/>
      <c r="T157" s="28"/>
      <c r="U157" s="28"/>
    </row>
    <row r="158" spans="18:21" x14ac:dyDescent="0.25">
      <c r="R158" s="27"/>
      <c r="S158" s="27"/>
      <c r="T158" s="28"/>
      <c r="U158" s="28"/>
    </row>
    <row r="159" spans="18:21" x14ac:dyDescent="0.25">
      <c r="R159" s="27"/>
      <c r="S159" s="27"/>
      <c r="T159" s="28"/>
      <c r="U159" s="28"/>
    </row>
    <row r="160" spans="18:21" x14ac:dyDescent="0.25">
      <c r="R160" s="27"/>
      <c r="S160" s="27"/>
      <c r="T160" s="28"/>
      <c r="U160" s="28"/>
    </row>
    <row r="161" spans="18:21" x14ac:dyDescent="0.25">
      <c r="R161" s="27"/>
      <c r="S161" s="27"/>
      <c r="T161" s="28"/>
      <c r="U161" s="28"/>
    </row>
    <row r="162" spans="18:21" x14ac:dyDescent="0.25">
      <c r="R162" s="28"/>
      <c r="S162" s="28"/>
      <c r="T162" s="28"/>
      <c r="U162" s="28"/>
    </row>
    <row r="163" spans="18:21" x14ac:dyDescent="0.25">
      <c r="R163" s="28"/>
      <c r="S163" s="28"/>
      <c r="T163" s="28"/>
      <c r="U163" s="28"/>
    </row>
    <row r="164" spans="18:21" x14ac:dyDescent="0.25">
      <c r="R164" s="28"/>
      <c r="S164" s="28"/>
      <c r="T164" s="28"/>
      <c r="U164" s="28"/>
    </row>
    <row r="165" spans="18:21" x14ac:dyDescent="0.25">
      <c r="R165" s="28"/>
      <c r="S165" s="28"/>
      <c r="T165" s="28"/>
      <c r="U165" s="28"/>
    </row>
    <row r="166" spans="18:21" x14ac:dyDescent="0.25">
      <c r="R166" s="28"/>
      <c r="S166" s="28"/>
      <c r="T166" s="28"/>
      <c r="U166" s="28"/>
    </row>
    <row r="167" spans="18:21" x14ac:dyDescent="0.25">
      <c r="R167" s="28"/>
      <c r="S167" s="28"/>
      <c r="T167" s="28"/>
      <c r="U167" s="28"/>
    </row>
    <row r="168" spans="18:21" x14ac:dyDescent="0.25">
      <c r="R168" s="28"/>
      <c r="S168" s="28"/>
      <c r="T168" s="28"/>
      <c r="U168" s="28"/>
    </row>
    <row r="169" spans="18:21" x14ac:dyDescent="0.25">
      <c r="R169" s="28"/>
      <c r="S169" s="28"/>
      <c r="T169" s="28"/>
      <c r="U169" s="28"/>
    </row>
    <row r="170" spans="18:21" x14ac:dyDescent="0.25">
      <c r="R170" s="28"/>
      <c r="S170" s="28"/>
      <c r="T170" s="28"/>
      <c r="U170" s="28"/>
    </row>
    <row r="171" spans="18:21" x14ac:dyDescent="0.25">
      <c r="R171" s="28"/>
      <c r="S171" s="28"/>
      <c r="T171" s="28"/>
      <c r="U171" s="28"/>
    </row>
    <row r="172" spans="18:21" x14ac:dyDescent="0.25">
      <c r="R172" s="28"/>
      <c r="S172" s="28"/>
      <c r="T172" s="28"/>
      <c r="U172" s="28"/>
    </row>
    <row r="173" spans="18:21" x14ac:dyDescent="0.25">
      <c r="R173" s="28"/>
      <c r="S173" s="28"/>
      <c r="T173" s="28"/>
      <c r="U173" s="28"/>
    </row>
    <row r="174" spans="18:21" x14ac:dyDescent="0.25">
      <c r="R174" s="28"/>
      <c r="S174" s="28"/>
      <c r="T174" s="28"/>
      <c r="U174" s="28"/>
    </row>
    <row r="175" spans="18:21" x14ac:dyDescent="0.25">
      <c r="R175" s="28"/>
      <c r="S175" s="28"/>
      <c r="T175" s="28"/>
      <c r="U175" s="28"/>
    </row>
    <row r="176" spans="18:21" x14ac:dyDescent="0.25">
      <c r="R176" s="28"/>
      <c r="S176" s="28"/>
      <c r="T176" s="28"/>
      <c r="U176" s="28"/>
    </row>
    <row r="177" spans="18:21" x14ac:dyDescent="0.25">
      <c r="R177" s="28"/>
      <c r="S177" s="28"/>
      <c r="T177" s="28"/>
      <c r="U177" s="28"/>
    </row>
    <row r="178" spans="18:21" x14ac:dyDescent="0.25">
      <c r="R178" s="28"/>
      <c r="S178" s="28"/>
      <c r="T178" s="28"/>
      <c r="U178" s="28"/>
    </row>
    <row r="179" spans="18:21" x14ac:dyDescent="0.25">
      <c r="R179" s="28"/>
      <c r="S179" s="28"/>
      <c r="T179" s="28"/>
      <c r="U179" s="28"/>
    </row>
    <row r="180" spans="18:21" x14ac:dyDescent="0.25">
      <c r="R180" s="28"/>
      <c r="S180" s="28"/>
      <c r="T180" s="28"/>
      <c r="U180" s="28"/>
    </row>
    <row r="181" spans="18:21" x14ac:dyDescent="0.25">
      <c r="R181" s="28"/>
      <c r="S181" s="28"/>
      <c r="T181" s="28"/>
      <c r="U181" s="28"/>
    </row>
    <row r="182" spans="18:21" x14ac:dyDescent="0.25">
      <c r="R182" s="28"/>
      <c r="S182" s="28"/>
      <c r="T182" s="28"/>
      <c r="U182" s="28"/>
    </row>
    <row r="183" spans="18:21" x14ac:dyDescent="0.25">
      <c r="R183" s="28"/>
      <c r="S183" s="28"/>
      <c r="T183" s="28"/>
      <c r="U183" s="28"/>
    </row>
    <row r="184" spans="18:21" x14ac:dyDescent="0.25">
      <c r="R184" s="28"/>
      <c r="S184" s="28"/>
      <c r="T184" s="28"/>
      <c r="U184" s="28"/>
    </row>
    <row r="185" spans="18:21" x14ac:dyDescent="0.25">
      <c r="R185" s="28"/>
      <c r="S185" s="28"/>
      <c r="T185" s="28"/>
      <c r="U185" s="28"/>
    </row>
    <row r="186" spans="18:21" x14ac:dyDescent="0.25">
      <c r="R186" s="28"/>
      <c r="S186" s="28"/>
      <c r="T186" s="28"/>
      <c r="U186" s="28"/>
    </row>
    <row r="187" spans="18:21" x14ac:dyDescent="0.25">
      <c r="R187" s="28"/>
      <c r="S187" s="28"/>
      <c r="T187" s="28"/>
      <c r="U187" s="28"/>
    </row>
    <row r="188" spans="18:21" x14ac:dyDescent="0.25">
      <c r="R188" s="28"/>
      <c r="S188" s="28"/>
      <c r="T188" s="28"/>
      <c r="U188" s="28"/>
    </row>
    <row r="189" spans="18:21" x14ac:dyDescent="0.25">
      <c r="R189" s="28"/>
      <c r="S189" s="28"/>
      <c r="T189" s="28"/>
      <c r="U189" s="28"/>
    </row>
    <row r="190" spans="18:21" x14ac:dyDescent="0.25">
      <c r="R190" s="28"/>
      <c r="S190" s="28"/>
      <c r="T190" s="28"/>
      <c r="U190" s="28"/>
    </row>
    <row r="191" spans="18:21" x14ac:dyDescent="0.25">
      <c r="R191" s="28"/>
      <c r="S191" s="28"/>
      <c r="T191" s="28"/>
      <c r="U191" s="28"/>
    </row>
    <row r="192" spans="18:21" x14ac:dyDescent="0.25">
      <c r="R192" s="28"/>
      <c r="S192" s="28"/>
      <c r="T192" s="28"/>
      <c r="U192" s="28"/>
    </row>
    <row r="193" spans="18:21" x14ac:dyDescent="0.25">
      <c r="R193" s="28"/>
      <c r="S193" s="28"/>
      <c r="T193" s="28"/>
      <c r="U193" s="28"/>
    </row>
    <row r="194" spans="18:21" x14ac:dyDescent="0.25">
      <c r="R194" s="28"/>
      <c r="S194" s="28"/>
      <c r="T194" s="28"/>
      <c r="U194" s="28"/>
    </row>
    <row r="195" spans="18:21" x14ac:dyDescent="0.25">
      <c r="R195" s="28"/>
      <c r="S195" s="28"/>
      <c r="T195" s="28"/>
      <c r="U195" s="28"/>
    </row>
    <row r="196" spans="18:21" x14ac:dyDescent="0.25">
      <c r="R196" s="28"/>
      <c r="S196" s="28"/>
      <c r="T196" s="28"/>
      <c r="U196" s="28"/>
    </row>
    <row r="197" spans="18:21" x14ac:dyDescent="0.25">
      <c r="R197" s="28"/>
      <c r="S197" s="28"/>
      <c r="T197" s="28"/>
      <c r="U197" s="28"/>
    </row>
    <row r="198" spans="18:21" x14ac:dyDescent="0.25">
      <c r="R198" s="28"/>
      <c r="S198" s="28"/>
      <c r="T198" s="28"/>
      <c r="U198" s="28"/>
    </row>
    <row r="199" spans="18:21" x14ac:dyDescent="0.25">
      <c r="R199" s="28"/>
      <c r="S199" s="28"/>
      <c r="T199" s="28"/>
      <c r="U199" s="28"/>
    </row>
    <row r="200" spans="18:21" x14ac:dyDescent="0.25">
      <c r="R200" s="28"/>
      <c r="S200" s="28"/>
      <c r="T200" s="28"/>
      <c r="U200" s="28"/>
    </row>
    <row r="201" spans="18:21" x14ac:dyDescent="0.25">
      <c r="R201" s="28"/>
      <c r="S201" s="28"/>
      <c r="T201" s="28"/>
      <c r="U201" s="28"/>
    </row>
    <row r="202" spans="18:21" x14ac:dyDescent="0.25">
      <c r="R202" s="28"/>
      <c r="S202" s="28"/>
      <c r="T202" s="28"/>
      <c r="U202" s="28"/>
    </row>
    <row r="203" spans="18:21" x14ac:dyDescent="0.25">
      <c r="R203" s="28"/>
      <c r="S203" s="28"/>
      <c r="T203" s="28"/>
      <c r="U203" s="28"/>
    </row>
    <row r="204" spans="18:21" x14ac:dyDescent="0.25">
      <c r="R204" s="28"/>
      <c r="S204" s="28"/>
      <c r="T204" s="28"/>
      <c r="U204" s="28"/>
    </row>
    <row r="205" spans="18:21" x14ac:dyDescent="0.25">
      <c r="R205" s="28"/>
      <c r="S205" s="28"/>
      <c r="T205" s="28"/>
      <c r="U205" s="28"/>
    </row>
    <row r="206" spans="18:21" x14ac:dyDescent="0.25">
      <c r="R206" s="28"/>
      <c r="S206" s="28"/>
      <c r="T206" s="28"/>
      <c r="U206" s="28"/>
    </row>
    <row r="207" spans="18:21" x14ac:dyDescent="0.25">
      <c r="R207" s="28"/>
      <c r="S207" s="28"/>
      <c r="T207" s="28"/>
      <c r="U207" s="28"/>
    </row>
    <row r="208" spans="18:21" x14ac:dyDescent="0.25">
      <c r="R208" s="28"/>
      <c r="S208" s="28"/>
      <c r="T208" s="28"/>
      <c r="U208" s="28"/>
    </row>
    <row r="209" spans="18:21" x14ac:dyDescent="0.25">
      <c r="R209" s="28"/>
      <c r="S209" s="28"/>
      <c r="T209" s="28"/>
      <c r="U209" s="28"/>
    </row>
    <row r="210" spans="18:21" x14ac:dyDescent="0.25">
      <c r="R210" s="28"/>
      <c r="S210" s="28"/>
      <c r="T210" s="28"/>
      <c r="U210" s="28"/>
    </row>
    <row r="211" spans="18:21" x14ac:dyDescent="0.25">
      <c r="R211" s="28"/>
      <c r="S211" s="28"/>
      <c r="T211" s="28"/>
      <c r="U211" s="28"/>
    </row>
    <row r="212" spans="18:21" x14ac:dyDescent="0.25">
      <c r="R212" s="28"/>
      <c r="S212" s="28"/>
      <c r="T212" s="28"/>
      <c r="U212" s="28"/>
    </row>
    <row r="213" spans="18:21" x14ac:dyDescent="0.25">
      <c r="R213" s="28"/>
      <c r="S213" s="28"/>
      <c r="T213" s="28"/>
      <c r="U213" s="28"/>
    </row>
    <row r="214" spans="18:21" x14ac:dyDescent="0.25">
      <c r="R214" s="28"/>
      <c r="S214" s="28"/>
      <c r="T214" s="28"/>
      <c r="U214" s="28"/>
    </row>
    <row r="215" spans="18:21" x14ac:dyDescent="0.25">
      <c r="R215" s="28"/>
      <c r="S215" s="28"/>
      <c r="T215" s="28"/>
      <c r="U215" s="28"/>
    </row>
    <row r="216" spans="18:21" x14ac:dyDescent="0.25">
      <c r="R216" s="28"/>
      <c r="S216" s="28"/>
      <c r="T216" s="28"/>
      <c r="U216" s="28"/>
    </row>
    <row r="217" spans="18:21" x14ac:dyDescent="0.25">
      <c r="R217" s="28"/>
      <c r="S217" s="28"/>
      <c r="T217" s="28"/>
      <c r="U217" s="28"/>
    </row>
    <row r="218" spans="18:21" x14ac:dyDescent="0.25">
      <c r="R218" s="28"/>
      <c r="S218" s="28"/>
      <c r="T218" s="28"/>
      <c r="U218" s="28"/>
    </row>
    <row r="219" spans="18:21" x14ac:dyDescent="0.25">
      <c r="R219" s="28"/>
      <c r="S219" s="28"/>
      <c r="T219" s="28"/>
      <c r="U219" s="28"/>
    </row>
    <row r="220" spans="18:21" x14ac:dyDescent="0.25">
      <c r="R220" s="28"/>
      <c r="S220" s="28"/>
      <c r="T220" s="28"/>
      <c r="U220" s="28"/>
    </row>
    <row r="221" spans="18:21" x14ac:dyDescent="0.25">
      <c r="R221" s="28"/>
      <c r="S221" s="28"/>
      <c r="T221" s="28"/>
      <c r="U221" s="28"/>
    </row>
    <row r="222" spans="18:21" x14ac:dyDescent="0.25">
      <c r="R222" s="28"/>
      <c r="S222" s="28"/>
      <c r="T222" s="28"/>
      <c r="U222" s="28"/>
    </row>
    <row r="223" spans="18:21" x14ac:dyDescent="0.25">
      <c r="R223" s="28"/>
      <c r="S223" s="28"/>
      <c r="T223" s="28"/>
      <c r="U223" s="28"/>
    </row>
    <row r="224" spans="18:21" x14ac:dyDescent="0.25">
      <c r="R224" s="28"/>
      <c r="S224" s="28"/>
      <c r="T224" s="28"/>
      <c r="U224" s="28"/>
    </row>
    <row r="225" spans="18:21" x14ac:dyDescent="0.25">
      <c r="R225" s="28"/>
      <c r="S225" s="28"/>
      <c r="T225" s="28"/>
      <c r="U225" s="28"/>
    </row>
    <row r="226" spans="18:21" x14ac:dyDescent="0.25">
      <c r="R226" s="28"/>
      <c r="S226" s="28"/>
      <c r="T226" s="28"/>
      <c r="U226" s="28"/>
    </row>
    <row r="227" spans="18:21" x14ac:dyDescent="0.25">
      <c r="R227" s="28"/>
      <c r="S227" s="28"/>
      <c r="T227" s="28"/>
      <c r="U227" s="28"/>
    </row>
    <row r="228" spans="18:21" x14ac:dyDescent="0.25">
      <c r="R228" s="28"/>
      <c r="S228" s="28"/>
      <c r="T228" s="28"/>
      <c r="U228" s="28"/>
    </row>
    <row r="229" spans="18:21" x14ac:dyDescent="0.25">
      <c r="R229" s="28"/>
      <c r="S229" s="28"/>
      <c r="T229" s="28"/>
      <c r="U229" s="28"/>
    </row>
    <row r="230" spans="18:21" x14ac:dyDescent="0.25">
      <c r="R230" s="28"/>
      <c r="S230" s="28"/>
      <c r="T230" s="28"/>
      <c r="U230" s="28"/>
    </row>
    <row r="231" spans="18:21" x14ac:dyDescent="0.25">
      <c r="R231" s="28"/>
      <c r="S231" s="28"/>
      <c r="T231" s="28"/>
      <c r="U231" s="28"/>
    </row>
    <row r="232" spans="18:21" x14ac:dyDescent="0.25">
      <c r="R232" s="28"/>
      <c r="S232" s="28"/>
      <c r="T232" s="28"/>
      <c r="U232" s="28"/>
    </row>
    <row r="233" spans="18:21" x14ac:dyDescent="0.25">
      <c r="R233" s="28"/>
      <c r="S233" s="28"/>
      <c r="T233" s="28"/>
      <c r="U233" s="28"/>
    </row>
    <row r="234" spans="18:21" x14ac:dyDescent="0.25">
      <c r="R234" s="28"/>
      <c r="S234" s="28"/>
      <c r="T234" s="28"/>
      <c r="U234" s="28"/>
    </row>
    <row r="235" spans="18:21" x14ac:dyDescent="0.25">
      <c r="R235" s="28"/>
      <c r="S235" s="28"/>
      <c r="T235" s="28"/>
      <c r="U235" s="28"/>
    </row>
    <row r="236" spans="18:21" x14ac:dyDescent="0.25">
      <c r="R236" s="28"/>
      <c r="S236" s="28"/>
      <c r="T236" s="28"/>
      <c r="U236" s="28"/>
    </row>
    <row r="237" spans="18:21" x14ac:dyDescent="0.25">
      <c r="R237" s="28"/>
      <c r="S237" s="28"/>
      <c r="T237" s="28"/>
      <c r="U237" s="28"/>
    </row>
    <row r="238" spans="18:21" x14ac:dyDescent="0.25">
      <c r="R238" s="28"/>
      <c r="S238" s="28"/>
      <c r="T238" s="28"/>
      <c r="U238" s="28"/>
    </row>
    <row r="239" spans="18:21" x14ac:dyDescent="0.25">
      <c r="R239" s="28"/>
      <c r="S239" s="28"/>
      <c r="T239" s="28"/>
      <c r="U239" s="28"/>
    </row>
    <row r="240" spans="18:21" x14ac:dyDescent="0.25">
      <c r="R240" s="28"/>
      <c r="S240" s="28"/>
      <c r="T240" s="28"/>
      <c r="U240" s="28"/>
    </row>
    <row r="241" spans="18:21" x14ac:dyDescent="0.25">
      <c r="R241" s="28"/>
      <c r="S241" s="28"/>
      <c r="T241" s="28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106</v>
      </c>
      <c r="C2">
        <v>10</v>
      </c>
      <c r="D2" t="s">
        <v>107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106</v>
      </c>
      <c r="C3">
        <v>20</v>
      </c>
      <c r="D3" t="s">
        <v>240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106</v>
      </c>
      <c r="C4">
        <v>30</v>
      </c>
      <c r="D4" t="s">
        <v>237</v>
      </c>
      <c r="E4" t="s">
        <v>238</v>
      </c>
      <c r="F4">
        <v>0.23</v>
      </c>
      <c r="G4" t="s">
        <v>13</v>
      </c>
    </row>
    <row r="5" spans="1:7" x14ac:dyDescent="0.25">
      <c r="A5">
        <v>1</v>
      </c>
      <c r="B5" t="s">
        <v>106</v>
      </c>
      <c r="C5">
        <v>40</v>
      </c>
      <c r="D5" t="s">
        <v>101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106</v>
      </c>
      <c r="C6">
        <v>50</v>
      </c>
      <c r="D6" t="s">
        <v>16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106</v>
      </c>
      <c r="C7">
        <v>60</v>
      </c>
      <c r="D7" t="s">
        <v>230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106</v>
      </c>
      <c r="C8">
        <v>70</v>
      </c>
      <c r="D8" t="s">
        <v>229</v>
      </c>
      <c r="E8" t="s">
        <v>12</v>
      </c>
      <c r="F8">
        <v>0.08</v>
      </c>
      <c r="G8" t="s">
        <v>13</v>
      </c>
    </row>
    <row r="9" spans="1:7" x14ac:dyDescent="0.25">
      <c r="A9">
        <v>1</v>
      </c>
      <c r="B9" t="s">
        <v>106</v>
      </c>
      <c r="C9">
        <v>80</v>
      </c>
      <c r="D9" t="s">
        <v>228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106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106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106</v>
      </c>
      <c r="C12">
        <v>110</v>
      </c>
      <c r="D12" t="s">
        <v>103</v>
      </c>
      <c r="E12" t="s">
        <v>12</v>
      </c>
      <c r="F12">
        <v>0.55400000000000005</v>
      </c>
      <c r="G12" t="s">
        <v>13</v>
      </c>
    </row>
    <row r="13" spans="1:7" x14ac:dyDescent="0.25">
      <c r="A13">
        <v>1</v>
      </c>
      <c r="B13" t="s">
        <v>106</v>
      </c>
      <c r="C13">
        <v>120</v>
      </c>
      <c r="D13" t="s">
        <v>108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109</v>
      </c>
      <c r="C14">
        <v>10</v>
      </c>
      <c r="D14" t="s">
        <v>107</v>
      </c>
      <c r="E14" t="s">
        <v>14</v>
      </c>
      <c r="F14">
        <v>1.016</v>
      </c>
      <c r="G14" t="s">
        <v>15</v>
      </c>
    </row>
    <row r="15" spans="1:7" x14ac:dyDescent="0.25">
      <c r="A15">
        <v>2</v>
      </c>
      <c r="B15" t="s">
        <v>109</v>
      </c>
      <c r="C15">
        <v>20</v>
      </c>
      <c r="D15" t="s">
        <v>240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109</v>
      </c>
      <c r="C16">
        <v>30</v>
      </c>
      <c r="D16" t="s">
        <v>237</v>
      </c>
      <c r="E16" t="s">
        <v>238</v>
      </c>
      <c r="F16">
        <v>0.27300000000000002</v>
      </c>
      <c r="G16" t="s">
        <v>13</v>
      </c>
    </row>
    <row r="17" spans="1:7" x14ac:dyDescent="0.25">
      <c r="A17">
        <v>2</v>
      </c>
      <c r="B17" t="s">
        <v>109</v>
      </c>
      <c r="C17">
        <v>40</v>
      </c>
      <c r="D17" t="s">
        <v>101</v>
      </c>
      <c r="E17" t="s">
        <v>14</v>
      </c>
      <c r="F17">
        <v>11.683999999999999</v>
      </c>
      <c r="G17" t="s">
        <v>13</v>
      </c>
    </row>
    <row r="18" spans="1:7" x14ac:dyDescent="0.25">
      <c r="A18">
        <v>2</v>
      </c>
      <c r="B18" t="s">
        <v>109</v>
      </c>
      <c r="C18">
        <v>50</v>
      </c>
      <c r="D18" t="s">
        <v>16</v>
      </c>
      <c r="E18" t="s">
        <v>14</v>
      </c>
      <c r="F18">
        <v>71.856999999999999</v>
      </c>
      <c r="G18" t="s">
        <v>13</v>
      </c>
    </row>
    <row r="19" spans="1:7" x14ac:dyDescent="0.25">
      <c r="A19">
        <v>2</v>
      </c>
      <c r="B19" t="s">
        <v>109</v>
      </c>
      <c r="C19">
        <v>60</v>
      </c>
      <c r="D19" t="s">
        <v>230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109</v>
      </c>
      <c r="C20">
        <v>70</v>
      </c>
      <c r="D20" t="s">
        <v>229</v>
      </c>
      <c r="E20" t="s">
        <v>12</v>
      </c>
      <c r="F20">
        <v>9.0999999999999998E-2</v>
      </c>
      <c r="G20" t="s">
        <v>13</v>
      </c>
    </row>
    <row r="21" spans="1:7" x14ac:dyDescent="0.25">
      <c r="A21">
        <v>2</v>
      </c>
      <c r="B21" t="s">
        <v>109</v>
      </c>
      <c r="C21">
        <v>80</v>
      </c>
      <c r="D21" t="s">
        <v>228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109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109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109</v>
      </c>
      <c r="C24">
        <v>110</v>
      </c>
      <c r="D24" t="s">
        <v>103</v>
      </c>
      <c r="E24" t="s">
        <v>12</v>
      </c>
      <c r="F24">
        <v>0.63500000000000001</v>
      </c>
      <c r="G24" t="s">
        <v>13</v>
      </c>
    </row>
    <row r="25" spans="1:7" x14ac:dyDescent="0.25">
      <c r="A25">
        <v>2</v>
      </c>
      <c r="B25" t="s">
        <v>109</v>
      </c>
      <c r="C25">
        <v>120</v>
      </c>
      <c r="D25" t="s">
        <v>110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107</v>
      </c>
      <c r="E26" t="s">
        <v>14</v>
      </c>
      <c r="F26">
        <v>1.1679999999999999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240</v>
      </c>
      <c r="E27" t="s">
        <v>14</v>
      </c>
      <c r="F27">
        <v>1.1679999999999999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237</v>
      </c>
      <c r="E28" t="s">
        <v>238</v>
      </c>
      <c r="F28">
        <v>0.316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101</v>
      </c>
      <c r="E29" t="s">
        <v>14</v>
      </c>
      <c r="F29">
        <v>12.294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16</v>
      </c>
      <c r="E30" t="s">
        <v>14</v>
      </c>
      <c r="F30">
        <v>75.605999999999995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230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229</v>
      </c>
      <c r="E32" t="s">
        <v>12</v>
      </c>
      <c r="F32">
        <v>0.10100000000000001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228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0.71599999999999997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112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113</v>
      </c>
      <c r="C38">
        <v>10</v>
      </c>
      <c r="D38" t="s">
        <v>107</v>
      </c>
      <c r="E38" t="s">
        <v>14</v>
      </c>
      <c r="F38">
        <v>1.321</v>
      </c>
      <c r="G38" t="s">
        <v>15</v>
      </c>
    </row>
    <row r="39" spans="1:7" x14ac:dyDescent="0.25">
      <c r="A39">
        <v>4</v>
      </c>
      <c r="B39" t="s">
        <v>113</v>
      </c>
      <c r="C39">
        <v>20</v>
      </c>
      <c r="D39" t="s">
        <v>240</v>
      </c>
      <c r="E39" t="s">
        <v>14</v>
      </c>
      <c r="F39">
        <v>1.321</v>
      </c>
      <c r="G39" t="s">
        <v>15</v>
      </c>
    </row>
    <row r="40" spans="1:7" x14ac:dyDescent="0.25">
      <c r="A40">
        <v>4</v>
      </c>
      <c r="B40" t="s">
        <v>113</v>
      </c>
      <c r="C40">
        <v>30</v>
      </c>
      <c r="D40" t="s">
        <v>237</v>
      </c>
      <c r="E40" t="s">
        <v>238</v>
      </c>
      <c r="F40">
        <v>0.35899999999999999</v>
      </c>
      <c r="G40" t="s">
        <v>13</v>
      </c>
    </row>
    <row r="41" spans="1:7" x14ac:dyDescent="0.25">
      <c r="A41">
        <v>4</v>
      </c>
      <c r="B41" t="s">
        <v>113</v>
      </c>
      <c r="C41">
        <v>40</v>
      </c>
      <c r="D41" t="s">
        <v>101</v>
      </c>
      <c r="E41" t="s">
        <v>14</v>
      </c>
      <c r="F41">
        <v>12.903</v>
      </c>
      <c r="G41" t="s">
        <v>13</v>
      </c>
    </row>
    <row r="42" spans="1:7" x14ac:dyDescent="0.25">
      <c r="A42">
        <v>4</v>
      </c>
      <c r="B42" t="s">
        <v>113</v>
      </c>
      <c r="C42">
        <v>50</v>
      </c>
      <c r="D42" t="s">
        <v>16</v>
      </c>
      <c r="E42" t="s">
        <v>14</v>
      </c>
      <c r="F42">
        <v>79.355000000000004</v>
      </c>
      <c r="G42" t="s">
        <v>13</v>
      </c>
    </row>
    <row r="43" spans="1:7" x14ac:dyDescent="0.25">
      <c r="A43">
        <v>4</v>
      </c>
      <c r="B43" t="s">
        <v>113</v>
      </c>
      <c r="C43">
        <v>60</v>
      </c>
      <c r="D43" t="s">
        <v>230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113</v>
      </c>
      <c r="C44">
        <v>70</v>
      </c>
      <c r="D44" t="s">
        <v>229</v>
      </c>
      <c r="E44" t="s">
        <v>12</v>
      </c>
      <c r="F44">
        <v>0.112</v>
      </c>
      <c r="G44" t="s">
        <v>13</v>
      </c>
    </row>
    <row r="45" spans="1:7" x14ac:dyDescent="0.25">
      <c r="A45">
        <v>4</v>
      </c>
      <c r="B45" t="s">
        <v>113</v>
      </c>
      <c r="C45">
        <v>80</v>
      </c>
      <c r="D45" t="s">
        <v>228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113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113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113</v>
      </c>
      <c r="C48">
        <v>110</v>
      </c>
      <c r="D48" t="s">
        <v>103</v>
      </c>
      <c r="E48" t="s">
        <v>12</v>
      </c>
      <c r="F48">
        <v>0.79700000000000004</v>
      </c>
      <c r="G48" t="s">
        <v>13</v>
      </c>
    </row>
    <row r="49" spans="1:7" x14ac:dyDescent="0.25">
      <c r="A49">
        <v>4</v>
      </c>
      <c r="B49" t="s">
        <v>113</v>
      </c>
      <c r="C49">
        <v>120</v>
      </c>
      <c r="D49" t="s">
        <v>114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115</v>
      </c>
      <c r="C50">
        <v>10</v>
      </c>
      <c r="D50" t="s">
        <v>107</v>
      </c>
      <c r="E50" t="s">
        <v>14</v>
      </c>
      <c r="F50">
        <v>1.397</v>
      </c>
      <c r="G50" t="s">
        <v>15</v>
      </c>
    </row>
    <row r="51" spans="1:7" x14ac:dyDescent="0.25">
      <c r="A51">
        <v>5</v>
      </c>
      <c r="B51" t="s">
        <v>115</v>
      </c>
      <c r="C51">
        <v>20</v>
      </c>
      <c r="D51" t="s">
        <v>240</v>
      </c>
      <c r="E51" t="s">
        <v>14</v>
      </c>
      <c r="F51">
        <v>1.397</v>
      </c>
      <c r="G51" t="s">
        <v>15</v>
      </c>
    </row>
    <row r="52" spans="1:7" x14ac:dyDescent="0.25">
      <c r="A52">
        <v>5</v>
      </c>
      <c r="B52" t="s">
        <v>115</v>
      </c>
      <c r="C52">
        <v>30</v>
      </c>
      <c r="D52" t="s">
        <v>237</v>
      </c>
      <c r="E52" t="s">
        <v>238</v>
      </c>
      <c r="F52">
        <v>0.38100000000000001</v>
      </c>
      <c r="G52" t="s">
        <v>13</v>
      </c>
    </row>
    <row r="53" spans="1:7" x14ac:dyDescent="0.25">
      <c r="A53">
        <v>5</v>
      </c>
      <c r="B53" t="s">
        <v>115</v>
      </c>
      <c r="C53">
        <v>40</v>
      </c>
      <c r="D53" t="s">
        <v>101</v>
      </c>
      <c r="E53" t="s">
        <v>14</v>
      </c>
      <c r="F53">
        <v>13.208</v>
      </c>
      <c r="G53" t="s">
        <v>13</v>
      </c>
    </row>
    <row r="54" spans="1:7" x14ac:dyDescent="0.25">
      <c r="A54">
        <v>5</v>
      </c>
      <c r="B54" t="s">
        <v>115</v>
      </c>
      <c r="C54">
        <v>50</v>
      </c>
      <c r="D54" t="s">
        <v>16</v>
      </c>
      <c r="E54" t="s">
        <v>14</v>
      </c>
      <c r="F54">
        <v>81.228999999999999</v>
      </c>
      <c r="G54" t="s">
        <v>13</v>
      </c>
    </row>
    <row r="55" spans="1:7" x14ac:dyDescent="0.25">
      <c r="A55">
        <v>5</v>
      </c>
      <c r="B55" t="s">
        <v>115</v>
      </c>
      <c r="C55">
        <v>60</v>
      </c>
      <c r="D55" t="s">
        <v>230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115</v>
      </c>
      <c r="C56">
        <v>70</v>
      </c>
      <c r="D56" t="s">
        <v>229</v>
      </c>
      <c r="E56" t="s">
        <v>12</v>
      </c>
      <c r="F56">
        <v>0.11700000000000001</v>
      </c>
      <c r="G56" t="s">
        <v>13</v>
      </c>
    </row>
    <row r="57" spans="1:7" x14ac:dyDescent="0.25">
      <c r="A57">
        <v>5</v>
      </c>
      <c r="B57" t="s">
        <v>115</v>
      </c>
      <c r="C57">
        <v>80</v>
      </c>
      <c r="D57" t="s">
        <v>228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115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115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115</v>
      </c>
      <c r="C60">
        <v>110</v>
      </c>
      <c r="D60" t="s">
        <v>103</v>
      </c>
      <c r="E60" t="s">
        <v>12</v>
      </c>
      <c r="F60">
        <v>0.83799999999999997</v>
      </c>
      <c r="G60" t="s">
        <v>13</v>
      </c>
    </row>
    <row r="61" spans="1:7" x14ac:dyDescent="0.25">
      <c r="A61">
        <v>5</v>
      </c>
      <c r="B61" t="s">
        <v>115</v>
      </c>
      <c r="C61">
        <v>120</v>
      </c>
      <c r="D61" t="s">
        <v>116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117</v>
      </c>
      <c r="C62">
        <v>10</v>
      </c>
      <c r="D62" t="s">
        <v>107</v>
      </c>
      <c r="E62" t="s">
        <v>14</v>
      </c>
      <c r="F62">
        <v>1.4730000000000001</v>
      </c>
      <c r="G62" t="s">
        <v>15</v>
      </c>
    </row>
    <row r="63" spans="1:7" x14ac:dyDescent="0.25">
      <c r="A63">
        <v>6</v>
      </c>
      <c r="B63" t="s">
        <v>117</v>
      </c>
      <c r="C63">
        <v>20</v>
      </c>
      <c r="D63" t="s">
        <v>240</v>
      </c>
      <c r="E63" t="s">
        <v>14</v>
      </c>
      <c r="F63">
        <v>1.4730000000000001</v>
      </c>
      <c r="G63" t="s">
        <v>15</v>
      </c>
    </row>
    <row r="64" spans="1:7" x14ac:dyDescent="0.25">
      <c r="A64">
        <v>6</v>
      </c>
      <c r="B64" t="s">
        <v>117</v>
      </c>
      <c r="C64">
        <v>30</v>
      </c>
      <c r="D64" t="s">
        <v>237</v>
      </c>
      <c r="E64" t="s">
        <v>238</v>
      </c>
      <c r="F64">
        <v>0.40300000000000002</v>
      </c>
      <c r="G64" t="s">
        <v>13</v>
      </c>
    </row>
    <row r="65" spans="1:7" x14ac:dyDescent="0.25">
      <c r="A65">
        <v>6</v>
      </c>
      <c r="B65" t="s">
        <v>117</v>
      </c>
      <c r="C65">
        <v>40</v>
      </c>
      <c r="D65" t="s">
        <v>101</v>
      </c>
      <c r="E65" t="s">
        <v>14</v>
      </c>
      <c r="F65">
        <v>13.513</v>
      </c>
      <c r="G65" t="s">
        <v>13</v>
      </c>
    </row>
    <row r="66" spans="1:7" x14ac:dyDescent="0.25">
      <c r="A66">
        <v>6</v>
      </c>
      <c r="B66" t="s">
        <v>117</v>
      </c>
      <c r="C66">
        <v>50</v>
      </c>
      <c r="D66" t="s">
        <v>16</v>
      </c>
      <c r="E66" t="s">
        <v>14</v>
      </c>
      <c r="F66">
        <v>83.103999999999999</v>
      </c>
      <c r="G66" t="s">
        <v>13</v>
      </c>
    </row>
    <row r="67" spans="1:7" x14ac:dyDescent="0.25">
      <c r="A67">
        <v>6</v>
      </c>
      <c r="B67" t="s">
        <v>117</v>
      </c>
      <c r="C67">
        <v>60</v>
      </c>
      <c r="D67" t="s">
        <v>230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117</v>
      </c>
      <c r="C68">
        <v>70</v>
      </c>
      <c r="D68" t="s">
        <v>229</v>
      </c>
      <c r="E68" t="s">
        <v>12</v>
      </c>
      <c r="F68">
        <v>0.123</v>
      </c>
      <c r="G68" t="s">
        <v>13</v>
      </c>
    </row>
    <row r="69" spans="1:7" x14ac:dyDescent="0.25">
      <c r="A69">
        <v>6</v>
      </c>
      <c r="B69" t="s">
        <v>117</v>
      </c>
      <c r="C69">
        <v>80</v>
      </c>
      <c r="D69" t="s">
        <v>228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117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117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117</v>
      </c>
      <c r="C72">
        <v>110</v>
      </c>
      <c r="D72" t="s">
        <v>103</v>
      </c>
      <c r="E72" t="s">
        <v>12</v>
      </c>
      <c r="F72">
        <v>0.878</v>
      </c>
      <c r="G72" t="s">
        <v>13</v>
      </c>
    </row>
    <row r="73" spans="1:7" x14ac:dyDescent="0.25">
      <c r="A73">
        <v>6</v>
      </c>
      <c r="B73" t="s">
        <v>117</v>
      </c>
      <c r="C73">
        <v>120</v>
      </c>
      <c r="D73" t="s">
        <v>118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119</v>
      </c>
      <c r="C74">
        <v>10</v>
      </c>
      <c r="D74" t="s">
        <v>107</v>
      </c>
      <c r="E74" t="s">
        <v>14</v>
      </c>
      <c r="F74">
        <v>1.6259999999999999</v>
      </c>
      <c r="G74" t="s">
        <v>15</v>
      </c>
    </row>
    <row r="75" spans="1:7" x14ac:dyDescent="0.25">
      <c r="A75">
        <v>7</v>
      </c>
      <c r="B75" t="s">
        <v>119</v>
      </c>
      <c r="C75">
        <v>20</v>
      </c>
      <c r="D75" t="s">
        <v>240</v>
      </c>
      <c r="E75" t="s">
        <v>14</v>
      </c>
      <c r="F75">
        <v>1.6259999999999999</v>
      </c>
      <c r="G75" t="s">
        <v>15</v>
      </c>
    </row>
    <row r="76" spans="1:7" x14ac:dyDescent="0.25">
      <c r="A76">
        <v>7</v>
      </c>
      <c r="B76" t="s">
        <v>119</v>
      </c>
      <c r="C76">
        <v>30</v>
      </c>
      <c r="D76" t="s">
        <v>237</v>
      </c>
      <c r="E76" t="s">
        <v>238</v>
      </c>
      <c r="F76">
        <v>0.44600000000000001</v>
      </c>
      <c r="G76" t="s">
        <v>13</v>
      </c>
    </row>
    <row r="77" spans="1:7" x14ac:dyDescent="0.25">
      <c r="A77">
        <v>7</v>
      </c>
      <c r="B77" t="s">
        <v>119</v>
      </c>
      <c r="C77">
        <v>40</v>
      </c>
      <c r="D77" t="s">
        <v>101</v>
      </c>
      <c r="E77" t="s">
        <v>14</v>
      </c>
      <c r="F77">
        <v>14.122</v>
      </c>
      <c r="G77" t="s">
        <v>13</v>
      </c>
    </row>
    <row r="78" spans="1:7" x14ac:dyDescent="0.25">
      <c r="A78">
        <v>7</v>
      </c>
      <c r="B78" t="s">
        <v>119</v>
      </c>
      <c r="C78">
        <v>50</v>
      </c>
      <c r="D78" t="s">
        <v>16</v>
      </c>
      <c r="E78" t="s">
        <v>14</v>
      </c>
      <c r="F78">
        <v>86.852999999999994</v>
      </c>
      <c r="G78" t="s">
        <v>13</v>
      </c>
    </row>
    <row r="79" spans="1:7" x14ac:dyDescent="0.25">
      <c r="A79">
        <v>7</v>
      </c>
      <c r="B79" t="s">
        <v>119</v>
      </c>
      <c r="C79">
        <v>60</v>
      </c>
      <c r="D79" t="s">
        <v>230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119</v>
      </c>
      <c r="C80">
        <v>70</v>
      </c>
      <c r="D80" t="s">
        <v>229</v>
      </c>
      <c r="E80" t="s">
        <v>12</v>
      </c>
      <c r="F80">
        <v>0.13300000000000001</v>
      </c>
      <c r="G80" t="s">
        <v>13</v>
      </c>
    </row>
    <row r="81" spans="1:7" x14ac:dyDescent="0.25">
      <c r="A81">
        <v>7</v>
      </c>
      <c r="B81" t="s">
        <v>119</v>
      </c>
      <c r="C81">
        <v>80</v>
      </c>
      <c r="D81" t="s">
        <v>228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119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119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119</v>
      </c>
      <c r="C84">
        <v>110</v>
      </c>
      <c r="D84" t="s">
        <v>103</v>
      </c>
      <c r="E84" t="s">
        <v>12</v>
      </c>
      <c r="F84">
        <v>0.95899999999999996</v>
      </c>
      <c r="G84" t="s">
        <v>13</v>
      </c>
    </row>
    <row r="85" spans="1:7" x14ac:dyDescent="0.25">
      <c r="A85">
        <v>7</v>
      </c>
      <c r="B85" t="s">
        <v>119</v>
      </c>
      <c r="C85">
        <v>120</v>
      </c>
      <c r="D85" t="s">
        <v>120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121</v>
      </c>
      <c r="C86">
        <v>10</v>
      </c>
      <c r="D86" t="s">
        <v>107</v>
      </c>
      <c r="E86" t="s">
        <v>14</v>
      </c>
      <c r="F86">
        <v>1.778</v>
      </c>
      <c r="G86" t="s">
        <v>15</v>
      </c>
    </row>
    <row r="87" spans="1:7" x14ac:dyDescent="0.25">
      <c r="A87">
        <v>8</v>
      </c>
      <c r="B87" t="s">
        <v>121</v>
      </c>
      <c r="C87">
        <v>20</v>
      </c>
      <c r="D87" t="s">
        <v>240</v>
      </c>
      <c r="E87" t="s">
        <v>14</v>
      </c>
      <c r="F87">
        <v>1.778</v>
      </c>
      <c r="G87" t="s">
        <v>15</v>
      </c>
    </row>
    <row r="88" spans="1:7" x14ac:dyDescent="0.25">
      <c r="A88">
        <v>8</v>
      </c>
      <c r="B88" t="s">
        <v>121</v>
      </c>
      <c r="C88">
        <v>30</v>
      </c>
      <c r="D88" t="s">
        <v>237</v>
      </c>
      <c r="E88" t="s">
        <v>238</v>
      </c>
      <c r="F88">
        <v>0.48899999999999999</v>
      </c>
      <c r="G88" t="s">
        <v>13</v>
      </c>
    </row>
    <row r="89" spans="1:7" x14ac:dyDescent="0.25">
      <c r="A89">
        <v>8</v>
      </c>
      <c r="B89" t="s">
        <v>121</v>
      </c>
      <c r="C89">
        <v>40</v>
      </c>
      <c r="D89" t="s">
        <v>101</v>
      </c>
      <c r="E89" t="s">
        <v>14</v>
      </c>
      <c r="F89">
        <v>14.731999999999999</v>
      </c>
      <c r="G89" t="s">
        <v>13</v>
      </c>
    </row>
    <row r="90" spans="1:7" x14ac:dyDescent="0.25">
      <c r="A90">
        <v>8</v>
      </c>
      <c r="B90" t="s">
        <v>121</v>
      </c>
      <c r="C90">
        <v>50</v>
      </c>
      <c r="D90" t="s">
        <v>16</v>
      </c>
      <c r="E90" t="s">
        <v>14</v>
      </c>
      <c r="F90">
        <v>90.602000000000004</v>
      </c>
      <c r="G90" t="s">
        <v>13</v>
      </c>
    </row>
    <row r="91" spans="1:7" x14ac:dyDescent="0.25">
      <c r="A91">
        <v>8</v>
      </c>
      <c r="B91" t="s">
        <v>121</v>
      </c>
      <c r="C91">
        <v>60</v>
      </c>
      <c r="D91" t="s">
        <v>230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121</v>
      </c>
      <c r="C92">
        <v>70</v>
      </c>
      <c r="D92" t="s">
        <v>229</v>
      </c>
      <c r="E92" t="s">
        <v>12</v>
      </c>
      <c r="F92">
        <v>0.14399999999999999</v>
      </c>
      <c r="G92" t="s">
        <v>13</v>
      </c>
    </row>
    <row r="93" spans="1:7" x14ac:dyDescent="0.25">
      <c r="A93">
        <v>8</v>
      </c>
      <c r="B93" t="s">
        <v>121</v>
      </c>
      <c r="C93">
        <v>80</v>
      </c>
      <c r="D93" t="s">
        <v>228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121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121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121</v>
      </c>
      <c r="C96">
        <v>110</v>
      </c>
      <c r="D96" t="s">
        <v>103</v>
      </c>
      <c r="E96" t="s">
        <v>12</v>
      </c>
      <c r="F96">
        <v>1.04</v>
      </c>
      <c r="G96" t="s">
        <v>13</v>
      </c>
    </row>
    <row r="97" spans="1:7" x14ac:dyDescent="0.25">
      <c r="A97">
        <v>8</v>
      </c>
      <c r="B97" t="s">
        <v>121</v>
      </c>
      <c r="C97">
        <v>120</v>
      </c>
      <c r="D97" t="s">
        <v>122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123</v>
      </c>
      <c r="C98">
        <v>10</v>
      </c>
      <c r="D98" t="s">
        <v>107</v>
      </c>
      <c r="E98" t="s">
        <v>14</v>
      </c>
      <c r="F98">
        <v>0.86399999999999999</v>
      </c>
      <c r="G98" t="s">
        <v>15</v>
      </c>
    </row>
    <row r="99" spans="1:7" x14ac:dyDescent="0.25">
      <c r="A99">
        <v>9</v>
      </c>
      <c r="B99" t="s">
        <v>123</v>
      </c>
      <c r="C99">
        <v>20</v>
      </c>
      <c r="D99" t="s">
        <v>240</v>
      </c>
      <c r="E99" t="s">
        <v>14</v>
      </c>
      <c r="F99">
        <v>0.86399999999999999</v>
      </c>
      <c r="G99" t="s">
        <v>15</v>
      </c>
    </row>
    <row r="100" spans="1:7" x14ac:dyDescent="0.25">
      <c r="A100">
        <v>9</v>
      </c>
      <c r="B100" t="s">
        <v>123</v>
      </c>
      <c r="C100">
        <v>30</v>
      </c>
      <c r="D100" t="s">
        <v>237</v>
      </c>
      <c r="E100" t="s">
        <v>238</v>
      </c>
      <c r="F100">
        <v>0.24</v>
      </c>
      <c r="G100" t="s">
        <v>13</v>
      </c>
    </row>
    <row r="101" spans="1:7" x14ac:dyDescent="0.25">
      <c r="A101">
        <v>9</v>
      </c>
      <c r="B101" t="s">
        <v>123</v>
      </c>
      <c r="C101">
        <v>40</v>
      </c>
      <c r="D101" t="s">
        <v>101</v>
      </c>
      <c r="E101" t="s">
        <v>14</v>
      </c>
      <c r="F101">
        <v>11.379</v>
      </c>
      <c r="G101" t="s">
        <v>13</v>
      </c>
    </row>
    <row r="102" spans="1:7" x14ac:dyDescent="0.25">
      <c r="A102">
        <v>9</v>
      </c>
      <c r="B102" t="s">
        <v>123</v>
      </c>
      <c r="C102">
        <v>50</v>
      </c>
      <c r="D102" t="s">
        <v>16</v>
      </c>
      <c r="E102" t="s">
        <v>14</v>
      </c>
      <c r="F102">
        <v>69.981999999999999</v>
      </c>
      <c r="G102" t="s">
        <v>13</v>
      </c>
    </row>
    <row r="103" spans="1:7" x14ac:dyDescent="0.25">
      <c r="A103">
        <v>9</v>
      </c>
      <c r="B103" t="s">
        <v>123</v>
      </c>
      <c r="C103">
        <v>60</v>
      </c>
      <c r="D103" t="s">
        <v>230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123</v>
      </c>
      <c r="C104">
        <v>70</v>
      </c>
      <c r="D104" t="s">
        <v>229</v>
      </c>
      <c r="E104" t="s">
        <v>12</v>
      </c>
      <c r="F104">
        <v>0.08</v>
      </c>
      <c r="G104" t="s">
        <v>13</v>
      </c>
    </row>
    <row r="105" spans="1:7" x14ac:dyDescent="0.25">
      <c r="A105">
        <v>9</v>
      </c>
      <c r="B105" t="s">
        <v>123</v>
      </c>
      <c r="C105">
        <v>80</v>
      </c>
      <c r="D105" t="s">
        <v>228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123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123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123</v>
      </c>
      <c r="C108">
        <v>110</v>
      </c>
      <c r="D108" t="s">
        <v>103</v>
      </c>
      <c r="E108" t="s">
        <v>12</v>
      </c>
      <c r="F108">
        <v>0.55400000000000005</v>
      </c>
      <c r="G108" t="s">
        <v>13</v>
      </c>
    </row>
    <row r="109" spans="1:7" x14ac:dyDescent="0.25">
      <c r="A109">
        <v>9</v>
      </c>
      <c r="B109" t="s">
        <v>123</v>
      </c>
      <c r="C109">
        <v>120</v>
      </c>
      <c r="D109" t="s">
        <v>124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125</v>
      </c>
      <c r="C110">
        <v>10</v>
      </c>
      <c r="D110" t="s">
        <v>107</v>
      </c>
      <c r="E110" t="s">
        <v>14</v>
      </c>
      <c r="F110">
        <v>1.016</v>
      </c>
      <c r="G110" t="s">
        <v>15</v>
      </c>
    </row>
    <row r="111" spans="1:7" x14ac:dyDescent="0.25">
      <c r="A111">
        <v>10</v>
      </c>
      <c r="B111" t="s">
        <v>125</v>
      </c>
      <c r="C111">
        <v>20</v>
      </c>
      <c r="D111" t="s">
        <v>240</v>
      </c>
      <c r="E111" t="s">
        <v>14</v>
      </c>
      <c r="F111">
        <v>1.016</v>
      </c>
      <c r="G111" t="s">
        <v>15</v>
      </c>
    </row>
    <row r="112" spans="1:7" x14ac:dyDescent="0.25">
      <c r="A112">
        <v>10</v>
      </c>
      <c r="B112" t="s">
        <v>125</v>
      </c>
      <c r="C112">
        <v>30</v>
      </c>
      <c r="D112" t="s">
        <v>237</v>
      </c>
      <c r="E112" t="s">
        <v>238</v>
      </c>
      <c r="F112">
        <v>0.28499999999999998</v>
      </c>
      <c r="G112" t="s">
        <v>13</v>
      </c>
    </row>
    <row r="113" spans="1:7" x14ac:dyDescent="0.25">
      <c r="A113">
        <v>10</v>
      </c>
      <c r="B113" t="s">
        <v>125</v>
      </c>
      <c r="C113">
        <v>40</v>
      </c>
      <c r="D113" t="s">
        <v>101</v>
      </c>
      <c r="E113" t="s">
        <v>14</v>
      </c>
      <c r="F113">
        <v>11.989000000000001</v>
      </c>
      <c r="G113" t="s">
        <v>13</v>
      </c>
    </row>
    <row r="114" spans="1:7" x14ac:dyDescent="0.25">
      <c r="A114">
        <v>10</v>
      </c>
      <c r="B114" t="s">
        <v>125</v>
      </c>
      <c r="C114">
        <v>50</v>
      </c>
      <c r="D114" t="s">
        <v>16</v>
      </c>
      <c r="E114" t="s">
        <v>14</v>
      </c>
      <c r="F114">
        <v>73.730999999999995</v>
      </c>
      <c r="G114" t="s">
        <v>13</v>
      </c>
    </row>
    <row r="115" spans="1:7" x14ac:dyDescent="0.25">
      <c r="A115">
        <v>10</v>
      </c>
      <c r="B115" t="s">
        <v>125</v>
      </c>
      <c r="C115">
        <v>60</v>
      </c>
      <c r="D115" t="s">
        <v>230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125</v>
      </c>
      <c r="C116">
        <v>70</v>
      </c>
      <c r="D116" t="s">
        <v>229</v>
      </c>
      <c r="E116" t="s">
        <v>12</v>
      </c>
      <c r="F116">
        <v>9.0999999999999998E-2</v>
      </c>
      <c r="G116" t="s">
        <v>13</v>
      </c>
    </row>
    <row r="117" spans="1:7" x14ac:dyDescent="0.25">
      <c r="A117">
        <v>10</v>
      </c>
      <c r="B117" t="s">
        <v>125</v>
      </c>
      <c r="C117">
        <v>80</v>
      </c>
      <c r="D117" t="s">
        <v>228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125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125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125</v>
      </c>
      <c r="C120">
        <v>110</v>
      </c>
      <c r="D120" t="s">
        <v>103</v>
      </c>
      <c r="E120" t="s">
        <v>12</v>
      </c>
      <c r="F120">
        <v>0.63500000000000001</v>
      </c>
      <c r="G120" t="s">
        <v>13</v>
      </c>
    </row>
    <row r="121" spans="1:7" x14ac:dyDescent="0.25">
      <c r="A121">
        <v>10</v>
      </c>
      <c r="B121" t="s">
        <v>125</v>
      </c>
      <c r="C121">
        <v>120</v>
      </c>
      <c r="D121" t="s">
        <v>126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127</v>
      </c>
      <c r="C122">
        <v>10</v>
      </c>
      <c r="D122" t="s">
        <v>107</v>
      </c>
      <c r="E122" t="s">
        <v>14</v>
      </c>
      <c r="F122">
        <v>1.1679999999999999</v>
      </c>
      <c r="G122" t="s">
        <v>15</v>
      </c>
    </row>
    <row r="123" spans="1:7" x14ac:dyDescent="0.25">
      <c r="A123">
        <v>11</v>
      </c>
      <c r="B123" t="s">
        <v>127</v>
      </c>
      <c r="C123">
        <v>20</v>
      </c>
      <c r="D123" t="s">
        <v>240</v>
      </c>
      <c r="E123" t="s">
        <v>14</v>
      </c>
      <c r="F123">
        <v>1.1679999999999999</v>
      </c>
      <c r="G123" t="s">
        <v>15</v>
      </c>
    </row>
    <row r="124" spans="1:7" x14ac:dyDescent="0.25">
      <c r="A124">
        <v>11</v>
      </c>
      <c r="B124" t="s">
        <v>127</v>
      </c>
      <c r="C124">
        <v>30</v>
      </c>
      <c r="D124" t="s">
        <v>237</v>
      </c>
      <c r="E124" t="s">
        <v>238</v>
      </c>
      <c r="F124">
        <v>0.33</v>
      </c>
      <c r="G124" t="s">
        <v>13</v>
      </c>
    </row>
    <row r="125" spans="1:7" x14ac:dyDescent="0.25">
      <c r="A125">
        <v>11</v>
      </c>
      <c r="B125" t="s">
        <v>127</v>
      </c>
      <c r="C125">
        <v>40</v>
      </c>
      <c r="D125" t="s">
        <v>101</v>
      </c>
      <c r="E125" t="s">
        <v>14</v>
      </c>
      <c r="F125">
        <v>12.598000000000001</v>
      </c>
      <c r="G125" t="s">
        <v>13</v>
      </c>
    </row>
    <row r="126" spans="1:7" x14ac:dyDescent="0.25">
      <c r="A126">
        <v>11</v>
      </c>
      <c r="B126" t="s">
        <v>127</v>
      </c>
      <c r="C126">
        <v>50</v>
      </c>
      <c r="D126" t="s">
        <v>16</v>
      </c>
      <c r="E126" t="s">
        <v>14</v>
      </c>
      <c r="F126">
        <v>77.48</v>
      </c>
      <c r="G126" t="s">
        <v>13</v>
      </c>
    </row>
    <row r="127" spans="1:7" x14ac:dyDescent="0.25">
      <c r="A127">
        <v>11</v>
      </c>
      <c r="B127" t="s">
        <v>127</v>
      </c>
      <c r="C127">
        <v>60</v>
      </c>
      <c r="D127" t="s">
        <v>230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127</v>
      </c>
      <c r="C128">
        <v>70</v>
      </c>
      <c r="D128" t="s">
        <v>229</v>
      </c>
      <c r="E128" t="s">
        <v>12</v>
      </c>
      <c r="F128">
        <v>0.10100000000000001</v>
      </c>
      <c r="G128" t="s">
        <v>13</v>
      </c>
    </row>
    <row r="129" spans="1:7" x14ac:dyDescent="0.25">
      <c r="A129">
        <v>11</v>
      </c>
      <c r="B129" t="s">
        <v>127</v>
      </c>
      <c r="C129">
        <v>80</v>
      </c>
      <c r="D129" t="s">
        <v>228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127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127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127</v>
      </c>
      <c r="C132">
        <v>110</v>
      </c>
      <c r="D132" t="s">
        <v>103</v>
      </c>
      <c r="E132" t="s">
        <v>12</v>
      </c>
      <c r="F132">
        <v>0.71599999999999997</v>
      </c>
      <c r="G132" t="s">
        <v>13</v>
      </c>
    </row>
    <row r="133" spans="1:7" x14ac:dyDescent="0.25">
      <c r="A133">
        <v>11</v>
      </c>
      <c r="B133" t="s">
        <v>127</v>
      </c>
      <c r="C133">
        <v>120</v>
      </c>
      <c r="D133" t="s">
        <v>128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129</v>
      </c>
      <c r="C134">
        <v>10</v>
      </c>
      <c r="D134" t="s">
        <v>107</v>
      </c>
      <c r="E134" t="s">
        <v>14</v>
      </c>
      <c r="F134">
        <v>1.321</v>
      </c>
      <c r="G134" t="s">
        <v>15</v>
      </c>
    </row>
    <row r="135" spans="1:7" x14ac:dyDescent="0.25">
      <c r="A135">
        <v>12</v>
      </c>
      <c r="B135" t="s">
        <v>129</v>
      </c>
      <c r="C135">
        <v>20</v>
      </c>
      <c r="D135" t="s">
        <v>240</v>
      </c>
      <c r="E135" t="s">
        <v>14</v>
      </c>
      <c r="F135">
        <v>1.321</v>
      </c>
      <c r="G135" t="s">
        <v>15</v>
      </c>
    </row>
    <row r="136" spans="1:7" x14ac:dyDescent="0.25">
      <c r="A136">
        <v>12</v>
      </c>
      <c r="B136" t="s">
        <v>129</v>
      </c>
      <c r="C136">
        <v>30</v>
      </c>
      <c r="D136" t="s">
        <v>237</v>
      </c>
      <c r="E136" t="s">
        <v>238</v>
      </c>
      <c r="F136">
        <v>0.375</v>
      </c>
      <c r="G136" t="s">
        <v>13</v>
      </c>
    </row>
    <row r="137" spans="1:7" x14ac:dyDescent="0.25">
      <c r="A137">
        <v>12</v>
      </c>
      <c r="B137" t="s">
        <v>129</v>
      </c>
      <c r="C137">
        <v>40</v>
      </c>
      <c r="D137" t="s">
        <v>101</v>
      </c>
      <c r="E137" t="s">
        <v>14</v>
      </c>
      <c r="F137">
        <v>13.208</v>
      </c>
      <c r="G137" t="s">
        <v>13</v>
      </c>
    </row>
    <row r="138" spans="1:7" x14ac:dyDescent="0.25">
      <c r="A138">
        <v>12</v>
      </c>
      <c r="B138" t="s">
        <v>129</v>
      </c>
      <c r="C138">
        <v>50</v>
      </c>
      <c r="D138" t="s">
        <v>16</v>
      </c>
      <c r="E138" t="s">
        <v>14</v>
      </c>
      <c r="F138">
        <v>81.228999999999999</v>
      </c>
      <c r="G138" t="s">
        <v>13</v>
      </c>
    </row>
    <row r="139" spans="1:7" x14ac:dyDescent="0.25">
      <c r="A139">
        <v>12</v>
      </c>
      <c r="B139" t="s">
        <v>129</v>
      </c>
      <c r="C139">
        <v>60</v>
      </c>
      <c r="D139" t="s">
        <v>230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129</v>
      </c>
      <c r="C140">
        <v>70</v>
      </c>
      <c r="D140" t="s">
        <v>229</v>
      </c>
      <c r="E140" t="s">
        <v>12</v>
      </c>
      <c r="F140">
        <v>0.112</v>
      </c>
      <c r="G140" t="s">
        <v>13</v>
      </c>
    </row>
    <row r="141" spans="1:7" x14ac:dyDescent="0.25">
      <c r="A141">
        <v>12</v>
      </c>
      <c r="B141" t="s">
        <v>129</v>
      </c>
      <c r="C141">
        <v>80</v>
      </c>
      <c r="D141" t="s">
        <v>228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129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129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129</v>
      </c>
      <c r="C144">
        <v>110</v>
      </c>
      <c r="D144" t="s">
        <v>103</v>
      </c>
      <c r="E144" t="s">
        <v>12</v>
      </c>
      <c r="F144">
        <v>0.79700000000000004</v>
      </c>
      <c r="G144" t="s">
        <v>13</v>
      </c>
    </row>
    <row r="145" spans="1:7" x14ac:dyDescent="0.25">
      <c r="A145">
        <v>12</v>
      </c>
      <c r="B145" t="s">
        <v>129</v>
      </c>
      <c r="C145">
        <v>120</v>
      </c>
      <c r="D145" t="s">
        <v>130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131</v>
      </c>
      <c r="C146">
        <v>10</v>
      </c>
      <c r="D146" t="s">
        <v>107</v>
      </c>
      <c r="E146" t="s">
        <v>14</v>
      </c>
      <c r="F146">
        <v>1.397</v>
      </c>
      <c r="G146" t="s">
        <v>15</v>
      </c>
    </row>
    <row r="147" spans="1:7" x14ac:dyDescent="0.25">
      <c r="A147">
        <v>13</v>
      </c>
      <c r="B147" t="s">
        <v>131</v>
      </c>
      <c r="C147">
        <v>20</v>
      </c>
      <c r="D147" t="s">
        <v>240</v>
      </c>
      <c r="E147" t="s">
        <v>14</v>
      </c>
      <c r="F147">
        <v>1.397</v>
      </c>
      <c r="G147" t="s">
        <v>15</v>
      </c>
    </row>
    <row r="148" spans="1:7" x14ac:dyDescent="0.25">
      <c r="A148">
        <v>13</v>
      </c>
      <c r="B148" t="s">
        <v>131</v>
      </c>
      <c r="C148">
        <v>30</v>
      </c>
      <c r="D148" t="s">
        <v>237</v>
      </c>
      <c r="E148" t="s">
        <v>238</v>
      </c>
      <c r="F148">
        <v>0.39700000000000002</v>
      </c>
      <c r="G148" t="s">
        <v>13</v>
      </c>
    </row>
    <row r="149" spans="1:7" x14ac:dyDescent="0.25">
      <c r="A149">
        <v>13</v>
      </c>
      <c r="B149" t="s">
        <v>131</v>
      </c>
      <c r="C149">
        <v>40</v>
      </c>
      <c r="D149" t="s">
        <v>101</v>
      </c>
      <c r="E149" t="s">
        <v>14</v>
      </c>
      <c r="F149">
        <v>13.513</v>
      </c>
      <c r="G149" t="s">
        <v>13</v>
      </c>
    </row>
    <row r="150" spans="1:7" x14ac:dyDescent="0.25">
      <c r="A150">
        <v>13</v>
      </c>
      <c r="B150" t="s">
        <v>131</v>
      </c>
      <c r="C150">
        <v>50</v>
      </c>
      <c r="D150" t="s">
        <v>16</v>
      </c>
      <c r="E150" t="s">
        <v>14</v>
      </c>
      <c r="F150">
        <v>83.103999999999999</v>
      </c>
      <c r="G150" t="s">
        <v>13</v>
      </c>
    </row>
    <row r="151" spans="1:7" x14ac:dyDescent="0.25">
      <c r="A151">
        <v>13</v>
      </c>
      <c r="B151" t="s">
        <v>131</v>
      </c>
      <c r="C151">
        <v>60</v>
      </c>
      <c r="D151" t="s">
        <v>230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131</v>
      </c>
      <c r="C152">
        <v>70</v>
      </c>
      <c r="D152" t="s">
        <v>229</v>
      </c>
      <c r="E152" t="s">
        <v>12</v>
      </c>
      <c r="F152">
        <v>0.11700000000000001</v>
      </c>
      <c r="G152" t="s">
        <v>13</v>
      </c>
    </row>
    <row r="153" spans="1:7" x14ac:dyDescent="0.25">
      <c r="A153">
        <v>13</v>
      </c>
      <c r="B153" t="s">
        <v>131</v>
      </c>
      <c r="C153">
        <v>80</v>
      </c>
      <c r="D153" t="s">
        <v>228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131</v>
      </c>
      <c r="C156">
        <v>110</v>
      </c>
      <c r="D156" t="s">
        <v>103</v>
      </c>
      <c r="E156" t="s">
        <v>12</v>
      </c>
      <c r="F156">
        <v>0.83799999999999997</v>
      </c>
      <c r="G156" t="s">
        <v>13</v>
      </c>
    </row>
    <row r="157" spans="1:7" x14ac:dyDescent="0.25">
      <c r="A157">
        <v>13</v>
      </c>
      <c r="B157" t="s">
        <v>131</v>
      </c>
      <c r="C157">
        <v>120</v>
      </c>
      <c r="D157" t="s">
        <v>132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133</v>
      </c>
      <c r="C158">
        <v>10</v>
      </c>
      <c r="D158" t="s">
        <v>107</v>
      </c>
      <c r="E158" t="s">
        <v>14</v>
      </c>
      <c r="F158">
        <v>1.4730000000000001</v>
      </c>
      <c r="G158" t="s">
        <v>15</v>
      </c>
    </row>
    <row r="159" spans="1:7" x14ac:dyDescent="0.25">
      <c r="A159">
        <v>14</v>
      </c>
      <c r="B159" t="s">
        <v>133</v>
      </c>
      <c r="C159">
        <v>20</v>
      </c>
      <c r="D159" t="s">
        <v>240</v>
      </c>
      <c r="E159" t="s">
        <v>14</v>
      </c>
      <c r="F159">
        <v>1.4730000000000001</v>
      </c>
      <c r="G159" t="s">
        <v>15</v>
      </c>
    </row>
    <row r="160" spans="1:7" x14ac:dyDescent="0.25">
      <c r="A160">
        <v>14</v>
      </c>
      <c r="B160" t="s">
        <v>133</v>
      </c>
      <c r="C160">
        <v>30</v>
      </c>
      <c r="D160" t="s">
        <v>237</v>
      </c>
      <c r="E160" t="s">
        <v>238</v>
      </c>
      <c r="F160">
        <v>0.42</v>
      </c>
      <c r="G160" t="s">
        <v>13</v>
      </c>
    </row>
    <row r="161" spans="1:7" x14ac:dyDescent="0.25">
      <c r="A161">
        <v>14</v>
      </c>
      <c r="B161" t="s">
        <v>133</v>
      </c>
      <c r="C161">
        <v>40</v>
      </c>
      <c r="D161" t="s">
        <v>101</v>
      </c>
      <c r="E161" t="s">
        <v>14</v>
      </c>
      <c r="F161">
        <v>13.818</v>
      </c>
      <c r="G161" t="s">
        <v>13</v>
      </c>
    </row>
    <row r="162" spans="1:7" x14ac:dyDescent="0.25">
      <c r="A162">
        <v>14</v>
      </c>
      <c r="B162" t="s">
        <v>133</v>
      </c>
      <c r="C162">
        <v>50</v>
      </c>
      <c r="D162" t="s">
        <v>16</v>
      </c>
      <c r="E162" t="s">
        <v>14</v>
      </c>
      <c r="F162">
        <v>84.977999999999994</v>
      </c>
      <c r="G162" t="s">
        <v>13</v>
      </c>
    </row>
    <row r="163" spans="1:7" x14ac:dyDescent="0.25">
      <c r="A163">
        <v>14</v>
      </c>
      <c r="B163" t="s">
        <v>133</v>
      </c>
      <c r="C163">
        <v>60</v>
      </c>
      <c r="D163" t="s">
        <v>230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133</v>
      </c>
      <c r="C164">
        <v>70</v>
      </c>
      <c r="D164" t="s">
        <v>229</v>
      </c>
      <c r="E164" t="s">
        <v>12</v>
      </c>
      <c r="F164">
        <v>0.123</v>
      </c>
      <c r="G164" t="s">
        <v>13</v>
      </c>
    </row>
    <row r="165" spans="1:7" x14ac:dyDescent="0.25">
      <c r="A165">
        <v>14</v>
      </c>
      <c r="B165" t="s">
        <v>133</v>
      </c>
      <c r="C165">
        <v>80</v>
      </c>
      <c r="D165" t="s">
        <v>228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133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133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133</v>
      </c>
      <c r="C168">
        <v>110</v>
      </c>
      <c r="D168" t="s">
        <v>103</v>
      </c>
      <c r="E168" t="s">
        <v>12</v>
      </c>
      <c r="F168">
        <v>0.878</v>
      </c>
      <c r="G168" t="s">
        <v>13</v>
      </c>
    </row>
    <row r="169" spans="1:7" x14ac:dyDescent="0.25">
      <c r="A169">
        <v>14</v>
      </c>
      <c r="B169" t="s">
        <v>133</v>
      </c>
      <c r="C169">
        <v>120</v>
      </c>
      <c r="D169" t="s">
        <v>134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135</v>
      </c>
      <c r="C170">
        <v>10</v>
      </c>
      <c r="D170" t="s">
        <v>107</v>
      </c>
      <c r="E170" t="s">
        <v>14</v>
      </c>
      <c r="F170">
        <v>1.6259999999999999</v>
      </c>
      <c r="G170" t="s">
        <v>15</v>
      </c>
    </row>
    <row r="171" spans="1:7" x14ac:dyDescent="0.25">
      <c r="A171">
        <v>15</v>
      </c>
      <c r="B171" t="s">
        <v>135</v>
      </c>
      <c r="C171">
        <v>20</v>
      </c>
      <c r="D171" t="s">
        <v>240</v>
      </c>
      <c r="E171" t="s">
        <v>14</v>
      </c>
      <c r="F171">
        <v>1.6259999999999999</v>
      </c>
      <c r="G171" t="s">
        <v>15</v>
      </c>
    </row>
    <row r="172" spans="1:7" x14ac:dyDescent="0.25">
      <c r="A172">
        <v>15</v>
      </c>
      <c r="B172" t="s">
        <v>135</v>
      </c>
      <c r="C172">
        <v>30</v>
      </c>
      <c r="D172" t="s">
        <v>237</v>
      </c>
      <c r="E172" t="s">
        <v>238</v>
      </c>
      <c r="F172">
        <v>0.46500000000000002</v>
      </c>
      <c r="G172" t="s">
        <v>13</v>
      </c>
    </row>
    <row r="173" spans="1:7" x14ac:dyDescent="0.25">
      <c r="A173">
        <v>15</v>
      </c>
      <c r="B173" t="s">
        <v>135</v>
      </c>
      <c r="C173">
        <v>40</v>
      </c>
      <c r="D173" t="s">
        <v>101</v>
      </c>
      <c r="E173" t="s">
        <v>14</v>
      </c>
      <c r="F173">
        <v>14.427</v>
      </c>
      <c r="G173" t="s">
        <v>13</v>
      </c>
    </row>
    <row r="174" spans="1:7" x14ac:dyDescent="0.25">
      <c r="A174">
        <v>15</v>
      </c>
      <c r="B174" t="s">
        <v>135</v>
      </c>
      <c r="C174">
        <v>50</v>
      </c>
      <c r="D174" t="s">
        <v>16</v>
      </c>
      <c r="E174" t="s">
        <v>14</v>
      </c>
      <c r="F174">
        <v>88.727000000000004</v>
      </c>
      <c r="G174" t="s">
        <v>13</v>
      </c>
    </row>
    <row r="175" spans="1:7" x14ac:dyDescent="0.25">
      <c r="A175">
        <v>15</v>
      </c>
      <c r="B175" t="s">
        <v>135</v>
      </c>
      <c r="C175">
        <v>60</v>
      </c>
      <c r="D175" t="s">
        <v>230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135</v>
      </c>
      <c r="C176">
        <v>70</v>
      </c>
      <c r="D176" t="s">
        <v>229</v>
      </c>
      <c r="E176" t="s">
        <v>12</v>
      </c>
      <c r="F176">
        <v>0.13300000000000001</v>
      </c>
      <c r="G176" t="s">
        <v>13</v>
      </c>
    </row>
    <row r="177" spans="1:7" x14ac:dyDescent="0.25">
      <c r="A177">
        <v>15</v>
      </c>
      <c r="B177" t="s">
        <v>135</v>
      </c>
      <c r="C177">
        <v>80</v>
      </c>
      <c r="D177" t="s">
        <v>228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135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135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135</v>
      </c>
      <c r="C180">
        <v>110</v>
      </c>
      <c r="D180" t="s">
        <v>103</v>
      </c>
      <c r="E180" t="s">
        <v>12</v>
      </c>
      <c r="F180">
        <v>0.95899999999999996</v>
      </c>
      <c r="G180" t="s">
        <v>13</v>
      </c>
    </row>
    <row r="181" spans="1:7" x14ac:dyDescent="0.25">
      <c r="A181">
        <v>15</v>
      </c>
      <c r="B181" t="s">
        <v>135</v>
      </c>
      <c r="C181">
        <v>120</v>
      </c>
      <c r="D181" t="s">
        <v>136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137</v>
      </c>
      <c r="C182">
        <v>10</v>
      </c>
      <c r="D182" t="s">
        <v>107</v>
      </c>
      <c r="E182" t="s">
        <v>14</v>
      </c>
      <c r="F182">
        <v>1.778</v>
      </c>
      <c r="G182" t="s">
        <v>15</v>
      </c>
    </row>
    <row r="183" spans="1:7" x14ac:dyDescent="0.25">
      <c r="A183">
        <v>16</v>
      </c>
      <c r="B183" t="s">
        <v>137</v>
      </c>
      <c r="C183">
        <v>20</v>
      </c>
      <c r="D183" t="s">
        <v>240</v>
      </c>
      <c r="E183" t="s">
        <v>14</v>
      </c>
      <c r="F183">
        <v>1.778</v>
      </c>
      <c r="G183" t="s">
        <v>15</v>
      </c>
    </row>
    <row r="184" spans="1:7" x14ac:dyDescent="0.25">
      <c r="A184">
        <v>16</v>
      </c>
      <c r="B184" t="s">
        <v>137</v>
      </c>
      <c r="C184">
        <v>30</v>
      </c>
      <c r="D184" t="s">
        <v>237</v>
      </c>
      <c r="E184" t="s">
        <v>238</v>
      </c>
      <c r="F184">
        <v>0.50900000000000001</v>
      </c>
      <c r="G184" t="s">
        <v>13</v>
      </c>
    </row>
    <row r="185" spans="1:7" x14ac:dyDescent="0.25">
      <c r="A185">
        <v>16</v>
      </c>
      <c r="B185" t="s">
        <v>137</v>
      </c>
      <c r="C185">
        <v>40</v>
      </c>
      <c r="D185" t="s">
        <v>101</v>
      </c>
      <c r="E185" t="s">
        <v>14</v>
      </c>
      <c r="F185">
        <v>15.037000000000001</v>
      </c>
      <c r="G185" t="s">
        <v>13</v>
      </c>
    </row>
    <row r="186" spans="1:7" x14ac:dyDescent="0.25">
      <c r="A186">
        <v>16</v>
      </c>
      <c r="B186" t="s">
        <v>137</v>
      </c>
      <c r="C186">
        <v>50</v>
      </c>
      <c r="D186" t="s">
        <v>16</v>
      </c>
      <c r="E186" t="s">
        <v>14</v>
      </c>
      <c r="F186">
        <v>92.475999999999999</v>
      </c>
      <c r="G186" t="s">
        <v>13</v>
      </c>
    </row>
    <row r="187" spans="1:7" x14ac:dyDescent="0.25">
      <c r="A187">
        <v>16</v>
      </c>
      <c r="B187" t="s">
        <v>137</v>
      </c>
      <c r="C187">
        <v>60</v>
      </c>
      <c r="D187" t="s">
        <v>230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137</v>
      </c>
      <c r="C188">
        <v>70</v>
      </c>
      <c r="D188" t="s">
        <v>229</v>
      </c>
      <c r="E188" t="s">
        <v>12</v>
      </c>
      <c r="F188">
        <v>0.14399999999999999</v>
      </c>
      <c r="G188" t="s">
        <v>13</v>
      </c>
    </row>
    <row r="189" spans="1:7" x14ac:dyDescent="0.25">
      <c r="A189">
        <v>16</v>
      </c>
      <c r="B189" t="s">
        <v>137</v>
      </c>
      <c r="C189">
        <v>80</v>
      </c>
      <c r="D189" t="s">
        <v>228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137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137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137</v>
      </c>
      <c r="C192">
        <v>110</v>
      </c>
      <c r="D192" t="s">
        <v>103</v>
      </c>
      <c r="E192" t="s">
        <v>12</v>
      </c>
      <c r="F192">
        <v>1.04</v>
      </c>
      <c r="G192" t="s">
        <v>13</v>
      </c>
    </row>
    <row r="193" spans="1:7" x14ac:dyDescent="0.25">
      <c r="A193">
        <v>16</v>
      </c>
      <c r="B193" t="s">
        <v>137</v>
      </c>
      <c r="C193">
        <v>120</v>
      </c>
      <c r="D193" t="s">
        <v>138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139</v>
      </c>
      <c r="C194">
        <v>10</v>
      </c>
      <c r="D194" t="s">
        <v>107</v>
      </c>
      <c r="E194" t="s">
        <v>14</v>
      </c>
      <c r="F194">
        <v>0.86399999999999999</v>
      </c>
      <c r="G194" t="s">
        <v>15</v>
      </c>
    </row>
    <row r="195" spans="1:7" x14ac:dyDescent="0.25">
      <c r="A195">
        <v>17</v>
      </c>
      <c r="B195" t="s">
        <v>139</v>
      </c>
      <c r="C195">
        <v>20</v>
      </c>
      <c r="D195" t="s">
        <v>240</v>
      </c>
      <c r="E195" t="s">
        <v>14</v>
      </c>
      <c r="F195">
        <v>0.86399999999999999</v>
      </c>
      <c r="G195" t="s">
        <v>15</v>
      </c>
    </row>
    <row r="196" spans="1:7" x14ac:dyDescent="0.25">
      <c r="A196">
        <v>17</v>
      </c>
      <c r="B196" t="s">
        <v>139</v>
      </c>
      <c r="C196">
        <v>30</v>
      </c>
      <c r="D196" t="s">
        <v>237</v>
      </c>
      <c r="E196" t="s">
        <v>238</v>
      </c>
      <c r="F196">
        <v>0.249</v>
      </c>
      <c r="G196" t="s">
        <v>13</v>
      </c>
    </row>
    <row r="197" spans="1:7" x14ac:dyDescent="0.25">
      <c r="A197">
        <v>17</v>
      </c>
      <c r="B197" t="s">
        <v>139</v>
      </c>
      <c r="C197">
        <v>40</v>
      </c>
      <c r="D197" t="s">
        <v>101</v>
      </c>
      <c r="E197" t="s">
        <v>14</v>
      </c>
      <c r="F197">
        <v>11.683999999999999</v>
      </c>
      <c r="G197" t="s">
        <v>13</v>
      </c>
    </row>
    <row r="198" spans="1:7" x14ac:dyDescent="0.25">
      <c r="A198">
        <v>17</v>
      </c>
      <c r="B198" t="s">
        <v>139</v>
      </c>
      <c r="C198">
        <v>50</v>
      </c>
      <c r="D198" t="s">
        <v>16</v>
      </c>
      <c r="E198" t="s">
        <v>14</v>
      </c>
      <c r="F198">
        <v>71.856999999999999</v>
      </c>
      <c r="G198" t="s">
        <v>13</v>
      </c>
    </row>
    <row r="199" spans="1:7" x14ac:dyDescent="0.25">
      <c r="A199">
        <v>17</v>
      </c>
      <c r="B199" t="s">
        <v>139</v>
      </c>
      <c r="C199">
        <v>60</v>
      </c>
      <c r="D199" t="s">
        <v>230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139</v>
      </c>
      <c r="C200">
        <v>70</v>
      </c>
      <c r="D200" t="s">
        <v>229</v>
      </c>
      <c r="E200" t="s">
        <v>12</v>
      </c>
      <c r="F200">
        <v>0.08</v>
      </c>
      <c r="G200" t="s">
        <v>13</v>
      </c>
    </row>
    <row r="201" spans="1:7" x14ac:dyDescent="0.25">
      <c r="A201">
        <v>17</v>
      </c>
      <c r="B201" t="s">
        <v>139</v>
      </c>
      <c r="C201">
        <v>80</v>
      </c>
      <c r="D201" t="s">
        <v>228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139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139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139</v>
      </c>
      <c r="C204">
        <v>110</v>
      </c>
      <c r="D204" t="s">
        <v>103</v>
      </c>
      <c r="E204" t="s">
        <v>12</v>
      </c>
      <c r="F204">
        <v>0.55400000000000005</v>
      </c>
      <c r="G204" t="s">
        <v>13</v>
      </c>
    </row>
    <row r="205" spans="1:7" x14ac:dyDescent="0.25">
      <c r="A205">
        <v>17</v>
      </c>
      <c r="B205" t="s">
        <v>139</v>
      </c>
      <c r="C205">
        <v>120</v>
      </c>
      <c r="D205" t="s">
        <v>140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141</v>
      </c>
      <c r="C206">
        <v>10</v>
      </c>
      <c r="D206" t="s">
        <v>107</v>
      </c>
      <c r="E206" t="s">
        <v>14</v>
      </c>
      <c r="F206">
        <v>1.016</v>
      </c>
      <c r="G206" t="s">
        <v>15</v>
      </c>
    </row>
    <row r="207" spans="1:7" x14ac:dyDescent="0.25">
      <c r="A207">
        <v>18</v>
      </c>
      <c r="B207" t="s">
        <v>141</v>
      </c>
      <c r="C207">
        <v>20</v>
      </c>
      <c r="D207" t="s">
        <v>240</v>
      </c>
      <c r="E207" t="s">
        <v>14</v>
      </c>
      <c r="F207">
        <v>1.016</v>
      </c>
      <c r="G207" t="s">
        <v>15</v>
      </c>
    </row>
    <row r="208" spans="1:7" x14ac:dyDescent="0.25">
      <c r="A208">
        <v>18</v>
      </c>
      <c r="B208" t="s">
        <v>141</v>
      </c>
      <c r="C208">
        <v>30</v>
      </c>
      <c r="D208" t="s">
        <v>237</v>
      </c>
      <c r="E208" t="s">
        <v>238</v>
      </c>
      <c r="F208">
        <v>0.29599999999999999</v>
      </c>
      <c r="G208" t="s">
        <v>13</v>
      </c>
    </row>
    <row r="209" spans="1:7" x14ac:dyDescent="0.25">
      <c r="A209">
        <v>18</v>
      </c>
      <c r="B209" t="s">
        <v>141</v>
      </c>
      <c r="C209">
        <v>40</v>
      </c>
      <c r="D209" t="s">
        <v>101</v>
      </c>
      <c r="E209" t="s">
        <v>14</v>
      </c>
      <c r="F209">
        <v>12.294</v>
      </c>
      <c r="G209" t="s">
        <v>13</v>
      </c>
    </row>
    <row r="210" spans="1:7" x14ac:dyDescent="0.25">
      <c r="A210">
        <v>18</v>
      </c>
      <c r="B210" t="s">
        <v>141</v>
      </c>
      <c r="C210">
        <v>50</v>
      </c>
      <c r="D210" t="s">
        <v>16</v>
      </c>
      <c r="E210" t="s">
        <v>14</v>
      </c>
      <c r="F210">
        <v>75.605999999999995</v>
      </c>
      <c r="G210" t="s">
        <v>13</v>
      </c>
    </row>
    <row r="211" spans="1:7" x14ac:dyDescent="0.25">
      <c r="A211">
        <v>18</v>
      </c>
      <c r="B211" t="s">
        <v>141</v>
      </c>
      <c r="C211">
        <v>60</v>
      </c>
      <c r="D211" t="s">
        <v>230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141</v>
      </c>
      <c r="C212">
        <v>70</v>
      </c>
      <c r="D212" t="s">
        <v>229</v>
      </c>
      <c r="E212" t="s">
        <v>12</v>
      </c>
      <c r="F212">
        <v>9.0999999999999998E-2</v>
      </c>
      <c r="G212" t="s">
        <v>13</v>
      </c>
    </row>
    <row r="213" spans="1:7" x14ac:dyDescent="0.25">
      <c r="A213">
        <v>18</v>
      </c>
      <c r="B213" t="s">
        <v>141</v>
      </c>
      <c r="C213">
        <v>80</v>
      </c>
      <c r="D213" t="s">
        <v>228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141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141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141</v>
      </c>
      <c r="C216">
        <v>110</v>
      </c>
      <c r="D216" t="s">
        <v>103</v>
      </c>
      <c r="E216" t="s">
        <v>12</v>
      </c>
      <c r="F216">
        <v>0.63500000000000001</v>
      </c>
      <c r="G216" t="s">
        <v>13</v>
      </c>
    </row>
    <row r="217" spans="1:7" x14ac:dyDescent="0.25">
      <c r="A217">
        <v>18</v>
      </c>
      <c r="B217" t="s">
        <v>141</v>
      </c>
      <c r="C217">
        <v>120</v>
      </c>
      <c r="D217" t="s">
        <v>142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143</v>
      </c>
      <c r="C218">
        <v>10</v>
      </c>
      <c r="D218" t="s">
        <v>107</v>
      </c>
      <c r="E218" t="s">
        <v>14</v>
      </c>
      <c r="F218">
        <v>1.1679999999999999</v>
      </c>
      <c r="G218" t="s">
        <v>15</v>
      </c>
    </row>
    <row r="219" spans="1:7" x14ac:dyDescent="0.25">
      <c r="A219">
        <v>19</v>
      </c>
      <c r="B219" t="s">
        <v>143</v>
      </c>
      <c r="C219">
        <v>20</v>
      </c>
      <c r="D219" t="s">
        <v>240</v>
      </c>
      <c r="E219" t="s">
        <v>14</v>
      </c>
      <c r="F219">
        <v>1.1679999999999999</v>
      </c>
      <c r="G219" t="s">
        <v>15</v>
      </c>
    </row>
    <row r="220" spans="1:7" x14ac:dyDescent="0.25">
      <c r="A220">
        <v>19</v>
      </c>
      <c r="B220" t="s">
        <v>143</v>
      </c>
      <c r="C220">
        <v>30</v>
      </c>
      <c r="D220" t="s">
        <v>237</v>
      </c>
      <c r="E220" t="s">
        <v>238</v>
      </c>
      <c r="F220">
        <v>0.34300000000000003</v>
      </c>
      <c r="G220" t="s">
        <v>13</v>
      </c>
    </row>
    <row r="221" spans="1:7" x14ac:dyDescent="0.25">
      <c r="A221">
        <v>19</v>
      </c>
      <c r="B221" t="s">
        <v>143</v>
      </c>
      <c r="C221">
        <v>40</v>
      </c>
      <c r="D221" t="s">
        <v>101</v>
      </c>
      <c r="E221" t="s">
        <v>14</v>
      </c>
      <c r="F221">
        <v>12.903</v>
      </c>
      <c r="G221" t="s">
        <v>13</v>
      </c>
    </row>
    <row r="222" spans="1:7" x14ac:dyDescent="0.25">
      <c r="A222">
        <v>19</v>
      </c>
      <c r="B222" t="s">
        <v>143</v>
      </c>
      <c r="C222">
        <v>50</v>
      </c>
      <c r="D222" t="s">
        <v>16</v>
      </c>
      <c r="E222" t="s">
        <v>14</v>
      </c>
      <c r="F222">
        <v>79.355000000000004</v>
      </c>
      <c r="G222" t="s">
        <v>13</v>
      </c>
    </row>
    <row r="223" spans="1:7" x14ac:dyDescent="0.25">
      <c r="A223">
        <v>19</v>
      </c>
      <c r="B223" t="s">
        <v>143</v>
      </c>
      <c r="C223">
        <v>60</v>
      </c>
      <c r="D223" t="s">
        <v>230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143</v>
      </c>
      <c r="C224">
        <v>70</v>
      </c>
      <c r="D224" t="s">
        <v>229</v>
      </c>
      <c r="E224" t="s">
        <v>12</v>
      </c>
      <c r="F224">
        <v>0.10100000000000001</v>
      </c>
      <c r="G224" t="s">
        <v>13</v>
      </c>
    </row>
    <row r="225" spans="1:7" x14ac:dyDescent="0.25">
      <c r="A225">
        <v>19</v>
      </c>
      <c r="B225" t="s">
        <v>143</v>
      </c>
      <c r="C225">
        <v>80</v>
      </c>
      <c r="D225" t="s">
        <v>228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143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143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143</v>
      </c>
      <c r="C228">
        <v>110</v>
      </c>
      <c r="D228" t="s">
        <v>103</v>
      </c>
      <c r="E228" t="s">
        <v>12</v>
      </c>
      <c r="F228">
        <v>0.71599999999999997</v>
      </c>
      <c r="G228" t="s">
        <v>13</v>
      </c>
    </row>
    <row r="229" spans="1:7" x14ac:dyDescent="0.25">
      <c r="A229">
        <v>19</v>
      </c>
      <c r="B229" t="s">
        <v>143</v>
      </c>
      <c r="C229">
        <v>120</v>
      </c>
      <c r="D229" t="s">
        <v>144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145</v>
      </c>
      <c r="C230">
        <v>10</v>
      </c>
      <c r="D230" t="s">
        <v>107</v>
      </c>
      <c r="E230" t="s">
        <v>14</v>
      </c>
      <c r="F230">
        <v>1.321</v>
      </c>
      <c r="G230" t="s">
        <v>15</v>
      </c>
    </row>
    <row r="231" spans="1:7" x14ac:dyDescent="0.25">
      <c r="A231">
        <v>20</v>
      </c>
      <c r="B231" t="s">
        <v>145</v>
      </c>
      <c r="C231">
        <v>20</v>
      </c>
      <c r="D231" t="s">
        <v>240</v>
      </c>
      <c r="E231" t="s">
        <v>14</v>
      </c>
      <c r="F231">
        <v>1.321</v>
      </c>
      <c r="G231" t="s">
        <v>15</v>
      </c>
    </row>
    <row r="232" spans="1:7" x14ac:dyDescent="0.25">
      <c r="A232">
        <v>20</v>
      </c>
      <c r="B232" t="s">
        <v>145</v>
      </c>
      <c r="C232">
        <v>30</v>
      </c>
      <c r="D232" t="s">
        <v>237</v>
      </c>
      <c r="E232" t="s">
        <v>238</v>
      </c>
      <c r="F232">
        <v>0.39</v>
      </c>
      <c r="G232" t="s">
        <v>13</v>
      </c>
    </row>
    <row r="233" spans="1:7" x14ac:dyDescent="0.25">
      <c r="A233">
        <v>20</v>
      </c>
      <c r="B233" t="s">
        <v>145</v>
      </c>
      <c r="C233">
        <v>40</v>
      </c>
      <c r="D233" t="s">
        <v>101</v>
      </c>
      <c r="E233" t="s">
        <v>14</v>
      </c>
      <c r="F233">
        <v>13.513</v>
      </c>
      <c r="G233" t="s">
        <v>13</v>
      </c>
    </row>
    <row r="234" spans="1:7" x14ac:dyDescent="0.25">
      <c r="A234">
        <v>20</v>
      </c>
      <c r="B234" t="s">
        <v>145</v>
      </c>
      <c r="C234">
        <v>50</v>
      </c>
      <c r="D234" t="s">
        <v>16</v>
      </c>
      <c r="E234" t="s">
        <v>14</v>
      </c>
      <c r="F234">
        <v>83.103999999999999</v>
      </c>
      <c r="G234" t="s">
        <v>13</v>
      </c>
    </row>
    <row r="235" spans="1:7" x14ac:dyDescent="0.25">
      <c r="A235">
        <v>20</v>
      </c>
      <c r="B235" t="s">
        <v>145</v>
      </c>
      <c r="C235">
        <v>60</v>
      </c>
      <c r="D235" t="s">
        <v>230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145</v>
      </c>
      <c r="C236">
        <v>70</v>
      </c>
      <c r="D236" t="s">
        <v>229</v>
      </c>
      <c r="E236" t="s">
        <v>12</v>
      </c>
      <c r="F236">
        <v>0.112</v>
      </c>
      <c r="G236" t="s">
        <v>13</v>
      </c>
    </row>
    <row r="237" spans="1:7" x14ac:dyDescent="0.25">
      <c r="A237">
        <v>20</v>
      </c>
      <c r="B237" t="s">
        <v>145</v>
      </c>
      <c r="C237">
        <v>80</v>
      </c>
      <c r="D237" t="s">
        <v>228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145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145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145</v>
      </c>
      <c r="C240">
        <v>110</v>
      </c>
      <c r="D240" t="s">
        <v>103</v>
      </c>
      <c r="E240" t="s">
        <v>12</v>
      </c>
      <c r="F240">
        <v>0.79700000000000004</v>
      </c>
      <c r="G240" t="s">
        <v>13</v>
      </c>
    </row>
    <row r="241" spans="1:7" x14ac:dyDescent="0.25">
      <c r="A241">
        <v>20</v>
      </c>
      <c r="B241" t="s">
        <v>145</v>
      </c>
      <c r="C241">
        <v>120</v>
      </c>
      <c r="D241" t="s">
        <v>146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147</v>
      </c>
      <c r="C242">
        <v>10</v>
      </c>
      <c r="D242" t="s">
        <v>107</v>
      </c>
      <c r="E242" t="s">
        <v>14</v>
      </c>
      <c r="F242">
        <v>1.397</v>
      </c>
      <c r="G242" t="s">
        <v>15</v>
      </c>
    </row>
    <row r="243" spans="1:7" x14ac:dyDescent="0.25">
      <c r="A243">
        <v>21</v>
      </c>
      <c r="B243" t="s">
        <v>147</v>
      </c>
      <c r="C243">
        <v>20</v>
      </c>
      <c r="D243" t="s">
        <v>240</v>
      </c>
      <c r="E243" t="s">
        <v>14</v>
      </c>
      <c r="F243">
        <v>1.397</v>
      </c>
      <c r="G243" t="s">
        <v>15</v>
      </c>
    </row>
    <row r="244" spans="1:7" x14ac:dyDescent="0.25">
      <c r="A244">
        <v>21</v>
      </c>
      <c r="B244" t="s">
        <v>147</v>
      </c>
      <c r="C244">
        <v>30</v>
      </c>
      <c r="D244" t="s">
        <v>237</v>
      </c>
      <c r="E244" t="s">
        <v>238</v>
      </c>
      <c r="F244">
        <v>0.41299999999999998</v>
      </c>
      <c r="G244" t="s">
        <v>13</v>
      </c>
    </row>
    <row r="245" spans="1:7" x14ac:dyDescent="0.25">
      <c r="A245">
        <v>21</v>
      </c>
      <c r="B245" t="s">
        <v>147</v>
      </c>
      <c r="C245">
        <v>40</v>
      </c>
      <c r="D245" t="s">
        <v>101</v>
      </c>
      <c r="E245" t="s">
        <v>14</v>
      </c>
      <c r="F245">
        <v>13.818</v>
      </c>
      <c r="G245" t="s">
        <v>13</v>
      </c>
    </row>
    <row r="246" spans="1:7" x14ac:dyDescent="0.25">
      <c r="A246">
        <v>21</v>
      </c>
      <c r="B246" t="s">
        <v>147</v>
      </c>
      <c r="C246">
        <v>50</v>
      </c>
      <c r="D246" t="s">
        <v>16</v>
      </c>
      <c r="E246" t="s">
        <v>14</v>
      </c>
      <c r="F246">
        <v>84.977999999999994</v>
      </c>
      <c r="G246" t="s">
        <v>13</v>
      </c>
    </row>
    <row r="247" spans="1:7" x14ac:dyDescent="0.25">
      <c r="A247">
        <v>21</v>
      </c>
      <c r="B247" t="s">
        <v>147</v>
      </c>
      <c r="C247">
        <v>60</v>
      </c>
      <c r="D247" t="s">
        <v>230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147</v>
      </c>
      <c r="C248">
        <v>70</v>
      </c>
      <c r="D248" t="s">
        <v>229</v>
      </c>
      <c r="E248" t="s">
        <v>12</v>
      </c>
      <c r="F248">
        <v>0.11700000000000001</v>
      </c>
      <c r="G248" t="s">
        <v>13</v>
      </c>
    </row>
    <row r="249" spans="1:7" x14ac:dyDescent="0.25">
      <c r="A249">
        <v>21</v>
      </c>
      <c r="B249" t="s">
        <v>147</v>
      </c>
      <c r="C249">
        <v>80</v>
      </c>
      <c r="D249" t="s">
        <v>228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147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147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147</v>
      </c>
      <c r="C252">
        <v>110</v>
      </c>
      <c r="D252" t="s">
        <v>103</v>
      </c>
      <c r="E252" t="s">
        <v>12</v>
      </c>
      <c r="F252">
        <v>0.83799999999999997</v>
      </c>
      <c r="G252" t="s">
        <v>13</v>
      </c>
    </row>
    <row r="253" spans="1:7" x14ac:dyDescent="0.25">
      <c r="A253">
        <v>21</v>
      </c>
      <c r="B253" t="s">
        <v>147</v>
      </c>
      <c r="C253">
        <v>120</v>
      </c>
      <c r="D253" t="s">
        <v>148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149</v>
      </c>
      <c r="C254">
        <v>10</v>
      </c>
      <c r="D254" t="s">
        <v>107</v>
      </c>
      <c r="E254" t="s">
        <v>14</v>
      </c>
      <c r="F254">
        <v>1.4730000000000001</v>
      </c>
      <c r="G254" t="s">
        <v>15</v>
      </c>
    </row>
    <row r="255" spans="1:7" x14ac:dyDescent="0.25">
      <c r="A255">
        <v>22</v>
      </c>
      <c r="B255" t="s">
        <v>149</v>
      </c>
      <c r="C255">
        <v>20</v>
      </c>
      <c r="D255" t="s">
        <v>240</v>
      </c>
      <c r="E255" t="s">
        <v>14</v>
      </c>
      <c r="F255">
        <v>1.4730000000000001</v>
      </c>
      <c r="G255" t="s">
        <v>15</v>
      </c>
    </row>
    <row r="256" spans="1:7" x14ac:dyDescent="0.25">
      <c r="A256">
        <v>22</v>
      </c>
      <c r="B256" t="s">
        <v>149</v>
      </c>
      <c r="C256">
        <v>30</v>
      </c>
      <c r="D256" t="s">
        <v>237</v>
      </c>
      <c r="E256" t="s">
        <v>238</v>
      </c>
      <c r="F256">
        <v>0.437</v>
      </c>
      <c r="G256" t="s">
        <v>13</v>
      </c>
    </row>
    <row r="257" spans="1:7" x14ac:dyDescent="0.25">
      <c r="A257">
        <v>22</v>
      </c>
      <c r="B257" t="s">
        <v>149</v>
      </c>
      <c r="C257">
        <v>40</v>
      </c>
      <c r="D257" t="s">
        <v>101</v>
      </c>
      <c r="E257" t="s">
        <v>14</v>
      </c>
      <c r="F257">
        <v>14.122</v>
      </c>
      <c r="G257" t="s">
        <v>13</v>
      </c>
    </row>
    <row r="258" spans="1:7" x14ac:dyDescent="0.25">
      <c r="A258">
        <v>22</v>
      </c>
      <c r="B258" t="s">
        <v>149</v>
      </c>
      <c r="C258">
        <v>50</v>
      </c>
      <c r="D258" t="s">
        <v>16</v>
      </c>
      <c r="E258" t="s">
        <v>14</v>
      </c>
      <c r="F258">
        <v>86.852999999999994</v>
      </c>
      <c r="G258" t="s">
        <v>13</v>
      </c>
    </row>
    <row r="259" spans="1:7" x14ac:dyDescent="0.25">
      <c r="A259">
        <v>22</v>
      </c>
      <c r="B259" t="s">
        <v>149</v>
      </c>
      <c r="C259">
        <v>60</v>
      </c>
      <c r="D259" t="s">
        <v>230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149</v>
      </c>
      <c r="C260">
        <v>70</v>
      </c>
      <c r="D260" t="s">
        <v>229</v>
      </c>
      <c r="E260" t="s">
        <v>12</v>
      </c>
      <c r="F260">
        <v>0.123</v>
      </c>
      <c r="G260" t="s">
        <v>13</v>
      </c>
    </row>
    <row r="261" spans="1:7" x14ac:dyDescent="0.25">
      <c r="A261">
        <v>22</v>
      </c>
      <c r="B261" t="s">
        <v>149</v>
      </c>
      <c r="C261">
        <v>80</v>
      </c>
      <c r="D261" t="s">
        <v>228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149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149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149</v>
      </c>
      <c r="C264">
        <v>110</v>
      </c>
      <c r="D264" t="s">
        <v>103</v>
      </c>
      <c r="E264" t="s">
        <v>12</v>
      </c>
      <c r="F264">
        <v>0.878</v>
      </c>
      <c r="G264" t="s">
        <v>13</v>
      </c>
    </row>
    <row r="265" spans="1:7" x14ac:dyDescent="0.25">
      <c r="A265">
        <v>22</v>
      </c>
      <c r="B265" t="s">
        <v>149</v>
      </c>
      <c r="C265">
        <v>120</v>
      </c>
      <c r="D265" t="s">
        <v>150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151</v>
      </c>
      <c r="C266">
        <v>10</v>
      </c>
      <c r="D266" t="s">
        <v>107</v>
      </c>
      <c r="E266" t="s">
        <v>14</v>
      </c>
      <c r="F266">
        <v>1.6259999999999999</v>
      </c>
      <c r="G266" t="s">
        <v>15</v>
      </c>
    </row>
    <row r="267" spans="1:7" x14ac:dyDescent="0.25">
      <c r="A267">
        <v>23</v>
      </c>
      <c r="B267" t="s">
        <v>151</v>
      </c>
      <c r="C267">
        <v>20</v>
      </c>
      <c r="D267" t="s">
        <v>240</v>
      </c>
      <c r="E267" t="s">
        <v>14</v>
      </c>
      <c r="F267">
        <v>1.6259999999999999</v>
      </c>
      <c r="G267" t="s">
        <v>15</v>
      </c>
    </row>
    <row r="268" spans="1:7" x14ac:dyDescent="0.25">
      <c r="A268">
        <v>23</v>
      </c>
      <c r="B268" t="s">
        <v>151</v>
      </c>
      <c r="C268">
        <v>30</v>
      </c>
      <c r="D268" t="s">
        <v>237</v>
      </c>
      <c r="E268" t="s">
        <v>238</v>
      </c>
      <c r="F268">
        <v>0.48299999999999998</v>
      </c>
      <c r="G268" t="s">
        <v>13</v>
      </c>
    </row>
    <row r="269" spans="1:7" x14ac:dyDescent="0.25">
      <c r="A269">
        <v>23</v>
      </c>
      <c r="B269" t="s">
        <v>151</v>
      </c>
      <c r="C269">
        <v>40</v>
      </c>
      <c r="D269" t="s">
        <v>101</v>
      </c>
      <c r="E269" t="s">
        <v>14</v>
      </c>
      <c r="F269">
        <v>14.731999999999999</v>
      </c>
      <c r="G269" t="s">
        <v>13</v>
      </c>
    </row>
    <row r="270" spans="1:7" x14ac:dyDescent="0.25">
      <c r="A270">
        <v>23</v>
      </c>
      <c r="B270" t="s">
        <v>151</v>
      </c>
      <c r="C270">
        <v>50</v>
      </c>
      <c r="D270" t="s">
        <v>16</v>
      </c>
      <c r="E270" t="s">
        <v>14</v>
      </c>
      <c r="F270">
        <v>90.602000000000004</v>
      </c>
      <c r="G270" t="s">
        <v>13</v>
      </c>
    </row>
    <row r="271" spans="1:7" x14ac:dyDescent="0.25">
      <c r="A271">
        <v>23</v>
      </c>
      <c r="B271" t="s">
        <v>151</v>
      </c>
      <c r="C271">
        <v>60</v>
      </c>
      <c r="D271" t="s">
        <v>230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151</v>
      </c>
      <c r="C272">
        <v>70</v>
      </c>
      <c r="D272" t="s">
        <v>229</v>
      </c>
      <c r="E272" t="s">
        <v>12</v>
      </c>
      <c r="F272">
        <v>0.13300000000000001</v>
      </c>
      <c r="G272" t="s">
        <v>13</v>
      </c>
    </row>
    <row r="273" spans="1:7" x14ac:dyDescent="0.25">
      <c r="A273">
        <v>23</v>
      </c>
      <c r="B273" t="s">
        <v>151</v>
      </c>
      <c r="C273">
        <v>80</v>
      </c>
      <c r="D273" t="s">
        <v>228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151</v>
      </c>
      <c r="C276">
        <v>110</v>
      </c>
      <c r="D276" t="s">
        <v>103</v>
      </c>
      <c r="E276" t="s">
        <v>12</v>
      </c>
      <c r="F276">
        <v>0.95899999999999996</v>
      </c>
      <c r="G276" t="s">
        <v>13</v>
      </c>
    </row>
    <row r="277" spans="1:7" x14ac:dyDescent="0.25">
      <c r="A277">
        <v>23</v>
      </c>
      <c r="B277" t="s">
        <v>151</v>
      </c>
      <c r="C277">
        <v>120</v>
      </c>
      <c r="D277" t="s">
        <v>152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153</v>
      </c>
      <c r="C278">
        <v>10</v>
      </c>
      <c r="D278" t="s">
        <v>107</v>
      </c>
      <c r="E278" t="s">
        <v>14</v>
      </c>
      <c r="F278">
        <v>1.778</v>
      </c>
      <c r="G278" t="s">
        <v>15</v>
      </c>
    </row>
    <row r="279" spans="1:7" x14ac:dyDescent="0.25">
      <c r="A279">
        <v>24</v>
      </c>
      <c r="B279" t="s">
        <v>153</v>
      </c>
      <c r="C279">
        <v>20</v>
      </c>
      <c r="D279" t="s">
        <v>240</v>
      </c>
      <c r="E279" t="s">
        <v>14</v>
      </c>
      <c r="F279">
        <v>1.778</v>
      </c>
      <c r="G279" t="s">
        <v>15</v>
      </c>
    </row>
    <row r="280" spans="1:7" x14ac:dyDescent="0.25">
      <c r="A280">
        <v>24</v>
      </c>
      <c r="B280" t="s">
        <v>153</v>
      </c>
      <c r="C280">
        <v>30</v>
      </c>
      <c r="D280" t="s">
        <v>237</v>
      </c>
      <c r="E280" t="s">
        <v>238</v>
      </c>
      <c r="F280">
        <v>0.53</v>
      </c>
      <c r="G280" t="s">
        <v>13</v>
      </c>
    </row>
    <row r="281" spans="1:7" x14ac:dyDescent="0.25">
      <c r="A281">
        <v>24</v>
      </c>
      <c r="B281" t="s">
        <v>153</v>
      </c>
      <c r="C281">
        <v>40</v>
      </c>
      <c r="D281" t="s">
        <v>101</v>
      </c>
      <c r="E281" t="s">
        <v>14</v>
      </c>
      <c r="F281">
        <v>15.342000000000001</v>
      </c>
      <c r="G281" t="s">
        <v>13</v>
      </c>
    </row>
    <row r="282" spans="1:7" x14ac:dyDescent="0.25">
      <c r="A282">
        <v>24</v>
      </c>
      <c r="B282" t="s">
        <v>153</v>
      </c>
      <c r="C282">
        <v>50</v>
      </c>
      <c r="D282" t="s">
        <v>16</v>
      </c>
      <c r="E282" t="s">
        <v>14</v>
      </c>
      <c r="F282">
        <v>94.350999999999999</v>
      </c>
      <c r="G282" t="s">
        <v>13</v>
      </c>
    </row>
    <row r="283" spans="1:7" x14ac:dyDescent="0.25">
      <c r="A283">
        <v>24</v>
      </c>
      <c r="B283" t="s">
        <v>153</v>
      </c>
      <c r="C283">
        <v>60</v>
      </c>
      <c r="D283" t="s">
        <v>230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153</v>
      </c>
      <c r="C284">
        <v>70</v>
      </c>
      <c r="D284" t="s">
        <v>229</v>
      </c>
      <c r="E284" t="s">
        <v>12</v>
      </c>
      <c r="F284">
        <v>0.14399999999999999</v>
      </c>
      <c r="G284" t="s">
        <v>13</v>
      </c>
    </row>
    <row r="285" spans="1:7" x14ac:dyDescent="0.25">
      <c r="A285">
        <v>24</v>
      </c>
      <c r="B285" t="s">
        <v>153</v>
      </c>
      <c r="C285">
        <v>80</v>
      </c>
      <c r="D285" t="s">
        <v>228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153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153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153</v>
      </c>
      <c r="C288">
        <v>110</v>
      </c>
      <c r="D288" t="s">
        <v>103</v>
      </c>
      <c r="E288" t="s">
        <v>12</v>
      </c>
      <c r="F288">
        <v>1.04</v>
      </c>
      <c r="G288" t="s">
        <v>13</v>
      </c>
    </row>
    <row r="289" spans="1:7" x14ac:dyDescent="0.25">
      <c r="A289">
        <v>24</v>
      </c>
      <c r="B289" t="s">
        <v>153</v>
      </c>
      <c r="C289">
        <v>120</v>
      </c>
      <c r="D289" t="s">
        <v>154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155</v>
      </c>
      <c r="C290">
        <v>10</v>
      </c>
      <c r="D290" t="s">
        <v>107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155</v>
      </c>
      <c r="C291">
        <v>20</v>
      </c>
      <c r="D291" t="s">
        <v>240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155</v>
      </c>
      <c r="C292">
        <v>30</v>
      </c>
      <c r="D292" t="s">
        <v>237</v>
      </c>
      <c r="E292" t="s">
        <v>238</v>
      </c>
      <c r="F292">
        <v>0.25600000000000001</v>
      </c>
      <c r="G292" t="s">
        <v>13</v>
      </c>
    </row>
    <row r="293" spans="1:7" x14ac:dyDescent="0.25">
      <c r="A293">
        <v>25</v>
      </c>
      <c r="B293" t="s">
        <v>155</v>
      </c>
      <c r="C293">
        <v>40</v>
      </c>
      <c r="D293" t="s">
        <v>101</v>
      </c>
      <c r="E293" t="s">
        <v>14</v>
      </c>
      <c r="F293">
        <v>11.887</v>
      </c>
      <c r="G293" t="s">
        <v>13</v>
      </c>
    </row>
    <row r="294" spans="1:7" x14ac:dyDescent="0.25">
      <c r="A294">
        <v>25</v>
      </c>
      <c r="B294" t="s">
        <v>155</v>
      </c>
      <c r="C294">
        <v>50</v>
      </c>
      <c r="D294" t="s">
        <v>16</v>
      </c>
      <c r="E294" t="s">
        <v>14</v>
      </c>
      <c r="F294">
        <v>73.105999999999995</v>
      </c>
      <c r="G294" t="s">
        <v>13</v>
      </c>
    </row>
    <row r="295" spans="1:7" x14ac:dyDescent="0.25">
      <c r="A295">
        <v>25</v>
      </c>
      <c r="B295" t="s">
        <v>155</v>
      </c>
      <c r="C295">
        <v>60</v>
      </c>
      <c r="D295" t="s">
        <v>230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155</v>
      </c>
      <c r="C296">
        <v>70</v>
      </c>
      <c r="D296" t="s">
        <v>229</v>
      </c>
      <c r="E296" t="s">
        <v>12</v>
      </c>
      <c r="F296">
        <v>0.08</v>
      </c>
      <c r="G296" t="s">
        <v>13</v>
      </c>
    </row>
    <row r="297" spans="1:7" x14ac:dyDescent="0.25">
      <c r="A297">
        <v>25</v>
      </c>
      <c r="B297" t="s">
        <v>155</v>
      </c>
      <c r="C297">
        <v>80</v>
      </c>
      <c r="D297" t="s">
        <v>228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155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155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155</v>
      </c>
      <c r="C300">
        <v>110</v>
      </c>
      <c r="D300" t="s">
        <v>103</v>
      </c>
      <c r="E300" t="s">
        <v>12</v>
      </c>
      <c r="F300">
        <v>1.1890000000000001</v>
      </c>
      <c r="G300" t="s">
        <v>13</v>
      </c>
    </row>
    <row r="301" spans="1:7" x14ac:dyDescent="0.25">
      <c r="A301">
        <v>25</v>
      </c>
      <c r="B301" t="s">
        <v>155</v>
      </c>
      <c r="C301">
        <v>120</v>
      </c>
      <c r="D301" t="s">
        <v>156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157</v>
      </c>
      <c r="C302">
        <v>10</v>
      </c>
      <c r="D302" t="s">
        <v>107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26</v>
      </c>
      <c r="B303" t="s">
        <v>157</v>
      </c>
      <c r="C303">
        <v>20</v>
      </c>
      <c r="D303" t="s">
        <v>240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157</v>
      </c>
      <c r="C304">
        <v>30</v>
      </c>
      <c r="D304" t="s">
        <v>237</v>
      </c>
      <c r="E304" t="s">
        <v>238</v>
      </c>
      <c r="F304">
        <v>0.30399999999999999</v>
      </c>
      <c r="G304" t="s">
        <v>13</v>
      </c>
    </row>
    <row r="305" spans="1:7" x14ac:dyDescent="0.25">
      <c r="A305">
        <v>26</v>
      </c>
      <c r="B305" t="s">
        <v>157</v>
      </c>
      <c r="C305">
        <v>40</v>
      </c>
      <c r="D305" t="s">
        <v>101</v>
      </c>
      <c r="E305" t="s">
        <v>14</v>
      </c>
      <c r="F305">
        <v>12.497</v>
      </c>
      <c r="G305" t="s">
        <v>13</v>
      </c>
    </row>
    <row r="306" spans="1:7" x14ac:dyDescent="0.25">
      <c r="A306">
        <v>26</v>
      </c>
      <c r="B306" t="s">
        <v>157</v>
      </c>
      <c r="C306">
        <v>50</v>
      </c>
      <c r="D306" t="s">
        <v>16</v>
      </c>
      <c r="E306" t="s">
        <v>14</v>
      </c>
      <c r="F306">
        <v>76.855000000000004</v>
      </c>
      <c r="G306" t="s">
        <v>13</v>
      </c>
    </row>
    <row r="307" spans="1:7" x14ac:dyDescent="0.25">
      <c r="A307">
        <v>26</v>
      </c>
      <c r="B307" t="s">
        <v>157</v>
      </c>
      <c r="C307">
        <v>60</v>
      </c>
      <c r="D307" t="s">
        <v>230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157</v>
      </c>
      <c r="C308">
        <v>70</v>
      </c>
      <c r="D308" t="s">
        <v>229</v>
      </c>
      <c r="E308" t="s">
        <v>12</v>
      </c>
      <c r="F308">
        <v>9.0999999999999998E-2</v>
      </c>
      <c r="G308" t="s">
        <v>13</v>
      </c>
    </row>
    <row r="309" spans="1:7" x14ac:dyDescent="0.25">
      <c r="A309">
        <v>26</v>
      </c>
      <c r="B309" t="s">
        <v>157</v>
      </c>
      <c r="C309">
        <v>80</v>
      </c>
      <c r="D309" t="s">
        <v>228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157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157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157</v>
      </c>
      <c r="C312">
        <v>110</v>
      </c>
      <c r="D312" t="s">
        <v>103</v>
      </c>
      <c r="E312" t="s">
        <v>12</v>
      </c>
      <c r="F312">
        <v>1.1890000000000001</v>
      </c>
      <c r="G312" t="s">
        <v>13</v>
      </c>
    </row>
    <row r="313" spans="1:7" x14ac:dyDescent="0.25">
      <c r="A313">
        <v>26</v>
      </c>
      <c r="B313" t="s">
        <v>157</v>
      </c>
      <c r="C313">
        <v>120</v>
      </c>
      <c r="D313" t="s">
        <v>158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159</v>
      </c>
      <c r="C314">
        <v>10</v>
      </c>
      <c r="D314" t="s">
        <v>107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27</v>
      </c>
      <c r="B315" t="s">
        <v>159</v>
      </c>
      <c r="C315">
        <v>20</v>
      </c>
      <c r="D315" t="s">
        <v>240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159</v>
      </c>
      <c r="C316">
        <v>30</v>
      </c>
      <c r="D316" t="s">
        <v>237</v>
      </c>
      <c r="E316" t="s">
        <v>238</v>
      </c>
      <c r="F316">
        <v>0.35199999999999998</v>
      </c>
      <c r="G316" t="s">
        <v>13</v>
      </c>
    </row>
    <row r="317" spans="1:7" x14ac:dyDescent="0.25">
      <c r="A317">
        <v>27</v>
      </c>
      <c r="B317" t="s">
        <v>159</v>
      </c>
      <c r="C317">
        <v>40</v>
      </c>
      <c r="D317" t="s">
        <v>101</v>
      </c>
      <c r="E317" t="s">
        <v>14</v>
      </c>
      <c r="F317">
        <v>13.106</v>
      </c>
      <c r="G317" t="s">
        <v>13</v>
      </c>
    </row>
    <row r="318" spans="1:7" x14ac:dyDescent="0.25">
      <c r="A318">
        <v>27</v>
      </c>
      <c r="B318" t="s">
        <v>159</v>
      </c>
      <c r="C318">
        <v>50</v>
      </c>
      <c r="D318" t="s">
        <v>16</v>
      </c>
      <c r="E318" t="s">
        <v>14</v>
      </c>
      <c r="F318">
        <v>80.603999999999999</v>
      </c>
      <c r="G318" t="s">
        <v>13</v>
      </c>
    </row>
    <row r="319" spans="1:7" x14ac:dyDescent="0.25">
      <c r="A319">
        <v>27</v>
      </c>
      <c r="B319" t="s">
        <v>159</v>
      </c>
      <c r="C319">
        <v>60</v>
      </c>
      <c r="D319" t="s">
        <v>230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159</v>
      </c>
      <c r="C320">
        <v>70</v>
      </c>
      <c r="D320" t="s">
        <v>229</v>
      </c>
      <c r="E320" t="s">
        <v>12</v>
      </c>
      <c r="F320">
        <v>0.10100000000000001</v>
      </c>
      <c r="G320" t="s">
        <v>13</v>
      </c>
    </row>
    <row r="321" spans="1:7" x14ac:dyDescent="0.25">
      <c r="A321">
        <v>27</v>
      </c>
      <c r="B321" t="s">
        <v>159</v>
      </c>
      <c r="C321">
        <v>80</v>
      </c>
      <c r="D321" t="s">
        <v>228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159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159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159</v>
      </c>
      <c r="C324">
        <v>110</v>
      </c>
      <c r="D324" t="s">
        <v>103</v>
      </c>
      <c r="E324" t="s">
        <v>12</v>
      </c>
      <c r="F324">
        <v>1.1890000000000001</v>
      </c>
      <c r="G324" t="s">
        <v>13</v>
      </c>
    </row>
    <row r="325" spans="1:7" x14ac:dyDescent="0.25">
      <c r="A325">
        <v>27</v>
      </c>
      <c r="B325" t="s">
        <v>159</v>
      </c>
      <c r="C325">
        <v>120</v>
      </c>
      <c r="D325" t="s">
        <v>160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161</v>
      </c>
      <c r="C326">
        <v>10</v>
      </c>
      <c r="D326" t="s">
        <v>107</v>
      </c>
      <c r="E326" t="s">
        <v>14</v>
      </c>
      <c r="F326">
        <v>2.0569999999999999</v>
      </c>
      <c r="G326" t="s">
        <v>15</v>
      </c>
    </row>
    <row r="327" spans="1:7" x14ac:dyDescent="0.25">
      <c r="A327">
        <v>28</v>
      </c>
      <c r="B327" t="s">
        <v>161</v>
      </c>
      <c r="C327">
        <v>20</v>
      </c>
      <c r="D327" t="s">
        <v>240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161</v>
      </c>
      <c r="C328">
        <v>30</v>
      </c>
      <c r="D328" t="s">
        <v>237</v>
      </c>
      <c r="E328" t="s">
        <v>238</v>
      </c>
      <c r="F328">
        <v>0.4</v>
      </c>
      <c r="G328" t="s">
        <v>13</v>
      </c>
    </row>
    <row r="329" spans="1:7" x14ac:dyDescent="0.25">
      <c r="A329">
        <v>28</v>
      </c>
      <c r="B329" t="s">
        <v>161</v>
      </c>
      <c r="C329">
        <v>40</v>
      </c>
      <c r="D329" t="s">
        <v>101</v>
      </c>
      <c r="E329" t="s">
        <v>14</v>
      </c>
      <c r="F329">
        <v>13.715999999999999</v>
      </c>
      <c r="G329" t="s">
        <v>13</v>
      </c>
    </row>
    <row r="330" spans="1:7" x14ac:dyDescent="0.25">
      <c r="A330">
        <v>28</v>
      </c>
      <c r="B330" t="s">
        <v>161</v>
      </c>
      <c r="C330">
        <v>50</v>
      </c>
      <c r="D330" t="s">
        <v>16</v>
      </c>
      <c r="E330" t="s">
        <v>14</v>
      </c>
      <c r="F330">
        <v>84.352999999999994</v>
      </c>
      <c r="G330" t="s">
        <v>13</v>
      </c>
    </row>
    <row r="331" spans="1:7" x14ac:dyDescent="0.25">
      <c r="A331">
        <v>28</v>
      </c>
      <c r="B331" t="s">
        <v>161</v>
      </c>
      <c r="C331">
        <v>60</v>
      </c>
      <c r="D331" t="s">
        <v>230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161</v>
      </c>
      <c r="C332">
        <v>70</v>
      </c>
      <c r="D332" t="s">
        <v>229</v>
      </c>
      <c r="E332" t="s">
        <v>12</v>
      </c>
      <c r="F332">
        <v>0.112</v>
      </c>
      <c r="G332" t="s">
        <v>13</v>
      </c>
    </row>
    <row r="333" spans="1:7" x14ac:dyDescent="0.25">
      <c r="A333">
        <v>28</v>
      </c>
      <c r="B333" t="s">
        <v>161</v>
      </c>
      <c r="C333">
        <v>80</v>
      </c>
      <c r="D333" t="s">
        <v>228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161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161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161</v>
      </c>
      <c r="C336">
        <v>110</v>
      </c>
      <c r="D336" t="s">
        <v>103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28</v>
      </c>
      <c r="B337" t="s">
        <v>161</v>
      </c>
      <c r="C337">
        <v>120</v>
      </c>
      <c r="D337" t="s">
        <v>162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163</v>
      </c>
      <c r="C338">
        <v>10</v>
      </c>
      <c r="D338" t="s">
        <v>107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29</v>
      </c>
      <c r="B339" t="s">
        <v>163</v>
      </c>
      <c r="C339">
        <v>20</v>
      </c>
      <c r="D339" t="s">
        <v>240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29</v>
      </c>
      <c r="B340" t="s">
        <v>163</v>
      </c>
      <c r="C340">
        <v>30</v>
      </c>
      <c r="D340" t="s">
        <v>237</v>
      </c>
      <c r="E340" t="s">
        <v>238</v>
      </c>
      <c r="F340">
        <v>0.42399999999999999</v>
      </c>
      <c r="G340" t="s">
        <v>13</v>
      </c>
    </row>
    <row r="341" spans="1:7" x14ac:dyDescent="0.25">
      <c r="A341">
        <v>29</v>
      </c>
      <c r="B341" t="s">
        <v>163</v>
      </c>
      <c r="C341">
        <v>40</v>
      </c>
      <c r="D341" t="s">
        <v>101</v>
      </c>
      <c r="E341" t="s">
        <v>14</v>
      </c>
      <c r="F341">
        <v>14.021000000000001</v>
      </c>
      <c r="G341" t="s">
        <v>13</v>
      </c>
    </row>
    <row r="342" spans="1:7" x14ac:dyDescent="0.25">
      <c r="A342">
        <v>29</v>
      </c>
      <c r="B342" t="s">
        <v>163</v>
      </c>
      <c r="C342">
        <v>50</v>
      </c>
      <c r="D342" t="s">
        <v>16</v>
      </c>
      <c r="E342" t="s">
        <v>14</v>
      </c>
      <c r="F342">
        <v>86.227999999999994</v>
      </c>
      <c r="G342" t="s">
        <v>13</v>
      </c>
    </row>
    <row r="343" spans="1:7" x14ac:dyDescent="0.25">
      <c r="A343">
        <v>29</v>
      </c>
      <c r="B343" t="s">
        <v>163</v>
      </c>
      <c r="C343">
        <v>60</v>
      </c>
      <c r="D343" t="s">
        <v>230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163</v>
      </c>
      <c r="C344">
        <v>70</v>
      </c>
      <c r="D344" t="s">
        <v>229</v>
      </c>
      <c r="E344" t="s">
        <v>12</v>
      </c>
      <c r="F344">
        <v>0.11700000000000001</v>
      </c>
      <c r="G344" t="s">
        <v>13</v>
      </c>
    </row>
    <row r="345" spans="1:7" x14ac:dyDescent="0.25">
      <c r="A345">
        <v>29</v>
      </c>
      <c r="B345" t="s">
        <v>163</v>
      </c>
      <c r="C345">
        <v>80</v>
      </c>
      <c r="D345" t="s">
        <v>228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163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163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163</v>
      </c>
      <c r="C348">
        <v>110</v>
      </c>
      <c r="D348" t="s">
        <v>103</v>
      </c>
      <c r="E348" t="s">
        <v>12</v>
      </c>
      <c r="F348">
        <v>1.1890000000000001</v>
      </c>
      <c r="G348" t="s">
        <v>13</v>
      </c>
    </row>
    <row r="349" spans="1:7" x14ac:dyDescent="0.25">
      <c r="A349">
        <v>29</v>
      </c>
      <c r="B349" t="s">
        <v>163</v>
      </c>
      <c r="C349">
        <v>120</v>
      </c>
      <c r="D349" t="s">
        <v>164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165</v>
      </c>
      <c r="C350">
        <v>10</v>
      </c>
      <c r="D350" t="s">
        <v>107</v>
      </c>
      <c r="E350" t="s">
        <v>14</v>
      </c>
      <c r="F350">
        <v>2.0569999999999999</v>
      </c>
      <c r="G350" t="s">
        <v>15</v>
      </c>
    </row>
    <row r="351" spans="1:7" x14ac:dyDescent="0.25">
      <c r="A351">
        <v>30</v>
      </c>
      <c r="B351" t="s">
        <v>165</v>
      </c>
      <c r="C351">
        <v>20</v>
      </c>
      <c r="D351" t="s">
        <v>240</v>
      </c>
      <c r="E351" t="s">
        <v>14</v>
      </c>
      <c r="F351">
        <v>2.0569999999999999</v>
      </c>
      <c r="G351" t="s">
        <v>15</v>
      </c>
    </row>
    <row r="352" spans="1:7" x14ac:dyDescent="0.25">
      <c r="A352">
        <v>30</v>
      </c>
      <c r="B352" t="s">
        <v>165</v>
      </c>
      <c r="C352">
        <v>30</v>
      </c>
      <c r="D352" t="s">
        <v>237</v>
      </c>
      <c r="E352" t="s">
        <v>238</v>
      </c>
      <c r="F352">
        <v>0.44800000000000001</v>
      </c>
      <c r="G352" t="s">
        <v>13</v>
      </c>
    </row>
    <row r="353" spans="1:7" x14ac:dyDescent="0.25">
      <c r="A353">
        <v>30</v>
      </c>
      <c r="B353" t="s">
        <v>165</v>
      </c>
      <c r="C353">
        <v>40</v>
      </c>
      <c r="D353" t="s">
        <v>101</v>
      </c>
      <c r="E353" t="s">
        <v>14</v>
      </c>
      <c r="F353">
        <v>14.326000000000001</v>
      </c>
      <c r="G353" t="s">
        <v>13</v>
      </c>
    </row>
    <row r="354" spans="1:7" x14ac:dyDescent="0.25">
      <c r="A354">
        <v>30</v>
      </c>
      <c r="B354" t="s">
        <v>165</v>
      </c>
      <c r="C354">
        <v>50</v>
      </c>
      <c r="D354" t="s">
        <v>16</v>
      </c>
      <c r="E354" t="s">
        <v>14</v>
      </c>
      <c r="F354">
        <v>88.102000000000004</v>
      </c>
      <c r="G354" t="s">
        <v>13</v>
      </c>
    </row>
    <row r="355" spans="1:7" x14ac:dyDescent="0.25">
      <c r="A355">
        <v>30</v>
      </c>
      <c r="B355" t="s">
        <v>165</v>
      </c>
      <c r="C355">
        <v>60</v>
      </c>
      <c r="D355" t="s">
        <v>230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165</v>
      </c>
      <c r="C356">
        <v>70</v>
      </c>
      <c r="D356" t="s">
        <v>229</v>
      </c>
      <c r="E356" t="s">
        <v>12</v>
      </c>
      <c r="F356">
        <v>0.123</v>
      </c>
      <c r="G356" t="s">
        <v>13</v>
      </c>
    </row>
    <row r="357" spans="1:7" x14ac:dyDescent="0.25">
      <c r="A357">
        <v>30</v>
      </c>
      <c r="B357" t="s">
        <v>165</v>
      </c>
      <c r="C357">
        <v>80</v>
      </c>
      <c r="D357" t="s">
        <v>228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165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165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165</v>
      </c>
      <c r="C360">
        <v>110</v>
      </c>
      <c r="D360" t="s">
        <v>103</v>
      </c>
      <c r="E360" t="s">
        <v>12</v>
      </c>
      <c r="F360">
        <v>1.1890000000000001</v>
      </c>
      <c r="G360" t="s">
        <v>13</v>
      </c>
    </row>
    <row r="361" spans="1:7" x14ac:dyDescent="0.25">
      <c r="A361">
        <v>30</v>
      </c>
      <c r="B361" t="s">
        <v>165</v>
      </c>
      <c r="C361">
        <v>120</v>
      </c>
      <c r="D361" t="s">
        <v>166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167</v>
      </c>
      <c r="C362">
        <v>10</v>
      </c>
      <c r="D362" t="s">
        <v>107</v>
      </c>
      <c r="E362" t="s">
        <v>14</v>
      </c>
      <c r="F362">
        <v>2.0569999999999999</v>
      </c>
      <c r="G362" t="s">
        <v>15</v>
      </c>
    </row>
    <row r="363" spans="1:7" x14ac:dyDescent="0.25">
      <c r="A363">
        <v>31</v>
      </c>
      <c r="B363" t="s">
        <v>167</v>
      </c>
      <c r="C363">
        <v>20</v>
      </c>
      <c r="D363" t="s">
        <v>240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31</v>
      </c>
      <c r="B364" t="s">
        <v>167</v>
      </c>
      <c r="C364">
        <v>30</v>
      </c>
      <c r="D364" t="s">
        <v>237</v>
      </c>
      <c r="E364" t="s">
        <v>238</v>
      </c>
      <c r="F364">
        <v>0.496</v>
      </c>
      <c r="G364" t="s">
        <v>13</v>
      </c>
    </row>
    <row r="365" spans="1:7" x14ac:dyDescent="0.25">
      <c r="A365">
        <v>31</v>
      </c>
      <c r="B365" t="s">
        <v>167</v>
      </c>
      <c r="C365">
        <v>40</v>
      </c>
      <c r="D365" t="s">
        <v>101</v>
      </c>
      <c r="E365" t="s">
        <v>14</v>
      </c>
      <c r="F365">
        <v>14.935</v>
      </c>
      <c r="G365" t="s">
        <v>13</v>
      </c>
    </row>
    <row r="366" spans="1:7" x14ac:dyDescent="0.25">
      <c r="A366">
        <v>31</v>
      </c>
      <c r="B366" t="s">
        <v>167</v>
      </c>
      <c r="C366">
        <v>50</v>
      </c>
      <c r="D366" t="s">
        <v>16</v>
      </c>
      <c r="E366" t="s">
        <v>14</v>
      </c>
      <c r="F366">
        <v>91.850999999999999</v>
      </c>
      <c r="G366" t="s">
        <v>13</v>
      </c>
    </row>
    <row r="367" spans="1:7" x14ac:dyDescent="0.25">
      <c r="A367">
        <v>31</v>
      </c>
      <c r="B367" t="s">
        <v>167</v>
      </c>
      <c r="C367">
        <v>60</v>
      </c>
      <c r="D367" t="s">
        <v>230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167</v>
      </c>
      <c r="C368">
        <v>70</v>
      </c>
      <c r="D368" t="s">
        <v>229</v>
      </c>
      <c r="E368" t="s">
        <v>12</v>
      </c>
      <c r="F368">
        <v>0.13300000000000001</v>
      </c>
      <c r="G368" t="s">
        <v>13</v>
      </c>
    </row>
    <row r="369" spans="1:7" x14ac:dyDescent="0.25">
      <c r="A369">
        <v>31</v>
      </c>
      <c r="B369" t="s">
        <v>167</v>
      </c>
      <c r="C369">
        <v>80</v>
      </c>
      <c r="D369" t="s">
        <v>228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167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167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167</v>
      </c>
      <c r="C372">
        <v>110</v>
      </c>
      <c r="D372" t="s">
        <v>103</v>
      </c>
      <c r="E372" t="s">
        <v>12</v>
      </c>
      <c r="F372">
        <v>1.1890000000000001</v>
      </c>
      <c r="G372" t="s">
        <v>13</v>
      </c>
    </row>
    <row r="373" spans="1:7" x14ac:dyDescent="0.25">
      <c r="A373">
        <v>31</v>
      </c>
      <c r="B373" t="s">
        <v>167</v>
      </c>
      <c r="C373">
        <v>120</v>
      </c>
      <c r="D373" t="s">
        <v>168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169</v>
      </c>
      <c r="C374">
        <v>10</v>
      </c>
      <c r="D374" t="s">
        <v>107</v>
      </c>
      <c r="E374" t="s">
        <v>14</v>
      </c>
      <c r="F374">
        <v>2.0569999999999999</v>
      </c>
      <c r="G374" t="s">
        <v>15</v>
      </c>
    </row>
    <row r="375" spans="1:7" x14ac:dyDescent="0.25">
      <c r="A375">
        <v>32</v>
      </c>
      <c r="B375" t="s">
        <v>169</v>
      </c>
      <c r="C375">
        <v>20</v>
      </c>
      <c r="D375" t="s">
        <v>240</v>
      </c>
      <c r="E375" t="s">
        <v>14</v>
      </c>
      <c r="F375">
        <v>2.0569999999999999</v>
      </c>
      <c r="G375" t="s">
        <v>15</v>
      </c>
    </row>
    <row r="376" spans="1:7" x14ac:dyDescent="0.25">
      <c r="A376">
        <v>32</v>
      </c>
      <c r="B376" t="s">
        <v>169</v>
      </c>
      <c r="C376">
        <v>30</v>
      </c>
      <c r="D376" t="s">
        <v>237</v>
      </c>
      <c r="E376" t="s">
        <v>238</v>
      </c>
      <c r="F376">
        <v>0.54400000000000004</v>
      </c>
      <c r="G376" t="s">
        <v>13</v>
      </c>
    </row>
    <row r="377" spans="1:7" x14ac:dyDescent="0.25">
      <c r="A377">
        <v>32</v>
      </c>
      <c r="B377" t="s">
        <v>169</v>
      </c>
      <c r="C377">
        <v>40</v>
      </c>
      <c r="D377" t="s">
        <v>101</v>
      </c>
      <c r="E377" t="s">
        <v>14</v>
      </c>
      <c r="F377">
        <v>15.545</v>
      </c>
      <c r="G377" t="s">
        <v>13</v>
      </c>
    </row>
    <row r="378" spans="1:7" x14ac:dyDescent="0.25">
      <c r="A378">
        <v>32</v>
      </c>
      <c r="B378" t="s">
        <v>169</v>
      </c>
      <c r="C378">
        <v>50</v>
      </c>
      <c r="D378" t="s">
        <v>16</v>
      </c>
      <c r="E378" t="s">
        <v>14</v>
      </c>
      <c r="F378">
        <v>95.600999999999999</v>
      </c>
      <c r="G378" t="s">
        <v>13</v>
      </c>
    </row>
    <row r="379" spans="1:7" x14ac:dyDescent="0.25">
      <c r="A379">
        <v>32</v>
      </c>
      <c r="B379" t="s">
        <v>169</v>
      </c>
      <c r="C379">
        <v>60</v>
      </c>
      <c r="D379" t="s">
        <v>230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169</v>
      </c>
      <c r="C380">
        <v>70</v>
      </c>
      <c r="D380" t="s">
        <v>229</v>
      </c>
      <c r="E380" t="s">
        <v>12</v>
      </c>
      <c r="F380">
        <v>0.14399999999999999</v>
      </c>
      <c r="G380" t="s">
        <v>13</v>
      </c>
    </row>
    <row r="381" spans="1:7" x14ac:dyDescent="0.25">
      <c r="A381">
        <v>32</v>
      </c>
      <c r="B381" t="s">
        <v>169</v>
      </c>
      <c r="C381">
        <v>80</v>
      </c>
      <c r="D381" t="s">
        <v>228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169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169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169</v>
      </c>
      <c r="C384">
        <v>110</v>
      </c>
      <c r="D384" t="s">
        <v>103</v>
      </c>
      <c r="E384" t="s">
        <v>12</v>
      </c>
      <c r="F384">
        <v>1.1890000000000001</v>
      </c>
      <c r="G384" t="s">
        <v>13</v>
      </c>
    </row>
    <row r="385" spans="1:7" x14ac:dyDescent="0.25">
      <c r="A385">
        <v>32</v>
      </c>
      <c r="B385" t="s">
        <v>169</v>
      </c>
      <c r="C385">
        <v>120</v>
      </c>
      <c r="D385" t="s">
        <v>170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171</v>
      </c>
      <c r="C386">
        <v>10</v>
      </c>
      <c r="D386" t="s">
        <v>107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171</v>
      </c>
      <c r="C387">
        <v>20</v>
      </c>
      <c r="D387" t="s">
        <v>240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171</v>
      </c>
      <c r="C388">
        <v>30</v>
      </c>
      <c r="D388" t="s">
        <v>237</v>
      </c>
      <c r="E388" t="s">
        <v>238</v>
      </c>
      <c r="F388">
        <v>0.26900000000000002</v>
      </c>
      <c r="G388" t="s">
        <v>13</v>
      </c>
    </row>
    <row r="389" spans="1:7" x14ac:dyDescent="0.25">
      <c r="A389">
        <v>33</v>
      </c>
      <c r="B389" t="s">
        <v>171</v>
      </c>
      <c r="C389">
        <v>40</v>
      </c>
      <c r="D389" t="s">
        <v>101</v>
      </c>
      <c r="E389" t="s">
        <v>14</v>
      </c>
      <c r="F389">
        <v>12.294</v>
      </c>
      <c r="G389" t="s">
        <v>13</v>
      </c>
    </row>
    <row r="390" spans="1:7" x14ac:dyDescent="0.25">
      <c r="A390">
        <v>33</v>
      </c>
      <c r="B390" t="s">
        <v>171</v>
      </c>
      <c r="C390">
        <v>50</v>
      </c>
      <c r="D390" t="s">
        <v>16</v>
      </c>
      <c r="E390" t="s">
        <v>14</v>
      </c>
      <c r="F390">
        <v>75.605999999999995</v>
      </c>
      <c r="G390" t="s">
        <v>13</v>
      </c>
    </row>
    <row r="391" spans="1:7" x14ac:dyDescent="0.25">
      <c r="A391">
        <v>33</v>
      </c>
      <c r="B391" t="s">
        <v>171</v>
      </c>
      <c r="C391">
        <v>60</v>
      </c>
      <c r="D391" t="s">
        <v>230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171</v>
      </c>
      <c r="C392">
        <v>70</v>
      </c>
      <c r="D392" t="s">
        <v>229</v>
      </c>
      <c r="E392" t="s">
        <v>12</v>
      </c>
      <c r="F392">
        <v>0.08</v>
      </c>
      <c r="G392" t="s">
        <v>13</v>
      </c>
    </row>
    <row r="393" spans="1:7" x14ac:dyDescent="0.25">
      <c r="A393">
        <v>33</v>
      </c>
      <c r="B393" t="s">
        <v>171</v>
      </c>
      <c r="C393">
        <v>80</v>
      </c>
      <c r="D393" t="s">
        <v>228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171</v>
      </c>
      <c r="C396">
        <v>110</v>
      </c>
      <c r="D396" t="s">
        <v>103</v>
      </c>
      <c r="E396" t="s">
        <v>12</v>
      </c>
      <c r="F396">
        <v>1.2430000000000001</v>
      </c>
      <c r="G396" t="s">
        <v>13</v>
      </c>
    </row>
    <row r="397" spans="1:7" x14ac:dyDescent="0.25">
      <c r="A397">
        <v>33</v>
      </c>
      <c r="B397" t="s">
        <v>171</v>
      </c>
      <c r="C397">
        <v>120</v>
      </c>
      <c r="D397" t="s">
        <v>172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173</v>
      </c>
      <c r="C398">
        <v>10</v>
      </c>
      <c r="D398" t="s">
        <v>107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173</v>
      </c>
      <c r="C399">
        <v>20</v>
      </c>
      <c r="D399" t="s">
        <v>240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173</v>
      </c>
      <c r="C400">
        <v>30</v>
      </c>
      <c r="D400" t="s">
        <v>237</v>
      </c>
      <c r="E400" t="s">
        <v>238</v>
      </c>
      <c r="F400">
        <v>0.31900000000000001</v>
      </c>
      <c r="G400" t="s">
        <v>13</v>
      </c>
    </row>
    <row r="401" spans="1:7" x14ac:dyDescent="0.25">
      <c r="A401">
        <v>34</v>
      </c>
      <c r="B401" t="s">
        <v>173</v>
      </c>
      <c r="C401">
        <v>40</v>
      </c>
      <c r="D401" t="s">
        <v>101</v>
      </c>
      <c r="E401" t="s">
        <v>14</v>
      </c>
      <c r="F401">
        <v>12.903</v>
      </c>
      <c r="G401" t="s">
        <v>13</v>
      </c>
    </row>
    <row r="402" spans="1:7" x14ac:dyDescent="0.25">
      <c r="A402">
        <v>34</v>
      </c>
      <c r="B402" t="s">
        <v>173</v>
      </c>
      <c r="C402">
        <v>50</v>
      </c>
      <c r="D402" t="s">
        <v>16</v>
      </c>
      <c r="E402" t="s">
        <v>14</v>
      </c>
      <c r="F402">
        <v>79.355000000000004</v>
      </c>
      <c r="G402" t="s">
        <v>13</v>
      </c>
    </row>
    <row r="403" spans="1:7" x14ac:dyDescent="0.25">
      <c r="A403">
        <v>34</v>
      </c>
      <c r="B403" t="s">
        <v>173</v>
      </c>
      <c r="C403">
        <v>60</v>
      </c>
      <c r="D403" t="s">
        <v>230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173</v>
      </c>
      <c r="C404">
        <v>70</v>
      </c>
      <c r="D404" t="s">
        <v>229</v>
      </c>
      <c r="E404" t="s">
        <v>12</v>
      </c>
      <c r="F404">
        <v>9.0999999999999998E-2</v>
      </c>
      <c r="G404" t="s">
        <v>13</v>
      </c>
    </row>
    <row r="405" spans="1:7" x14ac:dyDescent="0.25">
      <c r="A405">
        <v>34</v>
      </c>
      <c r="B405" t="s">
        <v>173</v>
      </c>
      <c r="C405">
        <v>80</v>
      </c>
      <c r="D405" t="s">
        <v>228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173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173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173</v>
      </c>
      <c r="C408">
        <v>110</v>
      </c>
      <c r="D408" t="s">
        <v>103</v>
      </c>
      <c r="E408" t="s">
        <v>12</v>
      </c>
      <c r="F408">
        <v>1.2430000000000001</v>
      </c>
      <c r="G408" t="s">
        <v>13</v>
      </c>
    </row>
    <row r="409" spans="1:7" x14ac:dyDescent="0.25">
      <c r="A409">
        <v>34</v>
      </c>
      <c r="B409" t="s">
        <v>173</v>
      </c>
      <c r="C409">
        <v>120</v>
      </c>
      <c r="D409" t="s">
        <v>174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175</v>
      </c>
      <c r="C410">
        <v>10</v>
      </c>
      <c r="D410" t="s">
        <v>107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175</v>
      </c>
      <c r="C411">
        <v>20</v>
      </c>
      <c r="D411" t="s">
        <v>240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175</v>
      </c>
      <c r="C412">
        <v>30</v>
      </c>
      <c r="D412" t="s">
        <v>237</v>
      </c>
      <c r="E412" t="s">
        <v>238</v>
      </c>
      <c r="F412">
        <v>0.37</v>
      </c>
      <c r="G412" t="s">
        <v>13</v>
      </c>
    </row>
    <row r="413" spans="1:7" x14ac:dyDescent="0.25">
      <c r="A413">
        <v>35</v>
      </c>
      <c r="B413" t="s">
        <v>175</v>
      </c>
      <c r="C413">
        <v>40</v>
      </c>
      <c r="D413" t="s">
        <v>101</v>
      </c>
      <c r="E413" t="s">
        <v>14</v>
      </c>
      <c r="F413">
        <v>13.513</v>
      </c>
      <c r="G413" t="s">
        <v>13</v>
      </c>
    </row>
    <row r="414" spans="1:7" x14ac:dyDescent="0.25">
      <c r="A414">
        <v>35</v>
      </c>
      <c r="B414" t="s">
        <v>175</v>
      </c>
      <c r="C414">
        <v>50</v>
      </c>
      <c r="D414" t="s">
        <v>16</v>
      </c>
      <c r="E414" t="s">
        <v>14</v>
      </c>
      <c r="F414">
        <v>83.103999999999999</v>
      </c>
      <c r="G414" t="s">
        <v>13</v>
      </c>
    </row>
    <row r="415" spans="1:7" x14ac:dyDescent="0.25">
      <c r="A415">
        <v>35</v>
      </c>
      <c r="B415" t="s">
        <v>175</v>
      </c>
      <c r="C415">
        <v>60</v>
      </c>
      <c r="D415" t="s">
        <v>230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175</v>
      </c>
      <c r="C416">
        <v>70</v>
      </c>
      <c r="D416" t="s">
        <v>229</v>
      </c>
      <c r="E416" t="s">
        <v>12</v>
      </c>
      <c r="F416">
        <v>0.10100000000000001</v>
      </c>
      <c r="G416" t="s">
        <v>13</v>
      </c>
    </row>
    <row r="417" spans="1:7" x14ac:dyDescent="0.25">
      <c r="A417">
        <v>35</v>
      </c>
      <c r="B417" t="s">
        <v>175</v>
      </c>
      <c r="C417">
        <v>80</v>
      </c>
      <c r="D417" t="s">
        <v>228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175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175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175</v>
      </c>
      <c r="C420">
        <v>110</v>
      </c>
      <c r="D420" t="s">
        <v>103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35</v>
      </c>
      <c r="B421" t="s">
        <v>175</v>
      </c>
      <c r="C421">
        <v>120</v>
      </c>
      <c r="D421" t="s">
        <v>176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177</v>
      </c>
      <c r="C422">
        <v>10</v>
      </c>
      <c r="D422" t="s">
        <v>107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36</v>
      </c>
      <c r="B423" t="s">
        <v>177</v>
      </c>
      <c r="C423">
        <v>20</v>
      </c>
      <c r="D423" t="s">
        <v>240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36</v>
      </c>
      <c r="B424" t="s">
        <v>177</v>
      </c>
      <c r="C424">
        <v>30</v>
      </c>
      <c r="D424" t="s">
        <v>237</v>
      </c>
      <c r="E424" t="s">
        <v>238</v>
      </c>
      <c r="F424">
        <v>0.42</v>
      </c>
      <c r="G424" t="s">
        <v>13</v>
      </c>
    </row>
    <row r="425" spans="1:7" x14ac:dyDescent="0.25">
      <c r="A425">
        <v>36</v>
      </c>
      <c r="B425" t="s">
        <v>177</v>
      </c>
      <c r="C425">
        <v>40</v>
      </c>
      <c r="D425" t="s">
        <v>101</v>
      </c>
      <c r="E425" t="s">
        <v>14</v>
      </c>
      <c r="F425">
        <v>14.122</v>
      </c>
      <c r="G425" t="s">
        <v>13</v>
      </c>
    </row>
    <row r="426" spans="1:7" x14ac:dyDescent="0.25">
      <c r="A426">
        <v>36</v>
      </c>
      <c r="B426" t="s">
        <v>177</v>
      </c>
      <c r="C426">
        <v>50</v>
      </c>
      <c r="D426" t="s">
        <v>16</v>
      </c>
      <c r="E426" t="s">
        <v>14</v>
      </c>
      <c r="F426">
        <v>86.852999999999994</v>
      </c>
      <c r="G426" t="s">
        <v>13</v>
      </c>
    </row>
    <row r="427" spans="1:7" x14ac:dyDescent="0.25">
      <c r="A427">
        <v>36</v>
      </c>
      <c r="B427" t="s">
        <v>177</v>
      </c>
      <c r="C427">
        <v>60</v>
      </c>
      <c r="D427" t="s">
        <v>230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177</v>
      </c>
      <c r="C428">
        <v>70</v>
      </c>
      <c r="D428" t="s">
        <v>229</v>
      </c>
      <c r="E428" t="s">
        <v>12</v>
      </c>
      <c r="F428">
        <v>0.112</v>
      </c>
      <c r="G428" t="s">
        <v>13</v>
      </c>
    </row>
    <row r="429" spans="1:7" x14ac:dyDescent="0.25">
      <c r="A429">
        <v>36</v>
      </c>
      <c r="B429" t="s">
        <v>177</v>
      </c>
      <c r="C429">
        <v>80</v>
      </c>
      <c r="D429" t="s">
        <v>228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177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177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177</v>
      </c>
      <c r="C432">
        <v>110</v>
      </c>
      <c r="D432" t="s">
        <v>103</v>
      </c>
      <c r="E432" t="s">
        <v>12</v>
      </c>
      <c r="F432">
        <v>1.2430000000000001</v>
      </c>
      <c r="G432" t="s">
        <v>13</v>
      </c>
    </row>
    <row r="433" spans="1:7" x14ac:dyDescent="0.25">
      <c r="A433">
        <v>36</v>
      </c>
      <c r="B433" t="s">
        <v>177</v>
      </c>
      <c r="C433">
        <v>120</v>
      </c>
      <c r="D433" t="s">
        <v>178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179</v>
      </c>
      <c r="C434">
        <v>10</v>
      </c>
      <c r="D434" t="s">
        <v>107</v>
      </c>
      <c r="E434" t="s">
        <v>14</v>
      </c>
      <c r="F434">
        <v>2.1589999999999998</v>
      </c>
      <c r="G434" t="s">
        <v>15</v>
      </c>
    </row>
    <row r="435" spans="1:7" x14ac:dyDescent="0.25">
      <c r="A435">
        <v>37</v>
      </c>
      <c r="B435" t="s">
        <v>179</v>
      </c>
      <c r="C435">
        <v>20</v>
      </c>
      <c r="D435" t="s">
        <v>240</v>
      </c>
      <c r="E435" t="s">
        <v>14</v>
      </c>
      <c r="F435">
        <v>2.1589999999999998</v>
      </c>
      <c r="G435" t="s">
        <v>15</v>
      </c>
    </row>
    <row r="436" spans="1:7" x14ac:dyDescent="0.25">
      <c r="A436">
        <v>37</v>
      </c>
      <c r="B436" t="s">
        <v>179</v>
      </c>
      <c r="C436">
        <v>30</v>
      </c>
      <c r="D436" t="s">
        <v>237</v>
      </c>
      <c r="E436" t="s">
        <v>238</v>
      </c>
      <c r="F436">
        <v>0.44500000000000001</v>
      </c>
      <c r="G436" t="s">
        <v>13</v>
      </c>
    </row>
    <row r="437" spans="1:7" x14ac:dyDescent="0.25">
      <c r="A437">
        <v>37</v>
      </c>
      <c r="B437" t="s">
        <v>179</v>
      </c>
      <c r="C437">
        <v>40</v>
      </c>
      <c r="D437" t="s">
        <v>101</v>
      </c>
      <c r="E437" t="s">
        <v>14</v>
      </c>
      <c r="F437">
        <v>14.427</v>
      </c>
      <c r="G437" t="s">
        <v>13</v>
      </c>
    </row>
    <row r="438" spans="1:7" x14ac:dyDescent="0.25">
      <c r="A438">
        <v>37</v>
      </c>
      <c r="B438" t="s">
        <v>179</v>
      </c>
      <c r="C438">
        <v>50</v>
      </c>
      <c r="D438" t="s">
        <v>16</v>
      </c>
      <c r="E438" t="s">
        <v>14</v>
      </c>
      <c r="F438">
        <v>88.727000000000004</v>
      </c>
      <c r="G438" t="s">
        <v>13</v>
      </c>
    </row>
    <row r="439" spans="1:7" x14ac:dyDescent="0.25">
      <c r="A439">
        <v>37</v>
      </c>
      <c r="B439" t="s">
        <v>179</v>
      </c>
      <c r="C439">
        <v>60</v>
      </c>
      <c r="D439" t="s">
        <v>230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179</v>
      </c>
      <c r="C440">
        <v>70</v>
      </c>
      <c r="D440" t="s">
        <v>229</v>
      </c>
      <c r="E440" t="s">
        <v>12</v>
      </c>
      <c r="F440">
        <v>0.11700000000000001</v>
      </c>
      <c r="G440" t="s">
        <v>13</v>
      </c>
    </row>
    <row r="441" spans="1:7" x14ac:dyDescent="0.25">
      <c r="A441">
        <v>37</v>
      </c>
      <c r="B441" t="s">
        <v>179</v>
      </c>
      <c r="C441">
        <v>80</v>
      </c>
      <c r="D441" t="s">
        <v>228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179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179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179</v>
      </c>
      <c r="C444">
        <v>110</v>
      </c>
      <c r="D444" t="s">
        <v>103</v>
      </c>
      <c r="E444" t="s">
        <v>12</v>
      </c>
      <c r="F444">
        <v>1.2430000000000001</v>
      </c>
      <c r="G444" t="s">
        <v>13</v>
      </c>
    </row>
    <row r="445" spans="1:7" x14ac:dyDescent="0.25">
      <c r="A445">
        <v>37</v>
      </c>
      <c r="B445" t="s">
        <v>179</v>
      </c>
      <c r="C445">
        <v>120</v>
      </c>
      <c r="D445" t="s">
        <v>180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181</v>
      </c>
      <c r="C446">
        <v>10</v>
      </c>
      <c r="D446" t="s">
        <v>107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38</v>
      </c>
      <c r="B447" t="s">
        <v>181</v>
      </c>
      <c r="C447">
        <v>20</v>
      </c>
      <c r="D447" t="s">
        <v>240</v>
      </c>
      <c r="E447" t="s">
        <v>14</v>
      </c>
      <c r="F447">
        <v>2.1589999999999998</v>
      </c>
      <c r="G447" t="s">
        <v>15</v>
      </c>
    </row>
    <row r="448" spans="1:7" x14ac:dyDescent="0.25">
      <c r="A448">
        <v>38</v>
      </c>
      <c r="B448" t="s">
        <v>181</v>
      </c>
      <c r="C448">
        <v>30</v>
      </c>
      <c r="D448" t="s">
        <v>237</v>
      </c>
      <c r="E448" t="s">
        <v>238</v>
      </c>
      <c r="F448">
        <v>0.47099999999999997</v>
      </c>
      <c r="G448" t="s">
        <v>13</v>
      </c>
    </row>
    <row r="449" spans="1:7" x14ac:dyDescent="0.25">
      <c r="A449">
        <v>38</v>
      </c>
      <c r="B449" t="s">
        <v>181</v>
      </c>
      <c r="C449">
        <v>40</v>
      </c>
      <c r="D449" t="s">
        <v>101</v>
      </c>
      <c r="E449" t="s">
        <v>14</v>
      </c>
      <c r="F449">
        <v>14.731999999999999</v>
      </c>
      <c r="G449" t="s">
        <v>13</v>
      </c>
    </row>
    <row r="450" spans="1:7" x14ac:dyDescent="0.25">
      <c r="A450">
        <v>38</v>
      </c>
      <c r="B450" t="s">
        <v>181</v>
      </c>
      <c r="C450">
        <v>50</v>
      </c>
      <c r="D450" t="s">
        <v>16</v>
      </c>
      <c r="E450" t="s">
        <v>14</v>
      </c>
      <c r="F450">
        <v>90.602000000000004</v>
      </c>
      <c r="G450" t="s">
        <v>13</v>
      </c>
    </row>
    <row r="451" spans="1:7" x14ac:dyDescent="0.25">
      <c r="A451">
        <v>38</v>
      </c>
      <c r="B451" t="s">
        <v>181</v>
      </c>
      <c r="C451">
        <v>60</v>
      </c>
      <c r="D451" t="s">
        <v>230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181</v>
      </c>
      <c r="C452">
        <v>70</v>
      </c>
      <c r="D452" t="s">
        <v>229</v>
      </c>
      <c r="E452" t="s">
        <v>12</v>
      </c>
      <c r="F452">
        <v>0.123</v>
      </c>
      <c r="G452" t="s">
        <v>13</v>
      </c>
    </row>
    <row r="453" spans="1:7" x14ac:dyDescent="0.25">
      <c r="A453">
        <v>38</v>
      </c>
      <c r="B453" t="s">
        <v>181</v>
      </c>
      <c r="C453">
        <v>80</v>
      </c>
      <c r="D453" t="s">
        <v>228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181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181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181</v>
      </c>
      <c r="C456">
        <v>110</v>
      </c>
      <c r="D456" t="s">
        <v>103</v>
      </c>
      <c r="E456" t="s">
        <v>12</v>
      </c>
      <c r="F456">
        <v>1.2430000000000001</v>
      </c>
      <c r="G456" t="s">
        <v>13</v>
      </c>
    </row>
    <row r="457" spans="1:7" x14ac:dyDescent="0.25">
      <c r="A457">
        <v>38</v>
      </c>
      <c r="B457" t="s">
        <v>181</v>
      </c>
      <c r="C457">
        <v>120</v>
      </c>
      <c r="D457" t="s">
        <v>182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107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240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237</v>
      </c>
      <c r="E460" t="s">
        <v>238</v>
      </c>
      <c r="F460">
        <v>0.52100000000000002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101</v>
      </c>
      <c r="E461" t="s">
        <v>14</v>
      </c>
      <c r="F461">
        <v>15.342000000000001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16</v>
      </c>
      <c r="E462" t="s">
        <v>14</v>
      </c>
      <c r="F462">
        <v>94.350999999999999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230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229</v>
      </c>
      <c r="E464" t="s">
        <v>12</v>
      </c>
      <c r="F464">
        <v>0.13300000000000001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228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1.2430000000000001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184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185</v>
      </c>
      <c r="C470">
        <v>10</v>
      </c>
      <c r="D470" t="s">
        <v>107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40</v>
      </c>
      <c r="B471" t="s">
        <v>185</v>
      </c>
      <c r="C471">
        <v>20</v>
      </c>
      <c r="D471" t="s">
        <v>240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40</v>
      </c>
      <c r="B472" t="s">
        <v>185</v>
      </c>
      <c r="C472">
        <v>30</v>
      </c>
      <c r="D472" t="s">
        <v>237</v>
      </c>
      <c r="E472" t="s">
        <v>238</v>
      </c>
      <c r="F472">
        <v>0.57099999999999995</v>
      </c>
      <c r="G472" t="s">
        <v>13</v>
      </c>
    </row>
    <row r="473" spans="1:7" x14ac:dyDescent="0.25">
      <c r="A473">
        <v>40</v>
      </c>
      <c r="B473" t="s">
        <v>185</v>
      </c>
      <c r="C473">
        <v>40</v>
      </c>
      <c r="D473" t="s">
        <v>101</v>
      </c>
      <c r="E473" t="s">
        <v>14</v>
      </c>
      <c r="F473">
        <v>15.951000000000001</v>
      </c>
      <c r="G473" t="s">
        <v>13</v>
      </c>
    </row>
    <row r="474" spans="1:7" x14ac:dyDescent="0.25">
      <c r="A474">
        <v>40</v>
      </c>
      <c r="B474" t="s">
        <v>185</v>
      </c>
      <c r="C474">
        <v>50</v>
      </c>
      <c r="D474" t="s">
        <v>16</v>
      </c>
      <c r="E474" t="s">
        <v>14</v>
      </c>
      <c r="F474">
        <v>98.1</v>
      </c>
      <c r="G474" t="s">
        <v>13</v>
      </c>
    </row>
    <row r="475" spans="1:7" x14ac:dyDescent="0.25">
      <c r="A475">
        <v>40</v>
      </c>
      <c r="B475" t="s">
        <v>185</v>
      </c>
      <c r="C475">
        <v>60</v>
      </c>
      <c r="D475" t="s">
        <v>230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185</v>
      </c>
      <c r="C476">
        <v>70</v>
      </c>
      <c r="D476" t="s">
        <v>229</v>
      </c>
      <c r="E476" t="s">
        <v>12</v>
      </c>
      <c r="F476">
        <v>0.14399999999999999</v>
      </c>
      <c r="G476" t="s">
        <v>13</v>
      </c>
    </row>
    <row r="477" spans="1:7" x14ac:dyDescent="0.25">
      <c r="A477">
        <v>40</v>
      </c>
      <c r="B477" t="s">
        <v>185</v>
      </c>
      <c r="C477">
        <v>80</v>
      </c>
      <c r="D477" t="s">
        <v>228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185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185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185</v>
      </c>
      <c r="C480">
        <v>110</v>
      </c>
      <c r="D480" t="s">
        <v>103</v>
      </c>
      <c r="E480" t="s">
        <v>12</v>
      </c>
      <c r="F480">
        <v>1.2430000000000001</v>
      </c>
      <c r="G480" t="s">
        <v>13</v>
      </c>
    </row>
    <row r="481" spans="1:7" x14ac:dyDescent="0.25">
      <c r="A481">
        <v>40</v>
      </c>
      <c r="B481" t="s">
        <v>185</v>
      </c>
      <c r="C481">
        <v>120</v>
      </c>
      <c r="D481" t="s">
        <v>186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187</v>
      </c>
      <c r="C482">
        <v>10</v>
      </c>
      <c r="D482" t="s">
        <v>188</v>
      </c>
      <c r="E482" t="s">
        <v>14</v>
      </c>
      <c r="F482">
        <v>0.86399999999999999</v>
      </c>
      <c r="G482" t="s">
        <v>15</v>
      </c>
    </row>
    <row r="483" spans="1:7" x14ac:dyDescent="0.25">
      <c r="A483">
        <v>41</v>
      </c>
      <c r="B483" t="s">
        <v>187</v>
      </c>
      <c r="C483">
        <v>20</v>
      </c>
      <c r="D483" t="s">
        <v>240</v>
      </c>
      <c r="E483" t="s">
        <v>14</v>
      </c>
      <c r="F483">
        <v>0.86399999999999999</v>
      </c>
      <c r="G483" t="s">
        <v>15</v>
      </c>
    </row>
    <row r="484" spans="1:7" x14ac:dyDescent="0.25">
      <c r="A484">
        <v>41</v>
      </c>
      <c r="B484" t="s">
        <v>187</v>
      </c>
      <c r="C484">
        <v>30</v>
      </c>
      <c r="D484" t="s">
        <v>237</v>
      </c>
      <c r="E484" t="s">
        <v>238</v>
      </c>
      <c r="F484">
        <v>0.23</v>
      </c>
      <c r="G484" t="s">
        <v>13</v>
      </c>
    </row>
    <row r="485" spans="1:7" x14ac:dyDescent="0.25">
      <c r="A485">
        <v>41</v>
      </c>
      <c r="B485" t="s">
        <v>187</v>
      </c>
      <c r="C485">
        <v>40</v>
      </c>
      <c r="D485" t="s">
        <v>101</v>
      </c>
      <c r="E485" t="s">
        <v>14</v>
      </c>
      <c r="F485">
        <v>11.074</v>
      </c>
      <c r="G485" t="s">
        <v>13</v>
      </c>
    </row>
    <row r="486" spans="1:7" x14ac:dyDescent="0.25">
      <c r="A486">
        <v>41</v>
      </c>
      <c r="B486" t="s">
        <v>187</v>
      </c>
      <c r="C486">
        <v>50</v>
      </c>
      <c r="D486" t="s">
        <v>16</v>
      </c>
      <c r="E486" t="s">
        <v>14</v>
      </c>
      <c r="F486">
        <v>68.108000000000004</v>
      </c>
      <c r="G486" t="s">
        <v>13</v>
      </c>
    </row>
    <row r="487" spans="1:7" x14ac:dyDescent="0.25">
      <c r="A487">
        <v>41</v>
      </c>
      <c r="B487" t="s">
        <v>187</v>
      </c>
      <c r="C487">
        <v>60</v>
      </c>
      <c r="D487" t="s">
        <v>230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187</v>
      </c>
      <c r="C488">
        <v>70</v>
      </c>
      <c r="D488" t="s">
        <v>229</v>
      </c>
      <c r="E488" t="s">
        <v>12</v>
      </c>
      <c r="F488">
        <v>0.08</v>
      </c>
      <c r="G488" t="s">
        <v>13</v>
      </c>
    </row>
    <row r="489" spans="1:7" x14ac:dyDescent="0.25">
      <c r="A489">
        <v>41</v>
      </c>
      <c r="B489" t="s">
        <v>187</v>
      </c>
      <c r="C489">
        <v>80</v>
      </c>
      <c r="D489" t="s">
        <v>228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187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187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187</v>
      </c>
      <c r="C492">
        <v>110</v>
      </c>
      <c r="D492" t="s">
        <v>103</v>
      </c>
      <c r="E492" t="s">
        <v>12</v>
      </c>
      <c r="F492">
        <v>0.55400000000000005</v>
      </c>
      <c r="G492" t="s">
        <v>13</v>
      </c>
    </row>
    <row r="493" spans="1:7" x14ac:dyDescent="0.25">
      <c r="A493">
        <v>41</v>
      </c>
      <c r="B493" t="s">
        <v>187</v>
      </c>
      <c r="C493">
        <v>120</v>
      </c>
      <c r="D493" t="s">
        <v>108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189</v>
      </c>
      <c r="C494">
        <v>10</v>
      </c>
      <c r="D494" t="s">
        <v>188</v>
      </c>
      <c r="E494" t="s">
        <v>14</v>
      </c>
      <c r="F494">
        <v>1.016</v>
      </c>
      <c r="G494" t="s">
        <v>15</v>
      </c>
    </row>
    <row r="495" spans="1:7" x14ac:dyDescent="0.25">
      <c r="A495">
        <v>42</v>
      </c>
      <c r="B495" t="s">
        <v>189</v>
      </c>
      <c r="C495">
        <v>20</v>
      </c>
      <c r="D495" t="s">
        <v>240</v>
      </c>
      <c r="E495" t="s">
        <v>14</v>
      </c>
      <c r="F495">
        <v>1.016</v>
      </c>
      <c r="G495" t="s">
        <v>15</v>
      </c>
    </row>
    <row r="496" spans="1:7" x14ac:dyDescent="0.25">
      <c r="A496">
        <v>42</v>
      </c>
      <c r="B496" t="s">
        <v>189</v>
      </c>
      <c r="C496">
        <v>30</v>
      </c>
      <c r="D496" t="s">
        <v>237</v>
      </c>
      <c r="E496" t="s">
        <v>238</v>
      </c>
      <c r="F496">
        <v>0.27300000000000002</v>
      </c>
      <c r="G496" t="s">
        <v>13</v>
      </c>
    </row>
    <row r="497" spans="1:7" x14ac:dyDescent="0.25">
      <c r="A497">
        <v>42</v>
      </c>
      <c r="B497" t="s">
        <v>189</v>
      </c>
      <c r="C497">
        <v>40</v>
      </c>
      <c r="D497" t="s">
        <v>101</v>
      </c>
      <c r="E497" t="s">
        <v>14</v>
      </c>
      <c r="F497">
        <v>11.683999999999999</v>
      </c>
      <c r="G497" t="s">
        <v>13</v>
      </c>
    </row>
    <row r="498" spans="1:7" x14ac:dyDescent="0.25">
      <c r="A498">
        <v>42</v>
      </c>
      <c r="B498" t="s">
        <v>189</v>
      </c>
      <c r="C498">
        <v>50</v>
      </c>
      <c r="D498" t="s">
        <v>16</v>
      </c>
      <c r="E498" t="s">
        <v>14</v>
      </c>
      <c r="F498">
        <v>71.856999999999999</v>
      </c>
      <c r="G498" t="s">
        <v>13</v>
      </c>
    </row>
    <row r="499" spans="1:7" x14ac:dyDescent="0.25">
      <c r="A499">
        <v>42</v>
      </c>
      <c r="B499" t="s">
        <v>189</v>
      </c>
      <c r="C499">
        <v>60</v>
      </c>
      <c r="D499" t="s">
        <v>230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189</v>
      </c>
      <c r="C500">
        <v>70</v>
      </c>
      <c r="D500" t="s">
        <v>229</v>
      </c>
      <c r="E500" t="s">
        <v>12</v>
      </c>
      <c r="F500">
        <v>9.0999999999999998E-2</v>
      </c>
      <c r="G500" t="s">
        <v>13</v>
      </c>
    </row>
    <row r="501" spans="1:7" x14ac:dyDescent="0.25">
      <c r="A501">
        <v>42</v>
      </c>
      <c r="B501" t="s">
        <v>189</v>
      </c>
      <c r="C501">
        <v>80</v>
      </c>
      <c r="D501" t="s">
        <v>228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189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189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189</v>
      </c>
      <c r="C504">
        <v>110</v>
      </c>
      <c r="D504" t="s">
        <v>103</v>
      </c>
      <c r="E504" t="s">
        <v>12</v>
      </c>
      <c r="F504">
        <v>0.63500000000000001</v>
      </c>
      <c r="G504" t="s">
        <v>13</v>
      </c>
    </row>
    <row r="505" spans="1:7" x14ac:dyDescent="0.25">
      <c r="A505">
        <v>42</v>
      </c>
      <c r="B505" t="s">
        <v>189</v>
      </c>
      <c r="C505">
        <v>120</v>
      </c>
      <c r="D505" t="s">
        <v>110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190</v>
      </c>
      <c r="C506">
        <v>10</v>
      </c>
      <c r="D506" t="s">
        <v>188</v>
      </c>
      <c r="E506" t="s">
        <v>14</v>
      </c>
      <c r="F506">
        <v>1.1679999999999999</v>
      </c>
      <c r="G506" t="s">
        <v>15</v>
      </c>
    </row>
    <row r="507" spans="1:7" x14ac:dyDescent="0.25">
      <c r="A507">
        <v>43</v>
      </c>
      <c r="B507" t="s">
        <v>190</v>
      </c>
      <c r="C507">
        <v>20</v>
      </c>
      <c r="D507" t="s">
        <v>240</v>
      </c>
      <c r="E507" t="s">
        <v>14</v>
      </c>
      <c r="F507">
        <v>1.1679999999999999</v>
      </c>
      <c r="G507" t="s">
        <v>15</v>
      </c>
    </row>
    <row r="508" spans="1:7" x14ac:dyDescent="0.25">
      <c r="A508">
        <v>43</v>
      </c>
      <c r="B508" t="s">
        <v>190</v>
      </c>
      <c r="C508">
        <v>30</v>
      </c>
      <c r="D508" t="s">
        <v>237</v>
      </c>
      <c r="E508" t="s">
        <v>238</v>
      </c>
      <c r="F508">
        <v>0.316</v>
      </c>
      <c r="G508" t="s">
        <v>13</v>
      </c>
    </row>
    <row r="509" spans="1:7" x14ac:dyDescent="0.25">
      <c r="A509">
        <v>43</v>
      </c>
      <c r="B509" t="s">
        <v>190</v>
      </c>
      <c r="C509">
        <v>40</v>
      </c>
      <c r="D509" t="s">
        <v>101</v>
      </c>
      <c r="E509" t="s">
        <v>14</v>
      </c>
      <c r="F509">
        <v>12.294</v>
      </c>
      <c r="G509" t="s">
        <v>13</v>
      </c>
    </row>
    <row r="510" spans="1:7" x14ac:dyDescent="0.25">
      <c r="A510">
        <v>43</v>
      </c>
      <c r="B510" t="s">
        <v>190</v>
      </c>
      <c r="C510">
        <v>50</v>
      </c>
      <c r="D510" t="s">
        <v>16</v>
      </c>
      <c r="E510" t="s">
        <v>14</v>
      </c>
      <c r="F510">
        <v>75.605999999999995</v>
      </c>
      <c r="G510" t="s">
        <v>13</v>
      </c>
    </row>
    <row r="511" spans="1:7" x14ac:dyDescent="0.25">
      <c r="A511">
        <v>43</v>
      </c>
      <c r="B511" t="s">
        <v>190</v>
      </c>
      <c r="C511">
        <v>60</v>
      </c>
      <c r="D511" t="s">
        <v>230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190</v>
      </c>
      <c r="C512">
        <v>70</v>
      </c>
      <c r="D512" t="s">
        <v>229</v>
      </c>
      <c r="E512" t="s">
        <v>12</v>
      </c>
      <c r="F512">
        <v>0.10100000000000001</v>
      </c>
      <c r="G512" t="s">
        <v>13</v>
      </c>
    </row>
    <row r="513" spans="1:7" x14ac:dyDescent="0.25">
      <c r="A513">
        <v>43</v>
      </c>
      <c r="B513" t="s">
        <v>190</v>
      </c>
      <c r="C513">
        <v>80</v>
      </c>
      <c r="D513" t="s">
        <v>228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190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190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190</v>
      </c>
      <c r="C516">
        <v>110</v>
      </c>
      <c r="D516" t="s">
        <v>103</v>
      </c>
      <c r="E516" t="s">
        <v>12</v>
      </c>
      <c r="F516">
        <v>0.71599999999999997</v>
      </c>
      <c r="G516" t="s">
        <v>13</v>
      </c>
    </row>
    <row r="517" spans="1:7" x14ac:dyDescent="0.25">
      <c r="A517">
        <v>43</v>
      </c>
      <c r="B517" t="s">
        <v>190</v>
      </c>
      <c r="C517">
        <v>120</v>
      </c>
      <c r="D517" t="s">
        <v>112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191</v>
      </c>
      <c r="C518">
        <v>10</v>
      </c>
      <c r="D518" t="s">
        <v>188</v>
      </c>
      <c r="E518" t="s">
        <v>14</v>
      </c>
      <c r="F518">
        <v>1.321</v>
      </c>
      <c r="G518" t="s">
        <v>15</v>
      </c>
    </row>
    <row r="519" spans="1:7" x14ac:dyDescent="0.25">
      <c r="A519">
        <v>44</v>
      </c>
      <c r="B519" t="s">
        <v>191</v>
      </c>
      <c r="C519">
        <v>20</v>
      </c>
      <c r="D519" t="s">
        <v>240</v>
      </c>
      <c r="E519" t="s">
        <v>14</v>
      </c>
      <c r="F519">
        <v>1.321</v>
      </c>
      <c r="G519" t="s">
        <v>15</v>
      </c>
    </row>
    <row r="520" spans="1:7" x14ac:dyDescent="0.25">
      <c r="A520">
        <v>44</v>
      </c>
      <c r="B520" t="s">
        <v>191</v>
      </c>
      <c r="C520">
        <v>30</v>
      </c>
      <c r="D520" t="s">
        <v>237</v>
      </c>
      <c r="E520" t="s">
        <v>238</v>
      </c>
      <c r="F520">
        <v>0.35899999999999999</v>
      </c>
      <c r="G520" t="s">
        <v>13</v>
      </c>
    </row>
    <row r="521" spans="1:7" x14ac:dyDescent="0.25">
      <c r="A521">
        <v>44</v>
      </c>
      <c r="B521" t="s">
        <v>191</v>
      </c>
      <c r="C521">
        <v>40</v>
      </c>
      <c r="D521" t="s">
        <v>101</v>
      </c>
      <c r="E521" t="s">
        <v>14</v>
      </c>
      <c r="F521">
        <v>12.903</v>
      </c>
      <c r="G521" t="s">
        <v>13</v>
      </c>
    </row>
    <row r="522" spans="1:7" x14ac:dyDescent="0.25">
      <c r="A522">
        <v>44</v>
      </c>
      <c r="B522" t="s">
        <v>191</v>
      </c>
      <c r="C522">
        <v>50</v>
      </c>
      <c r="D522" t="s">
        <v>16</v>
      </c>
      <c r="E522" t="s">
        <v>14</v>
      </c>
      <c r="F522">
        <v>79.355000000000004</v>
      </c>
      <c r="G522" t="s">
        <v>13</v>
      </c>
    </row>
    <row r="523" spans="1:7" x14ac:dyDescent="0.25">
      <c r="A523">
        <v>44</v>
      </c>
      <c r="B523" t="s">
        <v>191</v>
      </c>
      <c r="C523">
        <v>60</v>
      </c>
      <c r="D523" t="s">
        <v>230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191</v>
      </c>
      <c r="C524">
        <v>70</v>
      </c>
      <c r="D524" t="s">
        <v>229</v>
      </c>
      <c r="E524" t="s">
        <v>12</v>
      </c>
      <c r="F524">
        <v>0.112</v>
      </c>
      <c r="G524" t="s">
        <v>13</v>
      </c>
    </row>
    <row r="525" spans="1:7" x14ac:dyDescent="0.25">
      <c r="A525">
        <v>44</v>
      </c>
      <c r="B525" t="s">
        <v>191</v>
      </c>
      <c r="C525">
        <v>80</v>
      </c>
      <c r="D525" t="s">
        <v>228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191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191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191</v>
      </c>
      <c r="C528">
        <v>110</v>
      </c>
      <c r="D528" t="s">
        <v>103</v>
      </c>
      <c r="E528" t="s">
        <v>12</v>
      </c>
      <c r="F528">
        <v>0.79700000000000004</v>
      </c>
      <c r="G528" t="s">
        <v>13</v>
      </c>
    </row>
    <row r="529" spans="1:7" x14ac:dyDescent="0.25">
      <c r="A529">
        <v>44</v>
      </c>
      <c r="B529" t="s">
        <v>191</v>
      </c>
      <c r="C529">
        <v>120</v>
      </c>
      <c r="D529" t="s">
        <v>114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192</v>
      </c>
      <c r="C530">
        <v>10</v>
      </c>
      <c r="D530" t="s">
        <v>188</v>
      </c>
      <c r="E530" t="s">
        <v>14</v>
      </c>
      <c r="F530">
        <v>1.397</v>
      </c>
      <c r="G530" t="s">
        <v>15</v>
      </c>
    </row>
    <row r="531" spans="1:7" x14ac:dyDescent="0.25">
      <c r="A531">
        <v>45</v>
      </c>
      <c r="B531" t="s">
        <v>192</v>
      </c>
      <c r="C531">
        <v>20</v>
      </c>
      <c r="D531" t="s">
        <v>240</v>
      </c>
      <c r="E531" t="s">
        <v>14</v>
      </c>
      <c r="F531">
        <v>1.397</v>
      </c>
      <c r="G531" t="s">
        <v>15</v>
      </c>
    </row>
    <row r="532" spans="1:7" x14ac:dyDescent="0.25">
      <c r="A532">
        <v>45</v>
      </c>
      <c r="B532" t="s">
        <v>192</v>
      </c>
      <c r="C532">
        <v>30</v>
      </c>
      <c r="D532" t="s">
        <v>237</v>
      </c>
      <c r="E532" t="s">
        <v>238</v>
      </c>
      <c r="F532">
        <v>0.38100000000000001</v>
      </c>
      <c r="G532" t="s">
        <v>13</v>
      </c>
    </row>
    <row r="533" spans="1:7" x14ac:dyDescent="0.25">
      <c r="A533">
        <v>45</v>
      </c>
      <c r="B533" t="s">
        <v>192</v>
      </c>
      <c r="C533">
        <v>40</v>
      </c>
      <c r="D533" t="s">
        <v>101</v>
      </c>
      <c r="E533" t="s">
        <v>14</v>
      </c>
      <c r="F533">
        <v>13.208</v>
      </c>
      <c r="G533" t="s">
        <v>13</v>
      </c>
    </row>
    <row r="534" spans="1:7" x14ac:dyDescent="0.25">
      <c r="A534">
        <v>45</v>
      </c>
      <c r="B534" t="s">
        <v>192</v>
      </c>
      <c r="C534">
        <v>50</v>
      </c>
      <c r="D534" t="s">
        <v>16</v>
      </c>
      <c r="E534" t="s">
        <v>14</v>
      </c>
      <c r="F534">
        <v>81.228999999999999</v>
      </c>
      <c r="G534" t="s">
        <v>13</v>
      </c>
    </row>
    <row r="535" spans="1:7" x14ac:dyDescent="0.25">
      <c r="A535">
        <v>45</v>
      </c>
      <c r="B535" t="s">
        <v>192</v>
      </c>
      <c r="C535">
        <v>60</v>
      </c>
      <c r="D535" t="s">
        <v>230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192</v>
      </c>
      <c r="C536">
        <v>70</v>
      </c>
      <c r="D536" t="s">
        <v>229</v>
      </c>
      <c r="E536" t="s">
        <v>12</v>
      </c>
      <c r="F536">
        <v>0.11700000000000001</v>
      </c>
      <c r="G536" t="s">
        <v>13</v>
      </c>
    </row>
    <row r="537" spans="1:7" x14ac:dyDescent="0.25">
      <c r="A537">
        <v>45</v>
      </c>
      <c r="B537" t="s">
        <v>192</v>
      </c>
      <c r="C537">
        <v>80</v>
      </c>
      <c r="D537" t="s">
        <v>228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192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192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192</v>
      </c>
      <c r="C540">
        <v>110</v>
      </c>
      <c r="D540" t="s">
        <v>103</v>
      </c>
      <c r="E540" t="s">
        <v>12</v>
      </c>
      <c r="F540">
        <v>0.83799999999999997</v>
      </c>
      <c r="G540" t="s">
        <v>13</v>
      </c>
    </row>
    <row r="541" spans="1:7" x14ac:dyDescent="0.25">
      <c r="A541">
        <v>45</v>
      </c>
      <c r="B541" t="s">
        <v>192</v>
      </c>
      <c r="C541">
        <v>120</v>
      </c>
      <c r="D541" t="s">
        <v>116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193</v>
      </c>
      <c r="C542">
        <v>10</v>
      </c>
      <c r="D542" t="s">
        <v>188</v>
      </c>
      <c r="E542" t="s">
        <v>14</v>
      </c>
      <c r="F542">
        <v>1.4730000000000001</v>
      </c>
      <c r="G542" t="s">
        <v>15</v>
      </c>
    </row>
    <row r="543" spans="1:7" x14ac:dyDescent="0.25">
      <c r="A543">
        <v>46</v>
      </c>
      <c r="B543" t="s">
        <v>193</v>
      </c>
      <c r="C543">
        <v>20</v>
      </c>
      <c r="D543" t="s">
        <v>240</v>
      </c>
      <c r="E543" t="s">
        <v>14</v>
      </c>
      <c r="F543">
        <v>1.4730000000000001</v>
      </c>
      <c r="G543" t="s">
        <v>15</v>
      </c>
    </row>
    <row r="544" spans="1:7" x14ac:dyDescent="0.25">
      <c r="A544">
        <v>46</v>
      </c>
      <c r="B544" t="s">
        <v>193</v>
      </c>
      <c r="C544">
        <v>30</v>
      </c>
      <c r="D544" t="s">
        <v>237</v>
      </c>
      <c r="E544" t="s">
        <v>238</v>
      </c>
      <c r="F544">
        <v>0.40300000000000002</v>
      </c>
      <c r="G544" t="s">
        <v>13</v>
      </c>
    </row>
    <row r="545" spans="1:7" x14ac:dyDescent="0.25">
      <c r="A545">
        <v>46</v>
      </c>
      <c r="B545" t="s">
        <v>193</v>
      </c>
      <c r="C545">
        <v>40</v>
      </c>
      <c r="D545" t="s">
        <v>101</v>
      </c>
      <c r="E545" t="s">
        <v>14</v>
      </c>
      <c r="F545">
        <v>13.513</v>
      </c>
      <c r="G545" t="s">
        <v>13</v>
      </c>
    </row>
    <row r="546" spans="1:7" x14ac:dyDescent="0.25">
      <c r="A546">
        <v>46</v>
      </c>
      <c r="B546" t="s">
        <v>193</v>
      </c>
      <c r="C546">
        <v>50</v>
      </c>
      <c r="D546" t="s">
        <v>16</v>
      </c>
      <c r="E546" t="s">
        <v>14</v>
      </c>
      <c r="F546">
        <v>83.103999999999999</v>
      </c>
      <c r="G546" t="s">
        <v>13</v>
      </c>
    </row>
    <row r="547" spans="1:7" x14ac:dyDescent="0.25">
      <c r="A547">
        <v>46</v>
      </c>
      <c r="B547" t="s">
        <v>193</v>
      </c>
      <c r="C547">
        <v>60</v>
      </c>
      <c r="D547" t="s">
        <v>230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193</v>
      </c>
      <c r="C548">
        <v>70</v>
      </c>
      <c r="D548" t="s">
        <v>229</v>
      </c>
      <c r="E548" t="s">
        <v>12</v>
      </c>
      <c r="F548">
        <v>0.123</v>
      </c>
      <c r="G548" t="s">
        <v>13</v>
      </c>
    </row>
    <row r="549" spans="1:7" x14ac:dyDescent="0.25">
      <c r="A549">
        <v>46</v>
      </c>
      <c r="B549" t="s">
        <v>193</v>
      </c>
      <c r="C549">
        <v>80</v>
      </c>
      <c r="D549" t="s">
        <v>228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193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193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193</v>
      </c>
      <c r="C552">
        <v>110</v>
      </c>
      <c r="D552" t="s">
        <v>103</v>
      </c>
      <c r="E552" t="s">
        <v>12</v>
      </c>
      <c r="F552">
        <v>0.878</v>
      </c>
      <c r="G552" t="s">
        <v>13</v>
      </c>
    </row>
    <row r="553" spans="1:7" x14ac:dyDescent="0.25">
      <c r="A553">
        <v>46</v>
      </c>
      <c r="B553" t="s">
        <v>193</v>
      </c>
      <c r="C553">
        <v>120</v>
      </c>
      <c r="D553" t="s">
        <v>118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194</v>
      </c>
      <c r="C554">
        <v>10</v>
      </c>
      <c r="D554" t="s">
        <v>188</v>
      </c>
      <c r="E554" t="s">
        <v>14</v>
      </c>
      <c r="F554">
        <v>1.6259999999999999</v>
      </c>
      <c r="G554" t="s">
        <v>15</v>
      </c>
    </row>
    <row r="555" spans="1:7" x14ac:dyDescent="0.25">
      <c r="A555">
        <v>47</v>
      </c>
      <c r="B555" t="s">
        <v>194</v>
      </c>
      <c r="C555">
        <v>20</v>
      </c>
      <c r="D555" t="s">
        <v>240</v>
      </c>
      <c r="E555" t="s">
        <v>14</v>
      </c>
      <c r="F555">
        <v>1.6259999999999999</v>
      </c>
      <c r="G555" t="s">
        <v>15</v>
      </c>
    </row>
    <row r="556" spans="1:7" x14ac:dyDescent="0.25">
      <c r="A556">
        <v>47</v>
      </c>
      <c r="B556" t="s">
        <v>194</v>
      </c>
      <c r="C556">
        <v>30</v>
      </c>
      <c r="D556" t="s">
        <v>237</v>
      </c>
      <c r="E556" t="s">
        <v>238</v>
      </c>
      <c r="F556">
        <v>0.44600000000000001</v>
      </c>
      <c r="G556" t="s">
        <v>13</v>
      </c>
    </row>
    <row r="557" spans="1:7" x14ac:dyDescent="0.25">
      <c r="A557">
        <v>47</v>
      </c>
      <c r="B557" t="s">
        <v>194</v>
      </c>
      <c r="C557">
        <v>40</v>
      </c>
      <c r="D557" t="s">
        <v>101</v>
      </c>
      <c r="E557" t="s">
        <v>14</v>
      </c>
      <c r="F557">
        <v>14.122</v>
      </c>
      <c r="G557" t="s">
        <v>13</v>
      </c>
    </row>
    <row r="558" spans="1:7" x14ac:dyDescent="0.25">
      <c r="A558">
        <v>47</v>
      </c>
      <c r="B558" t="s">
        <v>194</v>
      </c>
      <c r="C558">
        <v>50</v>
      </c>
      <c r="D558" t="s">
        <v>16</v>
      </c>
      <c r="E558" t="s">
        <v>14</v>
      </c>
      <c r="F558">
        <v>86.852999999999994</v>
      </c>
      <c r="G558" t="s">
        <v>13</v>
      </c>
    </row>
    <row r="559" spans="1:7" x14ac:dyDescent="0.25">
      <c r="A559">
        <v>47</v>
      </c>
      <c r="B559" t="s">
        <v>194</v>
      </c>
      <c r="C559">
        <v>60</v>
      </c>
      <c r="D559" t="s">
        <v>230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194</v>
      </c>
      <c r="C560">
        <v>70</v>
      </c>
      <c r="D560" t="s">
        <v>229</v>
      </c>
      <c r="E560" t="s">
        <v>12</v>
      </c>
      <c r="F560">
        <v>0.13300000000000001</v>
      </c>
      <c r="G560" t="s">
        <v>13</v>
      </c>
    </row>
    <row r="561" spans="1:7" x14ac:dyDescent="0.25">
      <c r="A561">
        <v>47</v>
      </c>
      <c r="B561" t="s">
        <v>194</v>
      </c>
      <c r="C561">
        <v>80</v>
      </c>
      <c r="D561" t="s">
        <v>228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194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194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194</v>
      </c>
      <c r="C564">
        <v>110</v>
      </c>
      <c r="D564" t="s">
        <v>103</v>
      </c>
      <c r="E564" t="s">
        <v>12</v>
      </c>
      <c r="F564">
        <v>0.95899999999999996</v>
      </c>
      <c r="G564" t="s">
        <v>13</v>
      </c>
    </row>
    <row r="565" spans="1:7" x14ac:dyDescent="0.25">
      <c r="A565">
        <v>47</v>
      </c>
      <c r="B565" t="s">
        <v>194</v>
      </c>
      <c r="C565">
        <v>120</v>
      </c>
      <c r="D565" t="s">
        <v>120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195</v>
      </c>
      <c r="C566">
        <v>10</v>
      </c>
      <c r="D566" t="s">
        <v>188</v>
      </c>
      <c r="E566" t="s">
        <v>14</v>
      </c>
      <c r="F566">
        <v>1.778</v>
      </c>
      <c r="G566" t="s">
        <v>15</v>
      </c>
    </row>
    <row r="567" spans="1:7" x14ac:dyDescent="0.25">
      <c r="A567">
        <v>48</v>
      </c>
      <c r="B567" t="s">
        <v>195</v>
      </c>
      <c r="C567">
        <v>20</v>
      </c>
      <c r="D567" t="s">
        <v>240</v>
      </c>
      <c r="E567" t="s">
        <v>14</v>
      </c>
      <c r="F567">
        <v>1.778</v>
      </c>
      <c r="G567" t="s">
        <v>15</v>
      </c>
    </row>
    <row r="568" spans="1:7" x14ac:dyDescent="0.25">
      <c r="A568">
        <v>48</v>
      </c>
      <c r="B568" t="s">
        <v>195</v>
      </c>
      <c r="C568">
        <v>30</v>
      </c>
      <c r="D568" t="s">
        <v>237</v>
      </c>
      <c r="E568" t="s">
        <v>238</v>
      </c>
      <c r="F568">
        <v>0.48899999999999999</v>
      </c>
      <c r="G568" t="s">
        <v>13</v>
      </c>
    </row>
    <row r="569" spans="1:7" x14ac:dyDescent="0.25">
      <c r="A569">
        <v>48</v>
      </c>
      <c r="B569" t="s">
        <v>195</v>
      </c>
      <c r="C569">
        <v>40</v>
      </c>
      <c r="D569" t="s">
        <v>101</v>
      </c>
      <c r="E569" t="s">
        <v>14</v>
      </c>
      <c r="F569">
        <v>14.731999999999999</v>
      </c>
      <c r="G569" t="s">
        <v>13</v>
      </c>
    </row>
    <row r="570" spans="1:7" x14ac:dyDescent="0.25">
      <c r="A570">
        <v>48</v>
      </c>
      <c r="B570" t="s">
        <v>195</v>
      </c>
      <c r="C570">
        <v>50</v>
      </c>
      <c r="D570" t="s">
        <v>16</v>
      </c>
      <c r="E570" t="s">
        <v>14</v>
      </c>
      <c r="F570">
        <v>90.602000000000004</v>
      </c>
      <c r="G570" t="s">
        <v>13</v>
      </c>
    </row>
    <row r="571" spans="1:7" x14ac:dyDescent="0.25">
      <c r="A571">
        <v>48</v>
      </c>
      <c r="B571" t="s">
        <v>195</v>
      </c>
      <c r="C571">
        <v>60</v>
      </c>
      <c r="D571" t="s">
        <v>230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195</v>
      </c>
      <c r="C572">
        <v>70</v>
      </c>
      <c r="D572" t="s">
        <v>229</v>
      </c>
      <c r="E572" t="s">
        <v>12</v>
      </c>
      <c r="F572">
        <v>0.14399999999999999</v>
      </c>
      <c r="G572" t="s">
        <v>13</v>
      </c>
    </row>
    <row r="573" spans="1:7" x14ac:dyDescent="0.25">
      <c r="A573">
        <v>48</v>
      </c>
      <c r="B573" t="s">
        <v>195</v>
      </c>
      <c r="C573">
        <v>80</v>
      </c>
      <c r="D573" t="s">
        <v>228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195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195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195</v>
      </c>
      <c r="C576">
        <v>110</v>
      </c>
      <c r="D576" t="s">
        <v>103</v>
      </c>
      <c r="E576" t="s">
        <v>12</v>
      </c>
      <c r="F576">
        <v>1.04</v>
      </c>
      <c r="G576" t="s">
        <v>13</v>
      </c>
    </row>
    <row r="577" spans="1:7" x14ac:dyDescent="0.25">
      <c r="A577">
        <v>48</v>
      </c>
      <c r="B577" t="s">
        <v>195</v>
      </c>
      <c r="C577">
        <v>120</v>
      </c>
      <c r="D577" t="s">
        <v>122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196</v>
      </c>
      <c r="C578">
        <v>10</v>
      </c>
      <c r="D578" t="s">
        <v>188</v>
      </c>
      <c r="E578" t="s">
        <v>14</v>
      </c>
      <c r="F578">
        <v>0.86399999999999999</v>
      </c>
      <c r="G578" t="s">
        <v>15</v>
      </c>
    </row>
    <row r="579" spans="1:7" x14ac:dyDescent="0.25">
      <c r="A579">
        <v>49</v>
      </c>
      <c r="B579" t="s">
        <v>196</v>
      </c>
      <c r="C579">
        <v>20</v>
      </c>
      <c r="D579" t="s">
        <v>240</v>
      </c>
      <c r="E579" t="s">
        <v>14</v>
      </c>
      <c r="F579">
        <v>0.86399999999999999</v>
      </c>
      <c r="G579" t="s">
        <v>15</v>
      </c>
    </row>
    <row r="580" spans="1:7" x14ac:dyDescent="0.25">
      <c r="A580">
        <v>49</v>
      </c>
      <c r="B580" t="s">
        <v>196</v>
      </c>
      <c r="C580">
        <v>30</v>
      </c>
      <c r="D580" t="s">
        <v>237</v>
      </c>
      <c r="E580" t="s">
        <v>238</v>
      </c>
      <c r="F580">
        <v>0.24</v>
      </c>
      <c r="G580" t="s">
        <v>13</v>
      </c>
    </row>
    <row r="581" spans="1:7" x14ac:dyDescent="0.25">
      <c r="A581">
        <v>49</v>
      </c>
      <c r="B581" t="s">
        <v>196</v>
      </c>
      <c r="C581">
        <v>40</v>
      </c>
      <c r="D581" t="s">
        <v>101</v>
      </c>
      <c r="E581" t="s">
        <v>14</v>
      </c>
      <c r="F581">
        <v>11.379</v>
      </c>
      <c r="G581" t="s">
        <v>13</v>
      </c>
    </row>
    <row r="582" spans="1:7" x14ac:dyDescent="0.25">
      <c r="A582">
        <v>49</v>
      </c>
      <c r="B582" t="s">
        <v>196</v>
      </c>
      <c r="C582">
        <v>50</v>
      </c>
      <c r="D582" t="s">
        <v>16</v>
      </c>
      <c r="E582" t="s">
        <v>14</v>
      </c>
      <c r="F582">
        <v>69.981999999999999</v>
      </c>
      <c r="G582" t="s">
        <v>13</v>
      </c>
    </row>
    <row r="583" spans="1:7" x14ac:dyDescent="0.25">
      <c r="A583">
        <v>49</v>
      </c>
      <c r="B583" t="s">
        <v>196</v>
      </c>
      <c r="C583">
        <v>60</v>
      </c>
      <c r="D583" t="s">
        <v>230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196</v>
      </c>
      <c r="C584">
        <v>70</v>
      </c>
      <c r="D584" t="s">
        <v>229</v>
      </c>
      <c r="E584" t="s">
        <v>12</v>
      </c>
      <c r="F584">
        <v>0.08</v>
      </c>
      <c r="G584" t="s">
        <v>13</v>
      </c>
    </row>
    <row r="585" spans="1:7" x14ac:dyDescent="0.25">
      <c r="A585">
        <v>49</v>
      </c>
      <c r="B585" t="s">
        <v>196</v>
      </c>
      <c r="C585">
        <v>80</v>
      </c>
      <c r="D585" t="s">
        <v>228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196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196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196</v>
      </c>
      <c r="C588">
        <v>110</v>
      </c>
      <c r="D588" t="s">
        <v>103</v>
      </c>
      <c r="E588" t="s">
        <v>12</v>
      </c>
      <c r="F588">
        <v>0.55400000000000005</v>
      </c>
      <c r="G588" t="s">
        <v>13</v>
      </c>
    </row>
    <row r="589" spans="1:7" x14ac:dyDescent="0.25">
      <c r="A589">
        <v>49</v>
      </c>
      <c r="B589" t="s">
        <v>196</v>
      </c>
      <c r="C589">
        <v>120</v>
      </c>
      <c r="D589" t="s">
        <v>124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197</v>
      </c>
      <c r="C590">
        <v>10</v>
      </c>
      <c r="D590" t="s">
        <v>188</v>
      </c>
      <c r="E590" t="s">
        <v>14</v>
      </c>
      <c r="F590">
        <v>1.016</v>
      </c>
      <c r="G590" t="s">
        <v>15</v>
      </c>
    </row>
    <row r="591" spans="1:7" x14ac:dyDescent="0.25">
      <c r="A591">
        <v>50</v>
      </c>
      <c r="B591" t="s">
        <v>197</v>
      </c>
      <c r="C591">
        <v>20</v>
      </c>
      <c r="D591" t="s">
        <v>240</v>
      </c>
      <c r="E591" t="s">
        <v>14</v>
      </c>
      <c r="F591">
        <v>1.016</v>
      </c>
      <c r="G591" t="s">
        <v>15</v>
      </c>
    </row>
    <row r="592" spans="1:7" x14ac:dyDescent="0.25">
      <c r="A592">
        <v>50</v>
      </c>
      <c r="B592" t="s">
        <v>197</v>
      </c>
      <c r="C592">
        <v>30</v>
      </c>
      <c r="D592" t="s">
        <v>237</v>
      </c>
      <c r="E592" t="s">
        <v>238</v>
      </c>
      <c r="F592">
        <v>0.28499999999999998</v>
      </c>
      <c r="G592" t="s">
        <v>13</v>
      </c>
    </row>
    <row r="593" spans="1:7" x14ac:dyDescent="0.25">
      <c r="A593">
        <v>50</v>
      </c>
      <c r="B593" t="s">
        <v>197</v>
      </c>
      <c r="C593">
        <v>40</v>
      </c>
      <c r="D593" t="s">
        <v>101</v>
      </c>
      <c r="E593" t="s">
        <v>14</v>
      </c>
      <c r="F593">
        <v>11.989000000000001</v>
      </c>
      <c r="G593" t="s">
        <v>13</v>
      </c>
    </row>
    <row r="594" spans="1:7" x14ac:dyDescent="0.25">
      <c r="A594">
        <v>50</v>
      </c>
      <c r="B594" t="s">
        <v>197</v>
      </c>
      <c r="C594">
        <v>50</v>
      </c>
      <c r="D594" t="s">
        <v>16</v>
      </c>
      <c r="E594" t="s">
        <v>14</v>
      </c>
      <c r="F594">
        <v>73.730999999999995</v>
      </c>
      <c r="G594" t="s">
        <v>13</v>
      </c>
    </row>
    <row r="595" spans="1:7" x14ac:dyDescent="0.25">
      <c r="A595">
        <v>50</v>
      </c>
      <c r="B595" t="s">
        <v>197</v>
      </c>
      <c r="C595">
        <v>60</v>
      </c>
      <c r="D595" t="s">
        <v>230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197</v>
      </c>
      <c r="C596">
        <v>70</v>
      </c>
      <c r="D596" t="s">
        <v>229</v>
      </c>
      <c r="E596" t="s">
        <v>12</v>
      </c>
      <c r="F596">
        <v>9.0999999999999998E-2</v>
      </c>
      <c r="G596" t="s">
        <v>13</v>
      </c>
    </row>
    <row r="597" spans="1:7" x14ac:dyDescent="0.25">
      <c r="A597">
        <v>50</v>
      </c>
      <c r="B597" t="s">
        <v>197</v>
      </c>
      <c r="C597">
        <v>80</v>
      </c>
      <c r="D597" t="s">
        <v>228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197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197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197</v>
      </c>
      <c r="C600">
        <v>110</v>
      </c>
      <c r="D600" t="s">
        <v>103</v>
      </c>
      <c r="E600" t="s">
        <v>12</v>
      </c>
      <c r="F600">
        <v>0.63500000000000001</v>
      </c>
      <c r="G600" t="s">
        <v>13</v>
      </c>
    </row>
    <row r="601" spans="1:7" x14ac:dyDescent="0.25">
      <c r="A601">
        <v>50</v>
      </c>
      <c r="B601" t="s">
        <v>197</v>
      </c>
      <c r="C601">
        <v>120</v>
      </c>
      <c r="D601" t="s">
        <v>126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198</v>
      </c>
      <c r="C602">
        <v>10</v>
      </c>
      <c r="D602" t="s">
        <v>188</v>
      </c>
      <c r="E602" t="s">
        <v>14</v>
      </c>
      <c r="F602">
        <v>1.1679999999999999</v>
      </c>
      <c r="G602" t="s">
        <v>15</v>
      </c>
    </row>
    <row r="603" spans="1:7" x14ac:dyDescent="0.25">
      <c r="A603">
        <v>51</v>
      </c>
      <c r="B603" t="s">
        <v>198</v>
      </c>
      <c r="C603">
        <v>20</v>
      </c>
      <c r="D603" t="s">
        <v>240</v>
      </c>
      <c r="E603" t="s">
        <v>14</v>
      </c>
      <c r="F603">
        <v>1.1679999999999999</v>
      </c>
      <c r="G603" t="s">
        <v>15</v>
      </c>
    </row>
    <row r="604" spans="1:7" x14ac:dyDescent="0.25">
      <c r="A604">
        <v>51</v>
      </c>
      <c r="B604" t="s">
        <v>198</v>
      </c>
      <c r="C604">
        <v>30</v>
      </c>
      <c r="D604" t="s">
        <v>237</v>
      </c>
      <c r="E604" t="s">
        <v>238</v>
      </c>
      <c r="F604">
        <v>0.33</v>
      </c>
      <c r="G604" t="s">
        <v>13</v>
      </c>
    </row>
    <row r="605" spans="1:7" x14ac:dyDescent="0.25">
      <c r="A605">
        <v>51</v>
      </c>
      <c r="B605" t="s">
        <v>198</v>
      </c>
      <c r="C605">
        <v>40</v>
      </c>
      <c r="D605" t="s">
        <v>101</v>
      </c>
      <c r="E605" t="s">
        <v>14</v>
      </c>
      <c r="F605">
        <v>12.598000000000001</v>
      </c>
      <c r="G605" t="s">
        <v>13</v>
      </c>
    </row>
    <row r="606" spans="1:7" x14ac:dyDescent="0.25">
      <c r="A606">
        <v>51</v>
      </c>
      <c r="B606" t="s">
        <v>198</v>
      </c>
      <c r="C606">
        <v>50</v>
      </c>
      <c r="D606" t="s">
        <v>16</v>
      </c>
      <c r="E606" t="s">
        <v>14</v>
      </c>
      <c r="F606">
        <v>77.48</v>
      </c>
      <c r="G606" t="s">
        <v>13</v>
      </c>
    </row>
    <row r="607" spans="1:7" x14ac:dyDescent="0.25">
      <c r="A607">
        <v>51</v>
      </c>
      <c r="B607" t="s">
        <v>198</v>
      </c>
      <c r="C607">
        <v>60</v>
      </c>
      <c r="D607" t="s">
        <v>230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198</v>
      </c>
      <c r="C608">
        <v>70</v>
      </c>
      <c r="D608" t="s">
        <v>229</v>
      </c>
      <c r="E608" t="s">
        <v>12</v>
      </c>
      <c r="F608">
        <v>0.10100000000000001</v>
      </c>
      <c r="G608" t="s">
        <v>13</v>
      </c>
    </row>
    <row r="609" spans="1:7" x14ac:dyDescent="0.25">
      <c r="A609">
        <v>51</v>
      </c>
      <c r="B609" t="s">
        <v>198</v>
      </c>
      <c r="C609">
        <v>80</v>
      </c>
      <c r="D609" t="s">
        <v>228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198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198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198</v>
      </c>
      <c r="C612">
        <v>110</v>
      </c>
      <c r="D612" t="s">
        <v>103</v>
      </c>
      <c r="E612" t="s">
        <v>12</v>
      </c>
      <c r="F612">
        <v>0.71599999999999997</v>
      </c>
      <c r="G612" t="s">
        <v>13</v>
      </c>
    </row>
    <row r="613" spans="1:7" x14ac:dyDescent="0.25">
      <c r="A613">
        <v>51</v>
      </c>
      <c r="B613" t="s">
        <v>198</v>
      </c>
      <c r="C613">
        <v>120</v>
      </c>
      <c r="D613" t="s">
        <v>128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199</v>
      </c>
      <c r="C614">
        <v>10</v>
      </c>
      <c r="D614" t="s">
        <v>188</v>
      </c>
      <c r="E614" t="s">
        <v>14</v>
      </c>
      <c r="F614">
        <v>1.321</v>
      </c>
      <c r="G614" t="s">
        <v>15</v>
      </c>
    </row>
    <row r="615" spans="1:7" x14ac:dyDescent="0.25">
      <c r="A615">
        <v>52</v>
      </c>
      <c r="B615" t="s">
        <v>199</v>
      </c>
      <c r="C615">
        <v>20</v>
      </c>
      <c r="D615" t="s">
        <v>240</v>
      </c>
      <c r="E615" t="s">
        <v>14</v>
      </c>
      <c r="F615">
        <v>1.321</v>
      </c>
      <c r="G615" t="s">
        <v>15</v>
      </c>
    </row>
    <row r="616" spans="1:7" x14ac:dyDescent="0.25">
      <c r="A616">
        <v>52</v>
      </c>
      <c r="B616" t="s">
        <v>199</v>
      </c>
      <c r="C616">
        <v>30</v>
      </c>
      <c r="D616" t="s">
        <v>237</v>
      </c>
      <c r="E616" t="s">
        <v>238</v>
      </c>
      <c r="F616">
        <v>0.375</v>
      </c>
      <c r="G616" t="s">
        <v>13</v>
      </c>
    </row>
    <row r="617" spans="1:7" x14ac:dyDescent="0.25">
      <c r="A617">
        <v>52</v>
      </c>
      <c r="B617" t="s">
        <v>199</v>
      </c>
      <c r="C617">
        <v>40</v>
      </c>
      <c r="D617" t="s">
        <v>101</v>
      </c>
      <c r="E617" t="s">
        <v>14</v>
      </c>
      <c r="F617">
        <v>13.208</v>
      </c>
      <c r="G617" t="s">
        <v>13</v>
      </c>
    </row>
    <row r="618" spans="1:7" x14ac:dyDescent="0.25">
      <c r="A618">
        <v>52</v>
      </c>
      <c r="B618" t="s">
        <v>199</v>
      </c>
      <c r="C618">
        <v>50</v>
      </c>
      <c r="D618" t="s">
        <v>16</v>
      </c>
      <c r="E618" t="s">
        <v>14</v>
      </c>
      <c r="F618">
        <v>81.228999999999999</v>
      </c>
      <c r="G618" t="s">
        <v>13</v>
      </c>
    </row>
    <row r="619" spans="1:7" x14ac:dyDescent="0.25">
      <c r="A619">
        <v>52</v>
      </c>
      <c r="B619" t="s">
        <v>199</v>
      </c>
      <c r="C619">
        <v>60</v>
      </c>
      <c r="D619" t="s">
        <v>230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199</v>
      </c>
      <c r="C620">
        <v>70</v>
      </c>
      <c r="D620" t="s">
        <v>229</v>
      </c>
      <c r="E620" t="s">
        <v>12</v>
      </c>
      <c r="F620">
        <v>0.112</v>
      </c>
      <c r="G620" t="s">
        <v>13</v>
      </c>
    </row>
    <row r="621" spans="1:7" x14ac:dyDescent="0.25">
      <c r="A621">
        <v>52</v>
      </c>
      <c r="B621" t="s">
        <v>199</v>
      </c>
      <c r="C621">
        <v>80</v>
      </c>
      <c r="D621" t="s">
        <v>228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199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199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199</v>
      </c>
      <c r="C624">
        <v>110</v>
      </c>
      <c r="D624" t="s">
        <v>103</v>
      </c>
      <c r="E624" t="s">
        <v>12</v>
      </c>
      <c r="F624">
        <v>0.79700000000000004</v>
      </c>
      <c r="G624" t="s">
        <v>13</v>
      </c>
    </row>
    <row r="625" spans="1:7" x14ac:dyDescent="0.25">
      <c r="A625">
        <v>52</v>
      </c>
      <c r="B625" t="s">
        <v>199</v>
      </c>
      <c r="C625">
        <v>120</v>
      </c>
      <c r="D625" t="s">
        <v>130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200</v>
      </c>
      <c r="C626">
        <v>10</v>
      </c>
      <c r="D626" t="s">
        <v>188</v>
      </c>
      <c r="E626" t="s">
        <v>14</v>
      </c>
      <c r="F626">
        <v>1.397</v>
      </c>
      <c r="G626" t="s">
        <v>15</v>
      </c>
    </row>
    <row r="627" spans="1:7" x14ac:dyDescent="0.25">
      <c r="A627">
        <v>53</v>
      </c>
      <c r="B627" t="s">
        <v>200</v>
      </c>
      <c r="C627">
        <v>20</v>
      </c>
      <c r="D627" t="s">
        <v>240</v>
      </c>
      <c r="E627" t="s">
        <v>14</v>
      </c>
      <c r="F627">
        <v>1.397</v>
      </c>
      <c r="G627" t="s">
        <v>15</v>
      </c>
    </row>
    <row r="628" spans="1:7" x14ac:dyDescent="0.25">
      <c r="A628">
        <v>53</v>
      </c>
      <c r="B628" t="s">
        <v>200</v>
      </c>
      <c r="C628">
        <v>30</v>
      </c>
      <c r="D628" t="s">
        <v>237</v>
      </c>
      <c r="E628" t="s">
        <v>238</v>
      </c>
      <c r="F628">
        <v>0.39700000000000002</v>
      </c>
      <c r="G628" t="s">
        <v>13</v>
      </c>
    </row>
    <row r="629" spans="1:7" x14ac:dyDescent="0.25">
      <c r="A629">
        <v>53</v>
      </c>
      <c r="B629" t="s">
        <v>200</v>
      </c>
      <c r="C629">
        <v>40</v>
      </c>
      <c r="D629" t="s">
        <v>101</v>
      </c>
      <c r="E629" t="s">
        <v>14</v>
      </c>
      <c r="F629">
        <v>13.513</v>
      </c>
      <c r="G629" t="s">
        <v>13</v>
      </c>
    </row>
    <row r="630" spans="1:7" x14ac:dyDescent="0.25">
      <c r="A630">
        <v>53</v>
      </c>
      <c r="B630" t="s">
        <v>200</v>
      </c>
      <c r="C630">
        <v>50</v>
      </c>
      <c r="D630" t="s">
        <v>16</v>
      </c>
      <c r="E630" t="s">
        <v>14</v>
      </c>
      <c r="F630">
        <v>83.103999999999999</v>
      </c>
      <c r="G630" t="s">
        <v>13</v>
      </c>
    </row>
    <row r="631" spans="1:7" x14ac:dyDescent="0.25">
      <c r="A631">
        <v>53</v>
      </c>
      <c r="B631" t="s">
        <v>200</v>
      </c>
      <c r="C631">
        <v>60</v>
      </c>
      <c r="D631" t="s">
        <v>230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200</v>
      </c>
      <c r="C632">
        <v>70</v>
      </c>
      <c r="D632" t="s">
        <v>229</v>
      </c>
      <c r="E632" t="s">
        <v>12</v>
      </c>
      <c r="F632">
        <v>0.11700000000000001</v>
      </c>
      <c r="G632" t="s">
        <v>13</v>
      </c>
    </row>
    <row r="633" spans="1:7" x14ac:dyDescent="0.25">
      <c r="A633">
        <v>53</v>
      </c>
      <c r="B633" t="s">
        <v>200</v>
      </c>
      <c r="C633">
        <v>80</v>
      </c>
      <c r="D633" t="s">
        <v>228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200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200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200</v>
      </c>
      <c r="C636">
        <v>110</v>
      </c>
      <c r="D636" t="s">
        <v>103</v>
      </c>
      <c r="E636" t="s">
        <v>12</v>
      </c>
      <c r="F636">
        <v>0.83799999999999997</v>
      </c>
      <c r="G636" t="s">
        <v>13</v>
      </c>
    </row>
    <row r="637" spans="1:7" x14ac:dyDescent="0.25">
      <c r="A637">
        <v>53</v>
      </c>
      <c r="B637" t="s">
        <v>200</v>
      </c>
      <c r="C637">
        <v>120</v>
      </c>
      <c r="D637" t="s">
        <v>132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201</v>
      </c>
      <c r="C638">
        <v>10</v>
      </c>
      <c r="D638" t="s">
        <v>188</v>
      </c>
      <c r="E638" t="s">
        <v>14</v>
      </c>
      <c r="F638">
        <v>1.4730000000000001</v>
      </c>
      <c r="G638" t="s">
        <v>15</v>
      </c>
    </row>
    <row r="639" spans="1:7" x14ac:dyDescent="0.25">
      <c r="A639">
        <v>54</v>
      </c>
      <c r="B639" t="s">
        <v>201</v>
      </c>
      <c r="C639">
        <v>20</v>
      </c>
      <c r="D639" t="s">
        <v>240</v>
      </c>
      <c r="E639" t="s">
        <v>14</v>
      </c>
      <c r="F639">
        <v>1.4730000000000001</v>
      </c>
      <c r="G639" t="s">
        <v>15</v>
      </c>
    </row>
    <row r="640" spans="1:7" x14ac:dyDescent="0.25">
      <c r="A640">
        <v>54</v>
      </c>
      <c r="B640" t="s">
        <v>201</v>
      </c>
      <c r="C640">
        <v>30</v>
      </c>
      <c r="D640" t="s">
        <v>237</v>
      </c>
      <c r="E640" t="s">
        <v>238</v>
      </c>
      <c r="F640">
        <v>0.42</v>
      </c>
      <c r="G640" t="s">
        <v>13</v>
      </c>
    </row>
    <row r="641" spans="1:7" x14ac:dyDescent="0.25">
      <c r="A641">
        <v>54</v>
      </c>
      <c r="B641" t="s">
        <v>201</v>
      </c>
      <c r="C641">
        <v>40</v>
      </c>
      <c r="D641" t="s">
        <v>101</v>
      </c>
      <c r="E641" t="s">
        <v>14</v>
      </c>
      <c r="F641">
        <v>13.818</v>
      </c>
      <c r="G641" t="s">
        <v>13</v>
      </c>
    </row>
    <row r="642" spans="1:7" x14ac:dyDescent="0.25">
      <c r="A642">
        <v>54</v>
      </c>
      <c r="B642" t="s">
        <v>201</v>
      </c>
      <c r="C642">
        <v>50</v>
      </c>
      <c r="D642" t="s">
        <v>16</v>
      </c>
      <c r="E642" t="s">
        <v>14</v>
      </c>
      <c r="F642">
        <v>84.977999999999994</v>
      </c>
      <c r="G642" t="s">
        <v>13</v>
      </c>
    </row>
    <row r="643" spans="1:7" x14ac:dyDescent="0.25">
      <c r="A643">
        <v>54</v>
      </c>
      <c r="B643" t="s">
        <v>201</v>
      </c>
      <c r="C643">
        <v>60</v>
      </c>
      <c r="D643" t="s">
        <v>230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201</v>
      </c>
      <c r="C644">
        <v>70</v>
      </c>
      <c r="D644" t="s">
        <v>229</v>
      </c>
      <c r="E644" t="s">
        <v>12</v>
      </c>
      <c r="F644">
        <v>0.123</v>
      </c>
      <c r="G644" t="s">
        <v>13</v>
      </c>
    </row>
    <row r="645" spans="1:7" x14ac:dyDescent="0.25">
      <c r="A645">
        <v>54</v>
      </c>
      <c r="B645" t="s">
        <v>201</v>
      </c>
      <c r="C645">
        <v>80</v>
      </c>
      <c r="D645" t="s">
        <v>228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201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201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201</v>
      </c>
      <c r="C648">
        <v>110</v>
      </c>
      <c r="D648" t="s">
        <v>103</v>
      </c>
      <c r="E648" t="s">
        <v>12</v>
      </c>
      <c r="F648">
        <v>0.878</v>
      </c>
      <c r="G648" t="s">
        <v>13</v>
      </c>
    </row>
    <row r="649" spans="1:7" x14ac:dyDescent="0.25">
      <c r="A649">
        <v>54</v>
      </c>
      <c r="B649" t="s">
        <v>201</v>
      </c>
      <c r="C649">
        <v>120</v>
      </c>
      <c r="D649" t="s">
        <v>134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202</v>
      </c>
      <c r="C650">
        <v>10</v>
      </c>
      <c r="D650" t="s">
        <v>188</v>
      </c>
      <c r="E650" t="s">
        <v>14</v>
      </c>
      <c r="F650">
        <v>1.6259999999999999</v>
      </c>
      <c r="G650" t="s">
        <v>15</v>
      </c>
    </row>
    <row r="651" spans="1:7" x14ac:dyDescent="0.25">
      <c r="A651">
        <v>55</v>
      </c>
      <c r="B651" t="s">
        <v>202</v>
      </c>
      <c r="C651">
        <v>20</v>
      </c>
      <c r="D651" t="s">
        <v>240</v>
      </c>
      <c r="E651" t="s">
        <v>14</v>
      </c>
      <c r="F651">
        <v>1.6259999999999999</v>
      </c>
      <c r="G651" t="s">
        <v>15</v>
      </c>
    </row>
    <row r="652" spans="1:7" x14ac:dyDescent="0.25">
      <c r="A652">
        <v>55</v>
      </c>
      <c r="B652" t="s">
        <v>202</v>
      </c>
      <c r="C652">
        <v>30</v>
      </c>
      <c r="D652" t="s">
        <v>237</v>
      </c>
      <c r="E652" t="s">
        <v>238</v>
      </c>
      <c r="F652">
        <v>0.46500000000000002</v>
      </c>
      <c r="G652" t="s">
        <v>13</v>
      </c>
    </row>
    <row r="653" spans="1:7" x14ac:dyDescent="0.25">
      <c r="A653">
        <v>55</v>
      </c>
      <c r="B653" t="s">
        <v>202</v>
      </c>
      <c r="C653">
        <v>40</v>
      </c>
      <c r="D653" t="s">
        <v>101</v>
      </c>
      <c r="E653" t="s">
        <v>14</v>
      </c>
      <c r="F653">
        <v>14.427</v>
      </c>
      <c r="G653" t="s">
        <v>13</v>
      </c>
    </row>
    <row r="654" spans="1:7" x14ac:dyDescent="0.25">
      <c r="A654">
        <v>55</v>
      </c>
      <c r="B654" t="s">
        <v>202</v>
      </c>
      <c r="C654">
        <v>50</v>
      </c>
      <c r="D654" t="s">
        <v>16</v>
      </c>
      <c r="E654" t="s">
        <v>14</v>
      </c>
      <c r="F654">
        <v>88.727000000000004</v>
      </c>
      <c r="G654" t="s">
        <v>13</v>
      </c>
    </row>
    <row r="655" spans="1:7" x14ac:dyDescent="0.25">
      <c r="A655">
        <v>55</v>
      </c>
      <c r="B655" t="s">
        <v>202</v>
      </c>
      <c r="C655">
        <v>60</v>
      </c>
      <c r="D655" t="s">
        <v>230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202</v>
      </c>
      <c r="C656">
        <v>70</v>
      </c>
      <c r="D656" t="s">
        <v>229</v>
      </c>
      <c r="E656" t="s">
        <v>12</v>
      </c>
      <c r="F656">
        <v>0.13300000000000001</v>
      </c>
      <c r="G656" t="s">
        <v>13</v>
      </c>
    </row>
    <row r="657" spans="1:7" x14ac:dyDescent="0.25">
      <c r="A657">
        <v>55</v>
      </c>
      <c r="B657" t="s">
        <v>202</v>
      </c>
      <c r="C657">
        <v>80</v>
      </c>
      <c r="D657" t="s">
        <v>228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202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202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202</v>
      </c>
      <c r="C660">
        <v>110</v>
      </c>
      <c r="D660" t="s">
        <v>103</v>
      </c>
      <c r="E660" t="s">
        <v>12</v>
      </c>
      <c r="F660">
        <v>0.95899999999999996</v>
      </c>
      <c r="G660" t="s">
        <v>13</v>
      </c>
    </row>
    <row r="661" spans="1:7" x14ac:dyDescent="0.25">
      <c r="A661">
        <v>55</v>
      </c>
      <c r="B661" t="s">
        <v>202</v>
      </c>
      <c r="C661">
        <v>120</v>
      </c>
      <c r="D661" t="s">
        <v>136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203</v>
      </c>
      <c r="C662">
        <v>10</v>
      </c>
      <c r="D662" t="s">
        <v>188</v>
      </c>
      <c r="E662" t="s">
        <v>14</v>
      </c>
      <c r="F662">
        <v>1.778</v>
      </c>
      <c r="G662" t="s">
        <v>15</v>
      </c>
    </row>
    <row r="663" spans="1:7" x14ac:dyDescent="0.25">
      <c r="A663">
        <v>56</v>
      </c>
      <c r="B663" t="s">
        <v>203</v>
      </c>
      <c r="C663">
        <v>20</v>
      </c>
      <c r="D663" t="s">
        <v>240</v>
      </c>
      <c r="E663" t="s">
        <v>14</v>
      </c>
      <c r="F663">
        <v>1.778</v>
      </c>
      <c r="G663" t="s">
        <v>15</v>
      </c>
    </row>
    <row r="664" spans="1:7" x14ac:dyDescent="0.25">
      <c r="A664">
        <v>56</v>
      </c>
      <c r="B664" t="s">
        <v>203</v>
      </c>
      <c r="C664">
        <v>30</v>
      </c>
      <c r="D664" t="s">
        <v>237</v>
      </c>
      <c r="E664" t="s">
        <v>238</v>
      </c>
      <c r="F664">
        <v>0.50900000000000001</v>
      </c>
      <c r="G664" t="s">
        <v>13</v>
      </c>
    </row>
    <row r="665" spans="1:7" x14ac:dyDescent="0.25">
      <c r="A665">
        <v>56</v>
      </c>
      <c r="B665" t="s">
        <v>203</v>
      </c>
      <c r="C665">
        <v>40</v>
      </c>
      <c r="D665" t="s">
        <v>101</v>
      </c>
      <c r="E665" t="s">
        <v>14</v>
      </c>
      <c r="F665">
        <v>15.037000000000001</v>
      </c>
      <c r="G665" t="s">
        <v>13</v>
      </c>
    </row>
    <row r="666" spans="1:7" x14ac:dyDescent="0.25">
      <c r="A666">
        <v>56</v>
      </c>
      <c r="B666" t="s">
        <v>203</v>
      </c>
      <c r="C666">
        <v>50</v>
      </c>
      <c r="D666" t="s">
        <v>16</v>
      </c>
      <c r="E666" t="s">
        <v>14</v>
      </c>
      <c r="F666">
        <v>92.475999999999999</v>
      </c>
      <c r="G666" t="s">
        <v>13</v>
      </c>
    </row>
    <row r="667" spans="1:7" x14ac:dyDescent="0.25">
      <c r="A667">
        <v>56</v>
      </c>
      <c r="B667" t="s">
        <v>203</v>
      </c>
      <c r="C667">
        <v>60</v>
      </c>
      <c r="D667" t="s">
        <v>230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203</v>
      </c>
      <c r="C668">
        <v>70</v>
      </c>
      <c r="D668" t="s">
        <v>229</v>
      </c>
      <c r="E668" t="s">
        <v>12</v>
      </c>
      <c r="F668">
        <v>0.14399999999999999</v>
      </c>
      <c r="G668" t="s">
        <v>13</v>
      </c>
    </row>
    <row r="669" spans="1:7" x14ac:dyDescent="0.25">
      <c r="A669">
        <v>56</v>
      </c>
      <c r="B669" t="s">
        <v>203</v>
      </c>
      <c r="C669">
        <v>80</v>
      </c>
      <c r="D669" t="s">
        <v>228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203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203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203</v>
      </c>
      <c r="C672">
        <v>110</v>
      </c>
      <c r="D672" t="s">
        <v>103</v>
      </c>
      <c r="E672" t="s">
        <v>12</v>
      </c>
      <c r="F672">
        <v>1.04</v>
      </c>
      <c r="G672" t="s">
        <v>13</v>
      </c>
    </row>
    <row r="673" spans="1:7" x14ac:dyDescent="0.25">
      <c r="A673">
        <v>56</v>
      </c>
      <c r="B673" t="s">
        <v>203</v>
      </c>
      <c r="C673">
        <v>120</v>
      </c>
      <c r="D673" t="s">
        <v>138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204</v>
      </c>
      <c r="C674">
        <v>10</v>
      </c>
      <c r="D674" t="s">
        <v>188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57</v>
      </c>
      <c r="B675" t="s">
        <v>204</v>
      </c>
      <c r="C675">
        <v>20</v>
      </c>
      <c r="D675" t="s">
        <v>240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57</v>
      </c>
      <c r="B676" t="s">
        <v>204</v>
      </c>
      <c r="C676">
        <v>30</v>
      </c>
      <c r="D676" t="s">
        <v>237</v>
      </c>
      <c r="E676" t="s">
        <v>238</v>
      </c>
      <c r="F676">
        <v>0.249</v>
      </c>
      <c r="G676" t="s">
        <v>13</v>
      </c>
    </row>
    <row r="677" spans="1:7" x14ac:dyDescent="0.25">
      <c r="A677">
        <v>57</v>
      </c>
      <c r="B677" t="s">
        <v>204</v>
      </c>
      <c r="C677">
        <v>40</v>
      </c>
      <c r="D677" t="s">
        <v>101</v>
      </c>
      <c r="E677" t="s">
        <v>14</v>
      </c>
      <c r="F677">
        <v>11.683999999999999</v>
      </c>
      <c r="G677" t="s">
        <v>13</v>
      </c>
    </row>
    <row r="678" spans="1:7" x14ac:dyDescent="0.25">
      <c r="A678">
        <v>57</v>
      </c>
      <c r="B678" t="s">
        <v>204</v>
      </c>
      <c r="C678">
        <v>50</v>
      </c>
      <c r="D678" t="s">
        <v>16</v>
      </c>
      <c r="E678" t="s">
        <v>14</v>
      </c>
      <c r="F678">
        <v>71.856999999999999</v>
      </c>
      <c r="G678" t="s">
        <v>13</v>
      </c>
    </row>
    <row r="679" spans="1:7" x14ac:dyDescent="0.25">
      <c r="A679">
        <v>57</v>
      </c>
      <c r="B679" t="s">
        <v>204</v>
      </c>
      <c r="C679">
        <v>60</v>
      </c>
      <c r="D679" t="s">
        <v>230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204</v>
      </c>
      <c r="C680">
        <v>70</v>
      </c>
      <c r="D680" t="s">
        <v>229</v>
      </c>
      <c r="E680" t="s">
        <v>12</v>
      </c>
      <c r="F680">
        <v>0.08</v>
      </c>
      <c r="G680" t="s">
        <v>13</v>
      </c>
    </row>
    <row r="681" spans="1:7" x14ac:dyDescent="0.25">
      <c r="A681">
        <v>57</v>
      </c>
      <c r="B681" t="s">
        <v>204</v>
      </c>
      <c r="C681">
        <v>80</v>
      </c>
      <c r="D681" t="s">
        <v>228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204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204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204</v>
      </c>
      <c r="C684">
        <v>110</v>
      </c>
      <c r="D684" t="s">
        <v>103</v>
      </c>
      <c r="E684" t="s">
        <v>12</v>
      </c>
      <c r="F684">
        <v>0.55400000000000005</v>
      </c>
      <c r="G684" t="s">
        <v>13</v>
      </c>
    </row>
    <row r="685" spans="1:7" x14ac:dyDescent="0.25">
      <c r="A685">
        <v>57</v>
      </c>
      <c r="B685" t="s">
        <v>204</v>
      </c>
      <c r="C685">
        <v>120</v>
      </c>
      <c r="D685" t="s">
        <v>140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205</v>
      </c>
      <c r="C686">
        <v>10</v>
      </c>
      <c r="D686" t="s">
        <v>188</v>
      </c>
      <c r="E686" t="s">
        <v>14</v>
      </c>
      <c r="F686">
        <v>1.016</v>
      </c>
      <c r="G686" t="s">
        <v>15</v>
      </c>
    </row>
    <row r="687" spans="1:7" x14ac:dyDescent="0.25">
      <c r="A687">
        <v>58</v>
      </c>
      <c r="B687" t="s">
        <v>205</v>
      </c>
      <c r="C687">
        <v>20</v>
      </c>
      <c r="D687" t="s">
        <v>240</v>
      </c>
      <c r="E687" t="s">
        <v>14</v>
      </c>
      <c r="F687">
        <v>1.016</v>
      </c>
      <c r="G687" t="s">
        <v>15</v>
      </c>
    </row>
    <row r="688" spans="1:7" x14ac:dyDescent="0.25">
      <c r="A688">
        <v>58</v>
      </c>
      <c r="B688" t="s">
        <v>205</v>
      </c>
      <c r="C688">
        <v>30</v>
      </c>
      <c r="D688" t="s">
        <v>237</v>
      </c>
      <c r="E688" t="s">
        <v>238</v>
      </c>
      <c r="F688">
        <v>0.29599999999999999</v>
      </c>
      <c r="G688" t="s">
        <v>13</v>
      </c>
    </row>
    <row r="689" spans="1:7" x14ac:dyDescent="0.25">
      <c r="A689">
        <v>58</v>
      </c>
      <c r="B689" t="s">
        <v>205</v>
      </c>
      <c r="C689">
        <v>40</v>
      </c>
      <c r="D689" t="s">
        <v>101</v>
      </c>
      <c r="E689" t="s">
        <v>14</v>
      </c>
      <c r="F689">
        <v>12.294</v>
      </c>
      <c r="G689" t="s">
        <v>13</v>
      </c>
    </row>
    <row r="690" spans="1:7" x14ac:dyDescent="0.25">
      <c r="A690">
        <v>58</v>
      </c>
      <c r="B690" t="s">
        <v>205</v>
      </c>
      <c r="C690">
        <v>50</v>
      </c>
      <c r="D690" t="s">
        <v>16</v>
      </c>
      <c r="E690" t="s">
        <v>14</v>
      </c>
      <c r="F690">
        <v>75.605999999999995</v>
      </c>
      <c r="G690" t="s">
        <v>13</v>
      </c>
    </row>
    <row r="691" spans="1:7" x14ac:dyDescent="0.25">
      <c r="A691">
        <v>58</v>
      </c>
      <c r="B691" t="s">
        <v>205</v>
      </c>
      <c r="C691">
        <v>60</v>
      </c>
      <c r="D691" t="s">
        <v>230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205</v>
      </c>
      <c r="C692">
        <v>70</v>
      </c>
      <c r="D692" t="s">
        <v>229</v>
      </c>
      <c r="E692" t="s">
        <v>12</v>
      </c>
      <c r="F692">
        <v>9.0999999999999998E-2</v>
      </c>
      <c r="G692" t="s">
        <v>13</v>
      </c>
    </row>
    <row r="693" spans="1:7" x14ac:dyDescent="0.25">
      <c r="A693">
        <v>58</v>
      </c>
      <c r="B693" t="s">
        <v>205</v>
      </c>
      <c r="C693">
        <v>80</v>
      </c>
      <c r="D693" t="s">
        <v>228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205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205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205</v>
      </c>
      <c r="C696">
        <v>110</v>
      </c>
      <c r="D696" t="s">
        <v>103</v>
      </c>
      <c r="E696" t="s">
        <v>12</v>
      </c>
      <c r="F696">
        <v>0.63500000000000001</v>
      </c>
      <c r="G696" t="s">
        <v>13</v>
      </c>
    </row>
    <row r="697" spans="1:7" x14ac:dyDescent="0.25">
      <c r="A697">
        <v>58</v>
      </c>
      <c r="B697" t="s">
        <v>205</v>
      </c>
      <c r="C697">
        <v>120</v>
      </c>
      <c r="D697" t="s">
        <v>142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206</v>
      </c>
      <c r="C698">
        <v>10</v>
      </c>
      <c r="D698" t="s">
        <v>188</v>
      </c>
      <c r="E698" t="s">
        <v>14</v>
      </c>
      <c r="F698">
        <v>1.1679999999999999</v>
      </c>
      <c r="G698" t="s">
        <v>15</v>
      </c>
    </row>
    <row r="699" spans="1:7" x14ac:dyDescent="0.25">
      <c r="A699">
        <v>59</v>
      </c>
      <c r="B699" t="s">
        <v>206</v>
      </c>
      <c r="C699">
        <v>20</v>
      </c>
      <c r="D699" t="s">
        <v>240</v>
      </c>
      <c r="E699" t="s">
        <v>14</v>
      </c>
      <c r="F699">
        <v>1.1679999999999999</v>
      </c>
      <c r="G699" t="s">
        <v>15</v>
      </c>
    </row>
    <row r="700" spans="1:7" x14ac:dyDescent="0.25">
      <c r="A700">
        <v>59</v>
      </c>
      <c r="B700" t="s">
        <v>206</v>
      </c>
      <c r="C700">
        <v>30</v>
      </c>
      <c r="D700" t="s">
        <v>237</v>
      </c>
      <c r="E700" t="s">
        <v>238</v>
      </c>
      <c r="F700">
        <v>0.34300000000000003</v>
      </c>
      <c r="G700" t="s">
        <v>13</v>
      </c>
    </row>
    <row r="701" spans="1:7" x14ac:dyDescent="0.25">
      <c r="A701">
        <v>59</v>
      </c>
      <c r="B701" t="s">
        <v>206</v>
      </c>
      <c r="C701">
        <v>40</v>
      </c>
      <c r="D701" t="s">
        <v>101</v>
      </c>
      <c r="E701" t="s">
        <v>14</v>
      </c>
      <c r="F701">
        <v>12.903</v>
      </c>
      <c r="G701" t="s">
        <v>13</v>
      </c>
    </row>
    <row r="702" spans="1:7" x14ac:dyDescent="0.25">
      <c r="A702">
        <v>59</v>
      </c>
      <c r="B702" t="s">
        <v>206</v>
      </c>
      <c r="C702">
        <v>50</v>
      </c>
      <c r="D702" t="s">
        <v>16</v>
      </c>
      <c r="E702" t="s">
        <v>14</v>
      </c>
      <c r="F702">
        <v>79.355000000000004</v>
      </c>
      <c r="G702" t="s">
        <v>13</v>
      </c>
    </row>
    <row r="703" spans="1:7" x14ac:dyDescent="0.25">
      <c r="A703">
        <v>59</v>
      </c>
      <c r="B703" t="s">
        <v>206</v>
      </c>
      <c r="C703">
        <v>60</v>
      </c>
      <c r="D703" t="s">
        <v>230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206</v>
      </c>
      <c r="C704">
        <v>70</v>
      </c>
      <c r="D704" t="s">
        <v>229</v>
      </c>
      <c r="E704" t="s">
        <v>12</v>
      </c>
      <c r="F704">
        <v>0.10100000000000001</v>
      </c>
      <c r="G704" t="s">
        <v>13</v>
      </c>
    </row>
    <row r="705" spans="1:7" x14ac:dyDescent="0.25">
      <c r="A705">
        <v>59</v>
      </c>
      <c r="B705" t="s">
        <v>206</v>
      </c>
      <c r="C705">
        <v>80</v>
      </c>
      <c r="D705" t="s">
        <v>228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206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206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206</v>
      </c>
      <c r="C708">
        <v>110</v>
      </c>
      <c r="D708" t="s">
        <v>103</v>
      </c>
      <c r="E708" t="s">
        <v>12</v>
      </c>
      <c r="F708">
        <v>0.71599999999999997</v>
      </c>
      <c r="G708" t="s">
        <v>13</v>
      </c>
    </row>
    <row r="709" spans="1:7" x14ac:dyDescent="0.25">
      <c r="A709">
        <v>59</v>
      </c>
      <c r="B709" t="s">
        <v>206</v>
      </c>
      <c r="C709">
        <v>120</v>
      </c>
      <c r="D709" t="s">
        <v>144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207</v>
      </c>
      <c r="C710">
        <v>10</v>
      </c>
      <c r="D710" t="s">
        <v>188</v>
      </c>
      <c r="E710" t="s">
        <v>14</v>
      </c>
      <c r="F710">
        <v>1.321</v>
      </c>
      <c r="G710" t="s">
        <v>15</v>
      </c>
    </row>
    <row r="711" spans="1:7" x14ac:dyDescent="0.25">
      <c r="A711">
        <v>60</v>
      </c>
      <c r="B711" t="s">
        <v>207</v>
      </c>
      <c r="C711">
        <v>20</v>
      </c>
      <c r="D711" t="s">
        <v>240</v>
      </c>
      <c r="E711" t="s">
        <v>14</v>
      </c>
      <c r="F711">
        <v>1.321</v>
      </c>
      <c r="G711" t="s">
        <v>15</v>
      </c>
    </row>
    <row r="712" spans="1:7" x14ac:dyDescent="0.25">
      <c r="A712">
        <v>60</v>
      </c>
      <c r="B712" t="s">
        <v>207</v>
      </c>
      <c r="C712">
        <v>30</v>
      </c>
      <c r="D712" t="s">
        <v>237</v>
      </c>
      <c r="E712" t="s">
        <v>238</v>
      </c>
      <c r="F712">
        <v>0.39</v>
      </c>
      <c r="G712" t="s">
        <v>13</v>
      </c>
    </row>
    <row r="713" spans="1:7" x14ac:dyDescent="0.25">
      <c r="A713">
        <v>60</v>
      </c>
      <c r="B713" t="s">
        <v>207</v>
      </c>
      <c r="C713">
        <v>40</v>
      </c>
      <c r="D713" t="s">
        <v>101</v>
      </c>
      <c r="E713" t="s">
        <v>14</v>
      </c>
      <c r="F713">
        <v>13.513</v>
      </c>
      <c r="G713" t="s">
        <v>13</v>
      </c>
    </row>
    <row r="714" spans="1:7" x14ac:dyDescent="0.25">
      <c r="A714">
        <v>60</v>
      </c>
      <c r="B714" t="s">
        <v>207</v>
      </c>
      <c r="C714">
        <v>50</v>
      </c>
      <c r="D714" t="s">
        <v>16</v>
      </c>
      <c r="E714" t="s">
        <v>14</v>
      </c>
      <c r="F714">
        <v>83.103999999999999</v>
      </c>
      <c r="G714" t="s">
        <v>13</v>
      </c>
    </row>
    <row r="715" spans="1:7" x14ac:dyDescent="0.25">
      <c r="A715">
        <v>60</v>
      </c>
      <c r="B715" t="s">
        <v>207</v>
      </c>
      <c r="C715">
        <v>60</v>
      </c>
      <c r="D715" t="s">
        <v>230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207</v>
      </c>
      <c r="C716">
        <v>70</v>
      </c>
      <c r="D716" t="s">
        <v>229</v>
      </c>
      <c r="E716" t="s">
        <v>12</v>
      </c>
      <c r="F716">
        <v>0.112</v>
      </c>
      <c r="G716" t="s">
        <v>13</v>
      </c>
    </row>
    <row r="717" spans="1:7" x14ac:dyDescent="0.25">
      <c r="A717">
        <v>60</v>
      </c>
      <c r="B717" t="s">
        <v>207</v>
      </c>
      <c r="C717">
        <v>80</v>
      </c>
      <c r="D717" t="s">
        <v>228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207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207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207</v>
      </c>
      <c r="C720">
        <v>110</v>
      </c>
      <c r="D720" t="s">
        <v>103</v>
      </c>
      <c r="E720" t="s">
        <v>12</v>
      </c>
      <c r="F720">
        <v>0.79700000000000004</v>
      </c>
      <c r="G720" t="s">
        <v>13</v>
      </c>
    </row>
    <row r="721" spans="1:7" x14ac:dyDescent="0.25">
      <c r="A721">
        <v>60</v>
      </c>
      <c r="B721" t="s">
        <v>207</v>
      </c>
      <c r="C721">
        <v>120</v>
      </c>
      <c r="D721" t="s">
        <v>146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208</v>
      </c>
      <c r="C722">
        <v>10</v>
      </c>
      <c r="D722" t="s">
        <v>188</v>
      </c>
      <c r="E722" t="s">
        <v>14</v>
      </c>
      <c r="F722">
        <v>1.397</v>
      </c>
      <c r="G722" t="s">
        <v>15</v>
      </c>
    </row>
    <row r="723" spans="1:7" x14ac:dyDescent="0.25">
      <c r="A723">
        <v>61</v>
      </c>
      <c r="B723" t="s">
        <v>208</v>
      </c>
      <c r="C723">
        <v>20</v>
      </c>
      <c r="D723" t="s">
        <v>240</v>
      </c>
      <c r="E723" t="s">
        <v>14</v>
      </c>
      <c r="F723">
        <v>1.397</v>
      </c>
      <c r="G723" t="s">
        <v>15</v>
      </c>
    </row>
    <row r="724" spans="1:7" x14ac:dyDescent="0.25">
      <c r="A724">
        <v>61</v>
      </c>
      <c r="B724" t="s">
        <v>208</v>
      </c>
      <c r="C724">
        <v>30</v>
      </c>
      <c r="D724" t="s">
        <v>237</v>
      </c>
      <c r="E724" t="s">
        <v>238</v>
      </c>
      <c r="F724">
        <v>0.41299999999999998</v>
      </c>
      <c r="G724" t="s">
        <v>13</v>
      </c>
    </row>
    <row r="725" spans="1:7" x14ac:dyDescent="0.25">
      <c r="A725">
        <v>61</v>
      </c>
      <c r="B725" t="s">
        <v>208</v>
      </c>
      <c r="C725">
        <v>40</v>
      </c>
      <c r="D725" t="s">
        <v>101</v>
      </c>
      <c r="E725" t="s">
        <v>14</v>
      </c>
      <c r="F725">
        <v>13.818</v>
      </c>
      <c r="G725" t="s">
        <v>13</v>
      </c>
    </row>
    <row r="726" spans="1:7" x14ac:dyDescent="0.25">
      <c r="A726">
        <v>61</v>
      </c>
      <c r="B726" t="s">
        <v>208</v>
      </c>
      <c r="C726">
        <v>50</v>
      </c>
      <c r="D726" t="s">
        <v>16</v>
      </c>
      <c r="E726" t="s">
        <v>14</v>
      </c>
      <c r="F726">
        <v>84.977999999999994</v>
      </c>
      <c r="G726" t="s">
        <v>13</v>
      </c>
    </row>
    <row r="727" spans="1:7" x14ac:dyDescent="0.25">
      <c r="A727">
        <v>61</v>
      </c>
      <c r="B727" t="s">
        <v>208</v>
      </c>
      <c r="C727">
        <v>60</v>
      </c>
      <c r="D727" t="s">
        <v>230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208</v>
      </c>
      <c r="C728">
        <v>70</v>
      </c>
      <c r="D728" t="s">
        <v>229</v>
      </c>
      <c r="E728" t="s">
        <v>12</v>
      </c>
      <c r="F728">
        <v>0.11700000000000001</v>
      </c>
      <c r="G728" t="s">
        <v>13</v>
      </c>
    </row>
    <row r="729" spans="1:7" x14ac:dyDescent="0.25">
      <c r="A729">
        <v>61</v>
      </c>
      <c r="B729" t="s">
        <v>208</v>
      </c>
      <c r="C729">
        <v>80</v>
      </c>
      <c r="D729" t="s">
        <v>228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208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208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208</v>
      </c>
      <c r="C732">
        <v>110</v>
      </c>
      <c r="D732" t="s">
        <v>103</v>
      </c>
      <c r="E732" t="s">
        <v>12</v>
      </c>
      <c r="F732">
        <v>0.83799999999999997</v>
      </c>
      <c r="G732" t="s">
        <v>13</v>
      </c>
    </row>
    <row r="733" spans="1:7" x14ac:dyDescent="0.25">
      <c r="A733">
        <v>61</v>
      </c>
      <c r="B733" t="s">
        <v>208</v>
      </c>
      <c r="C733">
        <v>120</v>
      </c>
      <c r="D733" t="s">
        <v>148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209</v>
      </c>
      <c r="C734">
        <v>10</v>
      </c>
      <c r="D734" t="s">
        <v>188</v>
      </c>
      <c r="E734" t="s">
        <v>14</v>
      </c>
      <c r="F734">
        <v>1.4730000000000001</v>
      </c>
      <c r="G734" t="s">
        <v>15</v>
      </c>
    </row>
    <row r="735" spans="1:7" x14ac:dyDescent="0.25">
      <c r="A735">
        <v>62</v>
      </c>
      <c r="B735" t="s">
        <v>209</v>
      </c>
      <c r="C735">
        <v>20</v>
      </c>
      <c r="D735" t="s">
        <v>240</v>
      </c>
      <c r="E735" t="s">
        <v>14</v>
      </c>
      <c r="F735">
        <v>1.4730000000000001</v>
      </c>
      <c r="G735" t="s">
        <v>15</v>
      </c>
    </row>
    <row r="736" spans="1:7" x14ac:dyDescent="0.25">
      <c r="A736">
        <v>62</v>
      </c>
      <c r="B736" t="s">
        <v>209</v>
      </c>
      <c r="C736">
        <v>30</v>
      </c>
      <c r="D736" t="s">
        <v>237</v>
      </c>
      <c r="E736" t="s">
        <v>238</v>
      </c>
      <c r="F736">
        <v>0.437</v>
      </c>
      <c r="G736" t="s">
        <v>13</v>
      </c>
    </row>
    <row r="737" spans="1:7" x14ac:dyDescent="0.25">
      <c r="A737">
        <v>62</v>
      </c>
      <c r="B737" t="s">
        <v>209</v>
      </c>
      <c r="C737">
        <v>40</v>
      </c>
      <c r="D737" t="s">
        <v>101</v>
      </c>
      <c r="E737" t="s">
        <v>14</v>
      </c>
      <c r="F737">
        <v>14.122</v>
      </c>
      <c r="G737" t="s">
        <v>13</v>
      </c>
    </row>
    <row r="738" spans="1:7" x14ac:dyDescent="0.25">
      <c r="A738">
        <v>62</v>
      </c>
      <c r="B738" t="s">
        <v>209</v>
      </c>
      <c r="C738">
        <v>50</v>
      </c>
      <c r="D738" t="s">
        <v>16</v>
      </c>
      <c r="E738" t="s">
        <v>14</v>
      </c>
      <c r="F738">
        <v>86.852999999999994</v>
      </c>
      <c r="G738" t="s">
        <v>13</v>
      </c>
    </row>
    <row r="739" spans="1:7" x14ac:dyDescent="0.25">
      <c r="A739">
        <v>62</v>
      </c>
      <c r="B739" t="s">
        <v>209</v>
      </c>
      <c r="C739">
        <v>60</v>
      </c>
      <c r="D739" t="s">
        <v>230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209</v>
      </c>
      <c r="C740">
        <v>70</v>
      </c>
      <c r="D740" t="s">
        <v>229</v>
      </c>
      <c r="E740" t="s">
        <v>12</v>
      </c>
      <c r="F740">
        <v>0.123</v>
      </c>
      <c r="G740" t="s">
        <v>13</v>
      </c>
    </row>
    <row r="741" spans="1:7" x14ac:dyDescent="0.25">
      <c r="A741">
        <v>62</v>
      </c>
      <c r="B741" t="s">
        <v>209</v>
      </c>
      <c r="C741">
        <v>80</v>
      </c>
      <c r="D741" t="s">
        <v>228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209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209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209</v>
      </c>
      <c r="C744">
        <v>110</v>
      </c>
      <c r="D744" t="s">
        <v>103</v>
      </c>
      <c r="E744" t="s">
        <v>12</v>
      </c>
      <c r="F744">
        <v>0.878</v>
      </c>
      <c r="G744" t="s">
        <v>13</v>
      </c>
    </row>
    <row r="745" spans="1:7" x14ac:dyDescent="0.25">
      <c r="A745">
        <v>62</v>
      </c>
      <c r="B745" t="s">
        <v>209</v>
      </c>
      <c r="C745">
        <v>120</v>
      </c>
      <c r="D745" t="s">
        <v>150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210</v>
      </c>
      <c r="C746">
        <v>10</v>
      </c>
      <c r="D746" t="s">
        <v>188</v>
      </c>
      <c r="E746" t="s">
        <v>14</v>
      </c>
      <c r="F746">
        <v>1.6259999999999999</v>
      </c>
      <c r="G746" t="s">
        <v>15</v>
      </c>
    </row>
    <row r="747" spans="1:7" x14ac:dyDescent="0.25">
      <c r="A747">
        <v>63</v>
      </c>
      <c r="B747" t="s">
        <v>210</v>
      </c>
      <c r="C747">
        <v>20</v>
      </c>
      <c r="D747" t="s">
        <v>240</v>
      </c>
      <c r="E747" t="s">
        <v>14</v>
      </c>
      <c r="F747">
        <v>1.6259999999999999</v>
      </c>
      <c r="G747" t="s">
        <v>15</v>
      </c>
    </row>
    <row r="748" spans="1:7" x14ac:dyDescent="0.25">
      <c r="A748">
        <v>63</v>
      </c>
      <c r="B748" t="s">
        <v>210</v>
      </c>
      <c r="C748">
        <v>30</v>
      </c>
      <c r="D748" t="s">
        <v>237</v>
      </c>
      <c r="E748" t="s">
        <v>238</v>
      </c>
      <c r="F748">
        <v>0.48299999999999998</v>
      </c>
      <c r="G748" t="s">
        <v>13</v>
      </c>
    </row>
    <row r="749" spans="1:7" x14ac:dyDescent="0.25">
      <c r="A749">
        <v>63</v>
      </c>
      <c r="B749" t="s">
        <v>210</v>
      </c>
      <c r="C749">
        <v>40</v>
      </c>
      <c r="D749" t="s">
        <v>101</v>
      </c>
      <c r="E749" t="s">
        <v>14</v>
      </c>
      <c r="F749">
        <v>14.731999999999999</v>
      </c>
      <c r="G749" t="s">
        <v>13</v>
      </c>
    </row>
    <row r="750" spans="1:7" x14ac:dyDescent="0.25">
      <c r="A750">
        <v>63</v>
      </c>
      <c r="B750" t="s">
        <v>210</v>
      </c>
      <c r="C750">
        <v>50</v>
      </c>
      <c r="D750" t="s">
        <v>16</v>
      </c>
      <c r="E750" t="s">
        <v>14</v>
      </c>
      <c r="F750">
        <v>90.602000000000004</v>
      </c>
      <c r="G750" t="s">
        <v>13</v>
      </c>
    </row>
    <row r="751" spans="1:7" x14ac:dyDescent="0.25">
      <c r="A751">
        <v>63</v>
      </c>
      <c r="B751" t="s">
        <v>210</v>
      </c>
      <c r="C751">
        <v>60</v>
      </c>
      <c r="D751" t="s">
        <v>230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210</v>
      </c>
      <c r="C752">
        <v>70</v>
      </c>
      <c r="D752" t="s">
        <v>229</v>
      </c>
      <c r="E752" t="s">
        <v>12</v>
      </c>
      <c r="F752">
        <v>0.13300000000000001</v>
      </c>
      <c r="G752" t="s">
        <v>13</v>
      </c>
    </row>
    <row r="753" spans="1:7" x14ac:dyDescent="0.25">
      <c r="A753">
        <v>63</v>
      </c>
      <c r="B753" t="s">
        <v>210</v>
      </c>
      <c r="C753">
        <v>80</v>
      </c>
      <c r="D753" t="s">
        <v>228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210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210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210</v>
      </c>
      <c r="C756">
        <v>110</v>
      </c>
      <c r="D756" t="s">
        <v>103</v>
      </c>
      <c r="E756" t="s">
        <v>12</v>
      </c>
      <c r="F756">
        <v>0.95899999999999996</v>
      </c>
      <c r="G756" t="s">
        <v>13</v>
      </c>
    </row>
    <row r="757" spans="1:7" x14ac:dyDescent="0.25">
      <c r="A757">
        <v>63</v>
      </c>
      <c r="B757" t="s">
        <v>210</v>
      </c>
      <c r="C757">
        <v>120</v>
      </c>
      <c r="D757" t="s">
        <v>152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211</v>
      </c>
      <c r="C758">
        <v>10</v>
      </c>
      <c r="D758" t="s">
        <v>188</v>
      </c>
      <c r="E758" t="s">
        <v>14</v>
      </c>
      <c r="F758">
        <v>1.778</v>
      </c>
      <c r="G758" t="s">
        <v>15</v>
      </c>
    </row>
    <row r="759" spans="1:7" x14ac:dyDescent="0.25">
      <c r="A759">
        <v>64</v>
      </c>
      <c r="B759" t="s">
        <v>211</v>
      </c>
      <c r="C759">
        <v>20</v>
      </c>
      <c r="D759" t="s">
        <v>240</v>
      </c>
      <c r="E759" t="s">
        <v>14</v>
      </c>
      <c r="F759">
        <v>1.778</v>
      </c>
      <c r="G759" t="s">
        <v>15</v>
      </c>
    </row>
    <row r="760" spans="1:7" x14ac:dyDescent="0.25">
      <c r="A760">
        <v>64</v>
      </c>
      <c r="B760" t="s">
        <v>211</v>
      </c>
      <c r="C760">
        <v>30</v>
      </c>
      <c r="D760" t="s">
        <v>237</v>
      </c>
      <c r="E760" t="s">
        <v>238</v>
      </c>
      <c r="F760">
        <v>0.53</v>
      </c>
      <c r="G760" t="s">
        <v>13</v>
      </c>
    </row>
    <row r="761" spans="1:7" x14ac:dyDescent="0.25">
      <c r="A761">
        <v>64</v>
      </c>
      <c r="B761" t="s">
        <v>211</v>
      </c>
      <c r="C761">
        <v>40</v>
      </c>
      <c r="D761" t="s">
        <v>101</v>
      </c>
      <c r="E761" t="s">
        <v>14</v>
      </c>
      <c r="F761">
        <v>15.342000000000001</v>
      </c>
      <c r="G761" t="s">
        <v>13</v>
      </c>
    </row>
    <row r="762" spans="1:7" x14ac:dyDescent="0.25">
      <c r="A762">
        <v>64</v>
      </c>
      <c r="B762" t="s">
        <v>211</v>
      </c>
      <c r="C762">
        <v>50</v>
      </c>
      <c r="D762" t="s">
        <v>16</v>
      </c>
      <c r="E762" t="s">
        <v>14</v>
      </c>
      <c r="F762">
        <v>94.350999999999999</v>
      </c>
      <c r="G762" t="s">
        <v>13</v>
      </c>
    </row>
    <row r="763" spans="1:7" x14ac:dyDescent="0.25">
      <c r="A763">
        <v>64</v>
      </c>
      <c r="B763" t="s">
        <v>211</v>
      </c>
      <c r="C763">
        <v>60</v>
      </c>
      <c r="D763" t="s">
        <v>230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211</v>
      </c>
      <c r="C764">
        <v>70</v>
      </c>
      <c r="D764" t="s">
        <v>229</v>
      </c>
      <c r="E764" t="s">
        <v>12</v>
      </c>
      <c r="F764">
        <v>0.14399999999999999</v>
      </c>
      <c r="G764" t="s">
        <v>13</v>
      </c>
    </row>
    <row r="765" spans="1:7" x14ac:dyDescent="0.25">
      <c r="A765">
        <v>64</v>
      </c>
      <c r="B765" t="s">
        <v>211</v>
      </c>
      <c r="C765">
        <v>80</v>
      </c>
      <c r="D765" t="s">
        <v>228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211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211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211</v>
      </c>
      <c r="C768">
        <v>110</v>
      </c>
      <c r="D768" t="s">
        <v>103</v>
      </c>
      <c r="E768" t="s">
        <v>12</v>
      </c>
      <c r="F768">
        <v>1.04</v>
      </c>
      <c r="G768" t="s">
        <v>13</v>
      </c>
    </row>
    <row r="769" spans="1:7" x14ac:dyDescent="0.25">
      <c r="A769">
        <v>64</v>
      </c>
      <c r="B769" t="s">
        <v>211</v>
      </c>
      <c r="C769">
        <v>120</v>
      </c>
      <c r="D769" t="s">
        <v>154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212</v>
      </c>
      <c r="C770">
        <v>10</v>
      </c>
      <c r="D770" t="s">
        <v>188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212</v>
      </c>
      <c r="C771">
        <v>20</v>
      </c>
      <c r="D771" t="s">
        <v>240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212</v>
      </c>
      <c r="C772">
        <v>30</v>
      </c>
      <c r="D772" t="s">
        <v>237</v>
      </c>
      <c r="E772" t="s">
        <v>238</v>
      </c>
      <c r="F772">
        <v>0.25600000000000001</v>
      </c>
      <c r="G772" t="s">
        <v>13</v>
      </c>
    </row>
    <row r="773" spans="1:7" x14ac:dyDescent="0.25">
      <c r="A773">
        <v>65</v>
      </c>
      <c r="B773" t="s">
        <v>212</v>
      </c>
      <c r="C773">
        <v>40</v>
      </c>
      <c r="D773" t="s">
        <v>101</v>
      </c>
      <c r="E773" t="s">
        <v>14</v>
      </c>
      <c r="F773">
        <v>11.887</v>
      </c>
      <c r="G773" t="s">
        <v>13</v>
      </c>
    </row>
    <row r="774" spans="1:7" x14ac:dyDescent="0.25">
      <c r="A774">
        <v>65</v>
      </c>
      <c r="B774" t="s">
        <v>212</v>
      </c>
      <c r="C774">
        <v>50</v>
      </c>
      <c r="D774" t="s">
        <v>16</v>
      </c>
      <c r="E774" t="s">
        <v>14</v>
      </c>
      <c r="F774">
        <v>73.105999999999995</v>
      </c>
      <c r="G774" t="s">
        <v>13</v>
      </c>
    </row>
    <row r="775" spans="1:7" x14ac:dyDescent="0.25">
      <c r="A775">
        <v>65</v>
      </c>
      <c r="B775" t="s">
        <v>212</v>
      </c>
      <c r="C775">
        <v>60</v>
      </c>
      <c r="D775" t="s">
        <v>230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212</v>
      </c>
      <c r="C776">
        <v>70</v>
      </c>
      <c r="D776" t="s">
        <v>229</v>
      </c>
      <c r="E776" t="s">
        <v>12</v>
      </c>
      <c r="F776">
        <v>0.08</v>
      </c>
      <c r="G776" t="s">
        <v>13</v>
      </c>
    </row>
    <row r="777" spans="1:7" x14ac:dyDescent="0.25">
      <c r="A777">
        <v>65</v>
      </c>
      <c r="B777" t="s">
        <v>212</v>
      </c>
      <c r="C777">
        <v>80</v>
      </c>
      <c r="D777" t="s">
        <v>228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212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212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212</v>
      </c>
      <c r="C780">
        <v>110</v>
      </c>
      <c r="D780" t="s">
        <v>103</v>
      </c>
      <c r="E780" t="s">
        <v>12</v>
      </c>
      <c r="F780">
        <v>1.1890000000000001</v>
      </c>
      <c r="G780" t="s">
        <v>13</v>
      </c>
    </row>
    <row r="781" spans="1:7" x14ac:dyDescent="0.25">
      <c r="A781">
        <v>65</v>
      </c>
      <c r="B781" t="s">
        <v>212</v>
      </c>
      <c r="C781">
        <v>120</v>
      </c>
      <c r="D781" t="s">
        <v>156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213</v>
      </c>
      <c r="C782">
        <v>10</v>
      </c>
      <c r="D782" t="s">
        <v>188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66</v>
      </c>
      <c r="B783" t="s">
        <v>213</v>
      </c>
      <c r="C783">
        <v>20</v>
      </c>
      <c r="D783" t="s">
        <v>240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213</v>
      </c>
      <c r="C784">
        <v>30</v>
      </c>
      <c r="D784" t="s">
        <v>237</v>
      </c>
      <c r="E784" t="s">
        <v>238</v>
      </c>
      <c r="F784">
        <v>0.30399999999999999</v>
      </c>
      <c r="G784" t="s">
        <v>13</v>
      </c>
    </row>
    <row r="785" spans="1:7" x14ac:dyDescent="0.25">
      <c r="A785">
        <v>66</v>
      </c>
      <c r="B785" t="s">
        <v>213</v>
      </c>
      <c r="C785">
        <v>40</v>
      </c>
      <c r="D785" t="s">
        <v>101</v>
      </c>
      <c r="E785" t="s">
        <v>14</v>
      </c>
      <c r="F785">
        <v>12.497</v>
      </c>
      <c r="G785" t="s">
        <v>13</v>
      </c>
    </row>
    <row r="786" spans="1:7" x14ac:dyDescent="0.25">
      <c r="A786">
        <v>66</v>
      </c>
      <c r="B786" t="s">
        <v>213</v>
      </c>
      <c r="C786">
        <v>50</v>
      </c>
      <c r="D786" t="s">
        <v>16</v>
      </c>
      <c r="E786" t="s">
        <v>14</v>
      </c>
      <c r="F786">
        <v>76.855000000000004</v>
      </c>
      <c r="G786" t="s">
        <v>13</v>
      </c>
    </row>
    <row r="787" spans="1:7" x14ac:dyDescent="0.25">
      <c r="A787">
        <v>66</v>
      </c>
      <c r="B787" t="s">
        <v>213</v>
      </c>
      <c r="C787">
        <v>60</v>
      </c>
      <c r="D787" t="s">
        <v>230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213</v>
      </c>
      <c r="C788">
        <v>70</v>
      </c>
      <c r="D788" t="s">
        <v>229</v>
      </c>
      <c r="E788" t="s">
        <v>12</v>
      </c>
      <c r="F788">
        <v>9.0999999999999998E-2</v>
      </c>
      <c r="G788" t="s">
        <v>13</v>
      </c>
    </row>
    <row r="789" spans="1:7" x14ac:dyDescent="0.25">
      <c r="A789">
        <v>66</v>
      </c>
      <c r="B789" t="s">
        <v>213</v>
      </c>
      <c r="C789">
        <v>80</v>
      </c>
      <c r="D789" t="s">
        <v>228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213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213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213</v>
      </c>
      <c r="C792">
        <v>110</v>
      </c>
      <c r="D792" t="s">
        <v>103</v>
      </c>
      <c r="E792" t="s">
        <v>12</v>
      </c>
      <c r="F792">
        <v>1.1890000000000001</v>
      </c>
      <c r="G792" t="s">
        <v>13</v>
      </c>
    </row>
    <row r="793" spans="1:7" x14ac:dyDescent="0.25">
      <c r="A793">
        <v>66</v>
      </c>
      <c r="B793" t="s">
        <v>213</v>
      </c>
      <c r="C793">
        <v>120</v>
      </c>
      <c r="D793" t="s">
        <v>158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214</v>
      </c>
      <c r="C794">
        <v>10</v>
      </c>
      <c r="D794" t="s">
        <v>188</v>
      </c>
      <c r="E794" t="s">
        <v>14</v>
      </c>
      <c r="F794">
        <v>2.0569999999999999</v>
      </c>
      <c r="G794" t="s">
        <v>15</v>
      </c>
    </row>
    <row r="795" spans="1:7" x14ac:dyDescent="0.25">
      <c r="A795">
        <v>67</v>
      </c>
      <c r="B795" t="s">
        <v>214</v>
      </c>
      <c r="C795">
        <v>20</v>
      </c>
      <c r="D795" t="s">
        <v>240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214</v>
      </c>
      <c r="C796">
        <v>30</v>
      </c>
      <c r="D796" t="s">
        <v>237</v>
      </c>
      <c r="E796" t="s">
        <v>238</v>
      </c>
      <c r="F796">
        <v>0.35199999999999998</v>
      </c>
      <c r="G796" t="s">
        <v>13</v>
      </c>
    </row>
    <row r="797" spans="1:7" x14ac:dyDescent="0.25">
      <c r="A797">
        <v>67</v>
      </c>
      <c r="B797" t="s">
        <v>214</v>
      </c>
      <c r="C797">
        <v>40</v>
      </c>
      <c r="D797" t="s">
        <v>101</v>
      </c>
      <c r="E797" t="s">
        <v>14</v>
      </c>
      <c r="F797">
        <v>13.106</v>
      </c>
      <c r="G797" t="s">
        <v>13</v>
      </c>
    </row>
    <row r="798" spans="1:7" x14ac:dyDescent="0.25">
      <c r="A798">
        <v>67</v>
      </c>
      <c r="B798" t="s">
        <v>214</v>
      </c>
      <c r="C798">
        <v>50</v>
      </c>
      <c r="D798" t="s">
        <v>16</v>
      </c>
      <c r="E798" t="s">
        <v>14</v>
      </c>
      <c r="F798">
        <v>80.603999999999999</v>
      </c>
      <c r="G798" t="s">
        <v>13</v>
      </c>
    </row>
    <row r="799" spans="1:7" x14ac:dyDescent="0.25">
      <c r="A799">
        <v>67</v>
      </c>
      <c r="B799" t="s">
        <v>214</v>
      </c>
      <c r="C799">
        <v>60</v>
      </c>
      <c r="D799" t="s">
        <v>230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214</v>
      </c>
      <c r="C800">
        <v>70</v>
      </c>
      <c r="D800" t="s">
        <v>229</v>
      </c>
      <c r="E800" t="s">
        <v>12</v>
      </c>
      <c r="F800">
        <v>0.10100000000000001</v>
      </c>
      <c r="G800" t="s">
        <v>13</v>
      </c>
    </row>
    <row r="801" spans="1:7" x14ac:dyDescent="0.25">
      <c r="A801">
        <v>67</v>
      </c>
      <c r="B801" t="s">
        <v>214</v>
      </c>
      <c r="C801">
        <v>80</v>
      </c>
      <c r="D801" t="s">
        <v>228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214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214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214</v>
      </c>
      <c r="C804">
        <v>110</v>
      </c>
      <c r="D804" t="s">
        <v>103</v>
      </c>
      <c r="E804" t="s">
        <v>12</v>
      </c>
      <c r="F804">
        <v>1.1890000000000001</v>
      </c>
      <c r="G804" t="s">
        <v>13</v>
      </c>
    </row>
    <row r="805" spans="1:7" x14ac:dyDescent="0.25">
      <c r="A805">
        <v>67</v>
      </c>
      <c r="B805" t="s">
        <v>214</v>
      </c>
      <c r="C805">
        <v>120</v>
      </c>
      <c r="D805" t="s">
        <v>160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215</v>
      </c>
      <c r="C806">
        <v>10</v>
      </c>
      <c r="D806" t="s">
        <v>188</v>
      </c>
      <c r="E806" t="s">
        <v>14</v>
      </c>
      <c r="F806">
        <v>2.0569999999999999</v>
      </c>
      <c r="G806" t="s">
        <v>15</v>
      </c>
    </row>
    <row r="807" spans="1:7" x14ac:dyDescent="0.25">
      <c r="A807">
        <v>68</v>
      </c>
      <c r="B807" t="s">
        <v>215</v>
      </c>
      <c r="C807">
        <v>20</v>
      </c>
      <c r="D807" t="s">
        <v>240</v>
      </c>
      <c r="E807" t="s">
        <v>14</v>
      </c>
      <c r="F807">
        <v>2.0569999999999999</v>
      </c>
      <c r="G807" t="s">
        <v>15</v>
      </c>
    </row>
    <row r="808" spans="1:7" x14ac:dyDescent="0.25">
      <c r="A808">
        <v>68</v>
      </c>
      <c r="B808" t="s">
        <v>215</v>
      </c>
      <c r="C808">
        <v>30</v>
      </c>
      <c r="D808" t="s">
        <v>237</v>
      </c>
      <c r="E808" t="s">
        <v>238</v>
      </c>
      <c r="F808">
        <v>0.4</v>
      </c>
      <c r="G808" t="s">
        <v>13</v>
      </c>
    </row>
    <row r="809" spans="1:7" x14ac:dyDescent="0.25">
      <c r="A809">
        <v>68</v>
      </c>
      <c r="B809" t="s">
        <v>215</v>
      </c>
      <c r="C809">
        <v>40</v>
      </c>
      <c r="D809" t="s">
        <v>101</v>
      </c>
      <c r="E809" t="s">
        <v>14</v>
      </c>
      <c r="F809">
        <v>13.715999999999999</v>
      </c>
      <c r="G809" t="s">
        <v>13</v>
      </c>
    </row>
    <row r="810" spans="1:7" x14ac:dyDescent="0.25">
      <c r="A810">
        <v>68</v>
      </c>
      <c r="B810" t="s">
        <v>215</v>
      </c>
      <c r="C810">
        <v>50</v>
      </c>
      <c r="D810" t="s">
        <v>16</v>
      </c>
      <c r="E810" t="s">
        <v>14</v>
      </c>
      <c r="F810">
        <v>84.352999999999994</v>
      </c>
      <c r="G810" t="s">
        <v>13</v>
      </c>
    </row>
    <row r="811" spans="1:7" x14ac:dyDescent="0.25">
      <c r="A811">
        <v>68</v>
      </c>
      <c r="B811" t="s">
        <v>215</v>
      </c>
      <c r="C811">
        <v>60</v>
      </c>
      <c r="D811" t="s">
        <v>230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215</v>
      </c>
      <c r="C812">
        <v>70</v>
      </c>
      <c r="D812" t="s">
        <v>229</v>
      </c>
      <c r="E812" t="s">
        <v>12</v>
      </c>
      <c r="F812">
        <v>0.112</v>
      </c>
      <c r="G812" t="s">
        <v>13</v>
      </c>
    </row>
    <row r="813" spans="1:7" x14ac:dyDescent="0.25">
      <c r="A813">
        <v>68</v>
      </c>
      <c r="B813" t="s">
        <v>215</v>
      </c>
      <c r="C813">
        <v>80</v>
      </c>
      <c r="D813" t="s">
        <v>228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215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215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215</v>
      </c>
      <c r="C816">
        <v>110</v>
      </c>
      <c r="D816" t="s">
        <v>103</v>
      </c>
      <c r="E816" t="s">
        <v>12</v>
      </c>
      <c r="F816">
        <v>1.1890000000000001</v>
      </c>
      <c r="G816" t="s">
        <v>13</v>
      </c>
    </row>
    <row r="817" spans="1:7" x14ac:dyDescent="0.25">
      <c r="A817">
        <v>68</v>
      </c>
      <c r="B817" t="s">
        <v>215</v>
      </c>
      <c r="C817">
        <v>120</v>
      </c>
      <c r="D817" t="s">
        <v>162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216</v>
      </c>
      <c r="C818">
        <v>10</v>
      </c>
      <c r="D818" t="s">
        <v>188</v>
      </c>
      <c r="E818" t="s">
        <v>14</v>
      </c>
      <c r="F818">
        <v>2.0569999999999999</v>
      </c>
      <c r="G818" t="s">
        <v>15</v>
      </c>
    </row>
    <row r="819" spans="1:7" x14ac:dyDescent="0.25">
      <c r="A819">
        <v>69</v>
      </c>
      <c r="B819" t="s">
        <v>216</v>
      </c>
      <c r="C819">
        <v>20</v>
      </c>
      <c r="D819" t="s">
        <v>240</v>
      </c>
      <c r="E819" t="s">
        <v>14</v>
      </c>
      <c r="F819">
        <v>2.0569999999999999</v>
      </c>
      <c r="G819" t="s">
        <v>15</v>
      </c>
    </row>
    <row r="820" spans="1:7" x14ac:dyDescent="0.25">
      <c r="A820">
        <v>69</v>
      </c>
      <c r="B820" t="s">
        <v>216</v>
      </c>
      <c r="C820">
        <v>30</v>
      </c>
      <c r="D820" t="s">
        <v>237</v>
      </c>
      <c r="E820" t="s">
        <v>238</v>
      </c>
      <c r="F820">
        <v>0.42399999999999999</v>
      </c>
      <c r="G820" t="s">
        <v>13</v>
      </c>
    </row>
    <row r="821" spans="1:7" x14ac:dyDescent="0.25">
      <c r="A821">
        <v>69</v>
      </c>
      <c r="B821" t="s">
        <v>216</v>
      </c>
      <c r="C821">
        <v>40</v>
      </c>
      <c r="D821" t="s">
        <v>101</v>
      </c>
      <c r="E821" t="s">
        <v>14</v>
      </c>
      <c r="F821">
        <v>14.021000000000001</v>
      </c>
      <c r="G821" t="s">
        <v>13</v>
      </c>
    </row>
    <row r="822" spans="1:7" x14ac:dyDescent="0.25">
      <c r="A822">
        <v>69</v>
      </c>
      <c r="B822" t="s">
        <v>216</v>
      </c>
      <c r="C822">
        <v>50</v>
      </c>
      <c r="D822" t="s">
        <v>16</v>
      </c>
      <c r="E822" t="s">
        <v>14</v>
      </c>
      <c r="F822">
        <v>86.227999999999994</v>
      </c>
      <c r="G822" t="s">
        <v>13</v>
      </c>
    </row>
    <row r="823" spans="1:7" x14ac:dyDescent="0.25">
      <c r="A823">
        <v>69</v>
      </c>
      <c r="B823" t="s">
        <v>216</v>
      </c>
      <c r="C823">
        <v>60</v>
      </c>
      <c r="D823" t="s">
        <v>230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216</v>
      </c>
      <c r="C824">
        <v>70</v>
      </c>
      <c r="D824" t="s">
        <v>229</v>
      </c>
      <c r="E824" t="s">
        <v>12</v>
      </c>
      <c r="F824">
        <v>0.11700000000000001</v>
      </c>
      <c r="G824" t="s">
        <v>13</v>
      </c>
    </row>
    <row r="825" spans="1:7" x14ac:dyDescent="0.25">
      <c r="A825">
        <v>69</v>
      </c>
      <c r="B825" t="s">
        <v>216</v>
      </c>
      <c r="C825">
        <v>80</v>
      </c>
      <c r="D825" t="s">
        <v>228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216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216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216</v>
      </c>
      <c r="C828">
        <v>110</v>
      </c>
      <c r="D828" t="s">
        <v>103</v>
      </c>
      <c r="E828" t="s">
        <v>12</v>
      </c>
      <c r="F828">
        <v>1.1890000000000001</v>
      </c>
      <c r="G828" t="s">
        <v>13</v>
      </c>
    </row>
    <row r="829" spans="1:7" x14ac:dyDescent="0.25">
      <c r="A829">
        <v>69</v>
      </c>
      <c r="B829" t="s">
        <v>216</v>
      </c>
      <c r="C829">
        <v>120</v>
      </c>
      <c r="D829" t="s">
        <v>164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217</v>
      </c>
      <c r="C830">
        <v>10</v>
      </c>
      <c r="D830" t="s">
        <v>188</v>
      </c>
      <c r="E830" t="s">
        <v>14</v>
      </c>
      <c r="F830">
        <v>2.0569999999999999</v>
      </c>
      <c r="G830" t="s">
        <v>15</v>
      </c>
    </row>
    <row r="831" spans="1:7" x14ac:dyDescent="0.25">
      <c r="A831">
        <v>70</v>
      </c>
      <c r="B831" t="s">
        <v>217</v>
      </c>
      <c r="C831">
        <v>20</v>
      </c>
      <c r="D831" t="s">
        <v>240</v>
      </c>
      <c r="E831" t="s">
        <v>14</v>
      </c>
      <c r="F831">
        <v>2.0569999999999999</v>
      </c>
      <c r="G831" t="s">
        <v>15</v>
      </c>
    </row>
    <row r="832" spans="1:7" x14ac:dyDescent="0.25">
      <c r="A832">
        <v>70</v>
      </c>
      <c r="B832" t="s">
        <v>217</v>
      </c>
      <c r="C832">
        <v>30</v>
      </c>
      <c r="D832" t="s">
        <v>237</v>
      </c>
      <c r="E832" t="s">
        <v>238</v>
      </c>
      <c r="F832">
        <v>0.44800000000000001</v>
      </c>
      <c r="G832" t="s">
        <v>13</v>
      </c>
    </row>
    <row r="833" spans="1:7" x14ac:dyDescent="0.25">
      <c r="A833">
        <v>70</v>
      </c>
      <c r="B833" t="s">
        <v>217</v>
      </c>
      <c r="C833">
        <v>40</v>
      </c>
      <c r="D833" t="s">
        <v>101</v>
      </c>
      <c r="E833" t="s">
        <v>14</v>
      </c>
      <c r="F833">
        <v>14.326000000000001</v>
      </c>
      <c r="G833" t="s">
        <v>13</v>
      </c>
    </row>
    <row r="834" spans="1:7" x14ac:dyDescent="0.25">
      <c r="A834">
        <v>70</v>
      </c>
      <c r="B834" t="s">
        <v>217</v>
      </c>
      <c r="C834">
        <v>50</v>
      </c>
      <c r="D834" t="s">
        <v>16</v>
      </c>
      <c r="E834" t="s">
        <v>14</v>
      </c>
      <c r="F834">
        <v>88.102000000000004</v>
      </c>
      <c r="G834" t="s">
        <v>13</v>
      </c>
    </row>
    <row r="835" spans="1:7" x14ac:dyDescent="0.25">
      <c r="A835">
        <v>70</v>
      </c>
      <c r="B835" t="s">
        <v>217</v>
      </c>
      <c r="C835">
        <v>60</v>
      </c>
      <c r="D835" t="s">
        <v>230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217</v>
      </c>
      <c r="C836">
        <v>70</v>
      </c>
      <c r="D836" t="s">
        <v>229</v>
      </c>
      <c r="E836" t="s">
        <v>12</v>
      </c>
      <c r="F836">
        <v>0.123</v>
      </c>
      <c r="G836" t="s">
        <v>13</v>
      </c>
    </row>
    <row r="837" spans="1:7" x14ac:dyDescent="0.25">
      <c r="A837">
        <v>70</v>
      </c>
      <c r="B837" t="s">
        <v>217</v>
      </c>
      <c r="C837">
        <v>80</v>
      </c>
      <c r="D837" t="s">
        <v>228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217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217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217</v>
      </c>
      <c r="C840">
        <v>110</v>
      </c>
      <c r="D840" t="s">
        <v>103</v>
      </c>
      <c r="E840" t="s">
        <v>12</v>
      </c>
      <c r="F840">
        <v>1.1890000000000001</v>
      </c>
      <c r="G840" t="s">
        <v>13</v>
      </c>
    </row>
    <row r="841" spans="1:7" x14ac:dyDescent="0.25">
      <c r="A841">
        <v>70</v>
      </c>
      <c r="B841" t="s">
        <v>217</v>
      </c>
      <c r="C841">
        <v>120</v>
      </c>
      <c r="D841" t="s">
        <v>166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218</v>
      </c>
      <c r="C842">
        <v>10</v>
      </c>
      <c r="D842" t="s">
        <v>188</v>
      </c>
      <c r="E842" t="s">
        <v>14</v>
      </c>
      <c r="F842">
        <v>2.0569999999999999</v>
      </c>
      <c r="G842" t="s">
        <v>15</v>
      </c>
    </row>
    <row r="843" spans="1:7" x14ac:dyDescent="0.25">
      <c r="A843">
        <v>71</v>
      </c>
      <c r="B843" t="s">
        <v>218</v>
      </c>
      <c r="C843">
        <v>20</v>
      </c>
      <c r="D843" t="s">
        <v>240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71</v>
      </c>
      <c r="B844" t="s">
        <v>218</v>
      </c>
      <c r="C844">
        <v>30</v>
      </c>
      <c r="D844" t="s">
        <v>237</v>
      </c>
      <c r="E844" t="s">
        <v>238</v>
      </c>
      <c r="F844">
        <v>0.496</v>
      </c>
      <c r="G844" t="s">
        <v>13</v>
      </c>
    </row>
    <row r="845" spans="1:7" x14ac:dyDescent="0.25">
      <c r="A845">
        <v>71</v>
      </c>
      <c r="B845" t="s">
        <v>218</v>
      </c>
      <c r="C845">
        <v>40</v>
      </c>
      <c r="D845" t="s">
        <v>101</v>
      </c>
      <c r="E845" t="s">
        <v>14</v>
      </c>
      <c r="F845">
        <v>14.935</v>
      </c>
      <c r="G845" t="s">
        <v>13</v>
      </c>
    </row>
    <row r="846" spans="1:7" x14ac:dyDescent="0.25">
      <c r="A846">
        <v>71</v>
      </c>
      <c r="B846" t="s">
        <v>218</v>
      </c>
      <c r="C846">
        <v>50</v>
      </c>
      <c r="D846" t="s">
        <v>16</v>
      </c>
      <c r="E846" t="s">
        <v>14</v>
      </c>
      <c r="F846">
        <v>91.850999999999999</v>
      </c>
      <c r="G846" t="s">
        <v>13</v>
      </c>
    </row>
    <row r="847" spans="1:7" x14ac:dyDescent="0.25">
      <c r="A847">
        <v>71</v>
      </c>
      <c r="B847" t="s">
        <v>218</v>
      </c>
      <c r="C847">
        <v>60</v>
      </c>
      <c r="D847" t="s">
        <v>230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218</v>
      </c>
      <c r="C848">
        <v>70</v>
      </c>
      <c r="D848" t="s">
        <v>229</v>
      </c>
      <c r="E848" t="s">
        <v>12</v>
      </c>
      <c r="F848">
        <v>0.13300000000000001</v>
      </c>
      <c r="G848" t="s">
        <v>13</v>
      </c>
    </row>
    <row r="849" spans="1:7" x14ac:dyDescent="0.25">
      <c r="A849">
        <v>71</v>
      </c>
      <c r="B849" t="s">
        <v>218</v>
      </c>
      <c r="C849">
        <v>80</v>
      </c>
      <c r="D849" t="s">
        <v>228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218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218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218</v>
      </c>
      <c r="C852">
        <v>110</v>
      </c>
      <c r="D852" t="s">
        <v>103</v>
      </c>
      <c r="E852" t="s">
        <v>12</v>
      </c>
      <c r="F852">
        <v>1.1890000000000001</v>
      </c>
      <c r="G852" t="s">
        <v>13</v>
      </c>
    </row>
    <row r="853" spans="1:7" x14ac:dyDescent="0.25">
      <c r="A853">
        <v>71</v>
      </c>
      <c r="B853" t="s">
        <v>218</v>
      </c>
      <c r="C853">
        <v>120</v>
      </c>
      <c r="D853" t="s">
        <v>168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219</v>
      </c>
      <c r="C854">
        <v>10</v>
      </c>
      <c r="D854" t="s">
        <v>188</v>
      </c>
      <c r="E854" t="s">
        <v>14</v>
      </c>
      <c r="F854">
        <v>2.0569999999999999</v>
      </c>
      <c r="G854" t="s">
        <v>15</v>
      </c>
    </row>
    <row r="855" spans="1:7" x14ac:dyDescent="0.25">
      <c r="A855">
        <v>72</v>
      </c>
      <c r="B855" t="s">
        <v>219</v>
      </c>
      <c r="C855">
        <v>20</v>
      </c>
      <c r="D855" t="s">
        <v>240</v>
      </c>
      <c r="E855" t="s">
        <v>14</v>
      </c>
      <c r="F855">
        <v>2.0569999999999999</v>
      </c>
      <c r="G855" t="s">
        <v>15</v>
      </c>
    </row>
    <row r="856" spans="1:7" x14ac:dyDescent="0.25">
      <c r="A856">
        <v>72</v>
      </c>
      <c r="B856" t="s">
        <v>219</v>
      </c>
      <c r="C856">
        <v>30</v>
      </c>
      <c r="D856" t="s">
        <v>237</v>
      </c>
      <c r="E856" t="s">
        <v>238</v>
      </c>
      <c r="F856">
        <v>0.54400000000000004</v>
      </c>
      <c r="G856" t="s">
        <v>13</v>
      </c>
    </row>
    <row r="857" spans="1:7" x14ac:dyDescent="0.25">
      <c r="A857">
        <v>72</v>
      </c>
      <c r="B857" t="s">
        <v>219</v>
      </c>
      <c r="C857">
        <v>40</v>
      </c>
      <c r="D857" t="s">
        <v>101</v>
      </c>
      <c r="E857" t="s">
        <v>14</v>
      </c>
      <c r="F857">
        <v>15.545</v>
      </c>
      <c r="G857" t="s">
        <v>13</v>
      </c>
    </row>
    <row r="858" spans="1:7" x14ac:dyDescent="0.25">
      <c r="A858">
        <v>72</v>
      </c>
      <c r="B858" t="s">
        <v>219</v>
      </c>
      <c r="C858">
        <v>50</v>
      </c>
      <c r="D858" t="s">
        <v>16</v>
      </c>
      <c r="E858" t="s">
        <v>14</v>
      </c>
      <c r="F858">
        <v>95.600999999999999</v>
      </c>
      <c r="G858" t="s">
        <v>13</v>
      </c>
    </row>
    <row r="859" spans="1:7" x14ac:dyDescent="0.25">
      <c r="A859">
        <v>72</v>
      </c>
      <c r="B859" t="s">
        <v>219</v>
      </c>
      <c r="C859">
        <v>60</v>
      </c>
      <c r="D859" t="s">
        <v>230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219</v>
      </c>
      <c r="C860">
        <v>70</v>
      </c>
      <c r="D860" t="s">
        <v>229</v>
      </c>
      <c r="E860" t="s">
        <v>12</v>
      </c>
      <c r="F860">
        <v>0.14399999999999999</v>
      </c>
      <c r="G860" t="s">
        <v>13</v>
      </c>
    </row>
    <row r="861" spans="1:7" x14ac:dyDescent="0.25">
      <c r="A861">
        <v>72</v>
      </c>
      <c r="B861" t="s">
        <v>219</v>
      </c>
      <c r="C861">
        <v>80</v>
      </c>
      <c r="D861" t="s">
        <v>228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219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219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219</v>
      </c>
      <c r="C864">
        <v>110</v>
      </c>
      <c r="D864" t="s">
        <v>103</v>
      </c>
      <c r="E864" t="s">
        <v>12</v>
      </c>
      <c r="F864">
        <v>1.1890000000000001</v>
      </c>
      <c r="G864" t="s">
        <v>13</v>
      </c>
    </row>
    <row r="865" spans="1:7" x14ac:dyDescent="0.25">
      <c r="A865">
        <v>72</v>
      </c>
      <c r="B865" t="s">
        <v>219</v>
      </c>
      <c r="C865">
        <v>120</v>
      </c>
      <c r="D865" t="s">
        <v>170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220</v>
      </c>
      <c r="C866">
        <v>10</v>
      </c>
      <c r="D866" t="s">
        <v>188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220</v>
      </c>
      <c r="C867">
        <v>20</v>
      </c>
      <c r="D867" t="s">
        <v>240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220</v>
      </c>
      <c r="C868">
        <v>30</v>
      </c>
      <c r="D868" t="s">
        <v>237</v>
      </c>
      <c r="E868" t="s">
        <v>238</v>
      </c>
      <c r="F868">
        <v>0.26900000000000002</v>
      </c>
      <c r="G868" t="s">
        <v>13</v>
      </c>
    </row>
    <row r="869" spans="1:7" x14ac:dyDescent="0.25">
      <c r="A869">
        <v>73</v>
      </c>
      <c r="B869" t="s">
        <v>220</v>
      </c>
      <c r="C869">
        <v>40</v>
      </c>
      <c r="D869" t="s">
        <v>101</v>
      </c>
      <c r="E869" t="s">
        <v>14</v>
      </c>
      <c r="F869">
        <v>12.294</v>
      </c>
      <c r="G869" t="s">
        <v>13</v>
      </c>
    </row>
    <row r="870" spans="1:7" x14ac:dyDescent="0.25">
      <c r="A870">
        <v>73</v>
      </c>
      <c r="B870" t="s">
        <v>220</v>
      </c>
      <c r="C870">
        <v>50</v>
      </c>
      <c r="D870" t="s">
        <v>16</v>
      </c>
      <c r="E870" t="s">
        <v>14</v>
      </c>
      <c r="F870">
        <v>75.605999999999995</v>
      </c>
      <c r="G870" t="s">
        <v>13</v>
      </c>
    </row>
    <row r="871" spans="1:7" x14ac:dyDescent="0.25">
      <c r="A871">
        <v>73</v>
      </c>
      <c r="B871" t="s">
        <v>220</v>
      </c>
      <c r="C871">
        <v>60</v>
      </c>
      <c r="D871" t="s">
        <v>230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220</v>
      </c>
      <c r="C872">
        <v>70</v>
      </c>
      <c r="D872" t="s">
        <v>229</v>
      </c>
      <c r="E872" t="s">
        <v>12</v>
      </c>
      <c r="F872">
        <v>0.08</v>
      </c>
      <c r="G872" t="s">
        <v>13</v>
      </c>
    </row>
    <row r="873" spans="1:7" x14ac:dyDescent="0.25">
      <c r="A873">
        <v>73</v>
      </c>
      <c r="B873" t="s">
        <v>220</v>
      </c>
      <c r="C873">
        <v>80</v>
      </c>
      <c r="D873" t="s">
        <v>228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220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220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220</v>
      </c>
      <c r="C876">
        <v>110</v>
      </c>
      <c r="D876" t="s">
        <v>103</v>
      </c>
      <c r="E876" t="s">
        <v>12</v>
      </c>
      <c r="F876">
        <v>1.2430000000000001</v>
      </c>
      <c r="G876" t="s">
        <v>13</v>
      </c>
    </row>
    <row r="877" spans="1:7" x14ac:dyDescent="0.25">
      <c r="A877">
        <v>73</v>
      </c>
      <c r="B877" t="s">
        <v>220</v>
      </c>
      <c r="C877">
        <v>120</v>
      </c>
      <c r="D877" t="s">
        <v>172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221</v>
      </c>
      <c r="C878">
        <v>10</v>
      </c>
      <c r="D878" t="s">
        <v>188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221</v>
      </c>
      <c r="C879">
        <v>20</v>
      </c>
      <c r="D879" t="s">
        <v>240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221</v>
      </c>
      <c r="C880">
        <v>30</v>
      </c>
      <c r="D880" t="s">
        <v>237</v>
      </c>
      <c r="E880" t="s">
        <v>238</v>
      </c>
      <c r="F880">
        <v>0.31900000000000001</v>
      </c>
      <c r="G880" t="s">
        <v>13</v>
      </c>
    </row>
    <row r="881" spans="1:7" x14ac:dyDescent="0.25">
      <c r="A881">
        <v>74</v>
      </c>
      <c r="B881" t="s">
        <v>221</v>
      </c>
      <c r="C881">
        <v>40</v>
      </c>
      <c r="D881" t="s">
        <v>101</v>
      </c>
      <c r="E881" t="s">
        <v>14</v>
      </c>
      <c r="F881">
        <v>12.903</v>
      </c>
      <c r="G881" t="s">
        <v>13</v>
      </c>
    </row>
    <row r="882" spans="1:7" x14ac:dyDescent="0.25">
      <c r="A882">
        <v>74</v>
      </c>
      <c r="B882" t="s">
        <v>221</v>
      </c>
      <c r="C882">
        <v>50</v>
      </c>
      <c r="D882" t="s">
        <v>16</v>
      </c>
      <c r="E882" t="s">
        <v>14</v>
      </c>
      <c r="F882">
        <v>79.355000000000004</v>
      </c>
      <c r="G882" t="s">
        <v>13</v>
      </c>
    </row>
    <row r="883" spans="1:7" x14ac:dyDescent="0.25">
      <c r="A883">
        <v>74</v>
      </c>
      <c r="B883" t="s">
        <v>221</v>
      </c>
      <c r="C883">
        <v>60</v>
      </c>
      <c r="D883" t="s">
        <v>230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221</v>
      </c>
      <c r="C884">
        <v>70</v>
      </c>
      <c r="D884" t="s">
        <v>229</v>
      </c>
      <c r="E884" t="s">
        <v>12</v>
      </c>
      <c r="F884">
        <v>9.0999999999999998E-2</v>
      </c>
      <c r="G884" t="s">
        <v>13</v>
      </c>
    </row>
    <row r="885" spans="1:7" x14ac:dyDescent="0.25">
      <c r="A885">
        <v>74</v>
      </c>
      <c r="B885" t="s">
        <v>221</v>
      </c>
      <c r="C885">
        <v>80</v>
      </c>
      <c r="D885" t="s">
        <v>228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221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221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221</v>
      </c>
      <c r="C888">
        <v>110</v>
      </c>
      <c r="D888" t="s">
        <v>103</v>
      </c>
      <c r="E888" t="s">
        <v>12</v>
      </c>
      <c r="F888">
        <v>1.2430000000000001</v>
      </c>
      <c r="G888" t="s">
        <v>13</v>
      </c>
    </row>
    <row r="889" spans="1:7" x14ac:dyDescent="0.25">
      <c r="A889">
        <v>74</v>
      </c>
      <c r="B889" t="s">
        <v>221</v>
      </c>
      <c r="C889">
        <v>120</v>
      </c>
      <c r="D889" t="s">
        <v>174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222</v>
      </c>
      <c r="C890">
        <v>10</v>
      </c>
      <c r="D890" t="s">
        <v>188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222</v>
      </c>
      <c r="C891">
        <v>20</v>
      </c>
      <c r="D891" t="s">
        <v>240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222</v>
      </c>
      <c r="C892">
        <v>30</v>
      </c>
      <c r="D892" t="s">
        <v>237</v>
      </c>
      <c r="E892" t="s">
        <v>238</v>
      </c>
      <c r="F892">
        <v>0.37</v>
      </c>
      <c r="G892" t="s">
        <v>13</v>
      </c>
    </row>
    <row r="893" spans="1:7" x14ac:dyDescent="0.25">
      <c r="A893">
        <v>75</v>
      </c>
      <c r="B893" t="s">
        <v>222</v>
      </c>
      <c r="C893">
        <v>40</v>
      </c>
      <c r="D893" t="s">
        <v>101</v>
      </c>
      <c r="E893" t="s">
        <v>14</v>
      </c>
      <c r="F893">
        <v>13.513</v>
      </c>
      <c r="G893" t="s">
        <v>13</v>
      </c>
    </row>
    <row r="894" spans="1:7" x14ac:dyDescent="0.25">
      <c r="A894">
        <v>75</v>
      </c>
      <c r="B894" t="s">
        <v>222</v>
      </c>
      <c r="C894">
        <v>50</v>
      </c>
      <c r="D894" t="s">
        <v>16</v>
      </c>
      <c r="E894" t="s">
        <v>14</v>
      </c>
      <c r="F894">
        <v>83.103999999999999</v>
      </c>
      <c r="G894" t="s">
        <v>13</v>
      </c>
    </row>
    <row r="895" spans="1:7" x14ac:dyDescent="0.25">
      <c r="A895">
        <v>75</v>
      </c>
      <c r="B895" t="s">
        <v>222</v>
      </c>
      <c r="C895">
        <v>60</v>
      </c>
      <c r="D895" t="s">
        <v>230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222</v>
      </c>
      <c r="C896">
        <v>70</v>
      </c>
      <c r="D896" t="s">
        <v>229</v>
      </c>
      <c r="E896" t="s">
        <v>12</v>
      </c>
      <c r="F896">
        <v>0.10100000000000001</v>
      </c>
      <c r="G896" t="s">
        <v>13</v>
      </c>
    </row>
    <row r="897" spans="1:7" x14ac:dyDescent="0.25">
      <c r="A897">
        <v>75</v>
      </c>
      <c r="B897" t="s">
        <v>222</v>
      </c>
      <c r="C897">
        <v>80</v>
      </c>
      <c r="D897" t="s">
        <v>228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222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222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222</v>
      </c>
      <c r="C900">
        <v>110</v>
      </c>
      <c r="D900" t="s">
        <v>103</v>
      </c>
      <c r="E900" t="s">
        <v>12</v>
      </c>
      <c r="F900">
        <v>1.2430000000000001</v>
      </c>
      <c r="G900" t="s">
        <v>13</v>
      </c>
    </row>
    <row r="901" spans="1:7" x14ac:dyDescent="0.25">
      <c r="A901">
        <v>75</v>
      </c>
      <c r="B901" t="s">
        <v>222</v>
      </c>
      <c r="C901">
        <v>120</v>
      </c>
      <c r="D901" t="s">
        <v>176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223</v>
      </c>
      <c r="C902">
        <v>10</v>
      </c>
      <c r="D902" t="s">
        <v>188</v>
      </c>
      <c r="E902" t="s">
        <v>14</v>
      </c>
      <c r="F902">
        <v>2.1589999999999998</v>
      </c>
      <c r="G902" t="s">
        <v>15</v>
      </c>
    </row>
    <row r="903" spans="1:7" x14ac:dyDescent="0.25">
      <c r="A903">
        <v>76</v>
      </c>
      <c r="B903" t="s">
        <v>223</v>
      </c>
      <c r="C903">
        <v>20</v>
      </c>
      <c r="D903" t="s">
        <v>240</v>
      </c>
      <c r="E903" t="s">
        <v>14</v>
      </c>
      <c r="F903">
        <v>2.1589999999999998</v>
      </c>
      <c r="G903" t="s">
        <v>15</v>
      </c>
    </row>
    <row r="904" spans="1:7" x14ac:dyDescent="0.25">
      <c r="A904">
        <v>76</v>
      </c>
      <c r="B904" t="s">
        <v>223</v>
      </c>
      <c r="C904">
        <v>30</v>
      </c>
      <c r="D904" t="s">
        <v>237</v>
      </c>
      <c r="E904" t="s">
        <v>238</v>
      </c>
      <c r="F904">
        <v>0.42</v>
      </c>
      <c r="G904" t="s">
        <v>13</v>
      </c>
    </row>
    <row r="905" spans="1:7" x14ac:dyDescent="0.25">
      <c r="A905">
        <v>76</v>
      </c>
      <c r="B905" t="s">
        <v>223</v>
      </c>
      <c r="C905">
        <v>40</v>
      </c>
      <c r="D905" t="s">
        <v>101</v>
      </c>
      <c r="E905" t="s">
        <v>14</v>
      </c>
      <c r="F905">
        <v>14.122</v>
      </c>
      <c r="G905" t="s">
        <v>13</v>
      </c>
    </row>
    <row r="906" spans="1:7" x14ac:dyDescent="0.25">
      <c r="A906">
        <v>76</v>
      </c>
      <c r="B906" t="s">
        <v>223</v>
      </c>
      <c r="C906">
        <v>50</v>
      </c>
      <c r="D906" t="s">
        <v>16</v>
      </c>
      <c r="E906" t="s">
        <v>14</v>
      </c>
      <c r="F906">
        <v>86.852999999999994</v>
      </c>
      <c r="G906" t="s">
        <v>13</v>
      </c>
    </row>
    <row r="907" spans="1:7" x14ac:dyDescent="0.25">
      <c r="A907">
        <v>76</v>
      </c>
      <c r="B907" t="s">
        <v>223</v>
      </c>
      <c r="C907">
        <v>60</v>
      </c>
      <c r="D907" t="s">
        <v>230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223</v>
      </c>
      <c r="C908">
        <v>70</v>
      </c>
      <c r="D908" t="s">
        <v>229</v>
      </c>
      <c r="E908" t="s">
        <v>12</v>
      </c>
      <c r="F908">
        <v>0.112</v>
      </c>
      <c r="G908" t="s">
        <v>13</v>
      </c>
    </row>
    <row r="909" spans="1:7" x14ac:dyDescent="0.25">
      <c r="A909">
        <v>76</v>
      </c>
      <c r="B909" t="s">
        <v>223</v>
      </c>
      <c r="C909">
        <v>80</v>
      </c>
      <c r="D909" t="s">
        <v>228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223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223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223</v>
      </c>
      <c r="C912">
        <v>110</v>
      </c>
      <c r="D912" t="s">
        <v>103</v>
      </c>
      <c r="E912" t="s">
        <v>12</v>
      </c>
      <c r="F912">
        <v>1.2430000000000001</v>
      </c>
      <c r="G912" t="s">
        <v>13</v>
      </c>
    </row>
    <row r="913" spans="1:7" x14ac:dyDescent="0.25">
      <c r="A913">
        <v>76</v>
      </c>
      <c r="B913" t="s">
        <v>223</v>
      </c>
      <c r="C913">
        <v>120</v>
      </c>
      <c r="D913" t="s">
        <v>178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224</v>
      </c>
      <c r="C914">
        <v>10</v>
      </c>
      <c r="D914" t="s">
        <v>188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77</v>
      </c>
      <c r="B915" t="s">
        <v>224</v>
      </c>
      <c r="C915">
        <v>20</v>
      </c>
      <c r="D915" t="s">
        <v>240</v>
      </c>
      <c r="E915" t="s">
        <v>14</v>
      </c>
      <c r="F915">
        <v>2.1589999999999998</v>
      </c>
      <c r="G915" t="s">
        <v>15</v>
      </c>
    </row>
    <row r="916" spans="1:7" x14ac:dyDescent="0.25">
      <c r="A916">
        <v>77</v>
      </c>
      <c r="B916" t="s">
        <v>224</v>
      </c>
      <c r="C916">
        <v>30</v>
      </c>
      <c r="D916" t="s">
        <v>237</v>
      </c>
      <c r="E916" t="s">
        <v>238</v>
      </c>
      <c r="F916">
        <v>0.44500000000000001</v>
      </c>
      <c r="G916" t="s">
        <v>13</v>
      </c>
    </row>
    <row r="917" spans="1:7" x14ac:dyDescent="0.25">
      <c r="A917">
        <v>77</v>
      </c>
      <c r="B917" t="s">
        <v>224</v>
      </c>
      <c r="C917">
        <v>40</v>
      </c>
      <c r="D917" t="s">
        <v>101</v>
      </c>
      <c r="E917" t="s">
        <v>14</v>
      </c>
      <c r="F917">
        <v>14.427</v>
      </c>
      <c r="G917" t="s">
        <v>13</v>
      </c>
    </row>
    <row r="918" spans="1:7" x14ac:dyDescent="0.25">
      <c r="A918">
        <v>77</v>
      </c>
      <c r="B918" t="s">
        <v>224</v>
      </c>
      <c r="C918">
        <v>50</v>
      </c>
      <c r="D918" t="s">
        <v>16</v>
      </c>
      <c r="E918" t="s">
        <v>14</v>
      </c>
      <c r="F918">
        <v>88.727000000000004</v>
      </c>
      <c r="G918" t="s">
        <v>13</v>
      </c>
    </row>
    <row r="919" spans="1:7" x14ac:dyDescent="0.25">
      <c r="A919">
        <v>77</v>
      </c>
      <c r="B919" t="s">
        <v>224</v>
      </c>
      <c r="C919">
        <v>60</v>
      </c>
      <c r="D919" t="s">
        <v>230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224</v>
      </c>
      <c r="C920">
        <v>70</v>
      </c>
      <c r="D920" t="s">
        <v>229</v>
      </c>
      <c r="E920" t="s">
        <v>12</v>
      </c>
      <c r="F920">
        <v>0.11700000000000001</v>
      </c>
      <c r="G920" t="s">
        <v>13</v>
      </c>
    </row>
    <row r="921" spans="1:7" x14ac:dyDescent="0.25">
      <c r="A921">
        <v>77</v>
      </c>
      <c r="B921" t="s">
        <v>224</v>
      </c>
      <c r="C921">
        <v>80</v>
      </c>
      <c r="D921" t="s">
        <v>228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224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224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224</v>
      </c>
      <c r="C924">
        <v>110</v>
      </c>
      <c r="D924" t="s">
        <v>103</v>
      </c>
      <c r="E924" t="s">
        <v>12</v>
      </c>
      <c r="F924">
        <v>1.2430000000000001</v>
      </c>
      <c r="G924" t="s">
        <v>13</v>
      </c>
    </row>
    <row r="925" spans="1:7" x14ac:dyDescent="0.25">
      <c r="A925">
        <v>77</v>
      </c>
      <c r="B925" t="s">
        <v>224</v>
      </c>
      <c r="C925">
        <v>120</v>
      </c>
      <c r="D925" t="s">
        <v>180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225</v>
      </c>
      <c r="C926">
        <v>10</v>
      </c>
      <c r="D926" t="s">
        <v>188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78</v>
      </c>
      <c r="B927" t="s">
        <v>225</v>
      </c>
      <c r="C927">
        <v>20</v>
      </c>
      <c r="D927" t="s">
        <v>240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78</v>
      </c>
      <c r="B928" t="s">
        <v>225</v>
      </c>
      <c r="C928">
        <v>30</v>
      </c>
      <c r="D928" t="s">
        <v>237</v>
      </c>
      <c r="E928" t="s">
        <v>238</v>
      </c>
      <c r="F928">
        <v>0.47099999999999997</v>
      </c>
      <c r="G928" t="s">
        <v>13</v>
      </c>
    </row>
    <row r="929" spans="1:7" x14ac:dyDescent="0.25">
      <c r="A929">
        <v>78</v>
      </c>
      <c r="B929" t="s">
        <v>225</v>
      </c>
      <c r="C929">
        <v>40</v>
      </c>
      <c r="D929" t="s">
        <v>101</v>
      </c>
      <c r="E929" t="s">
        <v>14</v>
      </c>
      <c r="F929">
        <v>14.731999999999999</v>
      </c>
      <c r="G929" t="s">
        <v>13</v>
      </c>
    </row>
    <row r="930" spans="1:7" x14ac:dyDescent="0.25">
      <c r="A930">
        <v>78</v>
      </c>
      <c r="B930" t="s">
        <v>225</v>
      </c>
      <c r="C930">
        <v>50</v>
      </c>
      <c r="D930" t="s">
        <v>16</v>
      </c>
      <c r="E930" t="s">
        <v>14</v>
      </c>
      <c r="F930">
        <v>90.602000000000004</v>
      </c>
      <c r="G930" t="s">
        <v>13</v>
      </c>
    </row>
    <row r="931" spans="1:7" x14ac:dyDescent="0.25">
      <c r="A931">
        <v>78</v>
      </c>
      <c r="B931" t="s">
        <v>225</v>
      </c>
      <c r="C931">
        <v>60</v>
      </c>
      <c r="D931" t="s">
        <v>230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225</v>
      </c>
      <c r="C932">
        <v>70</v>
      </c>
      <c r="D932" t="s">
        <v>229</v>
      </c>
      <c r="E932" t="s">
        <v>12</v>
      </c>
      <c r="F932">
        <v>0.123</v>
      </c>
      <c r="G932" t="s">
        <v>13</v>
      </c>
    </row>
    <row r="933" spans="1:7" x14ac:dyDescent="0.25">
      <c r="A933">
        <v>78</v>
      </c>
      <c r="B933" t="s">
        <v>225</v>
      </c>
      <c r="C933">
        <v>80</v>
      </c>
      <c r="D933" t="s">
        <v>228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225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225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225</v>
      </c>
      <c r="C936">
        <v>110</v>
      </c>
      <c r="D936" t="s">
        <v>103</v>
      </c>
      <c r="E936" t="s">
        <v>12</v>
      </c>
      <c r="F936">
        <v>1.2430000000000001</v>
      </c>
      <c r="G936" t="s">
        <v>13</v>
      </c>
    </row>
    <row r="937" spans="1:7" x14ac:dyDescent="0.25">
      <c r="A937">
        <v>78</v>
      </c>
      <c r="B937" t="s">
        <v>225</v>
      </c>
      <c r="C937">
        <v>120</v>
      </c>
      <c r="D937" t="s">
        <v>182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226</v>
      </c>
      <c r="C938">
        <v>10</v>
      </c>
      <c r="D938" t="s">
        <v>188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79</v>
      </c>
      <c r="B939" t="s">
        <v>226</v>
      </c>
      <c r="C939">
        <v>20</v>
      </c>
      <c r="D939" t="s">
        <v>240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79</v>
      </c>
      <c r="B940" t="s">
        <v>226</v>
      </c>
      <c r="C940">
        <v>30</v>
      </c>
      <c r="D940" t="s">
        <v>237</v>
      </c>
      <c r="E940" t="s">
        <v>238</v>
      </c>
      <c r="F940">
        <v>0.52100000000000002</v>
      </c>
      <c r="G940" t="s">
        <v>13</v>
      </c>
    </row>
    <row r="941" spans="1:7" x14ac:dyDescent="0.25">
      <c r="A941">
        <v>79</v>
      </c>
      <c r="B941" t="s">
        <v>226</v>
      </c>
      <c r="C941">
        <v>40</v>
      </c>
      <c r="D941" t="s">
        <v>101</v>
      </c>
      <c r="E941" t="s">
        <v>14</v>
      </c>
      <c r="F941">
        <v>15.342000000000001</v>
      </c>
      <c r="G941" t="s">
        <v>13</v>
      </c>
    </row>
    <row r="942" spans="1:7" x14ac:dyDescent="0.25">
      <c r="A942">
        <v>79</v>
      </c>
      <c r="B942" t="s">
        <v>226</v>
      </c>
      <c r="C942">
        <v>50</v>
      </c>
      <c r="D942" t="s">
        <v>16</v>
      </c>
      <c r="E942" t="s">
        <v>14</v>
      </c>
      <c r="F942">
        <v>94.350999999999999</v>
      </c>
      <c r="G942" t="s">
        <v>13</v>
      </c>
    </row>
    <row r="943" spans="1:7" x14ac:dyDescent="0.25">
      <c r="A943">
        <v>79</v>
      </c>
      <c r="B943" t="s">
        <v>226</v>
      </c>
      <c r="C943">
        <v>60</v>
      </c>
      <c r="D943" t="s">
        <v>230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226</v>
      </c>
      <c r="C944">
        <v>70</v>
      </c>
      <c r="D944" t="s">
        <v>229</v>
      </c>
      <c r="E944" t="s">
        <v>12</v>
      </c>
      <c r="F944">
        <v>0.13300000000000001</v>
      </c>
      <c r="G944" t="s">
        <v>13</v>
      </c>
    </row>
    <row r="945" spans="1:7" x14ac:dyDescent="0.25">
      <c r="A945">
        <v>79</v>
      </c>
      <c r="B945" t="s">
        <v>226</v>
      </c>
      <c r="C945">
        <v>80</v>
      </c>
      <c r="D945" t="s">
        <v>228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226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226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226</v>
      </c>
      <c r="C948">
        <v>110</v>
      </c>
      <c r="D948" t="s">
        <v>103</v>
      </c>
      <c r="E948" t="s">
        <v>12</v>
      </c>
      <c r="F948">
        <v>1.2430000000000001</v>
      </c>
      <c r="G948" t="s">
        <v>13</v>
      </c>
    </row>
    <row r="949" spans="1:7" x14ac:dyDescent="0.25">
      <c r="A949">
        <v>79</v>
      </c>
      <c r="B949" t="s">
        <v>226</v>
      </c>
      <c r="C949">
        <v>120</v>
      </c>
      <c r="D949" t="s">
        <v>184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227</v>
      </c>
      <c r="C950">
        <v>10</v>
      </c>
      <c r="D950" t="s">
        <v>188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80</v>
      </c>
      <c r="B951" t="s">
        <v>227</v>
      </c>
      <c r="C951">
        <v>20</v>
      </c>
      <c r="D951" t="s">
        <v>240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80</v>
      </c>
      <c r="B952" t="s">
        <v>227</v>
      </c>
      <c r="C952">
        <v>30</v>
      </c>
      <c r="D952" t="s">
        <v>237</v>
      </c>
      <c r="E952" t="s">
        <v>238</v>
      </c>
      <c r="F952">
        <v>0.57099999999999995</v>
      </c>
      <c r="G952" t="s">
        <v>13</v>
      </c>
    </row>
    <row r="953" spans="1:7" x14ac:dyDescent="0.25">
      <c r="A953">
        <v>80</v>
      </c>
      <c r="B953" t="s">
        <v>227</v>
      </c>
      <c r="C953">
        <v>40</v>
      </c>
      <c r="D953" t="s">
        <v>101</v>
      </c>
      <c r="E953" t="s">
        <v>14</v>
      </c>
      <c r="F953">
        <v>15.951000000000001</v>
      </c>
      <c r="G953" t="s">
        <v>13</v>
      </c>
    </row>
    <row r="954" spans="1:7" x14ac:dyDescent="0.25">
      <c r="A954">
        <v>80</v>
      </c>
      <c r="B954" t="s">
        <v>227</v>
      </c>
      <c r="C954">
        <v>50</v>
      </c>
      <c r="D954" t="s">
        <v>16</v>
      </c>
      <c r="E954" t="s">
        <v>14</v>
      </c>
      <c r="F954">
        <v>98.1</v>
      </c>
      <c r="G954" t="s">
        <v>13</v>
      </c>
    </row>
    <row r="955" spans="1:7" x14ac:dyDescent="0.25">
      <c r="A955">
        <v>80</v>
      </c>
      <c r="B955" t="s">
        <v>227</v>
      </c>
      <c r="C955">
        <v>60</v>
      </c>
      <c r="D955" t="s">
        <v>230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227</v>
      </c>
      <c r="C956">
        <v>70</v>
      </c>
      <c r="D956" t="s">
        <v>229</v>
      </c>
      <c r="E956" t="s">
        <v>12</v>
      </c>
      <c r="F956">
        <v>0.14399999999999999</v>
      </c>
      <c r="G956" t="s">
        <v>13</v>
      </c>
    </row>
    <row r="957" spans="1:7" x14ac:dyDescent="0.25">
      <c r="A957">
        <v>80</v>
      </c>
      <c r="B957" t="s">
        <v>227</v>
      </c>
      <c r="C957">
        <v>80</v>
      </c>
      <c r="D957" t="s">
        <v>228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227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227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227</v>
      </c>
      <c r="C960">
        <v>110</v>
      </c>
      <c r="D960" t="s">
        <v>103</v>
      </c>
      <c r="E960" t="s">
        <v>12</v>
      </c>
      <c r="F960">
        <v>1.2430000000000001</v>
      </c>
      <c r="G960" t="s">
        <v>13</v>
      </c>
    </row>
    <row r="961" spans="1:7" x14ac:dyDescent="0.25">
      <c r="A961">
        <v>80</v>
      </c>
      <c r="B961" t="s">
        <v>227</v>
      </c>
      <c r="C961">
        <v>120</v>
      </c>
      <c r="D961" t="s">
        <v>186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241</v>
      </c>
      <c r="C962">
        <v>10</v>
      </c>
      <c r="D962" t="s">
        <v>188</v>
      </c>
      <c r="E962" t="s">
        <v>14</v>
      </c>
      <c r="F962">
        <v>0.78700000000000003</v>
      </c>
      <c r="G962" t="s">
        <v>15</v>
      </c>
    </row>
    <row r="963" spans="1:7" x14ac:dyDescent="0.25">
      <c r="A963">
        <v>81</v>
      </c>
      <c r="B963" t="s">
        <v>241</v>
      </c>
      <c r="C963">
        <v>20</v>
      </c>
      <c r="D963" t="s">
        <v>240</v>
      </c>
      <c r="E963" t="s">
        <v>14</v>
      </c>
      <c r="F963">
        <v>0.78700000000000003</v>
      </c>
      <c r="G963" t="s">
        <v>15</v>
      </c>
    </row>
    <row r="964" spans="1:7" x14ac:dyDescent="0.25">
      <c r="A964">
        <v>81</v>
      </c>
      <c r="B964" t="s">
        <v>241</v>
      </c>
      <c r="C964">
        <v>30</v>
      </c>
      <c r="D964" t="s">
        <v>237</v>
      </c>
      <c r="E964" t="s">
        <v>238</v>
      </c>
      <c r="F964">
        <v>0.20799999999999999</v>
      </c>
      <c r="G964" t="s">
        <v>13</v>
      </c>
    </row>
    <row r="965" spans="1:7" x14ac:dyDescent="0.25">
      <c r="A965">
        <v>81</v>
      </c>
      <c r="B965" t="s">
        <v>241</v>
      </c>
      <c r="C965">
        <v>40</v>
      </c>
      <c r="D965" t="s">
        <v>101</v>
      </c>
      <c r="E965" t="s">
        <v>14</v>
      </c>
      <c r="F965">
        <v>10.77</v>
      </c>
      <c r="G965" t="s">
        <v>13</v>
      </c>
    </row>
    <row r="966" spans="1:7" x14ac:dyDescent="0.25">
      <c r="A966">
        <v>81</v>
      </c>
      <c r="B966" t="s">
        <v>241</v>
      </c>
      <c r="C966">
        <v>50</v>
      </c>
      <c r="D966" t="s">
        <v>16</v>
      </c>
      <c r="E966" t="s">
        <v>14</v>
      </c>
      <c r="F966">
        <v>66.233000000000004</v>
      </c>
      <c r="G966" t="s">
        <v>13</v>
      </c>
    </row>
    <row r="967" spans="1:7" x14ac:dyDescent="0.25">
      <c r="A967">
        <v>81</v>
      </c>
      <c r="B967" t="s">
        <v>241</v>
      </c>
      <c r="C967">
        <v>60</v>
      </c>
      <c r="D967" t="s">
        <v>230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241</v>
      </c>
      <c r="C968">
        <v>70</v>
      </c>
      <c r="D968" t="s">
        <v>229</v>
      </c>
      <c r="E968" t="s">
        <v>12</v>
      </c>
      <c r="F968">
        <v>7.4999999999999997E-2</v>
      </c>
      <c r="G968" t="s">
        <v>13</v>
      </c>
    </row>
    <row r="969" spans="1:7" x14ac:dyDescent="0.25">
      <c r="A969">
        <v>81</v>
      </c>
      <c r="B969" t="s">
        <v>241</v>
      </c>
      <c r="C969">
        <v>80</v>
      </c>
      <c r="D969" t="s">
        <v>228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241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241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241</v>
      </c>
      <c r="C972">
        <v>110</v>
      </c>
      <c r="D972" t="s">
        <v>103</v>
      </c>
      <c r="E972" t="s">
        <v>12</v>
      </c>
      <c r="F972">
        <v>0.51300000000000001</v>
      </c>
      <c r="G972" t="s">
        <v>13</v>
      </c>
    </row>
    <row r="973" spans="1:7" x14ac:dyDescent="0.25">
      <c r="A973">
        <v>81</v>
      </c>
      <c r="B973" t="s">
        <v>241</v>
      </c>
      <c r="C973">
        <v>120</v>
      </c>
      <c r="D973" t="s">
        <v>242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243</v>
      </c>
      <c r="C974">
        <v>10</v>
      </c>
      <c r="D974" t="s">
        <v>188</v>
      </c>
      <c r="E974" t="s">
        <v>14</v>
      </c>
      <c r="F974">
        <v>0.94</v>
      </c>
      <c r="G974" t="s">
        <v>15</v>
      </c>
    </row>
    <row r="975" spans="1:7" x14ac:dyDescent="0.25">
      <c r="A975">
        <v>82</v>
      </c>
      <c r="B975" t="s">
        <v>243</v>
      </c>
      <c r="C975">
        <v>20</v>
      </c>
      <c r="D975" t="s">
        <v>240</v>
      </c>
      <c r="E975" t="s">
        <v>14</v>
      </c>
      <c r="F975">
        <v>0.94</v>
      </c>
      <c r="G975" t="s">
        <v>15</v>
      </c>
    </row>
    <row r="976" spans="1:7" x14ac:dyDescent="0.25">
      <c r="A976">
        <v>82</v>
      </c>
      <c r="B976" t="s">
        <v>243</v>
      </c>
      <c r="C976">
        <v>30</v>
      </c>
      <c r="D976" t="s">
        <v>237</v>
      </c>
      <c r="E976" t="s">
        <v>238</v>
      </c>
      <c r="F976">
        <v>0.252</v>
      </c>
      <c r="G976" t="s">
        <v>13</v>
      </c>
    </row>
    <row r="977" spans="1:7" x14ac:dyDescent="0.25">
      <c r="A977">
        <v>82</v>
      </c>
      <c r="B977" t="s">
        <v>243</v>
      </c>
      <c r="C977">
        <v>40</v>
      </c>
      <c r="D977" t="s">
        <v>101</v>
      </c>
      <c r="E977" t="s">
        <v>14</v>
      </c>
      <c r="F977">
        <v>11.379</v>
      </c>
      <c r="G977" t="s">
        <v>13</v>
      </c>
    </row>
    <row r="978" spans="1:7" x14ac:dyDescent="0.25">
      <c r="A978">
        <v>82</v>
      </c>
      <c r="B978" t="s">
        <v>243</v>
      </c>
      <c r="C978">
        <v>50</v>
      </c>
      <c r="D978" t="s">
        <v>16</v>
      </c>
      <c r="E978" t="s">
        <v>14</v>
      </c>
      <c r="F978">
        <v>69.981999999999999</v>
      </c>
      <c r="G978" t="s">
        <v>13</v>
      </c>
    </row>
    <row r="979" spans="1:7" x14ac:dyDescent="0.25">
      <c r="A979">
        <v>82</v>
      </c>
      <c r="B979" t="s">
        <v>243</v>
      </c>
      <c r="C979">
        <v>60</v>
      </c>
      <c r="D979" t="s">
        <v>230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243</v>
      </c>
      <c r="C980">
        <v>70</v>
      </c>
      <c r="D980" t="s">
        <v>229</v>
      </c>
      <c r="E980" t="s">
        <v>12</v>
      </c>
      <c r="F980">
        <v>8.5000000000000006E-2</v>
      </c>
      <c r="G980" t="s">
        <v>13</v>
      </c>
    </row>
    <row r="981" spans="1:7" x14ac:dyDescent="0.25">
      <c r="A981">
        <v>82</v>
      </c>
      <c r="B981" t="s">
        <v>243</v>
      </c>
      <c r="C981">
        <v>80</v>
      </c>
      <c r="D981" t="s">
        <v>228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243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243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243</v>
      </c>
      <c r="C984">
        <v>110</v>
      </c>
      <c r="D984" t="s">
        <v>103</v>
      </c>
      <c r="E984" t="s">
        <v>12</v>
      </c>
      <c r="F984">
        <v>0.59499999999999997</v>
      </c>
      <c r="G984" t="s">
        <v>13</v>
      </c>
    </row>
    <row r="985" spans="1:7" x14ac:dyDescent="0.25">
      <c r="A985">
        <v>82</v>
      </c>
      <c r="B985" t="s">
        <v>243</v>
      </c>
      <c r="C985">
        <v>120</v>
      </c>
      <c r="D985" t="s">
        <v>244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245</v>
      </c>
      <c r="C986">
        <v>10</v>
      </c>
      <c r="D986" t="s">
        <v>188</v>
      </c>
      <c r="E986" t="s">
        <v>14</v>
      </c>
      <c r="F986">
        <v>1.0920000000000001</v>
      </c>
      <c r="G986" t="s">
        <v>15</v>
      </c>
    </row>
    <row r="987" spans="1:7" x14ac:dyDescent="0.25">
      <c r="A987">
        <v>83</v>
      </c>
      <c r="B987" t="s">
        <v>245</v>
      </c>
      <c r="C987">
        <v>20</v>
      </c>
      <c r="D987" t="s">
        <v>240</v>
      </c>
      <c r="E987" t="s">
        <v>14</v>
      </c>
      <c r="F987">
        <v>1.0920000000000001</v>
      </c>
      <c r="G987" t="s">
        <v>15</v>
      </c>
    </row>
    <row r="988" spans="1:7" x14ac:dyDescent="0.25">
      <c r="A988">
        <v>83</v>
      </c>
      <c r="B988" t="s">
        <v>245</v>
      </c>
      <c r="C988">
        <v>30</v>
      </c>
      <c r="D988" t="s">
        <v>237</v>
      </c>
      <c r="E988" t="s">
        <v>238</v>
      </c>
      <c r="F988">
        <v>0.29499999999999998</v>
      </c>
      <c r="G988" t="s">
        <v>13</v>
      </c>
    </row>
    <row r="989" spans="1:7" x14ac:dyDescent="0.25">
      <c r="A989">
        <v>83</v>
      </c>
      <c r="B989" t="s">
        <v>245</v>
      </c>
      <c r="C989">
        <v>40</v>
      </c>
      <c r="D989" t="s">
        <v>101</v>
      </c>
      <c r="E989" t="s">
        <v>14</v>
      </c>
      <c r="F989">
        <v>11.989000000000001</v>
      </c>
      <c r="G989" t="s">
        <v>13</v>
      </c>
    </row>
    <row r="990" spans="1:7" x14ac:dyDescent="0.25">
      <c r="A990">
        <v>83</v>
      </c>
      <c r="B990" t="s">
        <v>245</v>
      </c>
      <c r="C990">
        <v>50</v>
      </c>
      <c r="D990" t="s">
        <v>16</v>
      </c>
      <c r="E990" t="s">
        <v>14</v>
      </c>
      <c r="F990">
        <v>73.730999999999995</v>
      </c>
      <c r="G990" t="s">
        <v>13</v>
      </c>
    </row>
    <row r="991" spans="1:7" x14ac:dyDescent="0.25">
      <c r="A991">
        <v>83</v>
      </c>
      <c r="B991" t="s">
        <v>245</v>
      </c>
      <c r="C991">
        <v>60</v>
      </c>
      <c r="D991" t="s">
        <v>230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245</v>
      </c>
      <c r="C992">
        <v>70</v>
      </c>
      <c r="D992" t="s">
        <v>229</v>
      </c>
      <c r="E992" t="s">
        <v>12</v>
      </c>
      <c r="F992">
        <v>9.6000000000000002E-2</v>
      </c>
      <c r="G992" t="s">
        <v>13</v>
      </c>
    </row>
    <row r="993" spans="1:7" x14ac:dyDescent="0.25">
      <c r="A993">
        <v>83</v>
      </c>
      <c r="B993" t="s">
        <v>245</v>
      </c>
      <c r="C993">
        <v>80</v>
      </c>
      <c r="D993" t="s">
        <v>228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245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245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245</v>
      </c>
      <c r="C996">
        <v>110</v>
      </c>
      <c r="D996" t="s">
        <v>103</v>
      </c>
      <c r="E996" t="s">
        <v>12</v>
      </c>
      <c r="F996">
        <v>0.67600000000000005</v>
      </c>
      <c r="G996" t="s">
        <v>13</v>
      </c>
    </row>
    <row r="997" spans="1:7" x14ac:dyDescent="0.25">
      <c r="A997">
        <v>83</v>
      </c>
      <c r="B997" t="s">
        <v>245</v>
      </c>
      <c r="C997">
        <v>120</v>
      </c>
      <c r="D997" t="s">
        <v>246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247</v>
      </c>
      <c r="C998">
        <v>10</v>
      </c>
      <c r="D998" t="s">
        <v>188</v>
      </c>
      <c r="E998" t="s">
        <v>14</v>
      </c>
      <c r="F998">
        <v>1.2450000000000001</v>
      </c>
      <c r="G998" t="s">
        <v>15</v>
      </c>
    </row>
    <row r="999" spans="1:7" x14ac:dyDescent="0.25">
      <c r="A999">
        <v>84</v>
      </c>
      <c r="B999" t="s">
        <v>247</v>
      </c>
      <c r="C999">
        <v>20</v>
      </c>
      <c r="D999" t="s">
        <v>240</v>
      </c>
      <c r="E999" t="s">
        <v>14</v>
      </c>
      <c r="F999">
        <v>1.2450000000000001</v>
      </c>
      <c r="G999" t="s">
        <v>15</v>
      </c>
    </row>
    <row r="1000" spans="1:7" x14ac:dyDescent="0.25">
      <c r="A1000">
        <v>84</v>
      </c>
      <c r="B1000" t="s">
        <v>247</v>
      </c>
      <c r="C1000">
        <v>30</v>
      </c>
      <c r="D1000" t="s">
        <v>237</v>
      </c>
      <c r="E1000" t="s">
        <v>238</v>
      </c>
      <c r="F1000">
        <v>0.33800000000000002</v>
      </c>
      <c r="G1000" t="s">
        <v>13</v>
      </c>
    </row>
    <row r="1001" spans="1:7" x14ac:dyDescent="0.25">
      <c r="A1001">
        <v>84</v>
      </c>
      <c r="B1001" t="s">
        <v>247</v>
      </c>
      <c r="C1001">
        <v>40</v>
      </c>
      <c r="D1001" t="s">
        <v>101</v>
      </c>
      <c r="E1001" t="s">
        <v>14</v>
      </c>
      <c r="F1001">
        <v>12.598000000000001</v>
      </c>
      <c r="G1001" t="s">
        <v>13</v>
      </c>
    </row>
    <row r="1002" spans="1:7" x14ac:dyDescent="0.25">
      <c r="A1002">
        <v>84</v>
      </c>
      <c r="B1002" t="s">
        <v>247</v>
      </c>
      <c r="C1002">
        <v>50</v>
      </c>
      <c r="D1002" t="s">
        <v>16</v>
      </c>
      <c r="E1002" t="s">
        <v>14</v>
      </c>
      <c r="F1002">
        <v>77.48</v>
      </c>
      <c r="G1002" t="s">
        <v>13</v>
      </c>
    </row>
    <row r="1003" spans="1:7" x14ac:dyDescent="0.25">
      <c r="A1003">
        <v>84</v>
      </c>
      <c r="B1003" t="s">
        <v>247</v>
      </c>
      <c r="C1003">
        <v>60</v>
      </c>
      <c r="D1003" t="s">
        <v>230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247</v>
      </c>
      <c r="C1004">
        <v>70</v>
      </c>
      <c r="D1004" t="s">
        <v>229</v>
      </c>
      <c r="E1004" t="s">
        <v>12</v>
      </c>
      <c r="F1004">
        <v>0.107</v>
      </c>
      <c r="G1004" t="s">
        <v>13</v>
      </c>
    </row>
    <row r="1005" spans="1:7" x14ac:dyDescent="0.25">
      <c r="A1005">
        <v>84</v>
      </c>
      <c r="B1005" t="s">
        <v>247</v>
      </c>
      <c r="C1005">
        <v>80</v>
      </c>
      <c r="D1005" t="s">
        <v>228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247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247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247</v>
      </c>
      <c r="C1008">
        <v>110</v>
      </c>
      <c r="D1008" t="s">
        <v>103</v>
      </c>
      <c r="E1008" t="s">
        <v>12</v>
      </c>
      <c r="F1008">
        <v>0.75700000000000001</v>
      </c>
      <c r="G1008" t="s">
        <v>13</v>
      </c>
    </row>
    <row r="1009" spans="1:7" x14ac:dyDescent="0.25">
      <c r="A1009">
        <v>84</v>
      </c>
      <c r="B1009" t="s">
        <v>247</v>
      </c>
      <c r="C1009">
        <v>120</v>
      </c>
      <c r="D1009" t="s">
        <v>248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249</v>
      </c>
      <c r="C1010">
        <v>10</v>
      </c>
      <c r="D1010" t="s">
        <v>188</v>
      </c>
      <c r="E1010" t="s">
        <v>14</v>
      </c>
      <c r="F1010">
        <v>1.5489999999999999</v>
      </c>
      <c r="G1010" t="s">
        <v>15</v>
      </c>
    </row>
    <row r="1011" spans="1:7" x14ac:dyDescent="0.25">
      <c r="A1011">
        <v>85</v>
      </c>
      <c r="B1011" t="s">
        <v>249</v>
      </c>
      <c r="C1011">
        <v>20</v>
      </c>
      <c r="D1011" t="s">
        <v>240</v>
      </c>
      <c r="E1011" t="s">
        <v>14</v>
      </c>
      <c r="F1011">
        <v>1.5489999999999999</v>
      </c>
      <c r="G1011" t="s">
        <v>15</v>
      </c>
    </row>
    <row r="1012" spans="1:7" x14ac:dyDescent="0.25">
      <c r="A1012">
        <v>85</v>
      </c>
      <c r="B1012" t="s">
        <v>249</v>
      </c>
      <c r="C1012">
        <v>30</v>
      </c>
      <c r="D1012" t="s">
        <v>237</v>
      </c>
      <c r="E1012" t="s">
        <v>238</v>
      </c>
      <c r="F1012">
        <v>0.42399999999999999</v>
      </c>
      <c r="G1012" t="s">
        <v>13</v>
      </c>
    </row>
    <row r="1013" spans="1:7" x14ac:dyDescent="0.25">
      <c r="A1013">
        <v>85</v>
      </c>
      <c r="B1013" t="s">
        <v>249</v>
      </c>
      <c r="C1013">
        <v>40</v>
      </c>
      <c r="D1013" t="s">
        <v>101</v>
      </c>
      <c r="E1013" t="s">
        <v>14</v>
      </c>
      <c r="F1013">
        <v>13.818</v>
      </c>
      <c r="G1013" t="s">
        <v>13</v>
      </c>
    </row>
    <row r="1014" spans="1:7" x14ac:dyDescent="0.25">
      <c r="A1014">
        <v>85</v>
      </c>
      <c r="B1014" t="s">
        <v>249</v>
      </c>
      <c r="C1014">
        <v>50</v>
      </c>
      <c r="D1014" t="s">
        <v>16</v>
      </c>
      <c r="E1014" t="s">
        <v>14</v>
      </c>
      <c r="F1014">
        <v>84.977999999999994</v>
      </c>
      <c r="G1014" t="s">
        <v>13</v>
      </c>
    </row>
    <row r="1015" spans="1:7" x14ac:dyDescent="0.25">
      <c r="A1015">
        <v>85</v>
      </c>
      <c r="B1015" t="s">
        <v>249</v>
      </c>
      <c r="C1015">
        <v>60</v>
      </c>
      <c r="D1015" t="s">
        <v>230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249</v>
      </c>
      <c r="C1016">
        <v>70</v>
      </c>
      <c r="D1016" t="s">
        <v>229</v>
      </c>
      <c r="E1016" t="s">
        <v>12</v>
      </c>
      <c r="F1016">
        <v>0.128</v>
      </c>
      <c r="G1016" t="s">
        <v>13</v>
      </c>
    </row>
    <row r="1017" spans="1:7" x14ac:dyDescent="0.25">
      <c r="A1017">
        <v>85</v>
      </c>
      <c r="B1017" t="s">
        <v>249</v>
      </c>
      <c r="C1017">
        <v>80</v>
      </c>
      <c r="D1017" t="s">
        <v>228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249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249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249</v>
      </c>
      <c r="C1020">
        <v>110</v>
      </c>
      <c r="D1020" t="s">
        <v>103</v>
      </c>
      <c r="E1020" t="s">
        <v>12</v>
      </c>
      <c r="F1020">
        <v>0.91900000000000004</v>
      </c>
      <c r="G1020" t="s">
        <v>13</v>
      </c>
    </row>
    <row r="1021" spans="1:7" x14ac:dyDescent="0.25">
      <c r="A1021">
        <v>85</v>
      </c>
      <c r="B1021" t="s">
        <v>249</v>
      </c>
      <c r="C1021">
        <v>120</v>
      </c>
      <c r="D1021" t="s">
        <v>250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251</v>
      </c>
      <c r="C1022">
        <v>10</v>
      </c>
      <c r="D1022" t="s">
        <v>188</v>
      </c>
      <c r="E1022" t="s">
        <v>14</v>
      </c>
      <c r="F1022">
        <v>1.702</v>
      </c>
      <c r="G1022" t="s">
        <v>15</v>
      </c>
    </row>
    <row r="1023" spans="1:7" x14ac:dyDescent="0.25">
      <c r="A1023">
        <v>86</v>
      </c>
      <c r="B1023" t="s">
        <v>251</v>
      </c>
      <c r="C1023">
        <v>20</v>
      </c>
      <c r="D1023" t="s">
        <v>240</v>
      </c>
      <c r="E1023" t="s">
        <v>14</v>
      </c>
      <c r="F1023">
        <v>1.702</v>
      </c>
      <c r="G1023" t="s">
        <v>15</v>
      </c>
    </row>
    <row r="1024" spans="1:7" x14ac:dyDescent="0.25">
      <c r="A1024">
        <v>86</v>
      </c>
      <c r="B1024" t="s">
        <v>251</v>
      </c>
      <c r="C1024">
        <v>30</v>
      </c>
      <c r="D1024" t="s">
        <v>237</v>
      </c>
      <c r="E1024" t="s">
        <v>238</v>
      </c>
      <c r="F1024">
        <v>0.46700000000000003</v>
      </c>
      <c r="G1024" t="s">
        <v>13</v>
      </c>
    </row>
    <row r="1025" spans="1:7" x14ac:dyDescent="0.25">
      <c r="A1025">
        <v>86</v>
      </c>
      <c r="B1025" t="s">
        <v>251</v>
      </c>
      <c r="C1025">
        <v>40</v>
      </c>
      <c r="D1025" t="s">
        <v>101</v>
      </c>
      <c r="E1025" t="s">
        <v>14</v>
      </c>
      <c r="F1025">
        <v>14.427</v>
      </c>
      <c r="G1025" t="s">
        <v>13</v>
      </c>
    </row>
    <row r="1026" spans="1:7" x14ac:dyDescent="0.25">
      <c r="A1026">
        <v>86</v>
      </c>
      <c r="B1026" t="s">
        <v>251</v>
      </c>
      <c r="C1026">
        <v>50</v>
      </c>
      <c r="D1026" t="s">
        <v>16</v>
      </c>
      <c r="E1026" t="s">
        <v>14</v>
      </c>
      <c r="F1026">
        <v>88.727000000000004</v>
      </c>
      <c r="G1026" t="s">
        <v>13</v>
      </c>
    </row>
    <row r="1027" spans="1:7" x14ac:dyDescent="0.25">
      <c r="A1027">
        <v>86</v>
      </c>
      <c r="B1027" t="s">
        <v>251</v>
      </c>
      <c r="C1027">
        <v>60</v>
      </c>
      <c r="D1027" t="s">
        <v>230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251</v>
      </c>
      <c r="C1028">
        <v>70</v>
      </c>
      <c r="D1028" t="s">
        <v>229</v>
      </c>
      <c r="E1028" t="s">
        <v>12</v>
      </c>
      <c r="F1028">
        <v>0.13900000000000001</v>
      </c>
      <c r="G1028" t="s">
        <v>13</v>
      </c>
    </row>
    <row r="1029" spans="1:7" x14ac:dyDescent="0.25">
      <c r="A1029">
        <v>86</v>
      </c>
      <c r="B1029" t="s">
        <v>251</v>
      </c>
      <c r="C1029">
        <v>80</v>
      </c>
      <c r="D1029" t="s">
        <v>228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251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251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251</v>
      </c>
      <c r="C1032">
        <v>110</v>
      </c>
      <c r="D1032" t="s">
        <v>103</v>
      </c>
      <c r="E1032" t="s">
        <v>12</v>
      </c>
      <c r="F1032">
        <v>1</v>
      </c>
      <c r="G1032" t="s">
        <v>13</v>
      </c>
    </row>
    <row r="1033" spans="1:7" x14ac:dyDescent="0.25">
      <c r="A1033">
        <v>86</v>
      </c>
      <c r="B1033" t="s">
        <v>251</v>
      </c>
      <c r="C1033">
        <v>120</v>
      </c>
      <c r="D1033" t="s">
        <v>252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253</v>
      </c>
      <c r="C1034">
        <v>10</v>
      </c>
      <c r="D1034" t="s">
        <v>188</v>
      </c>
      <c r="E1034" t="s">
        <v>14</v>
      </c>
      <c r="F1034">
        <v>1.8540000000000001</v>
      </c>
      <c r="G1034" t="s">
        <v>15</v>
      </c>
    </row>
    <row r="1035" spans="1:7" x14ac:dyDescent="0.25">
      <c r="A1035">
        <v>87</v>
      </c>
      <c r="B1035" t="s">
        <v>253</v>
      </c>
      <c r="C1035">
        <v>20</v>
      </c>
      <c r="D1035" t="s">
        <v>240</v>
      </c>
      <c r="E1035" t="s">
        <v>14</v>
      </c>
      <c r="F1035">
        <v>1.8540000000000001</v>
      </c>
      <c r="G1035" t="s">
        <v>15</v>
      </c>
    </row>
    <row r="1036" spans="1:7" x14ac:dyDescent="0.25">
      <c r="A1036">
        <v>87</v>
      </c>
      <c r="B1036" t="s">
        <v>253</v>
      </c>
      <c r="C1036">
        <v>30</v>
      </c>
      <c r="D1036" t="s">
        <v>237</v>
      </c>
      <c r="E1036" t="s">
        <v>238</v>
      </c>
      <c r="F1036">
        <v>0.51</v>
      </c>
      <c r="G1036" t="s">
        <v>13</v>
      </c>
    </row>
    <row r="1037" spans="1:7" x14ac:dyDescent="0.25">
      <c r="A1037">
        <v>87</v>
      </c>
      <c r="B1037" t="s">
        <v>253</v>
      </c>
      <c r="C1037">
        <v>40</v>
      </c>
      <c r="D1037" t="s">
        <v>101</v>
      </c>
      <c r="E1037" t="s">
        <v>14</v>
      </c>
      <c r="F1037">
        <v>15.037000000000001</v>
      </c>
      <c r="G1037" t="s">
        <v>13</v>
      </c>
    </row>
    <row r="1038" spans="1:7" x14ac:dyDescent="0.25">
      <c r="A1038">
        <v>87</v>
      </c>
      <c r="B1038" t="s">
        <v>253</v>
      </c>
      <c r="C1038">
        <v>50</v>
      </c>
      <c r="D1038" t="s">
        <v>16</v>
      </c>
      <c r="E1038" t="s">
        <v>14</v>
      </c>
      <c r="F1038">
        <v>92.475999999999999</v>
      </c>
      <c r="G1038" t="s">
        <v>13</v>
      </c>
    </row>
    <row r="1039" spans="1:7" x14ac:dyDescent="0.25">
      <c r="A1039">
        <v>87</v>
      </c>
      <c r="B1039" t="s">
        <v>253</v>
      </c>
      <c r="C1039">
        <v>60</v>
      </c>
      <c r="D1039" t="s">
        <v>230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253</v>
      </c>
      <c r="C1040">
        <v>70</v>
      </c>
      <c r="D1040" t="s">
        <v>229</v>
      </c>
      <c r="E1040" t="s">
        <v>12</v>
      </c>
      <c r="F1040">
        <v>0.14899999999999999</v>
      </c>
      <c r="G1040" t="s">
        <v>13</v>
      </c>
    </row>
    <row r="1041" spans="1:7" x14ac:dyDescent="0.25">
      <c r="A1041">
        <v>87</v>
      </c>
      <c r="B1041" t="s">
        <v>253</v>
      </c>
      <c r="C1041">
        <v>80</v>
      </c>
      <c r="D1041" t="s">
        <v>228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253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253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253</v>
      </c>
      <c r="C1044">
        <v>110</v>
      </c>
      <c r="D1044" t="s">
        <v>103</v>
      </c>
      <c r="E1044" t="s">
        <v>12</v>
      </c>
      <c r="F1044">
        <v>1.081</v>
      </c>
      <c r="G1044" t="s">
        <v>13</v>
      </c>
    </row>
    <row r="1045" spans="1:7" x14ac:dyDescent="0.25">
      <c r="A1045">
        <v>87</v>
      </c>
      <c r="B1045" t="s">
        <v>253</v>
      </c>
      <c r="C1045">
        <v>120</v>
      </c>
      <c r="D1045" t="s">
        <v>254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255</v>
      </c>
      <c r="C1046">
        <v>10</v>
      </c>
      <c r="D1046" t="s">
        <v>188</v>
      </c>
      <c r="E1046" t="s">
        <v>14</v>
      </c>
      <c r="F1046">
        <v>0.78700000000000003</v>
      </c>
      <c r="G1046" t="s">
        <v>15</v>
      </c>
    </row>
    <row r="1047" spans="1:7" x14ac:dyDescent="0.25">
      <c r="A1047">
        <v>88</v>
      </c>
      <c r="B1047" t="s">
        <v>255</v>
      </c>
      <c r="C1047">
        <v>20</v>
      </c>
      <c r="D1047" t="s">
        <v>240</v>
      </c>
      <c r="E1047" t="s">
        <v>14</v>
      </c>
      <c r="F1047">
        <v>0.78700000000000003</v>
      </c>
      <c r="G1047" t="s">
        <v>15</v>
      </c>
    </row>
    <row r="1048" spans="1:7" x14ac:dyDescent="0.25">
      <c r="A1048">
        <v>88</v>
      </c>
      <c r="B1048" t="s">
        <v>255</v>
      </c>
      <c r="C1048">
        <v>30</v>
      </c>
      <c r="D1048" t="s">
        <v>237</v>
      </c>
      <c r="E1048" t="s">
        <v>238</v>
      </c>
      <c r="F1048">
        <v>0.217</v>
      </c>
      <c r="G1048" t="s">
        <v>13</v>
      </c>
    </row>
    <row r="1049" spans="1:7" x14ac:dyDescent="0.25">
      <c r="A1049">
        <v>88</v>
      </c>
      <c r="B1049" t="s">
        <v>255</v>
      </c>
      <c r="C1049">
        <v>40</v>
      </c>
      <c r="D1049" t="s">
        <v>101</v>
      </c>
      <c r="E1049" t="s">
        <v>14</v>
      </c>
      <c r="F1049">
        <v>11.074</v>
      </c>
      <c r="G1049" t="s">
        <v>13</v>
      </c>
    </row>
    <row r="1050" spans="1:7" x14ac:dyDescent="0.25">
      <c r="A1050">
        <v>88</v>
      </c>
      <c r="B1050" t="s">
        <v>255</v>
      </c>
      <c r="C1050">
        <v>50</v>
      </c>
      <c r="D1050" t="s">
        <v>16</v>
      </c>
      <c r="E1050" t="s">
        <v>14</v>
      </c>
      <c r="F1050">
        <v>68.108000000000004</v>
      </c>
      <c r="G1050" t="s">
        <v>13</v>
      </c>
    </row>
    <row r="1051" spans="1:7" x14ac:dyDescent="0.25">
      <c r="A1051">
        <v>88</v>
      </c>
      <c r="B1051" t="s">
        <v>255</v>
      </c>
      <c r="C1051">
        <v>60</v>
      </c>
      <c r="D1051" t="s">
        <v>230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255</v>
      </c>
      <c r="C1052">
        <v>70</v>
      </c>
      <c r="D1052" t="s">
        <v>229</v>
      </c>
      <c r="E1052" t="s">
        <v>12</v>
      </c>
      <c r="F1052">
        <v>7.4999999999999997E-2</v>
      </c>
      <c r="G1052" t="s">
        <v>13</v>
      </c>
    </row>
    <row r="1053" spans="1:7" x14ac:dyDescent="0.25">
      <c r="A1053">
        <v>88</v>
      </c>
      <c r="B1053" t="s">
        <v>255</v>
      </c>
      <c r="C1053">
        <v>80</v>
      </c>
      <c r="D1053" t="s">
        <v>228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255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255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255</v>
      </c>
      <c r="C1056">
        <v>110</v>
      </c>
      <c r="D1056" t="s">
        <v>103</v>
      </c>
      <c r="E1056" t="s">
        <v>12</v>
      </c>
      <c r="F1056">
        <v>0.51300000000000001</v>
      </c>
      <c r="G1056" t="s">
        <v>13</v>
      </c>
    </row>
    <row r="1057" spans="1:7" x14ac:dyDescent="0.25">
      <c r="A1057">
        <v>88</v>
      </c>
      <c r="B1057" t="s">
        <v>255</v>
      </c>
      <c r="C1057">
        <v>120</v>
      </c>
      <c r="D1057" t="s">
        <v>256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257</v>
      </c>
      <c r="C1058">
        <v>10</v>
      </c>
      <c r="D1058" t="s">
        <v>188</v>
      </c>
      <c r="E1058" t="s">
        <v>14</v>
      </c>
      <c r="F1058">
        <v>0.94</v>
      </c>
      <c r="G1058" t="s">
        <v>15</v>
      </c>
    </row>
    <row r="1059" spans="1:7" x14ac:dyDescent="0.25">
      <c r="A1059">
        <v>89</v>
      </c>
      <c r="B1059" t="s">
        <v>257</v>
      </c>
      <c r="C1059">
        <v>20</v>
      </c>
      <c r="D1059" t="s">
        <v>240</v>
      </c>
      <c r="E1059" t="s">
        <v>14</v>
      </c>
      <c r="F1059">
        <v>0.94</v>
      </c>
      <c r="G1059" t="s">
        <v>15</v>
      </c>
    </row>
    <row r="1060" spans="1:7" x14ac:dyDescent="0.25">
      <c r="A1060">
        <v>89</v>
      </c>
      <c r="B1060" t="s">
        <v>257</v>
      </c>
      <c r="C1060">
        <v>30</v>
      </c>
      <c r="D1060" t="s">
        <v>237</v>
      </c>
      <c r="E1060" t="s">
        <v>238</v>
      </c>
      <c r="F1060">
        <v>0.26200000000000001</v>
      </c>
      <c r="G1060" t="s">
        <v>13</v>
      </c>
    </row>
    <row r="1061" spans="1:7" x14ac:dyDescent="0.25">
      <c r="A1061">
        <v>89</v>
      </c>
      <c r="B1061" t="s">
        <v>257</v>
      </c>
      <c r="C1061">
        <v>40</v>
      </c>
      <c r="D1061" t="s">
        <v>101</v>
      </c>
      <c r="E1061" t="s">
        <v>14</v>
      </c>
      <c r="F1061">
        <v>11.683999999999999</v>
      </c>
      <c r="G1061" t="s">
        <v>13</v>
      </c>
    </row>
    <row r="1062" spans="1:7" x14ac:dyDescent="0.25">
      <c r="A1062">
        <v>89</v>
      </c>
      <c r="B1062" t="s">
        <v>257</v>
      </c>
      <c r="C1062">
        <v>50</v>
      </c>
      <c r="D1062" t="s">
        <v>16</v>
      </c>
      <c r="E1062" t="s">
        <v>14</v>
      </c>
      <c r="F1062">
        <v>71.856999999999999</v>
      </c>
      <c r="G1062" t="s">
        <v>13</v>
      </c>
    </row>
    <row r="1063" spans="1:7" x14ac:dyDescent="0.25">
      <c r="A1063">
        <v>89</v>
      </c>
      <c r="B1063" t="s">
        <v>257</v>
      </c>
      <c r="C1063">
        <v>60</v>
      </c>
      <c r="D1063" t="s">
        <v>230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257</v>
      </c>
      <c r="C1064">
        <v>70</v>
      </c>
      <c r="D1064" t="s">
        <v>229</v>
      </c>
      <c r="E1064" t="s">
        <v>12</v>
      </c>
      <c r="F1064">
        <v>8.5000000000000006E-2</v>
      </c>
      <c r="G1064" t="s">
        <v>13</v>
      </c>
    </row>
    <row r="1065" spans="1:7" x14ac:dyDescent="0.25">
      <c r="A1065">
        <v>89</v>
      </c>
      <c r="B1065" t="s">
        <v>257</v>
      </c>
      <c r="C1065">
        <v>80</v>
      </c>
      <c r="D1065" t="s">
        <v>228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257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257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257</v>
      </c>
      <c r="C1068">
        <v>110</v>
      </c>
      <c r="D1068" t="s">
        <v>103</v>
      </c>
      <c r="E1068" t="s">
        <v>12</v>
      </c>
      <c r="F1068">
        <v>0.59499999999999997</v>
      </c>
      <c r="G1068" t="s">
        <v>13</v>
      </c>
    </row>
    <row r="1069" spans="1:7" x14ac:dyDescent="0.25">
      <c r="A1069">
        <v>89</v>
      </c>
      <c r="B1069" t="s">
        <v>257</v>
      </c>
      <c r="C1069">
        <v>120</v>
      </c>
      <c r="D1069" t="s">
        <v>258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259</v>
      </c>
      <c r="C1070">
        <v>10</v>
      </c>
      <c r="D1070" t="s">
        <v>188</v>
      </c>
      <c r="E1070" t="s">
        <v>14</v>
      </c>
      <c r="F1070">
        <v>1.0920000000000001</v>
      </c>
      <c r="G1070" t="s">
        <v>15</v>
      </c>
    </row>
    <row r="1071" spans="1:7" x14ac:dyDescent="0.25">
      <c r="A1071">
        <v>90</v>
      </c>
      <c r="B1071" t="s">
        <v>259</v>
      </c>
      <c r="C1071">
        <v>20</v>
      </c>
      <c r="D1071" t="s">
        <v>240</v>
      </c>
      <c r="E1071" t="s">
        <v>14</v>
      </c>
      <c r="F1071">
        <v>1.0920000000000001</v>
      </c>
      <c r="G1071" t="s">
        <v>15</v>
      </c>
    </row>
    <row r="1072" spans="1:7" x14ac:dyDescent="0.25">
      <c r="A1072">
        <v>90</v>
      </c>
      <c r="B1072" t="s">
        <v>259</v>
      </c>
      <c r="C1072">
        <v>30</v>
      </c>
      <c r="D1072" t="s">
        <v>237</v>
      </c>
      <c r="E1072" t="s">
        <v>238</v>
      </c>
      <c r="F1072">
        <v>0.307</v>
      </c>
      <c r="G1072" t="s">
        <v>13</v>
      </c>
    </row>
    <row r="1073" spans="1:7" x14ac:dyDescent="0.25">
      <c r="A1073">
        <v>90</v>
      </c>
      <c r="B1073" t="s">
        <v>259</v>
      </c>
      <c r="C1073">
        <v>40</v>
      </c>
      <c r="D1073" t="s">
        <v>101</v>
      </c>
      <c r="E1073" t="s">
        <v>14</v>
      </c>
      <c r="F1073">
        <v>12.294</v>
      </c>
      <c r="G1073" t="s">
        <v>13</v>
      </c>
    </row>
    <row r="1074" spans="1:7" x14ac:dyDescent="0.25">
      <c r="A1074">
        <v>90</v>
      </c>
      <c r="B1074" t="s">
        <v>259</v>
      </c>
      <c r="C1074">
        <v>50</v>
      </c>
      <c r="D1074" t="s">
        <v>16</v>
      </c>
      <c r="E1074" t="s">
        <v>14</v>
      </c>
      <c r="F1074">
        <v>75.605999999999995</v>
      </c>
      <c r="G1074" t="s">
        <v>13</v>
      </c>
    </row>
    <row r="1075" spans="1:7" x14ac:dyDescent="0.25">
      <c r="A1075">
        <v>90</v>
      </c>
      <c r="B1075" t="s">
        <v>259</v>
      </c>
      <c r="C1075">
        <v>60</v>
      </c>
      <c r="D1075" t="s">
        <v>230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259</v>
      </c>
      <c r="C1076">
        <v>70</v>
      </c>
      <c r="D1076" t="s">
        <v>229</v>
      </c>
      <c r="E1076" t="s">
        <v>12</v>
      </c>
      <c r="F1076">
        <v>9.6000000000000002E-2</v>
      </c>
      <c r="G1076" t="s">
        <v>13</v>
      </c>
    </row>
    <row r="1077" spans="1:7" x14ac:dyDescent="0.25">
      <c r="A1077">
        <v>90</v>
      </c>
      <c r="B1077" t="s">
        <v>259</v>
      </c>
      <c r="C1077">
        <v>80</v>
      </c>
      <c r="D1077" t="s">
        <v>228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259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259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259</v>
      </c>
      <c r="C1080">
        <v>110</v>
      </c>
      <c r="D1080" t="s">
        <v>103</v>
      </c>
      <c r="E1080" t="s">
        <v>12</v>
      </c>
      <c r="F1080">
        <v>0.67600000000000005</v>
      </c>
      <c r="G1080" t="s">
        <v>13</v>
      </c>
    </row>
    <row r="1081" spans="1:7" x14ac:dyDescent="0.25">
      <c r="A1081">
        <v>90</v>
      </c>
      <c r="B1081" t="s">
        <v>259</v>
      </c>
      <c r="C1081">
        <v>120</v>
      </c>
      <c r="D1081" t="s">
        <v>260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261</v>
      </c>
      <c r="C1082">
        <v>10</v>
      </c>
      <c r="D1082" t="s">
        <v>188</v>
      </c>
      <c r="E1082" t="s">
        <v>14</v>
      </c>
      <c r="F1082">
        <v>1.2450000000000001</v>
      </c>
      <c r="G1082" t="s">
        <v>15</v>
      </c>
    </row>
    <row r="1083" spans="1:7" x14ac:dyDescent="0.25">
      <c r="A1083">
        <v>91</v>
      </c>
      <c r="B1083" t="s">
        <v>261</v>
      </c>
      <c r="C1083">
        <v>20</v>
      </c>
      <c r="D1083" t="s">
        <v>240</v>
      </c>
      <c r="E1083" t="s">
        <v>14</v>
      </c>
      <c r="F1083">
        <v>1.2450000000000001</v>
      </c>
      <c r="G1083" t="s">
        <v>15</v>
      </c>
    </row>
    <row r="1084" spans="1:7" x14ac:dyDescent="0.25">
      <c r="A1084">
        <v>91</v>
      </c>
      <c r="B1084" t="s">
        <v>261</v>
      </c>
      <c r="C1084">
        <v>30</v>
      </c>
      <c r="D1084" t="s">
        <v>237</v>
      </c>
      <c r="E1084" t="s">
        <v>238</v>
      </c>
      <c r="F1084">
        <v>0.35199999999999998</v>
      </c>
      <c r="G1084" t="s">
        <v>13</v>
      </c>
    </row>
    <row r="1085" spans="1:7" x14ac:dyDescent="0.25">
      <c r="A1085">
        <v>91</v>
      </c>
      <c r="B1085" t="s">
        <v>261</v>
      </c>
      <c r="C1085">
        <v>40</v>
      </c>
      <c r="D1085" t="s">
        <v>101</v>
      </c>
      <c r="E1085" t="s">
        <v>14</v>
      </c>
      <c r="F1085">
        <v>12.903</v>
      </c>
      <c r="G1085" t="s">
        <v>13</v>
      </c>
    </row>
    <row r="1086" spans="1:7" x14ac:dyDescent="0.25">
      <c r="A1086">
        <v>91</v>
      </c>
      <c r="B1086" t="s">
        <v>261</v>
      </c>
      <c r="C1086">
        <v>50</v>
      </c>
      <c r="D1086" t="s">
        <v>16</v>
      </c>
      <c r="E1086" t="s">
        <v>14</v>
      </c>
      <c r="F1086">
        <v>79.355000000000004</v>
      </c>
      <c r="G1086" t="s">
        <v>13</v>
      </c>
    </row>
    <row r="1087" spans="1:7" x14ac:dyDescent="0.25">
      <c r="A1087">
        <v>91</v>
      </c>
      <c r="B1087" t="s">
        <v>261</v>
      </c>
      <c r="C1087">
        <v>60</v>
      </c>
      <c r="D1087" t="s">
        <v>230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261</v>
      </c>
      <c r="C1088">
        <v>70</v>
      </c>
      <c r="D1088" t="s">
        <v>229</v>
      </c>
      <c r="E1088" t="s">
        <v>12</v>
      </c>
      <c r="F1088">
        <v>0.107</v>
      </c>
      <c r="G1088" t="s">
        <v>13</v>
      </c>
    </row>
    <row r="1089" spans="1:7" x14ac:dyDescent="0.25">
      <c r="A1089">
        <v>91</v>
      </c>
      <c r="B1089" t="s">
        <v>261</v>
      </c>
      <c r="C1089">
        <v>80</v>
      </c>
      <c r="D1089" t="s">
        <v>228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261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261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261</v>
      </c>
      <c r="C1092">
        <v>110</v>
      </c>
      <c r="D1092" t="s">
        <v>103</v>
      </c>
      <c r="E1092" t="s">
        <v>12</v>
      </c>
      <c r="F1092">
        <v>0.75700000000000001</v>
      </c>
      <c r="G1092" t="s">
        <v>13</v>
      </c>
    </row>
    <row r="1093" spans="1:7" x14ac:dyDescent="0.25">
      <c r="A1093">
        <v>91</v>
      </c>
      <c r="B1093" t="s">
        <v>261</v>
      </c>
      <c r="C1093">
        <v>120</v>
      </c>
      <c r="D1093" t="s">
        <v>262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263</v>
      </c>
      <c r="C1094">
        <v>10</v>
      </c>
      <c r="D1094" t="s">
        <v>188</v>
      </c>
      <c r="E1094" t="s">
        <v>14</v>
      </c>
      <c r="F1094">
        <v>1.5489999999999999</v>
      </c>
      <c r="G1094" t="s">
        <v>15</v>
      </c>
    </row>
    <row r="1095" spans="1:7" x14ac:dyDescent="0.25">
      <c r="A1095">
        <v>92</v>
      </c>
      <c r="B1095" t="s">
        <v>263</v>
      </c>
      <c r="C1095">
        <v>20</v>
      </c>
      <c r="D1095" t="s">
        <v>240</v>
      </c>
      <c r="E1095" t="s">
        <v>14</v>
      </c>
      <c r="F1095">
        <v>1.5489999999999999</v>
      </c>
      <c r="G1095" t="s">
        <v>15</v>
      </c>
    </row>
    <row r="1096" spans="1:7" x14ac:dyDescent="0.25">
      <c r="A1096">
        <v>92</v>
      </c>
      <c r="B1096" t="s">
        <v>263</v>
      </c>
      <c r="C1096">
        <v>30</v>
      </c>
      <c r="D1096" t="s">
        <v>237</v>
      </c>
      <c r="E1096" t="s">
        <v>238</v>
      </c>
      <c r="F1096">
        <v>0.442</v>
      </c>
      <c r="G1096" t="s">
        <v>13</v>
      </c>
    </row>
    <row r="1097" spans="1:7" x14ac:dyDescent="0.25">
      <c r="A1097">
        <v>92</v>
      </c>
      <c r="B1097" t="s">
        <v>263</v>
      </c>
      <c r="C1097">
        <v>40</v>
      </c>
      <c r="D1097" t="s">
        <v>101</v>
      </c>
      <c r="E1097" t="s">
        <v>14</v>
      </c>
      <c r="F1097">
        <v>14.122</v>
      </c>
      <c r="G1097" t="s">
        <v>13</v>
      </c>
    </row>
    <row r="1098" spans="1:7" x14ac:dyDescent="0.25">
      <c r="A1098">
        <v>92</v>
      </c>
      <c r="B1098" t="s">
        <v>263</v>
      </c>
      <c r="C1098">
        <v>50</v>
      </c>
      <c r="D1098" t="s">
        <v>16</v>
      </c>
      <c r="E1098" t="s">
        <v>14</v>
      </c>
      <c r="F1098">
        <v>86.852999999999994</v>
      </c>
      <c r="G1098" t="s">
        <v>13</v>
      </c>
    </row>
    <row r="1099" spans="1:7" x14ac:dyDescent="0.25">
      <c r="A1099">
        <v>92</v>
      </c>
      <c r="B1099" t="s">
        <v>263</v>
      </c>
      <c r="C1099">
        <v>60</v>
      </c>
      <c r="D1099" t="s">
        <v>230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263</v>
      </c>
      <c r="C1100">
        <v>70</v>
      </c>
      <c r="D1100" t="s">
        <v>229</v>
      </c>
      <c r="E1100" t="s">
        <v>12</v>
      </c>
      <c r="F1100">
        <v>0.128</v>
      </c>
      <c r="G1100" t="s">
        <v>13</v>
      </c>
    </row>
    <row r="1101" spans="1:7" x14ac:dyDescent="0.25">
      <c r="A1101">
        <v>92</v>
      </c>
      <c r="B1101" t="s">
        <v>263</v>
      </c>
      <c r="C1101">
        <v>80</v>
      </c>
      <c r="D1101" t="s">
        <v>228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263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263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263</v>
      </c>
      <c r="C1104">
        <v>110</v>
      </c>
      <c r="D1104" t="s">
        <v>103</v>
      </c>
      <c r="E1104" t="s">
        <v>12</v>
      </c>
      <c r="F1104">
        <v>0.91900000000000004</v>
      </c>
      <c r="G1104" t="s">
        <v>13</v>
      </c>
    </row>
    <row r="1105" spans="1:7" x14ac:dyDescent="0.25">
      <c r="A1105">
        <v>92</v>
      </c>
      <c r="B1105" t="s">
        <v>263</v>
      </c>
      <c r="C1105">
        <v>120</v>
      </c>
      <c r="D1105" t="s">
        <v>264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265</v>
      </c>
      <c r="C1106">
        <v>10</v>
      </c>
      <c r="D1106" t="s">
        <v>188</v>
      </c>
      <c r="E1106" t="s">
        <v>14</v>
      </c>
      <c r="F1106">
        <v>1.702</v>
      </c>
      <c r="G1106" t="s">
        <v>15</v>
      </c>
    </row>
    <row r="1107" spans="1:7" x14ac:dyDescent="0.25">
      <c r="A1107">
        <v>93</v>
      </c>
      <c r="B1107" t="s">
        <v>265</v>
      </c>
      <c r="C1107">
        <v>20</v>
      </c>
      <c r="D1107" t="s">
        <v>240</v>
      </c>
      <c r="E1107" t="s">
        <v>14</v>
      </c>
      <c r="F1107">
        <v>1.702</v>
      </c>
      <c r="G1107" t="s">
        <v>15</v>
      </c>
    </row>
    <row r="1108" spans="1:7" x14ac:dyDescent="0.25">
      <c r="A1108">
        <v>93</v>
      </c>
      <c r="B1108" t="s">
        <v>265</v>
      </c>
      <c r="C1108">
        <v>30</v>
      </c>
      <c r="D1108" t="s">
        <v>237</v>
      </c>
      <c r="E1108" t="s">
        <v>238</v>
      </c>
      <c r="F1108">
        <v>0.48699999999999999</v>
      </c>
      <c r="G1108" t="s">
        <v>13</v>
      </c>
    </row>
    <row r="1109" spans="1:7" x14ac:dyDescent="0.25">
      <c r="A1109">
        <v>93</v>
      </c>
      <c r="B1109" t="s">
        <v>265</v>
      </c>
      <c r="C1109">
        <v>40</v>
      </c>
      <c r="D1109" t="s">
        <v>101</v>
      </c>
      <c r="E1109" t="s">
        <v>14</v>
      </c>
      <c r="F1109">
        <v>14.731999999999999</v>
      </c>
      <c r="G1109" t="s">
        <v>13</v>
      </c>
    </row>
    <row r="1110" spans="1:7" x14ac:dyDescent="0.25">
      <c r="A1110">
        <v>93</v>
      </c>
      <c r="B1110" t="s">
        <v>265</v>
      </c>
      <c r="C1110">
        <v>50</v>
      </c>
      <c r="D1110" t="s">
        <v>16</v>
      </c>
      <c r="E1110" t="s">
        <v>14</v>
      </c>
      <c r="F1110">
        <v>90.602000000000004</v>
      </c>
      <c r="G1110" t="s">
        <v>13</v>
      </c>
    </row>
    <row r="1111" spans="1:7" x14ac:dyDescent="0.25">
      <c r="A1111">
        <v>93</v>
      </c>
      <c r="B1111" t="s">
        <v>265</v>
      </c>
      <c r="C1111">
        <v>60</v>
      </c>
      <c r="D1111" t="s">
        <v>230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265</v>
      </c>
      <c r="C1112">
        <v>70</v>
      </c>
      <c r="D1112" t="s">
        <v>229</v>
      </c>
      <c r="E1112" t="s">
        <v>12</v>
      </c>
      <c r="F1112">
        <v>0.13900000000000001</v>
      </c>
      <c r="G1112" t="s">
        <v>13</v>
      </c>
    </row>
    <row r="1113" spans="1:7" x14ac:dyDescent="0.25">
      <c r="A1113">
        <v>93</v>
      </c>
      <c r="B1113" t="s">
        <v>265</v>
      </c>
      <c r="C1113">
        <v>80</v>
      </c>
      <c r="D1113" t="s">
        <v>228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265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265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265</v>
      </c>
      <c r="C1116">
        <v>110</v>
      </c>
      <c r="D1116" t="s">
        <v>103</v>
      </c>
      <c r="E1116" t="s">
        <v>12</v>
      </c>
      <c r="F1116">
        <v>1</v>
      </c>
      <c r="G1116" t="s">
        <v>13</v>
      </c>
    </row>
    <row r="1117" spans="1:7" x14ac:dyDescent="0.25">
      <c r="A1117">
        <v>93</v>
      </c>
      <c r="B1117" t="s">
        <v>265</v>
      </c>
      <c r="C1117">
        <v>120</v>
      </c>
      <c r="D1117" t="s">
        <v>266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267</v>
      </c>
      <c r="C1118">
        <v>10</v>
      </c>
      <c r="D1118" t="s">
        <v>188</v>
      </c>
      <c r="E1118" t="s">
        <v>14</v>
      </c>
      <c r="F1118">
        <v>1.8540000000000001</v>
      </c>
      <c r="G1118" t="s">
        <v>15</v>
      </c>
    </row>
    <row r="1119" spans="1:7" x14ac:dyDescent="0.25">
      <c r="A1119">
        <v>94</v>
      </c>
      <c r="B1119" t="s">
        <v>267</v>
      </c>
      <c r="C1119">
        <v>20</v>
      </c>
      <c r="D1119" t="s">
        <v>240</v>
      </c>
      <c r="E1119" t="s">
        <v>14</v>
      </c>
      <c r="F1119">
        <v>1.8540000000000001</v>
      </c>
      <c r="G1119" t="s">
        <v>15</v>
      </c>
    </row>
    <row r="1120" spans="1:7" x14ac:dyDescent="0.25">
      <c r="A1120">
        <v>94</v>
      </c>
      <c r="B1120" t="s">
        <v>267</v>
      </c>
      <c r="C1120">
        <v>30</v>
      </c>
      <c r="D1120" t="s">
        <v>237</v>
      </c>
      <c r="E1120" t="s">
        <v>238</v>
      </c>
      <c r="F1120">
        <v>0.53200000000000003</v>
      </c>
      <c r="G1120" t="s">
        <v>13</v>
      </c>
    </row>
    <row r="1121" spans="1:7" x14ac:dyDescent="0.25">
      <c r="A1121">
        <v>94</v>
      </c>
      <c r="B1121" t="s">
        <v>267</v>
      </c>
      <c r="C1121">
        <v>40</v>
      </c>
      <c r="D1121" t="s">
        <v>101</v>
      </c>
      <c r="E1121" t="s">
        <v>14</v>
      </c>
      <c r="F1121">
        <v>15.342000000000001</v>
      </c>
      <c r="G1121" t="s">
        <v>13</v>
      </c>
    </row>
    <row r="1122" spans="1:7" x14ac:dyDescent="0.25">
      <c r="A1122">
        <v>94</v>
      </c>
      <c r="B1122" t="s">
        <v>267</v>
      </c>
      <c r="C1122">
        <v>50</v>
      </c>
      <c r="D1122" t="s">
        <v>16</v>
      </c>
      <c r="E1122" t="s">
        <v>14</v>
      </c>
      <c r="F1122">
        <v>94.350999999999999</v>
      </c>
      <c r="G1122" t="s">
        <v>13</v>
      </c>
    </row>
    <row r="1123" spans="1:7" x14ac:dyDescent="0.25">
      <c r="A1123">
        <v>94</v>
      </c>
      <c r="B1123" t="s">
        <v>267</v>
      </c>
      <c r="C1123">
        <v>60</v>
      </c>
      <c r="D1123" t="s">
        <v>230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267</v>
      </c>
      <c r="C1124">
        <v>70</v>
      </c>
      <c r="D1124" t="s">
        <v>229</v>
      </c>
      <c r="E1124" t="s">
        <v>12</v>
      </c>
      <c r="F1124">
        <v>0.14899999999999999</v>
      </c>
      <c r="G1124" t="s">
        <v>13</v>
      </c>
    </row>
    <row r="1125" spans="1:7" x14ac:dyDescent="0.25">
      <c r="A1125">
        <v>94</v>
      </c>
      <c r="B1125" t="s">
        <v>267</v>
      </c>
      <c r="C1125">
        <v>80</v>
      </c>
      <c r="D1125" t="s">
        <v>228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267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267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267</v>
      </c>
      <c r="C1128">
        <v>110</v>
      </c>
      <c r="D1128" t="s">
        <v>103</v>
      </c>
      <c r="E1128" t="s">
        <v>12</v>
      </c>
      <c r="F1128">
        <v>1.081</v>
      </c>
      <c r="G1128" t="s">
        <v>13</v>
      </c>
    </row>
    <row r="1129" spans="1:7" x14ac:dyDescent="0.25">
      <c r="A1129">
        <v>94</v>
      </c>
      <c r="B1129" t="s">
        <v>267</v>
      </c>
      <c r="C1129">
        <v>120</v>
      </c>
      <c r="D1129" t="s">
        <v>268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269</v>
      </c>
      <c r="C1130">
        <v>10</v>
      </c>
      <c r="D1130" t="s">
        <v>188</v>
      </c>
      <c r="E1130" t="s">
        <v>14</v>
      </c>
      <c r="F1130">
        <v>0.78700000000000003</v>
      </c>
      <c r="G1130" t="s">
        <v>15</v>
      </c>
    </row>
    <row r="1131" spans="1:7" x14ac:dyDescent="0.25">
      <c r="A1131">
        <v>95</v>
      </c>
      <c r="B1131" t="s">
        <v>269</v>
      </c>
      <c r="C1131">
        <v>20</v>
      </c>
      <c r="D1131" t="s">
        <v>240</v>
      </c>
      <c r="E1131" t="s">
        <v>14</v>
      </c>
      <c r="F1131">
        <v>0.78700000000000003</v>
      </c>
      <c r="G1131" t="s">
        <v>15</v>
      </c>
    </row>
    <row r="1132" spans="1:7" x14ac:dyDescent="0.25">
      <c r="A1132">
        <v>95</v>
      </c>
      <c r="B1132" t="s">
        <v>269</v>
      </c>
      <c r="C1132">
        <v>30</v>
      </c>
      <c r="D1132" t="s">
        <v>237</v>
      </c>
      <c r="E1132" t="s">
        <v>238</v>
      </c>
      <c r="F1132">
        <v>0.22600000000000001</v>
      </c>
      <c r="G1132" t="s">
        <v>13</v>
      </c>
    </row>
    <row r="1133" spans="1:7" x14ac:dyDescent="0.25">
      <c r="A1133">
        <v>95</v>
      </c>
      <c r="B1133" t="s">
        <v>269</v>
      </c>
      <c r="C1133">
        <v>40</v>
      </c>
      <c r="D1133" t="s">
        <v>101</v>
      </c>
      <c r="E1133" t="s">
        <v>14</v>
      </c>
      <c r="F1133">
        <v>11.379</v>
      </c>
      <c r="G1133" t="s">
        <v>13</v>
      </c>
    </row>
    <row r="1134" spans="1:7" x14ac:dyDescent="0.25">
      <c r="A1134">
        <v>95</v>
      </c>
      <c r="B1134" t="s">
        <v>269</v>
      </c>
      <c r="C1134">
        <v>50</v>
      </c>
      <c r="D1134" t="s">
        <v>16</v>
      </c>
      <c r="E1134" t="s">
        <v>14</v>
      </c>
      <c r="F1134">
        <v>69.981999999999999</v>
      </c>
      <c r="G1134" t="s">
        <v>13</v>
      </c>
    </row>
    <row r="1135" spans="1:7" x14ac:dyDescent="0.25">
      <c r="A1135">
        <v>95</v>
      </c>
      <c r="B1135" t="s">
        <v>269</v>
      </c>
      <c r="C1135">
        <v>60</v>
      </c>
      <c r="D1135" t="s">
        <v>230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269</v>
      </c>
      <c r="C1136">
        <v>70</v>
      </c>
      <c r="D1136" t="s">
        <v>229</v>
      </c>
      <c r="E1136" t="s">
        <v>12</v>
      </c>
      <c r="F1136">
        <v>7.4999999999999997E-2</v>
      </c>
      <c r="G1136" t="s">
        <v>13</v>
      </c>
    </row>
    <row r="1137" spans="1:7" x14ac:dyDescent="0.25">
      <c r="A1137">
        <v>95</v>
      </c>
      <c r="B1137" t="s">
        <v>269</v>
      </c>
      <c r="C1137">
        <v>80</v>
      </c>
      <c r="D1137" t="s">
        <v>228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269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269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269</v>
      </c>
      <c r="C1140">
        <v>110</v>
      </c>
      <c r="D1140" t="s">
        <v>103</v>
      </c>
      <c r="E1140" t="s">
        <v>12</v>
      </c>
      <c r="F1140">
        <v>0.51300000000000001</v>
      </c>
      <c r="G1140" t="s">
        <v>13</v>
      </c>
    </row>
    <row r="1141" spans="1:7" x14ac:dyDescent="0.25">
      <c r="A1141">
        <v>95</v>
      </c>
      <c r="B1141" t="s">
        <v>269</v>
      </c>
      <c r="C1141">
        <v>120</v>
      </c>
      <c r="D1141" t="s">
        <v>270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271</v>
      </c>
      <c r="C1142">
        <v>10</v>
      </c>
      <c r="D1142" t="s">
        <v>188</v>
      </c>
      <c r="E1142" t="s">
        <v>14</v>
      </c>
      <c r="F1142">
        <v>0.94</v>
      </c>
      <c r="G1142" t="s">
        <v>15</v>
      </c>
    </row>
    <row r="1143" spans="1:7" x14ac:dyDescent="0.25">
      <c r="A1143">
        <v>96</v>
      </c>
      <c r="B1143" t="s">
        <v>271</v>
      </c>
      <c r="C1143">
        <v>20</v>
      </c>
      <c r="D1143" t="s">
        <v>240</v>
      </c>
      <c r="E1143" t="s">
        <v>14</v>
      </c>
      <c r="F1143">
        <v>0.94</v>
      </c>
      <c r="G1143" t="s">
        <v>15</v>
      </c>
    </row>
    <row r="1144" spans="1:7" x14ac:dyDescent="0.25">
      <c r="A1144">
        <v>96</v>
      </c>
      <c r="B1144" t="s">
        <v>271</v>
      </c>
      <c r="C1144">
        <v>30</v>
      </c>
      <c r="D1144" t="s">
        <v>237</v>
      </c>
      <c r="E1144" t="s">
        <v>238</v>
      </c>
      <c r="F1144">
        <v>0.27300000000000002</v>
      </c>
      <c r="G1144" t="s">
        <v>13</v>
      </c>
    </row>
    <row r="1145" spans="1:7" x14ac:dyDescent="0.25">
      <c r="A1145">
        <v>96</v>
      </c>
      <c r="B1145" t="s">
        <v>271</v>
      </c>
      <c r="C1145">
        <v>40</v>
      </c>
      <c r="D1145" t="s">
        <v>101</v>
      </c>
      <c r="E1145" t="s">
        <v>14</v>
      </c>
      <c r="F1145">
        <v>11.989000000000001</v>
      </c>
      <c r="G1145" t="s">
        <v>13</v>
      </c>
    </row>
    <row r="1146" spans="1:7" x14ac:dyDescent="0.25">
      <c r="A1146">
        <v>96</v>
      </c>
      <c r="B1146" t="s">
        <v>271</v>
      </c>
      <c r="C1146">
        <v>50</v>
      </c>
      <c r="D1146" t="s">
        <v>16</v>
      </c>
      <c r="E1146" t="s">
        <v>14</v>
      </c>
      <c r="F1146">
        <v>73.730999999999995</v>
      </c>
      <c r="G1146" t="s">
        <v>13</v>
      </c>
    </row>
    <row r="1147" spans="1:7" x14ac:dyDescent="0.25">
      <c r="A1147">
        <v>96</v>
      </c>
      <c r="B1147" t="s">
        <v>271</v>
      </c>
      <c r="C1147">
        <v>60</v>
      </c>
      <c r="D1147" t="s">
        <v>230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271</v>
      </c>
      <c r="C1148">
        <v>70</v>
      </c>
      <c r="D1148" t="s">
        <v>229</v>
      </c>
      <c r="E1148" t="s">
        <v>12</v>
      </c>
      <c r="F1148">
        <v>8.5000000000000006E-2</v>
      </c>
      <c r="G1148" t="s">
        <v>13</v>
      </c>
    </row>
    <row r="1149" spans="1:7" x14ac:dyDescent="0.25">
      <c r="A1149">
        <v>96</v>
      </c>
      <c r="B1149" t="s">
        <v>271</v>
      </c>
      <c r="C1149">
        <v>80</v>
      </c>
      <c r="D1149" t="s">
        <v>228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271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271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271</v>
      </c>
      <c r="C1152">
        <v>110</v>
      </c>
      <c r="D1152" t="s">
        <v>103</v>
      </c>
      <c r="E1152" t="s">
        <v>12</v>
      </c>
      <c r="F1152">
        <v>0.59499999999999997</v>
      </c>
      <c r="G1152" t="s">
        <v>13</v>
      </c>
    </row>
    <row r="1153" spans="1:7" x14ac:dyDescent="0.25">
      <c r="A1153">
        <v>96</v>
      </c>
      <c r="B1153" t="s">
        <v>271</v>
      </c>
      <c r="C1153">
        <v>120</v>
      </c>
      <c r="D1153" t="s">
        <v>272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273</v>
      </c>
      <c r="C1154">
        <v>10</v>
      </c>
      <c r="D1154" t="s">
        <v>188</v>
      </c>
      <c r="E1154" t="s">
        <v>14</v>
      </c>
      <c r="F1154">
        <v>1.0920000000000001</v>
      </c>
      <c r="G1154" t="s">
        <v>15</v>
      </c>
    </row>
    <row r="1155" spans="1:7" x14ac:dyDescent="0.25">
      <c r="A1155">
        <v>97</v>
      </c>
      <c r="B1155" t="s">
        <v>273</v>
      </c>
      <c r="C1155">
        <v>20</v>
      </c>
      <c r="D1155" t="s">
        <v>240</v>
      </c>
      <c r="E1155" t="s">
        <v>14</v>
      </c>
      <c r="F1155">
        <v>1.0920000000000001</v>
      </c>
      <c r="G1155" t="s">
        <v>15</v>
      </c>
    </row>
    <row r="1156" spans="1:7" x14ac:dyDescent="0.25">
      <c r="A1156">
        <v>97</v>
      </c>
      <c r="B1156" t="s">
        <v>273</v>
      </c>
      <c r="C1156">
        <v>30</v>
      </c>
      <c r="D1156" t="s">
        <v>237</v>
      </c>
      <c r="E1156" t="s">
        <v>238</v>
      </c>
      <c r="F1156">
        <v>0.32</v>
      </c>
      <c r="G1156" t="s">
        <v>13</v>
      </c>
    </row>
    <row r="1157" spans="1:7" x14ac:dyDescent="0.25">
      <c r="A1157">
        <v>97</v>
      </c>
      <c r="B1157" t="s">
        <v>273</v>
      </c>
      <c r="C1157">
        <v>40</v>
      </c>
      <c r="D1157" t="s">
        <v>101</v>
      </c>
      <c r="E1157" t="s">
        <v>14</v>
      </c>
      <c r="F1157">
        <v>12.598000000000001</v>
      </c>
      <c r="G1157" t="s">
        <v>13</v>
      </c>
    </row>
    <row r="1158" spans="1:7" x14ac:dyDescent="0.25">
      <c r="A1158">
        <v>97</v>
      </c>
      <c r="B1158" t="s">
        <v>273</v>
      </c>
      <c r="C1158">
        <v>50</v>
      </c>
      <c r="D1158" t="s">
        <v>16</v>
      </c>
      <c r="E1158" t="s">
        <v>14</v>
      </c>
      <c r="F1158">
        <v>77.48</v>
      </c>
      <c r="G1158" t="s">
        <v>13</v>
      </c>
    </row>
    <row r="1159" spans="1:7" x14ac:dyDescent="0.25">
      <c r="A1159">
        <v>97</v>
      </c>
      <c r="B1159" t="s">
        <v>273</v>
      </c>
      <c r="C1159">
        <v>60</v>
      </c>
      <c r="D1159" t="s">
        <v>230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273</v>
      </c>
      <c r="C1160">
        <v>70</v>
      </c>
      <c r="D1160" t="s">
        <v>229</v>
      </c>
      <c r="E1160" t="s">
        <v>12</v>
      </c>
      <c r="F1160">
        <v>9.6000000000000002E-2</v>
      </c>
      <c r="G1160" t="s">
        <v>13</v>
      </c>
    </row>
    <row r="1161" spans="1:7" x14ac:dyDescent="0.25">
      <c r="A1161">
        <v>97</v>
      </c>
      <c r="B1161" t="s">
        <v>273</v>
      </c>
      <c r="C1161">
        <v>80</v>
      </c>
      <c r="D1161" t="s">
        <v>228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273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273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273</v>
      </c>
      <c r="C1164">
        <v>110</v>
      </c>
      <c r="D1164" t="s">
        <v>103</v>
      </c>
      <c r="E1164" t="s">
        <v>12</v>
      </c>
      <c r="F1164">
        <v>0.67600000000000005</v>
      </c>
      <c r="G1164" t="s">
        <v>13</v>
      </c>
    </row>
    <row r="1165" spans="1:7" x14ac:dyDescent="0.25">
      <c r="A1165">
        <v>97</v>
      </c>
      <c r="B1165" t="s">
        <v>273</v>
      </c>
      <c r="C1165">
        <v>120</v>
      </c>
      <c r="D1165" t="s">
        <v>274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275</v>
      </c>
      <c r="C1166">
        <v>10</v>
      </c>
      <c r="D1166" t="s">
        <v>188</v>
      </c>
      <c r="E1166" t="s">
        <v>14</v>
      </c>
      <c r="F1166">
        <v>1.2450000000000001</v>
      </c>
      <c r="G1166" t="s">
        <v>15</v>
      </c>
    </row>
    <row r="1167" spans="1:7" x14ac:dyDescent="0.25">
      <c r="A1167">
        <v>98</v>
      </c>
      <c r="B1167" t="s">
        <v>275</v>
      </c>
      <c r="C1167">
        <v>20</v>
      </c>
      <c r="D1167" t="s">
        <v>240</v>
      </c>
      <c r="E1167" t="s">
        <v>14</v>
      </c>
      <c r="F1167">
        <v>1.2450000000000001</v>
      </c>
      <c r="G1167" t="s">
        <v>15</v>
      </c>
    </row>
    <row r="1168" spans="1:7" x14ac:dyDescent="0.25">
      <c r="A1168">
        <v>98</v>
      </c>
      <c r="B1168" t="s">
        <v>275</v>
      </c>
      <c r="C1168">
        <v>30</v>
      </c>
      <c r="D1168" t="s">
        <v>237</v>
      </c>
      <c r="E1168" t="s">
        <v>238</v>
      </c>
      <c r="F1168">
        <v>0.36599999999999999</v>
      </c>
      <c r="G1168" t="s">
        <v>13</v>
      </c>
    </row>
    <row r="1169" spans="1:7" x14ac:dyDescent="0.25">
      <c r="A1169">
        <v>98</v>
      </c>
      <c r="B1169" t="s">
        <v>275</v>
      </c>
      <c r="C1169">
        <v>40</v>
      </c>
      <c r="D1169" t="s">
        <v>101</v>
      </c>
      <c r="E1169" t="s">
        <v>14</v>
      </c>
      <c r="F1169">
        <v>13.208</v>
      </c>
      <c r="G1169" t="s">
        <v>13</v>
      </c>
    </row>
    <row r="1170" spans="1:7" x14ac:dyDescent="0.25">
      <c r="A1170">
        <v>98</v>
      </c>
      <c r="B1170" t="s">
        <v>275</v>
      </c>
      <c r="C1170">
        <v>50</v>
      </c>
      <c r="D1170" t="s">
        <v>16</v>
      </c>
      <c r="E1170" t="s">
        <v>14</v>
      </c>
      <c r="F1170">
        <v>81.228999999999999</v>
      </c>
      <c r="G1170" t="s">
        <v>13</v>
      </c>
    </row>
    <row r="1171" spans="1:7" x14ac:dyDescent="0.25">
      <c r="A1171">
        <v>98</v>
      </c>
      <c r="B1171" t="s">
        <v>275</v>
      </c>
      <c r="C1171">
        <v>60</v>
      </c>
      <c r="D1171" t="s">
        <v>230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275</v>
      </c>
      <c r="C1172">
        <v>70</v>
      </c>
      <c r="D1172" t="s">
        <v>229</v>
      </c>
      <c r="E1172" t="s">
        <v>12</v>
      </c>
      <c r="F1172">
        <v>0.107</v>
      </c>
      <c r="G1172" t="s">
        <v>13</v>
      </c>
    </row>
    <row r="1173" spans="1:7" x14ac:dyDescent="0.25">
      <c r="A1173">
        <v>98</v>
      </c>
      <c r="B1173" t="s">
        <v>275</v>
      </c>
      <c r="C1173">
        <v>80</v>
      </c>
      <c r="D1173" t="s">
        <v>228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275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275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275</v>
      </c>
      <c r="C1176">
        <v>110</v>
      </c>
      <c r="D1176" t="s">
        <v>103</v>
      </c>
      <c r="E1176" t="s">
        <v>12</v>
      </c>
      <c r="F1176">
        <v>0.75700000000000001</v>
      </c>
      <c r="G1176" t="s">
        <v>13</v>
      </c>
    </row>
    <row r="1177" spans="1:7" x14ac:dyDescent="0.25">
      <c r="A1177">
        <v>98</v>
      </c>
      <c r="B1177" t="s">
        <v>275</v>
      </c>
      <c r="C1177">
        <v>120</v>
      </c>
      <c r="D1177" t="s">
        <v>276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277</v>
      </c>
      <c r="C1178">
        <v>10</v>
      </c>
      <c r="D1178" t="s">
        <v>188</v>
      </c>
      <c r="E1178" t="s">
        <v>14</v>
      </c>
      <c r="F1178">
        <v>1.5489999999999999</v>
      </c>
      <c r="G1178" t="s">
        <v>15</v>
      </c>
    </row>
    <row r="1179" spans="1:7" x14ac:dyDescent="0.25">
      <c r="A1179">
        <v>99</v>
      </c>
      <c r="B1179" t="s">
        <v>277</v>
      </c>
      <c r="C1179">
        <v>20</v>
      </c>
      <c r="D1179" t="s">
        <v>240</v>
      </c>
      <c r="E1179" t="s">
        <v>14</v>
      </c>
      <c r="F1179">
        <v>1.5489999999999999</v>
      </c>
      <c r="G1179" t="s">
        <v>15</v>
      </c>
    </row>
    <row r="1180" spans="1:7" x14ac:dyDescent="0.25">
      <c r="A1180">
        <v>99</v>
      </c>
      <c r="B1180" t="s">
        <v>277</v>
      </c>
      <c r="C1180">
        <v>30</v>
      </c>
      <c r="D1180" t="s">
        <v>237</v>
      </c>
      <c r="E1180" t="s">
        <v>238</v>
      </c>
      <c r="F1180">
        <v>0.46</v>
      </c>
      <c r="G1180" t="s">
        <v>13</v>
      </c>
    </row>
    <row r="1181" spans="1:7" x14ac:dyDescent="0.25">
      <c r="A1181">
        <v>99</v>
      </c>
      <c r="B1181" t="s">
        <v>277</v>
      </c>
      <c r="C1181">
        <v>40</v>
      </c>
      <c r="D1181" t="s">
        <v>101</v>
      </c>
      <c r="E1181" t="s">
        <v>14</v>
      </c>
      <c r="F1181">
        <v>14.427</v>
      </c>
      <c r="G1181" t="s">
        <v>13</v>
      </c>
    </row>
    <row r="1182" spans="1:7" x14ac:dyDescent="0.25">
      <c r="A1182">
        <v>99</v>
      </c>
      <c r="B1182" t="s">
        <v>277</v>
      </c>
      <c r="C1182">
        <v>50</v>
      </c>
      <c r="D1182" t="s">
        <v>16</v>
      </c>
      <c r="E1182" t="s">
        <v>14</v>
      </c>
      <c r="F1182">
        <v>88.727000000000004</v>
      </c>
      <c r="G1182" t="s">
        <v>13</v>
      </c>
    </row>
    <row r="1183" spans="1:7" x14ac:dyDescent="0.25">
      <c r="A1183">
        <v>99</v>
      </c>
      <c r="B1183" t="s">
        <v>277</v>
      </c>
      <c r="C1183">
        <v>60</v>
      </c>
      <c r="D1183" t="s">
        <v>230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277</v>
      </c>
      <c r="C1184">
        <v>70</v>
      </c>
      <c r="D1184" t="s">
        <v>229</v>
      </c>
      <c r="E1184" t="s">
        <v>12</v>
      </c>
      <c r="F1184">
        <v>0.128</v>
      </c>
      <c r="G1184" t="s">
        <v>13</v>
      </c>
    </row>
    <row r="1185" spans="1:7" x14ac:dyDescent="0.25">
      <c r="A1185">
        <v>99</v>
      </c>
      <c r="B1185" t="s">
        <v>277</v>
      </c>
      <c r="C1185">
        <v>80</v>
      </c>
      <c r="D1185" t="s">
        <v>228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277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277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277</v>
      </c>
      <c r="C1188">
        <v>110</v>
      </c>
      <c r="D1188" t="s">
        <v>103</v>
      </c>
      <c r="E1188" t="s">
        <v>12</v>
      </c>
      <c r="F1188">
        <v>0.91900000000000004</v>
      </c>
      <c r="G1188" t="s">
        <v>13</v>
      </c>
    </row>
    <row r="1189" spans="1:7" x14ac:dyDescent="0.25">
      <c r="A1189">
        <v>99</v>
      </c>
      <c r="B1189" t="s">
        <v>277</v>
      </c>
      <c r="C1189">
        <v>120</v>
      </c>
      <c r="D1189" t="s">
        <v>278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279</v>
      </c>
      <c r="C1190">
        <v>10</v>
      </c>
      <c r="D1190" t="s">
        <v>188</v>
      </c>
      <c r="E1190" t="s">
        <v>14</v>
      </c>
      <c r="F1190">
        <v>1.702</v>
      </c>
      <c r="G1190" t="s">
        <v>15</v>
      </c>
    </row>
    <row r="1191" spans="1:7" x14ac:dyDescent="0.25">
      <c r="A1191">
        <v>100</v>
      </c>
      <c r="B1191" t="s">
        <v>279</v>
      </c>
      <c r="C1191">
        <v>20</v>
      </c>
      <c r="D1191" t="s">
        <v>240</v>
      </c>
      <c r="E1191" t="s">
        <v>14</v>
      </c>
      <c r="F1191">
        <v>1.702</v>
      </c>
      <c r="G1191" t="s">
        <v>15</v>
      </c>
    </row>
    <row r="1192" spans="1:7" x14ac:dyDescent="0.25">
      <c r="A1192">
        <v>100</v>
      </c>
      <c r="B1192" t="s">
        <v>279</v>
      </c>
      <c r="C1192">
        <v>30</v>
      </c>
      <c r="D1192" t="s">
        <v>237</v>
      </c>
      <c r="E1192" t="s">
        <v>238</v>
      </c>
      <c r="F1192">
        <v>0.50700000000000001</v>
      </c>
      <c r="G1192" t="s">
        <v>13</v>
      </c>
    </row>
    <row r="1193" spans="1:7" x14ac:dyDescent="0.25">
      <c r="A1193">
        <v>100</v>
      </c>
      <c r="B1193" t="s">
        <v>279</v>
      </c>
      <c r="C1193">
        <v>40</v>
      </c>
      <c r="D1193" t="s">
        <v>101</v>
      </c>
      <c r="E1193" t="s">
        <v>14</v>
      </c>
      <c r="F1193">
        <v>15.037000000000001</v>
      </c>
      <c r="G1193" t="s">
        <v>13</v>
      </c>
    </row>
    <row r="1194" spans="1:7" x14ac:dyDescent="0.25">
      <c r="A1194">
        <v>100</v>
      </c>
      <c r="B1194" t="s">
        <v>279</v>
      </c>
      <c r="C1194">
        <v>50</v>
      </c>
      <c r="D1194" t="s">
        <v>16</v>
      </c>
      <c r="E1194" t="s">
        <v>14</v>
      </c>
      <c r="F1194">
        <v>92.475999999999999</v>
      </c>
      <c r="G1194" t="s">
        <v>13</v>
      </c>
    </row>
    <row r="1195" spans="1:7" x14ac:dyDescent="0.25">
      <c r="A1195">
        <v>100</v>
      </c>
      <c r="B1195" t="s">
        <v>279</v>
      </c>
      <c r="C1195">
        <v>60</v>
      </c>
      <c r="D1195" t="s">
        <v>230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279</v>
      </c>
      <c r="C1196">
        <v>70</v>
      </c>
      <c r="D1196" t="s">
        <v>229</v>
      </c>
      <c r="E1196" t="s">
        <v>12</v>
      </c>
      <c r="F1196">
        <v>0.13900000000000001</v>
      </c>
      <c r="G1196" t="s">
        <v>13</v>
      </c>
    </row>
    <row r="1197" spans="1:7" x14ac:dyDescent="0.25">
      <c r="A1197">
        <v>100</v>
      </c>
      <c r="B1197" t="s">
        <v>279</v>
      </c>
      <c r="C1197">
        <v>80</v>
      </c>
      <c r="D1197" t="s">
        <v>228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279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279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279</v>
      </c>
      <c r="C1200">
        <v>110</v>
      </c>
      <c r="D1200" t="s">
        <v>103</v>
      </c>
      <c r="E1200" t="s">
        <v>12</v>
      </c>
      <c r="F1200">
        <v>1</v>
      </c>
      <c r="G1200" t="s">
        <v>13</v>
      </c>
    </row>
    <row r="1201" spans="1:7" x14ac:dyDescent="0.25">
      <c r="A1201">
        <v>100</v>
      </c>
      <c r="B1201" t="s">
        <v>279</v>
      </c>
      <c r="C1201">
        <v>120</v>
      </c>
      <c r="D1201" t="s">
        <v>280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281</v>
      </c>
      <c r="C1202">
        <v>10</v>
      </c>
      <c r="D1202" t="s">
        <v>188</v>
      </c>
      <c r="E1202" t="s">
        <v>14</v>
      </c>
      <c r="F1202">
        <v>1.8540000000000001</v>
      </c>
      <c r="G1202" t="s">
        <v>15</v>
      </c>
    </row>
    <row r="1203" spans="1:7" x14ac:dyDescent="0.25">
      <c r="A1203">
        <v>101</v>
      </c>
      <c r="B1203" t="s">
        <v>281</v>
      </c>
      <c r="C1203">
        <v>20</v>
      </c>
      <c r="D1203" t="s">
        <v>240</v>
      </c>
      <c r="E1203" t="s">
        <v>14</v>
      </c>
      <c r="F1203">
        <v>1.8540000000000001</v>
      </c>
      <c r="G1203" t="s">
        <v>15</v>
      </c>
    </row>
    <row r="1204" spans="1:7" x14ac:dyDescent="0.25">
      <c r="A1204">
        <v>101</v>
      </c>
      <c r="B1204" t="s">
        <v>281</v>
      </c>
      <c r="C1204">
        <v>30</v>
      </c>
      <c r="D1204" t="s">
        <v>237</v>
      </c>
      <c r="E1204" t="s">
        <v>238</v>
      </c>
      <c r="F1204">
        <v>0.55400000000000005</v>
      </c>
      <c r="G1204" t="s">
        <v>13</v>
      </c>
    </row>
    <row r="1205" spans="1:7" x14ac:dyDescent="0.25">
      <c r="A1205">
        <v>101</v>
      </c>
      <c r="B1205" t="s">
        <v>281</v>
      </c>
      <c r="C1205">
        <v>40</v>
      </c>
      <c r="D1205" t="s">
        <v>101</v>
      </c>
      <c r="E1205" t="s">
        <v>14</v>
      </c>
      <c r="F1205">
        <v>15.646000000000001</v>
      </c>
      <c r="G1205" t="s">
        <v>13</v>
      </c>
    </row>
    <row r="1206" spans="1:7" x14ac:dyDescent="0.25">
      <c r="A1206">
        <v>101</v>
      </c>
      <c r="B1206" t="s">
        <v>281</v>
      </c>
      <c r="C1206">
        <v>50</v>
      </c>
      <c r="D1206" t="s">
        <v>16</v>
      </c>
      <c r="E1206" t="s">
        <v>14</v>
      </c>
      <c r="F1206">
        <v>96.224999999999994</v>
      </c>
      <c r="G1206" t="s">
        <v>13</v>
      </c>
    </row>
    <row r="1207" spans="1:7" x14ac:dyDescent="0.25">
      <c r="A1207">
        <v>101</v>
      </c>
      <c r="B1207" t="s">
        <v>281</v>
      </c>
      <c r="C1207">
        <v>60</v>
      </c>
      <c r="D1207" t="s">
        <v>230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281</v>
      </c>
      <c r="C1208">
        <v>70</v>
      </c>
      <c r="D1208" t="s">
        <v>229</v>
      </c>
      <c r="E1208" t="s">
        <v>12</v>
      </c>
      <c r="F1208">
        <v>0.14899999999999999</v>
      </c>
      <c r="G1208" t="s">
        <v>13</v>
      </c>
    </row>
    <row r="1209" spans="1:7" x14ac:dyDescent="0.25">
      <c r="A1209">
        <v>101</v>
      </c>
      <c r="B1209" t="s">
        <v>281</v>
      </c>
      <c r="C1209">
        <v>80</v>
      </c>
      <c r="D1209" t="s">
        <v>228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281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281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281</v>
      </c>
      <c r="C1212">
        <v>110</v>
      </c>
      <c r="D1212" t="s">
        <v>103</v>
      </c>
      <c r="E1212" t="s">
        <v>12</v>
      </c>
      <c r="F1212">
        <v>1.081</v>
      </c>
      <c r="G1212" t="s">
        <v>13</v>
      </c>
    </row>
    <row r="1213" spans="1:7" x14ac:dyDescent="0.25">
      <c r="A1213">
        <v>101</v>
      </c>
      <c r="B1213" t="s">
        <v>281</v>
      </c>
      <c r="C1213">
        <v>120</v>
      </c>
      <c r="D1213" t="s">
        <v>282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283</v>
      </c>
      <c r="C1214">
        <v>10</v>
      </c>
      <c r="D1214" t="s">
        <v>188</v>
      </c>
      <c r="E1214" t="s">
        <v>14</v>
      </c>
      <c r="F1214">
        <v>2.0569999999999999</v>
      </c>
      <c r="G1214" t="s">
        <v>15</v>
      </c>
    </row>
    <row r="1215" spans="1:7" x14ac:dyDescent="0.25">
      <c r="A1215">
        <v>102</v>
      </c>
      <c r="B1215" t="s">
        <v>283</v>
      </c>
      <c r="C1215">
        <v>20</v>
      </c>
      <c r="D1215" t="s">
        <v>240</v>
      </c>
      <c r="E1215" t="s">
        <v>14</v>
      </c>
      <c r="F1215">
        <v>2.0569999999999999</v>
      </c>
      <c r="G1215" t="s">
        <v>15</v>
      </c>
    </row>
    <row r="1216" spans="1:7" x14ac:dyDescent="0.25">
      <c r="A1216">
        <v>102</v>
      </c>
      <c r="B1216" t="s">
        <v>283</v>
      </c>
      <c r="C1216">
        <v>30</v>
      </c>
      <c r="D1216" t="s">
        <v>237</v>
      </c>
      <c r="E1216" t="s">
        <v>238</v>
      </c>
      <c r="F1216">
        <v>0.23200000000000001</v>
      </c>
      <c r="G1216" t="s">
        <v>13</v>
      </c>
    </row>
    <row r="1217" spans="1:7" x14ac:dyDescent="0.25">
      <c r="A1217">
        <v>102</v>
      </c>
      <c r="B1217" t="s">
        <v>283</v>
      </c>
      <c r="C1217">
        <v>40</v>
      </c>
      <c r="D1217" t="s">
        <v>101</v>
      </c>
      <c r="E1217" t="s">
        <v>14</v>
      </c>
      <c r="F1217">
        <v>11.582000000000001</v>
      </c>
      <c r="G1217" t="s">
        <v>13</v>
      </c>
    </row>
    <row r="1218" spans="1:7" x14ac:dyDescent="0.25">
      <c r="A1218">
        <v>102</v>
      </c>
      <c r="B1218" t="s">
        <v>283</v>
      </c>
      <c r="C1218">
        <v>50</v>
      </c>
      <c r="D1218" t="s">
        <v>16</v>
      </c>
      <c r="E1218" t="s">
        <v>14</v>
      </c>
      <c r="F1218">
        <v>71.231999999999999</v>
      </c>
      <c r="G1218" t="s">
        <v>13</v>
      </c>
    </row>
    <row r="1219" spans="1:7" x14ac:dyDescent="0.25">
      <c r="A1219">
        <v>102</v>
      </c>
      <c r="B1219" t="s">
        <v>283</v>
      </c>
      <c r="C1219">
        <v>60</v>
      </c>
      <c r="D1219" t="s">
        <v>230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283</v>
      </c>
      <c r="C1220">
        <v>70</v>
      </c>
      <c r="D1220" t="s">
        <v>229</v>
      </c>
      <c r="E1220" t="s">
        <v>12</v>
      </c>
      <c r="F1220">
        <v>7.4999999999999997E-2</v>
      </c>
      <c r="G1220" t="s">
        <v>13</v>
      </c>
    </row>
    <row r="1221" spans="1:7" x14ac:dyDescent="0.25">
      <c r="A1221">
        <v>102</v>
      </c>
      <c r="B1221" t="s">
        <v>283</v>
      </c>
      <c r="C1221">
        <v>80</v>
      </c>
      <c r="D1221" t="s">
        <v>228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283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283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283</v>
      </c>
      <c r="C1224">
        <v>110</v>
      </c>
      <c r="D1224" t="s">
        <v>103</v>
      </c>
      <c r="E1224" t="s">
        <v>12</v>
      </c>
      <c r="F1224">
        <v>1.1890000000000001</v>
      </c>
      <c r="G1224" t="s">
        <v>13</v>
      </c>
    </row>
    <row r="1225" spans="1:7" x14ac:dyDescent="0.25">
      <c r="A1225">
        <v>102</v>
      </c>
      <c r="B1225" t="s">
        <v>283</v>
      </c>
      <c r="C1225">
        <v>120</v>
      </c>
      <c r="D1225" t="s">
        <v>284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285</v>
      </c>
      <c r="C1226">
        <v>10</v>
      </c>
      <c r="D1226" t="s">
        <v>188</v>
      </c>
      <c r="E1226" t="s">
        <v>14</v>
      </c>
      <c r="F1226">
        <v>2.0569999999999999</v>
      </c>
      <c r="G1226" t="s">
        <v>15</v>
      </c>
    </row>
    <row r="1227" spans="1:7" x14ac:dyDescent="0.25">
      <c r="A1227">
        <v>103</v>
      </c>
      <c r="B1227" t="s">
        <v>285</v>
      </c>
      <c r="C1227">
        <v>20</v>
      </c>
      <c r="D1227" t="s">
        <v>240</v>
      </c>
      <c r="E1227" t="s">
        <v>14</v>
      </c>
      <c r="F1227">
        <v>2.0569999999999999</v>
      </c>
      <c r="G1227" t="s">
        <v>15</v>
      </c>
    </row>
    <row r="1228" spans="1:7" x14ac:dyDescent="0.25">
      <c r="A1228">
        <v>103</v>
      </c>
      <c r="B1228" t="s">
        <v>285</v>
      </c>
      <c r="C1228">
        <v>30</v>
      </c>
      <c r="D1228" t="s">
        <v>237</v>
      </c>
      <c r="E1228" t="s">
        <v>238</v>
      </c>
      <c r="F1228">
        <v>0.28000000000000003</v>
      </c>
      <c r="G1228" t="s">
        <v>13</v>
      </c>
    </row>
    <row r="1229" spans="1:7" x14ac:dyDescent="0.25">
      <c r="A1229">
        <v>103</v>
      </c>
      <c r="B1229" t="s">
        <v>285</v>
      </c>
      <c r="C1229">
        <v>40</v>
      </c>
      <c r="D1229" t="s">
        <v>101</v>
      </c>
      <c r="E1229" t="s">
        <v>14</v>
      </c>
      <c r="F1229">
        <v>12.192</v>
      </c>
      <c r="G1229" t="s">
        <v>13</v>
      </c>
    </row>
    <row r="1230" spans="1:7" x14ac:dyDescent="0.25">
      <c r="A1230">
        <v>103</v>
      </c>
      <c r="B1230" t="s">
        <v>285</v>
      </c>
      <c r="C1230">
        <v>50</v>
      </c>
      <c r="D1230" t="s">
        <v>16</v>
      </c>
      <c r="E1230" t="s">
        <v>14</v>
      </c>
      <c r="F1230">
        <v>74.980999999999995</v>
      </c>
      <c r="G1230" t="s">
        <v>13</v>
      </c>
    </row>
    <row r="1231" spans="1:7" x14ac:dyDescent="0.25">
      <c r="A1231">
        <v>103</v>
      </c>
      <c r="B1231" t="s">
        <v>285</v>
      </c>
      <c r="C1231">
        <v>60</v>
      </c>
      <c r="D1231" t="s">
        <v>230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285</v>
      </c>
      <c r="C1232">
        <v>70</v>
      </c>
      <c r="D1232" t="s">
        <v>229</v>
      </c>
      <c r="E1232" t="s">
        <v>12</v>
      </c>
      <c r="F1232">
        <v>8.5000000000000006E-2</v>
      </c>
      <c r="G1232" t="s">
        <v>13</v>
      </c>
    </row>
    <row r="1233" spans="1:7" x14ac:dyDescent="0.25">
      <c r="A1233">
        <v>103</v>
      </c>
      <c r="B1233" t="s">
        <v>285</v>
      </c>
      <c r="C1233">
        <v>80</v>
      </c>
      <c r="D1233" t="s">
        <v>228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285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285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285</v>
      </c>
      <c r="C1236">
        <v>110</v>
      </c>
      <c r="D1236" t="s">
        <v>103</v>
      </c>
      <c r="E1236" t="s">
        <v>12</v>
      </c>
      <c r="F1236">
        <v>1.1890000000000001</v>
      </c>
      <c r="G1236" t="s">
        <v>13</v>
      </c>
    </row>
    <row r="1237" spans="1:7" x14ac:dyDescent="0.25">
      <c r="A1237">
        <v>103</v>
      </c>
      <c r="B1237" t="s">
        <v>285</v>
      </c>
      <c r="C1237">
        <v>120</v>
      </c>
      <c r="D1237" t="s">
        <v>286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287</v>
      </c>
      <c r="C1238">
        <v>10</v>
      </c>
      <c r="D1238" t="s">
        <v>188</v>
      </c>
      <c r="E1238" t="s">
        <v>14</v>
      </c>
      <c r="F1238">
        <v>2.0569999999999999</v>
      </c>
      <c r="G1238" t="s">
        <v>15</v>
      </c>
    </row>
    <row r="1239" spans="1:7" x14ac:dyDescent="0.25">
      <c r="A1239">
        <v>104</v>
      </c>
      <c r="B1239" t="s">
        <v>287</v>
      </c>
      <c r="C1239">
        <v>20</v>
      </c>
      <c r="D1239" t="s">
        <v>240</v>
      </c>
      <c r="E1239" t="s">
        <v>14</v>
      </c>
      <c r="F1239">
        <v>2.0569999999999999</v>
      </c>
      <c r="G1239" t="s">
        <v>15</v>
      </c>
    </row>
    <row r="1240" spans="1:7" x14ac:dyDescent="0.25">
      <c r="A1240">
        <v>104</v>
      </c>
      <c r="B1240" t="s">
        <v>287</v>
      </c>
      <c r="C1240">
        <v>30</v>
      </c>
      <c r="D1240" t="s">
        <v>237</v>
      </c>
      <c r="E1240" t="s">
        <v>238</v>
      </c>
      <c r="F1240">
        <v>0.32800000000000001</v>
      </c>
      <c r="G1240" t="s">
        <v>13</v>
      </c>
    </row>
    <row r="1241" spans="1:7" x14ac:dyDescent="0.25">
      <c r="A1241">
        <v>104</v>
      </c>
      <c r="B1241" t="s">
        <v>287</v>
      </c>
      <c r="C1241">
        <v>40</v>
      </c>
      <c r="D1241" t="s">
        <v>101</v>
      </c>
      <c r="E1241" t="s">
        <v>14</v>
      </c>
      <c r="F1241">
        <v>12.802</v>
      </c>
      <c r="G1241" t="s">
        <v>13</v>
      </c>
    </row>
    <row r="1242" spans="1:7" x14ac:dyDescent="0.25">
      <c r="A1242">
        <v>104</v>
      </c>
      <c r="B1242" t="s">
        <v>287</v>
      </c>
      <c r="C1242">
        <v>50</v>
      </c>
      <c r="D1242" t="s">
        <v>16</v>
      </c>
      <c r="E1242" t="s">
        <v>14</v>
      </c>
      <c r="F1242">
        <v>78.73</v>
      </c>
      <c r="G1242" t="s">
        <v>13</v>
      </c>
    </row>
    <row r="1243" spans="1:7" x14ac:dyDescent="0.25">
      <c r="A1243">
        <v>104</v>
      </c>
      <c r="B1243" t="s">
        <v>287</v>
      </c>
      <c r="C1243">
        <v>60</v>
      </c>
      <c r="D1243" t="s">
        <v>230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287</v>
      </c>
      <c r="C1244">
        <v>70</v>
      </c>
      <c r="D1244" t="s">
        <v>229</v>
      </c>
      <c r="E1244" t="s">
        <v>12</v>
      </c>
      <c r="F1244">
        <v>9.6000000000000002E-2</v>
      </c>
      <c r="G1244" t="s">
        <v>13</v>
      </c>
    </row>
    <row r="1245" spans="1:7" x14ac:dyDescent="0.25">
      <c r="A1245">
        <v>104</v>
      </c>
      <c r="B1245" t="s">
        <v>287</v>
      </c>
      <c r="C1245">
        <v>80</v>
      </c>
      <c r="D1245" t="s">
        <v>228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287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287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287</v>
      </c>
      <c r="C1248">
        <v>110</v>
      </c>
      <c r="D1248" t="s">
        <v>103</v>
      </c>
      <c r="E1248" t="s">
        <v>12</v>
      </c>
      <c r="F1248">
        <v>1.1890000000000001</v>
      </c>
      <c r="G1248" t="s">
        <v>13</v>
      </c>
    </row>
    <row r="1249" spans="1:7" x14ac:dyDescent="0.25">
      <c r="A1249">
        <v>104</v>
      </c>
      <c r="B1249" t="s">
        <v>287</v>
      </c>
      <c r="C1249">
        <v>120</v>
      </c>
      <c r="D1249" t="s">
        <v>288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289</v>
      </c>
      <c r="C1250">
        <v>10</v>
      </c>
      <c r="D1250" t="s">
        <v>188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289</v>
      </c>
      <c r="C1251">
        <v>20</v>
      </c>
      <c r="D1251" t="s">
        <v>240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105</v>
      </c>
      <c r="B1252" t="s">
        <v>289</v>
      </c>
      <c r="C1252">
        <v>30</v>
      </c>
      <c r="D1252" t="s">
        <v>237</v>
      </c>
      <c r="E1252" t="s">
        <v>238</v>
      </c>
      <c r="F1252">
        <v>0.376</v>
      </c>
      <c r="G1252" t="s">
        <v>13</v>
      </c>
    </row>
    <row r="1253" spans="1:7" x14ac:dyDescent="0.25">
      <c r="A1253">
        <v>105</v>
      </c>
      <c r="B1253" t="s">
        <v>289</v>
      </c>
      <c r="C1253">
        <v>40</v>
      </c>
      <c r="D1253" t="s">
        <v>101</v>
      </c>
      <c r="E1253" t="s">
        <v>14</v>
      </c>
      <c r="F1253">
        <v>13.411</v>
      </c>
      <c r="G1253" t="s">
        <v>13</v>
      </c>
    </row>
    <row r="1254" spans="1:7" x14ac:dyDescent="0.25">
      <c r="A1254">
        <v>105</v>
      </c>
      <c r="B1254" t="s">
        <v>289</v>
      </c>
      <c r="C1254">
        <v>50</v>
      </c>
      <c r="D1254" t="s">
        <v>16</v>
      </c>
      <c r="E1254" t="s">
        <v>14</v>
      </c>
      <c r="F1254">
        <v>82.478999999999999</v>
      </c>
      <c r="G1254" t="s">
        <v>13</v>
      </c>
    </row>
    <row r="1255" spans="1:7" x14ac:dyDescent="0.25">
      <c r="A1255">
        <v>105</v>
      </c>
      <c r="B1255" t="s">
        <v>289</v>
      </c>
      <c r="C1255">
        <v>60</v>
      </c>
      <c r="D1255" t="s">
        <v>230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289</v>
      </c>
      <c r="C1256">
        <v>70</v>
      </c>
      <c r="D1256" t="s">
        <v>229</v>
      </c>
      <c r="E1256" t="s">
        <v>12</v>
      </c>
      <c r="F1256">
        <v>0.107</v>
      </c>
      <c r="G1256" t="s">
        <v>13</v>
      </c>
    </row>
    <row r="1257" spans="1:7" x14ac:dyDescent="0.25">
      <c r="A1257">
        <v>105</v>
      </c>
      <c r="B1257" t="s">
        <v>289</v>
      </c>
      <c r="C1257">
        <v>80</v>
      </c>
      <c r="D1257" t="s">
        <v>228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289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289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289</v>
      </c>
      <c r="C1260">
        <v>110</v>
      </c>
      <c r="D1260" t="s">
        <v>103</v>
      </c>
      <c r="E1260" t="s">
        <v>12</v>
      </c>
      <c r="F1260">
        <v>1.1890000000000001</v>
      </c>
      <c r="G1260" t="s">
        <v>13</v>
      </c>
    </row>
    <row r="1261" spans="1:7" x14ac:dyDescent="0.25">
      <c r="A1261">
        <v>105</v>
      </c>
      <c r="B1261" t="s">
        <v>289</v>
      </c>
      <c r="C1261">
        <v>120</v>
      </c>
      <c r="D1261" t="s">
        <v>290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291</v>
      </c>
      <c r="C1262">
        <v>10</v>
      </c>
      <c r="D1262" t="s">
        <v>188</v>
      </c>
      <c r="E1262" t="s">
        <v>14</v>
      </c>
      <c r="F1262">
        <v>2.0569999999999999</v>
      </c>
      <c r="G1262" t="s">
        <v>15</v>
      </c>
    </row>
    <row r="1263" spans="1:7" x14ac:dyDescent="0.25">
      <c r="A1263">
        <v>106</v>
      </c>
      <c r="B1263" t="s">
        <v>291</v>
      </c>
      <c r="C1263">
        <v>20</v>
      </c>
      <c r="D1263" t="s">
        <v>240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106</v>
      </c>
      <c r="B1264" t="s">
        <v>291</v>
      </c>
      <c r="C1264">
        <v>30</v>
      </c>
      <c r="D1264" t="s">
        <v>237</v>
      </c>
      <c r="E1264" t="s">
        <v>238</v>
      </c>
      <c r="F1264">
        <v>0.47199999999999998</v>
      </c>
      <c r="G1264" t="s">
        <v>13</v>
      </c>
    </row>
    <row r="1265" spans="1:7" x14ac:dyDescent="0.25">
      <c r="A1265">
        <v>106</v>
      </c>
      <c r="B1265" t="s">
        <v>291</v>
      </c>
      <c r="C1265">
        <v>40</v>
      </c>
      <c r="D1265" t="s">
        <v>101</v>
      </c>
      <c r="E1265" t="s">
        <v>14</v>
      </c>
      <c r="F1265">
        <v>14.63</v>
      </c>
      <c r="G1265" t="s">
        <v>13</v>
      </c>
    </row>
    <row r="1266" spans="1:7" x14ac:dyDescent="0.25">
      <c r="A1266">
        <v>106</v>
      </c>
      <c r="B1266" t="s">
        <v>291</v>
      </c>
      <c r="C1266">
        <v>50</v>
      </c>
      <c r="D1266" t="s">
        <v>16</v>
      </c>
      <c r="E1266" t="s">
        <v>14</v>
      </c>
      <c r="F1266">
        <v>89.977000000000004</v>
      </c>
      <c r="G1266" t="s">
        <v>13</v>
      </c>
    </row>
    <row r="1267" spans="1:7" x14ac:dyDescent="0.25">
      <c r="A1267">
        <v>106</v>
      </c>
      <c r="B1267" t="s">
        <v>291</v>
      </c>
      <c r="C1267">
        <v>60</v>
      </c>
      <c r="D1267" t="s">
        <v>230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291</v>
      </c>
      <c r="C1268">
        <v>70</v>
      </c>
      <c r="D1268" t="s">
        <v>229</v>
      </c>
      <c r="E1268" t="s">
        <v>12</v>
      </c>
      <c r="F1268">
        <v>0.128</v>
      </c>
      <c r="G1268" t="s">
        <v>13</v>
      </c>
    </row>
    <row r="1269" spans="1:7" x14ac:dyDescent="0.25">
      <c r="A1269">
        <v>106</v>
      </c>
      <c r="B1269" t="s">
        <v>291</v>
      </c>
      <c r="C1269">
        <v>80</v>
      </c>
      <c r="D1269" t="s">
        <v>228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291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291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291</v>
      </c>
      <c r="C1272">
        <v>110</v>
      </c>
      <c r="D1272" t="s">
        <v>103</v>
      </c>
      <c r="E1272" t="s">
        <v>12</v>
      </c>
      <c r="F1272">
        <v>1.1890000000000001</v>
      </c>
      <c r="G1272" t="s">
        <v>13</v>
      </c>
    </row>
    <row r="1273" spans="1:7" x14ac:dyDescent="0.25">
      <c r="A1273">
        <v>106</v>
      </c>
      <c r="B1273" t="s">
        <v>291</v>
      </c>
      <c r="C1273">
        <v>120</v>
      </c>
      <c r="D1273" t="s">
        <v>292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293</v>
      </c>
      <c r="C1274">
        <v>10</v>
      </c>
      <c r="D1274" t="s">
        <v>188</v>
      </c>
      <c r="E1274" t="s">
        <v>14</v>
      </c>
      <c r="F1274">
        <v>2.0569999999999999</v>
      </c>
      <c r="G1274" t="s">
        <v>15</v>
      </c>
    </row>
    <row r="1275" spans="1:7" x14ac:dyDescent="0.25">
      <c r="A1275">
        <v>107</v>
      </c>
      <c r="B1275" t="s">
        <v>293</v>
      </c>
      <c r="C1275">
        <v>20</v>
      </c>
      <c r="D1275" t="s">
        <v>240</v>
      </c>
      <c r="E1275" t="s">
        <v>14</v>
      </c>
      <c r="F1275">
        <v>2.0569999999999999</v>
      </c>
      <c r="G1275" t="s">
        <v>15</v>
      </c>
    </row>
    <row r="1276" spans="1:7" x14ac:dyDescent="0.25">
      <c r="A1276">
        <v>107</v>
      </c>
      <c r="B1276" t="s">
        <v>293</v>
      </c>
      <c r="C1276">
        <v>30</v>
      </c>
      <c r="D1276" t="s">
        <v>237</v>
      </c>
      <c r="E1276" t="s">
        <v>238</v>
      </c>
      <c r="F1276">
        <v>0.52</v>
      </c>
      <c r="G1276" t="s">
        <v>13</v>
      </c>
    </row>
    <row r="1277" spans="1:7" x14ac:dyDescent="0.25">
      <c r="A1277">
        <v>107</v>
      </c>
      <c r="B1277" t="s">
        <v>293</v>
      </c>
      <c r="C1277">
        <v>40</v>
      </c>
      <c r="D1277" t="s">
        <v>101</v>
      </c>
      <c r="E1277" t="s">
        <v>14</v>
      </c>
      <c r="F1277">
        <v>15.24</v>
      </c>
      <c r="G1277" t="s">
        <v>13</v>
      </c>
    </row>
    <row r="1278" spans="1:7" x14ac:dyDescent="0.25">
      <c r="A1278">
        <v>107</v>
      </c>
      <c r="B1278" t="s">
        <v>293</v>
      </c>
      <c r="C1278">
        <v>50</v>
      </c>
      <c r="D1278" t="s">
        <v>16</v>
      </c>
      <c r="E1278" t="s">
        <v>14</v>
      </c>
      <c r="F1278">
        <v>93.725999999999999</v>
      </c>
      <c r="G1278" t="s">
        <v>13</v>
      </c>
    </row>
    <row r="1279" spans="1:7" x14ac:dyDescent="0.25">
      <c r="A1279">
        <v>107</v>
      </c>
      <c r="B1279" t="s">
        <v>293</v>
      </c>
      <c r="C1279">
        <v>60</v>
      </c>
      <c r="D1279" t="s">
        <v>230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293</v>
      </c>
      <c r="C1280">
        <v>70</v>
      </c>
      <c r="D1280" t="s">
        <v>229</v>
      </c>
      <c r="E1280" t="s">
        <v>12</v>
      </c>
      <c r="F1280">
        <v>0.13900000000000001</v>
      </c>
      <c r="G1280" t="s">
        <v>13</v>
      </c>
    </row>
    <row r="1281" spans="1:7" x14ac:dyDescent="0.25">
      <c r="A1281">
        <v>107</v>
      </c>
      <c r="B1281" t="s">
        <v>293</v>
      </c>
      <c r="C1281">
        <v>80</v>
      </c>
      <c r="D1281" t="s">
        <v>228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293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293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293</v>
      </c>
      <c r="C1284">
        <v>110</v>
      </c>
      <c r="D1284" t="s">
        <v>103</v>
      </c>
      <c r="E1284" t="s">
        <v>12</v>
      </c>
      <c r="F1284">
        <v>1.1890000000000001</v>
      </c>
      <c r="G1284" t="s">
        <v>13</v>
      </c>
    </row>
    <row r="1285" spans="1:7" x14ac:dyDescent="0.25">
      <c r="A1285">
        <v>107</v>
      </c>
      <c r="B1285" t="s">
        <v>293</v>
      </c>
      <c r="C1285">
        <v>120</v>
      </c>
      <c r="D1285" t="s">
        <v>294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295</v>
      </c>
      <c r="C1286">
        <v>10</v>
      </c>
      <c r="D1286" t="s">
        <v>188</v>
      </c>
      <c r="E1286" t="s">
        <v>14</v>
      </c>
      <c r="F1286">
        <v>2.0569999999999999</v>
      </c>
      <c r="G1286" t="s">
        <v>15</v>
      </c>
    </row>
    <row r="1287" spans="1:7" x14ac:dyDescent="0.25">
      <c r="A1287">
        <v>108</v>
      </c>
      <c r="B1287" t="s">
        <v>295</v>
      </c>
      <c r="C1287">
        <v>20</v>
      </c>
      <c r="D1287" t="s">
        <v>240</v>
      </c>
      <c r="E1287" t="s">
        <v>14</v>
      </c>
      <c r="F1287">
        <v>2.0569999999999999</v>
      </c>
      <c r="G1287" t="s">
        <v>15</v>
      </c>
    </row>
    <row r="1288" spans="1:7" x14ac:dyDescent="0.25">
      <c r="A1288">
        <v>108</v>
      </c>
      <c r="B1288" t="s">
        <v>295</v>
      </c>
      <c r="C1288">
        <v>30</v>
      </c>
      <c r="D1288" t="s">
        <v>237</v>
      </c>
      <c r="E1288" t="s">
        <v>238</v>
      </c>
      <c r="F1288">
        <v>0.56799999999999995</v>
      </c>
      <c r="G1288" t="s">
        <v>13</v>
      </c>
    </row>
    <row r="1289" spans="1:7" x14ac:dyDescent="0.25">
      <c r="A1289">
        <v>108</v>
      </c>
      <c r="B1289" t="s">
        <v>295</v>
      </c>
      <c r="C1289">
        <v>40</v>
      </c>
      <c r="D1289" t="s">
        <v>101</v>
      </c>
      <c r="E1289" t="s">
        <v>14</v>
      </c>
      <c r="F1289">
        <v>15.85</v>
      </c>
      <c r="G1289" t="s">
        <v>13</v>
      </c>
    </row>
    <row r="1290" spans="1:7" x14ac:dyDescent="0.25">
      <c r="A1290">
        <v>108</v>
      </c>
      <c r="B1290" t="s">
        <v>295</v>
      </c>
      <c r="C1290">
        <v>50</v>
      </c>
      <c r="D1290" t="s">
        <v>16</v>
      </c>
      <c r="E1290" t="s">
        <v>14</v>
      </c>
      <c r="F1290">
        <v>97.474999999999994</v>
      </c>
      <c r="G1290" t="s">
        <v>13</v>
      </c>
    </row>
    <row r="1291" spans="1:7" x14ac:dyDescent="0.25">
      <c r="A1291">
        <v>108</v>
      </c>
      <c r="B1291" t="s">
        <v>295</v>
      </c>
      <c r="C1291">
        <v>60</v>
      </c>
      <c r="D1291" t="s">
        <v>230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295</v>
      </c>
      <c r="C1292">
        <v>70</v>
      </c>
      <c r="D1292" t="s">
        <v>229</v>
      </c>
      <c r="E1292" t="s">
        <v>12</v>
      </c>
      <c r="F1292">
        <v>0.14899999999999999</v>
      </c>
      <c r="G1292" t="s">
        <v>13</v>
      </c>
    </row>
    <row r="1293" spans="1:7" x14ac:dyDescent="0.25">
      <c r="A1293">
        <v>108</v>
      </c>
      <c r="B1293" t="s">
        <v>295</v>
      </c>
      <c r="C1293">
        <v>80</v>
      </c>
      <c r="D1293" t="s">
        <v>228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295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295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295</v>
      </c>
      <c r="C1296">
        <v>110</v>
      </c>
      <c r="D1296" t="s">
        <v>103</v>
      </c>
      <c r="E1296" t="s">
        <v>12</v>
      </c>
      <c r="F1296">
        <v>1.1890000000000001</v>
      </c>
      <c r="G1296" t="s">
        <v>13</v>
      </c>
    </row>
    <row r="1297" spans="1:7" x14ac:dyDescent="0.25">
      <c r="A1297">
        <v>108</v>
      </c>
      <c r="B1297" t="s">
        <v>295</v>
      </c>
      <c r="C1297">
        <v>120</v>
      </c>
      <c r="D1297" t="s">
        <v>296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297</v>
      </c>
      <c r="C1298">
        <v>10</v>
      </c>
      <c r="D1298" t="s">
        <v>188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297</v>
      </c>
      <c r="C1299">
        <v>20</v>
      </c>
      <c r="D1299" t="s">
        <v>240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297</v>
      </c>
      <c r="C1300">
        <v>30</v>
      </c>
      <c r="D1300" t="s">
        <v>237</v>
      </c>
      <c r="E1300" t="s">
        <v>238</v>
      </c>
      <c r="F1300">
        <v>0.24399999999999999</v>
      </c>
      <c r="G1300" t="s">
        <v>13</v>
      </c>
    </row>
    <row r="1301" spans="1:7" x14ac:dyDescent="0.25">
      <c r="A1301">
        <v>109</v>
      </c>
      <c r="B1301" t="s">
        <v>297</v>
      </c>
      <c r="C1301">
        <v>40</v>
      </c>
      <c r="D1301" t="s">
        <v>101</v>
      </c>
      <c r="E1301" t="s">
        <v>14</v>
      </c>
      <c r="F1301">
        <v>11.989000000000001</v>
      </c>
      <c r="G1301" t="s">
        <v>13</v>
      </c>
    </row>
    <row r="1302" spans="1:7" x14ac:dyDescent="0.25">
      <c r="A1302">
        <v>109</v>
      </c>
      <c r="B1302" t="s">
        <v>297</v>
      </c>
      <c r="C1302">
        <v>50</v>
      </c>
      <c r="D1302" t="s">
        <v>16</v>
      </c>
      <c r="E1302" t="s">
        <v>14</v>
      </c>
      <c r="F1302">
        <v>73.730999999999995</v>
      </c>
      <c r="G1302" t="s">
        <v>13</v>
      </c>
    </row>
    <row r="1303" spans="1:7" x14ac:dyDescent="0.25">
      <c r="A1303">
        <v>109</v>
      </c>
      <c r="B1303" t="s">
        <v>297</v>
      </c>
      <c r="C1303">
        <v>60</v>
      </c>
      <c r="D1303" t="s">
        <v>230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297</v>
      </c>
      <c r="C1304">
        <v>70</v>
      </c>
      <c r="D1304" t="s">
        <v>229</v>
      </c>
      <c r="E1304" t="s">
        <v>12</v>
      </c>
      <c r="F1304">
        <v>7.4999999999999997E-2</v>
      </c>
      <c r="G1304" t="s">
        <v>13</v>
      </c>
    </row>
    <row r="1305" spans="1:7" x14ac:dyDescent="0.25">
      <c r="A1305">
        <v>109</v>
      </c>
      <c r="B1305" t="s">
        <v>297</v>
      </c>
      <c r="C1305">
        <v>80</v>
      </c>
      <c r="D1305" t="s">
        <v>228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297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297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297</v>
      </c>
      <c r="C1308">
        <v>110</v>
      </c>
      <c r="D1308" t="s">
        <v>103</v>
      </c>
      <c r="E1308" t="s">
        <v>12</v>
      </c>
      <c r="F1308">
        <v>1.2430000000000001</v>
      </c>
      <c r="G1308" t="s">
        <v>13</v>
      </c>
    </row>
    <row r="1309" spans="1:7" x14ac:dyDescent="0.25">
      <c r="A1309">
        <v>109</v>
      </c>
      <c r="B1309" t="s">
        <v>297</v>
      </c>
      <c r="C1309">
        <v>120</v>
      </c>
      <c r="D1309" t="s">
        <v>298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299</v>
      </c>
      <c r="C1310">
        <v>10</v>
      </c>
      <c r="D1310" t="s">
        <v>188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299</v>
      </c>
      <c r="C1311">
        <v>20</v>
      </c>
      <c r="D1311" t="s">
        <v>240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299</v>
      </c>
      <c r="C1312">
        <v>30</v>
      </c>
      <c r="D1312" t="s">
        <v>237</v>
      </c>
      <c r="E1312" t="s">
        <v>238</v>
      </c>
      <c r="F1312">
        <v>0.29399999999999998</v>
      </c>
      <c r="G1312" t="s">
        <v>13</v>
      </c>
    </row>
    <row r="1313" spans="1:7" x14ac:dyDescent="0.25">
      <c r="A1313">
        <v>110</v>
      </c>
      <c r="B1313" t="s">
        <v>299</v>
      </c>
      <c r="C1313">
        <v>40</v>
      </c>
      <c r="D1313" t="s">
        <v>101</v>
      </c>
      <c r="E1313" t="s">
        <v>14</v>
      </c>
      <c r="F1313">
        <v>12.598000000000001</v>
      </c>
      <c r="G1313" t="s">
        <v>13</v>
      </c>
    </row>
    <row r="1314" spans="1:7" x14ac:dyDescent="0.25">
      <c r="A1314">
        <v>110</v>
      </c>
      <c r="B1314" t="s">
        <v>299</v>
      </c>
      <c r="C1314">
        <v>50</v>
      </c>
      <c r="D1314" t="s">
        <v>16</v>
      </c>
      <c r="E1314" t="s">
        <v>14</v>
      </c>
      <c r="F1314">
        <v>77.48</v>
      </c>
      <c r="G1314" t="s">
        <v>13</v>
      </c>
    </row>
    <row r="1315" spans="1:7" x14ac:dyDescent="0.25">
      <c r="A1315">
        <v>110</v>
      </c>
      <c r="B1315" t="s">
        <v>299</v>
      </c>
      <c r="C1315">
        <v>60</v>
      </c>
      <c r="D1315" t="s">
        <v>230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299</v>
      </c>
      <c r="C1316">
        <v>70</v>
      </c>
      <c r="D1316" t="s">
        <v>229</v>
      </c>
      <c r="E1316" t="s">
        <v>12</v>
      </c>
      <c r="F1316">
        <v>8.5000000000000006E-2</v>
      </c>
      <c r="G1316" t="s">
        <v>13</v>
      </c>
    </row>
    <row r="1317" spans="1:7" x14ac:dyDescent="0.25">
      <c r="A1317">
        <v>110</v>
      </c>
      <c r="B1317" t="s">
        <v>299</v>
      </c>
      <c r="C1317">
        <v>80</v>
      </c>
      <c r="D1317" t="s">
        <v>228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299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299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299</v>
      </c>
      <c r="C1320">
        <v>110</v>
      </c>
      <c r="D1320" t="s">
        <v>103</v>
      </c>
      <c r="E1320" t="s">
        <v>12</v>
      </c>
      <c r="F1320">
        <v>1.2430000000000001</v>
      </c>
      <c r="G1320" t="s">
        <v>13</v>
      </c>
    </row>
    <row r="1321" spans="1:7" x14ac:dyDescent="0.25">
      <c r="A1321">
        <v>110</v>
      </c>
      <c r="B1321" t="s">
        <v>299</v>
      </c>
      <c r="C1321">
        <v>120</v>
      </c>
      <c r="D1321" t="s">
        <v>300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301</v>
      </c>
      <c r="C1322">
        <v>10</v>
      </c>
      <c r="D1322" t="s">
        <v>188</v>
      </c>
      <c r="E1322" t="s">
        <v>14</v>
      </c>
      <c r="F1322">
        <v>2.1589999999999998</v>
      </c>
      <c r="G1322" t="s">
        <v>15</v>
      </c>
    </row>
    <row r="1323" spans="1:7" x14ac:dyDescent="0.25">
      <c r="A1323">
        <v>111</v>
      </c>
      <c r="B1323" t="s">
        <v>301</v>
      </c>
      <c r="C1323">
        <v>20</v>
      </c>
      <c r="D1323" t="s">
        <v>240</v>
      </c>
      <c r="E1323" t="s">
        <v>14</v>
      </c>
      <c r="F1323">
        <v>2.1589999999999998</v>
      </c>
      <c r="G1323" t="s">
        <v>15</v>
      </c>
    </row>
    <row r="1324" spans="1:7" x14ac:dyDescent="0.25">
      <c r="A1324">
        <v>111</v>
      </c>
      <c r="B1324" t="s">
        <v>301</v>
      </c>
      <c r="C1324">
        <v>30</v>
      </c>
      <c r="D1324" t="s">
        <v>237</v>
      </c>
      <c r="E1324" t="s">
        <v>238</v>
      </c>
      <c r="F1324">
        <v>0.34499999999999997</v>
      </c>
      <c r="G1324" t="s">
        <v>13</v>
      </c>
    </row>
    <row r="1325" spans="1:7" x14ac:dyDescent="0.25">
      <c r="A1325">
        <v>111</v>
      </c>
      <c r="B1325" t="s">
        <v>301</v>
      </c>
      <c r="C1325">
        <v>40</v>
      </c>
      <c r="D1325" t="s">
        <v>101</v>
      </c>
      <c r="E1325" t="s">
        <v>14</v>
      </c>
      <c r="F1325">
        <v>13.208</v>
      </c>
      <c r="G1325" t="s">
        <v>13</v>
      </c>
    </row>
    <row r="1326" spans="1:7" x14ac:dyDescent="0.25">
      <c r="A1326">
        <v>111</v>
      </c>
      <c r="B1326" t="s">
        <v>301</v>
      </c>
      <c r="C1326">
        <v>50</v>
      </c>
      <c r="D1326" t="s">
        <v>16</v>
      </c>
      <c r="E1326" t="s">
        <v>14</v>
      </c>
      <c r="F1326">
        <v>81.228999999999999</v>
      </c>
      <c r="G1326" t="s">
        <v>13</v>
      </c>
    </row>
    <row r="1327" spans="1:7" x14ac:dyDescent="0.25">
      <c r="A1327">
        <v>111</v>
      </c>
      <c r="B1327" t="s">
        <v>301</v>
      </c>
      <c r="C1327">
        <v>60</v>
      </c>
      <c r="D1327" t="s">
        <v>230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301</v>
      </c>
      <c r="C1328">
        <v>70</v>
      </c>
      <c r="D1328" t="s">
        <v>229</v>
      </c>
      <c r="E1328" t="s">
        <v>12</v>
      </c>
      <c r="F1328">
        <v>9.6000000000000002E-2</v>
      </c>
      <c r="G1328" t="s">
        <v>13</v>
      </c>
    </row>
    <row r="1329" spans="1:7" x14ac:dyDescent="0.25">
      <c r="A1329">
        <v>111</v>
      </c>
      <c r="B1329" t="s">
        <v>301</v>
      </c>
      <c r="C1329">
        <v>80</v>
      </c>
      <c r="D1329" t="s">
        <v>228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301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301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301</v>
      </c>
      <c r="C1332">
        <v>110</v>
      </c>
      <c r="D1332" t="s">
        <v>103</v>
      </c>
      <c r="E1332" t="s">
        <v>12</v>
      </c>
      <c r="F1332">
        <v>1.2430000000000001</v>
      </c>
      <c r="G1332" t="s">
        <v>13</v>
      </c>
    </row>
    <row r="1333" spans="1:7" x14ac:dyDescent="0.25">
      <c r="A1333">
        <v>111</v>
      </c>
      <c r="B1333" t="s">
        <v>301</v>
      </c>
      <c r="C1333">
        <v>120</v>
      </c>
      <c r="D1333" t="s">
        <v>302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303</v>
      </c>
      <c r="C1334">
        <v>10</v>
      </c>
      <c r="D1334" t="s">
        <v>188</v>
      </c>
      <c r="E1334" t="s">
        <v>14</v>
      </c>
      <c r="F1334">
        <v>2.1589999999999998</v>
      </c>
      <c r="G1334" t="s">
        <v>15</v>
      </c>
    </row>
    <row r="1335" spans="1:7" x14ac:dyDescent="0.25">
      <c r="A1335">
        <v>112</v>
      </c>
      <c r="B1335" t="s">
        <v>303</v>
      </c>
      <c r="C1335">
        <v>20</v>
      </c>
      <c r="D1335" t="s">
        <v>240</v>
      </c>
      <c r="E1335" t="s">
        <v>14</v>
      </c>
      <c r="F1335">
        <v>2.1589999999999998</v>
      </c>
      <c r="G1335" t="s">
        <v>15</v>
      </c>
    </row>
    <row r="1336" spans="1:7" x14ac:dyDescent="0.25">
      <c r="A1336">
        <v>112</v>
      </c>
      <c r="B1336" t="s">
        <v>303</v>
      </c>
      <c r="C1336">
        <v>30</v>
      </c>
      <c r="D1336" t="s">
        <v>237</v>
      </c>
      <c r="E1336" t="s">
        <v>238</v>
      </c>
      <c r="F1336">
        <v>0.39500000000000002</v>
      </c>
      <c r="G1336" t="s">
        <v>13</v>
      </c>
    </row>
    <row r="1337" spans="1:7" x14ac:dyDescent="0.25">
      <c r="A1337">
        <v>112</v>
      </c>
      <c r="B1337" t="s">
        <v>303</v>
      </c>
      <c r="C1337">
        <v>40</v>
      </c>
      <c r="D1337" t="s">
        <v>101</v>
      </c>
      <c r="E1337" t="s">
        <v>14</v>
      </c>
      <c r="F1337">
        <v>13.818</v>
      </c>
      <c r="G1337" t="s">
        <v>13</v>
      </c>
    </row>
    <row r="1338" spans="1:7" x14ac:dyDescent="0.25">
      <c r="A1338">
        <v>112</v>
      </c>
      <c r="B1338" t="s">
        <v>303</v>
      </c>
      <c r="C1338">
        <v>50</v>
      </c>
      <c r="D1338" t="s">
        <v>16</v>
      </c>
      <c r="E1338" t="s">
        <v>14</v>
      </c>
      <c r="F1338">
        <v>84.977999999999994</v>
      </c>
      <c r="G1338" t="s">
        <v>13</v>
      </c>
    </row>
    <row r="1339" spans="1:7" x14ac:dyDescent="0.25">
      <c r="A1339">
        <v>112</v>
      </c>
      <c r="B1339" t="s">
        <v>303</v>
      </c>
      <c r="C1339">
        <v>60</v>
      </c>
      <c r="D1339" t="s">
        <v>230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303</v>
      </c>
      <c r="C1340">
        <v>70</v>
      </c>
      <c r="D1340" t="s">
        <v>229</v>
      </c>
      <c r="E1340" t="s">
        <v>12</v>
      </c>
      <c r="F1340">
        <v>0.107</v>
      </c>
      <c r="G1340" t="s">
        <v>13</v>
      </c>
    </row>
    <row r="1341" spans="1:7" x14ac:dyDescent="0.25">
      <c r="A1341">
        <v>112</v>
      </c>
      <c r="B1341" t="s">
        <v>303</v>
      </c>
      <c r="C1341">
        <v>80</v>
      </c>
      <c r="D1341" t="s">
        <v>228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303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303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303</v>
      </c>
      <c r="C1344">
        <v>110</v>
      </c>
      <c r="D1344" t="s">
        <v>103</v>
      </c>
      <c r="E1344" t="s">
        <v>12</v>
      </c>
      <c r="F1344">
        <v>1.2430000000000001</v>
      </c>
      <c r="G1344" t="s">
        <v>13</v>
      </c>
    </row>
    <row r="1345" spans="1:7" x14ac:dyDescent="0.25">
      <c r="A1345">
        <v>112</v>
      </c>
      <c r="B1345" t="s">
        <v>303</v>
      </c>
      <c r="C1345">
        <v>120</v>
      </c>
      <c r="D1345" t="s">
        <v>304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305</v>
      </c>
      <c r="C1346">
        <v>10</v>
      </c>
      <c r="D1346" t="s">
        <v>188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305</v>
      </c>
      <c r="C1347">
        <v>20</v>
      </c>
      <c r="D1347" t="s">
        <v>240</v>
      </c>
      <c r="E1347" t="s">
        <v>14</v>
      </c>
      <c r="F1347">
        <v>2.1589999999999998</v>
      </c>
      <c r="G1347" t="s">
        <v>15</v>
      </c>
    </row>
    <row r="1348" spans="1:7" x14ac:dyDescent="0.25">
      <c r="A1348">
        <v>113</v>
      </c>
      <c r="B1348" t="s">
        <v>305</v>
      </c>
      <c r="C1348">
        <v>30</v>
      </c>
      <c r="D1348" t="s">
        <v>237</v>
      </c>
      <c r="E1348" t="s">
        <v>238</v>
      </c>
      <c r="F1348">
        <v>0.496</v>
      </c>
      <c r="G1348" t="s">
        <v>13</v>
      </c>
    </row>
    <row r="1349" spans="1:7" x14ac:dyDescent="0.25">
      <c r="A1349">
        <v>113</v>
      </c>
      <c r="B1349" t="s">
        <v>305</v>
      </c>
      <c r="C1349">
        <v>40</v>
      </c>
      <c r="D1349" t="s">
        <v>101</v>
      </c>
      <c r="E1349" t="s">
        <v>14</v>
      </c>
      <c r="F1349">
        <v>15.037000000000001</v>
      </c>
      <c r="G1349" t="s">
        <v>13</v>
      </c>
    </row>
    <row r="1350" spans="1:7" x14ac:dyDescent="0.25">
      <c r="A1350">
        <v>113</v>
      </c>
      <c r="B1350" t="s">
        <v>305</v>
      </c>
      <c r="C1350">
        <v>50</v>
      </c>
      <c r="D1350" t="s">
        <v>16</v>
      </c>
      <c r="E1350" t="s">
        <v>14</v>
      </c>
      <c r="F1350">
        <v>92.475999999999999</v>
      </c>
      <c r="G1350" t="s">
        <v>13</v>
      </c>
    </row>
    <row r="1351" spans="1:7" x14ac:dyDescent="0.25">
      <c r="A1351">
        <v>113</v>
      </c>
      <c r="B1351" t="s">
        <v>305</v>
      </c>
      <c r="C1351">
        <v>60</v>
      </c>
      <c r="D1351" t="s">
        <v>230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305</v>
      </c>
      <c r="C1352">
        <v>70</v>
      </c>
      <c r="D1352" t="s">
        <v>229</v>
      </c>
      <c r="E1352" t="s">
        <v>12</v>
      </c>
      <c r="F1352">
        <v>0.128</v>
      </c>
      <c r="G1352" t="s">
        <v>13</v>
      </c>
    </row>
    <row r="1353" spans="1:7" x14ac:dyDescent="0.25">
      <c r="A1353">
        <v>113</v>
      </c>
      <c r="B1353" t="s">
        <v>305</v>
      </c>
      <c r="C1353">
        <v>80</v>
      </c>
      <c r="D1353" t="s">
        <v>228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305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305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305</v>
      </c>
      <c r="C1356">
        <v>110</v>
      </c>
      <c r="D1356" t="s">
        <v>103</v>
      </c>
      <c r="E1356" t="s">
        <v>12</v>
      </c>
      <c r="F1356">
        <v>1.2430000000000001</v>
      </c>
      <c r="G1356" t="s">
        <v>13</v>
      </c>
    </row>
    <row r="1357" spans="1:7" x14ac:dyDescent="0.25">
      <c r="A1357">
        <v>113</v>
      </c>
      <c r="B1357" t="s">
        <v>305</v>
      </c>
      <c r="C1357">
        <v>120</v>
      </c>
      <c r="D1357" t="s">
        <v>306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307</v>
      </c>
      <c r="C1358">
        <v>10</v>
      </c>
      <c r="D1358" t="s">
        <v>188</v>
      </c>
      <c r="E1358" t="s">
        <v>14</v>
      </c>
      <c r="F1358">
        <v>2.1589999999999998</v>
      </c>
      <c r="G1358" t="s">
        <v>15</v>
      </c>
    </row>
    <row r="1359" spans="1:7" x14ac:dyDescent="0.25">
      <c r="A1359">
        <v>114</v>
      </c>
      <c r="B1359" t="s">
        <v>307</v>
      </c>
      <c r="C1359">
        <v>20</v>
      </c>
      <c r="D1359" t="s">
        <v>240</v>
      </c>
      <c r="E1359" t="s">
        <v>14</v>
      </c>
      <c r="F1359">
        <v>2.1589999999999998</v>
      </c>
      <c r="G1359" t="s">
        <v>15</v>
      </c>
    </row>
    <row r="1360" spans="1:7" x14ac:dyDescent="0.25">
      <c r="A1360">
        <v>114</v>
      </c>
      <c r="B1360" t="s">
        <v>307</v>
      </c>
      <c r="C1360">
        <v>30</v>
      </c>
      <c r="D1360" t="s">
        <v>237</v>
      </c>
      <c r="E1360" t="s">
        <v>238</v>
      </c>
      <c r="F1360">
        <v>0.54600000000000004</v>
      </c>
      <c r="G1360" t="s">
        <v>13</v>
      </c>
    </row>
    <row r="1361" spans="1:7" x14ac:dyDescent="0.25">
      <c r="A1361">
        <v>114</v>
      </c>
      <c r="B1361" t="s">
        <v>307</v>
      </c>
      <c r="C1361">
        <v>40</v>
      </c>
      <c r="D1361" t="s">
        <v>101</v>
      </c>
      <c r="E1361" t="s">
        <v>14</v>
      </c>
      <c r="F1361">
        <v>15.646000000000001</v>
      </c>
      <c r="G1361" t="s">
        <v>13</v>
      </c>
    </row>
    <row r="1362" spans="1:7" x14ac:dyDescent="0.25">
      <c r="A1362">
        <v>114</v>
      </c>
      <c r="B1362" t="s">
        <v>307</v>
      </c>
      <c r="C1362">
        <v>50</v>
      </c>
      <c r="D1362" t="s">
        <v>16</v>
      </c>
      <c r="E1362" t="s">
        <v>14</v>
      </c>
      <c r="F1362">
        <v>96.224999999999994</v>
      </c>
      <c r="G1362" t="s">
        <v>13</v>
      </c>
    </row>
    <row r="1363" spans="1:7" x14ac:dyDescent="0.25">
      <c r="A1363">
        <v>114</v>
      </c>
      <c r="B1363" t="s">
        <v>307</v>
      </c>
      <c r="C1363">
        <v>60</v>
      </c>
      <c r="D1363" t="s">
        <v>230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307</v>
      </c>
      <c r="C1364">
        <v>70</v>
      </c>
      <c r="D1364" t="s">
        <v>229</v>
      </c>
      <c r="E1364" t="s">
        <v>12</v>
      </c>
      <c r="F1364">
        <v>0.13900000000000001</v>
      </c>
      <c r="G1364" t="s">
        <v>13</v>
      </c>
    </row>
    <row r="1365" spans="1:7" x14ac:dyDescent="0.25">
      <c r="A1365">
        <v>114</v>
      </c>
      <c r="B1365" t="s">
        <v>307</v>
      </c>
      <c r="C1365">
        <v>80</v>
      </c>
      <c r="D1365" t="s">
        <v>228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307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307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307</v>
      </c>
      <c r="C1368">
        <v>110</v>
      </c>
      <c r="D1368" t="s">
        <v>103</v>
      </c>
      <c r="E1368" t="s">
        <v>12</v>
      </c>
      <c r="F1368">
        <v>1.2430000000000001</v>
      </c>
      <c r="G1368" t="s">
        <v>13</v>
      </c>
    </row>
    <row r="1369" spans="1:7" x14ac:dyDescent="0.25">
      <c r="A1369">
        <v>114</v>
      </c>
      <c r="B1369" t="s">
        <v>307</v>
      </c>
      <c r="C1369">
        <v>120</v>
      </c>
      <c r="D1369" t="s">
        <v>308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309</v>
      </c>
      <c r="C1370">
        <v>10</v>
      </c>
      <c r="D1370" t="s">
        <v>188</v>
      </c>
      <c r="E1370" t="s">
        <v>14</v>
      </c>
      <c r="F1370">
        <v>2.1589999999999998</v>
      </c>
      <c r="G1370" t="s">
        <v>15</v>
      </c>
    </row>
    <row r="1371" spans="1:7" x14ac:dyDescent="0.25">
      <c r="A1371">
        <v>115</v>
      </c>
      <c r="B1371" t="s">
        <v>309</v>
      </c>
      <c r="C1371">
        <v>20</v>
      </c>
      <c r="D1371" t="s">
        <v>240</v>
      </c>
      <c r="E1371" t="s">
        <v>14</v>
      </c>
      <c r="F1371">
        <v>2.1589999999999998</v>
      </c>
      <c r="G1371" t="s">
        <v>15</v>
      </c>
    </row>
    <row r="1372" spans="1:7" x14ac:dyDescent="0.25">
      <c r="A1372">
        <v>115</v>
      </c>
      <c r="B1372" t="s">
        <v>309</v>
      </c>
      <c r="C1372">
        <v>30</v>
      </c>
      <c r="D1372" t="s">
        <v>237</v>
      </c>
      <c r="E1372" t="s">
        <v>238</v>
      </c>
      <c r="F1372">
        <v>0.59699999999999998</v>
      </c>
      <c r="G1372" t="s">
        <v>13</v>
      </c>
    </row>
    <row r="1373" spans="1:7" x14ac:dyDescent="0.25">
      <c r="A1373">
        <v>115</v>
      </c>
      <c r="B1373" t="s">
        <v>309</v>
      </c>
      <c r="C1373">
        <v>40</v>
      </c>
      <c r="D1373" t="s">
        <v>101</v>
      </c>
      <c r="E1373" t="s">
        <v>14</v>
      </c>
      <c r="F1373">
        <v>16.256</v>
      </c>
      <c r="G1373" t="s">
        <v>13</v>
      </c>
    </row>
    <row r="1374" spans="1:7" x14ac:dyDescent="0.25">
      <c r="A1374">
        <v>115</v>
      </c>
      <c r="B1374" t="s">
        <v>309</v>
      </c>
      <c r="C1374">
        <v>50</v>
      </c>
      <c r="D1374" t="s">
        <v>16</v>
      </c>
      <c r="E1374" t="s">
        <v>14</v>
      </c>
      <c r="F1374">
        <v>99.974000000000004</v>
      </c>
      <c r="G1374" t="s">
        <v>13</v>
      </c>
    </row>
    <row r="1375" spans="1:7" x14ac:dyDescent="0.25">
      <c r="A1375">
        <v>115</v>
      </c>
      <c r="B1375" t="s">
        <v>309</v>
      </c>
      <c r="C1375">
        <v>60</v>
      </c>
      <c r="D1375" t="s">
        <v>230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309</v>
      </c>
      <c r="C1376">
        <v>70</v>
      </c>
      <c r="D1376" t="s">
        <v>229</v>
      </c>
      <c r="E1376" t="s">
        <v>12</v>
      </c>
      <c r="F1376">
        <v>0.14899999999999999</v>
      </c>
      <c r="G1376" t="s">
        <v>13</v>
      </c>
    </row>
    <row r="1377" spans="1:7" x14ac:dyDescent="0.25">
      <c r="A1377">
        <v>115</v>
      </c>
      <c r="B1377" t="s">
        <v>309</v>
      </c>
      <c r="C1377">
        <v>80</v>
      </c>
      <c r="D1377" t="s">
        <v>228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309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309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309</v>
      </c>
      <c r="C1380">
        <v>110</v>
      </c>
      <c r="D1380" t="s">
        <v>103</v>
      </c>
      <c r="E1380" t="s">
        <v>12</v>
      </c>
      <c r="F1380">
        <v>1.2430000000000001</v>
      </c>
      <c r="G1380" t="s">
        <v>13</v>
      </c>
    </row>
    <row r="1381" spans="1:7" x14ac:dyDescent="0.25">
      <c r="A1381">
        <v>115</v>
      </c>
      <c r="B1381" t="s">
        <v>309</v>
      </c>
      <c r="C1381">
        <v>120</v>
      </c>
      <c r="D1381" t="s">
        <v>310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311</v>
      </c>
      <c r="C1382">
        <v>10</v>
      </c>
      <c r="D1382" t="s">
        <v>107</v>
      </c>
      <c r="E1382" t="s">
        <v>14</v>
      </c>
      <c r="F1382">
        <v>0.78700000000000003</v>
      </c>
      <c r="G1382" t="s">
        <v>15</v>
      </c>
    </row>
    <row r="1383" spans="1:7" x14ac:dyDescent="0.25">
      <c r="A1383">
        <v>116</v>
      </c>
      <c r="B1383" t="s">
        <v>311</v>
      </c>
      <c r="C1383">
        <v>20</v>
      </c>
      <c r="D1383" t="s">
        <v>240</v>
      </c>
      <c r="E1383" t="s">
        <v>14</v>
      </c>
      <c r="F1383">
        <v>0.78700000000000003</v>
      </c>
      <c r="G1383" t="s">
        <v>15</v>
      </c>
    </row>
    <row r="1384" spans="1:7" x14ac:dyDescent="0.25">
      <c r="A1384">
        <v>116</v>
      </c>
      <c r="B1384" t="s">
        <v>311</v>
      </c>
      <c r="C1384">
        <v>30</v>
      </c>
      <c r="D1384" t="s">
        <v>237</v>
      </c>
      <c r="E1384" t="s">
        <v>238</v>
      </c>
      <c r="F1384">
        <v>0.20799999999999999</v>
      </c>
      <c r="G1384" t="s">
        <v>13</v>
      </c>
    </row>
    <row r="1385" spans="1:7" x14ac:dyDescent="0.25">
      <c r="A1385">
        <v>116</v>
      </c>
      <c r="B1385" t="s">
        <v>311</v>
      </c>
      <c r="C1385">
        <v>40</v>
      </c>
      <c r="D1385" t="s">
        <v>101</v>
      </c>
      <c r="E1385" t="s">
        <v>14</v>
      </c>
      <c r="F1385">
        <v>10.77</v>
      </c>
      <c r="G1385" t="s">
        <v>13</v>
      </c>
    </row>
    <row r="1386" spans="1:7" x14ac:dyDescent="0.25">
      <c r="A1386">
        <v>116</v>
      </c>
      <c r="B1386" t="s">
        <v>311</v>
      </c>
      <c r="C1386">
        <v>50</v>
      </c>
      <c r="D1386" t="s">
        <v>16</v>
      </c>
      <c r="E1386" t="s">
        <v>14</v>
      </c>
      <c r="F1386">
        <v>66.233000000000004</v>
      </c>
      <c r="G1386" t="s">
        <v>13</v>
      </c>
    </row>
    <row r="1387" spans="1:7" x14ac:dyDescent="0.25">
      <c r="A1387">
        <v>116</v>
      </c>
      <c r="B1387" t="s">
        <v>311</v>
      </c>
      <c r="C1387">
        <v>60</v>
      </c>
      <c r="D1387" t="s">
        <v>230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311</v>
      </c>
      <c r="C1388">
        <v>70</v>
      </c>
      <c r="D1388" t="s">
        <v>229</v>
      </c>
      <c r="E1388" t="s">
        <v>12</v>
      </c>
      <c r="F1388">
        <v>7.4999999999999997E-2</v>
      </c>
      <c r="G1388" t="s">
        <v>13</v>
      </c>
    </row>
    <row r="1389" spans="1:7" x14ac:dyDescent="0.25">
      <c r="A1389">
        <v>116</v>
      </c>
      <c r="B1389" t="s">
        <v>311</v>
      </c>
      <c r="C1389">
        <v>80</v>
      </c>
      <c r="D1389" t="s">
        <v>228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311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311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311</v>
      </c>
      <c r="C1392">
        <v>110</v>
      </c>
      <c r="D1392" t="s">
        <v>103</v>
      </c>
      <c r="E1392" t="s">
        <v>12</v>
      </c>
      <c r="F1392">
        <v>0.51300000000000001</v>
      </c>
      <c r="G1392" t="s">
        <v>13</v>
      </c>
    </row>
    <row r="1393" spans="1:7" x14ac:dyDescent="0.25">
      <c r="A1393">
        <v>116</v>
      </c>
      <c r="B1393" t="s">
        <v>311</v>
      </c>
      <c r="C1393">
        <v>120</v>
      </c>
      <c r="D1393" t="s">
        <v>242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312</v>
      </c>
      <c r="C1394">
        <v>10</v>
      </c>
      <c r="D1394" t="s">
        <v>107</v>
      </c>
      <c r="E1394" t="s">
        <v>14</v>
      </c>
      <c r="F1394">
        <v>0.94</v>
      </c>
      <c r="G1394" t="s">
        <v>15</v>
      </c>
    </row>
    <row r="1395" spans="1:7" x14ac:dyDescent="0.25">
      <c r="A1395">
        <v>117</v>
      </c>
      <c r="B1395" t="s">
        <v>312</v>
      </c>
      <c r="C1395">
        <v>20</v>
      </c>
      <c r="D1395" t="s">
        <v>240</v>
      </c>
      <c r="E1395" t="s">
        <v>14</v>
      </c>
      <c r="F1395">
        <v>0.94</v>
      </c>
      <c r="G1395" t="s">
        <v>15</v>
      </c>
    </row>
    <row r="1396" spans="1:7" x14ac:dyDescent="0.25">
      <c r="A1396">
        <v>117</v>
      </c>
      <c r="B1396" t="s">
        <v>312</v>
      </c>
      <c r="C1396">
        <v>30</v>
      </c>
      <c r="D1396" t="s">
        <v>237</v>
      </c>
      <c r="E1396" t="s">
        <v>238</v>
      </c>
      <c r="F1396">
        <v>0.252</v>
      </c>
      <c r="G1396" t="s">
        <v>13</v>
      </c>
    </row>
    <row r="1397" spans="1:7" x14ac:dyDescent="0.25">
      <c r="A1397">
        <v>117</v>
      </c>
      <c r="B1397" t="s">
        <v>312</v>
      </c>
      <c r="C1397">
        <v>40</v>
      </c>
      <c r="D1397" t="s">
        <v>101</v>
      </c>
      <c r="E1397" t="s">
        <v>14</v>
      </c>
      <c r="F1397">
        <v>11.379</v>
      </c>
      <c r="G1397" t="s">
        <v>13</v>
      </c>
    </row>
    <row r="1398" spans="1:7" x14ac:dyDescent="0.25">
      <c r="A1398">
        <v>117</v>
      </c>
      <c r="B1398" t="s">
        <v>312</v>
      </c>
      <c r="C1398">
        <v>50</v>
      </c>
      <c r="D1398" t="s">
        <v>16</v>
      </c>
      <c r="E1398" t="s">
        <v>14</v>
      </c>
      <c r="F1398">
        <v>69.981999999999999</v>
      </c>
      <c r="G1398" t="s">
        <v>13</v>
      </c>
    </row>
    <row r="1399" spans="1:7" x14ac:dyDescent="0.25">
      <c r="A1399">
        <v>117</v>
      </c>
      <c r="B1399" t="s">
        <v>312</v>
      </c>
      <c r="C1399">
        <v>60</v>
      </c>
      <c r="D1399" t="s">
        <v>230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312</v>
      </c>
      <c r="C1400">
        <v>70</v>
      </c>
      <c r="D1400" t="s">
        <v>229</v>
      </c>
      <c r="E1400" t="s">
        <v>12</v>
      </c>
      <c r="F1400">
        <v>8.5000000000000006E-2</v>
      </c>
      <c r="G1400" t="s">
        <v>13</v>
      </c>
    </row>
    <row r="1401" spans="1:7" x14ac:dyDescent="0.25">
      <c r="A1401">
        <v>117</v>
      </c>
      <c r="B1401" t="s">
        <v>312</v>
      </c>
      <c r="C1401">
        <v>80</v>
      </c>
      <c r="D1401" t="s">
        <v>228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312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312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312</v>
      </c>
      <c r="C1404">
        <v>110</v>
      </c>
      <c r="D1404" t="s">
        <v>103</v>
      </c>
      <c r="E1404" t="s">
        <v>12</v>
      </c>
      <c r="F1404">
        <v>0.59499999999999997</v>
      </c>
      <c r="G1404" t="s">
        <v>13</v>
      </c>
    </row>
    <row r="1405" spans="1:7" x14ac:dyDescent="0.25">
      <c r="A1405">
        <v>117</v>
      </c>
      <c r="B1405" t="s">
        <v>312</v>
      </c>
      <c r="C1405">
        <v>120</v>
      </c>
      <c r="D1405" t="s">
        <v>244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313</v>
      </c>
      <c r="C1406">
        <v>10</v>
      </c>
      <c r="D1406" t="s">
        <v>107</v>
      </c>
      <c r="E1406" t="s">
        <v>14</v>
      </c>
      <c r="F1406">
        <v>1.0920000000000001</v>
      </c>
      <c r="G1406" t="s">
        <v>15</v>
      </c>
    </row>
    <row r="1407" spans="1:7" x14ac:dyDescent="0.25">
      <c r="A1407">
        <v>118</v>
      </c>
      <c r="B1407" t="s">
        <v>313</v>
      </c>
      <c r="C1407">
        <v>20</v>
      </c>
      <c r="D1407" t="s">
        <v>240</v>
      </c>
      <c r="E1407" t="s">
        <v>14</v>
      </c>
      <c r="F1407">
        <v>1.0920000000000001</v>
      </c>
      <c r="G1407" t="s">
        <v>15</v>
      </c>
    </row>
    <row r="1408" spans="1:7" x14ac:dyDescent="0.25">
      <c r="A1408">
        <v>118</v>
      </c>
      <c r="B1408" t="s">
        <v>313</v>
      </c>
      <c r="C1408">
        <v>30</v>
      </c>
      <c r="D1408" t="s">
        <v>237</v>
      </c>
      <c r="E1408" t="s">
        <v>238</v>
      </c>
      <c r="F1408">
        <v>0.29499999999999998</v>
      </c>
      <c r="G1408" t="s">
        <v>13</v>
      </c>
    </row>
    <row r="1409" spans="1:7" x14ac:dyDescent="0.25">
      <c r="A1409">
        <v>118</v>
      </c>
      <c r="B1409" t="s">
        <v>313</v>
      </c>
      <c r="C1409">
        <v>40</v>
      </c>
      <c r="D1409" t="s">
        <v>101</v>
      </c>
      <c r="E1409" t="s">
        <v>14</v>
      </c>
      <c r="F1409">
        <v>11.989000000000001</v>
      </c>
      <c r="G1409" t="s">
        <v>13</v>
      </c>
    </row>
    <row r="1410" spans="1:7" x14ac:dyDescent="0.25">
      <c r="A1410">
        <v>118</v>
      </c>
      <c r="B1410" t="s">
        <v>313</v>
      </c>
      <c r="C1410">
        <v>50</v>
      </c>
      <c r="D1410" t="s">
        <v>16</v>
      </c>
      <c r="E1410" t="s">
        <v>14</v>
      </c>
      <c r="F1410">
        <v>73.730999999999995</v>
      </c>
      <c r="G1410" t="s">
        <v>13</v>
      </c>
    </row>
    <row r="1411" spans="1:7" x14ac:dyDescent="0.25">
      <c r="A1411">
        <v>118</v>
      </c>
      <c r="B1411" t="s">
        <v>313</v>
      </c>
      <c r="C1411">
        <v>60</v>
      </c>
      <c r="D1411" t="s">
        <v>230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313</v>
      </c>
      <c r="C1412">
        <v>70</v>
      </c>
      <c r="D1412" t="s">
        <v>229</v>
      </c>
      <c r="E1412" t="s">
        <v>12</v>
      </c>
      <c r="F1412">
        <v>9.6000000000000002E-2</v>
      </c>
      <c r="G1412" t="s">
        <v>13</v>
      </c>
    </row>
    <row r="1413" spans="1:7" x14ac:dyDescent="0.25">
      <c r="A1413">
        <v>118</v>
      </c>
      <c r="B1413" t="s">
        <v>313</v>
      </c>
      <c r="C1413">
        <v>80</v>
      </c>
      <c r="D1413" t="s">
        <v>228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313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313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313</v>
      </c>
      <c r="C1416">
        <v>110</v>
      </c>
      <c r="D1416" t="s">
        <v>103</v>
      </c>
      <c r="E1416" t="s">
        <v>12</v>
      </c>
      <c r="F1416">
        <v>0.67600000000000005</v>
      </c>
      <c r="G1416" t="s">
        <v>13</v>
      </c>
    </row>
    <row r="1417" spans="1:7" x14ac:dyDescent="0.25">
      <c r="A1417">
        <v>118</v>
      </c>
      <c r="B1417" t="s">
        <v>313</v>
      </c>
      <c r="C1417">
        <v>120</v>
      </c>
      <c r="D1417" t="s">
        <v>246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314</v>
      </c>
      <c r="C1418">
        <v>10</v>
      </c>
      <c r="D1418" t="s">
        <v>107</v>
      </c>
      <c r="E1418" t="s">
        <v>14</v>
      </c>
      <c r="F1418">
        <v>1.2450000000000001</v>
      </c>
      <c r="G1418" t="s">
        <v>15</v>
      </c>
    </row>
    <row r="1419" spans="1:7" x14ac:dyDescent="0.25">
      <c r="A1419">
        <v>119</v>
      </c>
      <c r="B1419" t="s">
        <v>314</v>
      </c>
      <c r="C1419">
        <v>20</v>
      </c>
      <c r="D1419" t="s">
        <v>240</v>
      </c>
      <c r="E1419" t="s">
        <v>14</v>
      </c>
      <c r="F1419">
        <v>1.2450000000000001</v>
      </c>
      <c r="G1419" t="s">
        <v>15</v>
      </c>
    </row>
    <row r="1420" spans="1:7" x14ac:dyDescent="0.25">
      <c r="A1420">
        <v>119</v>
      </c>
      <c r="B1420" t="s">
        <v>314</v>
      </c>
      <c r="C1420">
        <v>30</v>
      </c>
      <c r="D1420" t="s">
        <v>237</v>
      </c>
      <c r="E1420" t="s">
        <v>238</v>
      </c>
      <c r="F1420">
        <v>0.33800000000000002</v>
      </c>
      <c r="G1420" t="s">
        <v>13</v>
      </c>
    </row>
    <row r="1421" spans="1:7" x14ac:dyDescent="0.25">
      <c r="A1421">
        <v>119</v>
      </c>
      <c r="B1421" t="s">
        <v>314</v>
      </c>
      <c r="C1421">
        <v>40</v>
      </c>
      <c r="D1421" t="s">
        <v>101</v>
      </c>
      <c r="E1421" t="s">
        <v>14</v>
      </c>
      <c r="F1421">
        <v>12.598000000000001</v>
      </c>
      <c r="G1421" t="s">
        <v>13</v>
      </c>
    </row>
    <row r="1422" spans="1:7" x14ac:dyDescent="0.25">
      <c r="A1422">
        <v>119</v>
      </c>
      <c r="B1422" t="s">
        <v>314</v>
      </c>
      <c r="C1422">
        <v>50</v>
      </c>
      <c r="D1422" t="s">
        <v>16</v>
      </c>
      <c r="E1422" t="s">
        <v>14</v>
      </c>
      <c r="F1422">
        <v>77.48</v>
      </c>
      <c r="G1422" t="s">
        <v>13</v>
      </c>
    </row>
    <row r="1423" spans="1:7" x14ac:dyDescent="0.25">
      <c r="A1423">
        <v>119</v>
      </c>
      <c r="B1423" t="s">
        <v>314</v>
      </c>
      <c r="C1423">
        <v>60</v>
      </c>
      <c r="D1423" t="s">
        <v>230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314</v>
      </c>
      <c r="C1424">
        <v>70</v>
      </c>
      <c r="D1424" t="s">
        <v>229</v>
      </c>
      <c r="E1424" t="s">
        <v>12</v>
      </c>
      <c r="F1424">
        <v>0.107</v>
      </c>
      <c r="G1424" t="s">
        <v>13</v>
      </c>
    </row>
    <row r="1425" spans="1:7" x14ac:dyDescent="0.25">
      <c r="A1425">
        <v>119</v>
      </c>
      <c r="B1425" t="s">
        <v>314</v>
      </c>
      <c r="C1425">
        <v>80</v>
      </c>
      <c r="D1425" t="s">
        <v>228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314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314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314</v>
      </c>
      <c r="C1428">
        <v>110</v>
      </c>
      <c r="D1428" t="s">
        <v>103</v>
      </c>
      <c r="E1428" t="s">
        <v>12</v>
      </c>
      <c r="F1428">
        <v>0.75700000000000001</v>
      </c>
      <c r="G1428" t="s">
        <v>13</v>
      </c>
    </row>
    <row r="1429" spans="1:7" x14ac:dyDescent="0.25">
      <c r="A1429">
        <v>119</v>
      </c>
      <c r="B1429" t="s">
        <v>314</v>
      </c>
      <c r="C1429">
        <v>120</v>
      </c>
      <c r="D1429" t="s">
        <v>248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315</v>
      </c>
      <c r="C1430">
        <v>10</v>
      </c>
      <c r="D1430" t="s">
        <v>107</v>
      </c>
      <c r="E1430" t="s">
        <v>14</v>
      </c>
      <c r="F1430">
        <v>1.5489999999999999</v>
      </c>
      <c r="G1430" t="s">
        <v>15</v>
      </c>
    </row>
    <row r="1431" spans="1:7" x14ac:dyDescent="0.25">
      <c r="A1431">
        <v>120</v>
      </c>
      <c r="B1431" t="s">
        <v>315</v>
      </c>
      <c r="C1431">
        <v>20</v>
      </c>
      <c r="D1431" t="s">
        <v>240</v>
      </c>
      <c r="E1431" t="s">
        <v>14</v>
      </c>
      <c r="F1431">
        <v>1.5489999999999999</v>
      </c>
      <c r="G1431" t="s">
        <v>15</v>
      </c>
    </row>
    <row r="1432" spans="1:7" x14ac:dyDescent="0.25">
      <c r="A1432">
        <v>120</v>
      </c>
      <c r="B1432" t="s">
        <v>315</v>
      </c>
      <c r="C1432">
        <v>30</v>
      </c>
      <c r="D1432" t="s">
        <v>237</v>
      </c>
      <c r="E1432" t="s">
        <v>238</v>
      </c>
      <c r="F1432">
        <v>0.42399999999999999</v>
      </c>
      <c r="G1432" t="s">
        <v>13</v>
      </c>
    </row>
    <row r="1433" spans="1:7" x14ac:dyDescent="0.25">
      <c r="A1433">
        <v>120</v>
      </c>
      <c r="B1433" t="s">
        <v>315</v>
      </c>
      <c r="C1433">
        <v>40</v>
      </c>
      <c r="D1433" t="s">
        <v>101</v>
      </c>
      <c r="E1433" t="s">
        <v>14</v>
      </c>
      <c r="F1433">
        <v>13.818</v>
      </c>
      <c r="G1433" t="s">
        <v>13</v>
      </c>
    </row>
    <row r="1434" spans="1:7" x14ac:dyDescent="0.25">
      <c r="A1434">
        <v>120</v>
      </c>
      <c r="B1434" t="s">
        <v>315</v>
      </c>
      <c r="C1434">
        <v>50</v>
      </c>
      <c r="D1434" t="s">
        <v>16</v>
      </c>
      <c r="E1434" t="s">
        <v>14</v>
      </c>
      <c r="F1434">
        <v>84.977999999999994</v>
      </c>
      <c r="G1434" t="s">
        <v>13</v>
      </c>
    </row>
    <row r="1435" spans="1:7" x14ac:dyDescent="0.25">
      <c r="A1435">
        <v>120</v>
      </c>
      <c r="B1435" t="s">
        <v>315</v>
      </c>
      <c r="C1435">
        <v>60</v>
      </c>
      <c r="D1435" t="s">
        <v>230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315</v>
      </c>
      <c r="C1436">
        <v>70</v>
      </c>
      <c r="D1436" t="s">
        <v>229</v>
      </c>
      <c r="E1436" t="s">
        <v>12</v>
      </c>
      <c r="F1436">
        <v>0.128</v>
      </c>
      <c r="G1436" t="s">
        <v>13</v>
      </c>
    </row>
    <row r="1437" spans="1:7" x14ac:dyDescent="0.25">
      <c r="A1437">
        <v>120</v>
      </c>
      <c r="B1437" t="s">
        <v>315</v>
      </c>
      <c r="C1437">
        <v>80</v>
      </c>
      <c r="D1437" t="s">
        <v>228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315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315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315</v>
      </c>
      <c r="C1440">
        <v>110</v>
      </c>
      <c r="D1440" t="s">
        <v>103</v>
      </c>
      <c r="E1440" t="s">
        <v>12</v>
      </c>
      <c r="F1440">
        <v>0.91900000000000004</v>
      </c>
      <c r="G1440" t="s">
        <v>13</v>
      </c>
    </row>
    <row r="1441" spans="1:7" x14ac:dyDescent="0.25">
      <c r="A1441">
        <v>120</v>
      </c>
      <c r="B1441" t="s">
        <v>315</v>
      </c>
      <c r="C1441">
        <v>120</v>
      </c>
      <c r="D1441" t="s">
        <v>250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316</v>
      </c>
      <c r="C1442">
        <v>10</v>
      </c>
      <c r="D1442" t="s">
        <v>107</v>
      </c>
      <c r="E1442" t="s">
        <v>14</v>
      </c>
      <c r="F1442">
        <v>1.702</v>
      </c>
      <c r="G1442" t="s">
        <v>15</v>
      </c>
    </row>
    <row r="1443" spans="1:7" x14ac:dyDescent="0.25">
      <c r="A1443">
        <v>121</v>
      </c>
      <c r="B1443" t="s">
        <v>316</v>
      </c>
      <c r="C1443">
        <v>20</v>
      </c>
      <c r="D1443" t="s">
        <v>240</v>
      </c>
      <c r="E1443" t="s">
        <v>14</v>
      </c>
      <c r="F1443">
        <v>1.702</v>
      </c>
      <c r="G1443" t="s">
        <v>15</v>
      </c>
    </row>
    <row r="1444" spans="1:7" x14ac:dyDescent="0.25">
      <c r="A1444">
        <v>121</v>
      </c>
      <c r="B1444" t="s">
        <v>316</v>
      </c>
      <c r="C1444">
        <v>30</v>
      </c>
      <c r="D1444" t="s">
        <v>237</v>
      </c>
      <c r="E1444" t="s">
        <v>238</v>
      </c>
      <c r="F1444">
        <v>0.46700000000000003</v>
      </c>
      <c r="G1444" t="s">
        <v>13</v>
      </c>
    </row>
    <row r="1445" spans="1:7" x14ac:dyDescent="0.25">
      <c r="A1445">
        <v>121</v>
      </c>
      <c r="B1445" t="s">
        <v>316</v>
      </c>
      <c r="C1445">
        <v>40</v>
      </c>
      <c r="D1445" t="s">
        <v>101</v>
      </c>
      <c r="E1445" t="s">
        <v>14</v>
      </c>
      <c r="F1445">
        <v>14.427</v>
      </c>
      <c r="G1445" t="s">
        <v>13</v>
      </c>
    </row>
    <row r="1446" spans="1:7" x14ac:dyDescent="0.25">
      <c r="A1446">
        <v>121</v>
      </c>
      <c r="B1446" t="s">
        <v>316</v>
      </c>
      <c r="C1446">
        <v>50</v>
      </c>
      <c r="D1446" t="s">
        <v>16</v>
      </c>
      <c r="E1446" t="s">
        <v>14</v>
      </c>
      <c r="F1446">
        <v>88.727000000000004</v>
      </c>
      <c r="G1446" t="s">
        <v>13</v>
      </c>
    </row>
    <row r="1447" spans="1:7" x14ac:dyDescent="0.25">
      <c r="A1447">
        <v>121</v>
      </c>
      <c r="B1447" t="s">
        <v>316</v>
      </c>
      <c r="C1447">
        <v>60</v>
      </c>
      <c r="D1447" t="s">
        <v>230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316</v>
      </c>
      <c r="C1448">
        <v>70</v>
      </c>
      <c r="D1448" t="s">
        <v>229</v>
      </c>
      <c r="E1448" t="s">
        <v>12</v>
      </c>
      <c r="F1448">
        <v>0.13900000000000001</v>
      </c>
      <c r="G1448" t="s">
        <v>13</v>
      </c>
    </row>
    <row r="1449" spans="1:7" x14ac:dyDescent="0.25">
      <c r="A1449">
        <v>121</v>
      </c>
      <c r="B1449" t="s">
        <v>316</v>
      </c>
      <c r="C1449">
        <v>80</v>
      </c>
      <c r="D1449" t="s">
        <v>228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316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316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316</v>
      </c>
      <c r="C1452">
        <v>110</v>
      </c>
      <c r="D1452" t="s">
        <v>103</v>
      </c>
      <c r="E1452" t="s">
        <v>12</v>
      </c>
      <c r="F1452">
        <v>1</v>
      </c>
      <c r="G1452" t="s">
        <v>13</v>
      </c>
    </row>
    <row r="1453" spans="1:7" x14ac:dyDescent="0.25">
      <c r="A1453">
        <v>121</v>
      </c>
      <c r="B1453" t="s">
        <v>316</v>
      </c>
      <c r="C1453">
        <v>120</v>
      </c>
      <c r="D1453" t="s">
        <v>252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317</v>
      </c>
      <c r="C1454">
        <v>10</v>
      </c>
      <c r="D1454" t="s">
        <v>107</v>
      </c>
      <c r="E1454" t="s">
        <v>14</v>
      </c>
      <c r="F1454">
        <v>1.8540000000000001</v>
      </c>
      <c r="G1454" t="s">
        <v>15</v>
      </c>
    </row>
    <row r="1455" spans="1:7" x14ac:dyDescent="0.25">
      <c r="A1455">
        <v>122</v>
      </c>
      <c r="B1455" t="s">
        <v>317</v>
      </c>
      <c r="C1455">
        <v>20</v>
      </c>
      <c r="D1455" t="s">
        <v>240</v>
      </c>
      <c r="E1455" t="s">
        <v>14</v>
      </c>
      <c r="F1455">
        <v>1.8540000000000001</v>
      </c>
      <c r="G1455" t="s">
        <v>15</v>
      </c>
    </row>
    <row r="1456" spans="1:7" x14ac:dyDescent="0.25">
      <c r="A1456">
        <v>122</v>
      </c>
      <c r="B1456" t="s">
        <v>317</v>
      </c>
      <c r="C1456">
        <v>30</v>
      </c>
      <c r="D1456" t="s">
        <v>237</v>
      </c>
      <c r="E1456" t="s">
        <v>238</v>
      </c>
      <c r="F1456">
        <v>0.51</v>
      </c>
      <c r="G1456" t="s">
        <v>13</v>
      </c>
    </row>
    <row r="1457" spans="1:7" x14ac:dyDescent="0.25">
      <c r="A1457">
        <v>122</v>
      </c>
      <c r="B1457" t="s">
        <v>317</v>
      </c>
      <c r="C1457">
        <v>40</v>
      </c>
      <c r="D1457" t="s">
        <v>101</v>
      </c>
      <c r="E1457" t="s">
        <v>14</v>
      </c>
      <c r="F1457">
        <v>15.037000000000001</v>
      </c>
      <c r="G1457" t="s">
        <v>13</v>
      </c>
    </row>
    <row r="1458" spans="1:7" x14ac:dyDescent="0.25">
      <c r="A1458">
        <v>122</v>
      </c>
      <c r="B1458" t="s">
        <v>317</v>
      </c>
      <c r="C1458">
        <v>50</v>
      </c>
      <c r="D1458" t="s">
        <v>16</v>
      </c>
      <c r="E1458" t="s">
        <v>14</v>
      </c>
      <c r="F1458">
        <v>92.475999999999999</v>
      </c>
      <c r="G1458" t="s">
        <v>13</v>
      </c>
    </row>
    <row r="1459" spans="1:7" x14ac:dyDescent="0.25">
      <c r="A1459">
        <v>122</v>
      </c>
      <c r="B1459" t="s">
        <v>317</v>
      </c>
      <c r="C1459">
        <v>60</v>
      </c>
      <c r="D1459" t="s">
        <v>230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317</v>
      </c>
      <c r="C1460">
        <v>70</v>
      </c>
      <c r="D1460" t="s">
        <v>229</v>
      </c>
      <c r="E1460" t="s">
        <v>12</v>
      </c>
      <c r="F1460">
        <v>0.14899999999999999</v>
      </c>
      <c r="G1460" t="s">
        <v>13</v>
      </c>
    </row>
    <row r="1461" spans="1:7" x14ac:dyDescent="0.25">
      <c r="A1461">
        <v>122</v>
      </c>
      <c r="B1461" t="s">
        <v>317</v>
      </c>
      <c r="C1461">
        <v>80</v>
      </c>
      <c r="D1461" t="s">
        <v>228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317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317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317</v>
      </c>
      <c r="C1464">
        <v>110</v>
      </c>
      <c r="D1464" t="s">
        <v>103</v>
      </c>
      <c r="E1464" t="s">
        <v>12</v>
      </c>
      <c r="F1464">
        <v>1.081</v>
      </c>
      <c r="G1464" t="s">
        <v>13</v>
      </c>
    </row>
    <row r="1465" spans="1:7" x14ac:dyDescent="0.25">
      <c r="A1465">
        <v>122</v>
      </c>
      <c r="B1465" t="s">
        <v>317</v>
      </c>
      <c r="C1465">
        <v>120</v>
      </c>
      <c r="D1465" t="s">
        <v>254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318</v>
      </c>
      <c r="C1466">
        <v>10</v>
      </c>
      <c r="D1466" t="s">
        <v>107</v>
      </c>
      <c r="E1466" t="s">
        <v>14</v>
      </c>
      <c r="F1466">
        <v>0.78700000000000003</v>
      </c>
      <c r="G1466" t="s">
        <v>15</v>
      </c>
    </row>
    <row r="1467" spans="1:7" x14ac:dyDescent="0.25">
      <c r="A1467">
        <v>123</v>
      </c>
      <c r="B1467" t="s">
        <v>318</v>
      </c>
      <c r="C1467">
        <v>20</v>
      </c>
      <c r="D1467" t="s">
        <v>240</v>
      </c>
      <c r="E1467" t="s">
        <v>14</v>
      </c>
      <c r="F1467">
        <v>0.78700000000000003</v>
      </c>
      <c r="G1467" t="s">
        <v>15</v>
      </c>
    </row>
    <row r="1468" spans="1:7" x14ac:dyDescent="0.25">
      <c r="A1468">
        <v>123</v>
      </c>
      <c r="B1468" t="s">
        <v>318</v>
      </c>
      <c r="C1468">
        <v>30</v>
      </c>
      <c r="D1468" t="s">
        <v>237</v>
      </c>
      <c r="E1468" t="s">
        <v>238</v>
      </c>
      <c r="F1468">
        <v>0.217</v>
      </c>
      <c r="G1468" t="s">
        <v>13</v>
      </c>
    </row>
    <row r="1469" spans="1:7" x14ac:dyDescent="0.25">
      <c r="A1469">
        <v>123</v>
      </c>
      <c r="B1469" t="s">
        <v>318</v>
      </c>
      <c r="C1469">
        <v>40</v>
      </c>
      <c r="D1469" t="s">
        <v>101</v>
      </c>
      <c r="E1469" t="s">
        <v>14</v>
      </c>
      <c r="F1469">
        <v>11.074</v>
      </c>
      <c r="G1469" t="s">
        <v>13</v>
      </c>
    </row>
    <row r="1470" spans="1:7" x14ac:dyDescent="0.25">
      <c r="A1470">
        <v>123</v>
      </c>
      <c r="B1470" t="s">
        <v>318</v>
      </c>
      <c r="C1470">
        <v>50</v>
      </c>
      <c r="D1470" t="s">
        <v>16</v>
      </c>
      <c r="E1470" t="s">
        <v>14</v>
      </c>
      <c r="F1470">
        <v>68.108000000000004</v>
      </c>
      <c r="G1470" t="s">
        <v>13</v>
      </c>
    </row>
    <row r="1471" spans="1:7" x14ac:dyDescent="0.25">
      <c r="A1471">
        <v>123</v>
      </c>
      <c r="B1471" t="s">
        <v>318</v>
      </c>
      <c r="C1471">
        <v>60</v>
      </c>
      <c r="D1471" t="s">
        <v>230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318</v>
      </c>
      <c r="C1472">
        <v>70</v>
      </c>
      <c r="D1472" t="s">
        <v>229</v>
      </c>
      <c r="E1472" t="s">
        <v>12</v>
      </c>
      <c r="F1472">
        <v>7.4999999999999997E-2</v>
      </c>
      <c r="G1472" t="s">
        <v>13</v>
      </c>
    </row>
    <row r="1473" spans="1:7" x14ac:dyDescent="0.25">
      <c r="A1473">
        <v>123</v>
      </c>
      <c r="B1473" t="s">
        <v>318</v>
      </c>
      <c r="C1473">
        <v>80</v>
      </c>
      <c r="D1473" t="s">
        <v>228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318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318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318</v>
      </c>
      <c r="C1476">
        <v>110</v>
      </c>
      <c r="D1476" t="s">
        <v>103</v>
      </c>
      <c r="E1476" t="s">
        <v>12</v>
      </c>
      <c r="F1476">
        <v>0.51300000000000001</v>
      </c>
      <c r="G1476" t="s">
        <v>13</v>
      </c>
    </row>
    <row r="1477" spans="1:7" x14ac:dyDescent="0.25">
      <c r="A1477">
        <v>123</v>
      </c>
      <c r="B1477" t="s">
        <v>318</v>
      </c>
      <c r="C1477">
        <v>120</v>
      </c>
      <c r="D1477" t="s">
        <v>256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319</v>
      </c>
      <c r="C1478">
        <v>10</v>
      </c>
      <c r="D1478" t="s">
        <v>107</v>
      </c>
      <c r="E1478" t="s">
        <v>14</v>
      </c>
      <c r="F1478">
        <v>0.94</v>
      </c>
      <c r="G1478" t="s">
        <v>15</v>
      </c>
    </row>
    <row r="1479" spans="1:7" x14ac:dyDescent="0.25">
      <c r="A1479">
        <v>124</v>
      </c>
      <c r="B1479" t="s">
        <v>319</v>
      </c>
      <c r="C1479">
        <v>20</v>
      </c>
      <c r="D1479" t="s">
        <v>240</v>
      </c>
      <c r="E1479" t="s">
        <v>14</v>
      </c>
      <c r="F1479">
        <v>0.94</v>
      </c>
      <c r="G1479" t="s">
        <v>15</v>
      </c>
    </row>
    <row r="1480" spans="1:7" x14ac:dyDescent="0.25">
      <c r="A1480">
        <v>124</v>
      </c>
      <c r="B1480" t="s">
        <v>319</v>
      </c>
      <c r="C1480">
        <v>30</v>
      </c>
      <c r="D1480" t="s">
        <v>237</v>
      </c>
      <c r="E1480" t="s">
        <v>238</v>
      </c>
      <c r="F1480">
        <v>0.26200000000000001</v>
      </c>
      <c r="G1480" t="s">
        <v>13</v>
      </c>
    </row>
    <row r="1481" spans="1:7" x14ac:dyDescent="0.25">
      <c r="A1481">
        <v>124</v>
      </c>
      <c r="B1481" t="s">
        <v>319</v>
      </c>
      <c r="C1481">
        <v>40</v>
      </c>
      <c r="D1481" t="s">
        <v>101</v>
      </c>
      <c r="E1481" t="s">
        <v>14</v>
      </c>
      <c r="F1481">
        <v>11.683999999999999</v>
      </c>
      <c r="G1481" t="s">
        <v>13</v>
      </c>
    </row>
    <row r="1482" spans="1:7" x14ac:dyDescent="0.25">
      <c r="A1482">
        <v>124</v>
      </c>
      <c r="B1482" t="s">
        <v>319</v>
      </c>
      <c r="C1482">
        <v>50</v>
      </c>
      <c r="D1482" t="s">
        <v>16</v>
      </c>
      <c r="E1482" t="s">
        <v>14</v>
      </c>
      <c r="F1482">
        <v>71.856999999999999</v>
      </c>
      <c r="G1482" t="s">
        <v>13</v>
      </c>
    </row>
    <row r="1483" spans="1:7" x14ac:dyDescent="0.25">
      <c r="A1483">
        <v>124</v>
      </c>
      <c r="B1483" t="s">
        <v>319</v>
      </c>
      <c r="C1483">
        <v>60</v>
      </c>
      <c r="D1483" t="s">
        <v>230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319</v>
      </c>
      <c r="C1484">
        <v>70</v>
      </c>
      <c r="D1484" t="s">
        <v>229</v>
      </c>
      <c r="E1484" t="s">
        <v>12</v>
      </c>
      <c r="F1484">
        <v>8.5000000000000006E-2</v>
      </c>
      <c r="G1484" t="s">
        <v>13</v>
      </c>
    </row>
    <row r="1485" spans="1:7" x14ac:dyDescent="0.25">
      <c r="A1485">
        <v>124</v>
      </c>
      <c r="B1485" t="s">
        <v>319</v>
      </c>
      <c r="C1485">
        <v>80</v>
      </c>
      <c r="D1485" t="s">
        <v>228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319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319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319</v>
      </c>
      <c r="C1488">
        <v>110</v>
      </c>
      <c r="D1488" t="s">
        <v>103</v>
      </c>
      <c r="E1488" t="s">
        <v>12</v>
      </c>
      <c r="F1488">
        <v>0.59499999999999997</v>
      </c>
      <c r="G1488" t="s">
        <v>13</v>
      </c>
    </row>
    <row r="1489" spans="1:7" x14ac:dyDescent="0.25">
      <c r="A1489">
        <v>124</v>
      </c>
      <c r="B1489" t="s">
        <v>319</v>
      </c>
      <c r="C1489">
        <v>120</v>
      </c>
      <c r="D1489" t="s">
        <v>258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320</v>
      </c>
      <c r="C1490">
        <v>10</v>
      </c>
      <c r="D1490" t="s">
        <v>107</v>
      </c>
      <c r="E1490" t="s">
        <v>14</v>
      </c>
      <c r="F1490">
        <v>1.0920000000000001</v>
      </c>
      <c r="G1490" t="s">
        <v>15</v>
      </c>
    </row>
    <row r="1491" spans="1:7" x14ac:dyDescent="0.25">
      <c r="A1491">
        <v>125</v>
      </c>
      <c r="B1491" t="s">
        <v>320</v>
      </c>
      <c r="C1491">
        <v>20</v>
      </c>
      <c r="D1491" t="s">
        <v>240</v>
      </c>
      <c r="E1491" t="s">
        <v>14</v>
      </c>
      <c r="F1491">
        <v>1.0920000000000001</v>
      </c>
      <c r="G1491" t="s">
        <v>15</v>
      </c>
    </row>
    <row r="1492" spans="1:7" x14ac:dyDescent="0.25">
      <c r="A1492">
        <v>125</v>
      </c>
      <c r="B1492" t="s">
        <v>320</v>
      </c>
      <c r="C1492">
        <v>30</v>
      </c>
      <c r="D1492" t="s">
        <v>237</v>
      </c>
      <c r="E1492" t="s">
        <v>238</v>
      </c>
      <c r="F1492">
        <v>0.307</v>
      </c>
      <c r="G1492" t="s">
        <v>13</v>
      </c>
    </row>
    <row r="1493" spans="1:7" x14ac:dyDescent="0.25">
      <c r="A1493">
        <v>125</v>
      </c>
      <c r="B1493" t="s">
        <v>320</v>
      </c>
      <c r="C1493">
        <v>40</v>
      </c>
      <c r="D1493" t="s">
        <v>101</v>
      </c>
      <c r="E1493" t="s">
        <v>14</v>
      </c>
      <c r="F1493">
        <v>12.294</v>
      </c>
      <c r="G1493" t="s">
        <v>13</v>
      </c>
    </row>
    <row r="1494" spans="1:7" x14ac:dyDescent="0.25">
      <c r="A1494">
        <v>125</v>
      </c>
      <c r="B1494" t="s">
        <v>320</v>
      </c>
      <c r="C1494">
        <v>50</v>
      </c>
      <c r="D1494" t="s">
        <v>16</v>
      </c>
      <c r="E1494" t="s">
        <v>14</v>
      </c>
      <c r="F1494">
        <v>75.605999999999995</v>
      </c>
      <c r="G1494" t="s">
        <v>13</v>
      </c>
    </row>
    <row r="1495" spans="1:7" x14ac:dyDescent="0.25">
      <c r="A1495">
        <v>125</v>
      </c>
      <c r="B1495" t="s">
        <v>320</v>
      </c>
      <c r="C1495">
        <v>60</v>
      </c>
      <c r="D1495" t="s">
        <v>230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320</v>
      </c>
      <c r="C1496">
        <v>70</v>
      </c>
      <c r="D1496" t="s">
        <v>229</v>
      </c>
      <c r="E1496" t="s">
        <v>12</v>
      </c>
      <c r="F1496">
        <v>9.6000000000000002E-2</v>
      </c>
      <c r="G1496" t="s">
        <v>13</v>
      </c>
    </row>
    <row r="1497" spans="1:7" x14ac:dyDescent="0.25">
      <c r="A1497">
        <v>125</v>
      </c>
      <c r="B1497" t="s">
        <v>320</v>
      </c>
      <c r="C1497">
        <v>80</v>
      </c>
      <c r="D1497" t="s">
        <v>228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320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320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320</v>
      </c>
      <c r="C1500">
        <v>110</v>
      </c>
      <c r="D1500" t="s">
        <v>103</v>
      </c>
      <c r="E1500" t="s">
        <v>12</v>
      </c>
      <c r="F1500">
        <v>0.67600000000000005</v>
      </c>
      <c r="G1500" t="s">
        <v>13</v>
      </c>
    </row>
    <row r="1501" spans="1:7" x14ac:dyDescent="0.25">
      <c r="A1501">
        <v>125</v>
      </c>
      <c r="B1501" t="s">
        <v>320</v>
      </c>
      <c r="C1501">
        <v>120</v>
      </c>
      <c r="D1501" t="s">
        <v>260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321</v>
      </c>
      <c r="C1502">
        <v>10</v>
      </c>
      <c r="D1502" t="s">
        <v>107</v>
      </c>
      <c r="E1502" t="s">
        <v>14</v>
      </c>
      <c r="F1502">
        <v>1.2450000000000001</v>
      </c>
      <c r="G1502" t="s">
        <v>15</v>
      </c>
    </row>
    <row r="1503" spans="1:7" x14ac:dyDescent="0.25">
      <c r="A1503">
        <v>126</v>
      </c>
      <c r="B1503" t="s">
        <v>321</v>
      </c>
      <c r="C1503">
        <v>20</v>
      </c>
      <c r="D1503" t="s">
        <v>240</v>
      </c>
      <c r="E1503" t="s">
        <v>14</v>
      </c>
      <c r="F1503">
        <v>1.2450000000000001</v>
      </c>
      <c r="G1503" t="s">
        <v>15</v>
      </c>
    </row>
    <row r="1504" spans="1:7" x14ac:dyDescent="0.25">
      <c r="A1504">
        <v>126</v>
      </c>
      <c r="B1504" t="s">
        <v>321</v>
      </c>
      <c r="C1504">
        <v>30</v>
      </c>
      <c r="D1504" t="s">
        <v>237</v>
      </c>
      <c r="E1504" t="s">
        <v>238</v>
      </c>
      <c r="F1504">
        <v>0.35199999999999998</v>
      </c>
      <c r="G1504" t="s">
        <v>13</v>
      </c>
    </row>
    <row r="1505" spans="1:7" x14ac:dyDescent="0.25">
      <c r="A1505">
        <v>126</v>
      </c>
      <c r="B1505" t="s">
        <v>321</v>
      </c>
      <c r="C1505">
        <v>40</v>
      </c>
      <c r="D1505" t="s">
        <v>101</v>
      </c>
      <c r="E1505" t="s">
        <v>14</v>
      </c>
      <c r="F1505">
        <v>12.903</v>
      </c>
      <c r="G1505" t="s">
        <v>13</v>
      </c>
    </row>
    <row r="1506" spans="1:7" x14ac:dyDescent="0.25">
      <c r="A1506">
        <v>126</v>
      </c>
      <c r="B1506" t="s">
        <v>321</v>
      </c>
      <c r="C1506">
        <v>50</v>
      </c>
      <c r="D1506" t="s">
        <v>16</v>
      </c>
      <c r="E1506" t="s">
        <v>14</v>
      </c>
      <c r="F1506">
        <v>79.355000000000004</v>
      </c>
      <c r="G1506" t="s">
        <v>13</v>
      </c>
    </row>
    <row r="1507" spans="1:7" x14ac:dyDescent="0.25">
      <c r="A1507">
        <v>126</v>
      </c>
      <c r="B1507" t="s">
        <v>321</v>
      </c>
      <c r="C1507">
        <v>60</v>
      </c>
      <c r="D1507" t="s">
        <v>230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321</v>
      </c>
      <c r="C1508">
        <v>70</v>
      </c>
      <c r="D1508" t="s">
        <v>229</v>
      </c>
      <c r="E1508" t="s">
        <v>12</v>
      </c>
      <c r="F1508">
        <v>0.107</v>
      </c>
      <c r="G1508" t="s">
        <v>13</v>
      </c>
    </row>
    <row r="1509" spans="1:7" x14ac:dyDescent="0.25">
      <c r="A1509">
        <v>126</v>
      </c>
      <c r="B1509" t="s">
        <v>321</v>
      </c>
      <c r="C1509">
        <v>80</v>
      </c>
      <c r="D1509" t="s">
        <v>228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321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321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321</v>
      </c>
      <c r="C1512">
        <v>110</v>
      </c>
      <c r="D1512" t="s">
        <v>103</v>
      </c>
      <c r="E1512" t="s">
        <v>12</v>
      </c>
      <c r="F1512">
        <v>0.75700000000000001</v>
      </c>
      <c r="G1512" t="s">
        <v>13</v>
      </c>
    </row>
    <row r="1513" spans="1:7" x14ac:dyDescent="0.25">
      <c r="A1513">
        <v>126</v>
      </c>
      <c r="B1513" t="s">
        <v>321</v>
      </c>
      <c r="C1513">
        <v>120</v>
      </c>
      <c r="D1513" t="s">
        <v>262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322</v>
      </c>
      <c r="C1514">
        <v>10</v>
      </c>
      <c r="D1514" t="s">
        <v>107</v>
      </c>
      <c r="E1514" t="s">
        <v>14</v>
      </c>
      <c r="F1514">
        <v>1.5489999999999999</v>
      </c>
      <c r="G1514" t="s">
        <v>15</v>
      </c>
    </row>
    <row r="1515" spans="1:7" x14ac:dyDescent="0.25">
      <c r="A1515">
        <v>127</v>
      </c>
      <c r="B1515" t="s">
        <v>322</v>
      </c>
      <c r="C1515">
        <v>20</v>
      </c>
      <c r="D1515" t="s">
        <v>240</v>
      </c>
      <c r="E1515" t="s">
        <v>14</v>
      </c>
      <c r="F1515">
        <v>1.5489999999999999</v>
      </c>
      <c r="G1515" t="s">
        <v>15</v>
      </c>
    </row>
    <row r="1516" spans="1:7" x14ac:dyDescent="0.25">
      <c r="A1516">
        <v>127</v>
      </c>
      <c r="B1516" t="s">
        <v>322</v>
      </c>
      <c r="C1516">
        <v>30</v>
      </c>
      <c r="D1516" t="s">
        <v>237</v>
      </c>
      <c r="E1516" t="s">
        <v>238</v>
      </c>
      <c r="F1516">
        <v>0.442</v>
      </c>
      <c r="G1516" t="s">
        <v>13</v>
      </c>
    </row>
    <row r="1517" spans="1:7" x14ac:dyDescent="0.25">
      <c r="A1517">
        <v>127</v>
      </c>
      <c r="B1517" t="s">
        <v>322</v>
      </c>
      <c r="C1517">
        <v>40</v>
      </c>
      <c r="D1517" t="s">
        <v>101</v>
      </c>
      <c r="E1517" t="s">
        <v>14</v>
      </c>
      <c r="F1517">
        <v>14.122</v>
      </c>
      <c r="G1517" t="s">
        <v>13</v>
      </c>
    </row>
    <row r="1518" spans="1:7" x14ac:dyDescent="0.25">
      <c r="A1518">
        <v>127</v>
      </c>
      <c r="B1518" t="s">
        <v>322</v>
      </c>
      <c r="C1518">
        <v>50</v>
      </c>
      <c r="D1518" t="s">
        <v>16</v>
      </c>
      <c r="E1518" t="s">
        <v>14</v>
      </c>
      <c r="F1518">
        <v>86.852999999999994</v>
      </c>
      <c r="G1518" t="s">
        <v>13</v>
      </c>
    </row>
    <row r="1519" spans="1:7" x14ac:dyDescent="0.25">
      <c r="A1519">
        <v>127</v>
      </c>
      <c r="B1519" t="s">
        <v>322</v>
      </c>
      <c r="C1519">
        <v>60</v>
      </c>
      <c r="D1519" t="s">
        <v>230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322</v>
      </c>
      <c r="C1520">
        <v>70</v>
      </c>
      <c r="D1520" t="s">
        <v>229</v>
      </c>
      <c r="E1520" t="s">
        <v>12</v>
      </c>
      <c r="F1520">
        <v>0.128</v>
      </c>
      <c r="G1520" t="s">
        <v>13</v>
      </c>
    </row>
    <row r="1521" spans="1:7" x14ac:dyDescent="0.25">
      <c r="A1521">
        <v>127</v>
      </c>
      <c r="B1521" t="s">
        <v>322</v>
      </c>
      <c r="C1521">
        <v>80</v>
      </c>
      <c r="D1521" t="s">
        <v>228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322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322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322</v>
      </c>
      <c r="C1524">
        <v>110</v>
      </c>
      <c r="D1524" t="s">
        <v>103</v>
      </c>
      <c r="E1524" t="s">
        <v>12</v>
      </c>
      <c r="F1524">
        <v>0.91900000000000004</v>
      </c>
      <c r="G1524" t="s">
        <v>13</v>
      </c>
    </row>
    <row r="1525" spans="1:7" x14ac:dyDescent="0.25">
      <c r="A1525">
        <v>127</v>
      </c>
      <c r="B1525" t="s">
        <v>322</v>
      </c>
      <c r="C1525">
        <v>120</v>
      </c>
      <c r="D1525" t="s">
        <v>264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323</v>
      </c>
      <c r="C1526">
        <v>10</v>
      </c>
      <c r="D1526" t="s">
        <v>107</v>
      </c>
      <c r="E1526" t="s">
        <v>14</v>
      </c>
      <c r="F1526">
        <v>1.702</v>
      </c>
      <c r="G1526" t="s">
        <v>15</v>
      </c>
    </row>
    <row r="1527" spans="1:7" x14ac:dyDescent="0.25">
      <c r="A1527">
        <v>128</v>
      </c>
      <c r="B1527" t="s">
        <v>323</v>
      </c>
      <c r="C1527">
        <v>20</v>
      </c>
      <c r="D1527" t="s">
        <v>240</v>
      </c>
      <c r="E1527" t="s">
        <v>14</v>
      </c>
      <c r="F1527">
        <v>1.702</v>
      </c>
      <c r="G1527" t="s">
        <v>15</v>
      </c>
    </row>
    <row r="1528" spans="1:7" x14ac:dyDescent="0.25">
      <c r="A1528">
        <v>128</v>
      </c>
      <c r="B1528" t="s">
        <v>323</v>
      </c>
      <c r="C1528">
        <v>30</v>
      </c>
      <c r="D1528" t="s">
        <v>237</v>
      </c>
      <c r="E1528" t="s">
        <v>238</v>
      </c>
      <c r="F1528">
        <v>0.48699999999999999</v>
      </c>
      <c r="G1528" t="s">
        <v>13</v>
      </c>
    </row>
    <row r="1529" spans="1:7" x14ac:dyDescent="0.25">
      <c r="A1529">
        <v>128</v>
      </c>
      <c r="B1529" t="s">
        <v>323</v>
      </c>
      <c r="C1529">
        <v>40</v>
      </c>
      <c r="D1529" t="s">
        <v>101</v>
      </c>
      <c r="E1529" t="s">
        <v>14</v>
      </c>
      <c r="F1529">
        <v>14.731999999999999</v>
      </c>
      <c r="G1529" t="s">
        <v>13</v>
      </c>
    </row>
    <row r="1530" spans="1:7" x14ac:dyDescent="0.25">
      <c r="A1530">
        <v>128</v>
      </c>
      <c r="B1530" t="s">
        <v>323</v>
      </c>
      <c r="C1530">
        <v>50</v>
      </c>
      <c r="D1530" t="s">
        <v>16</v>
      </c>
      <c r="E1530" t="s">
        <v>14</v>
      </c>
      <c r="F1530">
        <v>90.602000000000004</v>
      </c>
      <c r="G1530" t="s">
        <v>13</v>
      </c>
    </row>
    <row r="1531" spans="1:7" x14ac:dyDescent="0.25">
      <c r="A1531">
        <v>128</v>
      </c>
      <c r="B1531" t="s">
        <v>323</v>
      </c>
      <c r="C1531">
        <v>60</v>
      </c>
      <c r="D1531" t="s">
        <v>230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323</v>
      </c>
      <c r="C1532">
        <v>70</v>
      </c>
      <c r="D1532" t="s">
        <v>229</v>
      </c>
      <c r="E1532" t="s">
        <v>12</v>
      </c>
      <c r="F1532">
        <v>0.13900000000000001</v>
      </c>
      <c r="G1532" t="s">
        <v>13</v>
      </c>
    </row>
    <row r="1533" spans="1:7" x14ac:dyDescent="0.25">
      <c r="A1533">
        <v>128</v>
      </c>
      <c r="B1533" t="s">
        <v>323</v>
      </c>
      <c r="C1533">
        <v>80</v>
      </c>
      <c r="D1533" t="s">
        <v>228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323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323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323</v>
      </c>
      <c r="C1536">
        <v>110</v>
      </c>
      <c r="D1536" t="s">
        <v>103</v>
      </c>
      <c r="E1536" t="s">
        <v>12</v>
      </c>
      <c r="F1536">
        <v>1</v>
      </c>
      <c r="G1536" t="s">
        <v>13</v>
      </c>
    </row>
    <row r="1537" spans="1:7" x14ac:dyDescent="0.25">
      <c r="A1537">
        <v>128</v>
      </c>
      <c r="B1537" t="s">
        <v>323</v>
      </c>
      <c r="C1537">
        <v>120</v>
      </c>
      <c r="D1537" t="s">
        <v>266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324</v>
      </c>
      <c r="C1538">
        <v>10</v>
      </c>
      <c r="D1538" t="s">
        <v>107</v>
      </c>
      <c r="E1538" t="s">
        <v>14</v>
      </c>
      <c r="F1538">
        <v>1.8540000000000001</v>
      </c>
      <c r="G1538" t="s">
        <v>15</v>
      </c>
    </row>
    <row r="1539" spans="1:7" x14ac:dyDescent="0.25">
      <c r="A1539">
        <v>129</v>
      </c>
      <c r="B1539" t="s">
        <v>324</v>
      </c>
      <c r="C1539">
        <v>20</v>
      </c>
      <c r="D1539" t="s">
        <v>240</v>
      </c>
      <c r="E1539" t="s">
        <v>14</v>
      </c>
      <c r="F1539">
        <v>1.8540000000000001</v>
      </c>
      <c r="G1539" t="s">
        <v>15</v>
      </c>
    </row>
    <row r="1540" spans="1:7" x14ac:dyDescent="0.25">
      <c r="A1540">
        <v>129</v>
      </c>
      <c r="B1540" t="s">
        <v>324</v>
      </c>
      <c r="C1540">
        <v>30</v>
      </c>
      <c r="D1540" t="s">
        <v>237</v>
      </c>
      <c r="E1540" t="s">
        <v>238</v>
      </c>
      <c r="F1540">
        <v>0.53200000000000003</v>
      </c>
      <c r="G1540" t="s">
        <v>13</v>
      </c>
    </row>
    <row r="1541" spans="1:7" x14ac:dyDescent="0.25">
      <c r="A1541">
        <v>129</v>
      </c>
      <c r="B1541" t="s">
        <v>324</v>
      </c>
      <c r="C1541">
        <v>40</v>
      </c>
      <c r="D1541" t="s">
        <v>101</v>
      </c>
      <c r="E1541" t="s">
        <v>14</v>
      </c>
      <c r="F1541">
        <v>15.342000000000001</v>
      </c>
      <c r="G1541" t="s">
        <v>13</v>
      </c>
    </row>
    <row r="1542" spans="1:7" x14ac:dyDescent="0.25">
      <c r="A1542">
        <v>129</v>
      </c>
      <c r="B1542" t="s">
        <v>324</v>
      </c>
      <c r="C1542">
        <v>50</v>
      </c>
      <c r="D1542" t="s">
        <v>16</v>
      </c>
      <c r="E1542" t="s">
        <v>14</v>
      </c>
      <c r="F1542">
        <v>94.350999999999999</v>
      </c>
      <c r="G1542" t="s">
        <v>13</v>
      </c>
    </row>
    <row r="1543" spans="1:7" x14ac:dyDescent="0.25">
      <c r="A1543">
        <v>129</v>
      </c>
      <c r="B1543" t="s">
        <v>324</v>
      </c>
      <c r="C1543">
        <v>60</v>
      </c>
      <c r="D1543" t="s">
        <v>230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324</v>
      </c>
      <c r="C1544">
        <v>70</v>
      </c>
      <c r="D1544" t="s">
        <v>229</v>
      </c>
      <c r="E1544" t="s">
        <v>12</v>
      </c>
      <c r="F1544">
        <v>0.14899999999999999</v>
      </c>
      <c r="G1544" t="s">
        <v>13</v>
      </c>
    </row>
    <row r="1545" spans="1:7" x14ac:dyDescent="0.25">
      <c r="A1545">
        <v>129</v>
      </c>
      <c r="B1545" t="s">
        <v>324</v>
      </c>
      <c r="C1545">
        <v>80</v>
      </c>
      <c r="D1545" t="s">
        <v>228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324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324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324</v>
      </c>
      <c r="C1548">
        <v>110</v>
      </c>
      <c r="D1548" t="s">
        <v>103</v>
      </c>
      <c r="E1548" t="s">
        <v>12</v>
      </c>
      <c r="F1548">
        <v>1.081</v>
      </c>
      <c r="G1548" t="s">
        <v>13</v>
      </c>
    </row>
    <row r="1549" spans="1:7" x14ac:dyDescent="0.25">
      <c r="A1549">
        <v>129</v>
      </c>
      <c r="B1549" t="s">
        <v>324</v>
      </c>
      <c r="C1549">
        <v>120</v>
      </c>
      <c r="D1549" t="s">
        <v>268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325</v>
      </c>
      <c r="C1550">
        <v>10</v>
      </c>
      <c r="D1550" t="s">
        <v>107</v>
      </c>
      <c r="E1550" t="s">
        <v>14</v>
      </c>
      <c r="F1550">
        <v>0.78700000000000003</v>
      </c>
      <c r="G1550" t="s">
        <v>15</v>
      </c>
    </row>
    <row r="1551" spans="1:7" x14ac:dyDescent="0.25">
      <c r="A1551">
        <v>130</v>
      </c>
      <c r="B1551" t="s">
        <v>325</v>
      </c>
      <c r="C1551">
        <v>20</v>
      </c>
      <c r="D1551" t="s">
        <v>240</v>
      </c>
      <c r="E1551" t="s">
        <v>14</v>
      </c>
      <c r="F1551">
        <v>0.78700000000000003</v>
      </c>
      <c r="G1551" t="s">
        <v>15</v>
      </c>
    </row>
    <row r="1552" spans="1:7" x14ac:dyDescent="0.25">
      <c r="A1552">
        <v>130</v>
      </c>
      <c r="B1552" t="s">
        <v>325</v>
      </c>
      <c r="C1552">
        <v>30</v>
      </c>
      <c r="D1552" t="s">
        <v>237</v>
      </c>
      <c r="E1552" t="s">
        <v>238</v>
      </c>
      <c r="F1552">
        <v>0.22600000000000001</v>
      </c>
      <c r="G1552" t="s">
        <v>13</v>
      </c>
    </row>
    <row r="1553" spans="1:7" x14ac:dyDescent="0.25">
      <c r="A1553">
        <v>130</v>
      </c>
      <c r="B1553" t="s">
        <v>325</v>
      </c>
      <c r="C1553">
        <v>40</v>
      </c>
      <c r="D1553" t="s">
        <v>101</v>
      </c>
      <c r="E1553" t="s">
        <v>14</v>
      </c>
      <c r="F1553">
        <v>11.379</v>
      </c>
      <c r="G1553" t="s">
        <v>13</v>
      </c>
    </row>
    <row r="1554" spans="1:7" x14ac:dyDescent="0.25">
      <c r="A1554">
        <v>130</v>
      </c>
      <c r="B1554" t="s">
        <v>325</v>
      </c>
      <c r="C1554">
        <v>50</v>
      </c>
      <c r="D1554" t="s">
        <v>16</v>
      </c>
      <c r="E1554" t="s">
        <v>14</v>
      </c>
      <c r="F1554">
        <v>69.981999999999999</v>
      </c>
      <c r="G1554" t="s">
        <v>13</v>
      </c>
    </row>
    <row r="1555" spans="1:7" x14ac:dyDescent="0.25">
      <c r="A1555">
        <v>130</v>
      </c>
      <c r="B1555" t="s">
        <v>325</v>
      </c>
      <c r="C1555">
        <v>60</v>
      </c>
      <c r="D1555" t="s">
        <v>230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325</v>
      </c>
      <c r="C1556">
        <v>70</v>
      </c>
      <c r="D1556" t="s">
        <v>229</v>
      </c>
      <c r="E1556" t="s">
        <v>12</v>
      </c>
      <c r="F1556">
        <v>7.4999999999999997E-2</v>
      </c>
      <c r="G1556" t="s">
        <v>13</v>
      </c>
    </row>
    <row r="1557" spans="1:7" x14ac:dyDescent="0.25">
      <c r="A1557">
        <v>130</v>
      </c>
      <c r="B1557" t="s">
        <v>325</v>
      </c>
      <c r="C1557">
        <v>80</v>
      </c>
      <c r="D1557" t="s">
        <v>228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325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325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325</v>
      </c>
      <c r="C1560">
        <v>110</v>
      </c>
      <c r="D1560" t="s">
        <v>103</v>
      </c>
      <c r="E1560" t="s">
        <v>12</v>
      </c>
      <c r="F1560">
        <v>0.51300000000000001</v>
      </c>
      <c r="G1560" t="s">
        <v>13</v>
      </c>
    </row>
    <row r="1561" spans="1:7" x14ac:dyDescent="0.25">
      <c r="A1561">
        <v>130</v>
      </c>
      <c r="B1561" t="s">
        <v>325</v>
      </c>
      <c r="C1561">
        <v>120</v>
      </c>
      <c r="D1561" t="s">
        <v>270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326</v>
      </c>
      <c r="C1562">
        <v>10</v>
      </c>
      <c r="D1562" t="s">
        <v>107</v>
      </c>
      <c r="E1562" t="s">
        <v>14</v>
      </c>
      <c r="F1562">
        <v>0.94</v>
      </c>
      <c r="G1562" t="s">
        <v>15</v>
      </c>
    </row>
    <row r="1563" spans="1:7" x14ac:dyDescent="0.25">
      <c r="A1563">
        <v>131</v>
      </c>
      <c r="B1563" t="s">
        <v>326</v>
      </c>
      <c r="C1563">
        <v>20</v>
      </c>
      <c r="D1563" t="s">
        <v>240</v>
      </c>
      <c r="E1563" t="s">
        <v>14</v>
      </c>
      <c r="F1563">
        <v>0.94</v>
      </c>
      <c r="G1563" t="s">
        <v>15</v>
      </c>
    </row>
    <row r="1564" spans="1:7" x14ac:dyDescent="0.25">
      <c r="A1564">
        <v>131</v>
      </c>
      <c r="B1564" t="s">
        <v>326</v>
      </c>
      <c r="C1564">
        <v>30</v>
      </c>
      <c r="D1564" t="s">
        <v>237</v>
      </c>
      <c r="E1564" t="s">
        <v>238</v>
      </c>
      <c r="F1564">
        <v>0.27300000000000002</v>
      </c>
      <c r="G1564" t="s">
        <v>13</v>
      </c>
    </row>
    <row r="1565" spans="1:7" x14ac:dyDescent="0.25">
      <c r="A1565">
        <v>131</v>
      </c>
      <c r="B1565" t="s">
        <v>326</v>
      </c>
      <c r="C1565">
        <v>40</v>
      </c>
      <c r="D1565" t="s">
        <v>101</v>
      </c>
      <c r="E1565" t="s">
        <v>14</v>
      </c>
      <c r="F1565">
        <v>11.989000000000001</v>
      </c>
      <c r="G1565" t="s">
        <v>13</v>
      </c>
    </row>
    <row r="1566" spans="1:7" x14ac:dyDescent="0.25">
      <c r="A1566">
        <v>131</v>
      </c>
      <c r="B1566" t="s">
        <v>326</v>
      </c>
      <c r="C1566">
        <v>50</v>
      </c>
      <c r="D1566" t="s">
        <v>16</v>
      </c>
      <c r="E1566" t="s">
        <v>14</v>
      </c>
      <c r="F1566">
        <v>73.730999999999995</v>
      </c>
      <c r="G1566" t="s">
        <v>13</v>
      </c>
    </row>
    <row r="1567" spans="1:7" x14ac:dyDescent="0.25">
      <c r="A1567">
        <v>131</v>
      </c>
      <c r="B1567" t="s">
        <v>326</v>
      </c>
      <c r="C1567">
        <v>60</v>
      </c>
      <c r="D1567" t="s">
        <v>230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326</v>
      </c>
      <c r="C1568">
        <v>70</v>
      </c>
      <c r="D1568" t="s">
        <v>229</v>
      </c>
      <c r="E1568" t="s">
        <v>12</v>
      </c>
      <c r="F1568">
        <v>8.5000000000000006E-2</v>
      </c>
      <c r="G1568" t="s">
        <v>13</v>
      </c>
    </row>
    <row r="1569" spans="1:7" x14ac:dyDescent="0.25">
      <c r="A1569">
        <v>131</v>
      </c>
      <c r="B1569" t="s">
        <v>326</v>
      </c>
      <c r="C1569">
        <v>80</v>
      </c>
      <c r="D1569" t="s">
        <v>228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326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326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326</v>
      </c>
      <c r="C1572">
        <v>110</v>
      </c>
      <c r="D1572" t="s">
        <v>103</v>
      </c>
      <c r="E1572" t="s">
        <v>12</v>
      </c>
      <c r="F1572">
        <v>0.59499999999999997</v>
      </c>
      <c r="G1572" t="s">
        <v>13</v>
      </c>
    </row>
    <row r="1573" spans="1:7" x14ac:dyDescent="0.25">
      <c r="A1573">
        <v>131</v>
      </c>
      <c r="B1573" t="s">
        <v>326</v>
      </c>
      <c r="C1573">
        <v>120</v>
      </c>
      <c r="D1573" t="s">
        <v>272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327</v>
      </c>
      <c r="C1574">
        <v>10</v>
      </c>
      <c r="D1574" t="s">
        <v>107</v>
      </c>
      <c r="E1574" t="s">
        <v>14</v>
      </c>
      <c r="F1574">
        <v>1.0920000000000001</v>
      </c>
      <c r="G1574" t="s">
        <v>15</v>
      </c>
    </row>
    <row r="1575" spans="1:7" x14ac:dyDescent="0.25">
      <c r="A1575">
        <v>132</v>
      </c>
      <c r="B1575" t="s">
        <v>327</v>
      </c>
      <c r="C1575">
        <v>20</v>
      </c>
      <c r="D1575" t="s">
        <v>240</v>
      </c>
      <c r="E1575" t="s">
        <v>14</v>
      </c>
      <c r="F1575">
        <v>1.0920000000000001</v>
      </c>
      <c r="G1575" t="s">
        <v>15</v>
      </c>
    </row>
    <row r="1576" spans="1:7" x14ac:dyDescent="0.25">
      <c r="A1576">
        <v>132</v>
      </c>
      <c r="B1576" t="s">
        <v>327</v>
      </c>
      <c r="C1576">
        <v>30</v>
      </c>
      <c r="D1576" t="s">
        <v>237</v>
      </c>
      <c r="E1576" t="s">
        <v>238</v>
      </c>
      <c r="F1576">
        <v>0.32</v>
      </c>
      <c r="G1576" t="s">
        <v>13</v>
      </c>
    </row>
    <row r="1577" spans="1:7" x14ac:dyDescent="0.25">
      <c r="A1577">
        <v>132</v>
      </c>
      <c r="B1577" t="s">
        <v>327</v>
      </c>
      <c r="C1577">
        <v>40</v>
      </c>
      <c r="D1577" t="s">
        <v>101</v>
      </c>
      <c r="E1577" t="s">
        <v>14</v>
      </c>
      <c r="F1577">
        <v>12.598000000000001</v>
      </c>
      <c r="G1577" t="s">
        <v>13</v>
      </c>
    </row>
    <row r="1578" spans="1:7" x14ac:dyDescent="0.25">
      <c r="A1578">
        <v>132</v>
      </c>
      <c r="B1578" t="s">
        <v>327</v>
      </c>
      <c r="C1578">
        <v>50</v>
      </c>
      <c r="D1578" t="s">
        <v>16</v>
      </c>
      <c r="E1578" t="s">
        <v>14</v>
      </c>
      <c r="F1578">
        <v>77.48</v>
      </c>
      <c r="G1578" t="s">
        <v>13</v>
      </c>
    </row>
    <row r="1579" spans="1:7" x14ac:dyDescent="0.25">
      <c r="A1579">
        <v>132</v>
      </c>
      <c r="B1579" t="s">
        <v>327</v>
      </c>
      <c r="C1579">
        <v>60</v>
      </c>
      <c r="D1579" t="s">
        <v>230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327</v>
      </c>
      <c r="C1580">
        <v>70</v>
      </c>
      <c r="D1580" t="s">
        <v>229</v>
      </c>
      <c r="E1580" t="s">
        <v>12</v>
      </c>
      <c r="F1580">
        <v>9.6000000000000002E-2</v>
      </c>
      <c r="G1580" t="s">
        <v>13</v>
      </c>
    </row>
    <row r="1581" spans="1:7" x14ac:dyDescent="0.25">
      <c r="A1581">
        <v>132</v>
      </c>
      <c r="B1581" t="s">
        <v>327</v>
      </c>
      <c r="C1581">
        <v>80</v>
      </c>
      <c r="D1581" t="s">
        <v>228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327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327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327</v>
      </c>
      <c r="C1584">
        <v>110</v>
      </c>
      <c r="D1584" t="s">
        <v>103</v>
      </c>
      <c r="E1584" t="s">
        <v>12</v>
      </c>
      <c r="F1584">
        <v>0.67600000000000005</v>
      </c>
      <c r="G1584" t="s">
        <v>13</v>
      </c>
    </row>
    <row r="1585" spans="1:7" x14ac:dyDescent="0.25">
      <c r="A1585">
        <v>132</v>
      </c>
      <c r="B1585" t="s">
        <v>327</v>
      </c>
      <c r="C1585">
        <v>120</v>
      </c>
      <c r="D1585" t="s">
        <v>274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328</v>
      </c>
      <c r="C1586">
        <v>10</v>
      </c>
      <c r="D1586" t="s">
        <v>107</v>
      </c>
      <c r="E1586" t="s">
        <v>14</v>
      </c>
      <c r="F1586">
        <v>1.2450000000000001</v>
      </c>
      <c r="G1586" t="s">
        <v>15</v>
      </c>
    </row>
    <row r="1587" spans="1:7" x14ac:dyDescent="0.25">
      <c r="A1587">
        <v>133</v>
      </c>
      <c r="B1587" t="s">
        <v>328</v>
      </c>
      <c r="C1587">
        <v>20</v>
      </c>
      <c r="D1587" t="s">
        <v>240</v>
      </c>
      <c r="E1587" t="s">
        <v>14</v>
      </c>
      <c r="F1587">
        <v>1.2450000000000001</v>
      </c>
      <c r="G1587" t="s">
        <v>15</v>
      </c>
    </row>
    <row r="1588" spans="1:7" x14ac:dyDescent="0.25">
      <c r="A1588">
        <v>133</v>
      </c>
      <c r="B1588" t="s">
        <v>328</v>
      </c>
      <c r="C1588">
        <v>30</v>
      </c>
      <c r="D1588" t="s">
        <v>237</v>
      </c>
      <c r="E1588" t="s">
        <v>238</v>
      </c>
      <c r="F1588">
        <v>0.36599999999999999</v>
      </c>
      <c r="G1588" t="s">
        <v>13</v>
      </c>
    </row>
    <row r="1589" spans="1:7" x14ac:dyDescent="0.25">
      <c r="A1589">
        <v>133</v>
      </c>
      <c r="B1589" t="s">
        <v>328</v>
      </c>
      <c r="C1589">
        <v>40</v>
      </c>
      <c r="D1589" t="s">
        <v>101</v>
      </c>
      <c r="E1589" t="s">
        <v>14</v>
      </c>
      <c r="F1589">
        <v>13.208</v>
      </c>
      <c r="G1589" t="s">
        <v>13</v>
      </c>
    </row>
    <row r="1590" spans="1:7" x14ac:dyDescent="0.25">
      <c r="A1590">
        <v>133</v>
      </c>
      <c r="B1590" t="s">
        <v>328</v>
      </c>
      <c r="C1590">
        <v>50</v>
      </c>
      <c r="D1590" t="s">
        <v>16</v>
      </c>
      <c r="E1590" t="s">
        <v>14</v>
      </c>
      <c r="F1590">
        <v>81.228999999999999</v>
      </c>
      <c r="G1590" t="s">
        <v>13</v>
      </c>
    </row>
    <row r="1591" spans="1:7" x14ac:dyDescent="0.25">
      <c r="A1591">
        <v>133</v>
      </c>
      <c r="B1591" t="s">
        <v>328</v>
      </c>
      <c r="C1591">
        <v>60</v>
      </c>
      <c r="D1591" t="s">
        <v>230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328</v>
      </c>
      <c r="C1592">
        <v>70</v>
      </c>
      <c r="D1592" t="s">
        <v>229</v>
      </c>
      <c r="E1592" t="s">
        <v>12</v>
      </c>
      <c r="F1592">
        <v>0.107</v>
      </c>
      <c r="G1592" t="s">
        <v>13</v>
      </c>
    </row>
    <row r="1593" spans="1:7" x14ac:dyDescent="0.25">
      <c r="A1593">
        <v>133</v>
      </c>
      <c r="B1593" t="s">
        <v>328</v>
      </c>
      <c r="C1593">
        <v>80</v>
      </c>
      <c r="D1593" t="s">
        <v>228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328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328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328</v>
      </c>
      <c r="C1596">
        <v>110</v>
      </c>
      <c r="D1596" t="s">
        <v>103</v>
      </c>
      <c r="E1596" t="s">
        <v>12</v>
      </c>
      <c r="F1596">
        <v>0.75700000000000001</v>
      </c>
      <c r="G1596" t="s">
        <v>13</v>
      </c>
    </row>
    <row r="1597" spans="1:7" x14ac:dyDescent="0.25">
      <c r="A1597">
        <v>133</v>
      </c>
      <c r="B1597" t="s">
        <v>328</v>
      </c>
      <c r="C1597">
        <v>120</v>
      </c>
      <c r="D1597" t="s">
        <v>276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329</v>
      </c>
      <c r="C1598">
        <v>10</v>
      </c>
      <c r="D1598" t="s">
        <v>107</v>
      </c>
      <c r="E1598" t="s">
        <v>14</v>
      </c>
      <c r="F1598">
        <v>1.5489999999999999</v>
      </c>
      <c r="G1598" t="s">
        <v>15</v>
      </c>
    </row>
    <row r="1599" spans="1:7" x14ac:dyDescent="0.25">
      <c r="A1599">
        <v>134</v>
      </c>
      <c r="B1599" t="s">
        <v>329</v>
      </c>
      <c r="C1599">
        <v>20</v>
      </c>
      <c r="D1599" t="s">
        <v>240</v>
      </c>
      <c r="E1599" t="s">
        <v>14</v>
      </c>
      <c r="F1599">
        <v>1.5489999999999999</v>
      </c>
      <c r="G1599" t="s">
        <v>15</v>
      </c>
    </row>
    <row r="1600" spans="1:7" x14ac:dyDescent="0.25">
      <c r="A1600">
        <v>134</v>
      </c>
      <c r="B1600" t="s">
        <v>329</v>
      </c>
      <c r="C1600">
        <v>30</v>
      </c>
      <c r="D1600" t="s">
        <v>237</v>
      </c>
      <c r="E1600" t="s">
        <v>238</v>
      </c>
      <c r="F1600">
        <v>0.46</v>
      </c>
      <c r="G1600" t="s">
        <v>13</v>
      </c>
    </row>
    <row r="1601" spans="1:7" x14ac:dyDescent="0.25">
      <c r="A1601">
        <v>134</v>
      </c>
      <c r="B1601" t="s">
        <v>329</v>
      </c>
      <c r="C1601">
        <v>40</v>
      </c>
      <c r="D1601" t="s">
        <v>101</v>
      </c>
      <c r="E1601" t="s">
        <v>14</v>
      </c>
      <c r="F1601">
        <v>14.427</v>
      </c>
      <c r="G1601" t="s">
        <v>13</v>
      </c>
    </row>
    <row r="1602" spans="1:7" x14ac:dyDescent="0.25">
      <c r="A1602">
        <v>134</v>
      </c>
      <c r="B1602" t="s">
        <v>329</v>
      </c>
      <c r="C1602">
        <v>50</v>
      </c>
      <c r="D1602" t="s">
        <v>16</v>
      </c>
      <c r="E1602" t="s">
        <v>14</v>
      </c>
      <c r="F1602">
        <v>88.727000000000004</v>
      </c>
      <c r="G1602" t="s">
        <v>13</v>
      </c>
    </row>
    <row r="1603" spans="1:7" x14ac:dyDescent="0.25">
      <c r="A1603">
        <v>134</v>
      </c>
      <c r="B1603" t="s">
        <v>329</v>
      </c>
      <c r="C1603">
        <v>60</v>
      </c>
      <c r="D1603" t="s">
        <v>230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329</v>
      </c>
      <c r="C1604">
        <v>70</v>
      </c>
      <c r="D1604" t="s">
        <v>229</v>
      </c>
      <c r="E1604" t="s">
        <v>12</v>
      </c>
      <c r="F1604">
        <v>0.128</v>
      </c>
      <c r="G1604" t="s">
        <v>13</v>
      </c>
    </row>
    <row r="1605" spans="1:7" x14ac:dyDescent="0.25">
      <c r="A1605">
        <v>134</v>
      </c>
      <c r="B1605" t="s">
        <v>329</v>
      </c>
      <c r="C1605">
        <v>80</v>
      </c>
      <c r="D1605" t="s">
        <v>228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329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329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329</v>
      </c>
      <c r="C1608">
        <v>110</v>
      </c>
      <c r="D1608" t="s">
        <v>103</v>
      </c>
      <c r="E1608" t="s">
        <v>12</v>
      </c>
      <c r="F1608">
        <v>0.91900000000000004</v>
      </c>
      <c r="G1608" t="s">
        <v>13</v>
      </c>
    </row>
    <row r="1609" spans="1:7" x14ac:dyDescent="0.25">
      <c r="A1609">
        <v>134</v>
      </c>
      <c r="B1609" t="s">
        <v>329</v>
      </c>
      <c r="C1609">
        <v>120</v>
      </c>
      <c r="D1609" t="s">
        <v>278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330</v>
      </c>
      <c r="C1610">
        <v>10</v>
      </c>
      <c r="D1610" t="s">
        <v>107</v>
      </c>
      <c r="E1610" t="s">
        <v>14</v>
      </c>
      <c r="F1610">
        <v>1.702</v>
      </c>
      <c r="G1610" t="s">
        <v>15</v>
      </c>
    </row>
    <row r="1611" spans="1:7" x14ac:dyDescent="0.25">
      <c r="A1611">
        <v>135</v>
      </c>
      <c r="B1611" t="s">
        <v>330</v>
      </c>
      <c r="C1611">
        <v>20</v>
      </c>
      <c r="D1611" t="s">
        <v>240</v>
      </c>
      <c r="E1611" t="s">
        <v>14</v>
      </c>
      <c r="F1611">
        <v>1.702</v>
      </c>
      <c r="G1611" t="s">
        <v>15</v>
      </c>
    </row>
    <row r="1612" spans="1:7" x14ac:dyDescent="0.25">
      <c r="A1612">
        <v>135</v>
      </c>
      <c r="B1612" t="s">
        <v>330</v>
      </c>
      <c r="C1612">
        <v>30</v>
      </c>
      <c r="D1612" t="s">
        <v>237</v>
      </c>
      <c r="E1612" t="s">
        <v>238</v>
      </c>
      <c r="F1612">
        <v>0.50700000000000001</v>
      </c>
      <c r="G1612" t="s">
        <v>13</v>
      </c>
    </row>
    <row r="1613" spans="1:7" x14ac:dyDescent="0.25">
      <c r="A1613">
        <v>135</v>
      </c>
      <c r="B1613" t="s">
        <v>330</v>
      </c>
      <c r="C1613">
        <v>40</v>
      </c>
      <c r="D1613" t="s">
        <v>101</v>
      </c>
      <c r="E1613" t="s">
        <v>14</v>
      </c>
      <c r="F1613">
        <v>15.037000000000001</v>
      </c>
      <c r="G1613" t="s">
        <v>13</v>
      </c>
    </row>
    <row r="1614" spans="1:7" x14ac:dyDescent="0.25">
      <c r="A1614">
        <v>135</v>
      </c>
      <c r="B1614" t="s">
        <v>330</v>
      </c>
      <c r="C1614">
        <v>50</v>
      </c>
      <c r="D1614" t="s">
        <v>16</v>
      </c>
      <c r="E1614" t="s">
        <v>14</v>
      </c>
      <c r="F1614">
        <v>92.475999999999999</v>
      </c>
      <c r="G1614" t="s">
        <v>13</v>
      </c>
    </row>
    <row r="1615" spans="1:7" x14ac:dyDescent="0.25">
      <c r="A1615">
        <v>135</v>
      </c>
      <c r="B1615" t="s">
        <v>330</v>
      </c>
      <c r="C1615">
        <v>60</v>
      </c>
      <c r="D1615" t="s">
        <v>230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330</v>
      </c>
      <c r="C1616">
        <v>70</v>
      </c>
      <c r="D1616" t="s">
        <v>229</v>
      </c>
      <c r="E1616" t="s">
        <v>12</v>
      </c>
      <c r="F1616">
        <v>0.13900000000000001</v>
      </c>
      <c r="G1616" t="s">
        <v>13</v>
      </c>
    </row>
    <row r="1617" spans="1:7" x14ac:dyDescent="0.25">
      <c r="A1617">
        <v>135</v>
      </c>
      <c r="B1617" t="s">
        <v>330</v>
      </c>
      <c r="C1617">
        <v>80</v>
      </c>
      <c r="D1617" t="s">
        <v>228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330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330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330</v>
      </c>
      <c r="C1620">
        <v>110</v>
      </c>
      <c r="D1620" t="s">
        <v>103</v>
      </c>
      <c r="E1620" t="s">
        <v>12</v>
      </c>
      <c r="F1620">
        <v>1</v>
      </c>
      <c r="G1620" t="s">
        <v>13</v>
      </c>
    </row>
    <row r="1621" spans="1:7" x14ac:dyDescent="0.25">
      <c r="A1621">
        <v>135</v>
      </c>
      <c r="B1621" t="s">
        <v>330</v>
      </c>
      <c r="C1621">
        <v>120</v>
      </c>
      <c r="D1621" t="s">
        <v>280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331</v>
      </c>
      <c r="C1622">
        <v>10</v>
      </c>
      <c r="D1622" t="s">
        <v>107</v>
      </c>
      <c r="E1622" t="s">
        <v>14</v>
      </c>
      <c r="F1622">
        <v>1.8540000000000001</v>
      </c>
      <c r="G1622" t="s">
        <v>15</v>
      </c>
    </row>
    <row r="1623" spans="1:7" x14ac:dyDescent="0.25">
      <c r="A1623">
        <v>136</v>
      </c>
      <c r="B1623" t="s">
        <v>331</v>
      </c>
      <c r="C1623">
        <v>20</v>
      </c>
      <c r="D1623" t="s">
        <v>240</v>
      </c>
      <c r="E1623" t="s">
        <v>14</v>
      </c>
      <c r="F1623">
        <v>1.8540000000000001</v>
      </c>
      <c r="G1623" t="s">
        <v>15</v>
      </c>
    </row>
    <row r="1624" spans="1:7" x14ac:dyDescent="0.25">
      <c r="A1624">
        <v>136</v>
      </c>
      <c r="B1624" t="s">
        <v>331</v>
      </c>
      <c r="C1624">
        <v>30</v>
      </c>
      <c r="D1624" t="s">
        <v>237</v>
      </c>
      <c r="E1624" t="s">
        <v>238</v>
      </c>
      <c r="F1624">
        <v>0.55400000000000005</v>
      </c>
      <c r="G1624" t="s">
        <v>13</v>
      </c>
    </row>
    <row r="1625" spans="1:7" x14ac:dyDescent="0.25">
      <c r="A1625">
        <v>136</v>
      </c>
      <c r="B1625" t="s">
        <v>331</v>
      </c>
      <c r="C1625">
        <v>40</v>
      </c>
      <c r="D1625" t="s">
        <v>101</v>
      </c>
      <c r="E1625" t="s">
        <v>14</v>
      </c>
      <c r="F1625">
        <v>15.646000000000001</v>
      </c>
      <c r="G1625" t="s">
        <v>13</v>
      </c>
    </row>
    <row r="1626" spans="1:7" x14ac:dyDescent="0.25">
      <c r="A1626">
        <v>136</v>
      </c>
      <c r="B1626" t="s">
        <v>331</v>
      </c>
      <c r="C1626">
        <v>50</v>
      </c>
      <c r="D1626" t="s">
        <v>16</v>
      </c>
      <c r="E1626" t="s">
        <v>14</v>
      </c>
      <c r="F1626">
        <v>96.224999999999994</v>
      </c>
      <c r="G1626" t="s">
        <v>13</v>
      </c>
    </row>
    <row r="1627" spans="1:7" x14ac:dyDescent="0.25">
      <c r="A1627">
        <v>136</v>
      </c>
      <c r="B1627" t="s">
        <v>331</v>
      </c>
      <c r="C1627">
        <v>60</v>
      </c>
      <c r="D1627" t="s">
        <v>230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331</v>
      </c>
      <c r="C1628">
        <v>70</v>
      </c>
      <c r="D1628" t="s">
        <v>229</v>
      </c>
      <c r="E1628" t="s">
        <v>12</v>
      </c>
      <c r="F1628">
        <v>0.14899999999999999</v>
      </c>
      <c r="G1628" t="s">
        <v>13</v>
      </c>
    </row>
    <row r="1629" spans="1:7" x14ac:dyDescent="0.25">
      <c r="A1629">
        <v>136</v>
      </c>
      <c r="B1629" t="s">
        <v>331</v>
      </c>
      <c r="C1629">
        <v>80</v>
      </c>
      <c r="D1629" t="s">
        <v>228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331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331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331</v>
      </c>
      <c r="C1632">
        <v>110</v>
      </c>
      <c r="D1632" t="s">
        <v>103</v>
      </c>
      <c r="E1632" t="s">
        <v>12</v>
      </c>
      <c r="F1632">
        <v>1.081</v>
      </c>
      <c r="G1632" t="s">
        <v>13</v>
      </c>
    </row>
    <row r="1633" spans="1:7" x14ac:dyDescent="0.25">
      <c r="A1633">
        <v>136</v>
      </c>
      <c r="B1633" t="s">
        <v>331</v>
      </c>
      <c r="C1633">
        <v>120</v>
      </c>
      <c r="D1633" t="s">
        <v>282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332</v>
      </c>
      <c r="C1634">
        <v>10</v>
      </c>
      <c r="D1634" t="s">
        <v>107</v>
      </c>
      <c r="E1634" t="s">
        <v>14</v>
      </c>
      <c r="F1634">
        <v>2.0569999999999999</v>
      </c>
      <c r="G1634" t="s">
        <v>15</v>
      </c>
    </row>
    <row r="1635" spans="1:7" x14ac:dyDescent="0.25">
      <c r="A1635">
        <v>137</v>
      </c>
      <c r="B1635" t="s">
        <v>332</v>
      </c>
      <c r="C1635">
        <v>20</v>
      </c>
      <c r="D1635" t="s">
        <v>240</v>
      </c>
      <c r="E1635" t="s">
        <v>14</v>
      </c>
      <c r="F1635">
        <v>2.0569999999999999</v>
      </c>
      <c r="G1635" t="s">
        <v>15</v>
      </c>
    </row>
    <row r="1636" spans="1:7" x14ac:dyDescent="0.25">
      <c r="A1636">
        <v>137</v>
      </c>
      <c r="B1636" t="s">
        <v>332</v>
      </c>
      <c r="C1636">
        <v>30</v>
      </c>
      <c r="D1636" t="s">
        <v>237</v>
      </c>
      <c r="E1636" t="s">
        <v>238</v>
      </c>
      <c r="F1636">
        <v>0.23200000000000001</v>
      </c>
      <c r="G1636" t="s">
        <v>13</v>
      </c>
    </row>
    <row r="1637" spans="1:7" x14ac:dyDescent="0.25">
      <c r="A1637">
        <v>137</v>
      </c>
      <c r="B1637" t="s">
        <v>332</v>
      </c>
      <c r="C1637">
        <v>40</v>
      </c>
      <c r="D1637" t="s">
        <v>101</v>
      </c>
      <c r="E1637" t="s">
        <v>14</v>
      </c>
      <c r="F1637">
        <v>11.582000000000001</v>
      </c>
      <c r="G1637" t="s">
        <v>13</v>
      </c>
    </row>
    <row r="1638" spans="1:7" x14ac:dyDescent="0.25">
      <c r="A1638">
        <v>137</v>
      </c>
      <c r="B1638" t="s">
        <v>332</v>
      </c>
      <c r="C1638">
        <v>50</v>
      </c>
      <c r="D1638" t="s">
        <v>16</v>
      </c>
      <c r="E1638" t="s">
        <v>14</v>
      </c>
      <c r="F1638">
        <v>71.231999999999999</v>
      </c>
      <c r="G1638" t="s">
        <v>13</v>
      </c>
    </row>
    <row r="1639" spans="1:7" x14ac:dyDescent="0.25">
      <c r="A1639">
        <v>137</v>
      </c>
      <c r="B1639" t="s">
        <v>332</v>
      </c>
      <c r="C1639">
        <v>60</v>
      </c>
      <c r="D1639" t="s">
        <v>230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332</v>
      </c>
      <c r="C1640">
        <v>70</v>
      </c>
      <c r="D1640" t="s">
        <v>229</v>
      </c>
      <c r="E1640" t="s">
        <v>12</v>
      </c>
      <c r="F1640">
        <v>7.4999999999999997E-2</v>
      </c>
      <c r="G1640" t="s">
        <v>13</v>
      </c>
    </row>
    <row r="1641" spans="1:7" x14ac:dyDescent="0.25">
      <c r="A1641">
        <v>137</v>
      </c>
      <c r="B1641" t="s">
        <v>332</v>
      </c>
      <c r="C1641">
        <v>80</v>
      </c>
      <c r="D1641" t="s">
        <v>228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332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332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332</v>
      </c>
      <c r="C1644">
        <v>110</v>
      </c>
      <c r="D1644" t="s">
        <v>103</v>
      </c>
      <c r="E1644" t="s">
        <v>12</v>
      </c>
      <c r="F1644">
        <v>1.1890000000000001</v>
      </c>
      <c r="G1644" t="s">
        <v>13</v>
      </c>
    </row>
    <row r="1645" spans="1:7" x14ac:dyDescent="0.25">
      <c r="A1645">
        <v>137</v>
      </c>
      <c r="B1645" t="s">
        <v>332</v>
      </c>
      <c r="C1645">
        <v>120</v>
      </c>
      <c r="D1645" t="s">
        <v>284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333</v>
      </c>
      <c r="C1646">
        <v>10</v>
      </c>
      <c r="D1646" t="s">
        <v>107</v>
      </c>
      <c r="E1646" t="s">
        <v>14</v>
      </c>
      <c r="F1646">
        <v>2.0569999999999999</v>
      </c>
      <c r="G1646" t="s">
        <v>15</v>
      </c>
    </row>
    <row r="1647" spans="1:7" x14ac:dyDescent="0.25">
      <c r="A1647">
        <v>138</v>
      </c>
      <c r="B1647" t="s">
        <v>333</v>
      </c>
      <c r="C1647">
        <v>20</v>
      </c>
      <c r="D1647" t="s">
        <v>240</v>
      </c>
      <c r="E1647" t="s">
        <v>14</v>
      </c>
      <c r="F1647">
        <v>2.0569999999999999</v>
      </c>
      <c r="G1647" t="s">
        <v>15</v>
      </c>
    </row>
    <row r="1648" spans="1:7" x14ac:dyDescent="0.25">
      <c r="A1648">
        <v>138</v>
      </c>
      <c r="B1648" t="s">
        <v>333</v>
      </c>
      <c r="C1648">
        <v>30</v>
      </c>
      <c r="D1648" t="s">
        <v>237</v>
      </c>
      <c r="E1648" t="s">
        <v>238</v>
      </c>
      <c r="F1648">
        <v>0.28000000000000003</v>
      </c>
      <c r="G1648" t="s">
        <v>13</v>
      </c>
    </row>
    <row r="1649" spans="1:7" x14ac:dyDescent="0.25">
      <c r="A1649">
        <v>138</v>
      </c>
      <c r="B1649" t="s">
        <v>333</v>
      </c>
      <c r="C1649">
        <v>40</v>
      </c>
      <c r="D1649" t="s">
        <v>101</v>
      </c>
      <c r="E1649" t="s">
        <v>14</v>
      </c>
      <c r="F1649">
        <v>12.192</v>
      </c>
      <c r="G1649" t="s">
        <v>13</v>
      </c>
    </row>
    <row r="1650" spans="1:7" x14ac:dyDescent="0.25">
      <c r="A1650">
        <v>138</v>
      </c>
      <c r="B1650" t="s">
        <v>333</v>
      </c>
      <c r="C1650">
        <v>50</v>
      </c>
      <c r="D1650" t="s">
        <v>16</v>
      </c>
      <c r="E1650" t="s">
        <v>14</v>
      </c>
      <c r="F1650">
        <v>74.980999999999995</v>
      </c>
      <c r="G1650" t="s">
        <v>13</v>
      </c>
    </row>
    <row r="1651" spans="1:7" x14ac:dyDescent="0.25">
      <c r="A1651">
        <v>138</v>
      </c>
      <c r="B1651" t="s">
        <v>333</v>
      </c>
      <c r="C1651">
        <v>60</v>
      </c>
      <c r="D1651" t="s">
        <v>230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333</v>
      </c>
      <c r="C1652">
        <v>70</v>
      </c>
      <c r="D1652" t="s">
        <v>229</v>
      </c>
      <c r="E1652" t="s">
        <v>12</v>
      </c>
      <c r="F1652">
        <v>8.5000000000000006E-2</v>
      </c>
      <c r="G1652" t="s">
        <v>13</v>
      </c>
    </row>
    <row r="1653" spans="1:7" x14ac:dyDescent="0.25">
      <c r="A1653">
        <v>138</v>
      </c>
      <c r="B1653" t="s">
        <v>333</v>
      </c>
      <c r="C1653">
        <v>80</v>
      </c>
      <c r="D1653" t="s">
        <v>228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333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333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333</v>
      </c>
      <c r="C1656">
        <v>110</v>
      </c>
      <c r="D1656" t="s">
        <v>103</v>
      </c>
      <c r="E1656" t="s">
        <v>12</v>
      </c>
      <c r="F1656">
        <v>1.1890000000000001</v>
      </c>
      <c r="G1656" t="s">
        <v>13</v>
      </c>
    </row>
    <row r="1657" spans="1:7" x14ac:dyDescent="0.25">
      <c r="A1657">
        <v>138</v>
      </c>
      <c r="B1657" t="s">
        <v>333</v>
      </c>
      <c r="C1657">
        <v>120</v>
      </c>
      <c r="D1657" t="s">
        <v>286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334</v>
      </c>
      <c r="C1658">
        <v>10</v>
      </c>
      <c r="D1658" t="s">
        <v>107</v>
      </c>
      <c r="E1658" t="s">
        <v>14</v>
      </c>
      <c r="F1658">
        <v>2.0569999999999999</v>
      </c>
      <c r="G1658" t="s">
        <v>15</v>
      </c>
    </row>
    <row r="1659" spans="1:7" x14ac:dyDescent="0.25">
      <c r="A1659">
        <v>139</v>
      </c>
      <c r="B1659" t="s">
        <v>334</v>
      </c>
      <c r="C1659">
        <v>20</v>
      </c>
      <c r="D1659" t="s">
        <v>240</v>
      </c>
      <c r="E1659" t="s">
        <v>14</v>
      </c>
      <c r="F1659">
        <v>2.0569999999999999</v>
      </c>
      <c r="G1659" t="s">
        <v>15</v>
      </c>
    </row>
    <row r="1660" spans="1:7" x14ac:dyDescent="0.25">
      <c r="A1660">
        <v>139</v>
      </c>
      <c r="B1660" t="s">
        <v>334</v>
      </c>
      <c r="C1660">
        <v>30</v>
      </c>
      <c r="D1660" t="s">
        <v>237</v>
      </c>
      <c r="E1660" t="s">
        <v>238</v>
      </c>
      <c r="F1660">
        <v>0.32800000000000001</v>
      </c>
      <c r="G1660" t="s">
        <v>13</v>
      </c>
    </row>
    <row r="1661" spans="1:7" x14ac:dyDescent="0.25">
      <c r="A1661">
        <v>139</v>
      </c>
      <c r="B1661" t="s">
        <v>334</v>
      </c>
      <c r="C1661">
        <v>40</v>
      </c>
      <c r="D1661" t="s">
        <v>101</v>
      </c>
      <c r="E1661" t="s">
        <v>14</v>
      </c>
      <c r="F1661">
        <v>12.802</v>
      </c>
      <c r="G1661" t="s">
        <v>13</v>
      </c>
    </row>
    <row r="1662" spans="1:7" x14ac:dyDescent="0.25">
      <c r="A1662">
        <v>139</v>
      </c>
      <c r="B1662" t="s">
        <v>334</v>
      </c>
      <c r="C1662">
        <v>50</v>
      </c>
      <c r="D1662" t="s">
        <v>16</v>
      </c>
      <c r="E1662" t="s">
        <v>14</v>
      </c>
      <c r="F1662">
        <v>78.73</v>
      </c>
      <c r="G1662" t="s">
        <v>13</v>
      </c>
    </row>
    <row r="1663" spans="1:7" x14ac:dyDescent="0.25">
      <c r="A1663">
        <v>139</v>
      </c>
      <c r="B1663" t="s">
        <v>334</v>
      </c>
      <c r="C1663">
        <v>60</v>
      </c>
      <c r="D1663" t="s">
        <v>230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334</v>
      </c>
      <c r="C1664">
        <v>70</v>
      </c>
      <c r="D1664" t="s">
        <v>229</v>
      </c>
      <c r="E1664" t="s">
        <v>12</v>
      </c>
      <c r="F1664">
        <v>9.6000000000000002E-2</v>
      </c>
      <c r="G1664" t="s">
        <v>13</v>
      </c>
    </row>
    <row r="1665" spans="1:7" x14ac:dyDescent="0.25">
      <c r="A1665">
        <v>139</v>
      </c>
      <c r="B1665" t="s">
        <v>334</v>
      </c>
      <c r="C1665">
        <v>80</v>
      </c>
      <c r="D1665" t="s">
        <v>228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334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334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334</v>
      </c>
      <c r="C1668">
        <v>110</v>
      </c>
      <c r="D1668" t="s">
        <v>103</v>
      </c>
      <c r="E1668" t="s">
        <v>12</v>
      </c>
      <c r="F1668">
        <v>1.1890000000000001</v>
      </c>
      <c r="G1668" t="s">
        <v>13</v>
      </c>
    </row>
    <row r="1669" spans="1:7" x14ac:dyDescent="0.25">
      <c r="A1669">
        <v>139</v>
      </c>
      <c r="B1669" t="s">
        <v>334</v>
      </c>
      <c r="C1669">
        <v>120</v>
      </c>
      <c r="D1669" t="s">
        <v>288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335</v>
      </c>
      <c r="C1670">
        <v>10</v>
      </c>
      <c r="D1670" t="s">
        <v>107</v>
      </c>
      <c r="E1670" t="s">
        <v>14</v>
      </c>
      <c r="F1670">
        <v>2.0569999999999999</v>
      </c>
      <c r="G1670" t="s">
        <v>15</v>
      </c>
    </row>
    <row r="1671" spans="1:7" x14ac:dyDescent="0.25">
      <c r="A1671">
        <v>140</v>
      </c>
      <c r="B1671" t="s">
        <v>335</v>
      </c>
      <c r="C1671">
        <v>20</v>
      </c>
      <c r="D1671" t="s">
        <v>240</v>
      </c>
      <c r="E1671" t="s">
        <v>14</v>
      </c>
      <c r="F1671">
        <v>2.0569999999999999</v>
      </c>
      <c r="G1671" t="s">
        <v>15</v>
      </c>
    </row>
    <row r="1672" spans="1:7" x14ac:dyDescent="0.25">
      <c r="A1672">
        <v>140</v>
      </c>
      <c r="B1672" t="s">
        <v>335</v>
      </c>
      <c r="C1672">
        <v>30</v>
      </c>
      <c r="D1672" t="s">
        <v>237</v>
      </c>
      <c r="E1672" t="s">
        <v>238</v>
      </c>
      <c r="F1672">
        <v>0.376</v>
      </c>
      <c r="G1672" t="s">
        <v>13</v>
      </c>
    </row>
    <row r="1673" spans="1:7" x14ac:dyDescent="0.25">
      <c r="A1673">
        <v>140</v>
      </c>
      <c r="B1673" t="s">
        <v>335</v>
      </c>
      <c r="C1673">
        <v>40</v>
      </c>
      <c r="D1673" t="s">
        <v>101</v>
      </c>
      <c r="E1673" t="s">
        <v>14</v>
      </c>
      <c r="F1673">
        <v>13.411</v>
      </c>
      <c r="G1673" t="s">
        <v>13</v>
      </c>
    </row>
    <row r="1674" spans="1:7" x14ac:dyDescent="0.25">
      <c r="A1674">
        <v>140</v>
      </c>
      <c r="B1674" t="s">
        <v>335</v>
      </c>
      <c r="C1674">
        <v>50</v>
      </c>
      <c r="D1674" t="s">
        <v>16</v>
      </c>
      <c r="E1674" t="s">
        <v>14</v>
      </c>
      <c r="F1674">
        <v>82.478999999999999</v>
      </c>
      <c r="G1674" t="s">
        <v>13</v>
      </c>
    </row>
    <row r="1675" spans="1:7" x14ac:dyDescent="0.25">
      <c r="A1675">
        <v>140</v>
      </c>
      <c r="B1675" t="s">
        <v>335</v>
      </c>
      <c r="C1675">
        <v>60</v>
      </c>
      <c r="D1675" t="s">
        <v>230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335</v>
      </c>
      <c r="C1676">
        <v>70</v>
      </c>
      <c r="D1676" t="s">
        <v>229</v>
      </c>
      <c r="E1676" t="s">
        <v>12</v>
      </c>
      <c r="F1676">
        <v>0.107</v>
      </c>
      <c r="G1676" t="s">
        <v>13</v>
      </c>
    </row>
    <row r="1677" spans="1:7" x14ac:dyDescent="0.25">
      <c r="A1677">
        <v>140</v>
      </c>
      <c r="B1677" t="s">
        <v>335</v>
      </c>
      <c r="C1677">
        <v>80</v>
      </c>
      <c r="D1677" t="s">
        <v>228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335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335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335</v>
      </c>
      <c r="C1680">
        <v>110</v>
      </c>
      <c r="D1680" t="s">
        <v>103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140</v>
      </c>
      <c r="B1681" t="s">
        <v>335</v>
      </c>
      <c r="C1681">
        <v>120</v>
      </c>
      <c r="D1681" t="s">
        <v>290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336</v>
      </c>
      <c r="C1682">
        <v>10</v>
      </c>
      <c r="D1682" t="s">
        <v>107</v>
      </c>
      <c r="E1682" t="s">
        <v>14</v>
      </c>
      <c r="F1682">
        <v>2.0569999999999999</v>
      </c>
      <c r="G1682" t="s">
        <v>15</v>
      </c>
    </row>
    <row r="1683" spans="1:7" x14ac:dyDescent="0.25">
      <c r="A1683">
        <v>141</v>
      </c>
      <c r="B1683" t="s">
        <v>336</v>
      </c>
      <c r="C1683">
        <v>20</v>
      </c>
      <c r="D1683" t="s">
        <v>240</v>
      </c>
      <c r="E1683" t="s">
        <v>14</v>
      </c>
      <c r="F1683">
        <v>2.0569999999999999</v>
      </c>
      <c r="G1683" t="s">
        <v>15</v>
      </c>
    </row>
    <row r="1684" spans="1:7" x14ac:dyDescent="0.25">
      <c r="A1684">
        <v>141</v>
      </c>
      <c r="B1684" t="s">
        <v>336</v>
      </c>
      <c r="C1684">
        <v>30</v>
      </c>
      <c r="D1684" t="s">
        <v>237</v>
      </c>
      <c r="E1684" t="s">
        <v>238</v>
      </c>
      <c r="F1684">
        <v>0.47199999999999998</v>
      </c>
      <c r="G1684" t="s">
        <v>13</v>
      </c>
    </row>
    <row r="1685" spans="1:7" x14ac:dyDescent="0.25">
      <c r="A1685">
        <v>141</v>
      </c>
      <c r="B1685" t="s">
        <v>336</v>
      </c>
      <c r="C1685">
        <v>40</v>
      </c>
      <c r="D1685" t="s">
        <v>101</v>
      </c>
      <c r="E1685" t="s">
        <v>14</v>
      </c>
      <c r="F1685">
        <v>14.63</v>
      </c>
      <c r="G1685" t="s">
        <v>13</v>
      </c>
    </row>
    <row r="1686" spans="1:7" x14ac:dyDescent="0.25">
      <c r="A1686">
        <v>141</v>
      </c>
      <c r="B1686" t="s">
        <v>336</v>
      </c>
      <c r="C1686">
        <v>50</v>
      </c>
      <c r="D1686" t="s">
        <v>16</v>
      </c>
      <c r="E1686" t="s">
        <v>14</v>
      </c>
      <c r="F1686">
        <v>89.977000000000004</v>
      </c>
      <c r="G1686" t="s">
        <v>13</v>
      </c>
    </row>
    <row r="1687" spans="1:7" x14ac:dyDescent="0.25">
      <c r="A1687">
        <v>141</v>
      </c>
      <c r="B1687" t="s">
        <v>336</v>
      </c>
      <c r="C1687">
        <v>60</v>
      </c>
      <c r="D1687" t="s">
        <v>230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336</v>
      </c>
      <c r="C1688">
        <v>70</v>
      </c>
      <c r="D1688" t="s">
        <v>229</v>
      </c>
      <c r="E1688" t="s">
        <v>12</v>
      </c>
      <c r="F1688">
        <v>0.128</v>
      </c>
      <c r="G1688" t="s">
        <v>13</v>
      </c>
    </row>
    <row r="1689" spans="1:7" x14ac:dyDescent="0.25">
      <c r="A1689">
        <v>141</v>
      </c>
      <c r="B1689" t="s">
        <v>336</v>
      </c>
      <c r="C1689">
        <v>80</v>
      </c>
      <c r="D1689" t="s">
        <v>228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336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336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336</v>
      </c>
      <c r="C1692">
        <v>110</v>
      </c>
      <c r="D1692" t="s">
        <v>103</v>
      </c>
      <c r="E1692" t="s">
        <v>12</v>
      </c>
      <c r="F1692">
        <v>1.1890000000000001</v>
      </c>
      <c r="G1692" t="s">
        <v>13</v>
      </c>
    </row>
    <row r="1693" spans="1:7" x14ac:dyDescent="0.25">
      <c r="A1693">
        <v>141</v>
      </c>
      <c r="B1693" t="s">
        <v>336</v>
      </c>
      <c r="C1693">
        <v>120</v>
      </c>
      <c r="D1693" t="s">
        <v>292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337</v>
      </c>
      <c r="C1694">
        <v>10</v>
      </c>
      <c r="D1694" t="s">
        <v>107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142</v>
      </c>
      <c r="B1695" t="s">
        <v>337</v>
      </c>
      <c r="C1695">
        <v>20</v>
      </c>
      <c r="D1695" t="s">
        <v>240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337</v>
      </c>
      <c r="C1696">
        <v>30</v>
      </c>
      <c r="D1696" t="s">
        <v>237</v>
      </c>
      <c r="E1696" t="s">
        <v>238</v>
      </c>
      <c r="F1696">
        <v>0.52</v>
      </c>
      <c r="G1696" t="s">
        <v>13</v>
      </c>
    </row>
    <row r="1697" spans="1:7" x14ac:dyDescent="0.25">
      <c r="A1697">
        <v>142</v>
      </c>
      <c r="B1697" t="s">
        <v>337</v>
      </c>
      <c r="C1697">
        <v>40</v>
      </c>
      <c r="D1697" t="s">
        <v>101</v>
      </c>
      <c r="E1697" t="s">
        <v>14</v>
      </c>
      <c r="F1697">
        <v>15.24</v>
      </c>
      <c r="G1697" t="s">
        <v>13</v>
      </c>
    </row>
    <row r="1698" spans="1:7" x14ac:dyDescent="0.25">
      <c r="A1698">
        <v>142</v>
      </c>
      <c r="B1698" t="s">
        <v>337</v>
      </c>
      <c r="C1698">
        <v>50</v>
      </c>
      <c r="D1698" t="s">
        <v>16</v>
      </c>
      <c r="E1698" t="s">
        <v>14</v>
      </c>
      <c r="F1698">
        <v>93.725999999999999</v>
      </c>
      <c r="G1698" t="s">
        <v>13</v>
      </c>
    </row>
    <row r="1699" spans="1:7" x14ac:dyDescent="0.25">
      <c r="A1699">
        <v>142</v>
      </c>
      <c r="B1699" t="s">
        <v>337</v>
      </c>
      <c r="C1699">
        <v>60</v>
      </c>
      <c r="D1699" t="s">
        <v>230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337</v>
      </c>
      <c r="C1700">
        <v>70</v>
      </c>
      <c r="D1700" t="s">
        <v>229</v>
      </c>
      <c r="E1700" t="s">
        <v>12</v>
      </c>
      <c r="F1700">
        <v>0.13900000000000001</v>
      </c>
      <c r="G1700" t="s">
        <v>13</v>
      </c>
    </row>
    <row r="1701" spans="1:7" x14ac:dyDescent="0.25">
      <c r="A1701">
        <v>142</v>
      </c>
      <c r="B1701" t="s">
        <v>337</v>
      </c>
      <c r="C1701">
        <v>80</v>
      </c>
      <c r="D1701" t="s">
        <v>228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337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337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337</v>
      </c>
      <c r="C1704">
        <v>110</v>
      </c>
      <c r="D1704" t="s">
        <v>103</v>
      </c>
      <c r="E1704" t="s">
        <v>12</v>
      </c>
      <c r="F1704">
        <v>1.1890000000000001</v>
      </c>
      <c r="G1704" t="s">
        <v>13</v>
      </c>
    </row>
    <row r="1705" spans="1:7" x14ac:dyDescent="0.25">
      <c r="A1705">
        <v>142</v>
      </c>
      <c r="B1705" t="s">
        <v>337</v>
      </c>
      <c r="C1705">
        <v>120</v>
      </c>
      <c r="D1705" t="s">
        <v>294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338</v>
      </c>
      <c r="C1706">
        <v>10</v>
      </c>
      <c r="D1706" t="s">
        <v>107</v>
      </c>
      <c r="E1706" t="s">
        <v>14</v>
      </c>
      <c r="F1706">
        <v>2.0569999999999999</v>
      </c>
      <c r="G1706" t="s">
        <v>15</v>
      </c>
    </row>
    <row r="1707" spans="1:7" x14ac:dyDescent="0.25">
      <c r="A1707">
        <v>143</v>
      </c>
      <c r="B1707" t="s">
        <v>338</v>
      </c>
      <c r="C1707">
        <v>20</v>
      </c>
      <c r="D1707" t="s">
        <v>240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143</v>
      </c>
      <c r="B1708" t="s">
        <v>338</v>
      </c>
      <c r="C1708">
        <v>30</v>
      </c>
      <c r="D1708" t="s">
        <v>237</v>
      </c>
      <c r="E1708" t="s">
        <v>238</v>
      </c>
      <c r="F1708">
        <v>0.56799999999999995</v>
      </c>
      <c r="G1708" t="s">
        <v>13</v>
      </c>
    </row>
    <row r="1709" spans="1:7" x14ac:dyDescent="0.25">
      <c r="A1709">
        <v>143</v>
      </c>
      <c r="B1709" t="s">
        <v>338</v>
      </c>
      <c r="C1709">
        <v>40</v>
      </c>
      <c r="D1709" t="s">
        <v>101</v>
      </c>
      <c r="E1709" t="s">
        <v>14</v>
      </c>
      <c r="F1709">
        <v>15.85</v>
      </c>
      <c r="G1709" t="s">
        <v>13</v>
      </c>
    </row>
    <row r="1710" spans="1:7" x14ac:dyDescent="0.25">
      <c r="A1710">
        <v>143</v>
      </c>
      <c r="B1710" t="s">
        <v>338</v>
      </c>
      <c r="C1710">
        <v>50</v>
      </c>
      <c r="D1710" t="s">
        <v>16</v>
      </c>
      <c r="E1710" t="s">
        <v>14</v>
      </c>
      <c r="F1710">
        <v>97.474999999999994</v>
      </c>
      <c r="G1710" t="s">
        <v>13</v>
      </c>
    </row>
    <row r="1711" spans="1:7" x14ac:dyDescent="0.25">
      <c r="A1711">
        <v>143</v>
      </c>
      <c r="B1711" t="s">
        <v>338</v>
      </c>
      <c r="C1711">
        <v>60</v>
      </c>
      <c r="D1711" t="s">
        <v>230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338</v>
      </c>
      <c r="C1712">
        <v>70</v>
      </c>
      <c r="D1712" t="s">
        <v>229</v>
      </c>
      <c r="E1712" t="s">
        <v>12</v>
      </c>
      <c r="F1712">
        <v>0.14899999999999999</v>
      </c>
      <c r="G1712" t="s">
        <v>13</v>
      </c>
    </row>
    <row r="1713" spans="1:7" x14ac:dyDescent="0.25">
      <c r="A1713">
        <v>143</v>
      </c>
      <c r="B1713" t="s">
        <v>338</v>
      </c>
      <c r="C1713">
        <v>80</v>
      </c>
      <c r="D1713" t="s">
        <v>228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338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338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338</v>
      </c>
      <c r="C1716">
        <v>110</v>
      </c>
      <c r="D1716" t="s">
        <v>103</v>
      </c>
      <c r="E1716" t="s">
        <v>12</v>
      </c>
      <c r="F1716">
        <v>1.1890000000000001</v>
      </c>
      <c r="G1716" t="s">
        <v>13</v>
      </c>
    </row>
    <row r="1717" spans="1:7" x14ac:dyDescent="0.25">
      <c r="A1717">
        <v>143</v>
      </c>
      <c r="B1717" t="s">
        <v>338</v>
      </c>
      <c r="C1717">
        <v>120</v>
      </c>
      <c r="D1717" t="s">
        <v>296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339</v>
      </c>
      <c r="C1718">
        <v>10</v>
      </c>
      <c r="D1718" t="s">
        <v>107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339</v>
      </c>
      <c r="C1719">
        <v>20</v>
      </c>
      <c r="D1719" t="s">
        <v>240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339</v>
      </c>
      <c r="C1720">
        <v>30</v>
      </c>
      <c r="D1720" t="s">
        <v>237</v>
      </c>
      <c r="E1720" t="s">
        <v>238</v>
      </c>
      <c r="F1720">
        <v>0.24399999999999999</v>
      </c>
      <c r="G1720" t="s">
        <v>13</v>
      </c>
    </row>
    <row r="1721" spans="1:7" x14ac:dyDescent="0.25">
      <c r="A1721">
        <v>144</v>
      </c>
      <c r="B1721" t="s">
        <v>339</v>
      </c>
      <c r="C1721">
        <v>40</v>
      </c>
      <c r="D1721" t="s">
        <v>101</v>
      </c>
      <c r="E1721" t="s">
        <v>14</v>
      </c>
      <c r="F1721">
        <v>11.989000000000001</v>
      </c>
      <c r="G1721" t="s">
        <v>13</v>
      </c>
    </row>
    <row r="1722" spans="1:7" x14ac:dyDescent="0.25">
      <c r="A1722">
        <v>144</v>
      </c>
      <c r="B1722" t="s">
        <v>339</v>
      </c>
      <c r="C1722">
        <v>50</v>
      </c>
      <c r="D1722" t="s">
        <v>16</v>
      </c>
      <c r="E1722" t="s">
        <v>14</v>
      </c>
      <c r="F1722">
        <v>73.730999999999995</v>
      </c>
      <c r="G1722" t="s">
        <v>13</v>
      </c>
    </row>
    <row r="1723" spans="1:7" x14ac:dyDescent="0.25">
      <c r="A1723">
        <v>144</v>
      </c>
      <c r="B1723" t="s">
        <v>339</v>
      </c>
      <c r="C1723">
        <v>60</v>
      </c>
      <c r="D1723" t="s">
        <v>230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339</v>
      </c>
      <c r="C1724">
        <v>70</v>
      </c>
      <c r="D1724" t="s">
        <v>229</v>
      </c>
      <c r="E1724" t="s">
        <v>12</v>
      </c>
      <c r="F1724">
        <v>7.4999999999999997E-2</v>
      </c>
      <c r="G1724" t="s">
        <v>13</v>
      </c>
    </row>
    <row r="1725" spans="1:7" x14ac:dyDescent="0.25">
      <c r="A1725">
        <v>144</v>
      </c>
      <c r="B1725" t="s">
        <v>339</v>
      </c>
      <c r="C1725">
        <v>80</v>
      </c>
      <c r="D1725" t="s">
        <v>228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339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339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339</v>
      </c>
      <c r="C1728">
        <v>110</v>
      </c>
      <c r="D1728" t="s">
        <v>103</v>
      </c>
      <c r="E1728" t="s">
        <v>12</v>
      </c>
      <c r="F1728">
        <v>1.2430000000000001</v>
      </c>
      <c r="G1728" t="s">
        <v>13</v>
      </c>
    </row>
    <row r="1729" spans="1:7" x14ac:dyDescent="0.25">
      <c r="A1729">
        <v>144</v>
      </c>
      <c r="B1729" t="s">
        <v>339</v>
      </c>
      <c r="C1729">
        <v>120</v>
      </c>
      <c r="D1729" t="s">
        <v>298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340</v>
      </c>
      <c r="C1730">
        <v>10</v>
      </c>
      <c r="D1730" t="s">
        <v>107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340</v>
      </c>
      <c r="C1731">
        <v>20</v>
      </c>
      <c r="D1731" t="s">
        <v>240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340</v>
      </c>
      <c r="C1732">
        <v>30</v>
      </c>
      <c r="D1732" t="s">
        <v>237</v>
      </c>
      <c r="E1732" t="s">
        <v>238</v>
      </c>
      <c r="F1732">
        <v>0.29399999999999998</v>
      </c>
      <c r="G1732" t="s">
        <v>13</v>
      </c>
    </row>
    <row r="1733" spans="1:7" x14ac:dyDescent="0.25">
      <c r="A1733">
        <v>145</v>
      </c>
      <c r="B1733" t="s">
        <v>340</v>
      </c>
      <c r="C1733">
        <v>40</v>
      </c>
      <c r="D1733" t="s">
        <v>101</v>
      </c>
      <c r="E1733" t="s">
        <v>14</v>
      </c>
      <c r="F1733">
        <v>12.598000000000001</v>
      </c>
      <c r="G1733" t="s">
        <v>13</v>
      </c>
    </row>
    <row r="1734" spans="1:7" x14ac:dyDescent="0.25">
      <c r="A1734">
        <v>145</v>
      </c>
      <c r="B1734" t="s">
        <v>340</v>
      </c>
      <c r="C1734">
        <v>50</v>
      </c>
      <c r="D1734" t="s">
        <v>16</v>
      </c>
      <c r="E1734" t="s">
        <v>14</v>
      </c>
      <c r="F1734">
        <v>77.48</v>
      </c>
      <c r="G1734" t="s">
        <v>13</v>
      </c>
    </row>
    <row r="1735" spans="1:7" x14ac:dyDescent="0.25">
      <c r="A1735">
        <v>145</v>
      </c>
      <c r="B1735" t="s">
        <v>340</v>
      </c>
      <c r="C1735">
        <v>60</v>
      </c>
      <c r="D1735" t="s">
        <v>230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340</v>
      </c>
      <c r="C1736">
        <v>70</v>
      </c>
      <c r="D1736" t="s">
        <v>229</v>
      </c>
      <c r="E1736" t="s">
        <v>12</v>
      </c>
      <c r="F1736">
        <v>8.5000000000000006E-2</v>
      </c>
      <c r="G1736" t="s">
        <v>13</v>
      </c>
    </row>
    <row r="1737" spans="1:7" x14ac:dyDescent="0.25">
      <c r="A1737">
        <v>145</v>
      </c>
      <c r="B1737" t="s">
        <v>340</v>
      </c>
      <c r="C1737">
        <v>80</v>
      </c>
      <c r="D1737" t="s">
        <v>228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340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340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340</v>
      </c>
      <c r="C1740">
        <v>110</v>
      </c>
      <c r="D1740" t="s">
        <v>103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145</v>
      </c>
      <c r="B1741" t="s">
        <v>340</v>
      </c>
      <c r="C1741">
        <v>120</v>
      </c>
      <c r="D1741" t="s">
        <v>300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341</v>
      </c>
      <c r="C1742">
        <v>10</v>
      </c>
      <c r="D1742" t="s">
        <v>107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341</v>
      </c>
      <c r="C1743">
        <v>20</v>
      </c>
      <c r="D1743" t="s">
        <v>240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341</v>
      </c>
      <c r="C1744">
        <v>30</v>
      </c>
      <c r="D1744" t="s">
        <v>237</v>
      </c>
      <c r="E1744" t="s">
        <v>238</v>
      </c>
      <c r="F1744">
        <v>0.34499999999999997</v>
      </c>
      <c r="G1744" t="s">
        <v>13</v>
      </c>
    </row>
    <row r="1745" spans="1:7" x14ac:dyDescent="0.25">
      <c r="A1745">
        <v>146</v>
      </c>
      <c r="B1745" t="s">
        <v>341</v>
      </c>
      <c r="C1745">
        <v>40</v>
      </c>
      <c r="D1745" t="s">
        <v>101</v>
      </c>
      <c r="E1745" t="s">
        <v>14</v>
      </c>
      <c r="F1745">
        <v>13.208</v>
      </c>
      <c r="G1745" t="s">
        <v>13</v>
      </c>
    </row>
    <row r="1746" spans="1:7" x14ac:dyDescent="0.25">
      <c r="A1746">
        <v>146</v>
      </c>
      <c r="B1746" t="s">
        <v>341</v>
      </c>
      <c r="C1746">
        <v>50</v>
      </c>
      <c r="D1746" t="s">
        <v>16</v>
      </c>
      <c r="E1746" t="s">
        <v>14</v>
      </c>
      <c r="F1746">
        <v>81.228999999999999</v>
      </c>
      <c r="G1746" t="s">
        <v>13</v>
      </c>
    </row>
    <row r="1747" spans="1:7" x14ac:dyDescent="0.25">
      <c r="A1747">
        <v>146</v>
      </c>
      <c r="B1747" t="s">
        <v>341</v>
      </c>
      <c r="C1747">
        <v>60</v>
      </c>
      <c r="D1747" t="s">
        <v>230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341</v>
      </c>
      <c r="C1748">
        <v>70</v>
      </c>
      <c r="D1748" t="s">
        <v>229</v>
      </c>
      <c r="E1748" t="s">
        <v>12</v>
      </c>
      <c r="F1748">
        <v>9.6000000000000002E-2</v>
      </c>
      <c r="G1748" t="s">
        <v>13</v>
      </c>
    </row>
    <row r="1749" spans="1:7" x14ac:dyDescent="0.25">
      <c r="A1749">
        <v>146</v>
      </c>
      <c r="B1749" t="s">
        <v>341</v>
      </c>
      <c r="C1749">
        <v>80</v>
      </c>
      <c r="D1749" t="s">
        <v>228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341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341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341</v>
      </c>
      <c r="C1752">
        <v>110</v>
      </c>
      <c r="D1752" t="s">
        <v>103</v>
      </c>
      <c r="E1752" t="s">
        <v>12</v>
      </c>
      <c r="F1752">
        <v>1.2430000000000001</v>
      </c>
      <c r="G1752" t="s">
        <v>13</v>
      </c>
    </row>
    <row r="1753" spans="1:7" x14ac:dyDescent="0.25">
      <c r="A1753">
        <v>146</v>
      </c>
      <c r="B1753" t="s">
        <v>341</v>
      </c>
      <c r="C1753">
        <v>120</v>
      </c>
      <c r="D1753" t="s">
        <v>302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342</v>
      </c>
      <c r="C1754">
        <v>10</v>
      </c>
      <c r="D1754" t="s">
        <v>107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342</v>
      </c>
      <c r="C1755">
        <v>20</v>
      </c>
      <c r="D1755" t="s">
        <v>240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342</v>
      </c>
      <c r="C1756">
        <v>30</v>
      </c>
      <c r="D1756" t="s">
        <v>237</v>
      </c>
      <c r="E1756" t="s">
        <v>238</v>
      </c>
      <c r="F1756">
        <v>0.39500000000000002</v>
      </c>
      <c r="G1756" t="s">
        <v>13</v>
      </c>
    </row>
    <row r="1757" spans="1:7" x14ac:dyDescent="0.25">
      <c r="A1757">
        <v>147</v>
      </c>
      <c r="B1757" t="s">
        <v>342</v>
      </c>
      <c r="C1757">
        <v>40</v>
      </c>
      <c r="D1757" t="s">
        <v>101</v>
      </c>
      <c r="E1757" t="s">
        <v>14</v>
      </c>
      <c r="F1757">
        <v>13.818</v>
      </c>
      <c r="G1757" t="s">
        <v>13</v>
      </c>
    </row>
    <row r="1758" spans="1:7" x14ac:dyDescent="0.25">
      <c r="A1758">
        <v>147</v>
      </c>
      <c r="B1758" t="s">
        <v>342</v>
      </c>
      <c r="C1758">
        <v>50</v>
      </c>
      <c r="D1758" t="s">
        <v>16</v>
      </c>
      <c r="E1758" t="s">
        <v>14</v>
      </c>
      <c r="F1758">
        <v>84.977999999999994</v>
      </c>
      <c r="G1758" t="s">
        <v>13</v>
      </c>
    </row>
    <row r="1759" spans="1:7" x14ac:dyDescent="0.25">
      <c r="A1759">
        <v>147</v>
      </c>
      <c r="B1759" t="s">
        <v>342</v>
      </c>
      <c r="C1759">
        <v>60</v>
      </c>
      <c r="D1759" t="s">
        <v>230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342</v>
      </c>
      <c r="C1760">
        <v>70</v>
      </c>
      <c r="D1760" t="s">
        <v>229</v>
      </c>
      <c r="E1760" t="s">
        <v>12</v>
      </c>
      <c r="F1760">
        <v>0.107</v>
      </c>
      <c r="G1760" t="s">
        <v>13</v>
      </c>
    </row>
    <row r="1761" spans="1:7" x14ac:dyDescent="0.25">
      <c r="A1761">
        <v>147</v>
      </c>
      <c r="B1761" t="s">
        <v>342</v>
      </c>
      <c r="C1761">
        <v>80</v>
      </c>
      <c r="D1761" t="s">
        <v>228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342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342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342</v>
      </c>
      <c r="C1764">
        <v>110</v>
      </c>
      <c r="D1764" t="s">
        <v>103</v>
      </c>
      <c r="E1764" t="s">
        <v>12</v>
      </c>
      <c r="F1764">
        <v>1.2430000000000001</v>
      </c>
      <c r="G1764" t="s">
        <v>13</v>
      </c>
    </row>
    <row r="1765" spans="1:7" x14ac:dyDescent="0.25">
      <c r="A1765">
        <v>147</v>
      </c>
      <c r="B1765" t="s">
        <v>342</v>
      </c>
      <c r="C1765">
        <v>120</v>
      </c>
      <c r="D1765" t="s">
        <v>304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343</v>
      </c>
      <c r="C1766">
        <v>10</v>
      </c>
      <c r="D1766" t="s">
        <v>107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343</v>
      </c>
      <c r="C1767">
        <v>20</v>
      </c>
      <c r="D1767" t="s">
        <v>240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343</v>
      </c>
      <c r="C1768">
        <v>30</v>
      </c>
      <c r="D1768" t="s">
        <v>237</v>
      </c>
      <c r="E1768" t="s">
        <v>238</v>
      </c>
      <c r="F1768">
        <v>0.496</v>
      </c>
      <c r="G1768" t="s">
        <v>13</v>
      </c>
    </row>
    <row r="1769" spans="1:7" x14ac:dyDescent="0.25">
      <c r="A1769">
        <v>148</v>
      </c>
      <c r="B1769" t="s">
        <v>343</v>
      </c>
      <c r="C1769">
        <v>40</v>
      </c>
      <c r="D1769" t="s">
        <v>101</v>
      </c>
      <c r="E1769" t="s">
        <v>14</v>
      </c>
      <c r="F1769">
        <v>15.037000000000001</v>
      </c>
      <c r="G1769" t="s">
        <v>13</v>
      </c>
    </row>
    <row r="1770" spans="1:7" x14ac:dyDescent="0.25">
      <c r="A1770">
        <v>148</v>
      </c>
      <c r="B1770" t="s">
        <v>343</v>
      </c>
      <c r="C1770">
        <v>50</v>
      </c>
      <c r="D1770" t="s">
        <v>16</v>
      </c>
      <c r="E1770" t="s">
        <v>14</v>
      </c>
      <c r="F1770">
        <v>92.475999999999999</v>
      </c>
      <c r="G1770" t="s">
        <v>13</v>
      </c>
    </row>
    <row r="1771" spans="1:7" x14ac:dyDescent="0.25">
      <c r="A1771">
        <v>148</v>
      </c>
      <c r="B1771" t="s">
        <v>343</v>
      </c>
      <c r="C1771">
        <v>60</v>
      </c>
      <c r="D1771" t="s">
        <v>230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343</v>
      </c>
      <c r="C1772">
        <v>70</v>
      </c>
      <c r="D1772" t="s">
        <v>229</v>
      </c>
      <c r="E1772" t="s">
        <v>12</v>
      </c>
      <c r="F1772">
        <v>0.128</v>
      </c>
      <c r="G1772" t="s">
        <v>13</v>
      </c>
    </row>
    <row r="1773" spans="1:7" x14ac:dyDescent="0.25">
      <c r="A1773">
        <v>148</v>
      </c>
      <c r="B1773" t="s">
        <v>343</v>
      </c>
      <c r="C1773">
        <v>80</v>
      </c>
      <c r="D1773" t="s">
        <v>228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343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343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343</v>
      </c>
      <c r="C1776">
        <v>110</v>
      </c>
      <c r="D1776" t="s">
        <v>103</v>
      </c>
      <c r="E1776" t="s">
        <v>12</v>
      </c>
      <c r="F1776">
        <v>1.2430000000000001</v>
      </c>
      <c r="G1776" t="s">
        <v>13</v>
      </c>
    </row>
    <row r="1777" spans="1:7" x14ac:dyDescent="0.25">
      <c r="A1777">
        <v>148</v>
      </c>
      <c r="B1777" t="s">
        <v>343</v>
      </c>
      <c r="C1777">
        <v>120</v>
      </c>
      <c r="D1777" t="s">
        <v>306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344</v>
      </c>
      <c r="C1778">
        <v>10</v>
      </c>
      <c r="D1778" t="s">
        <v>107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344</v>
      </c>
      <c r="C1779">
        <v>20</v>
      </c>
      <c r="D1779" t="s">
        <v>240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344</v>
      </c>
      <c r="C1780">
        <v>30</v>
      </c>
      <c r="D1780" t="s">
        <v>237</v>
      </c>
      <c r="E1780" t="s">
        <v>238</v>
      </c>
      <c r="F1780">
        <v>0.54600000000000004</v>
      </c>
      <c r="G1780" t="s">
        <v>13</v>
      </c>
    </row>
    <row r="1781" spans="1:7" x14ac:dyDescent="0.25">
      <c r="A1781">
        <v>149</v>
      </c>
      <c r="B1781" t="s">
        <v>344</v>
      </c>
      <c r="C1781">
        <v>40</v>
      </c>
      <c r="D1781" t="s">
        <v>101</v>
      </c>
      <c r="E1781" t="s">
        <v>14</v>
      </c>
      <c r="F1781">
        <v>15.646000000000001</v>
      </c>
      <c r="G1781" t="s">
        <v>13</v>
      </c>
    </row>
    <row r="1782" spans="1:7" x14ac:dyDescent="0.25">
      <c r="A1782">
        <v>149</v>
      </c>
      <c r="B1782" t="s">
        <v>344</v>
      </c>
      <c r="C1782">
        <v>50</v>
      </c>
      <c r="D1782" t="s">
        <v>16</v>
      </c>
      <c r="E1782" t="s">
        <v>14</v>
      </c>
      <c r="F1782">
        <v>96.224999999999994</v>
      </c>
      <c r="G1782" t="s">
        <v>13</v>
      </c>
    </row>
    <row r="1783" spans="1:7" x14ac:dyDescent="0.25">
      <c r="A1783">
        <v>149</v>
      </c>
      <c r="B1783" t="s">
        <v>344</v>
      </c>
      <c r="C1783">
        <v>60</v>
      </c>
      <c r="D1783" t="s">
        <v>230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344</v>
      </c>
      <c r="C1784">
        <v>70</v>
      </c>
      <c r="D1784" t="s">
        <v>229</v>
      </c>
      <c r="E1784" t="s">
        <v>12</v>
      </c>
      <c r="F1784">
        <v>0.13900000000000001</v>
      </c>
      <c r="G1784" t="s">
        <v>13</v>
      </c>
    </row>
    <row r="1785" spans="1:7" x14ac:dyDescent="0.25">
      <c r="A1785">
        <v>149</v>
      </c>
      <c r="B1785" t="s">
        <v>344</v>
      </c>
      <c r="C1785">
        <v>80</v>
      </c>
      <c r="D1785" t="s">
        <v>228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344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344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344</v>
      </c>
      <c r="C1788">
        <v>110</v>
      </c>
      <c r="D1788" t="s">
        <v>103</v>
      </c>
      <c r="E1788" t="s">
        <v>12</v>
      </c>
      <c r="F1788">
        <v>1.2430000000000001</v>
      </c>
      <c r="G1788" t="s">
        <v>13</v>
      </c>
    </row>
    <row r="1789" spans="1:7" x14ac:dyDescent="0.25">
      <c r="A1789">
        <v>149</v>
      </c>
      <c r="B1789" t="s">
        <v>344</v>
      </c>
      <c r="C1789">
        <v>120</v>
      </c>
      <c r="D1789" t="s">
        <v>308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345</v>
      </c>
      <c r="C1790">
        <v>10</v>
      </c>
      <c r="D1790" t="s">
        <v>107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345</v>
      </c>
      <c r="C1791">
        <v>20</v>
      </c>
      <c r="D1791" t="s">
        <v>240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345</v>
      </c>
      <c r="C1792">
        <v>30</v>
      </c>
      <c r="D1792" t="s">
        <v>237</v>
      </c>
      <c r="E1792" t="s">
        <v>238</v>
      </c>
      <c r="F1792">
        <v>0.59699999999999998</v>
      </c>
      <c r="G1792" t="s">
        <v>13</v>
      </c>
    </row>
    <row r="1793" spans="1:7" x14ac:dyDescent="0.25">
      <c r="A1793">
        <v>150</v>
      </c>
      <c r="B1793" t="s">
        <v>345</v>
      </c>
      <c r="C1793">
        <v>40</v>
      </c>
      <c r="D1793" t="s">
        <v>101</v>
      </c>
      <c r="E1793" t="s">
        <v>14</v>
      </c>
      <c r="F1793">
        <v>16.256</v>
      </c>
      <c r="G1793" t="s">
        <v>13</v>
      </c>
    </row>
    <row r="1794" spans="1:7" x14ac:dyDescent="0.25">
      <c r="A1794">
        <v>150</v>
      </c>
      <c r="B1794" t="s">
        <v>345</v>
      </c>
      <c r="C1794">
        <v>50</v>
      </c>
      <c r="D1794" t="s">
        <v>16</v>
      </c>
      <c r="E1794" t="s">
        <v>14</v>
      </c>
      <c r="F1794">
        <v>99.974000000000004</v>
      </c>
      <c r="G1794" t="s">
        <v>13</v>
      </c>
    </row>
    <row r="1795" spans="1:7" x14ac:dyDescent="0.25">
      <c r="A1795">
        <v>150</v>
      </c>
      <c r="B1795" t="s">
        <v>345</v>
      </c>
      <c r="C1795">
        <v>60</v>
      </c>
      <c r="D1795" t="s">
        <v>230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345</v>
      </c>
      <c r="C1796">
        <v>70</v>
      </c>
      <c r="D1796" t="s">
        <v>229</v>
      </c>
      <c r="E1796" t="s">
        <v>12</v>
      </c>
      <c r="F1796">
        <v>0.14899999999999999</v>
      </c>
      <c r="G1796" t="s">
        <v>13</v>
      </c>
    </row>
    <row r="1797" spans="1:7" x14ac:dyDescent="0.25">
      <c r="A1797">
        <v>150</v>
      </c>
      <c r="B1797" t="s">
        <v>345</v>
      </c>
      <c r="C1797">
        <v>80</v>
      </c>
      <c r="D1797" t="s">
        <v>228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345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345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345</v>
      </c>
      <c r="C1800">
        <v>110</v>
      </c>
      <c r="D1800" t="s">
        <v>103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150</v>
      </c>
      <c r="B1801" t="s">
        <v>345</v>
      </c>
      <c r="C1801">
        <v>120</v>
      </c>
      <c r="D1801" t="s">
        <v>310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N18" sqref="N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26</v>
      </c>
      <c r="C2" s="47" t="s">
        <v>27</v>
      </c>
      <c r="D2" s="47" t="s">
        <v>28</v>
      </c>
      <c r="E2" s="47" t="s">
        <v>27</v>
      </c>
      <c r="F2" s="47" t="s">
        <v>28</v>
      </c>
      <c r="G2" s="47" t="s">
        <v>26</v>
      </c>
      <c r="H2" s="47" t="s">
        <v>28</v>
      </c>
      <c r="I2" s="47" t="s">
        <v>28</v>
      </c>
      <c r="J2" s="47" t="s">
        <v>28</v>
      </c>
      <c r="K2" s="47" t="s">
        <v>28</v>
      </c>
      <c r="L2" s="47" t="s">
        <v>26</v>
      </c>
      <c r="M2" s="48" t="s">
        <v>29</v>
      </c>
      <c r="N2" s="20" t="s">
        <v>29</v>
      </c>
      <c r="O2" s="48" t="s">
        <v>29</v>
      </c>
      <c r="P2" s="48" t="s">
        <v>30</v>
      </c>
      <c r="Q2" s="48" t="s">
        <v>29</v>
      </c>
      <c r="R2" s="48" t="s">
        <v>30</v>
      </c>
      <c r="S2" s="48" t="s">
        <v>29</v>
      </c>
      <c r="T2" s="48" t="s">
        <v>29</v>
      </c>
      <c r="U2" s="48" t="s">
        <v>30</v>
      </c>
      <c r="V2" s="48" t="s">
        <v>29</v>
      </c>
      <c r="W2" s="48" t="s">
        <v>29</v>
      </c>
      <c r="X2" s="48" t="s">
        <v>29</v>
      </c>
      <c r="Y2" s="48" t="s">
        <v>30</v>
      </c>
      <c r="Z2" s="48" t="s">
        <v>31</v>
      </c>
      <c r="AA2" s="48" t="s">
        <v>29</v>
      </c>
      <c r="AB2" s="48" t="s">
        <v>29</v>
      </c>
      <c r="AC2" s="48" t="s">
        <v>29</v>
      </c>
      <c r="AD2" s="48" t="s">
        <v>29</v>
      </c>
      <c r="AE2" s="48" t="s">
        <v>29</v>
      </c>
      <c r="AF2" s="48" t="s">
        <v>29</v>
      </c>
      <c r="AG2" s="48" t="s">
        <v>31</v>
      </c>
      <c r="AH2" s="48" t="s">
        <v>31</v>
      </c>
      <c r="AI2" s="48" t="s">
        <v>31</v>
      </c>
      <c r="AJ2" s="48" t="s">
        <v>29</v>
      </c>
      <c r="AK2" s="48" t="s">
        <v>29</v>
      </c>
      <c r="AL2" s="48" t="s">
        <v>29</v>
      </c>
    </row>
    <row r="3" spans="1:38" x14ac:dyDescent="0.25">
      <c r="A3" s="49"/>
      <c r="B3" s="47" t="s">
        <v>32</v>
      </c>
      <c r="C3" s="47" t="s">
        <v>33</v>
      </c>
      <c r="D3" s="47" t="s">
        <v>34</v>
      </c>
      <c r="E3" s="47" t="s">
        <v>33</v>
      </c>
      <c r="F3" s="47" t="s">
        <v>35</v>
      </c>
      <c r="G3" s="47" t="s">
        <v>36</v>
      </c>
      <c r="H3" s="47" t="s">
        <v>37</v>
      </c>
      <c r="I3" s="47" t="s">
        <v>38</v>
      </c>
      <c r="J3" s="47" t="s">
        <v>33</v>
      </c>
      <c r="K3" s="47" t="s">
        <v>33</v>
      </c>
      <c r="L3" s="47" t="s">
        <v>39</v>
      </c>
      <c r="M3" s="48" t="s">
        <v>40</v>
      </c>
      <c r="N3" s="20" t="s">
        <v>33</v>
      </c>
      <c r="O3" s="48" t="s">
        <v>35</v>
      </c>
      <c r="P3" s="48" t="s">
        <v>41</v>
      </c>
      <c r="Q3" s="48" t="s">
        <v>38</v>
      </c>
      <c r="R3" s="48" t="s">
        <v>37</v>
      </c>
      <c r="S3" s="48" t="s">
        <v>42</v>
      </c>
      <c r="T3" s="48" t="s">
        <v>40</v>
      </c>
      <c r="U3" s="48" t="s">
        <v>43</v>
      </c>
      <c r="V3" s="48" t="s">
        <v>37</v>
      </c>
      <c r="W3" s="48" t="s">
        <v>38</v>
      </c>
      <c r="X3" s="48" t="s">
        <v>38</v>
      </c>
      <c r="Y3" s="48" t="s">
        <v>32</v>
      </c>
      <c r="Z3" s="48" t="s">
        <v>39</v>
      </c>
      <c r="AA3" s="48" t="s">
        <v>44</v>
      </c>
      <c r="AB3" s="48" t="s">
        <v>44</v>
      </c>
      <c r="AC3" s="48" t="s">
        <v>38</v>
      </c>
      <c r="AD3" s="48" t="s">
        <v>38</v>
      </c>
      <c r="AE3" s="48" t="s">
        <v>43</v>
      </c>
      <c r="AF3" s="48" t="s">
        <v>42</v>
      </c>
      <c r="AG3" s="48" t="s">
        <v>32</v>
      </c>
      <c r="AH3" s="48" t="s">
        <v>39</v>
      </c>
      <c r="AI3" s="48" t="s">
        <v>39</v>
      </c>
      <c r="AJ3" s="48" t="s">
        <v>33</v>
      </c>
      <c r="AK3" s="48" t="s">
        <v>35</v>
      </c>
      <c r="AL3" s="48" t="s">
        <v>45</v>
      </c>
    </row>
    <row r="4" spans="1:38" x14ac:dyDescent="0.25">
      <c r="A4" s="49"/>
      <c r="B4" s="21" t="s">
        <v>46</v>
      </c>
      <c r="C4" s="21" t="s">
        <v>47</v>
      </c>
      <c r="D4" s="47" t="s">
        <v>48</v>
      </c>
      <c r="E4" s="21" t="s">
        <v>3</v>
      </c>
      <c r="F4" s="47" t="s">
        <v>49</v>
      </c>
      <c r="G4" s="21" t="s">
        <v>50</v>
      </c>
      <c r="H4" s="21" t="s">
        <v>6</v>
      </c>
      <c r="I4" s="21" t="s">
        <v>51</v>
      </c>
      <c r="J4" s="47" t="s">
        <v>52</v>
      </c>
      <c r="K4" s="47" t="s">
        <v>53</v>
      </c>
      <c r="L4" s="47" t="s">
        <v>54</v>
      </c>
      <c r="M4" s="22" t="s">
        <v>55</v>
      </c>
      <c r="N4" s="23" t="s">
        <v>3</v>
      </c>
      <c r="O4" s="48" t="s">
        <v>49</v>
      </c>
      <c r="P4" s="48" t="s">
        <v>56</v>
      </c>
      <c r="Q4" s="48" t="s">
        <v>57</v>
      </c>
      <c r="R4" s="48" t="s">
        <v>4</v>
      </c>
      <c r="S4" s="48" t="s">
        <v>58</v>
      </c>
      <c r="T4" s="48" t="s">
        <v>59</v>
      </c>
      <c r="U4" s="48" t="s">
        <v>60</v>
      </c>
      <c r="V4" s="48" t="s">
        <v>6</v>
      </c>
      <c r="W4" s="48" t="s">
        <v>61</v>
      </c>
      <c r="X4" s="48" t="s">
        <v>62</v>
      </c>
      <c r="Y4" s="48" t="s">
        <v>63</v>
      </c>
      <c r="Z4" s="48" t="s">
        <v>64</v>
      </c>
      <c r="AA4" s="48" t="s">
        <v>65</v>
      </c>
      <c r="AB4" s="48" t="s">
        <v>66</v>
      </c>
      <c r="AC4" s="48" t="s">
        <v>67</v>
      </c>
      <c r="AD4" s="48" t="s">
        <v>68</v>
      </c>
      <c r="AE4" s="48" t="s">
        <v>69</v>
      </c>
      <c r="AF4" s="48" t="s">
        <v>70</v>
      </c>
      <c r="AG4" s="48" t="s">
        <v>71</v>
      </c>
      <c r="AH4" s="48" t="s">
        <v>72</v>
      </c>
      <c r="AI4" s="48" t="s">
        <v>73</v>
      </c>
      <c r="AJ4" s="48" t="s">
        <v>74</v>
      </c>
      <c r="AK4" s="48" t="s">
        <v>75</v>
      </c>
      <c r="AL4" s="48" t="s">
        <v>76</v>
      </c>
    </row>
    <row r="5" spans="1:38" x14ac:dyDescent="0.25">
      <c r="A5" s="3">
        <v>1</v>
      </c>
      <c r="B5" s="3" t="s">
        <v>86</v>
      </c>
      <c r="C5" s="3" t="s">
        <v>106</v>
      </c>
      <c r="D5" s="3"/>
      <c r="E5" s="3" t="s">
        <v>106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107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106</v>
      </c>
      <c r="D6" s="3"/>
      <c r="E6" s="3" t="s">
        <v>106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240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106</v>
      </c>
      <c r="D7" s="3"/>
      <c r="E7" s="3" t="s">
        <v>106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237</v>
      </c>
      <c r="O7" s="3"/>
      <c r="P7" s="3"/>
      <c r="Q7" s="3">
        <v>0.23</v>
      </c>
      <c r="R7" s="3" t="s">
        <v>238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106</v>
      </c>
      <c r="D8" s="3"/>
      <c r="E8" s="3" t="s">
        <v>106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101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106</v>
      </c>
      <c r="D9" s="3"/>
      <c r="E9" s="3" t="s">
        <v>106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16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106</v>
      </c>
      <c r="D10" s="3"/>
      <c r="E10" s="3" t="s">
        <v>106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230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106</v>
      </c>
      <c r="D11" s="3"/>
      <c r="E11" s="3" t="s">
        <v>106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229</v>
      </c>
      <c r="O11" s="3"/>
      <c r="P11" s="3"/>
      <c r="Q11" s="3">
        <v>0.08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106</v>
      </c>
      <c r="D12" s="3"/>
      <c r="E12" s="3" t="s">
        <v>106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228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106</v>
      </c>
      <c r="D13" s="3"/>
      <c r="E13" s="3" t="s">
        <v>106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106</v>
      </c>
      <c r="D14" s="3"/>
      <c r="E14" s="3" t="s">
        <v>106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106</v>
      </c>
      <c r="D15" s="3"/>
      <c r="E15" s="3" t="s">
        <v>106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0.55400000000000005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106</v>
      </c>
      <c r="D16" s="3"/>
      <c r="E16" s="3" t="s">
        <v>106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107</v>
      </c>
      <c r="O17" s="3"/>
      <c r="P17" s="3"/>
      <c r="Q17" s="3">
        <v>1.016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240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109</v>
      </c>
      <c r="D19" s="3"/>
      <c r="E19" s="3" t="s">
        <v>109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237</v>
      </c>
      <c r="O19" s="3"/>
      <c r="P19" s="3"/>
      <c r="Q19" s="3">
        <v>0.27300000000000002</v>
      </c>
      <c r="R19" s="3" t="s">
        <v>238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109</v>
      </c>
      <c r="D20" s="3"/>
      <c r="E20" s="3" t="s">
        <v>109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101</v>
      </c>
      <c r="O20" s="3"/>
      <c r="P20" s="3"/>
      <c r="Q20" s="3">
        <v>11.683999999999999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109</v>
      </c>
      <c r="D21" s="3"/>
      <c r="E21" s="3" t="s">
        <v>109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16</v>
      </c>
      <c r="O21" s="3"/>
      <c r="P21" s="3"/>
      <c r="Q21" s="3">
        <v>71.856999999999999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109</v>
      </c>
      <c r="D22" s="3"/>
      <c r="E22" s="3" t="s">
        <v>109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230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109</v>
      </c>
      <c r="D23" s="3"/>
      <c r="E23" s="3" t="s">
        <v>109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229</v>
      </c>
      <c r="O23" s="3"/>
      <c r="P23" s="3"/>
      <c r="Q23" s="3">
        <v>9.0999999999999998E-2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109</v>
      </c>
      <c r="D24" s="3"/>
      <c r="E24" s="3" t="s">
        <v>109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228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109</v>
      </c>
      <c r="D25" s="3"/>
      <c r="E25" s="3" t="s">
        <v>109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109</v>
      </c>
      <c r="D26" s="3"/>
      <c r="E26" s="3" t="s">
        <v>109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109</v>
      </c>
      <c r="D27" s="3"/>
      <c r="E27" s="3" t="s">
        <v>109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0.63500000000000001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109</v>
      </c>
      <c r="D28" s="3"/>
      <c r="E28" s="3" t="s">
        <v>109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107</v>
      </c>
      <c r="O29" s="3"/>
      <c r="P29" s="3"/>
      <c r="Q29" s="3">
        <v>1.1679999999999999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240</v>
      </c>
      <c r="O30" s="3"/>
      <c r="P30" s="3"/>
      <c r="Q30" s="3">
        <v>1.1679999999999999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237</v>
      </c>
      <c r="O31" s="3"/>
      <c r="P31" s="3"/>
      <c r="Q31" s="3">
        <v>0.316</v>
      </c>
      <c r="R31" s="3" t="s">
        <v>238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101</v>
      </c>
      <c r="O32" s="3"/>
      <c r="P32" s="3"/>
      <c r="Q32" s="3">
        <v>12.294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16</v>
      </c>
      <c r="O33" s="3"/>
      <c r="P33" s="3"/>
      <c r="Q33" s="3">
        <v>75.605999999999995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230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229</v>
      </c>
      <c r="O35" s="3"/>
      <c r="P35" s="3"/>
      <c r="Q35" s="3">
        <v>0.10100000000000001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228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0.71599999999999997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113</v>
      </c>
      <c r="D41" s="3"/>
      <c r="E41" s="3" t="s">
        <v>113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107</v>
      </c>
      <c r="O41" s="3"/>
      <c r="P41" s="3"/>
      <c r="Q41" s="3">
        <v>1.321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113</v>
      </c>
      <c r="D42" s="3"/>
      <c r="E42" s="3" t="s">
        <v>113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240</v>
      </c>
      <c r="O42" s="3"/>
      <c r="P42" s="3"/>
      <c r="Q42" s="3">
        <v>1.321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113</v>
      </c>
      <c r="D43" s="3"/>
      <c r="E43" s="3" t="s">
        <v>113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237</v>
      </c>
      <c r="O43" s="3"/>
      <c r="P43" s="3"/>
      <c r="Q43" s="3">
        <v>0.35899999999999999</v>
      </c>
      <c r="R43" s="3" t="s">
        <v>238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113</v>
      </c>
      <c r="D44" s="3"/>
      <c r="E44" s="3" t="s">
        <v>113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101</v>
      </c>
      <c r="O44" s="3"/>
      <c r="P44" s="3"/>
      <c r="Q44" s="3">
        <v>12.903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113</v>
      </c>
      <c r="D45" s="3"/>
      <c r="E45" s="3" t="s">
        <v>113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16</v>
      </c>
      <c r="O45" s="3"/>
      <c r="P45" s="3"/>
      <c r="Q45" s="3">
        <v>79.355000000000004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113</v>
      </c>
      <c r="D46" s="3"/>
      <c r="E46" s="3" t="s">
        <v>113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230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113</v>
      </c>
      <c r="D47" s="3"/>
      <c r="E47" s="3" t="s">
        <v>113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229</v>
      </c>
      <c r="O47" s="3"/>
      <c r="P47" s="3"/>
      <c r="Q47" s="3">
        <v>0.112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113</v>
      </c>
      <c r="D48" s="3"/>
      <c r="E48" s="3" t="s">
        <v>113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228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113</v>
      </c>
      <c r="D49" s="3"/>
      <c r="E49" s="3" t="s">
        <v>113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113</v>
      </c>
      <c r="D50" s="3"/>
      <c r="E50" s="3" t="s">
        <v>113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113</v>
      </c>
      <c r="D51" s="3"/>
      <c r="E51" s="3" t="s">
        <v>113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0.79700000000000004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113</v>
      </c>
      <c r="D52" s="3"/>
      <c r="E52" s="3" t="s">
        <v>113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107</v>
      </c>
      <c r="O53" s="3"/>
      <c r="P53" s="3"/>
      <c r="Q53" s="3">
        <v>1.397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240</v>
      </c>
      <c r="O54" s="3"/>
      <c r="P54" s="3"/>
      <c r="Q54" s="3">
        <v>1.397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237</v>
      </c>
      <c r="O55" s="3"/>
      <c r="P55" s="3"/>
      <c r="Q55" s="3">
        <v>0.38100000000000001</v>
      </c>
      <c r="R55" s="3" t="s">
        <v>238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101</v>
      </c>
      <c r="O56" s="3"/>
      <c r="P56" s="3"/>
      <c r="Q56" s="3">
        <v>13.208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16</v>
      </c>
      <c r="O57" s="3"/>
      <c r="P57" s="3"/>
      <c r="Q57" s="3">
        <v>81.228999999999999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230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229</v>
      </c>
      <c r="O59" s="3"/>
      <c r="P59" s="3"/>
      <c r="Q59" s="3">
        <v>0.11700000000000001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228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0.83799999999999997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107</v>
      </c>
      <c r="O65" s="3"/>
      <c r="P65" s="3"/>
      <c r="Q65" s="3">
        <v>1.4730000000000001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240</v>
      </c>
      <c r="O66" s="3"/>
      <c r="P66" s="3"/>
      <c r="Q66" s="3">
        <v>1.4730000000000001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237</v>
      </c>
      <c r="O67" s="3"/>
      <c r="P67" s="3"/>
      <c r="Q67" s="3">
        <v>0.40300000000000002</v>
      </c>
      <c r="R67" s="3" t="s">
        <v>238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101</v>
      </c>
      <c r="O68" s="3"/>
      <c r="P68" s="3"/>
      <c r="Q68" s="3">
        <v>13.513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16</v>
      </c>
      <c r="O69" s="3"/>
      <c r="P69" s="3"/>
      <c r="Q69" s="3">
        <v>83.103999999999999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230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229</v>
      </c>
      <c r="O71" s="3"/>
      <c r="P71" s="3"/>
      <c r="Q71" s="3">
        <v>0.123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228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0.878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107</v>
      </c>
      <c r="O77" s="3"/>
      <c r="P77" s="3"/>
      <c r="Q77" s="3">
        <v>1.6259999999999999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240</v>
      </c>
      <c r="O78" s="3"/>
      <c r="P78" s="3"/>
      <c r="Q78" s="3">
        <v>1.6259999999999999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237</v>
      </c>
      <c r="O79" s="3"/>
      <c r="P79" s="3"/>
      <c r="Q79" s="3">
        <v>0.44600000000000001</v>
      </c>
      <c r="R79" s="3" t="s">
        <v>238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101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16</v>
      </c>
      <c r="O81" s="3"/>
      <c r="P81" s="3"/>
      <c r="Q81" s="3">
        <v>86.852999999999994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230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229</v>
      </c>
      <c r="O83" s="3"/>
      <c r="P83" s="3"/>
      <c r="Q83" s="3">
        <v>0.13300000000000001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228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0.95899999999999996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121</v>
      </c>
      <c r="D89" s="3"/>
      <c r="E89" s="3" t="s">
        <v>121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107</v>
      </c>
      <c r="O89" s="3"/>
      <c r="P89" s="3"/>
      <c r="Q89" s="3">
        <v>1.778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121</v>
      </c>
      <c r="D90" s="3"/>
      <c r="E90" s="3" t="s">
        <v>121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240</v>
      </c>
      <c r="O90" s="3"/>
      <c r="P90" s="3"/>
      <c r="Q90" s="3">
        <v>1.778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121</v>
      </c>
      <c r="D91" s="3"/>
      <c r="E91" s="3" t="s">
        <v>121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237</v>
      </c>
      <c r="O91" s="3"/>
      <c r="P91" s="3"/>
      <c r="Q91" s="3">
        <v>0.48899999999999999</v>
      </c>
      <c r="R91" s="3" t="s">
        <v>238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121</v>
      </c>
      <c r="D92" s="3"/>
      <c r="E92" s="3" t="s">
        <v>121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101</v>
      </c>
      <c r="O92" s="3"/>
      <c r="P92" s="3"/>
      <c r="Q92" s="3">
        <v>14.731999999999999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121</v>
      </c>
      <c r="D93" s="3"/>
      <c r="E93" s="3" t="s">
        <v>121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16</v>
      </c>
      <c r="O93" s="3"/>
      <c r="P93" s="3"/>
      <c r="Q93" s="3">
        <v>90.602000000000004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121</v>
      </c>
      <c r="D94" s="3"/>
      <c r="E94" s="3" t="s">
        <v>121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230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121</v>
      </c>
      <c r="D95" s="3"/>
      <c r="E95" s="3" t="s">
        <v>121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229</v>
      </c>
      <c r="O95" s="3"/>
      <c r="P95" s="3"/>
      <c r="Q95" s="3">
        <v>0.14399999999999999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121</v>
      </c>
      <c r="D96" s="3"/>
      <c r="E96" s="3" t="s">
        <v>121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228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121</v>
      </c>
      <c r="D97" s="3"/>
      <c r="E97" s="3" t="s">
        <v>121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121</v>
      </c>
      <c r="D98" s="3"/>
      <c r="E98" s="3" t="s">
        <v>121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121</v>
      </c>
      <c r="D99" s="3"/>
      <c r="E99" s="3" t="s">
        <v>121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1.04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121</v>
      </c>
      <c r="D100" s="3"/>
      <c r="E100" s="3" t="s">
        <v>121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107</v>
      </c>
      <c r="O101" s="3"/>
      <c r="P101" s="3"/>
      <c r="Q101" s="3">
        <v>0.86399999999999999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240</v>
      </c>
      <c r="O102" s="3"/>
      <c r="P102" s="3"/>
      <c r="Q102" s="3">
        <v>0.86399999999999999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237</v>
      </c>
      <c r="O103" s="3"/>
      <c r="P103" s="3"/>
      <c r="Q103" s="3">
        <v>0.24</v>
      </c>
      <c r="R103" s="3" t="s">
        <v>238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101</v>
      </c>
      <c r="O104" s="3"/>
      <c r="P104" s="3"/>
      <c r="Q104" s="3">
        <v>11.379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16</v>
      </c>
      <c r="O105" s="3"/>
      <c r="P105" s="3"/>
      <c r="Q105" s="3">
        <v>69.981999999999999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230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229</v>
      </c>
      <c r="O107" s="3"/>
      <c r="P107" s="3"/>
      <c r="Q107" s="3">
        <v>0.08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228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0.55400000000000005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123</v>
      </c>
      <c r="D112" s="3"/>
      <c r="E112" s="3" t="s">
        <v>123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125</v>
      </c>
      <c r="D113" s="3"/>
      <c r="E113" s="3" t="s">
        <v>125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107</v>
      </c>
      <c r="O113" s="3"/>
      <c r="P113" s="3"/>
      <c r="Q113" s="3">
        <v>1.016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125</v>
      </c>
      <c r="D114" s="3"/>
      <c r="E114" s="3" t="s">
        <v>125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240</v>
      </c>
      <c r="O114" s="3"/>
      <c r="P114" s="3"/>
      <c r="Q114" s="3">
        <v>1.016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125</v>
      </c>
      <c r="D115" s="3"/>
      <c r="E115" s="3" t="s">
        <v>125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237</v>
      </c>
      <c r="O115" s="3"/>
      <c r="P115" s="3"/>
      <c r="Q115" s="3">
        <v>0.28499999999999998</v>
      </c>
      <c r="R115" s="3" t="s">
        <v>238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125</v>
      </c>
      <c r="D116" s="3"/>
      <c r="E116" s="3" t="s">
        <v>125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101</v>
      </c>
      <c r="O116" s="3"/>
      <c r="P116" s="3"/>
      <c r="Q116" s="3">
        <v>11.989000000000001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125</v>
      </c>
      <c r="D117" s="3"/>
      <c r="E117" s="3" t="s">
        <v>125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16</v>
      </c>
      <c r="O117" s="3"/>
      <c r="P117" s="3"/>
      <c r="Q117" s="3">
        <v>73.730999999999995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125</v>
      </c>
      <c r="D118" s="3"/>
      <c r="E118" s="3" t="s">
        <v>125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230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125</v>
      </c>
      <c r="D119" s="3"/>
      <c r="E119" s="3" t="s">
        <v>125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229</v>
      </c>
      <c r="O119" s="3"/>
      <c r="P119" s="3"/>
      <c r="Q119" s="3">
        <v>9.0999999999999998E-2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125</v>
      </c>
      <c r="D120" s="3"/>
      <c r="E120" s="3" t="s">
        <v>125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228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125</v>
      </c>
      <c r="D121" s="3"/>
      <c r="E121" s="3" t="s">
        <v>125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125</v>
      </c>
      <c r="D122" s="3"/>
      <c r="E122" s="3" t="s">
        <v>125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125</v>
      </c>
      <c r="D123" s="3"/>
      <c r="E123" s="3" t="s">
        <v>125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0.63500000000000001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125</v>
      </c>
      <c r="D124" s="3"/>
      <c r="E124" s="3" t="s">
        <v>125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127</v>
      </c>
      <c r="D125" s="3"/>
      <c r="E125" s="3" t="s">
        <v>127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107</v>
      </c>
      <c r="O125" s="3"/>
      <c r="P125" s="3"/>
      <c r="Q125" s="3">
        <v>1.1679999999999999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127</v>
      </c>
      <c r="D126" s="3"/>
      <c r="E126" s="3" t="s">
        <v>127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240</v>
      </c>
      <c r="O126" s="3"/>
      <c r="P126" s="3"/>
      <c r="Q126" s="3">
        <v>1.1679999999999999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127</v>
      </c>
      <c r="D127" s="3"/>
      <c r="E127" s="3" t="s">
        <v>127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237</v>
      </c>
      <c r="O127" s="3"/>
      <c r="P127" s="3"/>
      <c r="Q127" s="3">
        <v>0.33</v>
      </c>
      <c r="R127" s="3" t="s">
        <v>238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127</v>
      </c>
      <c r="D128" s="3"/>
      <c r="E128" s="3" t="s">
        <v>127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101</v>
      </c>
      <c r="O128" s="3"/>
      <c r="P128" s="3"/>
      <c r="Q128" s="3">
        <v>12.598000000000001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127</v>
      </c>
      <c r="D129" s="3"/>
      <c r="E129" s="3" t="s">
        <v>127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16</v>
      </c>
      <c r="O129" s="3"/>
      <c r="P129" s="3"/>
      <c r="Q129" s="3">
        <v>77.48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127</v>
      </c>
      <c r="D130" s="3"/>
      <c r="E130" s="3" t="s">
        <v>127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230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127</v>
      </c>
      <c r="D131" s="3"/>
      <c r="E131" s="3" t="s">
        <v>127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229</v>
      </c>
      <c r="O131" s="3"/>
      <c r="P131" s="3"/>
      <c r="Q131" s="3">
        <v>0.10100000000000001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127</v>
      </c>
      <c r="D132" s="3"/>
      <c r="E132" s="3" t="s">
        <v>127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228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127</v>
      </c>
      <c r="D133" s="3"/>
      <c r="E133" s="3" t="s">
        <v>127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127</v>
      </c>
      <c r="D134" s="3"/>
      <c r="E134" s="3" t="s">
        <v>127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127</v>
      </c>
      <c r="D135" s="3"/>
      <c r="E135" s="3" t="s">
        <v>127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0.71599999999999997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127</v>
      </c>
      <c r="D136" s="3"/>
      <c r="E136" s="3" t="s">
        <v>127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129</v>
      </c>
      <c r="D137" s="3"/>
      <c r="E137" s="3" t="s">
        <v>129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107</v>
      </c>
      <c r="O137" s="3"/>
      <c r="P137" s="3"/>
      <c r="Q137" s="3">
        <v>1.321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240</v>
      </c>
      <c r="O138" s="3"/>
      <c r="P138" s="3"/>
      <c r="Q138" s="3">
        <v>1.321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237</v>
      </c>
      <c r="O139" s="3"/>
      <c r="P139" s="3"/>
      <c r="Q139" s="3">
        <v>0.375</v>
      </c>
      <c r="R139" s="3" t="s">
        <v>238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129</v>
      </c>
      <c r="D140" s="3"/>
      <c r="E140" s="3" t="s">
        <v>129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101</v>
      </c>
      <c r="O140" s="3"/>
      <c r="P140" s="3"/>
      <c r="Q140" s="3">
        <v>13.208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16</v>
      </c>
      <c r="O141" s="3"/>
      <c r="P141" s="3"/>
      <c r="Q141" s="3">
        <v>81.228999999999999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230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229</v>
      </c>
      <c r="O143" s="3"/>
      <c r="P143" s="3"/>
      <c r="Q143" s="3">
        <v>0.112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228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129</v>
      </c>
      <c r="D145" s="3"/>
      <c r="E145" s="3" t="s">
        <v>129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129</v>
      </c>
      <c r="D146" s="3"/>
      <c r="E146" s="3" t="s">
        <v>129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129</v>
      </c>
      <c r="D147" s="3"/>
      <c r="E147" s="3" t="s">
        <v>129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0.79700000000000004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129</v>
      </c>
      <c r="D148" s="3"/>
      <c r="E148" s="3" t="s">
        <v>129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107</v>
      </c>
      <c r="O149" s="3"/>
      <c r="P149" s="3"/>
      <c r="Q149" s="3">
        <v>1.397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240</v>
      </c>
      <c r="O150" s="3"/>
      <c r="P150" s="3"/>
      <c r="Q150" s="3">
        <v>1.397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237</v>
      </c>
      <c r="O151" s="3"/>
      <c r="P151" s="3"/>
      <c r="Q151" s="3">
        <v>0.39700000000000002</v>
      </c>
      <c r="R151" s="3" t="s">
        <v>238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101</v>
      </c>
      <c r="O152" s="3"/>
      <c r="P152" s="3"/>
      <c r="Q152" s="3">
        <v>13.513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16</v>
      </c>
      <c r="O153" s="3"/>
      <c r="P153" s="3"/>
      <c r="Q153" s="3">
        <v>83.103999999999999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230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131</v>
      </c>
      <c r="D155" s="3"/>
      <c r="E155" s="3" t="s">
        <v>131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229</v>
      </c>
      <c r="O155" s="3"/>
      <c r="P155" s="3"/>
      <c r="Q155" s="3">
        <v>0.11700000000000001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131</v>
      </c>
      <c r="D156" s="3"/>
      <c r="E156" s="3" t="s">
        <v>131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228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131</v>
      </c>
      <c r="D157" s="3"/>
      <c r="E157" s="3" t="s">
        <v>131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131</v>
      </c>
      <c r="D158" s="3"/>
      <c r="E158" s="3" t="s">
        <v>131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131</v>
      </c>
      <c r="D159" s="3"/>
      <c r="E159" s="3" t="s">
        <v>131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0.83799999999999997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131</v>
      </c>
      <c r="D160" s="3"/>
      <c r="E160" s="3" t="s">
        <v>131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107</v>
      </c>
      <c r="O161" s="3"/>
      <c r="P161" s="3"/>
      <c r="Q161" s="3">
        <v>1.4730000000000001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240</v>
      </c>
      <c r="O162" s="3"/>
      <c r="P162" s="3"/>
      <c r="Q162" s="3">
        <v>1.4730000000000001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237</v>
      </c>
      <c r="O163" s="3"/>
      <c r="P163" s="3"/>
      <c r="Q163" s="3">
        <v>0.42</v>
      </c>
      <c r="R163" s="3" t="s">
        <v>238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101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16</v>
      </c>
      <c r="O165" s="3"/>
      <c r="P165" s="3"/>
      <c r="Q165" s="3">
        <v>84.977999999999994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230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229</v>
      </c>
      <c r="O167" s="3"/>
      <c r="P167" s="3"/>
      <c r="Q167" s="3">
        <v>0.123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228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0.878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107</v>
      </c>
      <c r="O173" s="3"/>
      <c r="P173" s="3"/>
      <c r="Q173" s="3">
        <v>1.6259999999999999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240</v>
      </c>
      <c r="O174" s="3"/>
      <c r="P174" s="3"/>
      <c r="Q174" s="3">
        <v>1.6259999999999999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237</v>
      </c>
      <c r="O175" s="3"/>
      <c r="P175" s="3"/>
      <c r="Q175" s="3">
        <v>0.46500000000000002</v>
      </c>
      <c r="R175" s="3" t="s">
        <v>238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101</v>
      </c>
      <c r="O176" s="3"/>
      <c r="P176" s="3"/>
      <c r="Q176" s="3">
        <v>14.427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16</v>
      </c>
      <c r="O177" s="3"/>
      <c r="P177" s="3"/>
      <c r="Q177" s="3">
        <v>88.727000000000004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230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229</v>
      </c>
      <c r="O179" s="3"/>
      <c r="P179" s="3"/>
      <c r="Q179" s="3">
        <v>0.13300000000000001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228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0.95899999999999996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107</v>
      </c>
      <c r="O185" s="3"/>
      <c r="P185" s="3"/>
      <c r="Q185" s="3">
        <v>1.778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240</v>
      </c>
      <c r="O186" s="3"/>
      <c r="P186" s="3"/>
      <c r="Q186" s="3">
        <v>1.778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137</v>
      </c>
      <c r="D187" s="3"/>
      <c r="E187" s="3" t="s">
        <v>137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237</v>
      </c>
      <c r="O187" s="3"/>
      <c r="P187" s="3"/>
      <c r="Q187" s="3">
        <v>0.50900000000000001</v>
      </c>
      <c r="R187" s="3" t="s">
        <v>238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137</v>
      </c>
      <c r="D188" s="3"/>
      <c r="E188" s="3" t="s">
        <v>137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101</v>
      </c>
      <c r="O188" s="3"/>
      <c r="P188" s="3"/>
      <c r="Q188" s="3">
        <v>15.037000000000001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137</v>
      </c>
      <c r="D189" s="3"/>
      <c r="E189" s="3" t="s">
        <v>137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16</v>
      </c>
      <c r="O189" s="3"/>
      <c r="P189" s="3"/>
      <c r="Q189" s="3">
        <v>92.475999999999999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137</v>
      </c>
      <c r="D190" s="3"/>
      <c r="E190" s="3" t="s">
        <v>137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230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137</v>
      </c>
      <c r="D191" s="3"/>
      <c r="E191" s="3" t="s">
        <v>137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229</v>
      </c>
      <c r="O191" s="3"/>
      <c r="P191" s="3"/>
      <c r="Q191" s="3">
        <v>0.14399999999999999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137</v>
      </c>
      <c r="D192" s="3"/>
      <c r="E192" s="3" t="s">
        <v>137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228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137</v>
      </c>
      <c r="D193" s="3"/>
      <c r="E193" s="3" t="s">
        <v>137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137</v>
      </c>
      <c r="D194" s="3"/>
      <c r="E194" s="3" t="s">
        <v>137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137</v>
      </c>
      <c r="D195" s="3"/>
      <c r="E195" s="3" t="s">
        <v>137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1.04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137</v>
      </c>
      <c r="D196" s="3"/>
      <c r="E196" s="3" t="s">
        <v>137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138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139</v>
      </c>
      <c r="D197" s="3"/>
      <c r="E197" s="3" t="s">
        <v>139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107</v>
      </c>
      <c r="O197" s="3"/>
      <c r="P197" s="3"/>
      <c r="Q197" s="3">
        <v>0.86399999999999999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139</v>
      </c>
      <c r="D198" s="3"/>
      <c r="E198" s="3" t="s">
        <v>139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240</v>
      </c>
      <c r="O198" s="3"/>
      <c r="P198" s="3"/>
      <c r="Q198" s="3">
        <v>0.86399999999999999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139</v>
      </c>
      <c r="D199" s="3"/>
      <c r="E199" s="3" t="s">
        <v>139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237</v>
      </c>
      <c r="O199" s="3"/>
      <c r="P199" s="3"/>
      <c r="Q199" s="3">
        <v>0.249</v>
      </c>
      <c r="R199" s="3" t="s">
        <v>238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139</v>
      </c>
      <c r="D200" s="3"/>
      <c r="E200" s="3" t="s">
        <v>139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101</v>
      </c>
      <c r="O200" s="3"/>
      <c r="P200" s="3"/>
      <c r="Q200" s="3">
        <v>11.683999999999999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139</v>
      </c>
      <c r="D201" s="3"/>
      <c r="E201" s="3" t="s">
        <v>139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16</v>
      </c>
      <c r="O201" s="3"/>
      <c r="P201" s="3"/>
      <c r="Q201" s="3">
        <v>71.856999999999999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139</v>
      </c>
      <c r="D202" s="3"/>
      <c r="E202" s="3" t="s">
        <v>139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230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139</v>
      </c>
      <c r="D203" s="3"/>
      <c r="E203" s="3" t="s">
        <v>139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229</v>
      </c>
      <c r="O203" s="3"/>
      <c r="P203" s="3"/>
      <c r="Q203" s="3">
        <v>0.08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139</v>
      </c>
      <c r="D204" s="3"/>
      <c r="E204" s="3" t="s">
        <v>139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228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139</v>
      </c>
      <c r="D205" s="3"/>
      <c r="E205" s="3" t="s">
        <v>139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139</v>
      </c>
      <c r="D206" s="3"/>
      <c r="E206" s="3" t="s">
        <v>139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139</v>
      </c>
      <c r="D207" s="3"/>
      <c r="E207" s="3" t="s">
        <v>139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0.55400000000000005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139</v>
      </c>
      <c r="D208" s="3"/>
      <c r="E208" s="3" t="s">
        <v>139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140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107</v>
      </c>
      <c r="O209" s="3"/>
      <c r="P209" s="3"/>
      <c r="Q209" s="3">
        <v>1.016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240</v>
      </c>
      <c r="O210" s="3"/>
      <c r="P210" s="3"/>
      <c r="Q210" s="3">
        <v>1.016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237</v>
      </c>
      <c r="O211" s="3"/>
      <c r="P211" s="3"/>
      <c r="Q211" s="3">
        <v>0.29599999999999999</v>
      </c>
      <c r="R211" s="3" t="s">
        <v>238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101</v>
      </c>
      <c r="O212" s="3"/>
      <c r="P212" s="3"/>
      <c r="Q212" s="3">
        <v>12.294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141</v>
      </c>
      <c r="D213" s="3"/>
      <c r="E213" s="3" t="s">
        <v>141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16</v>
      </c>
      <c r="O213" s="3"/>
      <c r="P213" s="3"/>
      <c r="Q213" s="3">
        <v>75.605999999999995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141</v>
      </c>
      <c r="D214" s="3"/>
      <c r="E214" s="3" t="s">
        <v>141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230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141</v>
      </c>
      <c r="D215" s="3"/>
      <c r="E215" s="3" t="s">
        <v>141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229</v>
      </c>
      <c r="O215" s="3"/>
      <c r="P215" s="3"/>
      <c r="Q215" s="3">
        <v>9.0999999999999998E-2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141</v>
      </c>
      <c r="D216" s="3"/>
      <c r="E216" s="3" t="s">
        <v>141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228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141</v>
      </c>
      <c r="D217" s="3"/>
      <c r="E217" s="3" t="s">
        <v>141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141</v>
      </c>
      <c r="D218" s="3"/>
      <c r="E218" s="3" t="s">
        <v>141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141</v>
      </c>
      <c r="D219" s="3"/>
      <c r="E219" s="3" t="s">
        <v>141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0.63500000000000001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141</v>
      </c>
      <c r="D220" s="3"/>
      <c r="E220" s="3" t="s">
        <v>141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143</v>
      </c>
      <c r="D221" s="3"/>
      <c r="E221" s="3" t="s">
        <v>143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107</v>
      </c>
      <c r="O221" s="3"/>
      <c r="P221" s="3"/>
      <c r="Q221" s="3">
        <v>1.1679999999999999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143</v>
      </c>
      <c r="D222" s="3"/>
      <c r="E222" s="3" t="s">
        <v>143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240</v>
      </c>
      <c r="O222" s="3"/>
      <c r="P222" s="3"/>
      <c r="Q222" s="3">
        <v>1.1679999999999999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143</v>
      </c>
      <c r="D223" s="3"/>
      <c r="E223" s="3" t="s">
        <v>143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237</v>
      </c>
      <c r="O223" s="3"/>
      <c r="P223" s="3"/>
      <c r="Q223" s="3">
        <v>0.34300000000000003</v>
      </c>
      <c r="R223" s="3" t="s">
        <v>238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143</v>
      </c>
      <c r="D224" s="3"/>
      <c r="E224" s="3" t="s">
        <v>143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101</v>
      </c>
      <c r="O224" s="3"/>
      <c r="P224" s="3"/>
      <c r="Q224" s="3">
        <v>12.903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143</v>
      </c>
      <c r="D225" s="3"/>
      <c r="E225" s="3" t="s">
        <v>143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16</v>
      </c>
      <c r="O225" s="3"/>
      <c r="P225" s="3"/>
      <c r="Q225" s="3">
        <v>79.355000000000004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143</v>
      </c>
      <c r="D226" s="3"/>
      <c r="E226" s="3" t="s">
        <v>143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230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143</v>
      </c>
      <c r="D227" s="3"/>
      <c r="E227" s="3" t="s">
        <v>143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229</v>
      </c>
      <c r="O227" s="3"/>
      <c r="P227" s="3"/>
      <c r="Q227" s="3">
        <v>0.10100000000000001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143</v>
      </c>
      <c r="D228" s="3"/>
      <c r="E228" s="3" t="s">
        <v>143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228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143</v>
      </c>
      <c r="D229" s="3"/>
      <c r="E229" s="3" t="s">
        <v>143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143</v>
      </c>
      <c r="D230" s="3"/>
      <c r="E230" s="3" t="s">
        <v>143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143</v>
      </c>
      <c r="D231" s="3"/>
      <c r="E231" s="3" t="s">
        <v>143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0.71599999999999997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143</v>
      </c>
      <c r="D232" s="3"/>
      <c r="E232" s="3" t="s">
        <v>143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145</v>
      </c>
      <c r="D233" s="3"/>
      <c r="E233" s="3" t="s">
        <v>145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107</v>
      </c>
      <c r="O233" s="3"/>
      <c r="P233" s="3"/>
      <c r="Q233" s="3">
        <v>1.321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145</v>
      </c>
      <c r="D234" s="3"/>
      <c r="E234" s="3" t="s">
        <v>145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240</v>
      </c>
      <c r="O234" s="3"/>
      <c r="P234" s="3"/>
      <c r="Q234" s="3">
        <v>1.321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145</v>
      </c>
      <c r="D235" s="3"/>
      <c r="E235" s="3" t="s">
        <v>145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237</v>
      </c>
      <c r="O235" s="3"/>
      <c r="P235" s="3"/>
      <c r="Q235" s="3">
        <v>0.39</v>
      </c>
      <c r="R235" s="3" t="s">
        <v>238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145</v>
      </c>
      <c r="D236" s="3"/>
      <c r="E236" s="3" t="s">
        <v>145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101</v>
      </c>
      <c r="O236" s="3"/>
      <c r="P236" s="3"/>
      <c r="Q236" s="3">
        <v>13.513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145</v>
      </c>
      <c r="D237" s="3"/>
      <c r="E237" s="3" t="s">
        <v>145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16</v>
      </c>
      <c r="O237" s="3"/>
      <c r="P237" s="3"/>
      <c r="Q237" s="3">
        <v>83.103999999999999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145</v>
      </c>
      <c r="D238" s="3"/>
      <c r="E238" s="3" t="s">
        <v>145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230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145</v>
      </c>
      <c r="D239" s="3"/>
      <c r="E239" s="3" t="s">
        <v>145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229</v>
      </c>
      <c r="O239" s="3"/>
      <c r="P239" s="3"/>
      <c r="Q239" s="3">
        <v>0.112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145</v>
      </c>
      <c r="D240" s="3"/>
      <c r="E240" s="3" t="s">
        <v>145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228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145</v>
      </c>
      <c r="D241" s="3"/>
      <c r="E241" s="3" t="s">
        <v>145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145</v>
      </c>
      <c r="D242" s="3"/>
      <c r="E242" s="3" t="s">
        <v>145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145</v>
      </c>
      <c r="D243" s="3"/>
      <c r="E243" s="3" t="s">
        <v>145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0.79700000000000004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145</v>
      </c>
      <c r="D244" s="3"/>
      <c r="E244" s="3" t="s">
        <v>145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147</v>
      </c>
      <c r="D245" s="3"/>
      <c r="E245" s="3" t="s">
        <v>147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107</v>
      </c>
      <c r="O245" s="3"/>
      <c r="P245" s="3"/>
      <c r="Q245" s="3">
        <v>1.397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147</v>
      </c>
      <c r="D246" s="3"/>
      <c r="E246" s="3" t="s">
        <v>147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240</v>
      </c>
      <c r="O246" s="3"/>
      <c r="P246" s="3"/>
      <c r="Q246" s="3">
        <v>1.397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147</v>
      </c>
      <c r="D247" s="3"/>
      <c r="E247" s="3" t="s">
        <v>147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237</v>
      </c>
      <c r="O247" s="3"/>
      <c r="P247" s="3"/>
      <c r="Q247" s="3">
        <v>0.41299999999999998</v>
      </c>
      <c r="R247" s="3" t="s">
        <v>238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147</v>
      </c>
      <c r="D248" s="3"/>
      <c r="E248" s="3" t="s">
        <v>147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101</v>
      </c>
      <c r="O248" s="3"/>
      <c r="P248" s="3"/>
      <c r="Q248" s="3">
        <v>13.818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147</v>
      </c>
      <c r="D249" s="3"/>
      <c r="E249" s="3" t="s">
        <v>147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16</v>
      </c>
      <c r="O249" s="3"/>
      <c r="P249" s="3"/>
      <c r="Q249" s="3">
        <v>84.977999999999994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147</v>
      </c>
      <c r="D250" s="3"/>
      <c r="E250" s="3" t="s">
        <v>147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230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147</v>
      </c>
      <c r="D251" s="3"/>
      <c r="E251" s="3" t="s">
        <v>147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229</v>
      </c>
      <c r="O251" s="3"/>
      <c r="P251" s="3"/>
      <c r="Q251" s="3">
        <v>0.11700000000000001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147</v>
      </c>
      <c r="D252" s="3"/>
      <c r="E252" s="3" t="s">
        <v>147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228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147</v>
      </c>
      <c r="D253" s="3"/>
      <c r="E253" s="3" t="s">
        <v>147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147</v>
      </c>
      <c r="D254" s="3"/>
      <c r="E254" s="3" t="s">
        <v>147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147</v>
      </c>
      <c r="D255" s="3"/>
      <c r="E255" s="3" t="s">
        <v>147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0.83799999999999997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147</v>
      </c>
      <c r="D256" s="3"/>
      <c r="E256" s="3" t="s">
        <v>147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148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107</v>
      </c>
      <c r="O257" s="3"/>
      <c r="P257" s="3"/>
      <c r="Q257" s="3">
        <v>1.4730000000000001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240</v>
      </c>
      <c r="O258" s="3"/>
      <c r="P258" s="3"/>
      <c r="Q258" s="3">
        <v>1.4730000000000001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237</v>
      </c>
      <c r="O259" s="3"/>
      <c r="P259" s="3"/>
      <c r="Q259" s="3">
        <v>0.437</v>
      </c>
      <c r="R259" s="3" t="s">
        <v>238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101</v>
      </c>
      <c r="O260" s="3"/>
      <c r="P260" s="3"/>
      <c r="Q260" s="3">
        <v>14.122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149</v>
      </c>
      <c r="D261" s="3"/>
      <c r="E261" s="3" t="s">
        <v>149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16</v>
      </c>
      <c r="O261" s="3"/>
      <c r="P261" s="3"/>
      <c r="Q261" s="3">
        <v>86.852999999999994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149</v>
      </c>
      <c r="D262" s="3"/>
      <c r="E262" s="3" t="s">
        <v>149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230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149</v>
      </c>
      <c r="D263" s="3"/>
      <c r="E263" s="3" t="s">
        <v>149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229</v>
      </c>
      <c r="O263" s="3"/>
      <c r="P263" s="3"/>
      <c r="Q263" s="3">
        <v>0.123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149</v>
      </c>
      <c r="D264" s="3"/>
      <c r="E264" s="3" t="s">
        <v>149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228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149</v>
      </c>
      <c r="D265" s="3"/>
      <c r="E265" s="3" t="s">
        <v>149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149</v>
      </c>
      <c r="D266" s="3"/>
      <c r="E266" s="3" t="s">
        <v>149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149</v>
      </c>
      <c r="D267" s="3"/>
      <c r="E267" s="3" t="s">
        <v>149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0.878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149</v>
      </c>
      <c r="D268" s="3"/>
      <c r="E268" s="3" t="s">
        <v>149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107</v>
      </c>
      <c r="O269" s="3"/>
      <c r="P269" s="3"/>
      <c r="Q269" s="3">
        <v>1.6259999999999999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240</v>
      </c>
      <c r="O270" s="3"/>
      <c r="P270" s="3"/>
      <c r="Q270" s="3">
        <v>1.6259999999999999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237</v>
      </c>
      <c r="O271" s="3"/>
      <c r="P271" s="3"/>
      <c r="Q271" s="3">
        <v>0.48299999999999998</v>
      </c>
      <c r="R271" s="3" t="s">
        <v>238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101</v>
      </c>
      <c r="O272" s="3"/>
      <c r="P272" s="3"/>
      <c r="Q272" s="3">
        <v>14.731999999999999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16</v>
      </c>
      <c r="O273" s="3"/>
      <c r="P273" s="3"/>
      <c r="Q273" s="3">
        <v>90.602000000000004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230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229</v>
      </c>
      <c r="O275" s="3"/>
      <c r="P275" s="3"/>
      <c r="Q275" s="3">
        <v>0.13300000000000001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228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151</v>
      </c>
      <c r="D277" s="3"/>
      <c r="E277" s="3" t="s">
        <v>151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151</v>
      </c>
      <c r="D278" s="3"/>
      <c r="E278" s="3" t="s">
        <v>151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151</v>
      </c>
      <c r="D279" s="3"/>
      <c r="E279" s="3" t="s">
        <v>151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0.95899999999999996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151</v>
      </c>
      <c r="D280" s="3"/>
      <c r="E280" s="3" t="s">
        <v>151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107</v>
      </c>
      <c r="O281" s="3"/>
      <c r="P281" s="3"/>
      <c r="Q281" s="3">
        <v>1.778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240</v>
      </c>
      <c r="O282" s="3"/>
      <c r="P282" s="3"/>
      <c r="Q282" s="3">
        <v>1.778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237</v>
      </c>
      <c r="O283" s="3"/>
      <c r="P283" s="3"/>
      <c r="Q283" s="3">
        <v>0.53</v>
      </c>
      <c r="R283" s="3" t="s">
        <v>238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101</v>
      </c>
      <c r="O284" s="3"/>
      <c r="P284" s="3"/>
      <c r="Q284" s="3">
        <v>15.342000000000001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16</v>
      </c>
      <c r="O285" s="3"/>
      <c r="P285" s="3"/>
      <c r="Q285" s="3">
        <v>94.350999999999999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230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229</v>
      </c>
      <c r="O287" s="3"/>
      <c r="P287" s="3"/>
      <c r="Q287" s="3">
        <v>0.14399999999999999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228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1.04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107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240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237</v>
      </c>
      <c r="O295" s="3"/>
      <c r="P295" s="3"/>
      <c r="Q295" s="3">
        <v>0.25600000000000001</v>
      </c>
      <c r="R295" s="3" t="s">
        <v>238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101</v>
      </c>
      <c r="O296" s="3"/>
      <c r="P296" s="3"/>
      <c r="Q296" s="3">
        <v>11.887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16</v>
      </c>
      <c r="O297" s="3"/>
      <c r="P297" s="3"/>
      <c r="Q297" s="3">
        <v>73.105999999999995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230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229</v>
      </c>
      <c r="O299" s="3"/>
      <c r="P299" s="3"/>
      <c r="Q299" s="3">
        <v>0.08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228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1.1890000000000001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107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240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237</v>
      </c>
      <c r="O307" s="3"/>
      <c r="P307" s="3"/>
      <c r="Q307" s="3">
        <v>0.30399999999999999</v>
      </c>
      <c r="R307" s="3" t="s">
        <v>238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101</v>
      </c>
      <c r="O308" s="3"/>
      <c r="P308" s="3"/>
      <c r="Q308" s="3">
        <v>12.497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16</v>
      </c>
      <c r="O309" s="3"/>
      <c r="P309" s="3"/>
      <c r="Q309" s="3">
        <v>76.855000000000004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230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229</v>
      </c>
      <c r="O311" s="3"/>
      <c r="P311" s="3"/>
      <c r="Q311" s="3">
        <v>9.0999999999999998E-2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228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1.1890000000000001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158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107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240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237</v>
      </c>
      <c r="O319" s="3"/>
      <c r="P319" s="3"/>
      <c r="Q319" s="3">
        <v>0.35199999999999998</v>
      </c>
      <c r="R319" s="3" t="s">
        <v>238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101</v>
      </c>
      <c r="O320" s="3"/>
      <c r="P320" s="3"/>
      <c r="Q320" s="3">
        <v>13.106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16</v>
      </c>
      <c r="O321" s="3"/>
      <c r="P321" s="3"/>
      <c r="Q321" s="3">
        <v>80.603999999999999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230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229</v>
      </c>
      <c r="O323" s="3"/>
      <c r="P323" s="3"/>
      <c r="Q323" s="3">
        <v>0.10100000000000001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228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1.1890000000000001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107</v>
      </c>
      <c r="O329" s="3"/>
      <c r="P329" s="3"/>
      <c r="Q329" s="3">
        <v>2.0569999999999999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240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237</v>
      </c>
      <c r="O331" s="3"/>
      <c r="P331" s="3"/>
      <c r="Q331" s="3">
        <v>0.4</v>
      </c>
      <c r="R331" s="3" t="s">
        <v>238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101</v>
      </c>
      <c r="O332" s="3"/>
      <c r="P332" s="3"/>
      <c r="Q332" s="3">
        <v>13.715999999999999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16</v>
      </c>
      <c r="O333" s="3"/>
      <c r="P333" s="3"/>
      <c r="Q333" s="3">
        <v>84.352999999999994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230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229</v>
      </c>
      <c r="O335" s="3"/>
      <c r="P335" s="3"/>
      <c r="Q335" s="3">
        <v>0.112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228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107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240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237</v>
      </c>
      <c r="O343" s="3"/>
      <c r="P343" s="3"/>
      <c r="Q343" s="3">
        <v>0.42399999999999999</v>
      </c>
      <c r="R343" s="3" t="s">
        <v>238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101</v>
      </c>
      <c r="O344" s="3"/>
      <c r="P344" s="3"/>
      <c r="Q344" s="3">
        <v>14.021000000000001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16</v>
      </c>
      <c r="O345" s="3"/>
      <c r="P345" s="3"/>
      <c r="Q345" s="3">
        <v>86.227999999999994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230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229</v>
      </c>
      <c r="O347" s="3"/>
      <c r="P347" s="3"/>
      <c r="Q347" s="3">
        <v>0.11700000000000001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228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1.1890000000000001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107</v>
      </c>
      <c r="O353" s="3"/>
      <c r="P353" s="3"/>
      <c r="Q353" s="3">
        <v>2.0569999999999999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240</v>
      </c>
      <c r="O354" s="3"/>
      <c r="P354" s="3"/>
      <c r="Q354" s="3">
        <v>2.0569999999999999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237</v>
      </c>
      <c r="O355" s="3"/>
      <c r="P355" s="3"/>
      <c r="Q355" s="3">
        <v>0.44800000000000001</v>
      </c>
      <c r="R355" s="3" t="s">
        <v>238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165</v>
      </c>
      <c r="D356" s="3"/>
      <c r="E356" s="3" t="s">
        <v>165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101</v>
      </c>
      <c r="O356" s="3"/>
      <c r="P356" s="3"/>
      <c r="Q356" s="3">
        <v>14.326000000000001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16</v>
      </c>
      <c r="O357" s="3"/>
      <c r="P357" s="3"/>
      <c r="Q357" s="3">
        <v>88.102000000000004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230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229</v>
      </c>
      <c r="O359" s="3"/>
      <c r="P359" s="3"/>
      <c r="Q359" s="3">
        <v>0.123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228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1.1890000000000001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107</v>
      </c>
      <c r="O365" s="3"/>
      <c r="P365" s="3"/>
      <c r="Q365" s="3">
        <v>2.0569999999999999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240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237</v>
      </c>
      <c r="O367" s="3"/>
      <c r="P367" s="3"/>
      <c r="Q367" s="3">
        <v>0.496</v>
      </c>
      <c r="R367" s="3" t="s">
        <v>238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101</v>
      </c>
      <c r="O368" s="3"/>
      <c r="P368" s="3"/>
      <c r="Q368" s="3">
        <v>14.935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167</v>
      </c>
      <c r="D369" s="3"/>
      <c r="E369" s="3" t="s">
        <v>167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16</v>
      </c>
      <c r="O369" s="3"/>
      <c r="P369" s="3"/>
      <c r="Q369" s="3">
        <v>91.850999999999999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167</v>
      </c>
      <c r="D370" s="3"/>
      <c r="E370" s="3" t="s">
        <v>167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230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167</v>
      </c>
      <c r="D371" s="3"/>
      <c r="E371" s="3" t="s">
        <v>167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229</v>
      </c>
      <c r="O371" s="3"/>
      <c r="P371" s="3"/>
      <c r="Q371" s="3">
        <v>0.13300000000000001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167</v>
      </c>
      <c r="D372" s="3"/>
      <c r="E372" s="3" t="s">
        <v>167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228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1.1890000000000001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168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107</v>
      </c>
      <c r="O377" s="3"/>
      <c r="P377" s="3"/>
      <c r="Q377" s="3">
        <v>2.0569999999999999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240</v>
      </c>
      <c r="O378" s="3"/>
      <c r="P378" s="3"/>
      <c r="Q378" s="3">
        <v>2.0569999999999999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237</v>
      </c>
      <c r="O379" s="3"/>
      <c r="P379" s="3"/>
      <c r="Q379" s="3">
        <v>0.54400000000000004</v>
      </c>
      <c r="R379" s="3" t="s">
        <v>238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101</v>
      </c>
      <c r="O380" s="3"/>
      <c r="P380" s="3"/>
      <c r="Q380" s="3">
        <v>15.545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16</v>
      </c>
      <c r="O381" s="3"/>
      <c r="P381" s="3"/>
      <c r="Q381" s="3">
        <v>95.600999999999999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169</v>
      </c>
      <c r="D382" s="3"/>
      <c r="E382" s="3" t="s">
        <v>169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230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169</v>
      </c>
      <c r="D383" s="3"/>
      <c r="E383" s="3" t="s">
        <v>169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229</v>
      </c>
      <c r="O383" s="3"/>
      <c r="P383" s="3"/>
      <c r="Q383" s="3">
        <v>0.14399999999999999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169</v>
      </c>
      <c r="D384" s="3"/>
      <c r="E384" s="3" t="s">
        <v>169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228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169</v>
      </c>
      <c r="D385" s="3"/>
      <c r="E385" s="3" t="s">
        <v>169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169</v>
      </c>
      <c r="D386" s="3"/>
      <c r="E386" s="3" t="s">
        <v>169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169</v>
      </c>
      <c r="D387" s="3"/>
      <c r="E387" s="3" t="s">
        <v>169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1.1890000000000001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169</v>
      </c>
      <c r="D388" s="3"/>
      <c r="E388" s="3" t="s">
        <v>169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107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240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237</v>
      </c>
      <c r="O391" s="3"/>
      <c r="P391" s="3"/>
      <c r="Q391" s="3">
        <v>0.26900000000000002</v>
      </c>
      <c r="R391" s="3" t="s">
        <v>238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101</v>
      </c>
      <c r="O392" s="3"/>
      <c r="P392" s="3"/>
      <c r="Q392" s="3">
        <v>12.294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16</v>
      </c>
      <c r="O393" s="3"/>
      <c r="P393" s="3"/>
      <c r="Q393" s="3">
        <v>75.605999999999995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230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171</v>
      </c>
      <c r="D395" s="3"/>
      <c r="E395" s="3" t="s">
        <v>171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229</v>
      </c>
      <c r="O395" s="3"/>
      <c r="P395" s="3"/>
      <c r="Q395" s="3">
        <v>0.08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171</v>
      </c>
      <c r="D396" s="3"/>
      <c r="E396" s="3" t="s">
        <v>171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228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171</v>
      </c>
      <c r="D397" s="3"/>
      <c r="E397" s="3" t="s">
        <v>171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171</v>
      </c>
      <c r="D398" s="3"/>
      <c r="E398" s="3" t="s">
        <v>171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171</v>
      </c>
      <c r="D399" s="3"/>
      <c r="E399" s="3" t="s">
        <v>171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1.2430000000000001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171</v>
      </c>
      <c r="D400" s="3"/>
      <c r="E400" s="3" t="s">
        <v>171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107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240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237</v>
      </c>
      <c r="O403" s="3"/>
      <c r="P403" s="3"/>
      <c r="Q403" s="3">
        <v>0.31900000000000001</v>
      </c>
      <c r="R403" s="3" t="s">
        <v>238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101</v>
      </c>
      <c r="O404" s="3"/>
      <c r="P404" s="3"/>
      <c r="Q404" s="3">
        <v>12.903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16</v>
      </c>
      <c r="O405" s="3"/>
      <c r="P405" s="3"/>
      <c r="Q405" s="3">
        <v>79.355000000000004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230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229</v>
      </c>
      <c r="O407" s="3"/>
      <c r="P407" s="3"/>
      <c r="Q407" s="3">
        <v>9.0999999999999998E-2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173</v>
      </c>
      <c r="D408" s="3"/>
      <c r="E408" s="3" t="s">
        <v>173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228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173</v>
      </c>
      <c r="D409" s="3"/>
      <c r="E409" s="3" t="s">
        <v>173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173</v>
      </c>
      <c r="D410" s="3"/>
      <c r="E410" s="3" t="s">
        <v>173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173</v>
      </c>
      <c r="D411" s="3"/>
      <c r="E411" s="3" t="s">
        <v>173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1.2430000000000001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174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107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240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237</v>
      </c>
      <c r="O415" s="3"/>
      <c r="P415" s="3"/>
      <c r="Q415" s="3">
        <v>0.37</v>
      </c>
      <c r="R415" s="3" t="s">
        <v>238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101</v>
      </c>
      <c r="O416" s="3"/>
      <c r="P416" s="3"/>
      <c r="Q416" s="3">
        <v>13.513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16</v>
      </c>
      <c r="O417" s="3"/>
      <c r="P417" s="3"/>
      <c r="Q417" s="3">
        <v>83.103999999999999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230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229</v>
      </c>
      <c r="O419" s="3"/>
      <c r="P419" s="3"/>
      <c r="Q419" s="3">
        <v>0.10100000000000001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228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175</v>
      </c>
      <c r="D421" s="3"/>
      <c r="E421" s="3" t="s">
        <v>175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175</v>
      </c>
      <c r="D422" s="3"/>
      <c r="E422" s="3" t="s">
        <v>175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175</v>
      </c>
      <c r="D423" s="3"/>
      <c r="E423" s="3" t="s">
        <v>175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175</v>
      </c>
      <c r="D424" s="3"/>
      <c r="E424" s="3" t="s">
        <v>175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107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240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237</v>
      </c>
      <c r="O427" s="3"/>
      <c r="P427" s="3"/>
      <c r="Q427" s="3">
        <v>0.42</v>
      </c>
      <c r="R427" s="3" t="s">
        <v>238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101</v>
      </c>
      <c r="O428" s="3"/>
      <c r="P428" s="3"/>
      <c r="Q428" s="3">
        <v>14.122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16</v>
      </c>
      <c r="O429" s="3"/>
      <c r="P429" s="3"/>
      <c r="Q429" s="3">
        <v>86.852999999999994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230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229</v>
      </c>
      <c r="O431" s="3"/>
      <c r="P431" s="3"/>
      <c r="Q431" s="3">
        <v>0.112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228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177</v>
      </c>
      <c r="D434" s="3"/>
      <c r="E434" s="3" t="s">
        <v>177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177</v>
      </c>
      <c r="D435" s="3"/>
      <c r="E435" s="3" t="s">
        <v>177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1.2430000000000001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177</v>
      </c>
      <c r="D436" s="3"/>
      <c r="E436" s="3" t="s">
        <v>177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178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107</v>
      </c>
      <c r="O437" s="3"/>
      <c r="P437" s="3"/>
      <c r="Q437" s="3">
        <v>2.1589999999999998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240</v>
      </c>
      <c r="O438" s="3"/>
      <c r="P438" s="3"/>
      <c r="Q438" s="3">
        <v>2.1589999999999998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237</v>
      </c>
      <c r="O439" s="3"/>
      <c r="P439" s="3"/>
      <c r="Q439" s="3">
        <v>0.44500000000000001</v>
      </c>
      <c r="R439" s="3" t="s">
        <v>238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101</v>
      </c>
      <c r="O440" s="3"/>
      <c r="P440" s="3"/>
      <c r="Q440" s="3">
        <v>14.427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16</v>
      </c>
      <c r="O441" s="3"/>
      <c r="P441" s="3"/>
      <c r="Q441" s="3">
        <v>88.727000000000004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230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229</v>
      </c>
      <c r="O443" s="3"/>
      <c r="P443" s="3"/>
      <c r="Q443" s="3">
        <v>0.11700000000000001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228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179</v>
      </c>
      <c r="D447" s="3"/>
      <c r="E447" s="3" t="s">
        <v>179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1.2430000000000001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179</v>
      </c>
      <c r="D448" s="3"/>
      <c r="E448" s="3" t="s">
        <v>179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180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107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240</v>
      </c>
      <c r="O450" s="3"/>
      <c r="P450" s="3"/>
      <c r="Q450" s="3">
        <v>2.1589999999999998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237</v>
      </c>
      <c r="O451" s="3"/>
      <c r="P451" s="3"/>
      <c r="Q451" s="3">
        <v>0.47099999999999997</v>
      </c>
      <c r="R451" s="3" t="s">
        <v>238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101</v>
      </c>
      <c r="O452" s="3"/>
      <c r="P452" s="3"/>
      <c r="Q452" s="3">
        <v>14.731999999999999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16</v>
      </c>
      <c r="O453" s="3"/>
      <c r="P453" s="3"/>
      <c r="Q453" s="3">
        <v>90.602000000000004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230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229</v>
      </c>
      <c r="O455" s="3"/>
      <c r="P455" s="3"/>
      <c r="Q455" s="3">
        <v>0.123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228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1.2430000000000001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181</v>
      </c>
      <c r="D460" s="3"/>
      <c r="E460" s="3" t="s">
        <v>181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182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107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240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237</v>
      </c>
      <c r="O463" s="3"/>
      <c r="P463" s="3"/>
      <c r="Q463" s="3">
        <v>0.52100000000000002</v>
      </c>
      <c r="R463" s="3" t="s">
        <v>238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101</v>
      </c>
      <c r="O464" s="3"/>
      <c r="P464" s="3"/>
      <c r="Q464" s="3">
        <v>15.342000000000001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16</v>
      </c>
      <c r="O465" s="3"/>
      <c r="P465" s="3"/>
      <c r="Q465" s="3">
        <v>94.350999999999999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230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229</v>
      </c>
      <c r="O467" s="3"/>
      <c r="P467" s="3"/>
      <c r="Q467" s="3">
        <v>0.13300000000000001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228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1.2430000000000001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107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240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237</v>
      </c>
      <c r="O475" s="3"/>
      <c r="P475" s="3"/>
      <c r="Q475" s="3">
        <v>0.57099999999999995</v>
      </c>
      <c r="R475" s="3" t="s">
        <v>238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101</v>
      </c>
      <c r="O476" s="3"/>
      <c r="P476" s="3"/>
      <c r="Q476" s="3">
        <v>15.951000000000001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16</v>
      </c>
      <c r="O477" s="3"/>
      <c r="P477" s="3"/>
      <c r="Q477" s="3">
        <v>98.1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230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229</v>
      </c>
      <c r="O479" s="3"/>
      <c r="P479" s="3"/>
      <c r="Q479" s="3">
        <v>0.14399999999999999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228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1.2430000000000001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186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187</v>
      </c>
      <c r="D485" s="3"/>
      <c r="E485" s="3" t="s">
        <v>187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188</v>
      </c>
      <c r="O485" s="3"/>
      <c r="P485" s="3"/>
      <c r="Q485" s="3">
        <v>0.86399999999999999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240</v>
      </c>
      <c r="O486" s="3"/>
      <c r="P486" s="3"/>
      <c r="Q486" s="3">
        <v>0.86399999999999999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237</v>
      </c>
      <c r="O487" s="3"/>
      <c r="P487" s="3"/>
      <c r="Q487" s="3">
        <v>0.23</v>
      </c>
      <c r="R487" s="3" t="s">
        <v>238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101</v>
      </c>
      <c r="O488" s="3"/>
      <c r="P488" s="3"/>
      <c r="Q488" s="3">
        <v>11.074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16</v>
      </c>
      <c r="O489" s="3"/>
      <c r="P489" s="3"/>
      <c r="Q489" s="3">
        <v>68.108000000000004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230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229</v>
      </c>
      <c r="O491" s="3"/>
      <c r="P491" s="3"/>
      <c r="Q491" s="3">
        <v>0.08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228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0.55400000000000005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108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189</v>
      </c>
      <c r="D497" s="3"/>
      <c r="E497" s="3" t="s">
        <v>189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188</v>
      </c>
      <c r="O497" s="3"/>
      <c r="P497" s="3"/>
      <c r="Q497" s="3">
        <v>1.016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189</v>
      </c>
      <c r="D498" s="3"/>
      <c r="E498" s="3" t="s">
        <v>189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240</v>
      </c>
      <c r="O498" s="3"/>
      <c r="P498" s="3"/>
      <c r="Q498" s="3">
        <v>1.016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237</v>
      </c>
      <c r="O499" s="3"/>
      <c r="P499" s="3"/>
      <c r="Q499" s="3">
        <v>0.27300000000000002</v>
      </c>
      <c r="R499" s="3" t="s">
        <v>238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101</v>
      </c>
      <c r="O500" s="3"/>
      <c r="P500" s="3"/>
      <c r="Q500" s="3">
        <v>11.683999999999999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16</v>
      </c>
      <c r="O501" s="3"/>
      <c r="P501" s="3"/>
      <c r="Q501" s="3">
        <v>71.856999999999999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230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229</v>
      </c>
      <c r="O503" s="3"/>
      <c r="P503" s="3"/>
      <c r="Q503" s="3">
        <v>9.0999999999999998E-2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228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0.63500000000000001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110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188</v>
      </c>
      <c r="O509" s="3"/>
      <c r="P509" s="3"/>
      <c r="Q509" s="3">
        <v>1.1679999999999999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240</v>
      </c>
      <c r="O510" s="3"/>
      <c r="P510" s="3"/>
      <c r="Q510" s="3">
        <v>1.1679999999999999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237</v>
      </c>
      <c r="O511" s="3"/>
      <c r="P511" s="3"/>
      <c r="Q511" s="3">
        <v>0.316</v>
      </c>
      <c r="R511" s="3" t="s">
        <v>238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101</v>
      </c>
      <c r="O512" s="3"/>
      <c r="P512" s="3"/>
      <c r="Q512" s="3">
        <v>12.294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16</v>
      </c>
      <c r="O513" s="3"/>
      <c r="P513" s="3"/>
      <c r="Q513" s="3">
        <v>75.605999999999995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230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190</v>
      </c>
      <c r="D515" s="3"/>
      <c r="E515" s="3" t="s">
        <v>190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229</v>
      </c>
      <c r="O515" s="3"/>
      <c r="P515" s="3"/>
      <c r="Q515" s="3">
        <v>0.10100000000000001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190</v>
      </c>
      <c r="D516" s="3"/>
      <c r="E516" s="3" t="s">
        <v>190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228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190</v>
      </c>
      <c r="D517" s="3"/>
      <c r="E517" s="3" t="s">
        <v>190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190</v>
      </c>
      <c r="D518" s="3"/>
      <c r="E518" s="3" t="s">
        <v>190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190</v>
      </c>
      <c r="D519" s="3"/>
      <c r="E519" s="3" t="s">
        <v>190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0.71599999999999997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190</v>
      </c>
      <c r="D520" s="3"/>
      <c r="E520" s="3" t="s">
        <v>190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112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188</v>
      </c>
      <c r="O521" s="3"/>
      <c r="P521" s="3"/>
      <c r="Q521" s="3">
        <v>1.321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240</v>
      </c>
      <c r="O522" s="3"/>
      <c r="P522" s="3"/>
      <c r="Q522" s="3">
        <v>1.321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237</v>
      </c>
      <c r="O523" s="3"/>
      <c r="P523" s="3"/>
      <c r="Q523" s="3">
        <v>0.35899999999999999</v>
      </c>
      <c r="R523" s="3" t="s">
        <v>238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101</v>
      </c>
      <c r="O524" s="3"/>
      <c r="P524" s="3"/>
      <c r="Q524" s="3">
        <v>12.903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191</v>
      </c>
      <c r="D525" s="3"/>
      <c r="E525" s="3" t="s">
        <v>191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16</v>
      </c>
      <c r="O525" s="3"/>
      <c r="P525" s="3"/>
      <c r="Q525" s="3">
        <v>79.355000000000004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191</v>
      </c>
      <c r="D526" s="3"/>
      <c r="E526" s="3" t="s">
        <v>191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230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191</v>
      </c>
      <c r="D527" s="3"/>
      <c r="E527" s="3" t="s">
        <v>191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229</v>
      </c>
      <c r="O527" s="3"/>
      <c r="P527" s="3"/>
      <c r="Q527" s="3">
        <v>0.112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191</v>
      </c>
      <c r="D528" s="3"/>
      <c r="E528" s="3" t="s">
        <v>191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228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191</v>
      </c>
      <c r="D529" s="3"/>
      <c r="E529" s="3" t="s">
        <v>191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191</v>
      </c>
      <c r="D530" s="3"/>
      <c r="E530" s="3" t="s">
        <v>191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191</v>
      </c>
      <c r="D531" s="3"/>
      <c r="E531" s="3" t="s">
        <v>191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0.79700000000000004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191</v>
      </c>
      <c r="D532" s="3"/>
      <c r="E532" s="3" t="s">
        <v>191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114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188</v>
      </c>
      <c r="O533" s="3"/>
      <c r="P533" s="3"/>
      <c r="Q533" s="3">
        <v>1.397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240</v>
      </c>
      <c r="O534" s="3"/>
      <c r="P534" s="3"/>
      <c r="Q534" s="3">
        <v>1.397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237</v>
      </c>
      <c r="O535" s="3"/>
      <c r="P535" s="3"/>
      <c r="Q535" s="3">
        <v>0.38100000000000001</v>
      </c>
      <c r="R535" s="3" t="s">
        <v>238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101</v>
      </c>
      <c r="O536" s="3"/>
      <c r="P536" s="3"/>
      <c r="Q536" s="3">
        <v>13.208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16</v>
      </c>
      <c r="O537" s="3"/>
      <c r="P537" s="3"/>
      <c r="Q537" s="3">
        <v>81.228999999999999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192</v>
      </c>
      <c r="D538" s="3"/>
      <c r="E538" s="3" t="s">
        <v>192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230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192</v>
      </c>
      <c r="D539" s="3"/>
      <c r="E539" s="3" t="s">
        <v>192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229</v>
      </c>
      <c r="O539" s="3"/>
      <c r="P539" s="3"/>
      <c r="Q539" s="3">
        <v>0.11700000000000001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192</v>
      </c>
      <c r="D540" s="3"/>
      <c r="E540" s="3" t="s">
        <v>192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228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192</v>
      </c>
      <c r="D541" s="3"/>
      <c r="E541" s="3" t="s">
        <v>192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192</v>
      </c>
      <c r="D542" s="3"/>
      <c r="E542" s="3" t="s">
        <v>192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192</v>
      </c>
      <c r="D543" s="3"/>
      <c r="E543" s="3" t="s">
        <v>192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0.83799999999999997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192</v>
      </c>
      <c r="D544" s="3"/>
      <c r="E544" s="3" t="s">
        <v>192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116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193</v>
      </c>
      <c r="D545" s="3"/>
      <c r="E545" s="3" t="s">
        <v>193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188</v>
      </c>
      <c r="O545" s="3"/>
      <c r="P545" s="3"/>
      <c r="Q545" s="3">
        <v>1.4730000000000001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193</v>
      </c>
      <c r="D546" s="3"/>
      <c r="E546" s="3" t="s">
        <v>193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240</v>
      </c>
      <c r="O546" s="3"/>
      <c r="P546" s="3"/>
      <c r="Q546" s="3">
        <v>1.4730000000000001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193</v>
      </c>
      <c r="D547" s="3"/>
      <c r="E547" s="3" t="s">
        <v>193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237</v>
      </c>
      <c r="O547" s="3"/>
      <c r="P547" s="3"/>
      <c r="Q547" s="3">
        <v>0.40300000000000002</v>
      </c>
      <c r="R547" s="3" t="s">
        <v>238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193</v>
      </c>
      <c r="D548" s="3"/>
      <c r="E548" s="3" t="s">
        <v>193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101</v>
      </c>
      <c r="O548" s="3"/>
      <c r="P548" s="3"/>
      <c r="Q548" s="3">
        <v>13.513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193</v>
      </c>
      <c r="D549" s="3"/>
      <c r="E549" s="3" t="s">
        <v>193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16</v>
      </c>
      <c r="O549" s="3"/>
      <c r="P549" s="3"/>
      <c r="Q549" s="3">
        <v>83.103999999999999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193</v>
      </c>
      <c r="D550" s="3"/>
      <c r="E550" s="3" t="s">
        <v>193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230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193</v>
      </c>
      <c r="D551" s="3"/>
      <c r="E551" s="3" t="s">
        <v>193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229</v>
      </c>
      <c r="O551" s="3"/>
      <c r="P551" s="3"/>
      <c r="Q551" s="3">
        <v>0.123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193</v>
      </c>
      <c r="D552" s="3"/>
      <c r="E552" s="3" t="s">
        <v>193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228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193</v>
      </c>
      <c r="D553" s="3"/>
      <c r="E553" s="3" t="s">
        <v>193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193</v>
      </c>
      <c r="D554" s="3"/>
      <c r="E554" s="3" t="s">
        <v>193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193</v>
      </c>
      <c r="D555" s="3"/>
      <c r="E555" s="3" t="s">
        <v>193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0.878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193</v>
      </c>
      <c r="D556" s="3"/>
      <c r="E556" s="3" t="s">
        <v>193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118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194</v>
      </c>
      <c r="D557" s="3"/>
      <c r="E557" s="3" t="s">
        <v>194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188</v>
      </c>
      <c r="O557" s="3"/>
      <c r="P557" s="3"/>
      <c r="Q557" s="3">
        <v>1.6259999999999999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194</v>
      </c>
      <c r="D558" s="3"/>
      <c r="E558" s="3" t="s">
        <v>194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240</v>
      </c>
      <c r="O558" s="3"/>
      <c r="P558" s="3"/>
      <c r="Q558" s="3">
        <v>1.6259999999999999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194</v>
      </c>
      <c r="D559" s="3"/>
      <c r="E559" s="3" t="s">
        <v>194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237</v>
      </c>
      <c r="O559" s="3"/>
      <c r="P559" s="3"/>
      <c r="Q559" s="3">
        <v>0.44600000000000001</v>
      </c>
      <c r="R559" s="3" t="s">
        <v>238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194</v>
      </c>
      <c r="D560" s="3"/>
      <c r="E560" s="3" t="s">
        <v>194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101</v>
      </c>
      <c r="O560" s="3"/>
      <c r="P560" s="3"/>
      <c r="Q560" s="3">
        <v>14.122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194</v>
      </c>
      <c r="D561" s="3"/>
      <c r="E561" s="3" t="s">
        <v>194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16</v>
      </c>
      <c r="O561" s="3"/>
      <c r="P561" s="3"/>
      <c r="Q561" s="3">
        <v>86.852999999999994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194</v>
      </c>
      <c r="D562" s="3"/>
      <c r="E562" s="3" t="s">
        <v>194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230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194</v>
      </c>
      <c r="D563" s="3"/>
      <c r="E563" s="3" t="s">
        <v>194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229</v>
      </c>
      <c r="O563" s="3"/>
      <c r="P563" s="3"/>
      <c r="Q563" s="3">
        <v>0.13300000000000001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194</v>
      </c>
      <c r="D564" s="3"/>
      <c r="E564" s="3" t="s">
        <v>194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228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194</v>
      </c>
      <c r="D565" s="3"/>
      <c r="E565" s="3" t="s">
        <v>194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194</v>
      </c>
      <c r="D566" s="3"/>
      <c r="E566" s="3" t="s">
        <v>194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194</v>
      </c>
      <c r="D567" s="3"/>
      <c r="E567" s="3" t="s">
        <v>194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0.95899999999999996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194</v>
      </c>
      <c r="D568" s="3"/>
      <c r="E568" s="3" t="s">
        <v>194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120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188</v>
      </c>
      <c r="O569" s="3"/>
      <c r="P569" s="3"/>
      <c r="Q569" s="3">
        <v>1.778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240</v>
      </c>
      <c r="O570" s="3"/>
      <c r="P570" s="3"/>
      <c r="Q570" s="3">
        <v>1.778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237</v>
      </c>
      <c r="O571" s="3"/>
      <c r="P571" s="3"/>
      <c r="Q571" s="3">
        <v>0.48899999999999999</v>
      </c>
      <c r="R571" s="3" t="s">
        <v>238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101</v>
      </c>
      <c r="O572" s="3"/>
      <c r="P572" s="3"/>
      <c r="Q572" s="3">
        <v>14.731999999999999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16</v>
      </c>
      <c r="O573" s="3"/>
      <c r="P573" s="3"/>
      <c r="Q573" s="3">
        <v>90.602000000000004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230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229</v>
      </c>
      <c r="O575" s="3"/>
      <c r="P575" s="3"/>
      <c r="Q575" s="3">
        <v>0.14399999999999999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228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195</v>
      </c>
      <c r="D577" s="3"/>
      <c r="E577" s="3" t="s">
        <v>195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195</v>
      </c>
      <c r="D578" s="3"/>
      <c r="E578" s="3" t="s">
        <v>195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195</v>
      </c>
      <c r="D579" s="3"/>
      <c r="E579" s="3" t="s">
        <v>195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1.04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195</v>
      </c>
      <c r="D580" s="3"/>
      <c r="E580" s="3" t="s">
        <v>195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122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196</v>
      </c>
      <c r="D581" s="3"/>
      <c r="E581" s="3" t="s">
        <v>196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188</v>
      </c>
      <c r="O581" s="3"/>
      <c r="P581" s="3"/>
      <c r="Q581" s="3">
        <v>0.86399999999999999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196</v>
      </c>
      <c r="D582" s="3"/>
      <c r="E582" s="3" t="s">
        <v>196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240</v>
      </c>
      <c r="O582" s="3"/>
      <c r="P582" s="3"/>
      <c r="Q582" s="3">
        <v>0.86399999999999999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196</v>
      </c>
      <c r="D583" s="3"/>
      <c r="E583" s="3" t="s">
        <v>196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237</v>
      </c>
      <c r="O583" s="3"/>
      <c r="P583" s="3"/>
      <c r="Q583" s="3">
        <v>0.24</v>
      </c>
      <c r="R583" s="3" t="s">
        <v>238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196</v>
      </c>
      <c r="D584" s="3"/>
      <c r="E584" s="3" t="s">
        <v>196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101</v>
      </c>
      <c r="O584" s="3"/>
      <c r="P584" s="3"/>
      <c r="Q584" s="3">
        <v>11.379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196</v>
      </c>
      <c r="D585" s="3"/>
      <c r="E585" s="3" t="s">
        <v>196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16</v>
      </c>
      <c r="O585" s="3"/>
      <c r="P585" s="3"/>
      <c r="Q585" s="3">
        <v>69.981999999999999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196</v>
      </c>
      <c r="D586" s="3"/>
      <c r="E586" s="3" t="s">
        <v>196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230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196</v>
      </c>
      <c r="D587" s="3"/>
      <c r="E587" s="3" t="s">
        <v>196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229</v>
      </c>
      <c r="O587" s="3"/>
      <c r="P587" s="3"/>
      <c r="Q587" s="3">
        <v>0.08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196</v>
      </c>
      <c r="D588" s="3"/>
      <c r="E588" s="3" t="s">
        <v>196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228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196</v>
      </c>
      <c r="D589" s="3"/>
      <c r="E589" s="3" t="s">
        <v>196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196</v>
      </c>
      <c r="D590" s="3"/>
      <c r="E590" s="3" t="s">
        <v>196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196</v>
      </c>
      <c r="D591" s="3"/>
      <c r="E591" s="3" t="s">
        <v>196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0.55400000000000005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196</v>
      </c>
      <c r="D592" s="3"/>
      <c r="E592" s="3" t="s">
        <v>196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124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197</v>
      </c>
      <c r="D593" s="3"/>
      <c r="E593" s="3" t="s">
        <v>197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188</v>
      </c>
      <c r="O593" s="3"/>
      <c r="P593" s="3"/>
      <c r="Q593" s="3">
        <v>1.016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197</v>
      </c>
      <c r="D594" s="3"/>
      <c r="E594" s="3" t="s">
        <v>197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240</v>
      </c>
      <c r="O594" s="3"/>
      <c r="P594" s="3"/>
      <c r="Q594" s="3">
        <v>1.016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197</v>
      </c>
      <c r="D595" s="3"/>
      <c r="E595" s="3" t="s">
        <v>197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237</v>
      </c>
      <c r="O595" s="3"/>
      <c r="P595" s="3"/>
      <c r="Q595" s="3">
        <v>0.28499999999999998</v>
      </c>
      <c r="R595" s="3" t="s">
        <v>238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197</v>
      </c>
      <c r="D596" s="3"/>
      <c r="E596" s="3" t="s">
        <v>197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101</v>
      </c>
      <c r="O596" s="3"/>
      <c r="P596" s="3"/>
      <c r="Q596" s="3">
        <v>11.989000000000001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197</v>
      </c>
      <c r="D597" s="3"/>
      <c r="E597" s="3" t="s">
        <v>197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16</v>
      </c>
      <c r="O597" s="3"/>
      <c r="P597" s="3"/>
      <c r="Q597" s="3">
        <v>73.730999999999995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197</v>
      </c>
      <c r="D598" s="3"/>
      <c r="E598" s="3" t="s">
        <v>197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230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197</v>
      </c>
      <c r="D599" s="3"/>
      <c r="E599" s="3" t="s">
        <v>197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229</v>
      </c>
      <c r="O599" s="3"/>
      <c r="P599" s="3"/>
      <c r="Q599" s="3">
        <v>9.0999999999999998E-2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197</v>
      </c>
      <c r="D600" s="3"/>
      <c r="E600" s="3" t="s">
        <v>197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228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197</v>
      </c>
      <c r="D601" s="3"/>
      <c r="E601" s="3" t="s">
        <v>197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197</v>
      </c>
      <c r="D602" s="3"/>
      <c r="E602" s="3" t="s">
        <v>197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197</v>
      </c>
      <c r="D603" s="3"/>
      <c r="E603" s="3" t="s">
        <v>197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0.63500000000000001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197</v>
      </c>
      <c r="D604" s="3"/>
      <c r="E604" s="3" t="s">
        <v>197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126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198</v>
      </c>
      <c r="D605" s="3"/>
      <c r="E605" s="3" t="s">
        <v>198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188</v>
      </c>
      <c r="O605" s="3"/>
      <c r="P605" s="3"/>
      <c r="Q605" s="3">
        <v>1.1679999999999999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198</v>
      </c>
      <c r="D606" s="3"/>
      <c r="E606" s="3" t="s">
        <v>198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240</v>
      </c>
      <c r="O606" s="3"/>
      <c r="P606" s="3"/>
      <c r="Q606" s="3">
        <v>1.1679999999999999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198</v>
      </c>
      <c r="D607" s="3"/>
      <c r="E607" s="3" t="s">
        <v>198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237</v>
      </c>
      <c r="O607" s="3"/>
      <c r="P607" s="3"/>
      <c r="Q607" s="3">
        <v>0.33</v>
      </c>
      <c r="R607" s="3" t="s">
        <v>238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198</v>
      </c>
      <c r="D608" s="3"/>
      <c r="E608" s="3" t="s">
        <v>198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101</v>
      </c>
      <c r="O608" s="3"/>
      <c r="P608" s="3"/>
      <c r="Q608" s="3">
        <v>12.598000000000001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198</v>
      </c>
      <c r="D609" s="3"/>
      <c r="E609" s="3" t="s">
        <v>198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16</v>
      </c>
      <c r="O609" s="3"/>
      <c r="P609" s="3"/>
      <c r="Q609" s="3">
        <v>77.48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198</v>
      </c>
      <c r="D610" s="3"/>
      <c r="E610" s="3" t="s">
        <v>198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230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198</v>
      </c>
      <c r="D611" s="3"/>
      <c r="E611" s="3" t="s">
        <v>198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229</v>
      </c>
      <c r="O611" s="3"/>
      <c r="P611" s="3"/>
      <c r="Q611" s="3">
        <v>0.10100000000000001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198</v>
      </c>
      <c r="D612" s="3"/>
      <c r="E612" s="3" t="s">
        <v>198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228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198</v>
      </c>
      <c r="D613" s="3"/>
      <c r="E613" s="3" t="s">
        <v>198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198</v>
      </c>
      <c r="D614" s="3"/>
      <c r="E614" s="3" t="s">
        <v>198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198</v>
      </c>
      <c r="D615" s="3"/>
      <c r="E615" s="3" t="s">
        <v>198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0.71599999999999997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198</v>
      </c>
      <c r="D616" s="3"/>
      <c r="E616" s="3" t="s">
        <v>198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128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199</v>
      </c>
      <c r="D617" s="3"/>
      <c r="E617" s="3" t="s">
        <v>199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188</v>
      </c>
      <c r="O617" s="3"/>
      <c r="P617" s="3"/>
      <c r="Q617" s="3">
        <v>1.321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199</v>
      </c>
      <c r="D618" s="3"/>
      <c r="E618" s="3" t="s">
        <v>199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240</v>
      </c>
      <c r="O618" s="3"/>
      <c r="P618" s="3"/>
      <c r="Q618" s="3">
        <v>1.321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199</v>
      </c>
      <c r="D619" s="3"/>
      <c r="E619" s="3" t="s">
        <v>199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237</v>
      </c>
      <c r="O619" s="3"/>
      <c r="P619" s="3"/>
      <c r="Q619" s="3">
        <v>0.375</v>
      </c>
      <c r="R619" s="3" t="s">
        <v>238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199</v>
      </c>
      <c r="D620" s="3"/>
      <c r="E620" s="3" t="s">
        <v>199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101</v>
      </c>
      <c r="O620" s="3"/>
      <c r="P620" s="3"/>
      <c r="Q620" s="3">
        <v>13.208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199</v>
      </c>
      <c r="D621" s="3"/>
      <c r="E621" s="3" t="s">
        <v>199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16</v>
      </c>
      <c r="O621" s="3"/>
      <c r="P621" s="3"/>
      <c r="Q621" s="3">
        <v>81.228999999999999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199</v>
      </c>
      <c r="D622" s="3"/>
      <c r="E622" s="3" t="s">
        <v>199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230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199</v>
      </c>
      <c r="D623" s="3"/>
      <c r="E623" s="3" t="s">
        <v>199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229</v>
      </c>
      <c r="O623" s="3"/>
      <c r="P623" s="3"/>
      <c r="Q623" s="3">
        <v>0.112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199</v>
      </c>
      <c r="D624" s="3"/>
      <c r="E624" s="3" t="s">
        <v>199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228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199</v>
      </c>
      <c r="D625" s="3"/>
      <c r="E625" s="3" t="s">
        <v>199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199</v>
      </c>
      <c r="D626" s="3"/>
      <c r="E626" s="3" t="s">
        <v>199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199</v>
      </c>
      <c r="D627" s="3"/>
      <c r="E627" s="3" t="s">
        <v>199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0.79700000000000004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199</v>
      </c>
      <c r="D628" s="3"/>
      <c r="E628" s="3" t="s">
        <v>199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130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200</v>
      </c>
      <c r="D629" s="3"/>
      <c r="E629" s="3" t="s">
        <v>200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188</v>
      </c>
      <c r="O629" s="3"/>
      <c r="P629" s="3"/>
      <c r="Q629" s="3">
        <v>1.397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200</v>
      </c>
      <c r="D630" s="3"/>
      <c r="E630" s="3" t="s">
        <v>200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240</v>
      </c>
      <c r="O630" s="3"/>
      <c r="P630" s="3"/>
      <c r="Q630" s="3">
        <v>1.397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200</v>
      </c>
      <c r="D631" s="3"/>
      <c r="E631" s="3" t="s">
        <v>200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237</v>
      </c>
      <c r="O631" s="3"/>
      <c r="P631" s="3"/>
      <c r="Q631" s="3">
        <v>0.39700000000000002</v>
      </c>
      <c r="R631" s="3" t="s">
        <v>238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200</v>
      </c>
      <c r="D632" s="3"/>
      <c r="E632" s="3" t="s">
        <v>200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101</v>
      </c>
      <c r="O632" s="3"/>
      <c r="P632" s="3"/>
      <c r="Q632" s="3">
        <v>13.513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200</v>
      </c>
      <c r="D633" s="3"/>
      <c r="E633" s="3" t="s">
        <v>200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16</v>
      </c>
      <c r="O633" s="3"/>
      <c r="P633" s="3"/>
      <c r="Q633" s="3">
        <v>83.103999999999999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200</v>
      </c>
      <c r="D634" s="3"/>
      <c r="E634" s="3" t="s">
        <v>200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230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200</v>
      </c>
      <c r="D635" s="3"/>
      <c r="E635" s="3" t="s">
        <v>200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229</v>
      </c>
      <c r="O635" s="3"/>
      <c r="P635" s="3"/>
      <c r="Q635" s="3">
        <v>0.11700000000000001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200</v>
      </c>
      <c r="D636" s="3"/>
      <c r="E636" s="3" t="s">
        <v>200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228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200</v>
      </c>
      <c r="D637" s="3"/>
      <c r="E637" s="3" t="s">
        <v>200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200</v>
      </c>
      <c r="D638" s="3"/>
      <c r="E638" s="3" t="s">
        <v>200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200</v>
      </c>
      <c r="D639" s="3"/>
      <c r="E639" s="3" t="s">
        <v>200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0.83799999999999997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200</v>
      </c>
      <c r="D640" s="3"/>
      <c r="E640" s="3" t="s">
        <v>200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132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201</v>
      </c>
      <c r="D641" s="3"/>
      <c r="E641" s="3" t="s">
        <v>201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188</v>
      </c>
      <c r="O641" s="3"/>
      <c r="P641" s="3"/>
      <c r="Q641" s="3">
        <v>1.4730000000000001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201</v>
      </c>
      <c r="D642" s="3"/>
      <c r="E642" s="3" t="s">
        <v>201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240</v>
      </c>
      <c r="O642" s="3"/>
      <c r="P642" s="3"/>
      <c r="Q642" s="3">
        <v>1.4730000000000001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201</v>
      </c>
      <c r="D643" s="3"/>
      <c r="E643" s="3" t="s">
        <v>201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237</v>
      </c>
      <c r="O643" s="3"/>
      <c r="P643" s="3"/>
      <c r="Q643" s="3">
        <v>0.42</v>
      </c>
      <c r="R643" s="3" t="s">
        <v>238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201</v>
      </c>
      <c r="D644" s="3"/>
      <c r="E644" s="3" t="s">
        <v>201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101</v>
      </c>
      <c r="O644" s="3"/>
      <c r="P644" s="3"/>
      <c r="Q644" s="3">
        <v>13.818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201</v>
      </c>
      <c r="D645" s="3"/>
      <c r="E645" s="3" t="s">
        <v>201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16</v>
      </c>
      <c r="O645" s="3"/>
      <c r="P645" s="3"/>
      <c r="Q645" s="3">
        <v>84.977999999999994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201</v>
      </c>
      <c r="D646" s="3"/>
      <c r="E646" s="3" t="s">
        <v>201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230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201</v>
      </c>
      <c r="D647" s="3"/>
      <c r="E647" s="3" t="s">
        <v>201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229</v>
      </c>
      <c r="O647" s="3"/>
      <c r="P647" s="3"/>
      <c r="Q647" s="3">
        <v>0.123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201</v>
      </c>
      <c r="D648" s="3"/>
      <c r="E648" s="3" t="s">
        <v>201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228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201</v>
      </c>
      <c r="D649" s="3"/>
      <c r="E649" s="3" t="s">
        <v>201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201</v>
      </c>
      <c r="D650" s="3"/>
      <c r="E650" s="3" t="s">
        <v>201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201</v>
      </c>
      <c r="D651" s="3"/>
      <c r="E651" s="3" t="s">
        <v>201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0.878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201</v>
      </c>
      <c r="D652" s="3"/>
      <c r="E652" s="3" t="s">
        <v>201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134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202</v>
      </c>
      <c r="D653" s="3"/>
      <c r="E653" s="3" t="s">
        <v>202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188</v>
      </c>
      <c r="O653" s="3"/>
      <c r="P653" s="3"/>
      <c r="Q653" s="3">
        <v>1.6259999999999999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202</v>
      </c>
      <c r="D654" s="3"/>
      <c r="E654" s="3" t="s">
        <v>202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240</v>
      </c>
      <c r="O654" s="3"/>
      <c r="P654" s="3"/>
      <c r="Q654" s="3">
        <v>1.6259999999999999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202</v>
      </c>
      <c r="D655" s="3"/>
      <c r="E655" s="3" t="s">
        <v>202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237</v>
      </c>
      <c r="O655" s="3"/>
      <c r="P655" s="3"/>
      <c r="Q655" s="3">
        <v>0.46500000000000002</v>
      </c>
      <c r="R655" s="3" t="s">
        <v>238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202</v>
      </c>
      <c r="D656" s="3"/>
      <c r="E656" s="3" t="s">
        <v>202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101</v>
      </c>
      <c r="O656" s="3"/>
      <c r="P656" s="3"/>
      <c r="Q656" s="3">
        <v>14.427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202</v>
      </c>
      <c r="D657" s="3"/>
      <c r="E657" s="3" t="s">
        <v>202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16</v>
      </c>
      <c r="O657" s="3"/>
      <c r="P657" s="3"/>
      <c r="Q657" s="3">
        <v>88.727000000000004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202</v>
      </c>
      <c r="D658" s="3"/>
      <c r="E658" s="3" t="s">
        <v>202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230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202</v>
      </c>
      <c r="D659" s="3"/>
      <c r="E659" s="3" t="s">
        <v>202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229</v>
      </c>
      <c r="O659" s="3"/>
      <c r="P659" s="3"/>
      <c r="Q659" s="3">
        <v>0.13300000000000001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202</v>
      </c>
      <c r="D660" s="3"/>
      <c r="E660" s="3" t="s">
        <v>202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228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202</v>
      </c>
      <c r="D661" s="3"/>
      <c r="E661" s="3" t="s">
        <v>202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202</v>
      </c>
      <c r="D662" s="3"/>
      <c r="E662" s="3" t="s">
        <v>202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202</v>
      </c>
      <c r="D663" s="3"/>
      <c r="E663" s="3" t="s">
        <v>202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0.95899999999999996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202</v>
      </c>
      <c r="D664" s="3"/>
      <c r="E664" s="3" t="s">
        <v>202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136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203</v>
      </c>
      <c r="D665" s="3"/>
      <c r="E665" s="3" t="s">
        <v>203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188</v>
      </c>
      <c r="O665" s="3"/>
      <c r="P665" s="3"/>
      <c r="Q665" s="3">
        <v>1.778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203</v>
      </c>
      <c r="D666" s="3"/>
      <c r="E666" s="3" t="s">
        <v>203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240</v>
      </c>
      <c r="O666" s="3"/>
      <c r="P666" s="3"/>
      <c r="Q666" s="3">
        <v>1.778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203</v>
      </c>
      <c r="D667" s="3"/>
      <c r="E667" s="3" t="s">
        <v>203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237</v>
      </c>
      <c r="O667" s="3"/>
      <c r="P667" s="3"/>
      <c r="Q667" s="3">
        <v>0.50900000000000001</v>
      </c>
      <c r="R667" s="3" t="s">
        <v>238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203</v>
      </c>
      <c r="D668" s="3"/>
      <c r="E668" s="3" t="s">
        <v>203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101</v>
      </c>
      <c r="O668" s="3"/>
      <c r="P668" s="3"/>
      <c r="Q668" s="3">
        <v>15.037000000000001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203</v>
      </c>
      <c r="D669" s="3"/>
      <c r="E669" s="3" t="s">
        <v>203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16</v>
      </c>
      <c r="O669" s="3"/>
      <c r="P669" s="3"/>
      <c r="Q669" s="3">
        <v>92.475999999999999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203</v>
      </c>
      <c r="D670" s="3"/>
      <c r="E670" s="3" t="s">
        <v>203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230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203</v>
      </c>
      <c r="D671" s="3"/>
      <c r="E671" s="3" t="s">
        <v>203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229</v>
      </c>
      <c r="O671" s="3"/>
      <c r="P671" s="3"/>
      <c r="Q671" s="3">
        <v>0.14399999999999999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203</v>
      </c>
      <c r="D672" s="3"/>
      <c r="E672" s="3" t="s">
        <v>203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228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203</v>
      </c>
      <c r="D673" s="3"/>
      <c r="E673" s="3" t="s">
        <v>203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203</v>
      </c>
      <c r="D674" s="3"/>
      <c r="E674" s="3" t="s">
        <v>203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203</v>
      </c>
      <c r="D675" s="3"/>
      <c r="E675" s="3" t="s">
        <v>203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1.04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203</v>
      </c>
      <c r="D676" s="3"/>
      <c r="E676" s="3" t="s">
        <v>203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138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204</v>
      </c>
      <c r="D677" s="3"/>
      <c r="E677" s="3" t="s">
        <v>204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188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204</v>
      </c>
      <c r="D678" s="3"/>
      <c r="E678" s="3" t="s">
        <v>204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240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204</v>
      </c>
      <c r="D679" s="3"/>
      <c r="E679" s="3" t="s">
        <v>204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237</v>
      </c>
      <c r="O679" s="3"/>
      <c r="P679" s="3"/>
      <c r="Q679" s="3">
        <v>0.249</v>
      </c>
      <c r="R679" s="3" t="s">
        <v>238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204</v>
      </c>
      <c r="D680" s="3"/>
      <c r="E680" s="3" t="s">
        <v>204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101</v>
      </c>
      <c r="O680" s="3"/>
      <c r="P680" s="3"/>
      <c r="Q680" s="3">
        <v>11.683999999999999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204</v>
      </c>
      <c r="D681" s="3"/>
      <c r="E681" s="3" t="s">
        <v>204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16</v>
      </c>
      <c r="O681" s="3"/>
      <c r="P681" s="3"/>
      <c r="Q681" s="3">
        <v>71.856999999999999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204</v>
      </c>
      <c r="D682" s="3"/>
      <c r="E682" s="3" t="s">
        <v>204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230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204</v>
      </c>
      <c r="D683" s="3"/>
      <c r="E683" s="3" t="s">
        <v>204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229</v>
      </c>
      <c r="O683" s="3"/>
      <c r="P683" s="3"/>
      <c r="Q683" s="3">
        <v>0.08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204</v>
      </c>
      <c r="D684" s="3"/>
      <c r="E684" s="3" t="s">
        <v>204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228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204</v>
      </c>
      <c r="D685" s="3"/>
      <c r="E685" s="3" t="s">
        <v>204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204</v>
      </c>
      <c r="D686" s="3"/>
      <c r="E686" s="3" t="s">
        <v>204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204</v>
      </c>
      <c r="D687" s="3"/>
      <c r="E687" s="3" t="s">
        <v>204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0.55400000000000005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204</v>
      </c>
      <c r="D688" s="3"/>
      <c r="E688" s="3" t="s">
        <v>204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140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205</v>
      </c>
      <c r="D689" s="3"/>
      <c r="E689" s="3" t="s">
        <v>205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188</v>
      </c>
      <c r="O689" s="3"/>
      <c r="P689" s="3"/>
      <c r="Q689" s="3">
        <v>1.016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205</v>
      </c>
      <c r="D690" s="3"/>
      <c r="E690" s="3" t="s">
        <v>205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240</v>
      </c>
      <c r="O690" s="3"/>
      <c r="P690" s="3"/>
      <c r="Q690" s="3">
        <v>1.016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205</v>
      </c>
      <c r="D691" s="3"/>
      <c r="E691" s="3" t="s">
        <v>205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237</v>
      </c>
      <c r="O691" s="3"/>
      <c r="P691" s="3"/>
      <c r="Q691" s="3">
        <v>0.29599999999999999</v>
      </c>
      <c r="R691" s="3" t="s">
        <v>238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205</v>
      </c>
      <c r="D692" s="3"/>
      <c r="E692" s="3" t="s">
        <v>205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101</v>
      </c>
      <c r="O692" s="3"/>
      <c r="P692" s="3"/>
      <c r="Q692" s="3">
        <v>12.294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205</v>
      </c>
      <c r="D693" s="3"/>
      <c r="E693" s="3" t="s">
        <v>205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16</v>
      </c>
      <c r="O693" s="3"/>
      <c r="P693" s="3"/>
      <c r="Q693" s="3">
        <v>75.605999999999995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205</v>
      </c>
      <c r="D694" s="3"/>
      <c r="E694" s="3" t="s">
        <v>205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230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205</v>
      </c>
      <c r="D695" s="3"/>
      <c r="E695" s="3" t="s">
        <v>205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229</v>
      </c>
      <c r="O695" s="3"/>
      <c r="P695" s="3"/>
      <c r="Q695" s="3">
        <v>9.0999999999999998E-2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205</v>
      </c>
      <c r="D696" s="3"/>
      <c r="E696" s="3" t="s">
        <v>205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228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205</v>
      </c>
      <c r="D697" s="3"/>
      <c r="E697" s="3" t="s">
        <v>205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205</v>
      </c>
      <c r="D698" s="3"/>
      <c r="E698" s="3" t="s">
        <v>205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205</v>
      </c>
      <c r="D699" s="3"/>
      <c r="E699" s="3" t="s">
        <v>205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0.63500000000000001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205</v>
      </c>
      <c r="D700" s="3"/>
      <c r="E700" s="3" t="s">
        <v>205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142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206</v>
      </c>
      <c r="D701" s="3"/>
      <c r="E701" s="3" t="s">
        <v>206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188</v>
      </c>
      <c r="O701" s="3"/>
      <c r="P701" s="3"/>
      <c r="Q701" s="3">
        <v>1.1679999999999999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206</v>
      </c>
      <c r="D702" s="3"/>
      <c r="E702" s="3" t="s">
        <v>206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240</v>
      </c>
      <c r="O702" s="3"/>
      <c r="P702" s="3"/>
      <c r="Q702" s="3">
        <v>1.1679999999999999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206</v>
      </c>
      <c r="D703" s="3"/>
      <c r="E703" s="3" t="s">
        <v>206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237</v>
      </c>
      <c r="O703" s="3"/>
      <c r="P703" s="3"/>
      <c r="Q703" s="3">
        <v>0.34300000000000003</v>
      </c>
      <c r="R703" s="3" t="s">
        <v>238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206</v>
      </c>
      <c r="D704" s="3"/>
      <c r="E704" s="3" t="s">
        <v>206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101</v>
      </c>
      <c r="O704" s="3"/>
      <c r="P704" s="3"/>
      <c r="Q704" s="3">
        <v>12.903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206</v>
      </c>
      <c r="D705" s="3"/>
      <c r="E705" s="3" t="s">
        <v>206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16</v>
      </c>
      <c r="O705" s="3"/>
      <c r="P705" s="3"/>
      <c r="Q705" s="3">
        <v>79.355000000000004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206</v>
      </c>
      <c r="D706" s="3"/>
      <c r="E706" s="3" t="s">
        <v>206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230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206</v>
      </c>
      <c r="D707" s="3"/>
      <c r="E707" s="3" t="s">
        <v>206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229</v>
      </c>
      <c r="O707" s="3"/>
      <c r="P707" s="3"/>
      <c r="Q707" s="3">
        <v>0.10100000000000001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206</v>
      </c>
      <c r="D708" s="3"/>
      <c r="E708" s="3" t="s">
        <v>206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228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206</v>
      </c>
      <c r="D709" s="3"/>
      <c r="E709" s="3" t="s">
        <v>206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206</v>
      </c>
      <c r="D710" s="3"/>
      <c r="E710" s="3" t="s">
        <v>206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206</v>
      </c>
      <c r="D711" s="3"/>
      <c r="E711" s="3" t="s">
        <v>206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0.71599999999999997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206</v>
      </c>
      <c r="D712" s="3"/>
      <c r="E712" s="3" t="s">
        <v>206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144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207</v>
      </c>
      <c r="D713" s="3"/>
      <c r="E713" s="3" t="s">
        <v>207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188</v>
      </c>
      <c r="O713" s="3"/>
      <c r="P713" s="3"/>
      <c r="Q713" s="3">
        <v>1.321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207</v>
      </c>
      <c r="D714" s="3"/>
      <c r="E714" s="3" t="s">
        <v>207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240</v>
      </c>
      <c r="O714" s="3"/>
      <c r="P714" s="3"/>
      <c r="Q714" s="3">
        <v>1.321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207</v>
      </c>
      <c r="D715" s="3"/>
      <c r="E715" s="3" t="s">
        <v>207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237</v>
      </c>
      <c r="O715" s="3"/>
      <c r="P715" s="3"/>
      <c r="Q715" s="3">
        <v>0.39</v>
      </c>
      <c r="R715" s="3" t="s">
        <v>238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207</v>
      </c>
      <c r="D716" s="3"/>
      <c r="E716" s="3" t="s">
        <v>207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101</v>
      </c>
      <c r="O716" s="3"/>
      <c r="P716" s="3"/>
      <c r="Q716" s="3">
        <v>13.513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207</v>
      </c>
      <c r="D717" s="3"/>
      <c r="E717" s="3" t="s">
        <v>207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16</v>
      </c>
      <c r="O717" s="3"/>
      <c r="P717" s="3"/>
      <c r="Q717" s="3">
        <v>83.103999999999999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207</v>
      </c>
      <c r="D718" s="3"/>
      <c r="E718" s="3" t="s">
        <v>207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230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207</v>
      </c>
      <c r="D719" s="3"/>
      <c r="E719" s="3" t="s">
        <v>207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229</v>
      </c>
      <c r="O719" s="3"/>
      <c r="P719" s="3"/>
      <c r="Q719" s="3">
        <v>0.112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207</v>
      </c>
      <c r="D720" s="3"/>
      <c r="E720" s="3" t="s">
        <v>207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228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207</v>
      </c>
      <c r="D721" s="3"/>
      <c r="E721" s="3" t="s">
        <v>207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207</v>
      </c>
      <c r="D722" s="3"/>
      <c r="E722" s="3" t="s">
        <v>207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207</v>
      </c>
      <c r="D723" s="3"/>
      <c r="E723" s="3" t="s">
        <v>207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0.79700000000000004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207</v>
      </c>
      <c r="D724" s="3"/>
      <c r="E724" s="3" t="s">
        <v>207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146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208</v>
      </c>
      <c r="D725" s="3"/>
      <c r="E725" s="3" t="s">
        <v>208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188</v>
      </c>
      <c r="O725" s="3"/>
      <c r="P725" s="3"/>
      <c r="Q725" s="3">
        <v>1.397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208</v>
      </c>
      <c r="D726" s="3"/>
      <c r="E726" s="3" t="s">
        <v>208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240</v>
      </c>
      <c r="O726" s="3"/>
      <c r="P726" s="3"/>
      <c r="Q726" s="3">
        <v>1.397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208</v>
      </c>
      <c r="D727" s="3"/>
      <c r="E727" s="3" t="s">
        <v>208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237</v>
      </c>
      <c r="O727" s="3"/>
      <c r="P727" s="3"/>
      <c r="Q727" s="3">
        <v>0.41299999999999998</v>
      </c>
      <c r="R727" s="3" t="s">
        <v>238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208</v>
      </c>
      <c r="D728" s="3"/>
      <c r="E728" s="3" t="s">
        <v>208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101</v>
      </c>
      <c r="O728" s="3"/>
      <c r="P728" s="3"/>
      <c r="Q728" s="3">
        <v>13.818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208</v>
      </c>
      <c r="D729" s="3"/>
      <c r="E729" s="3" t="s">
        <v>208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16</v>
      </c>
      <c r="O729" s="3"/>
      <c r="P729" s="3"/>
      <c r="Q729" s="3">
        <v>84.977999999999994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208</v>
      </c>
      <c r="D730" s="3"/>
      <c r="E730" s="3" t="s">
        <v>208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230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208</v>
      </c>
      <c r="D731" s="3"/>
      <c r="E731" s="3" t="s">
        <v>208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229</v>
      </c>
      <c r="O731" s="3"/>
      <c r="P731" s="3"/>
      <c r="Q731" s="3">
        <v>0.11700000000000001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208</v>
      </c>
      <c r="D732" s="3"/>
      <c r="E732" s="3" t="s">
        <v>208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228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208</v>
      </c>
      <c r="D733" s="3"/>
      <c r="E733" s="3" t="s">
        <v>208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208</v>
      </c>
      <c r="D734" s="3"/>
      <c r="E734" s="3" t="s">
        <v>208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208</v>
      </c>
      <c r="D735" s="3"/>
      <c r="E735" s="3" t="s">
        <v>208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0.83799999999999997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208</v>
      </c>
      <c r="D736" s="3"/>
      <c r="E736" s="3" t="s">
        <v>208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148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209</v>
      </c>
      <c r="D737" s="3"/>
      <c r="E737" s="3" t="s">
        <v>209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188</v>
      </c>
      <c r="O737" s="3"/>
      <c r="P737" s="3"/>
      <c r="Q737" s="3">
        <v>1.4730000000000001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209</v>
      </c>
      <c r="D738" s="3"/>
      <c r="E738" s="3" t="s">
        <v>209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240</v>
      </c>
      <c r="O738" s="3"/>
      <c r="P738" s="3"/>
      <c r="Q738" s="3">
        <v>1.4730000000000001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209</v>
      </c>
      <c r="D739" s="3"/>
      <c r="E739" s="3" t="s">
        <v>209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237</v>
      </c>
      <c r="O739" s="3"/>
      <c r="P739" s="3"/>
      <c r="Q739" s="3">
        <v>0.437</v>
      </c>
      <c r="R739" s="3" t="s">
        <v>238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209</v>
      </c>
      <c r="D740" s="3"/>
      <c r="E740" s="3" t="s">
        <v>209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101</v>
      </c>
      <c r="O740" s="3"/>
      <c r="P740" s="3"/>
      <c r="Q740" s="3">
        <v>14.122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209</v>
      </c>
      <c r="D741" s="3"/>
      <c r="E741" s="3" t="s">
        <v>209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16</v>
      </c>
      <c r="O741" s="3"/>
      <c r="P741" s="3"/>
      <c r="Q741" s="3">
        <v>86.852999999999994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209</v>
      </c>
      <c r="D742" s="3"/>
      <c r="E742" s="3" t="s">
        <v>209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230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209</v>
      </c>
      <c r="D743" s="3"/>
      <c r="E743" s="3" t="s">
        <v>209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229</v>
      </c>
      <c r="O743" s="3"/>
      <c r="P743" s="3"/>
      <c r="Q743" s="3">
        <v>0.123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209</v>
      </c>
      <c r="D744" s="3"/>
      <c r="E744" s="3" t="s">
        <v>209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228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209</v>
      </c>
      <c r="D745" s="3"/>
      <c r="E745" s="3" t="s">
        <v>209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209</v>
      </c>
      <c r="D746" s="3"/>
      <c r="E746" s="3" t="s">
        <v>209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209</v>
      </c>
      <c r="D747" s="3"/>
      <c r="E747" s="3" t="s">
        <v>209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0.878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209</v>
      </c>
      <c r="D748" s="3"/>
      <c r="E748" s="3" t="s">
        <v>209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150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210</v>
      </c>
      <c r="D749" s="3"/>
      <c r="E749" s="3" t="s">
        <v>210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188</v>
      </c>
      <c r="O749" s="3"/>
      <c r="P749" s="3"/>
      <c r="Q749" s="3">
        <v>1.6259999999999999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210</v>
      </c>
      <c r="D750" s="3"/>
      <c r="E750" s="3" t="s">
        <v>210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240</v>
      </c>
      <c r="O750" s="3"/>
      <c r="P750" s="3"/>
      <c r="Q750" s="3">
        <v>1.6259999999999999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210</v>
      </c>
      <c r="D751" s="3"/>
      <c r="E751" s="3" t="s">
        <v>210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237</v>
      </c>
      <c r="O751" s="3"/>
      <c r="P751" s="3"/>
      <c r="Q751" s="3">
        <v>0.48299999999999998</v>
      </c>
      <c r="R751" s="3" t="s">
        <v>238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210</v>
      </c>
      <c r="D752" s="3"/>
      <c r="E752" s="3" t="s">
        <v>210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101</v>
      </c>
      <c r="O752" s="3"/>
      <c r="P752" s="3"/>
      <c r="Q752" s="3">
        <v>14.731999999999999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210</v>
      </c>
      <c r="D753" s="3"/>
      <c r="E753" s="3" t="s">
        <v>210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16</v>
      </c>
      <c r="O753" s="3"/>
      <c r="P753" s="3"/>
      <c r="Q753" s="3">
        <v>90.602000000000004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210</v>
      </c>
      <c r="D754" s="3"/>
      <c r="E754" s="3" t="s">
        <v>210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230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210</v>
      </c>
      <c r="D755" s="3"/>
      <c r="E755" s="3" t="s">
        <v>210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229</v>
      </c>
      <c r="O755" s="3"/>
      <c r="P755" s="3"/>
      <c r="Q755" s="3">
        <v>0.13300000000000001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210</v>
      </c>
      <c r="D756" s="3"/>
      <c r="E756" s="3" t="s">
        <v>210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228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210</v>
      </c>
      <c r="D757" s="3"/>
      <c r="E757" s="3" t="s">
        <v>210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210</v>
      </c>
      <c r="D758" s="3"/>
      <c r="E758" s="3" t="s">
        <v>210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210</v>
      </c>
      <c r="D759" s="3"/>
      <c r="E759" s="3" t="s">
        <v>210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0.95899999999999996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210</v>
      </c>
      <c r="D760" s="3"/>
      <c r="E760" s="3" t="s">
        <v>210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152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211</v>
      </c>
      <c r="D761" s="3"/>
      <c r="E761" s="3" t="s">
        <v>211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188</v>
      </c>
      <c r="O761" s="3"/>
      <c r="P761" s="3"/>
      <c r="Q761" s="3">
        <v>1.778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211</v>
      </c>
      <c r="D762" s="3"/>
      <c r="E762" s="3" t="s">
        <v>211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240</v>
      </c>
      <c r="O762" s="3"/>
      <c r="P762" s="3"/>
      <c r="Q762" s="3">
        <v>1.778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211</v>
      </c>
      <c r="D763" s="3"/>
      <c r="E763" s="3" t="s">
        <v>211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237</v>
      </c>
      <c r="O763" s="3"/>
      <c r="P763" s="3"/>
      <c r="Q763" s="3">
        <v>0.53</v>
      </c>
      <c r="R763" s="3" t="s">
        <v>238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211</v>
      </c>
      <c r="D764" s="3"/>
      <c r="E764" s="3" t="s">
        <v>211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101</v>
      </c>
      <c r="O764" s="3"/>
      <c r="P764" s="3"/>
      <c r="Q764" s="3">
        <v>15.342000000000001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211</v>
      </c>
      <c r="D765" s="3"/>
      <c r="E765" s="3" t="s">
        <v>211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16</v>
      </c>
      <c r="O765" s="3"/>
      <c r="P765" s="3"/>
      <c r="Q765" s="3">
        <v>94.350999999999999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211</v>
      </c>
      <c r="D766" s="3"/>
      <c r="E766" s="3" t="s">
        <v>211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230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211</v>
      </c>
      <c r="D767" s="3"/>
      <c r="E767" s="3" t="s">
        <v>211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229</v>
      </c>
      <c r="O767" s="3"/>
      <c r="P767" s="3"/>
      <c r="Q767" s="3">
        <v>0.14399999999999999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211</v>
      </c>
      <c r="D768" s="3"/>
      <c r="E768" s="3" t="s">
        <v>211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228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211</v>
      </c>
      <c r="D769" s="3"/>
      <c r="E769" s="3" t="s">
        <v>211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211</v>
      </c>
      <c r="D770" s="3"/>
      <c r="E770" s="3" t="s">
        <v>211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211</v>
      </c>
      <c r="D771" s="3"/>
      <c r="E771" s="3" t="s">
        <v>211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1.04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211</v>
      </c>
      <c r="D772" s="3"/>
      <c r="E772" s="3" t="s">
        <v>211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154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212</v>
      </c>
      <c r="D773" s="3"/>
      <c r="E773" s="3" t="s">
        <v>212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188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212</v>
      </c>
      <c r="D774" s="3"/>
      <c r="E774" s="3" t="s">
        <v>212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240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212</v>
      </c>
      <c r="D775" s="3"/>
      <c r="E775" s="3" t="s">
        <v>212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237</v>
      </c>
      <c r="O775" s="3"/>
      <c r="P775" s="3"/>
      <c r="Q775" s="3">
        <v>0.25600000000000001</v>
      </c>
      <c r="R775" s="3" t="s">
        <v>238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212</v>
      </c>
      <c r="D776" s="3"/>
      <c r="E776" s="3" t="s">
        <v>212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101</v>
      </c>
      <c r="O776" s="3"/>
      <c r="P776" s="3"/>
      <c r="Q776" s="3">
        <v>11.887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212</v>
      </c>
      <c r="D777" s="3"/>
      <c r="E777" s="3" t="s">
        <v>212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16</v>
      </c>
      <c r="O777" s="3"/>
      <c r="P777" s="3"/>
      <c r="Q777" s="3">
        <v>73.105999999999995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212</v>
      </c>
      <c r="D778" s="3"/>
      <c r="E778" s="3" t="s">
        <v>212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230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212</v>
      </c>
      <c r="D779" s="3"/>
      <c r="E779" s="3" t="s">
        <v>212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229</v>
      </c>
      <c r="O779" s="3"/>
      <c r="P779" s="3"/>
      <c r="Q779" s="3">
        <v>0.08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212</v>
      </c>
      <c r="D780" s="3"/>
      <c r="E780" s="3" t="s">
        <v>212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228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212</v>
      </c>
      <c r="D781" s="3"/>
      <c r="E781" s="3" t="s">
        <v>212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212</v>
      </c>
      <c r="D782" s="3"/>
      <c r="E782" s="3" t="s">
        <v>212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212</v>
      </c>
      <c r="D783" s="3"/>
      <c r="E783" s="3" t="s">
        <v>212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1.1890000000000001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212</v>
      </c>
      <c r="D784" s="3"/>
      <c r="E784" s="3" t="s">
        <v>212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156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213</v>
      </c>
      <c r="D785" s="3"/>
      <c r="E785" s="3" t="s">
        <v>213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188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213</v>
      </c>
      <c r="D786" s="3"/>
      <c r="E786" s="3" t="s">
        <v>213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240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213</v>
      </c>
      <c r="D787" s="3"/>
      <c r="E787" s="3" t="s">
        <v>213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237</v>
      </c>
      <c r="O787" s="3"/>
      <c r="P787" s="3"/>
      <c r="Q787" s="3">
        <v>0.30399999999999999</v>
      </c>
      <c r="R787" s="3" t="s">
        <v>238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213</v>
      </c>
      <c r="D788" s="3"/>
      <c r="E788" s="3" t="s">
        <v>213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101</v>
      </c>
      <c r="O788" s="3"/>
      <c r="P788" s="3"/>
      <c r="Q788" s="3">
        <v>12.497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213</v>
      </c>
      <c r="D789" s="3"/>
      <c r="E789" s="3" t="s">
        <v>213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16</v>
      </c>
      <c r="O789" s="3"/>
      <c r="P789" s="3"/>
      <c r="Q789" s="3">
        <v>76.855000000000004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213</v>
      </c>
      <c r="D790" s="3"/>
      <c r="E790" s="3" t="s">
        <v>213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230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213</v>
      </c>
      <c r="D791" s="3"/>
      <c r="E791" s="3" t="s">
        <v>213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229</v>
      </c>
      <c r="O791" s="3"/>
      <c r="P791" s="3"/>
      <c r="Q791" s="3">
        <v>9.0999999999999998E-2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213</v>
      </c>
      <c r="D792" s="3"/>
      <c r="E792" s="3" t="s">
        <v>213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228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213</v>
      </c>
      <c r="D793" s="3"/>
      <c r="E793" s="3" t="s">
        <v>213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213</v>
      </c>
      <c r="D794" s="3"/>
      <c r="E794" s="3" t="s">
        <v>213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213</v>
      </c>
      <c r="D795" s="3"/>
      <c r="E795" s="3" t="s">
        <v>213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1.1890000000000001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213</v>
      </c>
      <c r="D796" s="3"/>
      <c r="E796" s="3" t="s">
        <v>213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158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214</v>
      </c>
      <c r="D797" s="3"/>
      <c r="E797" s="3" t="s">
        <v>214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188</v>
      </c>
      <c r="O797" s="3"/>
      <c r="P797" s="3"/>
      <c r="Q797" s="3">
        <v>2.0569999999999999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214</v>
      </c>
      <c r="D798" s="3"/>
      <c r="E798" s="3" t="s">
        <v>214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240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214</v>
      </c>
      <c r="D799" s="3"/>
      <c r="E799" s="3" t="s">
        <v>214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237</v>
      </c>
      <c r="O799" s="3"/>
      <c r="P799" s="3"/>
      <c r="Q799" s="3">
        <v>0.35199999999999998</v>
      </c>
      <c r="R799" s="3" t="s">
        <v>238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214</v>
      </c>
      <c r="D800" s="3"/>
      <c r="E800" s="3" t="s">
        <v>214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101</v>
      </c>
      <c r="O800" s="3"/>
      <c r="P800" s="3"/>
      <c r="Q800" s="3">
        <v>13.106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214</v>
      </c>
      <c r="D801" s="3"/>
      <c r="E801" s="3" t="s">
        <v>214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16</v>
      </c>
      <c r="O801" s="3"/>
      <c r="P801" s="3"/>
      <c r="Q801" s="3">
        <v>80.603999999999999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214</v>
      </c>
      <c r="D802" s="3"/>
      <c r="E802" s="3" t="s">
        <v>214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230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214</v>
      </c>
      <c r="D803" s="3"/>
      <c r="E803" s="3" t="s">
        <v>214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229</v>
      </c>
      <c r="O803" s="3"/>
      <c r="P803" s="3"/>
      <c r="Q803" s="3">
        <v>0.10100000000000001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214</v>
      </c>
      <c r="D804" s="3"/>
      <c r="E804" s="3" t="s">
        <v>214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228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214</v>
      </c>
      <c r="D805" s="3"/>
      <c r="E805" s="3" t="s">
        <v>214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214</v>
      </c>
      <c r="D806" s="3"/>
      <c r="E806" s="3" t="s">
        <v>214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214</v>
      </c>
      <c r="D807" s="3"/>
      <c r="E807" s="3" t="s">
        <v>214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1.1890000000000001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214</v>
      </c>
      <c r="D808" s="3"/>
      <c r="E808" s="3" t="s">
        <v>214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160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215</v>
      </c>
      <c r="D809" s="3"/>
      <c r="E809" s="3" t="s">
        <v>215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188</v>
      </c>
      <c r="O809" s="3"/>
      <c r="P809" s="3"/>
      <c r="Q809" s="3">
        <v>2.0569999999999999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215</v>
      </c>
      <c r="D810" s="3"/>
      <c r="E810" s="3" t="s">
        <v>215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240</v>
      </c>
      <c r="O810" s="3"/>
      <c r="P810" s="3"/>
      <c r="Q810" s="3">
        <v>2.0569999999999999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215</v>
      </c>
      <c r="D811" s="3"/>
      <c r="E811" s="3" t="s">
        <v>215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237</v>
      </c>
      <c r="O811" s="3"/>
      <c r="P811" s="3"/>
      <c r="Q811" s="3">
        <v>0.4</v>
      </c>
      <c r="R811" s="3" t="s">
        <v>238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215</v>
      </c>
      <c r="D812" s="3"/>
      <c r="E812" s="3" t="s">
        <v>215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101</v>
      </c>
      <c r="O812" s="3"/>
      <c r="P812" s="3"/>
      <c r="Q812" s="3">
        <v>13.715999999999999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215</v>
      </c>
      <c r="D813" s="3"/>
      <c r="E813" s="3" t="s">
        <v>215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16</v>
      </c>
      <c r="O813" s="3"/>
      <c r="P813" s="3"/>
      <c r="Q813" s="3">
        <v>84.352999999999994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215</v>
      </c>
      <c r="D814" s="3"/>
      <c r="E814" s="3" t="s">
        <v>215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230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215</v>
      </c>
      <c r="D815" s="3"/>
      <c r="E815" s="3" t="s">
        <v>215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229</v>
      </c>
      <c r="O815" s="3"/>
      <c r="P815" s="3"/>
      <c r="Q815" s="3">
        <v>0.112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215</v>
      </c>
      <c r="D816" s="3"/>
      <c r="E816" s="3" t="s">
        <v>215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228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215</v>
      </c>
      <c r="D817" s="3"/>
      <c r="E817" s="3" t="s">
        <v>215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215</v>
      </c>
      <c r="D818" s="3"/>
      <c r="E818" s="3" t="s">
        <v>215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215</v>
      </c>
      <c r="D819" s="3"/>
      <c r="E819" s="3" t="s">
        <v>215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1.1890000000000001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215</v>
      </c>
      <c r="D820" s="3"/>
      <c r="E820" s="3" t="s">
        <v>215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162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216</v>
      </c>
      <c r="D821" s="3"/>
      <c r="E821" s="3" t="s">
        <v>216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188</v>
      </c>
      <c r="O821" s="3"/>
      <c r="P821" s="3"/>
      <c r="Q821" s="3">
        <v>2.0569999999999999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216</v>
      </c>
      <c r="D822" s="3"/>
      <c r="E822" s="3" t="s">
        <v>216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240</v>
      </c>
      <c r="O822" s="3"/>
      <c r="P822" s="3"/>
      <c r="Q822" s="3">
        <v>2.0569999999999999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216</v>
      </c>
      <c r="D823" s="3"/>
      <c r="E823" s="3" t="s">
        <v>216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237</v>
      </c>
      <c r="O823" s="3"/>
      <c r="P823" s="3"/>
      <c r="Q823" s="3">
        <v>0.42399999999999999</v>
      </c>
      <c r="R823" s="3" t="s">
        <v>238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216</v>
      </c>
      <c r="D824" s="3"/>
      <c r="E824" s="3" t="s">
        <v>216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101</v>
      </c>
      <c r="O824" s="3"/>
      <c r="P824" s="3"/>
      <c r="Q824" s="3">
        <v>14.021000000000001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216</v>
      </c>
      <c r="D825" s="3"/>
      <c r="E825" s="3" t="s">
        <v>216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16</v>
      </c>
      <c r="O825" s="3"/>
      <c r="P825" s="3"/>
      <c r="Q825" s="3">
        <v>86.227999999999994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216</v>
      </c>
      <c r="D826" s="3"/>
      <c r="E826" s="3" t="s">
        <v>216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230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216</v>
      </c>
      <c r="D827" s="3"/>
      <c r="E827" s="3" t="s">
        <v>216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229</v>
      </c>
      <c r="O827" s="3"/>
      <c r="P827" s="3"/>
      <c r="Q827" s="3">
        <v>0.11700000000000001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216</v>
      </c>
      <c r="D828" s="3"/>
      <c r="E828" s="3" t="s">
        <v>216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228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216</v>
      </c>
      <c r="D829" s="3"/>
      <c r="E829" s="3" t="s">
        <v>216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216</v>
      </c>
      <c r="D830" s="3"/>
      <c r="E830" s="3" t="s">
        <v>216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216</v>
      </c>
      <c r="D831" s="3"/>
      <c r="E831" s="3" t="s">
        <v>216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1.1890000000000001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216</v>
      </c>
      <c r="D832" s="3"/>
      <c r="E832" s="3" t="s">
        <v>216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164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217</v>
      </c>
      <c r="D833" s="3"/>
      <c r="E833" s="3" t="s">
        <v>217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188</v>
      </c>
      <c r="O833" s="3"/>
      <c r="P833" s="3"/>
      <c r="Q833" s="3">
        <v>2.0569999999999999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217</v>
      </c>
      <c r="D834" s="3"/>
      <c r="E834" s="3" t="s">
        <v>217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240</v>
      </c>
      <c r="O834" s="3"/>
      <c r="P834" s="3"/>
      <c r="Q834" s="3">
        <v>2.0569999999999999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217</v>
      </c>
      <c r="D835" s="3"/>
      <c r="E835" s="3" t="s">
        <v>217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237</v>
      </c>
      <c r="O835" s="3"/>
      <c r="P835" s="3"/>
      <c r="Q835" s="3">
        <v>0.44800000000000001</v>
      </c>
      <c r="R835" s="3" t="s">
        <v>238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217</v>
      </c>
      <c r="D836" s="3"/>
      <c r="E836" s="3" t="s">
        <v>217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101</v>
      </c>
      <c r="O836" s="3"/>
      <c r="P836" s="3"/>
      <c r="Q836" s="3">
        <v>14.326000000000001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217</v>
      </c>
      <c r="D837" s="3"/>
      <c r="E837" s="3" t="s">
        <v>217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16</v>
      </c>
      <c r="O837" s="3"/>
      <c r="P837" s="3"/>
      <c r="Q837" s="3">
        <v>88.102000000000004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217</v>
      </c>
      <c r="D838" s="3"/>
      <c r="E838" s="3" t="s">
        <v>217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230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217</v>
      </c>
      <c r="D839" s="3"/>
      <c r="E839" s="3" t="s">
        <v>217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229</v>
      </c>
      <c r="O839" s="3"/>
      <c r="P839" s="3"/>
      <c r="Q839" s="3">
        <v>0.123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217</v>
      </c>
      <c r="D840" s="3"/>
      <c r="E840" s="3" t="s">
        <v>217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228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217</v>
      </c>
      <c r="D841" s="3"/>
      <c r="E841" s="3" t="s">
        <v>217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217</v>
      </c>
      <c r="D842" s="3"/>
      <c r="E842" s="3" t="s">
        <v>217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217</v>
      </c>
      <c r="D843" s="3"/>
      <c r="E843" s="3" t="s">
        <v>217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1.1890000000000001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217</v>
      </c>
      <c r="D844" s="3"/>
      <c r="E844" s="3" t="s">
        <v>217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166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218</v>
      </c>
      <c r="D845" s="3"/>
      <c r="E845" s="3" t="s">
        <v>218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188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218</v>
      </c>
      <c r="D846" s="3"/>
      <c r="E846" s="3" t="s">
        <v>218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240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218</v>
      </c>
      <c r="D847" s="3"/>
      <c r="E847" s="3" t="s">
        <v>218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237</v>
      </c>
      <c r="O847" s="3"/>
      <c r="P847" s="3"/>
      <c r="Q847" s="3">
        <v>0.496</v>
      </c>
      <c r="R847" s="3" t="s">
        <v>238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218</v>
      </c>
      <c r="D848" s="3"/>
      <c r="E848" s="3" t="s">
        <v>218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101</v>
      </c>
      <c r="O848" s="3"/>
      <c r="P848" s="3"/>
      <c r="Q848" s="3">
        <v>14.935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218</v>
      </c>
      <c r="D849" s="3"/>
      <c r="E849" s="3" t="s">
        <v>218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16</v>
      </c>
      <c r="O849" s="3"/>
      <c r="P849" s="3"/>
      <c r="Q849" s="3">
        <v>91.850999999999999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218</v>
      </c>
      <c r="D850" s="3"/>
      <c r="E850" s="3" t="s">
        <v>218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230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218</v>
      </c>
      <c r="D851" s="3"/>
      <c r="E851" s="3" t="s">
        <v>218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229</v>
      </c>
      <c r="O851" s="3"/>
      <c r="P851" s="3"/>
      <c r="Q851" s="3">
        <v>0.13300000000000001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218</v>
      </c>
      <c r="D852" s="3"/>
      <c r="E852" s="3" t="s">
        <v>218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228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218</v>
      </c>
      <c r="D853" s="3"/>
      <c r="E853" s="3" t="s">
        <v>218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218</v>
      </c>
      <c r="D854" s="3"/>
      <c r="E854" s="3" t="s">
        <v>218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218</v>
      </c>
      <c r="D855" s="3"/>
      <c r="E855" s="3" t="s">
        <v>218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1.1890000000000001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218</v>
      </c>
      <c r="D856" s="3"/>
      <c r="E856" s="3" t="s">
        <v>218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168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219</v>
      </c>
      <c r="D857" s="3"/>
      <c r="E857" s="3" t="s">
        <v>219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188</v>
      </c>
      <c r="O857" s="3"/>
      <c r="P857" s="3"/>
      <c r="Q857" s="3">
        <v>2.0569999999999999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219</v>
      </c>
      <c r="D858" s="3"/>
      <c r="E858" s="3" t="s">
        <v>219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240</v>
      </c>
      <c r="O858" s="3"/>
      <c r="P858" s="3"/>
      <c r="Q858" s="3">
        <v>2.0569999999999999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219</v>
      </c>
      <c r="D859" s="3"/>
      <c r="E859" s="3" t="s">
        <v>219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237</v>
      </c>
      <c r="O859" s="3"/>
      <c r="P859" s="3"/>
      <c r="Q859" s="3">
        <v>0.54400000000000004</v>
      </c>
      <c r="R859" s="3" t="s">
        <v>238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219</v>
      </c>
      <c r="D860" s="3"/>
      <c r="E860" s="3" t="s">
        <v>219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101</v>
      </c>
      <c r="O860" s="3"/>
      <c r="P860" s="3"/>
      <c r="Q860" s="3">
        <v>15.545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219</v>
      </c>
      <c r="D861" s="3"/>
      <c r="E861" s="3" t="s">
        <v>219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16</v>
      </c>
      <c r="O861" s="3"/>
      <c r="P861" s="3"/>
      <c r="Q861" s="3">
        <v>95.600999999999999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219</v>
      </c>
      <c r="D862" s="3"/>
      <c r="E862" s="3" t="s">
        <v>219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230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219</v>
      </c>
      <c r="D863" s="3"/>
      <c r="E863" s="3" t="s">
        <v>219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229</v>
      </c>
      <c r="O863" s="3"/>
      <c r="P863" s="3"/>
      <c r="Q863" s="3">
        <v>0.14399999999999999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219</v>
      </c>
      <c r="D864" s="3"/>
      <c r="E864" s="3" t="s">
        <v>219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228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219</v>
      </c>
      <c r="D865" s="3"/>
      <c r="E865" s="3" t="s">
        <v>219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219</v>
      </c>
      <c r="D866" s="3"/>
      <c r="E866" s="3" t="s">
        <v>219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219</v>
      </c>
      <c r="D867" s="3"/>
      <c r="E867" s="3" t="s">
        <v>219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1.1890000000000001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219</v>
      </c>
      <c r="D868" s="3"/>
      <c r="E868" s="3" t="s">
        <v>219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170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220</v>
      </c>
      <c r="D869" s="3"/>
      <c r="E869" s="3" t="s">
        <v>220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188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220</v>
      </c>
      <c r="D870" s="3"/>
      <c r="E870" s="3" t="s">
        <v>220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240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220</v>
      </c>
      <c r="D871" s="3"/>
      <c r="E871" s="3" t="s">
        <v>220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237</v>
      </c>
      <c r="O871" s="3"/>
      <c r="P871" s="3"/>
      <c r="Q871" s="3">
        <v>0.26900000000000002</v>
      </c>
      <c r="R871" s="3" t="s">
        <v>238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220</v>
      </c>
      <c r="D872" s="3"/>
      <c r="E872" s="3" t="s">
        <v>220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101</v>
      </c>
      <c r="O872" s="3"/>
      <c r="P872" s="3"/>
      <c r="Q872" s="3">
        <v>12.294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220</v>
      </c>
      <c r="D873" s="3"/>
      <c r="E873" s="3" t="s">
        <v>220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16</v>
      </c>
      <c r="O873" s="3"/>
      <c r="P873" s="3"/>
      <c r="Q873" s="3">
        <v>75.605999999999995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220</v>
      </c>
      <c r="D874" s="3"/>
      <c r="E874" s="3" t="s">
        <v>220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230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220</v>
      </c>
      <c r="D875" s="3"/>
      <c r="E875" s="3" t="s">
        <v>220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229</v>
      </c>
      <c r="O875" s="3"/>
      <c r="P875" s="3"/>
      <c r="Q875" s="3">
        <v>0.08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220</v>
      </c>
      <c r="D876" s="3"/>
      <c r="E876" s="3" t="s">
        <v>220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228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220</v>
      </c>
      <c r="D877" s="3"/>
      <c r="E877" s="3" t="s">
        <v>220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220</v>
      </c>
      <c r="D878" s="3"/>
      <c r="E878" s="3" t="s">
        <v>220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220</v>
      </c>
      <c r="D879" s="3"/>
      <c r="E879" s="3" t="s">
        <v>220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1.2430000000000001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220</v>
      </c>
      <c r="D880" s="3"/>
      <c r="E880" s="3" t="s">
        <v>220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172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221</v>
      </c>
      <c r="D881" s="3"/>
      <c r="E881" s="3" t="s">
        <v>221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188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221</v>
      </c>
      <c r="D882" s="3"/>
      <c r="E882" s="3" t="s">
        <v>221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240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221</v>
      </c>
      <c r="D883" s="3"/>
      <c r="E883" s="3" t="s">
        <v>221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237</v>
      </c>
      <c r="O883" s="3"/>
      <c r="P883" s="3"/>
      <c r="Q883" s="3">
        <v>0.31900000000000001</v>
      </c>
      <c r="R883" s="3" t="s">
        <v>238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221</v>
      </c>
      <c r="D884" s="3"/>
      <c r="E884" s="3" t="s">
        <v>221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101</v>
      </c>
      <c r="O884" s="3"/>
      <c r="P884" s="3"/>
      <c r="Q884" s="3">
        <v>12.903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221</v>
      </c>
      <c r="D885" s="3"/>
      <c r="E885" s="3" t="s">
        <v>221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16</v>
      </c>
      <c r="O885" s="3"/>
      <c r="P885" s="3"/>
      <c r="Q885" s="3">
        <v>79.355000000000004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221</v>
      </c>
      <c r="D886" s="3"/>
      <c r="E886" s="3" t="s">
        <v>221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230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221</v>
      </c>
      <c r="D887" s="3"/>
      <c r="E887" s="3" t="s">
        <v>221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229</v>
      </c>
      <c r="O887" s="3"/>
      <c r="P887" s="3"/>
      <c r="Q887" s="3">
        <v>9.0999999999999998E-2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221</v>
      </c>
      <c r="D888" s="3"/>
      <c r="E888" s="3" t="s">
        <v>221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228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221</v>
      </c>
      <c r="D889" s="3"/>
      <c r="E889" s="3" t="s">
        <v>221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221</v>
      </c>
      <c r="D890" s="3"/>
      <c r="E890" s="3" t="s">
        <v>221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221</v>
      </c>
      <c r="D891" s="3"/>
      <c r="E891" s="3" t="s">
        <v>221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1.2430000000000001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221</v>
      </c>
      <c r="D892" s="3"/>
      <c r="E892" s="3" t="s">
        <v>221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174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222</v>
      </c>
      <c r="D893" s="3"/>
      <c r="E893" s="3" t="s">
        <v>222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188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222</v>
      </c>
      <c r="D894" s="3"/>
      <c r="E894" s="3" t="s">
        <v>222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240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222</v>
      </c>
      <c r="D895" s="3"/>
      <c r="E895" s="3" t="s">
        <v>222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237</v>
      </c>
      <c r="O895" s="3"/>
      <c r="P895" s="3"/>
      <c r="Q895" s="3">
        <v>0.37</v>
      </c>
      <c r="R895" s="3" t="s">
        <v>238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222</v>
      </c>
      <c r="D896" s="3"/>
      <c r="E896" s="3" t="s">
        <v>222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101</v>
      </c>
      <c r="O896" s="3"/>
      <c r="P896" s="3"/>
      <c r="Q896" s="3">
        <v>13.513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222</v>
      </c>
      <c r="D897" s="3"/>
      <c r="E897" s="3" t="s">
        <v>222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16</v>
      </c>
      <c r="O897" s="3"/>
      <c r="P897" s="3"/>
      <c r="Q897" s="3">
        <v>83.103999999999999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222</v>
      </c>
      <c r="D898" s="3"/>
      <c r="E898" s="3" t="s">
        <v>222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230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222</v>
      </c>
      <c r="D899" s="3"/>
      <c r="E899" s="3" t="s">
        <v>222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229</v>
      </c>
      <c r="O899" s="3"/>
      <c r="P899" s="3"/>
      <c r="Q899" s="3">
        <v>0.10100000000000001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222</v>
      </c>
      <c r="D900" s="3"/>
      <c r="E900" s="3" t="s">
        <v>222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228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222</v>
      </c>
      <c r="D901" s="3"/>
      <c r="E901" s="3" t="s">
        <v>222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222</v>
      </c>
      <c r="D902" s="3"/>
      <c r="E902" s="3" t="s">
        <v>222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222</v>
      </c>
      <c r="D903" s="3"/>
      <c r="E903" s="3" t="s">
        <v>222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1.2430000000000001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222</v>
      </c>
      <c r="D904" s="3"/>
      <c r="E904" s="3" t="s">
        <v>222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176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223</v>
      </c>
      <c r="D905" s="3"/>
      <c r="E905" s="3" t="s">
        <v>223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188</v>
      </c>
      <c r="O905" s="3"/>
      <c r="P905" s="3"/>
      <c r="Q905" s="3">
        <v>2.1589999999999998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223</v>
      </c>
      <c r="D906" s="3"/>
      <c r="E906" s="3" t="s">
        <v>223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240</v>
      </c>
      <c r="O906" s="3"/>
      <c r="P906" s="3"/>
      <c r="Q906" s="3">
        <v>2.1589999999999998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223</v>
      </c>
      <c r="D907" s="3"/>
      <c r="E907" s="3" t="s">
        <v>223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237</v>
      </c>
      <c r="O907" s="3"/>
      <c r="P907" s="3"/>
      <c r="Q907" s="3">
        <v>0.42</v>
      </c>
      <c r="R907" s="3" t="s">
        <v>238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223</v>
      </c>
      <c r="D908" s="3"/>
      <c r="E908" s="3" t="s">
        <v>223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101</v>
      </c>
      <c r="O908" s="3"/>
      <c r="P908" s="3"/>
      <c r="Q908" s="3">
        <v>14.122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223</v>
      </c>
      <c r="D909" s="3"/>
      <c r="E909" s="3" t="s">
        <v>223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16</v>
      </c>
      <c r="O909" s="3"/>
      <c r="P909" s="3"/>
      <c r="Q909" s="3">
        <v>86.852999999999994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223</v>
      </c>
      <c r="D910" s="3"/>
      <c r="E910" s="3" t="s">
        <v>223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230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223</v>
      </c>
      <c r="D911" s="3"/>
      <c r="E911" s="3" t="s">
        <v>223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229</v>
      </c>
      <c r="O911" s="3"/>
      <c r="P911" s="3"/>
      <c r="Q911" s="3">
        <v>0.112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223</v>
      </c>
      <c r="D912" s="3"/>
      <c r="E912" s="3" t="s">
        <v>223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228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223</v>
      </c>
      <c r="D913" s="3"/>
      <c r="E913" s="3" t="s">
        <v>223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223</v>
      </c>
      <c r="D914" s="3"/>
      <c r="E914" s="3" t="s">
        <v>223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223</v>
      </c>
      <c r="D915" s="3"/>
      <c r="E915" s="3" t="s">
        <v>223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1.2430000000000001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223</v>
      </c>
      <c r="D916" s="3"/>
      <c r="E916" s="3" t="s">
        <v>223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178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224</v>
      </c>
      <c r="D917" s="3"/>
      <c r="E917" s="3" t="s">
        <v>224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188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224</v>
      </c>
      <c r="D918" s="3"/>
      <c r="E918" s="3" t="s">
        <v>224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240</v>
      </c>
      <c r="O918" s="3"/>
      <c r="P918" s="3"/>
      <c r="Q918" s="3">
        <v>2.1589999999999998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224</v>
      </c>
      <c r="D919" s="3"/>
      <c r="E919" s="3" t="s">
        <v>224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237</v>
      </c>
      <c r="O919" s="3"/>
      <c r="P919" s="3"/>
      <c r="Q919" s="3">
        <v>0.44500000000000001</v>
      </c>
      <c r="R919" s="3" t="s">
        <v>238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224</v>
      </c>
      <c r="D920" s="3"/>
      <c r="E920" s="3" t="s">
        <v>224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101</v>
      </c>
      <c r="O920" s="3"/>
      <c r="P920" s="3"/>
      <c r="Q920" s="3">
        <v>14.427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224</v>
      </c>
      <c r="D921" s="3"/>
      <c r="E921" s="3" t="s">
        <v>224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16</v>
      </c>
      <c r="O921" s="3"/>
      <c r="P921" s="3"/>
      <c r="Q921" s="3">
        <v>88.727000000000004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224</v>
      </c>
      <c r="D922" s="3"/>
      <c r="E922" s="3" t="s">
        <v>224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230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224</v>
      </c>
      <c r="D923" s="3"/>
      <c r="E923" s="3" t="s">
        <v>224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229</v>
      </c>
      <c r="O923" s="3"/>
      <c r="P923" s="3"/>
      <c r="Q923" s="3">
        <v>0.11700000000000001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224</v>
      </c>
      <c r="D924" s="3"/>
      <c r="E924" s="3" t="s">
        <v>224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228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224</v>
      </c>
      <c r="D925" s="3"/>
      <c r="E925" s="3" t="s">
        <v>224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224</v>
      </c>
      <c r="D926" s="3"/>
      <c r="E926" s="3" t="s">
        <v>224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224</v>
      </c>
      <c r="D927" s="3"/>
      <c r="E927" s="3" t="s">
        <v>224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1.2430000000000001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224</v>
      </c>
      <c r="D928" s="3"/>
      <c r="E928" s="3" t="s">
        <v>224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180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225</v>
      </c>
      <c r="D929" s="3"/>
      <c r="E929" s="3" t="s">
        <v>225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188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225</v>
      </c>
      <c r="D930" s="3"/>
      <c r="E930" s="3" t="s">
        <v>225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240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225</v>
      </c>
      <c r="D931" s="3"/>
      <c r="E931" s="3" t="s">
        <v>225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237</v>
      </c>
      <c r="O931" s="3"/>
      <c r="P931" s="3"/>
      <c r="Q931" s="3">
        <v>0.47099999999999997</v>
      </c>
      <c r="R931" s="3" t="s">
        <v>238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225</v>
      </c>
      <c r="D932" s="3"/>
      <c r="E932" s="3" t="s">
        <v>225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101</v>
      </c>
      <c r="O932" s="3"/>
      <c r="P932" s="3"/>
      <c r="Q932" s="3">
        <v>14.731999999999999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225</v>
      </c>
      <c r="D933" s="3"/>
      <c r="E933" s="3" t="s">
        <v>225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16</v>
      </c>
      <c r="O933" s="3"/>
      <c r="P933" s="3"/>
      <c r="Q933" s="3">
        <v>90.602000000000004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225</v>
      </c>
      <c r="D934" s="3"/>
      <c r="E934" s="3" t="s">
        <v>225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230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225</v>
      </c>
      <c r="D935" s="3"/>
      <c r="E935" s="3" t="s">
        <v>225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229</v>
      </c>
      <c r="O935" s="3"/>
      <c r="P935" s="3"/>
      <c r="Q935" s="3">
        <v>0.123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225</v>
      </c>
      <c r="D936" s="3"/>
      <c r="E936" s="3" t="s">
        <v>225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228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225</v>
      </c>
      <c r="D937" s="3"/>
      <c r="E937" s="3" t="s">
        <v>225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225</v>
      </c>
      <c r="D938" s="3"/>
      <c r="E938" s="3" t="s">
        <v>225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225</v>
      </c>
      <c r="D939" s="3"/>
      <c r="E939" s="3" t="s">
        <v>225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1.2430000000000001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225</v>
      </c>
      <c r="D940" s="3"/>
      <c r="E940" s="3" t="s">
        <v>225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182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226</v>
      </c>
      <c r="D941" s="3"/>
      <c r="E941" s="3" t="s">
        <v>226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188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226</v>
      </c>
      <c r="D942" s="3"/>
      <c r="E942" s="3" t="s">
        <v>226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240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226</v>
      </c>
      <c r="D943" s="3"/>
      <c r="E943" s="3" t="s">
        <v>226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237</v>
      </c>
      <c r="O943" s="3"/>
      <c r="P943" s="3"/>
      <c r="Q943" s="3">
        <v>0.52100000000000002</v>
      </c>
      <c r="R943" s="3" t="s">
        <v>238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226</v>
      </c>
      <c r="D944" s="3"/>
      <c r="E944" s="3" t="s">
        <v>226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101</v>
      </c>
      <c r="O944" s="3"/>
      <c r="P944" s="3"/>
      <c r="Q944" s="3">
        <v>15.342000000000001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226</v>
      </c>
      <c r="D945" s="3"/>
      <c r="E945" s="3" t="s">
        <v>226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16</v>
      </c>
      <c r="O945" s="3"/>
      <c r="P945" s="3"/>
      <c r="Q945" s="3">
        <v>94.350999999999999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226</v>
      </c>
      <c r="D946" s="3"/>
      <c r="E946" s="3" t="s">
        <v>226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230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226</v>
      </c>
      <c r="D947" s="3"/>
      <c r="E947" s="3" t="s">
        <v>226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229</v>
      </c>
      <c r="O947" s="3"/>
      <c r="P947" s="3"/>
      <c r="Q947" s="3">
        <v>0.13300000000000001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226</v>
      </c>
      <c r="D948" s="3"/>
      <c r="E948" s="3" t="s">
        <v>226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228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226</v>
      </c>
      <c r="D949" s="3"/>
      <c r="E949" s="3" t="s">
        <v>226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226</v>
      </c>
      <c r="D950" s="3"/>
      <c r="E950" s="3" t="s">
        <v>226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226</v>
      </c>
      <c r="D951" s="3"/>
      <c r="E951" s="3" t="s">
        <v>226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1.2430000000000001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226</v>
      </c>
      <c r="D952" s="3"/>
      <c r="E952" s="3" t="s">
        <v>226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184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227</v>
      </c>
      <c r="D953" s="3"/>
      <c r="E953" s="3" t="s">
        <v>227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188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227</v>
      </c>
      <c r="D954" s="3"/>
      <c r="E954" s="3" t="s">
        <v>227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240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227</v>
      </c>
      <c r="D955" s="3"/>
      <c r="E955" s="3" t="s">
        <v>227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237</v>
      </c>
      <c r="O955" s="3"/>
      <c r="P955" s="3"/>
      <c r="Q955" s="3">
        <v>0.57099999999999995</v>
      </c>
      <c r="R955" s="3" t="s">
        <v>238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227</v>
      </c>
      <c r="D956" s="3"/>
      <c r="E956" s="3" t="s">
        <v>227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101</v>
      </c>
      <c r="O956" s="3"/>
      <c r="P956" s="3"/>
      <c r="Q956" s="3">
        <v>15.951000000000001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227</v>
      </c>
      <c r="D957" s="3"/>
      <c r="E957" s="3" t="s">
        <v>227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16</v>
      </c>
      <c r="O957" s="3"/>
      <c r="P957" s="3"/>
      <c r="Q957" s="3">
        <v>98.1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227</v>
      </c>
      <c r="D958" s="3"/>
      <c r="E958" s="3" t="s">
        <v>227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230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227</v>
      </c>
      <c r="D959" s="3"/>
      <c r="E959" s="3" t="s">
        <v>227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229</v>
      </c>
      <c r="O959" s="3"/>
      <c r="P959" s="3"/>
      <c r="Q959" s="3">
        <v>0.14399999999999999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227</v>
      </c>
      <c r="D960" s="3"/>
      <c r="E960" s="3" t="s">
        <v>227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228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227</v>
      </c>
      <c r="D961" s="3"/>
      <c r="E961" s="3" t="s">
        <v>227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227</v>
      </c>
      <c r="D962" s="3"/>
      <c r="E962" s="3" t="s">
        <v>227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227</v>
      </c>
      <c r="D963" s="3"/>
      <c r="E963" s="3" t="s">
        <v>227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1.2430000000000001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227</v>
      </c>
      <c r="D964" s="3"/>
      <c r="E964" s="3" t="s">
        <v>227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186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241</v>
      </c>
      <c r="D965" s="3"/>
      <c r="E965" s="3" t="s">
        <v>241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188</v>
      </c>
      <c r="O965" s="3"/>
      <c r="P965" s="3"/>
      <c r="Q965" s="3">
        <v>0.78700000000000003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241</v>
      </c>
      <c r="D966" s="3"/>
      <c r="E966" s="3" t="s">
        <v>241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240</v>
      </c>
      <c r="O966" s="3"/>
      <c r="P966" s="3"/>
      <c r="Q966" s="3">
        <v>0.78700000000000003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241</v>
      </c>
      <c r="D967" s="3"/>
      <c r="E967" s="3" t="s">
        <v>241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237</v>
      </c>
      <c r="O967" s="3"/>
      <c r="P967" s="3"/>
      <c r="Q967" s="3">
        <v>0.20799999999999999</v>
      </c>
      <c r="R967" s="3" t="s">
        <v>238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241</v>
      </c>
      <c r="D968" s="3"/>
      <c r="E968" s="3" t="s">
        <v>241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101</v>
      </c>
      <c r="O968" s="3"/>
      <c r="P968" s="3"/>
      <c r="Q968" s="3">
        <v>10.77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241</v>
      </c>
      <c r="D969" s="3"/>
      <c r="E969" s="3" t="s">
        <v>241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16</v>
      </c>
      <c r="O969" s="3"/>
      <c r="P969" s="3"/>
      <c r="Q969" s="3">
        <v>66.233000000000004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241</v>
      </c>
      <c r="D970" s="3"/>
      <c r="E970" s="3" t="s">
        <v>241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230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241</v>
      </c>
      <c r="D971" s="3"/>
      <c r="E971" s="3" t="s">
        <v>241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229</v>
      </c>
      <c r="O971" s="3"/>
      <c r="P971" s="3"/>
      <c r="Q971" s="3">
        <v>7.4999999999999997E-2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241</v>
      </c>
      <c r="D972" s="3"/>
      <c r="E972" s="3" t="s">
        <v>241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228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241</v>
      </c>
      <c r="D973" s="3"/>
      <c r="E973" s="3" t="s">
        <v>241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241</v>
      </c>
      <c r="D974" s="3"/>
      <c r="E974" s="3" t="s">
        <v>241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241</v>
      </c>
      <c r="D975" s="3"/>
      <c r="E975" s="3" t="s">
        <v>241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0.51300000000000001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241</v>
      </c>
      <c r="D976" s="3"/>
      <c r="E976" s="3" t="s">
        <v>241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243</v>
      </c>
      <c r="D977" s="3"/>
      <c r="E977" s="3" t="s">
        <v>243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188</v>
      </c>
      <c r="O977" s="3"/>
      <c r="P977" s="3"/>
      <c r="Q977" s="3">
        <v>0.94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243</v>
      </c>
      <c r="D978" s="3"/>
      <c r="E978" s="3" t="s">
        <v>243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240</v>
      </c>
      <c r="O978" s="3"/>
      <c r="P978" s="3"/>
      <c r="Q978" s="3">
        <v>0.94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243</v>
      </c>
      <c r="D979" s="3"/>
      <c r="E979" s="3" t="s">
        <v>243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237</v>
      </c>
      <c r="O979" s="3"/>
      <c r="P979" s="3"/>
      <c r="Q979" s="3">
        <v>0.252</v>
      </c>
      <c r="R979" s="3" t="s">
        <v>238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243</v>
      </c>
      <c r="D980" s="3"/>
      <c r="E980" s="3" t="s">
        <v>243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101</v>
      </c>
      <c r="O980" s="3"/>
      <c r="P980" s="3"/>
      <c r="Q980" s="3">
        <v>11.379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243</v>
      </c>
      <c r="D981" s="3"/>
      <c r="E981" s="3" t="s">
        <v>243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16</v>
      </c>
      <c r="O981" s="3"/>
      <c r="P981" s="3"/>
      <c r="Q981" s="3">
        <v>69.981999999999999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243</v>
      </c>
      <c r="D982" s="3"/>
      <c r="E982" s="3" t="s">
        <v>243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230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243</v>
      </c>
      <c r="D983" s="3"/>
      <c r="E983" s="3" t="s">
        <v>243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229</v>
      </c>
      <c r="O983" s="3"/>
      <c r="P983" s="3"/>
      <c r="Q983" s="3">
        <v>8.5000000000000006E-2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243</v>
      </c>
      <c r="D984" s="3"/>
      <c r="E984" s="3" t="s">
        <v>243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228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243</v>
      </c>
      <c r="D985" s="3"/>
      <c r="E985" s="3" t="s">
        <v>243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243</v>
      </c>
      <c r="D986" s="3"/>
      <c r="E986" s="3" t="s">
        <v>243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243</v>
      </c>
      <c r="D987" s="3"/>
      <c r="E987" s="3" t="s">
        <v>243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0.59499999999999997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243</v>
      </c>
      <c r="D988" s="3"/>
      <c r="E988" s="3" t="s">
        <v>243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244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245</v>
      </c>
      <c r="D989" s="3"/>
      <c r="E989" s="3" t="s">
        <v>245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188</v>
      </c>
      <c r="O989" s="3"/>
      <c r="P989" s="3"/>
      <c r="Q989" s="3">
        <v>1.0920000000000001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245</v>
      </c>
      <c r="D990" s="3"/>
      <c r="E990" s="3" t="s">
        <v>245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240</v>
      </c>
      <c r="O990" s="3"/>
      <c r="P990" s="3"/>
      <c r="Q990" s="3">
        <v>1.0920000000000001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245</v>
      </c>
      <c r="D991" s="3"/>
      <c r="E991" s="3" t="s">
        <v>245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237</v>
      </c>
      <c r="O991" s="3"/>
      <c r="P991" s="3"/>
      <c r="Q991" s="3">
        <v>0.29499999999999998</v>
      </c>
      <c r="R991" s="3" t="s">
        <v>238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245</v>
      </c>
      <c r="D992" s="3"/>
      <c r="E992" s="3" t="s">
        <v>245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101</v>
      </c>
      <c r="O992" s="3"/>
      <c r="P992" s="3"/>
      <c r="Q992" s="3">
        <v>11.989000000000001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245</v>
      </c>
      <c r="D993" s="3"/>
      <c r="E993" s="3" t="s">
        <v>245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16</v>
      </c>
      <c r="O993" s="3"/>
      <c r="P993" s="3"/>
      <c r="Q993" s="3">
        <v>73.730999999999995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245</v>
      </c>
      <c r="D994" s="3"/>
      <c r="E994" s="3" t="s">
        <v>245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230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245</v>
      </c>
      <c r="D995" s="3"/>
      <c r="E995" s="3" t="s">
        <v>245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229</v>
      </c>
      <c r="O995" s="3"/>
      <c r="P995" s="3"/>
      <c r="Q995" s="3">
        <v>9.6000000000000002E-2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245</v>
      </c>
      <c r="D996" s="3"/>
      <c r="E996" s="3" t="s">
        <v>245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228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245</v>
      </c>
      <c r="D997" s="3"/>
      <c r="E997" s="3" t="s">
        <v>245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245</v>
      </c>
      <c r="D998" s="3"/>
      <c r="E998" s="3" t="s">
        <v>245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245</v>
      </c>
      <c r="D999" s="3"/>
      <c r="E999" s="3" t="s">
        <v>245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0.67600000000000005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245</v>
      </c>
      <c r="D1000" s="3"/>
      <c r="E1000" s="3" t="s">
        <v>245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246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247</v>
      </c>
      <c r="D1001" s="3"/>
      <c r="E1001" s="3" t="s">
        <v>247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188</v>
      </c>
      <c r="O1001" s="3"/>
      <c r="P1001" s="3"/>
      <c r="Q1001" s="3">
        <v>1.2450000000000001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247</v>
      </c>
      <c r="D1002" s="3"/>
      <c r="E1002" s="3" t="s">
        <v>247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240</v>
      </c>
      <c r="O1002" s="3"/>
      <c r="P1002" s="3"/>
      <c r="Q1002" s="3">
        <v>1.2450000000000001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247</v>
      </c>
      <c r="D1003" s="3"/>
      <c r="E1003" s="3" t="s">
        <v>247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237</v>
      </c>
      <c r="O1003" s="3"/>
      <c r="P1003" s="3"/>
      <c r="Q1003" s="3">
        <v>0.33800000000000002</v>
      </c>
      <c r="R1003" s="3" t="s">
        <v>238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247</v>
      </c>
      <c r="D1004" s="3"/>
      <c r="E1004" s="3" t="s">
        <v>247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101</v>
      </c>
      <c r="O1004" s="3"/>
      <c r="P1004" s="3"/>
      <c r="Q1004" s="3">
        <v>12.598000000000001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247</v>
      </c>
      <c r="D1005" s="3"/>
      <c r="E1005" s="3" t="s">
        <v>247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16</v>
      </c>
      <c r="O1005" s="3"/>
      <c r="P1005" s="3"/>
      <c r="Q1005" s="3">
        <v>77.48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247</v>
      </c>
      <c r="D1006" s="3"/>
      <c r="E1006" s="3" t="s">
        <v>247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230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247</v>
      </c>
      <c r="D1007" s="3"/>
      <c r="E1007" s="3" t="s">
        <v>247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229</v>
      </c>
      <c r="O1007" s="3"/>
      <c r="P1007" s="3"/>
      <c r="Q1007" s="3">
        <v>0.107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247</v>
      </c>
      <c r="D1008" s="3"/>
      <c r="E1008" s="3" t="s">
        <v>247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228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247</v>
      </c>
      <c r="D1009" s="3"/>
      <c r="E1009" s="3" t="s">
        <v>247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247</v>
      </c>
      <c r="D1010" s="3"/>
      <c r="E1010" s="3" t="s">
        <v>247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247</v>
      </c>
      <c r="D1011" s="3"/>
      <c r="E1011" s="3" t="s">
        <v>247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0.75700000000000001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247</v>
      </c>
      <c r="D1012" s="3"/>
      <c r="E1012" s="3" t="s">
        <v>247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248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249</v>
      </c>
      <c r="D1013" s="3"/>
      <c r="E1013" s="3" t="s">
        <v>249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188</v>
      </c>
      <c r="O1013" s="3"/>
      <c r="P1013" s="3"/>
      <c r="Q1013" s="3">
        <v>1.5489999999999999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249</v>
      </c>
      <c r="D1014" s="3"/>
      <c r="E1014" s="3" t="s">
        <v>249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240</v>
      </c>
      <c r="O1014" s="3"/>
      <c r="P1014" s="3"/>
      <c r="Q1014" s="3">
        <v>1.5489999999999999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249</v>
      </c>
      <c r="D1015" s="3"/>
      <c r="E1015" s="3" t="s">
        <v>249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237</v>
      </c>
      <c r="O1015" s="3"/>
      <c r="P1015" s="3"/>
      <c r="Q1015" s="3">
        <v>0.42399999999999999</v>
      </c>
      <c r="R1015" s="3" t="s">
        <v>238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249</v>
      </c>
      <c r="D1016" s="3"/>
      <c r="E1016" s="3" t="s">
        <v>249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101</v>
      </c>
      <c r="O1016" s="3"/>
      <c r="P1016" s="3"/>
      <c r="Q1016" s="3">
        <v>13.818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249</v>
      </c>
      <c r="D1017" s="3"/>
      <c r="E1017" s="3" t="s">
        <v>249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16</v>
      </c>
      <c r="O1017" s="3"/>
      <c r="P1017" s="3"/>
      <c r="Q1017" s="3">
        <v>84.977999999999994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249</v>
      </c>
      <c r="D1018" s="3"/>
      <c r="E1018" s="3" t="s">
        <v>249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230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249</v>
      </c>
      <c r="D1019" s="3"/>
      <c r="E1019" s="3" t="s">
        <v>249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229</v>
      </c>
      <c r="O1019" s="3"/>
      <c r="P1019" s="3"/>
      <c r="Q1019" s="3">
        <v>0.128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249</v>
      </c>
      <c r="D1020" s="3"/>
      <c r="E1020" s="3" t="s">
        <v>249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228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249</v>
      </c>
      <c r="D1021" s="3"/>
      <c r="E1021" s="3" t="s">
        <v>249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249</v>
      </c>
      <c r="D1022" s="3"/>
      <c r="E1022" s="3" t="s">
        <v>249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249</v>
      </c>
      <c r="D1023" s="3"/>
      <c r="E1023" s="3" t="s">
        <v>249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0.91900000000000004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249</v>
      </c>
      <c r="D1024" s="3"/>
      <c r="E1024" s="3" t="s">
        <v>249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251</v>
      </c>
      <c r="D1025" s="3"/>
      <c r="E1025" s="3" t="s">
        <v>251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188</v>
      </c>
      <c r="O1025" s="3"/>
      <c r="P1025" s="3"/>
      <c r="Q1025" s="3">
        <v>1.702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251</v>
      </c>
      <c r="D1026" s="3"/>
      <c r="E1026" s="3" t="s">
        <v>251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240</v>
      </c>
      <c r="O1026" s="3"/>
      <c r="P1026" s="3"/>
      <c r="Q1026" s="3">
        <v>1.702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251</v>
      </c>
      <c r="D1027" s="3"/>
      <c r="E1027" s="3" t="s">
        <v>251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237</v>
      </c>
      <c r="O1027" s="3"/>
      <c r="P1027" s="3"/>
      <c r="Q1027" s="3">
        <v>0.46700000000000003</v>
      </c>
      <c r="R1027" s="3" t="s">
        <v>238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251</v>
      </c>
      <c r="D1028" s="3"/>
      <c r="E1028" s="3" t="s">
        <v>251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101</v>
      </c>
      <c r="O1028" s="3"/>
      <c r="P1028" s="3"/>
      <c r="Q1028" s="3">
        <v>14.427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251</v>
      </c>
      <c r="D1029" s="3"/>
      <c r="E1029" s="3" t="s">
        <v>251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16</v>
      </c>
      <c r="O1029" s="3"/>
      <c r="P1029" s="3"/>
      <c r="Q1029" s="3">
        <v>88.727000000000004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251</v>
      </c>
      <c r="D1030" s="3"/>
      <c r="E1030" s="3" t="s">
        <v>251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230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251</v>
      </c>
      <c r="D1031" s="3"/>
      <c r="E1031" s="3" t="s">
        <v>251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229</v>
      </c>
      <c r="O1031" s="3"/>
      <c r="P1031" s="3"/>
      <c r="Q1031" s="3">
        <v>0.13900000000000001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251</v>
      </c>
      <c r="D1032" s="3"/>
      <c r="E1032" s="3" t="s">
        <v>251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228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251</v>
      </c>
      <c r="D1033" s="3"/>
      <c r="E1033" s="3" t="s">
        <v>251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251</v>
      </c>
      <c r="D1034" s="3"/>
      <c r="E1034" s="3" t="s">
        <v>251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251</v>
      </c>
      <c r="D1035" s="3"/>
      <c r="E1035" s="3" t="s">
        <v>251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251</v>
      </c>
      <c r="D1036" s="3"/>
      <c r="E1036" s="3" t="s">
        <v>251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253</v>
      </c>
      <c r="D1037" s="3"/>
      <c r="E1037" s="3" t="s">
        <v>253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188</v>
      </c>
      <c r="O1037" s="3"/>
      <c r="P1037" s="3"/>
      <c r="Q1037" s="3">
        <v>1.8540000000000001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253</v>
      </c>
      <c r="D1038" s="3"/>
      <c r="E1038" s="3" t="s">
        <v>253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240</v>
      </c>
      <c r="O1038" s="3"/>
      <c r="P1038" s="3"/>
      <c r="Q1038" s="3">
        <v>1.8540000000000001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253</v>
      </c>
      <c r="D1039" s="3"/>
      <c r="E1039" s="3" t="s">
        <v>253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237</v>
      </c>
      <c r="O1039" s="3"/>
      <c r="P1039" s="3"/>
      <c r="Q1039" s="3">
        <v>0.51</v>
      </c>
      <c r="R1039" s="3" t="s">
        <v>238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253</v>
      </c>
      <c r="D1040" s="3"/>
      <c r="E1040" s="3" t="s">
        <v>253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101</v>
      </c>
      <c r="O1040" s="3"/>
      <c r="P1040" s="3"/>
      <c r="Q1040" s="3">
        <v>15.037000000000001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253</v>
      </c>
      <c r="D1041" s="3"/>
      <c r="E1041" s="3" t="s">
        <v>253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16</v>
      </c>
      <c r="O1041" s="3"/>
      <c r="P1041" s="3"/>
      <c r="Q1041" s="3">
        <v>92.475999999999999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253</v>
      </c>
      <c r="D1042" s="3"/>
      <c r="E1042" s="3" t="s">
        <v>253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230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253</v>
      </c>
      <c r="D1043" s="3"/>
      <c r="E1043" s="3" t="s">
        <v>253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229</v>
      </c>
      <c r="O1043" s="3"/>
      <c r="P1043" s="3"/>
      <c r="Q1043" s="3">
        <v>0.14899999999999999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253</v>
      </c>
      <c r="D1044" s="3"/>
      <c r="E1044" s="3" t="s">
        <v>253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228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253</v>
      </c>
      <c r="D1045" s="3"/>
      <c r="E1045" s="3" t="s">
        <v>253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253</v>
      </c>
      <c r="D1046" s="3"/>
      <c r="E1046" s="3" t="s">
        <v>253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253</v>
      </c>
      <c r="D1047" s="3"/>
      <c r="E1047" s="3" t="s">
        <v>253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1.081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253</v>
      </c>
      <c r="D1048" s="3"/>
      <c r="E1048" s="3" t="s">
        <v>253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254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255</v>
      </c>
      <c r="D1049" s="3"/>
      <c r="E1049" s="3" t="s">
        <v>255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188</v>
      </c>
      <c r="O1049" s="3"/>
      <c r="P1049" s="3"/>
      <c r="Q1049" s="3">
        <v>0.78700000000000003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255</v>
      </c>
      <c r="D1050" s="3"/>
      <c r="E1050" s="3" t="s">
        <v>255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240</v>
      </c>
      <c r="O1050" s="3"/>
      <c r="P1050" s="3"/>
      <c r="Q1050" s="3">
        <v>0.78700000000000003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255</v>
      </c>
      <c r="D1051" s="3"/>
      <c r="E1051" s="3" t="s">
        <v>255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237</v>
      </c>
      <c r="O1051" s="3"/>
      <c r="P1051" s="3"/>
      <c r="Q1051" s="3">
        <v>0.217</v>
      </c>
      <c r="R1051" s="3" t="s">
        <v>238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255</v>
      </c>
      <c r="D1052" s="3"/>
      <c r="E1052" s="3" t="s">
        <v>255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101</v>
      </c>
      <c r="O1052" s="3"/>
      <c r="P1052" s="3"/>
      <c r="Q1052" s="3">
        <v>11.074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255</v>
      </c>
      <c r="D1053" s="3"/>
      <c r="E1053" s="3" t="s">
        <v>255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16</v>
      </c>
      <c r="O1053" s="3"/>
      <c r="P1053" s="3"/>
      <c r="Q1053" s="3">
        <v>68.108000000000004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255</v>
      </c>
      <c r="D1054" s="3"/>
      <c r="E1054" s="3" t="s">
        <v>255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230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255</v>
      </c>
      <c r="D1055" s="3"/>
      <c r="E1055" s="3" t="s">
        <v>255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229</v>
      </c>
      <c r="O1055" s="3"/>
      <c r="P1055" s="3"/>
      <c r="Q1055" s="3">
        <v>7.4999999999999997E-2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255</v>
      </c>
      <c r="D1056" s="3"/>
      <c r="E1056" s="3" t="s">
        <v>255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228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255</v>
      </c>
      <c r="D1057" s="3"/>
      <c r="E1057" s="3" t="s">
        <v>255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255</v>
      </c>
      <c r="D1058" s="3"/>
      <c r="E1058" s="3" t="s">
        <v>255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255</v>
      </c>
      <c r="D1059" s="3"/>
      <c r="E1059" s="3" t="s">
        <v>255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0.51300000000000001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255</v>
      </c>
      <c r="D1060" s="3"/>
      <c r="E1060" s="3" t="s">
        <v>255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256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257</v>
      </c>
      <c r="D1061" s="3"/>
      <c r="E1061" s="3" t="s">
        <v>257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188</v>
      </c>
      <c r="O1061" s="3"/>
      <c r="P1061" s="3"/>
      <c r="Q1061" s="3">
        <v>0.94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257</v>
      </c>
      <c r="D1062" s="3"/>
      <c r="E1062" s="3" t="s">
        <v>257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240</v>
      </c>
      <c r="O1062" s="3"/>
      <c r="P1062" s="3"/>
      <c r="Q1062" s="3">
        <v>0.94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257</v>
      </c>
      <c r="D1063" s="3"/>
      <c r="E1063" s="3" t="s">
        <v>257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237</v>
      </c>
      <c r="O1063" s="3"/>
      <c r="P1063" s="3"/>
      <c r="Q1063" s="3">
        <v>0.26200000000000001</v>
      </c>
      <c r="R1063" s="3" t="s">
        <v>238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257</v>
      </c>
      <c r="D1064" s="3"/>
      <c r="E1064" s="3" t="s">
        <v>257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101</v>
      </c>
      <c r="O1064" s="3"/>
      <c r="P1064" s="3"/>
      <c r="Q1064" s="3">
        <v>11.683999999999999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257</v>
      </c>
      <c r="D1065" s="3"/>
      <c r="E1065" s="3" t="s">
        <v>257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16</v>
      </c>
      <c r="O1065" s="3"/>
      <c r="P1065" s="3"/>
      <c r="Q1065" s="3">
        <v>71.856999999999999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257</v>
      </c>
      <c r="D1066" s="3"/>
      <c r="E1066" s="3" t="s">
        <v>257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230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257</v>
      </c>
      <c r="D1067" s="3"/>
      <c r="E1067" s="3" t="s">
        <v>257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229</v>
      </c>
      <c r="O1067" s="3"/>
      <c r="P1067" s="3"/>
      <c r="Q1067" s="3">
        <v>8.5000000000000006E-2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257</v>
      </c>
      <c r="D1068" s="3"/>
      <c r="E1068" s="3" t="s">
        <v>257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228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257</v>
      </c>
      <c r="D1069" s="3"/>
      <c r="E1069" s="3" t="s">
        <v>257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257</v>
      </c>
      <c r="D1070" s="3"/>
      <c r="E1070" s="3" t="s">
        <v>257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257</v>
      </c>
      <c r="D1071" s="3"/>
      <c r="E1071" s="3" t="s">
        <v>257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0.59499999999999997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257</v>
      </c>
      <c r="D1072" s="3"/>
      <c r="E1072" s="3" t="s">
        <v>257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258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259</v>
      </c>
      <c r="D1073" s="3"/>
      <c r="E1073" s="3" t="s">
        <v>259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188</v>
      </c>
      <c r="O1073" s="3"/>
      <c r="P1073" s="3"/>
      <c r="Q1073" s="3">
        <v>1.0920000000000001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259</v>
      </c>
      <c r="D1074" s="3"/>
      <c r="E1074" s="3" t="s">
        <v>259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240</v>
      </c>
      <c r="O1074" s="3"/>
      <c r="P1074" s="3"/>
      <c r="Q1074" s="3">
        <v>1.0920000000000001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259</v>
      </c>
      <c r="D1075" s="3"/>
      <c r="E1075" s="3" t="s">
        <v>259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237</v>
      </c>
      <c r="O1075" s="3"/>
      <c r="P1075" s="3"/>
      <c r="Q1075" s="3">
        <v>0.307</v>
      </c>
      <c r="R1075" s="3" t="s">
        <v>238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259</v>
      </c>
      <c r="D1076" s="3"/>
      <c r="E1076" s="3" t="s">
        <v>259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101</v>
      </c>
      <c r="O1076" s="3"/>
      <c r="P1076" s="3"/>
      <c r="Q1076" s="3">
        <v>12.294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259</v>
      </c>
      <c r="D1077" s="3"/>
      <c r="E1077" s="3" t="s">
        <v>259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16</v>
      </c>
      <c r="O1077" s="3"/>
      <c r="P1077" s="3"/>
      <c r="Q1077" s="3">
        <v>75.605999999999995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259</v>
      </c>
      <c r="D1078" s="3"/>
      <c r="E1078" s="3" t="s">
        <v>259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230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259</v>
      </c>
      <c r="D1079" s="3"/>
      <c r="E1079" s="3" t="s">
        <v>259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229</v>
      </c>
      <c r="O1079" s="3"/>
      <c r="P1079" s="3"/>
      <c r="Q1079" s="3">
        <v>9.6000000000000002E-2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259</v>
      </c>
      <c r="D1080" s="3"/>
      <c r="E1080" s="3" t="s">
        <v>259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228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259</v>
      </c>
      <c r="D1081" s="3"/>
      <c r="E1081" s="3" t="s">
        <v>259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259</v>
      </c>
      <c r="D1082" s="3"/>
      <c r="E1082" s="3" t="s">
        <v>259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259</v>
      </c>
      <c r="D1083" s="3"/>
      <c r="E1083" s="3" t="s">
        <v>259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0.67600000000000005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259</v>
      </c>
      <c r="D1084" s="3"/>
      <c r="E1084" s="3" t="s">
        <v>259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261</v>
      </c>
      <c r="D1085" s="3"/>
      <c r="E1085" s="3" t="s">
        <v>261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188</v>
      </c>
      <c r="O1085" s="3"/>
      <c r="P1085" s="3"/>
      <c r="Q1085" s="3">
        <v>1.2450000000000001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261</v>
      </c>
      <c r="D1086" s="3"/>
      <c r="E1086" s="3" t="s">
        <v>261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240</v>
      </c>
      <c r="O1086" s="3"/>
      <c r="P1086" s="3"/>
      <c r="Q1086" s="3">
        <v>1.2450000000000001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261</v>
      </c>
      <c r="D1087" s="3"/>
      <c r="E1087" s="3" t="s">
        <v>261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237</v>
      </c>
      <c r="O1087" s="3"/>
      <c r="P1087" s="3"/>
      <c r="Q1087" s="3">
        <v>0.35199999999999998</v>
      </c>
      <c r="R1087" s="3" t="s">
        <v>238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261</v>
      </c>
      <c r="D1088" s="3"/>
      <c r="E1088" s="3" t="s">
        <v>261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101</v>
      </c>
      <c r="O1088" s="3"/>
      <c r="P1088" s="3"/>
      <c r="Q1088" s="3">
        <v>12.903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261</v>
      </c>
      <c r="D1089" s="3"/>
      <c r="E1089" s="3" t="s">
        <v>261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16</v>
      </c>
      <c r="O1089" s="3"/>
      <c r="P1089" s="3"/>
      <c r="Q1089" s="3">
        <v>79.355000000000004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261</v>
      </c>
      <c r="D1090" s="3"/>
      <c r="E1090" s="3" t="s">
        <v>261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230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261</v>
      </c>
      <c r="D1091" s="3"/>
      <c r="E1091" s="3" t="s">
        <v>261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229</v>
      </c>
      <c r="O1091" s="3"/>
      <c r="P1091" s="3"/>
      <c r="Q1091" s="3">
        <v>0.107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261</v>
      </c>
      <c r="D1092" s="3"/>
      <c r="E1092" s="3" t="s">
        <v>261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228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261</v>
      </c>
      <c r="D1093" s="3"/>
      <c r="E1093" s="3" t="s">
        <v>261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261</v>
      </c>
      <c r="D1094" s="3"/>
      <c r="E1094" s="3" t="s">
        <v>261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261</v>
      </c>
      <c r="D1095" s="3"/>
      <c r="E1095" s="3" t="s">
        <v>261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0.75700000000000001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261</v>
      </c>
      <c r="D1096" s="3"/>
      <c r="E1096" s="3" t="s">
        <v>261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262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263</v>
      </c>
      <c r="D1097" s="3"/>
      <c r="E1097" s="3" t="s">
        <v>263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188</v>
      </c>
      <c r="O1097" s="3"/>
      <c r="P1097" s="3"/>
      <c r="Q1097" s="3">
        <v>1.5489999999999999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263</v>
      </c>
      <c r="D1098" s="3"/>
      <c r="E1098" s="3" t="s">
        <v>263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240</v>
      </c>
      <c r="O1098" s="3"/>
      <c r="P1098" s="3"/>
      <c r="Q1098" s="3">
        <v>1.5489999999999999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263</v>
      </c>
      <c r="D1099" s="3"/>
      <c r="E1099" s="3" t="s">
        <v>263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237</v>
      </c>
      <c r="O1099" s="3"/>
      <c r="P1099" s="3"/>
      <c r="Q1099" s="3">
        <v>0.442</v>
      </c>
      <c r="R1099" s="3" t="s">
        <v>238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263</v>
      </c>
      <c r="D1100" s="3"/>
      <c r="E1100" s="3" t="s">
        <v>263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101</v>
      </c>
      <c r="O1100" s="3"/>
      <c r="P1100" s="3"/>
      <c r="Q1100" s="3">
        <v>14.122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263</v>
      </c>
      <c r="D1101" s="3"/>
      <c r="E1101" s="3" t="s">
        <v>263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16</v>
      </c>
      <c r="O1101" s="3"/>
      <c r="P1101" s="3"/>
      <c r="Q1101" s="3">
        <v>86.852999999999994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263</v>
      </c>
      <c r="D1102" s="3"/>
      <c r="E1102" s="3" t="s">
        <v>263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230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263</v>
      </c>
      <c r="D1103" s="3"/>
      <c r="E1103" s="3" t="s">
        <v>263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229</v>
      </c>
      <c r="O1103" s="3"/>
      <c r="P1103" s="3"/>
      <c r="Q1103" s="3">
        <v>0.128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263</v>
      </c>
      <c r="D1104" s="3"/>
      <c r="E1104" s="3" t="s">
        <v>263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228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263</v>
      </c>
      <c r="D1105" s="3"/>
      <c r="E1105" s="3" t="s">
        <v>263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263</v>
      </c>
      <c r="D1106" s="3"/>
      <c r="E1106" s="3" t="s">
        <v>263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263</v>
      </c>
      <c r="D1107" s="3"/>
      <c r="E1107" s="3" t="s">
        <v>263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0.91900000000000004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263</v>
      </c>
      <c r="D1108" s="3"/>
      <c r="E1108" s="3" t="s">
        <v>263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264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265</v>
      </c>
      <c r="D1109" s="3"/>
      <c r="E1109" s="3" t="s">
        <v>265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188</v>
      </c>
      <c r="O1109" s="3"/>
      <c r="P1109" s="3"/>
      <c r="Q1109" s="3">
        <v>1.702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265</v>
      </c>
      <c r="D1110" s="3"/>
      <c r="E1110" s="3" t="s">
        <v>265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240</v>
      </c>
      <c r="O1110" s="3"/>
      <c r="P1110" s="3"/>
      <c r="Q1110" s="3">
        <v>1.702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265</v>
      </c>
      <c r="D1111" s="3"/>
      <c r="E1111" s="3" t="s">
        <v>265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237</v>
      </c>
      <c r="O1111" s="3"/>
      <c r="P1111" s="3"/>
      <c r="Q1111" s="3">
        <v>0.48699999999999999</v>
      </c>
      <c r="R1111" s="3" t="s">
        <v>238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265</v>
      </c>
      <c r="D1112" s="3"/>
      <c r="E1112" s="3" t="s">
        <v>265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101</v>
      </c>
      <c r="O1112" s="3"/>
      <c r="P1112" s="3"/>
      <c r="Q1112" s="3">
        <v>14.731999999999999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265</v>
      </c>
      <c r="D1113" s="3"/>
      <c r="E1113" s="3" t="s">
        <v>265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16</v>
      </c>
      <c r="O1113" s="3"/>
      <c r="P1113" s="3"/>
      <c r="Q1113" s="3">
        <v>90.602000000000004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265</v>
      </c>
      <c r="D1114" s="3"/>
      <c r="E1114" s="3" t="s">
        <v>265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230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265</v>
      </c>
      <c r="D1115" s="3"/>
      <c r="E1115" s="3" t="s">
        <v>265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229</v>
      </c>
      <c r="O1115" s="3"/>
      <c r="P1115" s="3"/>
      <c r="Q1115" s="3">
        <v>0.13900000000000001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265</v>
      </c>
      <c r="D1116" s="3"/>
      <c r="E1116" s="3" t="s">
        <v>265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228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265</v>
      </c>
      <c r="D1117" s="3"/>
      <c r="E1117" s="3" t="s">
        <v>265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265</v>
      </c>
      <c r="D1118" s="3"/>
      <c r="E1118" s="3" t="s">
        <v>265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265</v>
      </c>
      <c r="D1119" s="3"/>
      <c r="E1119" s="3" t="s">
        <v>265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1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265</v>
      </c>
      <c r="D1120" s="3"/>
      <c r="E1120" s="3" t="s">
        <v>265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266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267</v>
      </c>
      <c r="D1121" s="3"/>
      <c r="E1121" s="3" t="s">
        <v>267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188</v>
      </c>
      <c r="O1121" s="3"/>
      <c r="P1121" s="3"/>
      <c r="Q1121" s="3">
        <v>1.8540000000000001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267</v>
      </c>
      <c r="D1122" s="3"/>
      <c r="E1122" s="3" t="s">
        <v>267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240</v>
      </c>
      <c r="O1122" s="3"/>
      <c r="P1122" s="3"/>
      <c r="Q1122" s="3">
        <v>1.8540000000000001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267</v>
      </c>
      <c r="D1123" s="3"/>
      <c r="E1123" s="3" t="s">
        <v>267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237</v>
      </c>
      <c r="O1123" s="3"/>
      <c r="P1123" s="3"/>
      <c r="Q1123" s="3">
        <v>0.53200000000000003</v>
      </c>
      <c r="R1123" s="3" t="s">
        <v>238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267</v>
      </c>
      <c r="D1124" s="3"/>
      <c r="E1124" s="3" t="s">
        <v>267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101</v>
      </c>
      <c r="O1124" s="3"/>
      <c r="P1124" s="3"/>
      <c r="Q1124" s="3">
        <v>15.342000000000001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267</v>
      </c>
      <c r="D1125" s="3"/>
      <c r="E1125" s="3" t="s">
        <v>267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16</v>
      </c>
      <c r="O1125" s="3"/>
      <c r="P1125" s="3"/>
      <c r="Q1125" s="3">
        <v>94.350999999999999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267</v>
      </c>
      <c r="D1126" s="3"/>
      <c r="E1126" s="3" t="s">
        <v>267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230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267</v>
      </c>
      <c r="D1127" s="3"/>
      <c r="E1127" s="3" t="s">
        <v>267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229</v>
      </c>
      <c r="O1127" s="3"/>
      <c r="P1127" s="3"/>
      <c r="Q1127" s="3">
        <v>0.14899999999999999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267</v>
      </c>
      <c r="D1128" s="3"/>
      <c r="E1128" s="3" t="s">
        <v>267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228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267</v>
      </c>
      <c r="D1129" s="3"/>
      <c r="E1129" s="3" t="s">
        <v>267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267</v>
      </c>
      <c r="D1130" s="3"/>
      <c r="E1130" s="3" t="s">
        <v>267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267</v>
      </c>
      <c r="D1131" s="3"/>
      <c r="E1131" s="3" t="s">
        <v>267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1.081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267</v>
      </c>
      <c r="D1132" s="3"/>
      <c r="E1132" s="3" t="s">
        <v>267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268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269</v>
      </c>
      <c r="D1133" s="3"/>
      <c r="E1133" s="3" t="s">
        <v>269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188</v>
      </c>
      <c r="O1133" s="3"/>
      <c r="P1133" s="3"/>
      <c r="Q1133" s="3">
        <v>0.78700000000000003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269</v>
      </c>
      <c r="D1134" s="3"/>
      <c r="E1134" s="3" t="s">
        <v>269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240</v>
      </c>
      <c r="O1134" s="3"/>
      <c r="P1134" s="3"/>
      <c r="Q1134" s="3">
        <v>0.78700000000000003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269</v>
      </c>
      <c r="D1135" s="3"/>
      <c r="E1135" s="3" t="s">
        <v>269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237</v>
      </c>
      <c r="O1135" s="3"/>
      <c r="P1135" s="3"/>
      <c r="Q1135" s="3">
        <v>0.22600000000000001</v>
      </c>
      <c r="R1135" s="3" t="s">
        <v>238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269</v>
      </c>
      <c r="D1136" s="3"/>
      <c r="E1136" s="3" t="s">
        <v>269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101</v>
      </c>
      <c r="O1136" s="3"/>
      <c r="P1136" s="3"/>
      <c r="Q1136" s="3">
        <v>11.379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269</v>
      </c>
      <c r="D1137" s="3"/>
      <c r="E1137" s="3" t="s">
        <v>269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16</v>
      </c>
      <c r="O1137" s="3"/>
      <c r="P1137" s="3"/>
      <c r="Q1137" s="3">
        <v>69.981999999999999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269</v>
      </c>
      <c r="D1138" s="3"/>
      <c r="E1138" s="3" t="s">
        <v>269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230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269</v>
      </c>
      <c r="D1139" s="3"/>
      <c r="E1139" s="3" t="s">
        <v>269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229</v>
      </c>
      <c r="O1139" s="3"/>
      <c r="P1139" s="3"/>
      <c r="Q1139" s="3">
        <v>7.4999999999999997E-2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269</v>
      </c>
      <c r="D1140" s="3"/>
      <c r="E1140" s="3" t="s">
        <v>269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228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269</v>
      </c>
      <c r="D1141" s="3"/>
      <c r="E1141" s="3" t="s">
        <v>269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269</v>
      </c>
      <c r="D1142" s="3"/>
      <c r="E1142" s="3" t="s">
        <v>269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269</v>
      </c>
      <c r="D1143" s="3"/>
      <c r="E1143" s="3" t="s">
        <v>269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0.51300000000000001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269</v>
      </c>
      <c r="D1144" s="3"/>
      <c r="E1144" s="3" t="s">
        <v>269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270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271</v>
      </c>
      <c r="D1145" s="3"/>
      <c r="E1145" s="3" t="s">
        <v>271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188</v>
      </c>
      <c r="O1145" s="3"/>
      <c r="P1145" s="3"/>
      <c r="Q1145" s="3">
        <v>0.94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271</v>
      </c>
      <c r="D1146" s="3"/>
      <c r="E1146" s="3" t="s">
        <v>271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240</v>
      </c>
      <c r="O1146" s="3"/>
      <c r="P1146" s="3"/>
      <c r="Q1146" s="3">
        <v>0.94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271</v>
      </c>
      <c r="D1147" s="3"/>
      <c r="E1147" s="3" t="s">
        <v>271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237</v>
      </c>
      <c r="O1147" s="3"/>
      <c r="P1147" s="3"/>
      <c r="Q1147" s="3">
        <v>0.27300000000000002</v>
      </c>
      <c r="R1147" s="3" t="s">
        <v>238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271</v>
      </c>
      <c r="D1148" s="3"/>
      <c r="E1148" s="3" t="s">
        <v>271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101</v>
      </c>
      <c r="O1148" s="3"/>
      <c r="P1148" s="3"/>
      <c r="Q1148" s="3">
        <v>11.989000000000001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271</v>
      </c>
      <c r="D1149" s="3"/>
      <c r="E1149" s="3" t="s">
        <v>271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16</v>
      </c>
      <c r="O1149" s="3"/>
      <c r="P1149" s="3"/>
      <c r="Q1149" s="3">
        <v>73.730999999999995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271</v>
      </c>
      <c r="D1150" s="3"/>
      <c r="E1150" s="3" t="s">
        <v>271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230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271</v>
      </c>
      <c r="D1151" s="3"/>
      <c r="E1151" s="3" t="s">
        <v>271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229</v>
      </c>
      <c r="O1151" s="3"/>
      <c r="P1151" s="3"/>
      <c r="Q1151" s="3">
        <v>8.5000000000000006E-2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271</v>
      </c>
      <c r="D1152" s="3"/>
      <c r="E1152" s="3" t="s">
        <v>271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228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271</v>
      </c>
      <c r="D1153" s="3"/>
      <c r="E1153" s="3" t="s">
        <v>271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271</v>
      </c>
      <c r="D1154" s="3"/>
      <c r="E1154" s="3" t="s">
        <v>271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271</v>
      </c>
      <c r="D1155" s="3"/>
      <c r="E1155" s="3" t="s">
        <v>271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0.59499999999999997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271</v>
      </c>
      <c r="D1156" s="3"/>
      <c r="E1156" s="3" t="s">
        <v>271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272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273</v>
      </c>
      <c r="D1157" s="3"/>
      <c r="E1157" s="3" t="s">
        <v>273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188</v>
      </c>
      <c r="O1157" s="3"/>
      <c r="P1157" s="3"/>
      <c r="Q1157" s="3">
        <v>1.0920000000000001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273</v>
      </c>
      <c r="D1158" s="3"/>
      <c r="E1158" s="3" t="s">
        <v>273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240</v>
      </c>
      <c r="O1158" s="3"/>
      <c r="P1158" s="3"/>
      <c r="Q1158" s="3">
        <v>1.0920000000000001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273</v>
      </c>
      <c r="D1159" s="3"/>
      <c r="E1159" s="3" t="s">
        <v>273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237</v>
      </c>
      <c r="O1159" s="3"/>
      <c r="P1159" s="3"/>
      <c r="Q1159" s="3">
        <v>0.32</v>
      </c>
      <c r="R1159" s="3" t="s">
        <v>238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273</v>
      </c>
      <c r="D1160" s="3"/>
      <c r="E1160" s="3" t="s">
        <v>273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101</v>
      </c>
      <c r="O1160" s="3"/>
      <c r="P1160" s="3"/>
      <c r="Q1160" s="3">
        <v>12.598000000000001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273</v>
      </c>
      <c r="D1161" s="3"/>
      <c r="E1161" s="3" t="s">
        <v>273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16</v>
      </c>
      <c r="O1161" s="3"/>
      <c r="P1161" s="3"/>
      <c r="Q1161" s="3">
        <v>77.48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273</v>
      </c>
      <c r="D1162" s="3"/>
      <c r="E1162" s="3" t="s">
        <v>273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230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273</v>
      </c>
      <c r="D1163" s="3"/>
      <c r="E1163" s="3" t="s">
        <v>273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229</v>
      </c>
      <c r="O1163" s="3"/>
      <c r="P1163" s="3"/>
      <c r="Q1163" s="3">
        <v>9.6000000000000002E-2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273</v>
      </c>
      <c r="D1164" s="3"/>
      <c r="E1164" s="3" t="s">
        <v>273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228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273</v>
      </c>
      <c r="D1165" s="3"/>
      <c r="E1165" s="3" t="s">
        <v>273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273</v>
      </c>
      <c r="D1166" s="3"/>
      <c r="E1166" s="3" t="s">
        <v>273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273</v>
      </c>
      <c r="D1167" s="3"/>
      <c r="E1167" s="3" t="s">
        <v>273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0.67600000000000005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273</v>
      </c>
      <c r="D1168" s="3"/>
      <c r="E1168" s="3" t="s">
        <v>273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274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275</v>
      </c>
      <c r="D1169" s="3"/>
      <c r="E1169" s="3" t="s">
        <v>275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188</v>
      </c>
      <c r="O1169" s="3"/>
      <c r="P1169" s="3"/>
      <c r="Q1169" s="3">
        <v>1.2450000000000001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275</v>
      </c>
      <c r="D1170" s="3"/>
      <c r="E1170" s="3" t="s">
        <v>275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240</v>
      </c>
      <c r="O1170" s="3"/>
      <c r="P1170" s="3"/>
      <c r="Q1170" s="3">
        <v>1.2450000000000001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275</v>
      </c>
      <c r="D1171" s="3"/>
      <c r="E1171" s="3" t="s">
        <v>275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237</v>
      </c>
      <c r="O1171" s="3"/>
      <c r="P1171" s="3"/>
      <c r="Q1171" s="3">
        <v>0.36599999999999999</v>
      </c>
      <c r="R1171" s="3" t="s">
        <v>238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275</v>
      </c>
      <c r="D1172" s="3"/>
      <c r="E1172" s="3" t="s">
        <v>275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101</v>
      </c>
      <c r="O1172" s="3"/>
      <c r="P1172" s="3"/>
      <c r="Q1172" s="3">
        <v>13.208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275</v>
      </c>
      <c r="D1173" s="3"/>
      <c r="E1173" s="3" t="s">
        <v>275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16</v>
      </c>
      <c r="O1173" s="3"/>
      <c r="P1173" s="3"/>
      <c r="Q1173" s="3">
        <v>81.228999999999999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275</v>
      </c>
      <c r="D1174" s="3"/>
      <c r="E1174" s="3" t="s">
        <v>275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230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275</v>
      </c>
      <c r="D1175" s="3"/>
      <c r="E1175" s="3" t="s">
        <v>275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229</v>
      </c>
      <c r="O1175" s="3"/>
      <c r="P1175" s="3"/>
      <c r="Q1175" s="3">
        <v>0.107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275</v>
      </c>
      <c r="D1176" s="3"/>
      <c r="E1176" s="3" t="s">
        <v>275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228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275</v>
      </c>
      <c r="D1177" s="3"/>
      <c r="E1177" s="3" t="s">
        <v>275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275</v>
      </c>
      <c r="D1178" s="3"/>
      <c r="E1178" s="3" t="s">
        <v>275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275</v>
      </c>
      <c r="D1179" s="3"/>
      <c r="E1179" s="3" t="s">
        <v>275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0.75700000000000001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275</v>
      </c>
      <c r="D1180" s="3"/>
      <c r="E1180" s="3" t="s">
        <v>275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276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277</v>
      </c>
      <c r="D1181" s="3"/>
      <c r="E1181" s="3" t="s">
        <v>277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188</v>
      </c>
      <c r="O1181" s="3"/>
      <c r="P1181" s="3"/>
      <c r="Q1181" s="3">
        <v>1.5489999999999999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277</v>
      </c>
      <c r="D1182" s="3"/>
      <c r="E1182" s="3" t="s">
        <v>277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240</v>
      </c>
      <c r="O1182" s="3"/>
      <c r="P1182" s="3"/>
      <c r="Q1182" s="3">
        <v>1.5489999999999999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277</v>
      </c>
      <c r="D1183" s="3"/>
      <c r="E1183" s="3" t="s">
        <v>277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237</v>
      </c>
      <c r="O1183" s="3"/>
      <c r="P1183" s="3"/>
      <c r="Q1183" s="3">
        <v>0.46</v>
      </c>
      <c r="R1183" s="3" t="s">
        <v>238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277</v>
      </c>
      <c r="D1184" s="3"/>
      <c r="E1184" s="3" t="s">
        <v>277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101</v>
      </c>
      <c r="O1184" s="3"/>
      <c r="P1184" s="3"/>
      <c r="Q1184" s="3">
        <v>14.427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277</v>
      </c>
      <c r="D1185" s="3"/>
      <c r="E1185" s="3" t="s">
        <v>277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16</v>
      </c>
      <c r="O1185" s="3"/>
      <c r="P1185" s="3"/>
      <c r="Q1185" s="3">
        <v>88.727000000000004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277</v>
      </c>
      <c r="D1186" s="3"/>
      <c r="E1186" s="3" t="s">
        <v>277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230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277</v>
      </c>
      <c r="D1187" s="3"/>
      <c r="E1187" s="3" t="s">
        <v>277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229</v>
      </c>
      <c r="O1187" s="3"/>
      <c r="P1187" s="3"/>
      <c r="Q1187" s="3">
        <v>0.128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277</v>
      </c>
      <c r="D1188" s="3"/>
      <c r="E1188" s="3" t="s">
        <v>277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228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277</v>
      </c>
      <c r="D1189" s="3"/>
      <c r="E1189" s="3" t="s">
        <v>277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277</v>
      </c>
      <c r="D1190" s="3"/>
      <c r="E1190" s="3" t="s">
        <v>277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277</v>
      </c>
      <c r="D1191" s="3"/>
      <c r="E1191" s="3" t="s">
        <v>277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0.91900000000000004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277</v>
      </c>
      <c r="D1192" s="3"/>
      <c r="E1192" s="3" t="s">
        <v>277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278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279</v>
      </c>
      <c r="D1193" s="3"/>
      <c r="E1193" s="3" t="s">
        <v>279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188</v>
      </c>
      <c r="O1193" s="3"/>
      <c r="P1193" s="3"/>
      <c r="Q1193" s="3">
        <v>1.702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279</v>
      </c>
      <c r="D1194" s="3"/>
      <c r="E1194" s="3" t="s">
        <v>279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240</v>
      </c>
      <c r="O1194" s="3"/>
      <c r="P1194" s="3"/>
      <c r="Q1194" s="3">
        <v>1.702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279</v>
      </c>
      <c r="D1195" s="3"/>
      <c r="E1195" s="3" t="s">
        <v>279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237</v>
      </c>
      <c r="O1195" s="3"/>
      <c r="P1195" s="3"/>
      <c r="Q1195" s="3">
        <v>0.50700000000000001</v>
      </c>
      <c r="R1195" s="3" t="s">
        <v>238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279</v>
      </c>
      <c r="D1196" s="3"/>
      <c r="E1196" s="3" t="s">
        <v>279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101</v>
      </c>
      <c r="O1196" s="3"/>
      <c r="P1196" s="3"/>
      <c r="Q1196" s="3">
        <v>15.037000000000001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279</v>
      </c>
      <c r="D1197" s="3"/>
      <c r="E1197" s="3" t="s">
        <v>279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16</v>
      </c>
      <c r="O1197" s="3"/>
      <c r="P1197" s="3"/>
      <c r="Q1197" s="3">
        <v>92.475999999999999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279</v>
      </c>
      <c r="D1198" s="3"/>
      <c r="E1198" s="3" t="s">
        <v>279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230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279</v>
      </c>
      <c r="D1199" s="3"/>
      <c r="E1199" s="3" t="s">
        <v>279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229</v>
      </c>
      <c r="O1199" s="3"/>
      <c r="P1199" s="3"/>
      <c r="Q1199" s="3">
        <v>0.13900000000000001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279</v>
      </c>
      <c r="D1200" s="3"/>
      <c r="E1200" s="3" t="s">
        <v>279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228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279</v>
      </c>
      <c r="D1201" s="3"/>
      <c r="E1201" s="3" t="s">
        <v>279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279</v>
      </c>
      <c r="D1202" s="3"/>
      <c r="E1202" s="3" t="s">
        <v>279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279</v>
      </c>
      <c r="D1203" s="3"/>
      <c r="E1203" s="3" t="s">
        <v>279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279</v>
      </c>
      <c r="D1204" s="3"/>
      <c r="E1204" s="3" t="s">
        <v>279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280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281</v>
      </c>
      <c r="D1205" s="3"/>
      <c r="E1205" s="3" t="s">
        <v>281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188</v>
      </c>
      <c r="O1205" s="3"/>
      <c r="P1205" s="3"/>
      <c r="Q1205" s="3">
        <v>1.8540000000000001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281</v>
      </c>
      <c r="D1206" s="3"/>
      <c r="E1206" s="3" t="s">
        <v>281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240</v>
      </c>
      <c r="O1206" s="3"/>
      <c r="P1206" s="3"/>
      <c r="Q1206" s="3">
        <v>1.8540000000000001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281</v>
      </c>
      <c r="D1207" s="3"/>
      <c r="E1207" s="3" t="s">
        <v>281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237</v>
      </c>
      <c r="O1207" s="3"/>
      <c r="P1207" s="3"/>
      <c r="Q1207" s="3">
        <v>0.55400000000000005</v>
      </c>
      <c r="R1207" s="3" t="s">
        <v>238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281</v>
      </c>
      <c r="D1208" s="3"/>
      <c r="E1208" s="3" t="s">
        <v>281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101</v>
      </c>
      <c r="O1208" s="3"/>
      <c r="P1208" s="3"/>
      <c r="Q1208" s="3">
        <v>15.646000000000001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281</v>
      </c>
      <c r="D1209" s="3"/>
      <c r="E1209" s="3" t="s">
        <v>281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16</v>
      </c>
      <c r="O1209" s="3"/>
      <c r="P1209" s="3"/>
      <c r="Q1209" s="3">
        <v>96.224999999999994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281</v>
      </c>
      <c r="D1210" s="3"/>
      <c r="E1210" s="3" t="s">
        <v>281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230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281</v>
      </c>
      <c r="D1211" s="3"/>
      <c r="E1211" s="3" t="s">
        <v>281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229</v>
      </c>
      <c r="O1211" s="3"/>
      <c r="P1211" s="3"/>
      <c r="Q1211" s="3">
        <v>0.14899999999999999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281</v>
      </c>
      <c r="D1212" s="3"/>
      <c r="E1212" s="3" t="s">
        <v>281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228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281</v>
      </c>
      <c r="D1213" s="3"/>
      <c r="E1213" s="3" t="s">
        <v>281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281</v>
      </c>
      <c r="D1214" s="3"/>
      <c r="E1214" s="3" t="s">
        <v>281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281</v>
      </c>
      <c r="D1215" s="3"/>
      <c r="E1215" s="3" t="s">
        <v>281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1.081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281</v>
      </c>
      <c r="D1216" s="3"/>
      <c r="E1216" s="3" t="s">
        <v>281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283</v>
      </c>
      <c r="D1217" s="3"/>
      <c r="E1217" s="3" t="s">
        <v>283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188</v>
      </c>
      <c r="O1217" s="3"/>
      <c r="P1217" s="3"/>
      <c r="Q1217" s="3">
        <v>2.0569999999999999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283</v>
      </c>
      <c r="D1218" s="3"/>
      <c r="E1218" s="3" t="s">
        <v>283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240</v>
      </c>
      <c r="O1218" s="3"/>
      <c r="P1218" s="3"/>
      <c r="Q1218" s="3">
        <v>2.0569999999999999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283</v>
      </c>
      <c r="D1219" s="3"/>
      <c r="E1219" s="3" t="s">
        <v>283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237</v>
      </c>
      <c r="O1219" s="3"/>
      <c r="P1219" s="3"/>
      <c r="Q1219" s="3">
        <v>0.23200000000000001</v>
      </c>
      <c r="R1219" s="3" t="s">
        <v>238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283</v>
      </c>
      <c r="D1220" s="3"/>
      <c r="E1220" s="3" t="s">
        <v>283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101</v>
      </c>
      <c r="O1220" s="3"/>
      <c r="P1220" s="3"/>
      <c r="Q1220" s="3">
        <v>11.582000000000001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283</v>
      </c>
      <c r="D1221" s="3"/>
      <c r="E1221" s="3" t="s">
        <v>283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16</v>
      </c>
      <c r="O1221" s="3"/>
      <c r="P1221" s="3"/>
      <c r="Q1221" s="3">
        <v>71.231999999999999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283</v>
      </c>
      <c r="D1222" s="3"/>
      <c r="E1222" s="3" t="s">
        <v>283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230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283</v>
      </c>
      <c r="D1223" s="3"/>
      <c r="E1223" s="3" t="s">
        <v>283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229</v>
      </c>
      <c r="O1223" s="3"/>
      <c r="P1223" s="3"/>
      <c r="Q1223" s="3">
        <v>7.4999999999999997E-2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283</v>
      </c>
      <c r="D1224" s="3"/>
      <c r="E1224" s="3" t="s">
        <v>283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228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283</v>
      </c>
      <c r="D1225" s="3"/>
      <c r="E1225" s="3" t="s">
        <v>283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283</v>
      </c>
      <c r="D1226" s="3"/>
      <c r="E1226" s="3" t="s">
        <v>283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283</v>
      </c>
      <c r="D1227" s="3"/>
      <c r="E1227" s="3" t="s">
        <v>283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1.1890000000000001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283</v>
      </c>
      <c r="D1228" s="3"/>
      <c r="E1228" s="3" t="s">
        <v>283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284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285</v>
      </c>
      <c r="D1229" s="3"/>
      <c r="E1229" s="3" t="s">
        <v>285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188</v>
      </c>
      <c r="O1229" s="3"/>
      <c r="P1229" s="3"/>
      <c r="Q1229" s="3">
        <v>2.0569999999999999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285</v>
      </c>
      <c r="D1230" s="3"/>
      <c r="E1230" s="3" t="s">
        <v>285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240</v>
      </c>
      <c r="O1230" s="3"/>
      <c r="P1230" s="3"/>
      <c r="Q1230" s="3">
        <v>2.0569999999999999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285</v>
      </c>
      <c r="D1231" s="3"/>
      <c r="E1231" s="3" t="s">
        <v>285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237</v>
      </c>
      <c r="O1231" s="3"/>
      <c r="P1231" s="3"/>
      <c r="Q1231" s="3">
        <v>0.28000000000000003</v>
      </c>
      <c r="R1231" s="3" t="s">
        <v>238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285</v>
      </c>
      <c r="D1232" s="3"/>
      <c r="E1232" s="3" t="s">
        <v>285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101</v>
      </c>
      <c r="O1232" s="3"/>
      <c r="P1232" s="3"/>
      <c r="Q1232" s="3">
        <v>12.192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285</v>
      </c>
      <c r="D1233" s="3"/>
      <c r="E1233" s="3" t="s">
        <v>285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16</v>
      </c>
      <c r="O1233" s="3"/>
      <c r="P1233" s="3"/>
      <c r="Q1233" s="3">
        <v>74.980999999999995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285</v>
      </c>
      <c r="D1234" s="3"/>
      <c r="E1234" s="3" t="s">
        <v>285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230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285</v>
      </c>
      <c r="D1235" s="3"/>
      <c r="E1235" s="3" t="s">
        <v>285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229</v>
      </c>
      <c r="O1235" s="3"/>
      <c r="P1235" s="3"/>
      <c r="Q1235" s="3">
        <v>8.5000000000000006E-2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285</v>
      </c>
      <c r="D1236" s="3"/>
      <c r="E1236" s="3" t="s">
        <v>285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228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285</v>
      </c>
      <c r="D1237" s="3"/>
      <c r="E1237" s="3" t="s">
        <v>285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285</v>
      </c>
      <c r="D1238" s="3"/>
      <c r="E1238" s="3" t="s">
        <v>285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285</v>
      </c>
      <c r="D1239" s="3"/>
      <c r="E1239" s="3" t="s">
        <v>285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1.1890000000000001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285</v>
      </c>
      <c r="D1240" s="3"/>
      <c r="E1240" s="3" t="s">
        <v>285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286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287</v>
      </c>
      <c r="D1241" s="3"/>
      <c r="E1241" s="3" t="s">
        <v>287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188</v>
      </c>
      <c r="O1241" s="3"/>
      <c r="P1241" s="3"/>
      <c r="Q1241" s="3">
        <v>2.0569999999999999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287</v>
      </c>
      <c r="D1242" s="3"/>
      <c r="E1242" s="3" t="s">
        <v>287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240</v>
      </c>
      <c r="O1242" s="3"/>
      <c r="P1242" s="3"/>
      <c r="Q1242" s="3">
        <v>2.0569999999999999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287</v>
      </c>
      <c r="D1243" s="3"/>
      <c r="E1243" s="3" t="s">
        <v>287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237</v>
      </c>
      <c r="O1243" s="3"/>
      <c r="P1243" s="3"/>
      <c r="Q1243" s="3">
        <v>0.32800000000000001</v>
      </c>
      <c r="R1243" s="3" t="s">
        <v>238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287</v>
      </c>
      <c r="D1244" s="3"/>
      <c r="E1244" s="3" t="s">
        <v>287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101</v>
      </c>
      <c r="O1244" s="3"/>
      <c r="P1244" s="3"/>
      <c r="Q1244" s="3">
        <v>12.802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287</v>
      </c>
      <c r="D1245" s="3"/>
      <c r="E1245" s="3" t="s">
        <v>287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16</v>
      </c>
      <c r="O1245" s="3"/>
      <c r="P1245" s="3"/>
      <c r="Q1245" s="3">
        <v>78.73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287</v>
      </c>
      <c r="D1246" s="3"/>
      <c r="E1246" s="3" t="s">
        <v>287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230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287</v>
      </c>
      <c r="D1247" s="3"/>
      <c r="E1247" s="3" t="s">
        <v>287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229</v>
      </c>
      <c r="O1247" s="3"/>
      <c r="P1247" s="3"/>
      <c r="Q1247" s="3">
        <v>9.6000000000000002E-2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287</v>
      </c>
      <c r="D1248" s="3"/>
      <c r="E1248" s="3" t="s">
        <v>287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228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287</v>
      </c>
      <c r="D1249" s="3"/>
      <c r="E1249" s="3" t="s">
        <v>287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287</v>
      </c>
      <c r="D1250" s="3"/>
      <c r="E1250" s="3" t="s">
        <v>287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287</v>
      </c>
      <c r="D1251" s="3"/>
      <c r="E1251" s="3" t="s">
        <v>287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1.1890000000000001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287</v>
      </c>
      <c r="D1252" s="3"/>
      <c r="E1252" s="3" t="s">
        <v>287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288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289</v>
      </c>
      <c r="D1253" s="3"/>
      <c r="E1253" s="3" t="s">
        <v>289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188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289</v>
      </c>
      <c r="D1254" s="3"/>
      <c r="E1254" s="3" t="s">
        <v>289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240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289</v>
      </c>
      <c r="D1255" s="3"/>
      <c r="E1255" s="3" t="s">
        <v>289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237</v>
      </c>
      <c r="O1255" s="3"/>
      <c r="P1255" s="3"/>
      <c r="Q1255" s="3">
        <v>0.376</v>
      </c>
      <c r="R1255" s="3" t="s">
        <v>238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289</v>
      </c>
      <c r="D1256" s="3"/>
      <c r="E1256" s="3" t="s">
        <v>289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101</v>
      </c>
      <c r="O1256" s="3"/>
      <c r="P1256" s="3"/>
      <c r="Q1256" s="3">
        <v>13.411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289</v>
      </c>
      <c r="D1257" s="3"/>
      <c r="E1257" s="3" t="s">
        <v>289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16</v>
      </c>
      <c r="O1257" s="3"/>
      <c r="P1257" s="3"/>
      <c r="Q1257" s="3">
        <v>82.478999999999999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289</v>
      </c>
      <c r="D1258" s="3"/>
      <c r="E1258" s="3" t="s">
        <v>289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230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289</v>
      </c>
      <c r="D1259" s="3"/>
      <c r="E1259" s="3" t="s">
        <v>289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229</v>
      </c>
      <c r="O1259" s="3"/>
      <c r="P1259" s="3"/>
      <c r="Q1259" s="3">
        <v>0.107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289</v>
      </c>
      <c r="D1260" s="3"/>
      <c r="E1260" s="3" t="s">
        <v>289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228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289</v>
      </c>
      <c r="D1261" s="3"/>
      <c r="E1261" s="3" t="s">
        <v>289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289</v>
      </c>
      <c r="D1262" s="3"/>
      <c r="E1262" s="3" t="s">
        <v>289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289</v>
      </c>
      <c r="D1263" s="3"/>
      <c r="E1263" s="3" t="s">
        <v>289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1.1890000000000001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289</v>
      </c>
      <c r="D1264" s="3"/>
      <c r="E1264" s="3" t="s">
        <v>289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290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291</v>
      </c>
      <c r="D1265" s="3"/>
      <c r="E1265" s="3" t="s">
        <v>291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188</v>
      </c>
      <c r="O1265" s="3"/>
      <c r="P1265" s="3"/>
      <c r="Q1265" s="3">
        <v>2.0569999999999999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291</v>
      </c>
      <c r="D1266" s="3"/>
      <c r="E1266" s="3" t="s">
        <v>291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240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291</v>
      </c>
      <c r="D1267" s="3"/>
      <c r="E1267" s="3" t="s">
        <v>291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237</v>
      </c>
      <c r="O1267" s="3"/>
      <c r="P1267" s="3"/>
      <c r="Q1267" s="3">
        <v>0.47199999999999998</v>
      </c>
      <c r="R1267" s="3" t="s">
        <v>238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291</v>
      </c>
      <c r="D1268" s="3"/>
      <c r="E1268" s="3" t="s">
        <v>291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101</v>
      </c>
      <c r="O1268" s="3"/>
      <c r="P1268" s="3"/>
      <c r="Q1268" s="3">
        <v>14.63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291</v>
      </c>
      <c r="D1269" s="3"/>
      <c r="E1269" s="3" t="s">
        <v>291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16</v>
      </c>
      <c r="O1269" s="3"/>
      <c r="P1269" s="3"/>
      <c r="Q1269" s="3">
        <v>89.977000000000004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291</v>
      </c>
      <c r="D1270" s="3"/>
      <c r="E1270" s="3" t="s">
        <v>291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230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291</v>
      </c>
      <c r="D1271" s="3"/>
      <c r="E1271" s="3" t="s">
        <v>291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229</v>
      </c>
      <c r="O1271" s="3"/>
      <c r="P1271" s="3"/>
      <c r="Q1271" s="3">
        <v>0.128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291</v>
      </c>
      <c r="D1272" s="3"/>
      <c r="E1272" s="3" t="s">
        <v>291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228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291</v>
      </c>
      <c r="D1273" s="3"/>
      <c r="E1273" s="3" t="s">
        <v>291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291</v>
      </c>
      <c r="D1274" s="3"/>
      <c r="E1274" s="3" t="s">
        <v>291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291</v>
      </c>
      <c r="D1275" s="3"/>
      <c r="E1275" s="3" t="s">
        <v>291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1.1890000000000001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291</v>
      </c>
      <c r="D1276" s="3"/>
      <c r="E1276" s="3" t="s">
        <v>291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292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293</v>
      </c>
      <c r="D1277" s="3"/>
      <c r="E1277" s="3" t="s">
        <v>293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188</v>
      </c>
      <c r="O1277" s="3"/>
      <c r="P1277" s="3"/>
      <c r="Q1277" s="3">
        <v>2.0569999999999999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293</v>
      </c>
      <c r="D1278" s="3"/>
      <c r="E1278" s="3" t="s">
        <v>293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240</v>
      </c>
      <c r="O1278" s="3"/>
      <c r="P1278" s="3"/>
      <c r="Q1278" s="3">
        <v>2.0569999999999999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293</v>
      </c>
      <c r="D1279" s="3"/>
      <c r="E1279" s="3" t="s">
        <v>293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237</v>
      </c>
      <c r="O1279" s="3"/>
      <c r="P1279" s="3"/>
      <c r="Q1279" s="3">
        <v>0.52</v>
      </c>
      <c r="R1279" s="3" t="s">
        <v>238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293</v>
      </c>
      <c r="D1280" s="3"/>
      <c r="E1280" s="3" t="s">
        <v>293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101</v>
      </c>
      <c r="O1280" s="3"/>
      <c r="P1280" s="3"/>
      <c r="Q1280" s="3">
        <v>15.24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293</v>
      </c>
      <c r="D1281" s="3"/>
      <c r="E1281" s="3" t="s">
        <v>293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16</v>
      </c>
      <c r="O1281" s="3"/>
      <c r="P1281" s="3"/>
      <c r="Q1281" s="3">
        <v>93.725999999999999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293</v>
      </c>
      <c r="D1282" s="3"/>
      <c r="E1282" s="3" t="s">
        <v>293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230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293</v>
      </c>
      <c r="D1283" s="3"/>
      <c r="E1283" s="3" t="s">
        <v>293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229</v>
      </c>
      <c r="O1283" s="3"/>
      <c r="P1283" s="3"/>
      <c r="Q1283" s="3">
        <v>0.13900000000000001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293</v>
      </c>
      <c r="D1284" s="3"/>
      <c r="E1284" s="3" t="s">
        <v>293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228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293</v>
      </c>
      <c r="D1285" s="3"/>
      <c r="E1285" s="3" t="s">
        <v>293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293</v>
      </c>
      <c r="D1286" s="3"/>
      <c r="E1286" s="3" t="s">
        <v>293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293</v>
      </c>
      <c r="D1287" s="3"/>
      <c r="E1287" s="3" t="s">
        <v>293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1.1890000000000001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293</v>
      </c>
      <c r="D1288" s="3"/>
      <c r="E1288" s="3" t="s">
        <v>293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294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295</v>
      </c>
      <c r="D1289" s="3"/>
      <c r="E1289" s="3" t="s">
        <v>295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188</v>
      </c>
      <c r="O1289" s="3"/>
      <c r="P1289" s="3"/>
      <c r="Q1289" s="3">
        <v>2.0569999999999999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295</v>
      </c>
      <c r="D1290" s="3"/>
      <c r="E1290" s="3" t="s">
        <v>295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240</v>
      </c>
      <c r="O1290" s="3"/>
      <c r="P1290" s="3"/>
      <c r="Q1290" s="3">
        <v>2.0569999999999999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295</v>
      </c>
      <c r="D1291" s="3"/>
      <c r="E1291" s="3" t="s">
        <v>295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237</v>
      </c>
      <c r="O1291" s="3"/>
      <c r="P1291" s="3"/>
      <c r="Q1291" s="3">
        <v>0.56799999999999995</v>
      </c>
      <c r="R1291" s="3" t="s">
        <v>238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295</v>
      </c>
      <c r="D1292" s="3"/>
      <c r="E1292" s="3" t="s">
        <v>295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101</v>
      </c>
      <c r="O1292" s="3"/>
      <c r="P1292" s="3"/>
      <c r="Q1292" s="3">
        <v>15.85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295</v>
      </c>
      <c r="D1293" s="3"/>
      <c r="E1293" s="3" t="s">
        <v>295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16</v>
      </c>
      <c r="O1293" s="3"/>
      <c r="P1293" s="3"/>
      <c r="Q1293" s="3">
        <v>97.474999999999994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295</v>
      </c>
      <c r="D1294" s="3"/>
      <c r="E1294" s="3" t="s">
        <v>295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230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295</v>
      </c>
      <c r="D1295" s="3"/>
      <c r="E1295" s="3" t="s">
        <v>295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229</v>
      </c>
      <c r="O1295" s="3"/>
      <c r="P1295" s="3"/>
      <c r="Q1295" s="3">
        <v>0.14899999999999999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295</v>
      </c>
      <c r="D1296" s="3"/>
      <c r="E1296" s="3" t="s">
        <v>295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228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295</v>
      </c>
      <c r="D1297" s="3"/>
      <c r="E1297" s="3" t="s">
        <v>295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295</v>
      </c>
      <c r="D1298" s="3"/>
      <c r="E1298" s="3" t="s">
        <v>295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295</v>
      </c>
      <c r="D1299" s="3"/>
      <c r="E1299" s="3" t="s">
        <v>295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1.1890000000000001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295</v>
      </c>
      <c r="D1300" s="3"/>
      <c r="E1300" s="3" t="s">
        <v>295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296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297</v>
      </c>
      <c r="D1301" s="3"/>
      <c r="E1301" s="3" t="s">
        <v>297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188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297</v>
      </c>
      <c r="D1302" s="3"/>
      <c r="E1302" s="3" t="s">
        <v>297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240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297</v>
      </c>
      <c r="D1303" s="3"/>
      <c r="E1303" s="3" t="s">
        <v>297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237</v>
      </c>
      <c r="O1303" s="3"/>
      <c r="P1303" s="3"/>
      <c r="Q1303" s="3">
        <v>0.24399999999999999</v>
      </c>
      <c r="R1303" s="3" t="s">
        <v>238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297</v>
      </c>
      <c r="D1304" s="3"/>
      <c r="E1304" s="3" t="s">
        <v>297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101</v>
      </c>
      <c r="O1304" s="3"/>
      <c r="P1304" s="3"/>
      <c r="Q1304" s="3">
        <v>11.989000000000001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297</v>
      </c>
      <c r="D1305" s="3"/>
      <c r="E1305" s="3" t="s">
        <v>297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16</v>
      </c>
      <c r="O1305" s="3"/>
      <c r="P1305" s="3"/>
      <c r="Q1305" s="3">
        <v>73.730999999999995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297</v>
      </c>
      <c r="D1306" s="3"/>
      <c r="E1306" s="3" t="s">
        <v>297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230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297</v>
      </c>
      <c r="D1307" s="3"/>
      <c r="E1307" s="3" t="s">
        <v>297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229</v>
      </c>
      <c r="O1307" s="3"/>
      <c r="P1307" s="3"/>
      <c r="Q1307" s="3">
        <v>7.4999999999999997E-2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297</v>
      </c>
      <c r="D1308" s="3"/>
      <c r="E1308" s="3" t="s">
        <v>297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228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297</v>
      </c>
      <c r="D1309" s="3"/>
      <c r="E1309" s="3" t="s">
        <v>297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297</v>
      </c>
      <c r="D1310" s="3"/>
      <c r="E1310" s="3" t="s">
        <v>297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297</v>
      </c>
      <c r="D1311" s="3"/>
      <c r="E1311" s="3" t="s">
        <v>297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1.2430000000000001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297</v>
      </c>
      <c r="D1312" s="3"/>
      <c r="E1312" s="3" t="s">
        <v>297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298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299</v>
      </c>
      <c r="D1313" s="3"/>
      <c r="E1313" s="3" t="s">
        <v>299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188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299</v>
      </c>
      <c r="D1314" s="3"/>
      <c r="E1314" s="3" t="s">
        <v>299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240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299</v>
      </c>
      <c r="D1315" s="3"/>
      <c r="E1315" s="3" t="s">
        <v>299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237</v>
      </c>
      <c r="O1315" s="3"/>
      <c r="P1315" s="3"/>
      <c r="Q1315" s="3">
        <v>0.29399999999999998</v>
      </c>
      <c r="R1315" s="3" t="s">
        <v>238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299</v>
      </c>
      <c r="D1316" s="3"/>
      <c r="E1316" s="3" t="s">
        <v>299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101</v>
      </c>
      <c r="O1316" s="3"/>
      <c r="P1316" s="3"/>
      <c r="Q1316" s="3">
        <v>12.598000000000001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299</v>
      </c>
      <c r="D1317" s="3"/>
      <c r="E1317" s="3" t="s">
        <v>299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16</v>
      </c>
      <c r="O1317" s="3"/>
      <c r="P1317" s="3"/>
      <c r="Q1317" s="3">
        <v>77.48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299</v>
      </c>
      <c r="D1318" s="3"/>
      <c r="E1318" s="3" t="s">
        <v>299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230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299</v>
      </c>
      <c r="D1319" s="3"/>
      <c r="E1319" s="3" t="s">
        <v>299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229</v>
      </c>
      <c r="O1319" s="3"/>
      <c r="P1319" s="3"/>
      <c r="Q1319" s="3">
        <v>8.5000000000000006E-2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299</v>
      </c>
      <c r="D1320" s="3"/>
      <c r="E1320" s="3" t="s">
        <v>299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228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299</v>
      </c>
      <c r="D1321" s="3"/>
      <c r="E1321" s="3" t="s">
        <v>299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299</v>
      </c>
      <c r="D1322" s="3"/>
      <c r="E1322" s="3" t="s">
        <v>299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299</v>
      </c>
      <c r="D1323" s="3"/>
      <c r="E1323" s="3" t="s">
        <v>299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1.2430000000000001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299</v>
      </c>
      <c r="D1324" s="3"/>
      <c r="E1324" s="3" t="s">
        <v>299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300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301</v>
      </c>
      <c r="D1325" s="3"/>
      <c r="E1325" s="3" t="s">
        <v>301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188</v>
      </c>
      <c r="O1325" s="3"/>
      <c r="P1325" s="3"/>
      <c r="Q1325" s="3">
        <v>2.1589999999999998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301</v>
      </c>
      <c r="D1326" s="3"/>
      <c r="E1326" s="3" t="s">
        <v>301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240</v>
      </c>
      <c r="O1326" s="3"/>
      <c r="P1326" s="3"/>
      <c r="Q1326" s="3">
        <v>2.1589999999999998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301</v>
      </c>
      <c r="D1327" s="3"/>
      <c r="E1327" s="3" t="s">
        <v>301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237</v>
      </c>
      <c r="O1327" s="3"/>
      <c r="P1327" s="3"/>
      <c r="Q1327" s="3">
        <v>0.34499999999999997</v>
      </c>
      <c r="R1327" s="3" t="s">
        <v>238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301</v>
      </c>
      <c r="D1328" s="3"/>
      <c r="E1328" s="3" t="s">
        <v>301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101</v>
      </c>
      <c r="O1328" s="3"/>
      <c r="P1328" s="3"/>
      <c r="Q1328" s="3">
        <v>13.208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301</v>
      </c>
      <c r="D1329" s="3"/>
      <c r="E1329" s="3" t="s">
        <v>301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16</v>
      </c>
      <c r="O1329" s="3"/>
      <c r="P1329" s="3"/>
      <c r="Q1329" s="3">
        <v>81.228999999999999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301</v>
      </c>
      <c r="D1330" s="3"/>
      <c r="E1330" s="3" t="s">
        <v>301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230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301</v>
      </c>
      <c r="D1331" s="3"/>
      <c r="E1331" s="3" t="s">
        <v>301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229</v>
      </c>
      <c r="O1331" s="3"/>
      <c r="P1331" s="3"/>
      <c r="Q1331" s="3">
        <v>9.6000000000000002E-2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301</v>
      </c>
      <c r="D1332" s="3"/>
      <c r="E1332" s="3" t="s">
        <v>301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228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301</v>
      </c>
      <c r="D1333" s="3"/>
      <c r="E1333" s="3" t="s">
        <v>301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301</v>
      </c>
      <c r="D1334" s="3"/>
      <c r="E1334" s="3" t="s">
        <v>301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301</v>
      </c>
      <c r="D1335" s="3"/>
      <c r="E1335" s="3" t="s">
        <v>301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1.2430000000000001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301</v>
      </c>
      <c r="D1336" s="3"/>
      <c r="E1336" s="3" t="s">
        <v>301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302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303</v>
      </c>
      <c r="D1337" s="3"/>
      <c r="E1337" s="3" t="s">
        <v>303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188</v>
      </c>
      <c r="O1337" s="3"/>
      <c r="P1337" s="3"/>
      <c r="Q1337" s="3">
        <v>2.1589999999999998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303</v>
      </c>
      <c r="D1338" s="3"/>
      <c r="E1338" s="3" t="s">
        <v>303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240</v>
      </c>
      <c r="O1338" s="3"/>
      <c r="P1338" s="3"/>
      <c r="Q1338" s="3">
        <v>2.1589999999999998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303</v>
      </c>
      <c r="D1339" s="3"/>
      <c r="E1339" s="3" t="s">
        <v>303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237</v>
      </c>
      <c r="O1339" s="3"/>
      <c r="P1339" s="3"/>
      <c r="Q1339" s="3">
        <v>0.39500000000000002</v>
      </c>
      <c r="R1339" s="3" t="s">
        <v>238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303</v>
      </c>
      <c r="D1340" s="3"/>
      <c r="E1340" s="3" t="s">
        <v>303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101</v>
      </c>
      <c r="O1340" s="3"/>
      <c r="P1340" s="3"/>
      <c r="Q1340" s="3">
        <v>13.818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303</v>
      </c>
      <c r="D1341" s="3"/>
      <c r="E1341" s="3" t="s">
        <v>303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16</v>
      </c>
      <c r="O1341" s="3"/>
      <c r="P1341" s="3"/>
      <c r="Q1341" s="3">
        <v>84.977999999999994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303</v>
      </c>
      <c r="D1342" s="3"/>
      <c r="E1342" s="3" t="s">
        <v>303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230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303</v>
      </c>
      <c r="D1343" s="3"/>
      <c r="E1343" s="3" t="s">
        <v>303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229</v>
      </c>
      <c r="O1343" s="3"/>
      <c r="P1343" s="3"/>
      <c r="Q1343" s="3">
        <v>0.107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303</v>
      </c>
      <c r="D1344" s="3"/>
      <c r="E1344" s="3" t="s">
        <v>303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228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303</v>
      </c>
      <c r="D1345" s="3"/>
      <c r="E1345" s="3" t="s">
        <v>303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303</v>
      </c>
      <c r="D1346" s="3"/>
      <c r="E1346" s="3" t="s">
        <v>303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303</v>
      </c>
      <c r="D1347" s="3"/>
      <c r="E1347" s="3" t="s">
        <v>303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1.2430000000000001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303</v>
      </c>
      <c r="D1348" s="3"/>
      <c r="E1348" s="3" t="s">
        <v>303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304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305</v>
      </c>
      <c r="D1349" s="3"/>
      <c r="E1349" s="3" t="s">
        <v>305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188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305</v>
      </c>
      <c r="D1350" s="3"/>
      <c r="E1350" s="3" t="s">
        <v>305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240</v>
      </c>
      <c r="O1350" s="3"/>
      <c r="P1350" s="3"/>
      <c r="Q1350" s="3">
        <v>2.1589999999999998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305</v>
      </c>
      <c r="D1351" s="3"/>
      <c r="E1351" s="3" t="s">
        <v>305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237</v>
      </c>
      <c r="O1351" s="3"/>
      <c r="P1351" s="3"/>
      <c r="Q1351" s="3">
        <v>0.496</v>
      </c>
      <c r="R1351" s="3" t="s">
        <v>238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305</v>
      </c>
      <c r="D1352" s="3"/>
      <c r="E1352" s="3" t="s">
        <v>305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101</v>
      </c>
      <c r="O1352" s="3"/>
      <c r="P1352" s="3"/>
      <c r="Q1352" s="3">
        <v>15.037000000000001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305</v>
      </c>
      <c r="D1353" s="3"/>
      <c r="E1353" s="3" t="s">
        <v>305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16</v>
      </c>
      <c r="O1353" s="3"/>
      <c r="P1353" s="3"/>
      <c r="Q1353" s="3">
        <v>92.475999999999999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305</v>
      </c>
      <c r="D1354" s="3"/>
      <c r="E1354" s="3" t="s">
        <v>305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230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305</v>
      </c>
      <c r="D1355" s="3"/>
      <c r="E1355" s="3" t="s">
        <v>305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229</v>
      </c>
      <c r="O1355" s="3"/>
      <c r="P1355" s="3"/>
      <c r="Q1355" s="3">
        <v>0.128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305</v>
      </c>
      <c r="D1356" s="3"/>
      <c r="E1356" s="3" t="s">
        <v>305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228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305</v>
      </c>
      <c r="D1357" s="3"/>
      <c r="E1357" s="3" t="s">
        <v>305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305</v>
      </c>
      <c r="D1358" s="3"/>
      <c r="E1358" s="3" t="s">
        <v>305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305</v>
      </c>
      <c r="D1359" s="3"/>
      <c r="E1359" s="3" t="s">
        <v>305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1.2430000000000001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305</v>
      </c>
      <c r="D1360" s="3"/>
      <c r="E1360" s="3" t="s">
        <v>305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306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307</v>
      </c>
      <c r="D1361" s="3"/>
      <c r="E1361" s="3" t="s">
        <v>307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188</v>
      </c>
      <c r="O1361" s="3"/>
      <c r="P1361" s="3"/>
      <c r="Q1361" s="3">
        <v>2.1589999999999998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307</v>
      </c>
      <c r="D1362" s="3"/>
      <c r="E1362" s="3" t="s">
        <v>307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240</v>
      </c>
      <c r="O1362" s="3"/>
      <c r="P1362" s="3"/>
      <c r="Q1362" s="3">
        <v>2.1589999999999998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307</v>
      </c>
      <c r="D1363" s="3"/>
      <c r="E1363" s="3" t="s">
        <v>307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237</v>
      </c>
      <c r="O1363" s="3"/>
      <c r="P1363" s="3"/>
      <c r="Q1363" s="3">
        <v>0.54600000000000004</v>
      </c>
      <c r="R1363" s="3" t="s">
        <v>238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307</v>
      </c>
      <c r="D1364" s="3"/>
      <c r="E1364" s="3" t="s">
        <v>307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101</v>
      </c>
      <c r="O1364" s="3"/>
      <c r="P1364" s="3"/>
      <c r="Q1364" s="3">
        <v>15.646000000000001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307</v>
      </c>
      <c r="D1365" s="3"/>
      <c r="E1365" s="3" t="s">
        <v>307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16</v>
      </c>
      <c r="O1365" s="3"/>
      <c r="P1365" s="3"/>
      <c r="Q1365" s="3">
        <v>96.224999999999994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307</v>
      </c>
      <c r="D1366" s="3"/>
      <c r="E1366" s="3" t="s">
        <v>307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230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307</v>
      </c>
      <c r="D1367" s="3"/>
      <c r="E1367" s="3" t="s">
        <v>307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229</v>
      </c>
      <c r="O1367" s="3"/>
      <c r="P1367" s="3"/>
      <c r="Q1367" s="3">
        <v>0.13900000000000001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307</v>
      </c>
      <c r="D1368" s="3"/>
      <c r="E1368" s="3" t="s">
        <v>307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228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307</v>
      </c>
      <c r="D1369" s="3"/>
      <c r="E1369" s="3" t="s">
        <v>307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307</v>
      </c>
      <c r="D1370" s="3"/>
      <c r="E1370" s="3" t="s">
        <v>307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307</v>
      </c>
      <c r="D1371" s="3"/>
      <c r="E1371" s="3" t="s">
        <v>307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1.2430000000000001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307</v>
      </c>
      <c r="D1372" s="3"/>
      <c r="E1372" s="3" t="s">
        <v>307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308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309</v>
      </c>
      <c r="D1373" s="3"/>
      <c r="E1373" s="3" t="s">
        <v>309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188</v>
      </c>
      <c r="O1373" s="3"/>
      <c r="P1373" s="3"/>
      <c r="Q1373" s="3">
        <v>2.1589999999999998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309</v>
      </c>
      <c r="D1374" s="3"/>
      <c r="E1374" s="3" t="s">
        <v>309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240</v>
      </c>
      <c r="O1374" s="3"/>
      <c r="P1374" s="3"/>
      <c r="Q1374" s="3">
        <v>2.1589999999999998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309</v>
      </c>
      <c r="D1375" s="3"/>
      <c r="E1375" s="3" t="s">
        <v>309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237</v>
      </c>
      <c r="O1375" s="3"/>
      <c r="P1375" s="3"/>
      <c r="Q1375" s="3">
        <v>0.59699999999999998</v>
      </c>
      <c r="R1375" s="3" t="s">
        <v>238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309</v>
      </c>
      <c r="D1376" s="3"/>
      <c r="E1376" s="3" t="s">
        <v>309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101</v>
      </c>
      <c r="O1376" s="3"/>
      <c r="P1376" s="3"/>
      <c r="Q1376" s="3">
        <v>16.256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309</v>
      </c>
      <c r="D1377" s="3"/>
      <c r="E1377" s="3" t="s">
        <v>309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16</v>
      </c>
      <c r="O1377" s="3"/>
      <c r="P1377" s="3"/>
      <c r="Q1377" s="3">
        <v>99.974000000000004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309</v>
      </c>
      <c r="D1378" s="3"/>
      <c r="E1378" s="3" t="s">
        <v>309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230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309</v>
      </c>
      <c r="D1379" s="3"/>
      <c r="E1379" s="3" t="s">
        <v>309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229</v>
      </c>
      <c r="O1379" s="3"/>
      <c r="P1379" s="3"/>
      <c r="Q1379" s="3">
        <v>0.14899999999999999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309</v>
      </c>
      <c r="D1380" s="3"/>
      <c r="E1380" s="3" t="s">
        <v>309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228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309</v>
      </c>
      <c r="D1381" s="3"/>
      <c r="E1381" s="3" t="s">
        <v>309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309</v>
      </c>
      <c r="D1382" s="3"/>
      <c r="E1382" s="3" t="s">
        <v>309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309</v>
      </c>
      <c r="D1383" s="3"/>
      <c r="E1383" s="3" t="s">
        <v>309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1.2430000000000001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309</v>
      </c>
      <c r="D1384" s="3"/>
      <c r="E1384" s="3" t="s">
        <v>309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310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311</v>
      </c>
      <c r="D1385" s="3"/>
      <c r="E1385" s="3" t="s">
        <v>311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107</v>
      </c>
      <c r="O1385" s="3"/>
      <c r="P1385" s="3"/>
      <c r="Q1385" s="3">
        <v>0.78700000000000003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311</v>
      </c>
      <c r="D1386" s="3"/>
      <c r="E1386" s="3" t="s">
        <v>311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240</v>
      </c>
      <c r="O1386" s="3"/>
      <c r="P1386" s="3"/>
      <c r="Q1386" s="3">
        <v>0.78700000000000003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311</v>
      </c>
      <c r="D1387" s="3"/>
      <c r="E1387" s="3" t="s">
        <v>311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237</v>
      </c>
      <c r="O1387" s="3"/>
      <c r="P1387" s="3"/>
      <c r="Q1387" s="3">
        <v>0.20799999999999999</v>
      </c>
      <c r="R1387" s="3" t="s">
        <v>238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311</v>
      </c>
      <c r="D1388" s="3"/>
      <c r="E1388" s="3" t="s">
        <v>311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101</v>
      </c>
      <c r="O1388" s="3"/>
      <c r="P1388" s="3"/>
      <c r="Q1388" s="3">
        <v>10.77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311</v>
      </c>
      <c r="D1389" s="3"/>
      <c r="E1389" s="3" t="s">
        <v>311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16</v>
      </c>
      <c r="O1389" s="3"/>
      <c r="P1389" s="3"/>
      <c r="Q1389" s="3">
        <v>66.233000000000004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311</v>
      </c>
      <c r="D1390" s="3"/>
      <c r="E1390" s="3" t="s">
        <v>311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230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311</v>
      </c>
      <c r="D1391" s="3"/>
      <c r="E1391" s="3" t="s">
        <v>311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229</v>
      </c>
      <c r="O1391" s="3"/>
      <c r="P1391" s="3"/>
      <c r="Q1391" s="3">
        <v>7.4999999999999997E-2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311</v>
      </c>
      <c r="D1392" s="3"/>
      <c r="E1392" s="3" t="s">
        <v>311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228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311</v>
      </c>
      <c r="D1393" s="3"/>
      <c r="E1393" s="3" t="s">
        <v>311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311</v>
      </c>
      <c r="D1394" s="3"/>
      <c r="E1394" s="3" t="s">
        <v>311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311</v>
      </c>
      <c r="D1395" s="3"/>
      <c r="E1395" s="3" t="s">
        <v>311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0.51300000000000001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311</v>
      </c>
      <c r="D1396" s="3"/>
      <c r="E1396" s="3" t="s">
        <v>311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242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312</v>
      </c>
      <c r="D1397" s="3"/>
      <c r="E1397" s="3" t="s">
        <v>312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107</v>
      </c>
      <c r="O1397" s="3"/>
      <c r="P1397" s="3"/>
      <c r="Q1397" s="3">
        <v>0.94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312</v>
      </c>
      <c r="D1398" s="3"/>
      <c r="E1398" s="3" t="s">
        <v>312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240</v>
      </c>
      <c r="O1398" s="3"/>
      <c r="P1398" s="3"/>
      <c r="Q1398" s="3">
        <v>0.94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312</v>
      </c>
      <c r="D1399" s="3"/>
      <c r="E1399" s="3" t="s">
        <v>312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237</v>
      </c>
      <c r="O1399" s="3"/>
      <c r="P1399" s="3"/>
      <c r="Q1399" s="3">
        <v>0.252</v>
      </c>
      <c r="R1399" s="3" t="s">
        <v>238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312</v>
      </c>
      <c r="D1400" s="3"/>
      <c r="E1400" s="3" t="s">
        <v>312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101</v>
      </c>
      <c r="O1400" s="3"/>
      <c r="P1400" s="3"/>
      <c r="Q1400" s="3">
        <v>11.379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312</v>
      </c>
      <c r="D1401" s="3"/>
      <c r="E1401" s="3" t="s">
        <v>312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16</v>
      </c>
      <c r="O1401" s="3"/>
      <c r="P1401" s="3"/>
      <c r="Q1401" s="3">
        <v>69.981999999999999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312</v>
      </c>
      <c r="D1402" s="3"/>
      <c r="E1402" s="3" t="s">
        <v>312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230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312</v>
      </c>
      <c r="D1403" s="3"/>
      <c r="E1403" s="3" t="s">
        <v>312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229</v>
      </c>
      <c r="O1403" s="3"/>
      <c r="P1403" s="3"/>
      <c r="Q1403" s="3">
        <v>8.5000000000000006E-2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312</v>
      </c>
      <c r="D1404" s="3"/>
      <c r="E1404" s="3" t="s">
        <v>312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228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312</v>
      </c>
      <c r="D1405" s="3"/>
      <c r="E1405" s="3" t="s">
        <v>312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312</v>
      </c>
      <c r="D1406" s="3"/>
      <c r="E1406" s="3" t="s">
        <v>312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312</v>
      </c>
      <c r="D1407" s="3"/>
      <c r="E1407" s="3" t="s">
        <v>312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0.59499999999999997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312</v>
      </c>
      <c r="D1408" s="3"/>
      <c r="E1408" s="3" t="s">
        <v>312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244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313</v>
      </c>
      <c r="D1409" s="3"/>
      <c r="E1409" s="3" t="s">
        <v>313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107</v>
      </c>
      <c r="O1409" s="3"/>
      <c r="P1409" s="3"/>
      <c r="Q1409" s="3">
        <v>1.0920000000000001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313</v>
      </c>
      <c r="D1410" s="3"/>
      <c r="E1410" s="3" t="s">
        <v>313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240</v>
      </c>
      <c r="O1410" s="3"/>
      <c r="P1410" s="3"/>
      <c r="Q1410" s="3">
        <v>1.0920000000000001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313</v>
      </c>
      <c r="D1411" s="3"/>
      <c r="E1411" s="3" t="s">
        <v>313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237</v>
      </c>
      <c r="O1411" s="3"/>
      <c r="P1411" s="3"/>
      <c r="Q1411" s="3">
        <v>0.29499999999999998</v>
      </c>
      <c r="R1411" s="3" t="s">
        <v>238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313</v>
      </c>
      <c r="D1412" s="3"/>
      <c r="E1412" s="3" t="s">
        <v>313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101</v>
      </c>
      <c r="O1412" s="3"/>
      <c r="P1412" s="3"/>
      <c r="Q1412" s="3">
        <v>11.989000000000001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313</v>
      </c>
      <c r="D1413" s="3"/>
      <c r="E1413" s="3" t="s">
        <v>313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16</v>
      </c>
      <c r="O1413" s="3"/>
      <c r="P1413" s="3"/>
      <c r="Q1413" s="3">
        <v>73.730999999999995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313</v>
      </c>
      <c r="D1414" s="3"/>
      <c r="E1414" s="3" t="s">
        <v>313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230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313</v>
      </c>
      <c r="D1415" s="3"/>
      <c r="E1415" s="3" t="s">
        <v>313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229</v>
      </c>
      <c r="O1415" s="3"/>
      <c r="P1415" s="3"/>
      <c r="Q1415" s="3">
        <v>9.6000000000000002E-2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313</v>
      </c>
      <c r="D1416" s="3"/>
      <c r="E1416" s="3" t="s">
        <v>313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228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313</v>
      </c>
      <c r="D1417" s="3"/>
      <c r="E1417" s="3" t="s">
        <v>313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313</v>
      </c>
      <c r="D1418" s="3"/>
      <c r="E1418" s="3" t="s">
        <v>313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313</v>
      </c>
      <c r="D1419" s="3"/>
      <c r="E1419" s="3" t="s">
        <v>313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0.67600000000000005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313</v>
      </c>
      <c r="D1420" s="3"/>
      <c r="E1420" s="3" t="s">
        <v>313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246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314</v>
      </c>
      <c r="D1421" s="3"/>
      <c r="E1421" s="3" t="s">
        <v>314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107</v>
      </c>
      <c r="O1421" s="3"/>
      <c r="P1421" s="3"/>
      <c r="Q1421" s="3">
        <v>1.2450000000000001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314</v>
      </c>
      <c r="D1422" s="3"/>
      <c r="E1422" s="3" t="s">
        <v>314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240</v>
      </c>
      <c r="O1422" s="3"/>
      <c r="P1422" s="3"/>
      <c r="Q1422" s="3">
        <v>1.2450000000000001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314</v>
      </c>
      <c r="D1423" s="3"/>
      <c r="E1423" s="3" t="s">
        <v>314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237</v>
      </c>
      <c r="O1423" s="3"/>
      <c r="P1423" s="3"/>
      <c r="Q1423" s="3">
        <v>0.33800000000000002</v>
      </c>
      <c r="R1423" s="3" t="s">
        <v>238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314</v>
      </c>
      <c r="D1424" s="3"/>
      <c r="E1424" s="3" t="s">
        <v>314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101</v>
      </c>
      <c r="O1424" s="3"/>
      <c r="P1424" s="3"/>
      <c r="Q1424" s="3">
        <v>12.598000000000001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314</v>
      </c>
      <c r="D1425" s="3"/>
      <c r="E1425" s="3" t="s">
        <v>314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16</v>
      </c>
      <c r="O1425" s="3"/>
      <c r="P1425" s="3"/>
      <c r="Q1425" s="3">
        <v>77.48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314</v>
      </c>
      <c r="D1426" s="3"/>
      <c r="E1426" s="3" t="s">
        <v>314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230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314</v>
      </c>
      <c r="D1427" s="3"/>
      <c r="E1427" s="3" t="s">
        <v>314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229</v>
      </c>
      <c r="O1427" s="3"/>
      <c r="P1427" s="3"/>
      <c r="Q1427" s="3">
        <v>0.107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314</v>
      </c>
      <c r="D1428" s="3"/>
      <c r="E1428" s="3" t="s">
        <v>314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228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314</v>
      </c>
      <c r="D1429" s="3"/>
      <c r="E1429" s="3" t="s">
        <v>314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314</v>
      </c>
      <c r="D1430" s="3"/>
      <c r="E1430" s="3" t="s">
        <v>314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314</v>
      </c>
      <c r="D1431" s="3"/>
      <c r="E1431" s="3" t="s">
        <v>314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0.75700000000000001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314</v>
      </c>
      <c r="D1432" s="3"/>
      <c r="E1432" s="3" t="s">
        <v>314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248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315</v>
      </c>
      <c r="D1433" s="3"/>
      <c r="E1433" s="3" t="s">
        <v>315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107</v>
      </c>
      <c r="O1433" s="3"/>
      <c r="P1433" s="3"/>
      <c r="Q1433" s="3">
        <v>1.5489999999999999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315</v>
      </c>
      <c r="D1434" s="3"/>
      <c r="E1434" s="3" t="s">
        <v>315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240</v>
      </c>
      <c r="O1434" s="3"/>
      <c r="P1434" s="3"/>
      <c r="Q1434" s="3">
        <v>1.5489999999999999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315</v>
      </c>
      <c r="D1435" s="3"/>
      <c r="E1435" s="3" t="s">
        <v>315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237</v>
      </c>
      <c r="O1435" s="3"/>
      <c r="P1435" s="3"/>
      <c r="Q1435" s="3">
        <v>0.42399999999999999</v>
      </c>
      <c r="R1435" s="3" t="s">
        <v>238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315</v>
      </c>
      <c r="D1436" s="3"/>
      <c r="E1436" s="3" t="s">
        <v>315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101</v>
      </c>
      <c r="O1436" s="3"/>
      <c r="P1436" s="3"/>
      <c r="Q1436" s="3">
        <v>13.818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315</v>
      </c>
      <c r="D1437" s="3"/>
      <c r="E1437" s="3" t="s">
        <v>315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16</v>
      </c>
      <c r="O1437" s="3"/>
      <c r="P1437" s="3"/>
      <c r="Q1437" s="3">
        <v>84.977999999999994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315</v>
      </c>
      <c r="D1438" s="3"/>
      <c r="E1438" s="3" t="s">
        <v>315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230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315</v>
      </c>
      <c r="D1439" s="3"/>
      <c r="E1439" s="3" t="s">
        <v>315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229</v>
      </c>
      <c r="O1439" s="3"/>
      <c r="P1439" s="3"/>
      <c r="Q1439" s="3">
        <v>0.128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315</v>
      </c>
      <c r="D1440" s="3"/>
      <c r="E1440" s="3" t="s">
        <v>315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228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315</v>
      </c>
      <c r="D1441" s="3"/>
      <c r="E1441" s="3" t="s">
        <v>315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315</v>
      </c>
      <c r="D1442" s="3"/>
      <c r="E1442" s="3" t="s">
        <v>315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315</v>
      </c>
      <c r="D1443" s="3"/>
      <c r="E1443" s="3" t="s">
        <v>315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0.91900000000000004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315</v>
      </c>
      <c r="D1444" s="3"/>
      <c r="E1444" s="3" t="s">
        <v>315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250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316</v>
      </c>
      <c r="D1445" s="3"/>
      <c r="E1445" s="3" t="s">
        <v>316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107</v>
      </c>
      <c r="O1445" s="3"/>
      <c r="P1445" s="3"/>
      <c r="Q1445" s="3">
        <v>1.702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316</v>
      </c>
      <c r="D1446" s="3"/>
      <c r="E1446" s="3" t="s">
        <v>316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240</v>
      </c>
      <c r="O1446" s="3"/>
      <c r="P1446" s="3"/>
      <c r="Q1446" s="3">
        <v>1.702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316</v>
      </c>
      <c r="D1447" s="3"/>
      <c r="E1447" s="3" t="s">
        <v>316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237</v>
      </c>
      <c r="O1447" s="3"/>
      <c r="P1447" s="3"/>
      <c r="Q1447" s="3">
        <v>0.46700000000000003</v>
      </c>
      <c r="R1447" s="3" t="s">
        <v>238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316</v>
      </c>
      <c r="D1448" s="3"/>
      <c r="E1448" s="3" t="s">
        <v>316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101</v>
      </c>
      <c r="O1448" s="3"/>
      <c r="P1448" s="3"/>
      <c r="Q1448" s="3">
        <v>14.427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316</v>
      </c>
      <c r="D1449" s="3"/>
      <c r="E1449" s="3" t="s">
        <v>316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16</v>
      </c>
      <c r="O1449" s="3"/>
      <c r="P1449" s="3"/>
      <c r="Q1449" s="3">
        <v>88.727000000000004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316</v>
      </c>
      <c r="D1450" s="3"/>
      <c r="E1450" s="3" t="s">
        <v>316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230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316</v>
      </c>
      <c r="D1451" s="3"/>
      <c r="E1451" s="3" t="s">
        <v>316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229</v>
      </c>
      <c r="O1451" s="3"/>
      <c r="P1451" s="3"/>
      <c r="Q1451" s="3">
        <v>0.13900000000000001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316</v>
      </c>
      <c r="D1452" s="3"/>
      <c r="E1452" s="3" t="s">
        <v>316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228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316</v>
      </c>
      <c r="D1453" s="3"/>
      <c r="E1453" s="3" t="s">
        <v>316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316</v>
      </c>
      <c r="D1454" s="3"/>
      <c r="E1454" s="3" t="s">
        <v>316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316</v>
      </c>
      <c r="D1455" s="3"/>
      <c r="E1455" s="3" t="s">
        <v>316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1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316</v>
      </c>
      <c r="D1456" s="3"/>
      <c r="E1456" s="3" t="s">
        <v>316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252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317</v>
      </c>
      <c r="D1457" s="3"/>
      <c r="E1457" s="3" t="s">
        <v>317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107</v>
      </c>
      <c r="O1457" s="3"/>
      <c r="P1457" s="3"/>
      <c r="Q1457" s="3">
        <v>1.8540000000000001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317</v>
      </c>
      <c r="D1458" s="3"/>
      <c r="E1458" s="3" t="s">
        <v>317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240</v>
      </c>
      <c r="O1458" s="3"/>
      <c r="P1458" s="3"/>
      <c r="Q1458" s="3">
        <v>1.8540000000000001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317</v>
      </c>
      <c r="D1459" s="3"/>
      <c r="E1459" s="3" t="s">
        <v>317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237</v>
      </c>
      <c r="O1459" s="3"/>
      <c r="P1459" s="3"/>
      <c r="Q1459" s="3">
        <v>0.51</v>
      </c>
      <c r="R1459" s="3" t="s">
        <v>238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317</v>
      </c>
      <c r="D1460" s="3"/>
      <c r="E1460" s="3" t="s">
        <v>317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101</v>
      </c>
      <c r="O1460" s="3"/>
      <c r="P1460" s="3"/>
      <c r="Q1460" s="3">
        <v>15.037000000000001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317</v>
      </c>
      <c r="D1461" s="3"/>
      <c r="E1461" s="3" t="s">
        <v>317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16</v>
      </c>
      <c r="O1461" s="3"/>
      <c r="P1461" s="3"/>
      <c r="Q1461" s="3">
        <v>92.475999999999999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317</v>
      </c>
      <c r="D1462" s="3"/>
      <c r="E1462" s="3" t="s">
        <v>317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230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317</v>
      </c>
      <c r="D1463" s="3"/>
      <c r="E1463" s="3" t="s">
        <v>317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229</v>
      </c>
      <c r="O1463" s="3"/>
      <c r="P1463" s="3"/>
      <c r="Q1463" s="3">
        <v>0.14899999999999999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317</v>
      </c>
      <c r="D1464" s="3"/>
      <c r="E1464" s="3" t="s">
        <v>317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228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317</v>
      </c>
      <c r="D1465" s="3"/>
      <c r="E1465" s="3" t="s">
        <v>317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317</v>
      </c>
      <c r="D1466" s="3"/>
      <c r="E1466" s="3" t="s">
        <v>317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317</v>
      </c>
      <c r="D1467" s="3"/>
      <c r="E1467" s="3" t="s">
        <v>317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1.081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317</v>
      </c>
      <c r="D1468" s="3"/>
      <c r="E1468" s="3" t="s">
        <v>317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254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318</v>
      </c>
      <c r="D1469" s="3"/>
      <c r="E1469" s="3" t="s">
        <v>318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107</v>
      </c>
      <c r="O1469" s="3"/>
      <c r="P1469" s="3"/>
      <c r="Q1469" s="3">
        <v>0.78700000000000003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318</v>
      </c>
      <c r="D1470" s="3"/>
      <c r="E1470" s="3" t="s">
        <v>318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240</v>
      </c>
      <c r="O1470" s="3"/>
      <c r="P1470" s="3"/>
      <c r="Q1470" s="3">
        <v>0.78700000000000003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318</v>
      </c>
      <c r="D1471" s="3"/>
      <c r="E1471" s="3" t="s">
        <v>318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237</v>
      </c>
      <c r="O1471" s="3"/>
      <c r="P1471" s="3"/>
      <c r="Q1471" s="3">
        <v>0.217</v>
      </c>
      <c r="R1471" s="3" t="s">
        <v>238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318</v>
      </c>
      <c r="D1472" s="3"/>
      <c r="E1472" s="3" t="s">
        <v>318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101</v>
      </c>
      <c r="O1472" s="3"/>
      <c r="P1472" s="3"/>
      <c r="Q1472" s="3">
        <v>11.074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318</v>
      </c>
      <c r="D1473" s="3"/>
      <c r="E1473" s="3" t="s">
        <v>318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16</v>
      </c>
      <c r="O1473" s="3"/>
      <c r="P1473" s="3"/>
      <c r="Q1473" s="3">
        <v>68.108000000000004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318</v>
      </c>
      <c r="D1474" s="3"/>
      <c r="E1474" s="3" t="s">
        <v>318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230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318</v>
      </c>
      <c r="D1475" s="3"/>
      <c r="E1475" s="3" t="s">
        <v>318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229</v>
      </c>
      <c r="O1475" s="3"/>
      <c r="P1475" s="3"/>
      <c r="Q1475" s="3">
        <v>7.4999999999999997E-2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318</v>
      </c>
      <c r="D1476" s="3"/>
      <c r="E1476" s="3" t="s">
        <v>318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228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318</v>
      </c>
      <c r="D1477" s="3"/>
      <c r="E1477" s="3" t="s">
        <v>318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318</v>
      </c>
      <c r="D1478" s="3"/>
      <c r="E1478" s="3" t="s">
        <v>318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318</v>
      </c>
      <c r="D1479" s="3"/>
      <c r="E1479" s="3" t="s">
        <v>318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0.51300000000000001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318</v>
      </c>
      <c r="D1480" s="3"/>
      <c r="E1480" s="3" t="s">
        <v>318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256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319</v>
      </c>
      <c r="D1481" s="3"/>
      <c r="E1481" s="3" t="s">
        <v>319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107</v>
      </c>
      <c r="O1481" s="3"/>
      <c r="P1481" s="3"/>
      <c r="Q1481" s="3">
        <v>0.94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319</v>
      </c>
      <c r="D1482" s="3"/>
      <c r="E1482" s="3" t="s">
        <v>319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240</v>
      </c>
      <c r="O1482" s="3"/>
      <c r="P1482" s="3"/>
      <c r="Q1482" s="3">
        <v>0.94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319</v>
      </c>
      <c r="D1483" s="3"/>
      <c r="E1483" s="3" t="s">
        <v>319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237</v>
      </c>
      <c r="O1483" s="3"/>
      <c r="P1483" s="3"/>
      <c r="Q1483" s="3">
        <v>0.26200000000000001</v>
      </c>
      <c r="R1483" s="3" t="s">
        <v>238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319</v>
      </c>
      <c r="D1484" s="3"/>
      <c r="E1484" s="3" t="s">
        <v>319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101</v>
      </c>
      <c r="O1484" s="3"/>
      <c r="P1484" s="3"/>
      <c r="Q1484" s="3">
        <v>11.683999999999999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319</v>
      </c>
      <c r="D1485" s="3"/>
      <c r="E1485" s="3" t="s">
        <v>319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16</v>
      </c>
      <c r="O1485" s="3"/>
      <c r="P1485" s="3"/>
      <c r="Q1485" s="3">
        <v>71.856999999999999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319</v>
      </c>
      <c r="D1486" s="3"/>
      <c r="E1486" s="3" t="s">
        <v>319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230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319</v>
      </c>
      <c r="D1487" s="3"/>
      <c r="E1487" s="3" t="s">
        <v>319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229</v>
      </c>
      <c r="O1487" s="3"/>
      <c r="P1487" s="3"/>
      <c r="Q1487" s="3">
        <v>8.5000000000000006E-2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319</v>
      </c>
      <c r="D1488" s="3"/>
      <c r="E1488" s="3" t="s">
        <v>319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228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319</v>
      </c>
      <c r="D1489" s="3"/>
      <c r="E1489" s="3" t="s">
        <v>319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319</v>
      </c>
      <c r="D1490" s="3"/>
      <c r="E1490" s="3" t="s">
        <v>319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319</v>
      </c>
      <c r="D1491" s="3"/>
      <c r="E1491" s="3" t="s">
        <v>319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0.59499999999999997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319</v>
      </c>
      <c r="D1492" s="3"/>
      <c r="E1492" s="3" t="s">
        <v>319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258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320</v>
      </c>
      <c r="D1493" s="3"/>
      <c r="E1493" s="3" t="s">
        <v>320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107</v>
      </c>
      <c r="O1493" s="3"/>
      <c r="P1493" s="3"/>
      <c r="Q1493" s="3">
        <v>1.0920000000000001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320</v>
      </c>
      <c r="D1494" s="3"/>
      <c r="E1494" s="3" t="s">
        <v>320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240</v>
      </c>
      <c r="O1494" s="3"/>
      <c r="P1494" s="3"/>
      <c r="Q1494" s="3">
        <v>1.0920000000000001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320</v>
      </c>
      <c r="D1495" s="3"/>
      <c r="E1495" s="3" t="s">
        <v>320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237</v>
      </c>
      <c r="O1495" s="3"/>
      <c r="P1495" s="3"/>
      <c r="Q1495" s="3">
        <v>0.307</v>
      </c>
      <c r="R1495" s="3" t="s">
        <v>238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320</v>
      </c>
      <c r="D1496" s="3"/>
      <c r="E1496" s="3" t="s">
        <v>320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101</v>
      </c>
      <c r="O1496" s="3"/>
      <c r="P1496" s="3"/>
      <c r="Q1496" s="3">
        <v>12.294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320</v>
      </c>
      <c r="D1497" s="3"/>
      <c r="E1497" s="3" t="s">
        <v>320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16</v>
      </c>
      <c r="O1497" s="3"/>
      <c r="P1497" s="3"/>
      <c r="Q1497" s="3">
        <v>75.605999999999995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320</v>
      </c>
      <c r="D1498" s="3"/>
      <c r="E1498" s="3" t="s">
        <v>320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230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320</v>
      </c>
      <c r="D1499" s="3"/>
      <c r="E1499" s="3" t="s">
        <v>320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229</v>
      </c>
      <c r="O1499" s="3"/>
      <c r="P1499" s="3"/>
      <c r="Q1499" s="3">
        <v>9.6000000000000002E-2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320</v>
      </c>
      <c r="D1500" s="3"/>
      <c r="E1500" s="3" t="s">
        <v>320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228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320</v>
      </c>
      <c r="D1501" s="3"/>
      <c r="E1501" s="3" t="s">
        <v>320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320</v>
      </c>
      <c r="D1502" s="3"/>
      <c r="E1502" s="3" t="s">
        <v>320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320</v>
      </c>
      <c r="D1503" s="3"/>
      <c r="E1503" s="3" t="s">
        <v>320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0.67600000000000005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320</v>
      </c>
      <c r="D1504" s="3"/>
      <c r="E1504" s="3" t="s">
        <v>320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260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321</v>
      </c>
      <c r="D1505" s="3"/>
      <c r="E1505" s="3" t="s">
        <v>321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107</v>
      </c>
      <c r="O1505" s="3"/>
      <c r="P1505" s="3"/>
      <c r="Q1505" s="3">
        <v>1.2450000000000001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321</v>
      </c>
      <c r="D1506" s="3"/>
      <c r="E1506" s="3" t="s">
        <v>321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240</v>
      </c>
      <c r="O1506" s="3"/>
      <c r="P1506" s="3"/>
      <c r="Q1506" s="3">
        <v>1.2450000000000001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321</v>
      </c>
      <c r="D1507" s="3"/>
      <c r="E1507" s="3" t="s">
        <v>321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237</v>
      </c>
      <c r="O1507" s="3"/>
      <c r="P1507" s="3"/>
      <c r="Q1507" s="3">
        <v>0.35199999999999998</v>
      </c>
      <c r="R1507" s="3" t="s">
        <v>238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321</v>
      </c>
      <c r="D1508" s="3"/>
      <c r="E1508" s="3" t="s">
        <v>321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101</v>
      </c>
      <c r="O1508" s="3"/>
      <c r="P1508" s="3"/>
      <c r="Q1508" s="3">
        <v>12.903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321</v>
      </c>
      <c r="D1509" s="3"/>
      <c r="E1509" s="3" t="s">
        <v>321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16</v>
      </c>
      <c r="O1509" s="3"/>
      <c r="P1509" s="3"/>
      <c r="Q1509" s="3">
        <v>79.355000000000004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321</v>
      </c>
      <c r="D1510" s="3"/>
      <c r="E1510" s="3" t="s">
        <v>321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230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321</v>
      </c>
      <c r="D1511" s="3"/>
      <c r="E1511" s="3" t="s">
        <v>321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229</v>
      </c>
      <c r="O1511" s="3"/>
      <c r="P1511" s="3"/>
      <c r="Q1511" s="3">
        <v>0.107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321</v>
      </c>
      <c r="D1512" s="3"/>
      <c r="E1512" s="3" t="s">
        <v>321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228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321</v>
      </c>
      <c r="D1513" s="3"/>
      <c r="E1513" s="3" t="s">
        <v>321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321</v>
      </c>
      <c r="D1514" s="3"/>
      <c r="E1514" s="3" t="s">
        <v>321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321</v>
      </c>
      <c r="D1515" s="3"/>
      <c r="E1515" s="3" t="s">
        <v>321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0.75700000000000001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321</v>
      </c>
      <c r="D1516" s="3"/>
      <c r="E1516" s="3" t="s">
        <v>321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262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322</v>
      </c>
      <c r="D1517" s="3"/>
      <c r="E1517" s="3" t="s">
        <v>322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107</v>
      </c>
      <c r="O1517" s="3"/>
      <c r="P1517" s="3"/>
      <c r="Q1517" s="3">
        <v>1.5489999999999999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322</v>
      </c>
      <c r="D1518" s="3"/>
      <c r="E1518" s="3" t="s">
        <v>322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240</v>
      </c>
      <c r="O1518" s="3"/>
      <c r="P1518" s="3"/>
      <c r="Q1518" s="3">
        <v>1.5489999999999999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322</v>
      </c>
      <c r="D1519" s="3"/>
      <c r="E1519" s="3" t="s">
        <v>322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237</v>
      </c>
      <c r="O1519" s="3"/>
      <c r="P1519" s="3"/>
      <c r="Q1519" s="3">
        <v>0.442</v>
      </c>
      <c r="R1519" s="3" t="s">
        <v>238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322</v>
      </c>
      <c r="D1520" s="3"/>
      <c r="E1520" s="3" t="s">
        <v>322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101</v>
      </c>
      <c r="O1520" s="3"/>
      <c r="P1520" s="3"/>
      <c r="Q1520" s="3">
        <v>14.122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322</v>
      </c>
      <c r="D1521" s="3"/>
      <c r="E1521" s="3" t="s">
        <v>322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16</v>
      </c>
      <c r="O1521" s="3"/>
      <c r="P1521" s="3"/>
      <c r="Q1521" s="3">
        <v>86.852999999999994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322</v>
      </c>
      <c r="D1522" s="3"/>
      <c r="E1522" s="3" t="s">
        <v>322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230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322</v>
      </c>
      <c r="D1523" s="3"/>
      <c r="E1523" s="3" t="s">
        <v>322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229</v>
      </c>
      <c r="O1523" s="3"/>
      <c r="P1523" s="3"/>
      <c r="Q1523" s="3">
        <v>0.128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322</v>
      </c>
      <c r="D1524" s="3"/>
      <c r="E1524" s="3" t="s">
        <v>322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228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322</v>
      </c>
      <c r="D1525" s="3"/>
      <c r="E1525" s="3" t="s">
        <v>322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322</v>
      </c>
      <c r="D1526" s="3"/>
      <c r="E1526" s="3" t="s">
        <v>322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322</v>
      </c>
      <c r="D1527" s="3"/>
      <c r="E1527" s="3" t="s">
        <v>322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0.91900000000000004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322</v>
      </c>
      <c r="D1528" s="3"/>
      <c r="E1528" s="3" t="s">
        <v>322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264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323</v>
      </c>
      <c r="D1529" s="3"/>
      <c r="E1529" s="3" t="s">
        <v>323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107</v>
      </c>
      <c r="O1529" s="3"/>
      <c r="P1529" s="3"/>
      <c r="Q1529" s="3">
        <v>1.702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323</v>
      </c>
      <c r="D1530" s="3"/>
      <c r="E1530" s="3" t="s">
        <v>323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240</v>
      </c>
      <c r="O1530" s="3"/>
      <c r="P1530" s="3"/>
      <c r="Q1530" s="3">
        <v>1.702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323</v>
      </c>
      <c r="D1531" s="3"/>
      <c r="E1531" s="3" t="s">
        <v>323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237</v>
      </c>
      <c r="O1531" s="3"/>
      <c r="P1531" s="3"/>
      <c r="Q1531" s="3">
        <v>0.48699999999999999</v>
      </c>
      <c r="R1531" s="3" t="s">
        <v>238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323</v>
      </c>
      <c r="D1532" s="3"/>
      <c r="E1532" s="3" t="s">
        <v>323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101</v>
      </c>
      <c r="O1532" s="3"/>
      <c r="P1532" s="3"/>
      <c r="Q1532" s="3">
        <v>14.731999999999999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323</v>
      </c>
      <c r="D1533" s="3"/>
      <c r="E1533" s="3" t="s">
        <v>323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16</v>
      </c>
      <c r="O1533" s="3"/>
      <c r="P1533" s="3"/>
      <c r="Q1533" s="3">
        <v>90.602000000000004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323</v>
      </c>
      <c r="D1534" s="3"/>
      <c r="E1534" s="3" t="s">
        <v>323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230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323</v>
      </c>
      <c r="D1535" s="3"/>
      <c r="E1535" s="3" t="s">
        <v>323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229</v>
      </c>
      <c r="O1535" s="3"/>
      <c r="P1535" s="3"/>
      <c r="Q1535" s="3">
        <v>0.13900000000000001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323</v>
      </c>
      <c r="D1536" s="3"/>
      <c r="E1536" s="3" t="s">
        <v>323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228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323</v>
      </c>
      <c r="D1537" s="3"/>
      <c r="E1537" s="3" t="s">
        <v>323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323</v>
      </c>
      <c r="D1538" s="3"/>
      <c r="E1538" s="3" t="s">
        <v>323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323</v>
      </c>
      <c r="D1539" s="3"/>
      <c r="E1539" s="3" t="s">
        <v>323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1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323</v>
      </c>
      <c r="D1540" s="3"/>
      <c r="E1540" s="3" t="s">
        <v>323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266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324</v>
      </c>
      <c r="D1541" s="3"/>
      <c r="E1541" s="3" t="s">
        <v>324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107</v>
      </c>
      <c r="O1541" s="3"/>
      <c r="P1541" s="3"/>
      <c r="Q1541" s="3">
        <v>1.8540000000000001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324</v>
      </c>
      <c r="D1542" s="3"/>
      <c r="E1542" s="3" t="s">
        <v>324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240</v>
      </c>
      <c r="O1542" s="3"/>
      <c r="P1542" s="3"/>
      <c r="Q1542" s="3">
        <v>1.8540000000000001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324</v>
      </c>
      <c r="D1543" s="3"/>
      <c r="E1543" s="3" t="s">
        <v>324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237</v>
      </c>
      <c r="O1543" s="3"/>
      <c r="P1543" s="3"/>
      <c r="Q1543" s="3">
        <v>0.53200000000000003</v>
      </c>
      <c r="R1543" s="3" t="s">
        <v>238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324</v>
      </c>
      <c r="D1544" s="3"/>
      <c r="E1544" s="3" t="s">
        <v>324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101</v>
      </c>
      <c r="O1544" s="3"/>
      <c r="P1544" s="3"/>
      <c r="Q1544" s="3">
        <v>15.342000000000001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324</v>
      </c>
      <c r="D1545" s="3"/>
      <c r="E1545" s="3" t="s">
        <v>324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16</v>
      </c>
      <c r="O1545" s="3"/>
      <c r="P1545" s="3"/>
      <c r="Q1545" s="3">
        <v>94.350999999999999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324</v>
      </c>
      <c r="D1546" s="3"/>
      <c r="E1546" s="3" t="s">
        <v>324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230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324</v>
      </c>
      <c r="D1547" s="3"/>
      <c r="E1547" s="3" t="s">
        <v>324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229</v>
      </c>
      <c r="O1547" s="3"/>
      <c r="P1547" s="3"/>
      <c r="Q1547" s="3">
        <v>0.14899999999999999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324</v>
      </c>
      <c r="D1548" s="3"/>
      <c r="E1548" s="3" t="s">
        <v>324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228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324</v>
      </c>
      <c r="D1549" s="3"/>
      <c r="E1549" s="3" t="s">
        <v>324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324</v>
      </c>
      <c r="D1550" s="3"/>
      <c r="E1550" s="3" t="s">
        <v>324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324</v>
      </c>
      <c r="D1551" s="3"/>
      <c r="E1551" s="3" t="s">
        <v>324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1.081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324</v>
      </c>
      <c r="D1552" s="3"/>
      <c r="E1552" s="3" t="s">
        <v>324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268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325</v>
      </c>
      <c r="D1553" s="3"/>
      <c r="E1553" s="3" t="s">
        <v>325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107</v>
      </c>
      <c r="O1553" s="3"/>
      <c r="P1553" s="3"/>
      <c r="Q1553" s="3">
        <v>0.78700000000000003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325</v>
      </c>
      <c r="D1554" s="3"/>
      <c r="E1554" s="3" t="s">
        <v>325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240</v>
      </c>
      <c r="O1554" s="3"/>
      <c r="P1554" s="3"/>
      <c r="Q1554" s="3">
        <v>0.78700000000000003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325</v>
      </c>
      <c r="D1555" s="3"/>
      <c r="E1555" s="3" t="s">
        <v>325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237</v>
      </c>
      <c r="O1555" s="3"/>
      <c r="P1555" s="3"/>
      <c r="Q1555" s="3">
        <v>0.22600000000000001</v>
      </c>
      <c r="R1555" s="3" t="s">
        <v>238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325</v>
      </c>
      <c r="D1556" s="3"/>
      <c r="E1556" s="3" t="s">
        <v>325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101</v>
      </c>
      <c r="O1556" s="3"/>
      <c r="P1556" s="3"/>
      <c r="Q1556" s="3">
        <v>11.379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325</v>
      </c>
      <c r="D1557" s="3"/>
      <c r="E1557" s="3" t="s">
        <v>325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16</v>
      </c>
      <c r="O1557" s="3"/>
      <c r="P1557" s="3"/>
      <c r="Q1557" s="3">
        <v>69.981999999999999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325</v>
      </c>
      <c r="D1558" s="3"/>
      <c r="E1558" s="3" t="s">
        <v>325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230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325</v>
      </c>
      <c r="D1559" s="3"/>
      <c r="E1559" s="3" t="s">
        <v>325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229</v>
      </c>
      <c r="O1559" s="3"/>
      <c r="P1559" s="3"/>
      <c r="Q1559" s="3">
        <v>7.4999999999999997E-2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325</v>
      </c>
      <c r="D1560" s="3"/>
      <c r="E1560" s="3" t="s">
        <v>325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228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325</v>
      </c>
      <c r="D1561" s="3"/>
      <c r="E1561" s="3" t="s">
        <v>325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325</v>
      </c>
      <c r="D1562" s="3"/>
      <c r="E1562" s="3" t="s">
        <v>325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325</v>
      </c>
      <c r="D1563" s="3"/>
      <c r="E1563" s="3" t="s">
        <v>325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0.51300000000000001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325</v>
      </c>
      <c r="D1564" s="3"/>
      <c r="E1564" s="3" t="s">
        <v>325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270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326</v>
      </c>
      <c r="D1565" s="3"/>
      <c r="E1565" s="3" t="s">
        <v>326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107</v>
      </c>
      <c r="O1565" s="3"/>
      <c r="P1565" s="3"/>
      <c r="Q1565" s="3">
        <v>0.94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326</v>
      </c>
      <c r="D1566" s="3"/>
      <c r="E1566" s="3" t="s">
        <v>326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240</v>
      </c>
      <c r="O1566" s="3"/>
      <c r="P1566" s="3"/>
      <c r="Q1566" s="3">
        <v>0.94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326</v>
      </c>
      <c r="D1567" s="3"/>
      <c r="E1567" s="3" t="s">
        <v>326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237</v>
      </c>
      <c r="O1567" s="3"/>
      <c r="P1567" s="3"/>
      <c r="Q1567" s="3">
        <v>0.27300000000000002</v>
      </c>
      <c r="R1567" s="3" t="s">
        <v>238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326</v>
      </c>
      <c r="D1568" s="3"/>
      <c r="E1568" s="3" t="s">
        <v>326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101</v>
      </c>
      <c r="O1568" s="3"/>
      <c r="P1568" s="3"/>
      <c r="Q1568" s="3">
        <v>11.989000000000001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326</v>
      </c>
      <c r="D1569" s="3"/>
      <c r="E1569" s="3" t="s">
        <v>326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16</v>
      </c>
      <c r="O1569" s="3"/>
      <c r="P1569" s="3"/>
      <c r="Q1569" s="3">
        <v>73.730999999999995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326</v>
      </c>
      <c r="D1570" s="3"/>
      <c r="E1570" s="3" t="s">
        <v>326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230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326</v>
      </c>
      <c r="D1571" s="3"/>
      <c r="E1571" s="3" t="s">
        <v>326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229</v>
      </c>
      <c r="O1571" s="3"/>
      <c r="P1571" s="3"/>
      <c r="Q1571" s="3">
        <v>8.5000000000000006E-2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326</v>
      </c>
      <c r="D1572" s="3"/>
      <c r="E1572" s="3" t="s">
        <v>326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228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326</v>
      </c>
      <c r="D1573" s="3"/>
      <c r="E1573" s="3" t="s">
        <v>326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326</v>
      </c>
      <c r="D1574" s="3"/>
      <c r="E1574" s="3" t="s">
        <v>326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326</v>
      </c>
      <c r="D1575" s="3"/>
      <c r="E1575" s="3" t="s">
        <v>326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0.59499999999999997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326</v>
      </c>
      <c r="D1576" s="3"/>
      <c r="E1576" s="3" t="s">
        <v>326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272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327</v>
      </c>
      <c r="D1577" s="3"/>
      <c r="E1577" s="3" t="s">
        <v>327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107</v>
      </c>
      <c r="O1577" s="3"/>
      <c r="P1577" s="3"/>
      <c r="Q1577" s="3">
        <v>1.0920000000000001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327</v>
      </c>
      <c r="D1578" s="3"/>
      <c r="E1578" s="3" t="s">
        <v>327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240</v>
      </c>
      <c r="O1578" s="3"/>
      <c r="P1578" s="3"/>
      <c r="Q1578" s="3">
        <v>1.0920000000000001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327</v>
      </c>
      <c r="D1579" s="3"/>
      <c r="E1579" s="3" t="s">
        <v>327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237</v>
      </c>
      <c r="O1579" s="3"/>
      <c r="P1579" s="3"/>
      <c r="Q1579" s="3">
        <v>0.32</v>
      </c>
      <c r="R1579" s="3" t="s">
        <v>238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327</v>
      </c>
      <c r="D1580" s="3"/>
      <c r="E1580" s="3" t="s">
        <v>327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101</v>
      </c>
      <c r="O1580" s="3"/>
      <c r="P1580" s="3"/>
      <c r="Q1580" s="3">
        <v>12.598000000000001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327</v>
      </c>
      <c r="D1581" s="3"/>
      <c r="E1581" s="3" t="s">
        <v>327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16</v>
      </c>
      <c r="O1581" s="3"/>
      <c r="P1581" s="3"/>
      <c r="Q1581" s="3">
        <v>77.48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327</v>
      </c>
      <c r="D1582" s="3"/>
      <c r="E1582" s="3" t="s">
        <v>327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230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327</v>
      </c>
      <c r="D1583" s="3"/>
      <c r="E1583" s="3" t="s">
        <v>327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229</v>
      </c>
      <c r="O1583" s="3"/>
      <c r="P1583" s="3"/>
      <c r="Q1583" s="3">
        <v>9.6000000000000002E-2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327</v>
      </c>
      <c r="D1584" s="3"/>
      <c r="E1584" s="3" t="s">
        <v>327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228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327</v>
      </c>
      <c r="D1585" s="3"/>
      <c r="E1585" s="3" t="s">
        <v>327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327</v>
      </c>
      <c r="D1586" s="3"/>
      <c r="E1586" s="3" t="s">
        <v>327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327</v>
      </c>
      <c r="D1587" s="3"/>
      <c r="E1587" s="3" t="s">
        <v>327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0.67600000000000005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327</v>
      </c>
      <c r="D1588" s="3"/>
      <c r="E1588" s="3" t="s">
        <v>327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274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328</v>
      </c>
      <c r="D1589" s="3"/>
      <c r="E1589" s="3" t="s">
        <v>328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107</v>
      </c>
      <c r="O1589" s="3"/>
      <c r="P1589" s="3"/>
      <c r="Q1589" s="3">
        <v>1.2450000000000001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328</v>
      </c>
      <c r="D1590" s="3"/>
      <c r="E1590" s="3" t="s">
        <v>328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240</v>
      </c>
      <c r="O1590" s="3"/>
      <c r="P1590" s="3"/>
      <c r="Q1590" s="3">
        <v>1.2450000000000001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328</v>
      </c>
      <c r="D1591" s="3"/>
      <c r="E1591" s="3" t="s">
        <v>328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237</v>
      </c>
      <c r="O1591" s="3"/>
      <c r="P1591" s="3"/>
      <c r="Q1591" s="3">
        <v>0.36599999999999999</v>
      </c>
      <c r="R1591" s="3" t="s">
        <v>238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328</v>
      </c>
      <c r="D1592" s="3"/>
      <c r="E1592" s="3" t="s">
        <v>328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101</v>
      </c>
      <c r="O1592" s="3"/>
      <c r="P1592" s="3"/>
      <c r="Q1592" s="3">
        <v>13.208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328</v>
      </c>
      <c r="D1593" s="3"/>
      <c r="E1593" s="3" t="s">
        <v>328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16</v>
      </c>
      <c r="O1593" s="3"/>
      <c r="P1593" s="3"/>
      <c r="Q1593" s="3">
        <v>81.228999999999999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328</v>
      </c>
      <c r="D1594" s="3"/>
      <c r="E1594" s="3" t="s">
        <v>328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230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328</v>
      </c>
      <c r="D1595" s="3"/>
      <c r="E1595" s="3" t="s">
        <v>328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229</v>
      </c>
      <c r="O1595" s="3"/>
      <c r="P1595" s="3"/>
      <c r="Q1595" s="3">
        <v>0.107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328</v>
      </c>
      <c r="D1596" s="3"/>
      <c r="E1596" s="3" t="s">
        <v>328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228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328</v>
      </c>
      <c r="D1597" s="3"/>
      <c r="E1597" s="3" t="s">
        <v>328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328</v>
      </c>
      <c r="D1598" s="3"/>
      <c r="E1598" s="3" t="s">
        <v>328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328</v>
      </c>
      <c r="D1599" s="3"/>
      <c r="E1599" s="3" t="s">
        <v>328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0.75700000000000001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328</v>
      </c>
      <c r="D1600" s="3"/>
      <c r="E1600" s="3" t="s">
        <v>328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276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329</v>
      </c>
      <c r="D1601" s="3"/>
      <c r="E1601" s="3" t="s">
        <v>329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107</v>
      </c>
      <c r="O1601" s="3"/>
      <c r="P1601" s="3"/>
      <c r="Q1601" s="3">
        <v>1.5489999999999999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329</v>
      </c>
      <c r="D1602" s="3"/>
      <c r="E1602" s="3" t="s">
        <v>329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240</v>
      </c>
      <c r="O1602" s="3"/>
      <c r="P1602" s="3"/>
      <c r="Q1602" s="3">
        <v>1.5489999999999999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329</v>
      </c>
      <c r="D1603" s="3"/>
      <c r="E1603" s="3" t="s">
        <v>329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237</v>
      </c>
      <c r="O1603" s="3"/>
      <c r="P1603" s="3"/>
      <c r="Q1603" s="3">
        <v>0.46</v>
      </c>
      <c r="R1603" s="3" t="s">
        <v>238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329</v>
      </c>
      <c r="D1604" s="3"/>
      <c r="E1604" s="3" t="s">
        <v>329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101</v>
      </c>
      <c r="O1604" s="3"/>
      <c r="P1604" s="3"/>
      <c r="Q1604" s="3">
        <v>14.427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329</v>
      </c>
      <c r="D1605" s="3"/>
      <c r="E1605" s="3" t="s">
        <v>329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16</v>
      </c>
      <c r="O1605" s="3"/>
      <c r="P1605" s="3"/>
      <c r="Q1605" s="3">
        <v>88.727000000000004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329</v>
      </c>
      <c r="D1606" s="3"/>
      <c r="E1606" s="3" t="s">
        <v>329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230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329</v>
      </c>
      <c r="D1607" s="3"/>
      <c r="E1607" s="3" t="s">
        <v>329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229</v>
      </c>
      <c r="O1607" s="3"/>
      <c r="P1607" s="3"/>
      <c r="Q1607" s="3">
        <v>0.128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329</v>
      </c>
      <c r="D1608" s="3"/>
      <c r="E1608" s="3" t="s">
        <v>329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228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329</v>
      </c>
      <c r="D1609" s="3"/>
      <c r="E1609" s="3" t="s">
        <v>329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329</v>
      </c>
      <c r="D1610" s="3"/>
      <c r="E1610" s="3" t="s">
        <v>329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329</v>
      </c>
      <c r="D1611" s="3"/>
      <c r="E1611" s="3" t="s">
        <v>329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0.91900000000000004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329</v>
      </c>
      <c r="D1612" s="3"/>
      <c r="E1612" s="3" t="s">
        <v>329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278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330</v>
      </c>
      <c r="D1613" s="3"/>
      <c r="E1613" s="3" t="s">
        <v>330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107</v>
      </c>
      <c r="O1613" s="3"/>
      <c r="P1613" s="3"/>
      <c r="Q1613" s="3">
        <v>1.702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330</v>
      </c>
      <c r="D1614" s="3"/>
      <c r="E1614" s="3" t="s">
        <v>330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240</v>
      </c>
      <c r="O1614" s="3"/>
      <c r="P1614" s="3"/>
      <c r="Q1614" s="3">
        <v>1.702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330</v>
      </c>
      <c r="D1615" s="3"/>
      <c r="E1615" s="3" t="s">
        <v>330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237</v>
      </c>
      <c r="O1615" s="3"/>
      <c r="P1615" s="3"/>
      <c r="Q1615" s="3">
        <v>0.50700000000000001</v>
      </c>
      <c r="R1615" s="3" t="s">
        <v>238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330</v>
      </c>
      <c r="D1616" s="3"/>
      <c r="E1616" s="3" t="s">
        <v>330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101</v>
      </c>
      <c r="O1616" s="3"/>
      <c r="P1616" s="3"/>
      <c r="Q1616" s="3">
        <v>15.037000000000001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330</v>
      </c>
      <c r="D1617" s="3"/>
      <c r="E1617" s="3" t="s">
        <v>330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16</v>
      </c>
      <c r="O1617" s="3"/>
      <c r="P1617" s="3"/>
      <c r="Q1617" s="3">
        <v>92.475999999999999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330</v>
      </c>
      <c r="D1618" s="3"/>
      <c r="E1618" s="3" t="s">
        <v>330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230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330</v>
      </c>
      <c r="D1619" s="3"/>
      <c r="E1619" s="3" t="s">
        <v>330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229</v>
      </c>
      <c r="O1619" s="3"/>
      <c r="P1619" s="3"/>
      <c r="Q1619" s="3">
        <v>0.13900000000000001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330</v>
      </c>
      <c r="D1620" s="3"/>
      <c r="E1620" s="3" t="s">
        <v>330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228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330</v>
      </c>
      <c r="D1621" s="3"/>
      <c r="E1621" s="3" t="s">
        <v>330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330</v>
      </c>
      <c r="D1622" s="3"/>
      <c r="E1622" s="3" t="s">
        <v>330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330</v>
      </c>
      <c r="D1623" s="3"/>
      <c r="E1623" s="3" t="s">
        <v>330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330</v>
      </c>
      <c r="D1624" s="3"/>
      <c r="E1624" s="3" t="s">
        <v>330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280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331</v>
      </c>
      <c r="D1625" s="3"/>
      <c r="E1625" s="3" t="s">
        <v>331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107</v>
      </c>
      <c r="O1625" s="3"/>
      <c r="P1625" s="3"/>
      <c r="Q1625" s="3">
        <v>1.8540000000000001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331</v>
      </c>
      <c r="D1626" s="3"/>
      <c r="E1626" s="3" t="s">
        <v>331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240</v>
      </c>
      <c r="O1626" s="3"/>
      <c r="P1626" s="3"/>
      <c r="Q1626" s="3">
        <v>1.8540000000000001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331</v>
      </c>
      <c r="D1627" s="3"/>
      <c r="E1627" s="3" t="s">
        <v>331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237</v>
      </c>
      <c r="O1627" s="3"/>
      <c r="P1627" s="3"/>
      <c r="Q1627" s="3">
        <v>0.55400000000000005</v>
      </c>
      <c r="R1627" s="3" t="s">
        <v>238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331</v>
      </c>
      <c r="D1628" s="3"/>
      <c r="E1628" s="3" t="s">
        <v>331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101</v>
      </c>
      <c r="O1628" s="3"/>
      <c r="P1628" s="3"/>
      <c r="Q1628" s="3">
        <v>15.646000000000001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331</v>
      </c>
      <c r="D1629" s="3"/>
      <c r="E1629" s="3" t="s">
        <v>331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16</v>
      </c>
      <c r="O1629" s="3"/>
      <c r="P1629" s="3"/>
      <c r="Q1629" s="3">
        <v>96.224999999999994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331</v>
      </c>
      <c r="D1630" s="3"/>
      <c r="E1630" s="3" t="s">
        <v>331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230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331</v>
      </c>
      <c r="D1631" s="3"/>
      <c r="E1631" s="3" t="s">
        <v>331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229</v>
      </c>
      <c r="O1631" s="3"/>
      <c r="P1631" s="3"/>
      <c r="Q1631" s="3">
        <v>0.14899999999999999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331</v>
      </c>
      <c r="D1632" s="3"/>
      <c r="E1632" s="3" t="s">
        <v>331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228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331</v>
      </c>
      <c r="D1633" s="3"/>
      <c r="E1633" s="3" t="s">
        <v>331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331</v>
      </c>
      <c r="D1634" s="3"/>
      <c r="E1634" s="3" t="s">
        <v>331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331</v>
      </c>
      <c r="D1635" s="3"/>
      <c r="E1635" s="3" t="s">
        <v>331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1.081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331</v>
      </c>
      <c r="D1636" s="3"/>
      <c r="E1636" s="3" t="s">
        <v>331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282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332</v>
      </c>
      <c r="D1637" s="3"/>
      <c r="E1637" s="3" t="s">
        <v>332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107</v>
      </c>
      <c r="O1637" s="3"/>
      <c r="P1637" s="3"/>
      <c r="Q1637" s="3">
        <v>2.0569999999999999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332</v>
      </c>
      <c r="D1638" s="3"/>
      <c r="E1638" s="3" t="s">
        <v>332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240</v>
      </c>
      <c r="O1638" s="3"/>
      <c r="P1638" s="3"/>
      <c r="Q1638" s="3">
        <v>2.0569999999999999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332</v>
      </c>
      <c r="D1639" s="3"/>
      <c r="E1639" s="3" t="s">
        <v>332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237</v>
      </c>
      <c r="O1639" s="3"/>
      <c r="P1639" s="3"/>
      <c r="Q1639" s="3">
        <v>0.23200000000000001</v>
      </c>
      <c r="R1639" s="3" t="s">
        <v>238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332</v>
      </c>
      <c r="D1640" s="3"/>
      <c r="E1640" s="3" t="s">
        <v>332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101</v>
      </c>
      <c r="O1640" s="3"/>
      <c r="P1640" s="3"/>
      <c r="Q1640" s="3">
        <v>11.582000000000001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332</v>
      </c>
      <c r="D1641" s="3"/>
      <c r="E1641" s="3" t="s">
        <v>332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16</v>
      </c>
      <c r="O1641" s="3"/>
      <c r="P1641" s="3"/>
      <c r="Q1641" s="3">
        <v>71.231999999999999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332</v>
      </c>
      <c r="D1642" s="3"/>
      <c r="E1642" s="3" t="s">
        <v>332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230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332</v>
      </c>
      <c r="D1643" s="3"/>
      <c r="E1643" s="3" t="s">
        <v>332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229</v>
      </c>
      <c r="O1643" s="3"/>
      <c r="P1643" s="3"/>
      <c r="Q1643" s="3">
        <v>7.4999999999999997E-2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332</v>
      </c>
      <c r="D1644" s="3"/>
      <c r="E1644" s="3" t="s">
        <v>332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228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332</v>
      </c>
      <c r="D1645" s="3"/>
      <c r="E1645" s="3" t="s">
        <v>332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332</v>
      </c>
      <c r="D1646" s="3"/>
      <c r="E1646" s="3" t="s">
        <v>332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332</v>
      </c>
      <c r="D1647" s="3"/>
      <c r="E1647" s="3" t="s">
        <v>332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1.1890000000000001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332</v>
      </c>
      <c r="D1648" s="3"/>
      <c r="E1648" s="3" t="s">
        <v>332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284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333</v>
      </c>
      <c r="D1649" s="3"/>
      <c r="E1649" s="3" t="s">
        <v>333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107</v>
      </c>
      <c r="O1649" s="3"/>
      <c r="P1649" s="3"/>
      <c r="Q1649" s="3">
        <v>2.0569999999999999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333</v>
      </c>
      <c r="D1650" s="3"/>
      <c r="E1650" s="3" t="s">
        <v>333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240</v>
      </c>
      <c r="O1650" s="3"/>
      <c r="P1650" s="3"/>
      <c r="Q1650" s="3">
        <v>2.0569999999999999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333</v>
      </c>
      <c r="D1651" s="3"/>
      <c r="E1651" s="3" t="s">
        <v>333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237</v>
      </c>
      <c r="O1651" s="3"/>
      <c r="P1651" s="3"/>
      <c r="Q1651" s="3">
        <v>0.28000000000000003</v>
      </c>
      <c r="R1651" s="3" t="s">
        <v>238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333</v>
      </c>
      <c r="D1652" s="3"/>
      <c r="E1652" s="3" t="s">
        <v>333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101</v>
      </c>
      <c r="O1652" s="3"/>
      <c r="P1652" s="3"/>
      <c r="Q1652" s="3">
        <v>12.192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333</v>
      </c>
      <c r="D1653" s="3"/>
      <c r="E1653" s="3" t="s">
        <v>333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16</v>
      </c>
      <c r="O1653" s="3"/>
      <c r="P1653" s="3"/>
      <c r="Q1653" s="3">
        <v>74.980999999999995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333</v>
      </c>
      <c r="D1654" s="3"/>
      <c r="E1654" s="3" t="s">
        <v>333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230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333</v>
      </c>
      <c r="D1655" s="3"/>
      <c r="E1655" s="3" t="s">
        <v>333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229</v>
      </c>
      <c r="O1655" s="3"/>
      <c r="P1655" s="3"/>
      <c r="Q1655" s="3">
        <v>8.5000000000000006E-2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333</v>
      </c>
      <c r="D1656" s="3"/>
      <c r="E1656" s="3" t="s">
        <v>333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228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333</v>
      </c>
      <c r="D1657" s="3"/>
      <c r="E1657" s="3" t="s">
        <v>333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333</v>
      </c>
      <c r="D1658" s="3"/>
      <c r="E1658" s="3" t="s">
        <v>333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333</v>
      </c>
      <c r="D1659" s="3"/>
      <c r="E1659" s="3" t="s">
        <v>333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1.1890000000000001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333</v>
      </c>
      <c r="D1660" s="3"/>
      <c r="E1660" s="3" t="s">
        <v>333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286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334</v>
      </c>
      <c r="D1661" s="3"/>
      <c r="E1661" s="3" t="s">
        <v>334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107</v>
      </c>
      <c r="O1661" s="3"/>
      <c r="P1661" s="3"/>
      <c r="Q1661" s="3">
        <v>2.0569999999999999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334</v>
      </c>
      <c r="D1662" s="3"/>
      <c r="E1662" s="3" t="s">
        <v>334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240</v>
      </c>
      <c r="O1662" s="3"/>
      <c r="P1662" s="3"/>
      <c r="Q1662" s="3">
        <v>2.0569999999999999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334</v>
      </c>
      <c r="D1663" s="3"/>
      <c r="E1663" s="3" t="s">
        <v>334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237</v>
      </c>
      <c r="O1663" s="3"/>
      <c r="P1663" s="3"/>
      <c r="Q1663" s="3">
        <v>0.32800000000000001</v>
      </c>
      <c r="R1663" s="3" t="s">
        <v>238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334</v>
      </c>
      <c r="D1664" s="3"/>
      <c r="E1664" s="3" t="s">
        <v>334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101</v>
      </c>
      <c r="O1664" s="3"/>
      <c r="P1664" s="3"/>
      <c r="Q1664" s="3">
        <v>12.802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334</v>
      </c>
      <c r="D1665" s="3"/>
      <c r="E1665" s="3" t="s">
        <v>334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16</v>
      </c>
      <c r="O1665" s="3"/>
      <c r="P1665" s="3"/>
      <c r="Q1665" s="3">
        <v>78.73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334</v>
      </c>
      <c r="D1666" s="3"/>
      <c r="E1666" s="3" t="s">
        <v>334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230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334</v>
      </c>
      <c r="D1667" s="3"/>
      <c r="E1667" s="3" t="s">
        <v>334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229</v>
      </c>
      <c r="O1667" s="3"/>
      <c r="P1667" s="3"/>
      <c r="Q1667" s="3">
        <v>9.6000000000000002E-2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334</v>
      </c>
      <c r="D1668" s="3"/>
      <c r="E1668" s="3" t="s">
        <v>334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228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334</v>
      </c>
      <c r="D1669" s="3"/>
      <c r="E1669" s="3" t="s">
        <v>334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334</v>
      </c>
      <c r="D1670" s="3"/>
      <c r="E1670" s="3" t="s">
        <v>334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334</v>
      </c>
      <c r="D1671" s="3"/>
      <c r="E1671" s="3" t="s">
        <v>334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1.1890000000000001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334</v>
      </c>
      <c r="D1672" s="3"/>
      <c r="E1672" s="3" t="s">
        <v>334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288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335</v>
      </c>
      <c r="D1673" s="3"/>
      <c r="E1673" s="3" t="s">
        <v>335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107</v>
      </c>
      <c r="O1673" s="3"/>
      <c r="P1673" s="3"/>
      <c r="Q1673" s="3">
        <v>2.0569999999999999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335</v>
      </c>
      <c r="D1674" s="3"/>
      <c r="E1674" s="3" t="s">
        <v>335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240</v>
      </c>
      <c r="O1674" s="3"/>
      <c r="P1674" s="3"/>
      <c r="Q1674" s="3">
        <v>2.0569999999999999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335</v>
      </c>
      <c r="D1675" s="3"/>
      <c r="E1675" s="3" t="s">
        <v>335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237</v>
      </c>
      <c r="O1675" s="3"/>
      <c r="P1675" s="3"/>
      <c r="Q1675" s="3">
        <v>0.376</v>
      </c>
      <c r="R1675" s="3" t="s">
        <v>238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335</v>
      </c>
      <c r="D1676" s="3"/>
      <c r="E1676" s="3" t="s">
        <v>335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101</v>
      </c>
      <c r="O1676" s="3"/>
      <c r="P1676" s="3"/>
      <c r="Q1676" s="3">
        <v>13.411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335</v>
      </c>
      <c r="D1677" s="3"/>
      <c r="E1677" s="3" t="s">
        <v>335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16</v>
      </c>
      <c r="O1677" s="3"/>
      <c r="P1677" s="3"/>
      <c r="Q1677" s="3">
        <v>82.478999999999999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335</v>
      </c>
      <c r="D1678" s="3"/>
      <c r="E1678" s="3" t="s">
        <v>335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230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335</v>
      </c>
      <c r="D1679" s="3"/>
      <c r="E1679" s="3" t="s">
        <v>335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229</v>
      </c>
      <c r="O1679" s="3"/>
      <c r="P1679" s="3"/>
      <c r="Q1679" s="3">
        <v>0.107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335</v>
      </c>
      <c r="D1680" s="3"/>
      <c r="E1680" s="3" t="s">
        <v>335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228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335</v>
      </c>
      <c r="D1681" s="3"/>
      <c r="E1681" s="3" t="s">
        <v>335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335</v>
      </c>
      <c r="D1682" s="3"/>
      <c r="E1682" s="3" t="s">
        <v>335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335</v>
      </c>
      <c r="D1683" s="3"/>
      <c r="E1683" s="3" t="s">
        <v>335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335</v>
      </c>
      <c r="D1684" s="3"/>
      <c r="E1684" s="3" t="s">
        <v>335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290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336</v>
      </c>
      <c r="D1685" s="3"/>
      <c r="E1685" s="3" t="s">
        <v>336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107</v>
      </c>
      <c r="O1685" s="3"/>
      <c r="P1685" s="3"/>
      <c r="Q1685" s="3">
        <v>2.0569999999999999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336</v>
      </c>
      <c r="D1686" s="3"/>
      <c r="E1686" s="3" t="s">
        <v>336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240</v>
      </c>
      <c r="O1686" s="3"/>
      <c r="P1686" s="3"/>
      <c r="Q1686" s="3">
        <v>2.0569999999999999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336</v>
      </c>
      <c r="D1687" s="3"/>
      <c r="E1687" s="3" t="s">
        <v>336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237</v>
      </c>
      <c r="O1687" s="3"/>
      <c r="P1687" s="3"/>
      <c r="Q1687" s="3">
        <v>0.47199999999999998</v>
      </c>
      <c r="R1687" s="3" t="s">
        <v>238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336</v>
      </c>
      <c r="D1688" s="3"/>
      <c r="E1688" s="3" t="s">
        <v>336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101</v>
      </c>
      <c r="O1688" s="3"/>
      <c r="P1688" s="3"/>
      <c r="Q1688" s="3">
        <v>14.63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336</v>
      </c>
      <c r="D1689" s="3"/>
      <c r="E1689" s="3" t="s">
        <v>336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16</v>
      </c>
      <c r="O1689" s="3"/>
      <c r="P1689" s="3"/>
      <c r="Q1689" s="3">
        <v>89.977000000000004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336</v>
      </c>
      <c r="D1690" s="3"/>
      <c r="E1690" s="3" t="s">
        <v>336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230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336</v>
      </c>
      <c r="D1691" s="3"/>
      <c r="E1691" s="3" t="s">
        <v>336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229</v>
      </c>
      <c r="O1691" s="3"/>
      <c r="P1691" s="3"/>
      <c r="Q1691" s="3">
        <v>0.128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336</v>
      </c>
      <c r="D1692" s="3"/>
      <c r="E1692" s="3" t="s">
        <v>336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228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336</v>
      </c>
      <c r="D1693" s="3"/>
      <c r="E1693" s="3" t="s">
        <v>336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336</v>
      </c>
      <c r="D1694" s="3"/>
      <c r="E1694" s="3" t="s">
        <v>336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336</v>
      </c>
      <c r="D1695" s="3"/>
      <c r="E1695" s="3" t="s">
        <v>336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1.1890000000000001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336</v>
      </c>
      <c r="D1696" s="3"/>
      <c r="E1696" s="3" t="s">
        <v>336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292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337</v>
      </c>
      <c r="D1697" s="3"/>
      <c r="E1697" s="3" t="s">
        <v>337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107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337</v>
      </c>
      <c r="D1698" s="3"/>
      <c r="E1698" s="3" t="s">
        <v>337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240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337</v>
      </c>
      <c r="D1699" s="3"/>
      <c r="E1699" s="3" t="s">
        <v>337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237</v>
      </c>
      <c r="O1699" s="3"/>
      <c r="P1699" s="3"/>
      <c r="Q1699" s="3">
        <v>0.52</v>
      </c>
      <c r="R1699" s="3" t="s">
        <v>238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337</v>
      </c>
      <c r="D1700" s="3"/>
      <c r="E1700" s="3" t="s">
        <v>337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101</v>
      </c>
      <c r="O1700" s="3"/>
      <c r="P1700" s="3"/>
      <c r="Q1700" s="3">
        <v>15.24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337</v>
      </c>
      <c r="D1701" s="3"/>
      <c r="E1701" s="3" t="s">
        <v>337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16</v>
      </c>
      <c r="O1701" s="3"/>
      <c r="P1701" s="3"/>
      <c r="Q1701" s="3">
        <v>93.725999999999999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337</v>
      </c>
      <c r="D1702" s="3"/>
      <c r="E1702" s="3" t="s">
        <v>337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230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337</v>
      </c>
      <c r="D1703" s="3"/>
      <c r="E1703" s="3" t="s">
        <v>337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229</v>
      </c>
      <c r="O1703" s="3"/>
      <c r="P1703" s="3"/>
      <c r="Q1703" s="3">
        <v>0.13900000000000001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337</v>
      </c>
      <c r="D1704" s="3"/>
      <c r="E1704" s="3" t="s">
        <v>337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228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337</v>
      </c>
      <c r="D1705" s="3"/>
      <c r="E1705" s="3" t="s">
        <v>337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337</v>
      </c>
      <c r="D1706" s="3"/>
      <c r="E1706" s="3" t="s">
        <v>337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337</v>
      </c>
      <c r="D1707" s="3"/>
      <c r="E1707" s="3" t="s">
        <v>337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1.1890000000000001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337</v>
      </c>
      <c r="D1708" s="3"/>
      <c r="E1708" s="3" t="s">
        <v>337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294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338</v>
      </c>
      <c r="D1709" s="3"/>
      <c r="E1709" s="3" t="s">
        <v>338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107</v>
      </c>
      <c r="O1709" s="3"/>
      <c r="P1709" s="3"/>
      <c r="Q1709" s="3">
        <v>2.0569999999999999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338</v>
      </c>
      <c r="D1710" s="3"/>
      <c r="E1710" s="3" t="s">
        <v>338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240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338</v>
      </c>
      <c r="D1711" s="3"/>
      <c r="E1711" s="3" t="s">
        <v>338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237</v>
      </c>
      <c r="O1711" s="3"/>
      <c r="P1711" s="3"/>
      <c r="Q1711" s="3">
        <v>0.56799999999999995</v>
      </c>
      <c r="R1711" s="3" t="s">
        <v>238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338</v>
      </c>
      <c r="D1712" s="3"/>
      <c r="E1712" s="3" t="s">
        <v>338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101</v>
      </c>
      <c r="O1712" s="3"/>
      <c r="P1712" s="3"/>
      <c r="Q1712" s="3">
        <v>15.85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338</v>
      </c>
      <c r="D1713" s="3"/>
      <c r="E1713" s="3" t="s">
        <v>338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16</v>
      </c>
      <c r="O1713" s="3"/>
      <c r="P1713" s="3"/>
      <c r="Q1713" s="3">
        <v>97.474999999999994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338</v>
      </c>
      <c r="D1714" s="3"/>
      <c r="E1714" s="3" t="s">
        <v>338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230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338</v>
      </c>
      <c r="D1715" s="3"/>
      <c r="E1715" s="3" t="s">
        <v>338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229</v>
      </c>
      <c r="O1715" s="3"/>
      <c r="P1715" s="3"/>
      <c r="Q1715" s="3">
        <v>0.14899999999999999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338</v>
      </c>
      <c r="D1716" s="3"/>
      <c r="E1716" s="3" t="s">
        <v>338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228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338</v>
      </c>
      <c r="D1717" s="3"/>
      <c r="E1717" s="3" t="s">
        <v>338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338</v>
      </c>
      <c r="D1718" s="3"/>
      <c r="E1718" s="3" t="s">
        <v>338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338</v>
      </c>
      <c r="D1719" s="3"/>
      <c r="E1719" s="3" t="s">
        <v>338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1.1890000000000001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338</v>
      </c>
      <c r="D1720" s="3"/>
      <c r="E1720" s="3" t="s">
        <v>338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296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339</v>
      </c>
      <c r="D1721" s="3"/>
      <c r="E1721" s="3" t="s">
        <v>339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107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339</v>
      </c>
      <c r="D1722" s="3"/>
      <c r="E1722" s="3" t="s">
        <v>339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240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339</v>
      </c>
      <c r="D1723" s="3"/>
      <c r="E1723" s="3" t="s">
        <v>339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237</v>
      </c>
      <c r="O1723" s="3"/>
      <c r="P1723" s="3"/>
      <c r="Q1723" s="3">
        <v>0.24399999999999999</v>
      </c>
      <c r="R1723" s="3" t="s">
        <v>238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339</v>
      </c>
      <c r="D1724" s="3"/>
      <c r="E1724" s="3" t="s">
        <v>339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101</v>
      </c>
      <c r="O1724" s="3"/>
      <c r="P1724" s="3"/>
      <c r="Q1724" s="3">
        <v>11.989000000000001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339</v>
      </c>
      <c r="D1725" s="3"/>
      <c r="E1725" s="3" t="s">
        <v>339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16</v>
      </c>
      <c r="O1725" s="3"/>
      <c r="P1725" s="3"/>
      <c r="Q1725" s="3">
        <v>73.730999999999995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339</v>
      </c>
      <c r="D1726" s="3"/>
      <c r="E1726" s="3" t="s">
        <v>339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230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339</v>
      </c>
      <c r="D1727" s="3"/>
      <c r="E1727" s="3" t="s">
        <v>339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229</v>
      </c>
      <c r="O1727" s="3"/>
      <c r="P1727" s="3"/>
      <c r="Q1727" s="3">
        <v>7.4999999999999997E-2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339</v>
      </c>
      <c r="D1728" s="3"/>
      <c r="E1728" s="3" t="s">
        <v>339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228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339</v>
      </c>
      <c r="D1729" s="3"/>
      <c r="E1729" s="3" t="s">
        <v>339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339</v>
      </c>
      <c r="D1730" s="3"/>
      <c r="E1730" s="3" t="s">
        <v>339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339</v>
      </c>
      <c r="D1731" s="3"/>
      <c r="E1731" s="3" t="s">
        <v>339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1.2430000000000001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339</v>
      </c>
      <c r="D1732" s="3"/>
      <c r="E1732" s="3" t="s">
        <v>339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298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340</v>
      </c>
      <c r="D1733" s="3"/>
      <c r="E1733" s="3" t="s">
        <v>340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107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340</v>
      </c>
      <c r="D1734" s="3"/>
      <c r="E1734" s="3" t="s">
        <v>340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240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340</v>
      </c>
      <c r="D1735" s="3"/>
      <c r="E1735" s="3" t="s">
        <v>340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237</v>
      </c>
      <c r="O1735" s="3"/>
      <c r="P1735" s="3"/>
      <c r="Q1735" s="3">
        <v>0.29399999999999998</v>
      </c>
      <c r="R1735" s="3" t="s">
        <v>238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340</v>
      </c>
      <c r="D1736" s="3"/>
      <c r="E1736" s="3" t="s">
        <v>340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101</v>
      </c>
      <c r="O1736" s="3"/>
      <c r="P1736" s="3"/>
      <c r="Q1736" s="3">
        <v>12.598000000000001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340</v>
      </c>
      <c r="D1737" s="3"/>
      <c r="E1737" s="3" t="s">
        <v>340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16</v>
      </c>
      <c r="O1737" s="3"/>
      <c r="P1737" s="3"/>
      <c r="Q1737" s="3">
        <v>77.48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340</v>
      </c>
      <c r="D1738" s="3"/>
      <c r="E1738" s="3" t="s">
        <v>340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230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340</v>
      </c>
      <c r="D1739" s="3"/>
      <c r="E1739" s="3" t="s">
        <v>340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229</v>
      </c>
      <c r="O1739" s="3"/>
      <c r="P1739" s="3"/>
      <c r="Q1739" s="3">
        <v>8.5000000000000006E-2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340</v>
      </c>
      <c r="D1740" s="3"/>
      <c r="E1740" s="3" t="s">
        <v>340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228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340</v>
      </c>
      <c r="D1741" s="3"/>
      <c r="E1741" s="3" t="s">
        <v>340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340</v>
      </c>
      <c r="D1742" s="3"/>
      <c r="E1742" s="3" t="s">
        <v>340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340</v>
      </c>
      <c r="D1743" s="3"/>
      <c r="E1743" s="3" t="s">
        <v>340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340</v>
      </c>
      <c r="D1744" s="3"/>
      <c r="E1744" s="3" t="s">
        <v>340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300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341</v>
      </c>
      <c r="D1745" s="3"/>
      <c r="E1745" s="3" t="s">
        <v>341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107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341</v>
      </c>
      <c r="D1746" s="3"/>
      <c r="E1746" s="3" t="s">
        <v>341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240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341</v>
      </c>
      <c r="D1747" s="3"/>
      <c r="E1747" s="3" t="s">
        <v>341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237</v>
      </c>
      <c r="O1747" s="3"/>
      <c r="P1747" s="3"/>
      <c r="Q1747" s="3">
        <v>0.34499999999999997</v>
      </c>
      <c r="R1747" s="3" t="s">
        <v>238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341</v>
      </c>
      <c r="D1748" s="3"/>
      <c r="E1748" s="3" t="s">
        <v>341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101</v>
      </c>
      <c r="O1748" s="3"/>
      <c r="P1748" s="3"/>
      <c r="Q1748" s="3">
        <v>13.208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341</v>
      </c>
      <c r="D1749" s="3"/>
      <c r="E1749" s="3" t="s">
        <v>341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16</v>
      </c>
      <c r="O1749" s="3"/>
      <c r="P1749" s="3"/>
      <c r="Q1749" s="3">
        <v>81.228999999999999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341</v>
      </c>
      <c r="D1750" s="3"/>
      <c r="E1750" s="3" t="s">
        <v>341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230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341</v>
      </c>
      <c r="D1751" s="3"/>
      <c r="E1751" s="3" t="s">
        <v>341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229</v>
      </c>
      <c r="O1751" s="3"/>
      <c r="P1751" s="3"/>
      <c r="Q1751" s="3">
        <v>9.6000000000000002E-2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341</v>
      </c>
      <c r="D1752" s="3"/>
      <c r="E1752" s="3" t="s">
        <v>341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228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341</v>
      </c>
      <c r="D1753" s="3"/>
      <c r="E1753" s="3" t="s">
        <v>341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341</v>
      </c>
      <c r="D1754" s="3"/>
      <c r="E1754" s="3" t="s">
        <v>341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341</v>
      </c>
      <c r="D1755" s="3"/>
      <c r="E1755" s="3" t="s">
        <v>341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1.2430000000000001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341</v>
      </c>
      <c r="D1756" s="3"/>
      <c r="E1756" s="3" t="s">
        <v>341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302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342</v>
      </c>
      <c r="D1757" s="3"/>
      <c r="E1757" s="3" t="s">
        <v>342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107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342</v>
      </c>
      <c r="D1758" s="3"/>
      <c r="E1758" s="3" t="s">
        <v>342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240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342</v>
      </c>
      <c r="D1759" s="3"/>
      <c r="E1759" s="3" t="s">
        <v>342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237</v>
      </c>
      <c r="O1759" s="3"/>
      <c r="P1759" s="3"/>
      <c r="Q1759" s="3">
        <v>0.39500000000000002</v>
      </c>
      <c r="R1759" s="3" t="s">
        <v>238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342</v>
      </c>
      <c r="D1760" s="3"/>
      <c r="E1760" s="3" t="s">
        <v>342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101</v>
      </c>
      <c r="O1760" s="3"/>
      <c r="P1760" s="3"/>
      <c r="Q1760" s="3">
        <v>13.818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342</v>
      </c>
      <c r="D1761" s="3"/>
      <c r="E1761" s="3" t="s">
        <v>342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16</v>
      </c>
      <c r="O1761" s="3"/>
      <c r="P1761" s="3"/>
      <c r="Q1761" s="3">
        <v>84.977999999999994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342</v>
      </c>
      <c r="D1762" s="3"/>
      <c r="E1762" s="3" t="s">
        <v>342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230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342</v>
      </c>
      <c r="D1763" s="3"/>
      <c r="E1763" s="3" t="s">
        <v>342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229</v>
      </c>
      <c r="O1763" s="3"/>
      <c r="P1763" s="3"/>
      <c r="Q1763" s="3">
        <v>0.107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342</v>
      </c>
      <c r="D1764" s="3"/>
      <c r="E1764" s="3" t="s">
        <v>342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228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342</v>
      </c>
      <c r="D1765" s="3"/>
      <c r="E1765" s="3" t="s">
        <v>342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342</v>
      </c>
      <c r="D1766" s="3"/>
      <c r="E1766" s="3" t="s">
        <v>342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342</v>
      </c>
      <c r="D1767" s="3"/>
      <c r="E1767" s="3" t="s">
        <v>342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1.2430000000000001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342</v>
      </c>
      <c r="D1768" s="3"/>
      <c r="E1768" s="3" t="s">
        <v>342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304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343</v>
      </c>
      <c r="D1769" s="3"/>
      <c r="E1769" s="3" t="s">
        <v>343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107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343</v>
      </c>
      <c r="D1770" s="3"/>
      <c r="E1770" s="3" t="s">
        <v>343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240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343</v>
      </c>
      <c r="D1771" s="3"/>
      <c r="E1771" s="3" t="s">
        <v>343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237</v>
      </c>
      <c r="O1771" s="3"/>
      <c r="P1771" s="3"/>
      <c r="Q1771" s="3">
        <v>0.496</v>
      </c>
      <c r="R1771" s="3" t="s">
        <v>238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343</v>
      </c>
      <c r="D1772" s="3"/>
      <c r="E1772" s="3" t="s">
        <v>343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101</v>
      </c>
      <c r="O1772" s="3"/>
      <c r="P1772" s="3"/>
      <c r="Q1772" s="3">
        <v>15.037000000000001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343</v>
      </c>
      <c r="D1773" s="3"/>
      <c r="E1773" s="3" t="s">
        <v>343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16</v>
      </c>
      <c r="O1773" s="3"/>
      <c r="P1773" s="3"/>
      <c r="Q1773" s="3">
        <v>92.475999999999999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343</v>
      </c>
      <c r="D1774" s="3"/>
      <c r="E1774" s="3" t="s">
        <v>343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230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343</v>
      </c>
      <c r="D1775" s="3"/>
      <c r="E1775" s="3" t="s">
        <v>343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229</v>
      </c>
      <c r="O1775" s="3"/>
      <c r="P1775" s="3"/>
      <c r="Q1775" s="3">
        <v>0.128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343</v>
      </c>
      <c r="D1776" s="3"/>
      <c r="E1776" s="3" t="s">
        <v>343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228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343</v>
      </c>
      <c r="D1777" s="3"/>
      <c r="E1777" s="3" t="s">
        <v>343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343</v>
      </c>
      <c r="D1778" s="3"/>
      <c r="E1778" s="3" t="s">
        <v>343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343</v>
      </c>
      <c r="D1779" s="3"/>
      <c r="E1779" s="3" t="s">
        <v>343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1.2430000000000001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343</v>
      </c>
      <c r="D1780" s="3"/>
      <c r="E1780" s="3" t="s">
        <v>343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306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344</v>
      </c>
      <c r="D1781" s="3"/>
      <c r="E1781" s="3" t="s">
        <v>344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107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344</v>
      </c>
      <c r="D1782" s="3"/>
      <c r="E1782" s="3" t="s">
        <v>344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240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344</v>
      </c>
      <c r="D1783" s="3"/>
      <c r="E1783" s="3" t="s">
        <v>344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237</v>
      </c>
      <c r="O1783" s="3"/>
      <c r="P1783" s="3"/>
      <c r="Q1783" s="3">
        <v>0.54600000000000004</v>
      </c>
      <c r="R1783" s="3" t="s">
        <v>238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344</v>
      </c>
      <c r="D1784" s="3"/>
      <c r="E1784" s="3" t="s">
        <v>344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101</v>
      </c>
      <c r="O1784" s="3"/>
      <c r="P1784" s="3"/>
      <c r="Q1784" s="3">
        <v>15.646000000000001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344</v>
      </c>
      <c r="D1785" s="3"/>
      <c r="E1785" s="3" t="s">
        <v>344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16</v>
      </c>
      <c r="O1785" s="3"/>
      <c r="P1785" s="3"/>
      <c r="Q1785" s="3">
        <v>96.224999999999994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344</v>
      </c>
      <c r="D1786" s="3"/>
      <c r="E1786" s="3" t="s">
        <v>344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230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344</v>
      </c>
      <c r="D1787" s="3"/>
      <c r="E1787" s="3" t="s">
        <v>344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229</v>
      </c>
      <c r="O1787" s="3"/>
      <c r="P1787" s="3"/>
      <c r="Q1787" s="3">
        <v>0.13900000000000001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344</v>
      </c>
      <c r="D1788" s="3"/>
      <c r="E1788" s="3" t="s">
        <v>344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228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344</v>
      </c>
      <c r="D1789" s="3"/>
      <c r="E1789" s="3" t="s">
        <v>344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344</v>
      </c>
      <c r="D1790" s="3"/>
      <c r="E1790" s="3" t="s">
        <v>344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344</v>
      </c>
      <c r="D1791" s="3"/>
      <c r="E1791" s="3" t="s">
        <v>344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1.2430000000000001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344</v>
      </c>
      <c r="D1792" s="3"/>
      <c r="E1792" s="3" t="s">
        <v>344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308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345</v>
      </c>
      <c r="D1793" s="3"/>
      <c r="E1793" s="3" t="s">
        <v>345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107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345</v>
      </c>
      <c r="D1794" s="3"/>
      <c r="E1794" s="3" t="s">
        <v>345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240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345</v>
      </c>
      <c r="D1795" s="3"/>
      <c r="E1795" s="3" t="s">
        <v>345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237</v>
      </c>
      <c r="O1795" s="3"/>
      <c r="P1795" s="3"/>
      <c r="Q1795" s="3">
        <v>0.59699999999999998</v>
      </c>
      <c r="R1795" s="3" t="s">
        <v>238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345</v>
      </c>
      <c r="D1796" s="3"/>
      <c r="E1796" s="3" t="s">
        <v>345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101</v>
      </c>
      <c r="O1796" s="3"/>
      <c r="P1796" s="3"/>
      <c r="Q1796" s="3">
        <v>16.256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345</v>
      </c>
      <c r="D1797" s="3"/>
      <c r="E1797" s="3" t="s">
        <v>345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16</v>
      </c>
      <c r="O1797" s="3"/>
      <c r="P1797" s="3"/>
      <c r="Q1797" s="3">
        <v>99.974000000000004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345</v>
      </c>
      <c r="D1798" s="3"/>
      <c r="E1798" s="3" t="s">
        <v>345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230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345</v>
      </c>
      <c r="D1799" s="3"/>
      <c r="E1799" s="3" t="s">
        <v>345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229</v>
      </c>
      <c r="O1799" s="3"/>
      <c r="P1799" s="3"/>
      <c r="Q1799" s="3">
        <v>0.14899999999999999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345</v>
      </c>
      <c r="D1800" s="3"/>
      <c r="E1800" s="3" t="s">
        <v>345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228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345</v>
      </c>
      <c r="D1801" s="3"/>
      <c r="E1801" s="3" t="s">
        <v>345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345</v>
      </c>
      <c r="D1802" s="3"/>
      <c r="E1802" s="3" t="s">
        <v>345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345</v>
      </c>
      <c r="D1803" s="3"/>
      <c r="E1803" s="3" t="s">
        <v>345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345</v>
      </c>
      <c r="D1804" s="3"/>
      <c r="E1804" s="3" t="s">
        <v>345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310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2026-06-02T07:06:33Z</dcterms:modified>
</cp:coreProperties>
</file>