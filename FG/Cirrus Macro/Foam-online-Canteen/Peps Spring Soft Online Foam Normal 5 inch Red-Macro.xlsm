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Foam-online-Canteen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3" l="1"/>
  <c r="D3" i="13"/>
  <c r="D4" i="13"/>
  <c r="D5" i="13"/>
  <c r="D6" i="13"/>
  <c r="D7" i="13"/>
  <c r="D8" i="13"/>
  <c r="D9" i="13"/>
  <c r="D10" i="13"/>
  <c r="D11" i="13"/>
  <c r="D2" i="13"/>
  <c r="H11" i="13" l="1"/>
  <c r="G10" i="13"/>
  <c r="H10" i="13" s="1"/>
  <c r="H9" i="13"/>
  <c r="H8" i="13"/>
  <c r="H7" i="13"/>
  <c r="G6" i="13"/>
  <c r="H6" i="13" s="1"/>
  <c r="E6" i="13"/>
  <c r="G5" i="13"/>
  <c r="H5" i="13" s="1"/>
  <c r="H4" i="13"/>
  <c r="G3" i="13"/>
  <c r="H3" i="13" s="1"/>
  <c r="G2" i="13"/>
  <c r="H2" i="13" s="1"/>
</calcChain>
</file>

<file path=xl/sharedStrings.xml><?xml version="1.0" encoding="utf-8"?>
<sst xmlns="http://schemas.openxmlformats.org/spreadsheetml/2006/main" count="2582" uniqueCount="150">
  <si>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</si>
  <si>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</si>
  <si>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</si>
  <si>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</si>
  <si>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</si>
  <si>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</si>
  <si>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</si>
  <si>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</si>
  <si>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</si>
  <si>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</si>
  <si>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</si>
  <si>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</si>
  <si>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</si>
  <si>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</si>
  <si>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</si>
  <si>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</si>
  <si>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</si>
  <si>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</si>
  <si>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</si>
  <si>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</si>
  <si>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</si>
  <si>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</si>
  <si>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</si>
  <si>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</si>
  <si>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</si>
  <si>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</si>
  <si>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</si>
  <si>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</si>
  <si>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</si>
  <si>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</si>
  <si>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</si>
  <si>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</si>
  <si>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</si>
  <si>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</si>
  <si>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</si>
  <si>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</si>
  <si>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</si>
  <si>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</si>
  <si>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</si>
  <si>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</si>
  <si>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</si>
  <si>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</si>
  <si>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</si>
  <si>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</si>
  <si>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</si>
  <si>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</si>
  <si>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</si>
  <si>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</si>
  <si>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</si>
  <si>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</si>
  <si>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</si>
  <si>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</si>
  <si>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</si>
  <si>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</si>
  <si>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</si>
  <si>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</si>
  <si>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</si>
  <si>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</si>
  <si>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</si>
  <si>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</si>
  <si>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</si>
  <si>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</si>
  <si>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</si>
  <si>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</si>
  <si>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</si>
  <si>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</si>
  <si>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</si>
  <si>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</si>
  <si>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</si>
  <si>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</si>
  <si>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</si>
  <si>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</si>
  <si>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</si>
  <si>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</si>
  <si>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</si>
  <si>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</si>
  <si>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</si>
  <si>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</si>
  <si>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</si>
  <si>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</si>
  <si>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</si>
  <si>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</si>
  <si>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</si>
  <si>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</si>
  <si>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</si>
  <si>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</si>
  <si>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</si>
  <si>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</si>
  <si>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</si>
  <si>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</si>
  <si>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RML-HYPNOS-MRP-LBL</t>
  </si>
  <si>
    <t>QUILTING</t>
  </si>
  <si>
    <t>SFG-SSFRD-QUILT</t>
  </si>
  <si>
    <t>RML-POLY-GUM</t>
  </si>
  <si>
    <t>LTR</t>
  </si>
  <si>
    <t>RML-SS-CNR-LBL</t>
  </si>
  <si>
    <t>RML-SSF-EDTAPE</t>
  </si>
  <si>
    <t>RMI-PVC-50</t>
  </si>
  <si>
    <t>4,5,6</t>
  </si>
  <si>
    <t>RD</t>
  </si>
  <si>
    <t>RML-THRD-TKT-40MER</t>
  </si>
  <si>
    <t>30</t>
  </si>
  <si>
    <t>04</t>
  </si>
  <si>
    <t>36</t>
  </si>
  <si>
    <t>42</t>
  </si>
  <si>
    <t>48</t>
  </si>
  <si>
    <t>60</t>
  </si>
  <si>
    <t>66</t>
  </si>
  <si>
    <t>SKSFRD72X30X04-INCS</t>
  </si>
  <si>
    <t>23D-ECO-FOAM-72X30X90MM</t>
  </si>
  <si>
    <t>SKSFRD72X36X04-INCS</t>
  </si>
  <si>
    <t>23D-ECO-FOAM-72X36X90MM</t>
  </si>
  <si>
    <t>SKSFRD72X42X04-INCS</t>
  </si>
  <si>
    <t>23D-ECO-FOAM-72X42X90MM</t>
  </si>
  <si>
    <t>SKSFRD72X48X04-INCS</t>
  </si>
  <si>
    <t>23D-ECO-FOAM-72X48X90MM</t>
  </si>
  <si>
    <t>SKSFRD72X60X04-INCS</t>
  </si>
  <si>
    <t>23D-ECO-FOAM-72X60X90MM</t>
  </si>
  <si>
    <t>SKSFRD72X66X04-INCS</t>
  </si>
  <si>
    <t>23D-ECO-FOAM-72X66X90MM</t>
  </si>
  <si>
    <t>SKSFRD72X72X04-INCS</t>
  </si>
  <si>
    <t>23D-ECO-FOAM-72X72X90MM</t>
  </si>
  <si>
    <t>SKSFRD75X30X04-INCS</t>
  </si>
  <si>
    <t>23D-ECO-FOAM-75X30X90MM</t>
  </si>
  <si>
    <t>SKSFRD75X36X04-INCS</t>
  </si>
  <si>
    <t>23D-ECO-FOAM-75X36X90MM</t>
  </si>
  <si>
    <t>SKSFRD75X42X04-INCS</t>
  </si>
  <si>
    <t>23D-ECO-FOAM-75X42X90MM</t>
  </si>
  <si>
    <t>SKSFRD75X48X04-INCS</t>
  </si>
  <si>
    <t>23D-ECO-FOAM-75X48X90MM</t>
  </si>
  <si>
    <t>SKSFRD75X60X04-INCS</t>
  </si>
  <si>
    <t>23D-ECO-FOAM-75X60X90MM</t>
  </si>
  <si>
    <t>SKSFRD75X66X04-INCS</t>
  </si>
  <si>
    <t>23D-ECO-FOAM-75X66X90MM</t>
  </si>
  <si>
    <t>SKSFRD75X72X04-INCS</t>
  </si>
  <si>
    <t>23D-ECO-FOAM-75X72X90MM</t>
  </si>
  <si>
    <t>SKSFRD78X30X04-INCS</t>
  </si>
  <si>
    <t>23D-ECO-FOAM-78X30X90MM</t>
  </si>
  <si>
    <t>SKSFRD78X36X04-INCS</t>
  </si>
  <si>
    <t>23D-ECO-FOAM-78X36X90MM</t>
  </si>
  <si>
    <t>SKSFRD78X42X04-INCS</t>
  </si>
  <si>
    <t>23D-ECO-FOAM-78X42X90MM</t>
  </si>
  <si>
    <t>SKSFRD78X48X04-INCS</t>
  </si>
  <si>
    <t>23D-ECO-FOAM-78X48X90MM</t>
  </si>
  <si>
    <t>SKSFRD78X60X04-INCS</t>
  </si>
  <si>
    <t>23D-ECO-FOAM-78X60X90MM</t>
  </si>
  <si>
    <t>SKSFRD78X66X04-INCS</t>
  </si>
  <si>
    <t>23D-ECO-FOAM-78X66X90MM</t>
  </si>
  <si>
    <t>SKSFRD78X72X04-INCS</t>
  </si>
  <si>
    <t>23D-ECO-FOAM-78X72X90MM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</si>
</sst>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Font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1" style="13" bestFit="1" customWidth="1"/>
    <col min="5" max="5" width="28.140625" style="13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82</v>
      </c>
      <c r="S1" s="30" t="s">
        <v>83</v>
      </c>
      <c r="T1" s="30" t="s">
        <v>84</v>
      </c>
      <c r="U1" s="30" t="s">
        <v>10</v>
      </c>
    </row>
    <row r="2" spans="1:21" x14ac:dyDescent="0.25">
      <c r="A2" s="32">
        <v>1</v>
      </c>
      <c r="B2" s="7" t="s">
        <v>91</v>
      </c>
      <c r="C2" s="7" t="s">
        <v>91</v>
      </c>
      <c r="D2" s="8" t="str">
        <f>"SKSFRD"&amp;$K$2&amp;"X"&amp;$L$2&amp;"X0"&amp;$M$2&amp;"-INCS"</f>
        <v>SKSFRD75X36X04-INCS</v>
      </c>
      <c r="E2" s="1" t="s">
        <v>92</v>
      </c>
      <c r="F2" s="10" t="s">
        <v>14</v>
      </c>
      <c r="G2" s="33">
        <f>IF(K2&lt;79,(L2+1)*2,IF(L2&lt;37,(K2+1),(K2+1)*2))*0.0254</f>
        <v>1.8795999999999999</v>
      </c>
      <c r="H2" s="9">
        <f t="shared" ref="H2:H11" si="0">ROUND(G2,3)</f>
        <v>1.88</v>
      </c>
      <c r="I2" s="34" t="s">
        <v>15</v>
      </c>
      <c r="J2" s="5"/>
      <c r="K2" s="29">
        <v>75</v>
      </c>
      <c r="L2" s="29">
        <v>36</v>
      </c>
      <c r="M2" s="29">
        <v>4</v>
      </c>
      <c r="N2" s="6" t="s">
        <v>99</v>
      </c>
      <c r="P2" s="4" t="s">
        <v>98</v>
      </c>
      <c r="R2" s="27" t="s">
        <v>87</v>
      </c>
      <c r="S2" s="27" t="s">
        <v>101</v>
      </c>
      <c r="T2" s="27" t="s">
        <v>102</v>
      </c>
      <c r="U2" s="28" t="s">
        <v>99</v>
      </c>
    </row>
    <row r="3" spans="1:21" s="15" customFormat="1" x14ac:dyDescent="0.25">
      <c r="A3" s="32">
        <v>2</v>
      </c>
      <c r="B3" s="7" t="s">
        <v>16</v>
      </c>
      <c r="C3" s="7" t="s">
        <v>16</v>
      </c>
      <c r="D3" s="8" t="str">
        <f t="shared" ref="D3:D11" si="1">"SKSFRD"&amp;$K$2&amp;"X"&amp;$L$2&amp;"X0"&amp;$M$2&amp;"-INCS"</f>
        <v>SKSFRD75X36X04-INCS</v>
      </c>
      <c r="E3" s="7" t="s">
        <v>93</v>
      </c>
      <c r="F3" s="10" t="s">
        <v>94</v>
      </c>
      <c r="G3" s="33">
        <f>(K2*L2/144)*0.00729*2</f>
        <v>0.27337499999999998</v>
      </c>
      <c r="H3" s="9">
        <f t="shared" si="0"/>
        <v>0.27300000000000002</v>
      </c>
      <c r="I3" s="10" t="s">
        <v>13</v>
      </c>
      <c r="J3" s="5"/>
      <c r="K3" s="14"/>
      <c r="L3" s="14"/>
      <c r="M3" s="14"/>
      <c r="N3" s="14"/>
      <c r="O3" s="4"/>
      <c r="R3" s="27" t="s">
        <v>87</v>
      </c>
      <c r="S3" s="27" t="s">
        <v>103</v>
      </c>
      <c r="T3" s="27" t="s">
        <v>102</v>
      </c>
      <c r="U3" s="28" t="s">
        <v>99</v>
      </c>
    </row>
    <row r="4" spans="1:21" x14ac:dyDescent="0.25">
      <c r="A4" s="32">
        <v>3</v>
      </c>
      <c r="B4" s="7" t="s">
        <v>16</v>
      </c>
      <c r="C4" s="7" t="s">
        <v>16</v>
      </c>
      <c r="D4" s="8" t="str">
        <f t="shared" si="1"/>
        <v>SKSFRD75X36X04-INCS</v>
      </c>
      <c r="E4" s="8" t="s">
        <v>95</v>
      </c>
      <c r="F4" s="31" t="s">
        <v>11</v>
      </c>
      <c r="G4" s="35">
        <v>1</v>
      </c>
      <c r="H4" s="9">
        <f t="shared" si="0"/>
        <v>1</v>
      </c>
      <c r="I4" s="10" t="s">
        <v>13</v>
      </c>
      <c r="J4" s="11"/>
      <c r="O4" s="15"/>
      <c r="R4" s="27" t="s">
        <v>87</v>
      </c>
      <c r="S4" s="27" t="s">
        <v>104</v>
      </c>
      <c r="T4" s="27" t="s">
        <v>102</v>
      </c>
      <c r="U4" s="28" t="s">
        <v>99</v>
      </c>
    </row>
    <row r="5" spans="1:21" x14ac:dyDescent="0.25">
      <c r="A5" s="32">
        <v>4</v>
      </c>
      <c r="B5" s="7" t="s">
        <v>16</v>
      </c>
      <c r="C5" s="7" t="s">
        <v>16</v>
      </c>
      <c r="D5" s="8" t="str">
        <f t="shared" si="1"/>
        <v>SKSFRD75X36X04-INCS</v>
      </c>
      <c r="E5" s="16" t="s">
        <v>96</v>
      </c>
      <c r="F5" s="31" t="s">
        <v>14</v>
      </c>
      <c r="G5" s="9">
        <f>(K2+L2+4)*2*0.0254*2</f>
        <v>11.683999999999999</v>
      </c>
      <c r="H5" s="9">
        <f t="shared" si="0"/>
        <v>11.683999999999999</v>
      </c>
      <c r="I5" s="10" t="s">
        <v>13</v>
      </c>
      <c r="J5" s="11"/>
      <c r="L5" s="17"/>
      <c r="O5" s="15"/>
      <c r="R5" s="27" t="s">
        <v>87</v>
      </c>
      <c r="S5" s="27" t="s">
        <v>105</v>
      </c>
      <c r="T5" s="27" t="s">
        <v>102</v>
      </c>
      <c r="U5" s="28" t="s">
        <v>99</v>
      </c>
    </row>
    <row r="6" spans="1:21" x14ac:dyDescent="0.25">
      <c r="A6" s="32">
        <v>5</v>
      </c>
      <c r="B6" s="7" t="s">
        <v>16</v>
      </c>
      <c r="C6" s="7" t="s">
        <v>16</v>
      </c>
      <c r="D6" s="8" t="str">
        <f t="shared" si="1"/>
        <v>SKSFRD75X36X04-INCS</v>
      </c>
      <c r="E6" s="16" t="str">
        <f>IF(N2="RD","RML-THRD-TKT-40MER",IF(N2="BL","RML-THRD-TKT-40BLUE",0))</f>
        <v>RML-THRD-TKT-40MER</v>
      </c>
      <c r="F6" s="10" t="s">
        <v>14</v>
      </c>
      <c r="G6" s="9">
        <f>(K2+L2+4)*2*0.0254*(4.73+1.42)*2</f>
        <v>71.8566</v>
      </c>
      <c r="H6" s="9">
        <f t="shared" si="0"/>
        <v>71.856999999999999</v>
      </c>
      <c r="I6" s="31" t="s">
        <v>13</v>
      </c>
      <c r="J6" s="11"/>
      <c r="R6" s="27" t="s">
        <v>87</v>
      </c>
      <c r="S6" s="27" t="s">
        <v>106</v>
      </c>
      <c r="T6" s="27" t="s">
        <v>102</v>
      </c>
      <c r="U6" s="28" t="s">
        <v>99</v>
      </c>
    </row>
    <row r="7" spans="1:21" x14ac:dyDescent="0.25">
      <c r="A7" s="32">
        <v>6</v>
      </c>
      <c r="B7" s="7" t="s">
        <v>16</v>
      </c>
      <c r="C7" s="7" t="s">
        <v>16</v>
      </c>
      <c r="D7" s="8" t="str">
        <f t="shared" si="1"/>
        <v>SKSFRD75X36X04-INCS</v>
      </c>
      <c r="E7" s="10" t="s">
        <v>90</v>
      </c>
      <c r="F7" s="10" t="s">
        <v>11</v>
      </c>
      <c r="G7" s="9">
        <v>1</v>
      </c>
      <c r="H7" s="9">
        <f t="shared" si="0"/>
        <v>1</v>
      </c>
      <c r="I7" s="31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87</v>
      </c>
      <c r="S7" s="27" t="s">
        <v>107</v>
      </c>
      <c r="T7" s="27" t="s">
        <v>102</v>
      </c>
      <c r="U7" s="28" t="s">
        <v>99</v>
      </c>
    </row>
    <row r="8" spans="1:21" x14ac:dyDescent="0.25">
      <c r="A8" s="32">
        <v>7</v>
      </c>
      <c r="B8" s="7" t="s">
        <v>17</v>
      </c>
      <c r="C8" s="8" t="s">
        <v>17</v>
      </c>
      <c r="D8" s="8" t="str">
        <f t="shared" si="1"/>
        <v>SKSFRD75X36X04-INCS</v>
      </c>
      <c r="E8" s="8" t="s">
        <v>18</v>
      </c>
      <c r="F8" s="10" t="s">
        <v>11</v>
      </c>
      <c r="G8" s="35">
        <v>1</v>
      </c>
      <c r="H8" s="9">
        <f t="shared" si="0"/>
        <v>1</v>
      </c>
      <c r="I8" s="31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87</v>
      </c>
      <c r="S8" s="27" t="s">
        <v>87</v>
      </c>
      <c r="T8" s="27" t="s">
        <v>102</v>
      </c>
      <c r="U8" s="28" t="s">
        <v>99</v>
      </c>
    </row>
    <row r="9" spans="1:21" x14ac:dyDescent="0.25">
      <c r="A9" s="32">
        <v>8</v>
      </c>
      <c r="B9" s="7" t="s">
        <v>17</v>
      </c>
      <c r="C9" s="8" t="s">
        <v>17</v>
      </c>
      <c r="D9" s="8" t="str">
        <f t="shared" si="1"/>
        <v>SKSFRD75X36X04-INCS</v>
      </c>
      <c r="E9" s="8" t="s">
        <v>19</v>
      </c>
      <c r="F9" s="10" t="s">
        <v>11</v>
      </c>
      <c r="G9" s="35">
        <v>1</v>
      </c>
      <c r="H9" s="9">
        <f t="shared" si="0"/>
        <v>1</v>
      </c>
      <c r="I9" s="31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88</v>
      </c>
      <c r="S9" s="27" t="s">
        <v>101</v>
      </c>
      <c r="T9" s="27" t="s">
        <v>102</v>
      </c>
      <c r="U9" s="28" t="s">
        <v>99</v>
      </c>
    </row>
    <row r="10" spans="1:21" x14ac:dyDescent="0.25">
      <c r="A10" s="32">
        <v>9</v>
      </c>
      <c r="B10" s="7" t="s">
        <v>17</v>
      </c>
      <c r="C10" s="8" t="s">
        <v>17</v>
      </c>
      <c r="D10" s="8" t="str">
        <f t="shared" si="1"/>
        <v>SKSFRD75X36X04-INCS</v>
      </c>
      <c r="E10" s="16" t="s">
        <v>97</v>
      </c>
      <c r="F10" s="10" t="s">
        <v>12</v>
      </c>
      <c r="G10" s="35">
        <f>(IF(K2&lt;79,(L2*2)+(M2*2),(K2*2)+(M2*2))+4)*89.5*0.0254*0.0254*0.00005*1300</f>
        <v>0.31527033720000003</v>
      </c>
      <c r="H10" s="9">
        <f t="shared" si="0"/>
        <v>0.315</v>
      </c>
      <c r="I10" s="31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88</v>
      </c>
      <c r="S10" s="27" t="s">
        <v>103</v>
      </c>
      <c r="T10" s="27" t="s">
        <v>102</v>
      </c>
      <c r="U10" s="28" t="s">
        <v>99</v>
      </c>
    </row>
    <row r="11" spans="1:21" x14ac:dyDescent="0.25">
      <c r="A11" s="32">
        <v>10</v>
      </c>
      <c r="B11" s="7" t="s">
        <v>16</v>
      </c>
      <c r="C11" s="7" t="s">
        <v>16</v>
      </c>
      <c r="D11" s="8" t="str">
        <f t="shared" si="1"/>
        <v>SKSFRD75X36X04-INCS</v>
      </c>
      <c r="E11" s="36" t="str">
        <f>"23D-ECO-FOAM-"&amp;K2&amp;"X"&amp;L2&amp;"X"&amp;IF(M2=4,90,IF(M2=5,100,124))&amp;"MM"</f>
        <v>23D-ECO-FOAM-75X36X90MM</v>
      </c>
      <c r="F11" s="10" t="s">
        <v>11</v>
      </c>
      <c r="G11" s="9">
        <v>1</v>
      </c>
      <c r="H11" s="9">
        <f t="shared" si="0"/>
        <v>1</v>
      </c>
      <c r="I11" s="34" t="s">
        <v>15</v>
      </c>
      <c r="J11" s="11"/>
      <c r="K11" s="19"/>
      <c r="L11" s="19"/>
      <c r="M11" s="15"/>
      <c r="N11" s="18"/>
      <c r="O11" s="15"/>
      <c r="P11" s="15"/>
      <c r="Q11" s="15"/>
      <c r="R11" s="27" t="s">
        <v>88</v>
      </c>
      <c r="S11" s="27" t="s">
        <v>104</v>
      </c>
      <c r="T11" s="27" t="s">
        <v>102</v>
      </c>
      <c r="U11" s="28" t="s">
        <v>99</v>
      </c>
    </row>
    <row r="12" spans="1:21" x14ac:dyDescent="0.25">
      <c r="J12" s="11"/>
      <c r="K12" s="15"/>
      <c r="L12" s="15"/>
      <c r="M12" s="15"/>
      <c r="N12" s="15"/>
      <c r="O12" s="15"/>
      <c r="P12" s="15"/>
      <c r="Q12" s="15"/>
      <c r="R12" s="27" t="s">
        <v>88</v>
      </c>
      <c r="S12" s="27" t="s">
        <v>105</v>
      </c>
      <c r="T12" s="27" t="s">
        <v>102</v>
      </c>
      <c r="U12" s="28" t="s">
        <v>99</v>
      </c>
    </row>
    <row r="13" spans="1:21" x14ac:dyDescent="0.25">
      <c r="J13" s="11"/>
      <c r="K13" s="17"/>
      <c r="R13" s="27" t="s">
        <v>88</v>
      </c>
      <c r="S13" s="27" t="s">
        <v>106</v>
      </c>
      <c r="T13" s="27" t="s">
        <v>102</v>
      </c>
      <c r="U13" s="28" t="s">
        <v>99</v>
      </c>
    </row>
    <row r="14" spans="1:21" x14ac:dyDescent="0.25">
      <c r="J14" s="11"/>
      <c r="M14" s="17"/>
      <c r="O14" s="17"/>
      <c r="R14" s="27" t="s">
        <v>88</v>
      </c>
      <c r="S14" s="27" t="s">
        <v>107</v>
      </c>
      <c r="T14" s="27" t="s">
        <v>102</v>
      </c>
      <c r="U14" s="28" t="s">
        <v>99</v>
      </c>
    </row>
    <row r="15" spans="1:21" x14ac:dyDescent="0.25">
      <c r="J15" s="11"/>
      <c r="N15"/>
      <c r="O15"/>
      <c r="R15" s="27" t="s">
        <v>88</v>
      </c>
      <c r="S15" s="27" t="s">
        <v>87</v>
      </c>
      <c r="T15" s="27" t="s">
        <v>102</v>
      </c>
      <c r="U15" s="28" t="s">
        <v>99</v>
      </c>
    </row>
    <row r="16" spans="1:21" x14ac:dyDescent="0.25">
      <c r="J16" s="11"/>
      <c r="M16" s="17"/>
      <c r="N16"/>
      <c r="O16"/>
      <c r="R16" s="27" t="s">
        <v>89</v>
      </c>
      <c r="S16" s="27" t="s">
        <v>101</v>
      </c>
      <c r="T16" s="27" t="s">
        <v>102</v>
      </c>
      <c r="U16" s="28" t="s">
        <v>99</v>
      </c>
    </row>
    <row r="17" spans="5:21" x14ac:dyDescent="0.25">
      <c r="J17" s="11"/>
      <c r="N17"/>
      <c r="O17"/>
      <c r="R17" s="27" t="s">
        <v>89</v>
      </c>
      <c r="S17" s="27" t="s">
        <v>103</v>
      </c>
      <c r="T17" s="27" t="s">
        <v>102</v>
      </c>
      <c r="U17" s="28" t="s">
        <v>99</v>
      </c>
    </row>
    <row r="18" spans="5:21" x14ac:dyDescent="0.25">
      <c r="J18" s="11"/>
      <c r="N18"/>
      <c r="O18"/>
      <c r="R18" s="27" t="s">
        <v>89</v>
      </c>
      <c r="S18" s="27" t="s">
        <v>104</v>
      </c>
      <c r="T18" s="27" t="s">
        <v>102</v>
      </c>
      <c r="U18" s="28" t="s">
        <v>99</v>
      </c>
    </row>
    <row r="19" spans="5:21" x14ac:dyDescent="0.25">
      <c r="J19" s="11"/>
      <c r="N19"/>
      <c r="O19"/>
      <c r="R19" s="27" t="s">
        <v>89</v>
      </c>
      <c r="S19" s="27" t="s">
        <v>105</v>
      </c>
      <c r="T19" s="27" t="s">
        <v>102</v>
      </c>
      <c r="U19" s="28" t="s">
        <v>99</v>
      </c>
    </row>
    <row r="20" spans="5:21" x14ac:dyDescent="0.25">
      <c r="J20" s="11"/>
      <c r="N20" s="26"/>
      <c r="O20"/>
      <c r="R20" s="27" t="s">
        <v>89</v>
      </c>
      <c r="S20" s="27" t="s">
        <v>106</v>
      </c>
      <c r="T20" s="27" t="s">
        <v>102</v>
      </c>
      <c r="U20" s="28" t="s">
        <v>99</v>
      </c>
    </row>
    <row r="21" spans="5:21" x14ac:dyDescent="0.25">
      <c r="J21" s="11"/>
      <c r="N21"/>
      <c r="O21"/>
      <c r="R21" s="27" t="s">
        <v>89</v>
      </c>
      <c r="S21" s="27" t="s">
        <v>107</v>
      </c>
      <c r="T21" s="27" t="s">
        <v>102</v>
      </c>
      <c r="U21" s="28" t="s">
        <v>99</v>
      </c>
    </row>
    <row r="22" spans="5:21" x14ac:dyDescent="0.25">
      <c r="J22" s="11"/>
      <c r="N22"/>
      <c r="O22"/>
      <c r="R22" s="27" t="s">
        <v>89</v>
      </c>
      <c r="S22" s="27" t="s">
        <v>87</v>
      </c>
      <c r="T22" s="27" t="s">
        <v>102</v>
      </c>
      <c r="U22" s="28" t="s">
        <v>99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/>
      <c r="S23" s="27"/>
      <c r="T23" s="27"/>
      <c r="U23" s="28"/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/>
      <c r="S24" s="27"/>
      <c r="T24" s="27"/>
      <c r="U24" s="28"/>
    </row>
    <row r="25" spans="5:21" x14ac:dyDescent="0.25">
      <c r="N25"/>
      <c r="O25"/>
      <c r="R25" s="27"/>
      <c r="S25" s="27"/>
      <c r="T25" s="27"/>
      <c r="U25" s="28"/>
    </row>
    <row r="26" spans="5:21" x14ac:dyDescent="0.25">
      <c r="N26"/>
      <c r="O26"/>
      <c r="R26" s="27"/>
      <c r="S26" s="27"/>
      <c r="T26" s="27"/>
      <c r="U26" s="28"/>
    </row>
    <row r="27" spans="5:21" x14ac:dyDescent="0.25">
      <c r="N27"/>
      <c r="O27"/>
      <c r="R27" s="27"/>
      <c r="S27" s="27"/>
      <c r="T27" s="27"/>
      <c r="U27" s="28"/>
    </row>
    <row r="28" spans="5:21" x14ac:dyDescent="0.25">
      <c r="M28" s="17"/>
      <c r="N28"/>
      <c r="O28"/>
      <c r="R28" s="27"/>
      <c r="S28" s="27"/>
      <c r="T28" s="27"/>
      <c r="U28" s="28"/>
    </row>
    <row r="29" spans="5:21" x14ac:dyDescent="0.25">
      <c r="E29" s="17"/>
      <c r="N29"/>
      <c r="O29"/>
      <c r="R29" s="27"/>
      <c r="S29" s="27"/>
      <c r="T29" s="27"/>
      <c r="U29" s="28"/>
    </row>
    <row r="30" spans="5:21" x14ac:dyDescent="0.25">
      <c r="H30" s="17"/>
      <c r="N30"/>
      <c r="O30"/>
      <c r="R30" s="27"/>
      <c r="S30" s="27"/>
      <c r="T30" s="27"/>
      <c r="U30" s="28"/>
    </row>
    <row r="31" spans="5:21" x14ac:dyDescent="0.25">
      <c r="N31"/>
      <c r="O31"/>
      <c r="R31" s="27"/>
      <c r="S31" s="27"/>
      <c r="T31" s="27"/>
      <c r="U31" s="28"/>
    </row>
    <row r="32" spans="5:21" x14ac:dyDescent="0.25">
      <c r="N32"/>
      <c r="O32"/>
      <c r="R32" s="27"/>
      <c r="S32" s="27"/>
      <c r="T32" s="27"/>
      <c r="U32" s="28"/>
    </row>
    <row r="33" spans="14:21" x14ac:dyDescent="0.25">
      <c r="N33"/>
      <c r="O33"/>
      <c r="R33" s="27"/>
      <c r="S33" s="27"/>
      <c r="T33" s="27"/>
      <c r="U33" s="28"/>
    </row>
    <row r="34" spans="14:21" x14ac:dyDescent="0.25">
      <c r="N34"/>
      <c r="O34"/>
      <c r="R34" s="27"/>
      <c r="S34" s="27"/>
      <c r="T34" s="27"/>
      <c r="U34" s="28"/>
    </row>
    <row r="35" spans="14:21" x14ac:dyDescent="0.25">
      <c r="N35"/>
      <c r="O35"/>
      <c r="R35" s="27"/>
      <c r="S35" s="27"/>
      <c r="T35" s="27"/>
      <c r="U35" s="28"/>
    </row>
    <row r="36" spans="14:21" x14ac:dyDescent="0.25">
      <c r="N36"/>
      <c r="O36"/>
      <c r="R36" s="27"/>
      <c r="S36" s="27"/>
      <c r="T36" s="27"/>
      <c r="U36" s="28"/>
    </row>
    <row r="37" spans="14:21" x14ac:dyDescent="0.25">
      <c r="N37"/>
      <c r="O37"/>
      <c r="R37" s="27"/>
      <c r="S37" s="27"/>
      <c r="T37" s="27"/>
      <c r="U37" s="28"/>
    </row>
    <row r="38" spans="14:21" x14ac:dyDescent="0.25">
      <c r="N38"/>
      <c r="O38"/>
      <c r="R38" s="27"/>
      <c r="S38" s="27"/>
      <c r="T38" s="27"/>
      <c r="U38" s="28"/>
    </row>
    <row r="39" spans="14:21" x14ac:dyDescent="0.25">
      <c r="N39"/>
      <c r="O39"/>
      <c r="R39" s="27"/>
      <c r="S39" s="27"/>
      <c r="T39" s="27"/>
      <c r="U39" s="28"/>
    </row>
    <row r="40" spans="14:21" x14ac:dyDescent="0.25">
      <c r="N40"/>
      <c r="O40"/>
      <c r="R40" s="27"/>
      <c r="S40" s="27"/>
      <c r="T40" s="27"/>
      <c r="U40" s="28"/>
    </row>
    <row r="41" spans="14:21" x14ac:dyDescent="0.25">
      <c r="N41"/>
      <c r="O41"/>
      <c r="R41" s="27"/>
      <c r="S41" s="27"/>
      <c r="T41" s="27"/>
      <c r="U41" s="28"/>
    </row>
    <row r="42" spans="14:21" x14ac:dyDescent="0.25">
      <c r="N42"/>
      <c r="O42"/>
      <c r="R42" s="27"/>
      <c r="S42" s="27"/>
      <c r="T42" s="27"/>
      <c r="U42" s="28"/>
    </row>
    <row r="43" spans="14:21" x14ac:dyDescent="0.25">
      <c r="N43"/>
      <c r="O43"/>
      <c r="R43" s="27"/>
      <c r="S43" s="27"/>
      <c r="T43" s="27"/>
      <c r="U43" s="28"/>
    </row>
    <row r="44" spans="14:21" x14ac:dyDescent="0.25">
      <c r="N44"/>
      <c r="O44"/>
      <c r="R44" s="27"/>
      <c r="S44" s="27"/>
      <c r="T44" s="27"/>
      <c r="U44" s="28"/>
    </row>
    <row r="45" spans="14:21" x14ac:dyDescent="0.25">
      <c r="N45"/>
      <c r="O45"/>
      <c r="R45" s="27"/>
      <c r="S45" s="27"/>
      <c r="T45" s="27"/>
      <c r="U45" s="28"/>
    </row>
    <row r="46" spans="14:21" x14ac:dyDescent="0.25">
      <c r="N46"/>
      <c r="O46"/>
      <c r="R46" s="27"/>
      <c r="S46" s="27"/>
      <c r="T46" s="27"/>
      <c r="U46" s="28"/>
    </row>
    <row r="47" spans="14:21" x14ac:dyDescent="0.25">
      <c r="N47"/>
      <c r="O47"/>
      <c r="R47" s="27"/>
      <c r="S47" s="27"/>
      <c r="T47" s="27"/>
      <c r="U47" s="28"/>
    </row>
    <row r="48" spans="14:21" x14ac:dyDescent="0.25">
      <c r="N48"/>
      <c r="O48"/>
      <c r="R48" s="27"/>
      <c r="S48" s="27"/>
      <c r="T48" s="27"/>
      <c r="U48" s="28"/>
    </row>
    <row r="49" spans="14:21" x14ac:dyDescent="0.25">
      <c r="N49"/>
      <c r="O49"/>
      <c r="R49" s="27"/>
      <c r="S49" s="27"/>
      <c r="T49" s="27"/>
      <c r="U49" s="28"/>
    </row>
    <row r="50" spans="14:21" x14ac:dyDescent="0.25">
      <c r="R50" s="27"/>
      <c r="S50" s="27"/>
      <c r="T50" s="27"/>
      <c r="U50" s="28"/>
    </row>
    <row r="51" spans="14:21" x14ac:dyDescent="0.25">
      <c r="R51" s="27"/>
      <c r="S51" s="27"/>
      <c r="T51" s="27"/>
      <c r="U51" s="28"/>
    </row>
    <row r="52" spans="14:21" x14ac:dyDescent="0.25">
      <c r="R52" s="27"/>
      <c r="S52" s="27"/>
      <c r="T52" s="27"/>
      <c r="U52" s="28"/>
    </row>
    <row r="53" spans="14:21" x14ac:dyDescent="0.25">
      <c r="R53" s="27"/>
      <c r="S53" s="27"/>
      <c r="T53" s="27"/>
      <c r="U53" s="28"/>
    </row>
    <row r="54" spans="14:21" x14ac:dyDescent="0.25">
      <c r="R54" s="27"/>
      <c r="S54" s="27"/>
      <c r="T54" s="27"/>
      <c r="U54" s="28"/>
    </row>
    <row r="55" spans="14:21" x14ac:dyDescent="0.25">
      <c r="R55" s="27"/>
      <c r="S55" s="27"/>
      <c r="T55" s="27"/>
      <c r="U55" s="28"/>
    </row>
    <row r="56" spans="14:21" x14ac:dyDescent="0.25">
      <c r="R56" s="27"/>
      <c r="S56" s="27"/>
      <c r="T56" s="27"/>
      <c r="U56" s="28"/>
    </row>
    <row r="57" spans="14:21" x14ac:dyDescent="0.25">
      <c r="R57" s="27"/>
      <c r="S57" s="27"/>
      <c r="T57" s="27"/>
      <c r="U57" s="28"/>
    </row>
    <row r="58" spans="14:21" x14ac:dyDescent="0.25">
      <c r="R58" s="27"/>
      <c r="S58" s="27"/>
      <c r="T58" s="27"/>
      <c r="U58" s="28"/>
    </row>
    <row r="59" spans="14:21" x14ac:dyDescent="0.25">
      <c r="R59" s="27"/>
      <c r="S59" s="27"/>
      <c r="T59" s="27"/>
      <c r="U59" s="28"/>
    </row>
    <row r="60" spans="14:21" x14ac:dyDescent="0.25">
      <c r="R60" s="27"/>
      <c r="S60" s="27"/>
      <c r="T60" s="27"/>
      <c r="U60" s="28"/>
    </row>
    <row r="61" spans="14:21" x14ac:dyDescent="0.25">
      <c r="R61" s="27"/>
      <c r="S61" s="27"/>
      <c r="T61" s="27"/>
      <c r="U61" s="28"/>
    </row>
    <row r="62" spans="14:21" x14ac:dyDescent="0.25">
      <c r="R62" s="27"/>
      <c r="S62" s="27"/>
      <c r="T62" s="27"/>
      <c r="U62" s="28"/>
    </row>
    <row r="63" spans="14:21" x14ac:dyDescent="0.25">
      <c r="R63" s="27"/>
      <c r="S63" s="27"/>
      <c r="T63" s="27"/>
      <c r="U63" s="28"/>
    </row>
    <row r="64" spans="14:21" x14ac:dyDescent="0.25">
      <c r="R64" s="27"/>
      <c r="S64" s="27"/>
      <c r="T64" s="27"/>
      <c r="U64" s="28"/>
    </row>
    <row r="65" spans="18:21" x14ac:dyDescent="0.25">
      <c r="R65" s="27"/>
      <c r="S65" s="27"/>
      <c r="T65" s="27"/>
      <c r="U65" s="28"/>
    </row>
    <row r="66" spans="18:21" x14ac:dyDescent="0.25">
      <c r="R66" s="27"/>
      <c r="S66" s="27"/>
      <c r="T66" s="27"/>
      <c r="U66" s="28"/>
    </row>
    <row r="67" spans="18:21" x14ac:dyDescent="0.25">
      <c r="R67" s="27"/>
      <c r="S67" s="27"/>
      <c r="T67" s="27"/>
      <c r="U67" s="28"/>
    </row>
    <row r="68" spans="18:21" x14ac:dyDescent="0.25">
      <c r="R68" s="27"/>
      <c r="S68" s="27"/>
      <c r="T68" s="27"/>
      <c r="U68" s="28"/>
    </row>
    <row r="69" spans="18:21" x14ac:dyDescent="0.25">
      <c r="R69" s="27"/>
      <c r="S69" s="27"/>
      <c r="T69" s="27"/>
      <c r="U69" s="28"/>
    </row>
    <row r="70" spans="18:21" x14ac:dyDescent="0.25">
      <c r="R70" s="27"/>
      <c r="S70" s="27"/>
      <c r="T70" s="27"/>
      <c r="U70" s="28"/>
    </row>
    <row r="71" spans="18:21" x14ac:dyDescent="0.25">
      <c r="R71" s="27"/>
      <c r="S71" s="27"/>
      <c r="T71" s="27"/>
      <c r="U71" s="28"/>
    </row>
    <row r="72" spans="18:21" x14ac:dyDescent="0.25">
      <c r="R72" s="27"/>
      <c r="S72" s="27"/>
      <c r="T72" s="27"/>
      <c r="U72" s="28"/>
    </row>
    <row r="73" spans="18:21" x14ac:dyDescent="0.25">
      <c r="R73" s="27"/>
      <c r="S73" s="27"/>
      <c r="T73" s="27"/>
      <c r="U73" s="28"/>
    </row>
    <row r="74" spans="18:21" x14ac:dyDescent="0.25">
      <c r="R74" s="27"/>
      <c r="S74" s="27"/>
      <c r="T74" s="27"/>
      <c r="U74" s="28"/>
    </row>
    <row r="75" spans="18:21" x14ac:dyDescent="0.25">
      <c r="R75" s="27"/>
      <c r="S75" s="27"/>
      <c r="T75" s="27"/>
      <c r="U75" s="28"/>
    </row>
    <row r="76" spans="18:21" x14ac:dyDescent="0.25">
      <c r="R76" s="27"/>
      <c r="S76" s="27"/>
      <c r="T76" s="27"/>
      <c r="U76" s="28"/>
    </row>
    <row r="77" spans="18:21" x14ac:dyDescent="0.25">
      <c r="R77" s="27"/>
      <c r="S77" s="27"/>
      <c r="T77" s="27"/>
      <c r="U77" s="28"/>
    </row>
    <row r="78" spans="18:21" x14ac:dyDescent="0.25">
      <c r="R78" s="27"/>
      <c r="S78" s="27"/>
      <c r="T78" s="27"/>
      <c r="U78" s="28"/>
    </row>
    <row r="79" spans="18:21" x14ac:dyDescent="0.25">
      <c r="R79" s="27"/>
      <c r="S79" s="27"/>
      <c r="T79" s="27"/>
      <c r="U79" s="28"/>
    </row>
    <row r="80" spans="18:21" x14ac:dyDescent="0.25">
      <c r="R80" s="27"/>
      <c r="S80" s="27"/>
      <c r="T80" s="27"/>
      <c r="U80" s="28"/>
    </row>
    <row r="81" spans="18:21" x14ac:dyDescent="0.25">
      <c r="R81" s="27"/>
      <c r="S81" s="27"/>
      <c r="T81" s="27"/>
      <c r="U81" s="28"/>
    </row>
    <row r="82" spans="18:21" x14ac:dyDescent="0.25">
      <c r="R82" s="27"/>
      <c r="S82" s="27"/>
      <c r="T82" s="27"/>
      <c r="U82" s="28"/>
    </row>
    <row r="83" spans="18:21" x14ac:dyDescent="0.25">
      <c r="R83" s="27"/>
      <c r="S83" s="27"/>
      <c r="T83" s="27"/>
      <c r="U83" s="28"/>
    </row>
    <row r="84" spans="18:21" x14ac:dyDescent="0.25">
      <c r="R84" s="27"/>
      <c r="S84" s="27"/>
      <c r="T84" s="27"/>
      <c r="U84" s="28"/>
    </row>
    <row r="85" spans="18:21" x14ac:dyDescent="0.25">
      <c r="R85" s="27"/>
      <c r="S85" s="27"/>
      <c r="T85" s="27"/>
      <c r="U85" s="28"/>
    </row>
    <row r="86" spans="18:21" x14ac:dyDescent="0.25">
      <c r="R86" s="27"/>
      <c r="S86" s="27"/>
      <c r="T86" s="27"/>
      <c r="U86" s="28"/>
    </row>
    <row r="87" spans="18:21" x14ac:dyDescent="0.25">
      <c r="R87" s="27"/>
      <c r="S87" s="27"/>
      <c r="T87" s="27"/>
      <c r="U87" s="28"/>
    </row>
    <row r="88" spans="18:21" x14ac:dyDescent="0.25">
      <c r="R88" s="27"/>
      <c r="S88" s="27"/>
      <c r="T88" s="27"/>
      <c r="U88" s="28"/>
    </row>
    <row r="89" spans="18:21" x14ac:dyDescent="0.25">
      <c r="R89" s="27"/>
      <c r="S89" s="27"/>
      <c r="T89" s="27"/>
      <c r="U89" s="28"/>
    </row>
    <row r="90" spans="18:21" x14ac:dyDescent="0.25">
      <c r="R90" s="27"/>
      <c r="S90" s="27"/>
      <c r="T90" s="27"/>
      <c r="U90" s="28"/>
    </row>
    <row r="91" spans="18:21" x14ac:dyDescent="0.25">
      <c r="R91" s="27"/>
      <c r="S91" s="27"/>
      <c r="T91" s="27"/>
      <c r="U91" s="28"/>
    </row>
    <row r="92" spans="18:21" x14ac:dyDescent="0.25">
      <c r="R92" s="27"/>
      <c r="S92" s="27"/>
      <c r="T92" s="27"/>
      <c r="U92" s="28"/>
    </row>
    <row r="93" spans="18:21" x14ac:dyDescent="0.25">
      <c r="R93" s="27"/>
      <c r="S93" s="27"/>
      <c r="T93" s="27"/>
      <c r="U93" s="28"/>
    </row>
    <row r="94" spans="18:21" x14ac:dyDescent="0.25">
      <c r="R94" s="27"/>
      <c r="S94" s="27"/>
      <c r="T94" s="27"/>
      <c r="U94" s="28"/>
    </row>
    <row r="95" spans="18:21" x14ac:dyDescent="0.25">
      <c r="R95" s="27"/>
      <c r="S95" s="27"/>
      <c r="T95" s="27"/>
      <c r="U95" s="28"/>
    </row>
    <row r="96" spans="18:21" x14ac:dyDescent="0.25">
      <c r="R96" s="27"/>
      <c r="S96" s="27"/>
      <c r="T96" s="27"/>
      <c r="U96" s="28"/>
    </row>
    <row r="97" spans="18:21" x14ac:dyDescent="0.25">
      <c r="R97" s="27"/>
      <c r="S97" s="27"/>
      <c r="T97" s="27"/>
      <c r="U97" s="28"/>
    </row>
    <row r="98" spans="18:21" x14ac:dyDescent="0.25">
      <c r="R98" s="27"/>
      <c r="S98" s="27"/>
      <c r="T98" s="27"/>
      <c r="U98" s="28"/>
    </row>
    <row r="99" spans="18:21" x14ac:dyDescent="0.25">
      <c r="R99" s="27"/>
      <c r="S99" s="27"/>
      <c r="T99" s="27"/>
      <c r="U99" s="28"/>
    </row>
    <row r="100" spans="18:21" x14ac:dyDescent="0.25">
      <c r="R100" s="27"/>
      <c r="S100" s="27"/>
      <c r="T100" s="27"/>
      <c r="U100" s="28"/>
    </row>
    <row r="101" spans="18:21" x14ac:dyDescent="0.25">
      <c r="R101" s="27"/>
      <c r="S101" s="27"/>
      <c r="T101" s="27"/>
      <c r="U101" s="28"/>
    </row>
    <row r="102" spans="18:21" x14ac:dyDescent="0.25">
      <c r="R102" s="27"/>
      <c r="S102" s="27"/>
      <c r="T102" s="27"/>
      <c r="U102" s="28"/>
    </row>
    <row r="103" spans="18:21" x14ac:dyDescent="0.25">
      <c r="R103" s="27"/>
      <c r="S103" s="27"/>
      <c r="T103" s="27"/>
      <c r="U103" s="28"/>
    </row>
    <row r="104" spans="18:21" x14ac:dyDescent="0.25">
      <c r="R104" s="27"/>
      <c r="S104" s="27"/>
      <c r="T104" s="27"/>
      <c r="U104" s="28"/>
    </row>
    <row r="105" spans="18:21" x14ac:dyDescent="0.25">
      <c r="R105" s="27"/>
      <c r="S105" s="27"/>
      <c r="T105" s="27"/>
      <c r="U105" s="28"/>
    </row>
    <row r="106" spans="18:21" x14ac:dyDescent="0.25">
      <c r="R106" s="27"/>
      <c r="S106" s="27"/>
      <c r="T106" s="27"/>
      <c r="U106" s="28"/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76</v>
      </c>
      <c r="B1" s="24" t="s">
        <v>77</v>
      </c>
      <c r="C1" s="25" t="s">
        <v>78</v>
      </c>
      <c r="D1" s="24" t="s">
        <v>79</v>
      </c>
      <c r="E1" s="24" t="s">
        <v>4</v>
      </c>
      <c r="F1" s="24" t="s">
        <v>80</v>
      </c>
      <c r="G1" s="25" t="s">
        <v>81</v>
      </c>
    </row>
    <row r="2" spans="1:7" x14ac:dyDescent="0.25">
      <c r="A2">
        <v>1</v>
      </c>
      <c r="B2" t="s">
        <v>108</v>
      </c>
      <c r="C2">
        <v>10</v>
      </c>
      <c r="D2" t="s">
        <v>92</v>
      </c>
      <c r="E2" t="s">
        <v>14</v>
      </c>
      <c r="F2">
        <v>1.575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93</v>
      </c>
      <c r="E3" t="s">
        <v>94</v>
      </c>
      <c r="F3">
        <v>0.219</v>
      </c>
      <c r="G3" t="s">
        <v>13</v>
      </c>
    </row>
    <row r="4" spans="1:7" x14ac:dyDescent="0.25">
      <c r="A4">
        <v>1</v>
      </c>
      <c r="B4" t="s">
        <v>108</v>
      </c>
      <c r="C4">
        <v>30</v>
      </c>
      <c r="D4" t="s">
        <v>95</v>
      </c>
      <c r="E4" t="s">
        <v>11</v>
      </c>
      <c r="F4">
        <v>1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96</v>
      </c>
      <c r="E5" t="s">
        <v>14</v>
      </c>
      <c r="F5">
        <v>10.77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100</v>
      </c>
      <c r="E6" t="s">
        <v>14</v>
      </c>
      <c r="F6">
        <v>66.233000000000004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90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18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19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97</v>
      </c>
      <c r="E10" t="s">
        <v>12</v>
      </c>
      <c r="F10">
        <v>0.27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109</v>
      </c>
      <c r="E11" t="s">
        <v>11</v>
      </c>
      <c r="F11">
        <v>1</v>
      </c>
      <c r="G11" t="s">
        <v>15</v>
      </c>
    </row>
    <row r="12" spans="1:7" x14ac:dyDescent="0.25">
      <c r="A12">
        <v>2</v>
      </c>
      <c r="B12" t="s">
        <v>110</v>
      </c>
      <c r="C12">
        <v>10</v>
      </c>
      <c r="D12" t="s">
        <v>92</v>
      </c>
      <c r="E12" t="s">
        <v>14</v>
      </c>
      <c r="F12">
        <v>1.88</v>
      </c>
      <c r="G12" t="s">
        <v>15</v>
      </c>
    </row>
    <row r="13" spans="1:7" x14ac:dyDescent="0.25">
      <c r="A13">
        <v>2</v>
      </c>
      <c r="B13" t="s">
        <v>110</v>
      </c>
      <c r="C13">
        <v>20</v>
      </c>
      <c r="D13" t="s">
        <v>93</v>
      </c>
      <c r="E13" t="s">
        <v>94</v>
      </c>
      <c r="F13">
        <v>0.26200000000000001</v>
      </c>
      <c r="G13" t="s">
        <v>13</v>
      </c>
    </row>
    <row r="14" spans="1:7" x14ac:dyDescent="0.25">
      <c r="A14">
        <v>2</v>
      </c>
      <c r="B14" t="s">
        <v>110</v>
      </c>
      <c r="C14">
        <v>30</v>
      </c>
      <c r="D14" t="s">
        <v>95</v>
      </c>
      <c r="E14" t="s">
        <v>11</v>
      </c>
      <c r="F14">
        <v>1</v>
      </c>
      <c r="G14" t="s">
        <v>13</v>
      </c>
    </row>
    <row r="15" spans="1:7" x14ac:dyDescent="0.25">
      <c r="A15">
        <v>2</v>
      </c>
      <c r="B15" t="s">
        <v>110</v>
      </c>
      <c r="C15">
        <v>40</v>
      </c>
      <c r="D15" t="s">
        <v>96</v>
      </c>
      <c r="E15" t="s">
        <v>14</v>
      </c>
      <c r="F15">
        <v>11.379</v>
      </c>
      <c r="G15" t="s">
        <v>13</v>
      </c>
    </row>
    <row r="16" spans="1:7" x14ac:dyDescent="0.25">
      <c r="A16">
        <v>2</v>
      </c>
      <c r="B16" t="s">
        <v>110</v>
      </c>
      <c r="C16">
        <v>50</v>
      </c>
      <c r="D16" t="s">
        <v>100</v>
      </c>
      <c r="E16" t="s">
        <v>14</v>
      </c>
      <c r="F16">
        <v>69.981999999999999</v>
      </c>
      <c r="G16" t="s">
        <v>13</v>
      </c>
    </row>
    <row r="17" spans="1:7" x14ac:dyDescent="0.25">
      <c r="A17">
        <v>2</v>
      </c>
      <c r="B17" t="s">
        <v>110</v>
      </c>
      <c r="C17">
        <v>60</v>
      </c>
      <c r="D17" t="s">
        <v>90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70</v>
      </c>
      <c r="D18" t="s">
        <v>18</v>
      </c>
      <c r="E18" t="s">
        <v>11</v>
      </c>
      <c r="F18">
        <v>1</v>
      </c>
      <c r="G18" t="s">
        <v>13</v>
      </c>
    </row>
    <row r="19" spans="1:7" x14ac:dyDescent="0.25">
      <c r="A19">
        <v>2</v>
      </c>
      <c r="B19" t="s">
        <v>110</v>
      </c>
      <c r="C19">
        <v>80</v>
      </c>
      <c r="D19" t="s">
        <v>19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110</v>
      </c>
      <c r="C20">
        <v>90</v>
      </c>
      <c r="D20" t="s">
        <v>97</v>
      </c>
      <c r="E20" t="s">
        <v>12</v>
      </c>
      <c r="F20">
        <v>0.315</v>
      </c>
      <c r="G20" t="s">
        <v>13</v>
      </c>
    </row>
    <row r="21" spans="1:7" x14ac:dyDescent="0.25">
      <c r="A21">
        <v>2</v>
      </c>
      <c r="B21" t="s">
        <v>110</v>
      </c>
      <c r="C21">
        <v>100</v>
      </c>
      <c r="D21" t="s">
        <v>111</v>
      </c>
      <c r="E21" t="s">
        <v>11</v>
      </c>
      <c r="F21">
        <v>1</v>
      </c>
      <c r="G21" t="s">
        <v>15</v>
      </c>
    </row>
    <row r="22" spans="1:7" x14ac:dyDescent="0.25">
      <c r="A22">
        <v>3</v>
      </c>
      <c r="B22" t="s">
        <v>112</v>
      </c>
      <c r="C22">
        <v>10</v>
      </c>
      <c r="D22" t="s">
        <v>92</v>
      </c>
      <c r="E22" t="s">
        <v>14</v>
      </c>
      <c r="F22">
        <v>2.1840000000000002</v>
      </c>
      <c r="G22" t="s">
        <v>15</v>
      </c>
    </row>
    <row r="23" spans="1:7" x14ac:dyDescent="0.25">
      <c r="A23">
        <v>3</v>
      </c>
      <c r="B23" t="s">
        <v>112</v>
      </c>
      <c r="C23">
        <v>20</v>
      </c>
      <c r="D23" t="s">
        <v>93</v>
      </c>
      <c r="E23" t="s">
        <v>94</v>
      </c>
      <c r="F23">
        <v>0.30599999999999999</v>
      </c>
      <c r="G23" t="s">
        <v>13</v>
      </c>
    </row>
    <row r="24" spans="1:7" x14ac:dyDescent="0.25">
      <c r="A24">
        <v>3</v>
      </c>
      <c r="B24" t="s">
        <v>112</v>
      </c>
      <c r="C24">
        <v>30</v>
      </c>
      <c r="D24" t="s">
        <v>95</v>
      </c>
      <c r="E24" t="s">
        <v>11</v>
      </c>
      <c r="F24">
        <v>1</v>
      </c>
      <c r="G24" t="s">
        <v>13</v>
      </c>
    </row>
    <row r="25" spans="1:7" x14ac:dyDescent="0.25">
      <c r="A25">
        <v>3</v>
      </c>
      <c r="B25" t="s">
        <v>112</v>
      </c>
      <c r="C25">
        <v>40</v>
      </c>
      <c r="D25" t="s">
        <v>96</v>
      </c>
      <c r="E25" t="s">
        <v>14</v>
      </c>
      <c r="F25">
        <v>11.989000000000001</v>
      </c>
      <c r="G25" t="s">
        <v>13</v>
      </c>
    </row>
    <row r="26" spans="1:7" x14ac:dyDescent="0.25">
      <c r="A26">
        <v>3</v>
      </c>
      <c r="B26" t="s">
        <v>112</v>
      </c>
      <c r="C26">
        <v>50</v>
      </c>
      <c r="D26" t="s">
        <v>100</v>
      </c>
      <c r="E26" t="s">
        <v>14</v>
      </c>
      <c r="F26">
        <v>73.730999999999995</v>
      </c>
      <c r="G26" t="s">
        <v>13</v>
      </c>
    </row>
    <row r="27" spans="1:7" x14ac:dyDescent="0.25">
      <c r="A27">
        <v>3</v>
      </c>
      <c r="B27" t="s">
        <v>112</v>
      </c>
      <c r="C27">
        <v>60</v>
      </c>
      <c r="D27" t="s">
        <v>90</v>
      </c>
      <c r="E27" t="s">
        <v>11</v>
      </c>
      <c r="F27">
        <v>1</v>
      </c>
      <c r="G27" t="s">
        <v>13</v>
      </c>
    </row>
    <row r="28" spans="1:7" x14ac:dyDescent="0.25">
      <c r="A28">
        <v>3</v>
      </c>
      <c r="B28" t="s">
        <v>112</v>
      </c>
      <c r="C28">
        <v>70</v>
      </c>
      <c r="D28" t="s">
        <v>18</v>
      </c>
      <c r="E28" t="s">
        <v>11</v>
      </c>
      <c r="F28">
        <v>1</v>
      </c>
      <c r="G28" t="s">
        <v>13</v>
      </c>
    </row>
    <row r="29" spans="1:7" x14ac:dyDescent="0.25">
      <c r="A29">
        <v>3</v>
      </c>
      <c r="B29" t="s">
        <v>112</v>
      </c>
      <c r="C29">
        <v>80</v>
      </c>
      <c r="D29" t="s">
        <v>19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112</v>
      </c>
      <c r="C30">
        <v>90</v>
      </c>
      <c r="D30" t="s">
        <v>97</v>
      </c>
      <c r="E30" t="s">
        <v>12</v>
      </c>
      <c r="F30">
        <v>0.36</v>
      </c>
      <c r="G30" t="s">
        <v>13</v>
      </c>
    </row>
    <row r="31" spans="1:7" x14ac:dyDescent="0.25">
      <c r="A31">
        <v>3</v>
      </c>
      <c r="B31" t="s">
        <v>112</v>
      </c>
      <c r="C31">
        <v>100</v>
      </c>
      <c r="D31" t="s">
        <v>113</v>
      </c>
      <c r="E31" t="s">
        <v>11</v>
      </c>
      <c r="F31">
        <v>1</v>
      </c>
      <c r="G31" t="s">
        <v>15</v>
      </c>
    </row>
    <row r="32" spans="1:7" x14ac:dyDescent="0.25">
      <c r="A32">
        <v>4</v>
      </c>
      <c r="B32" t="s">
        <v>114</v>
      </c>
      <c r="C32">
        <v>10</v>
      </c>
      <c r="D32" t="s">
        <v>92</v>
      </c>
      <c r="E32" t="s">
        <v>14</v>
      </c>
      <c r="F32">
        <v>2.4889999999999999</v>
      </c>
      <c r="G32" t="s">
        <v>15</v>
      </c>
    </row>
    <row r="33" spans="1:7" x14ac:dyDescent="0.25">
      <c r="A33">
        <v>4</v>
      </c>
      <c r="B33" t="s">
        <v>114</v>
      </c>
      <c r="C33">
        <v>20</v>
      </c>
      <c r="D33" t="s">
        <v>93</v>
      </c>
      <c r="E33" t="s">
        <v>94</v>
      </c>
      <c r="F33">
        <v>0.35</v>
      </c>
      <c r="G33" t="s">
        <v>13</v>
      </c>
    </row>
    <row r="34" spans="1:7" x14ac:dyDescent="0.25">
      <c r="A34">
        <v>4</v>
      </c>
      <c r="B34" t="s">
        <v>114</v>
      </c>
      <c r="C34">
        <v>30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4</v>
      </c>
      <c r="B35" t="s">
        <v>114</v>
      </c>
      <c r="C35">
        <v>40</v>
      </c>
      <c r="D35" t="s">
        <v>96</v>
      </c>
      <c r="E35" t="s">
        <v>14</v>
      </c>
      <c r="F35">
        <v>12.598000000000001</v>
      </c>
      <c r="G35" t="s">
        <v>13</v>
      </c>
    </row>
    <row r="36" spans="1:7" x14ac:dyDescent="0.25">
      <c r="A36">
        <v>4</v>
      </c>
      <c r="B36" t="s">
        <v>114</v>
      </c>
      <c r="C36">
        <v>50</v>
      </c>
      <c r="D36" t="s">
        <v>100</v>
      </c>
      <c r="E36" t="s">
        <v>14</v>
      </c>
      <c r="F36">
        <v>77.48</v>
      </c>
      <c r="G36" t="s">
        <v>13</v>
      </c>
    </row>
    <row r="37" spans="1:7" x14ac:dyDescent="0.25">
      <c r="A37">
        <v>4</v>
      </c>
      <c r="B37" t="s">
        <v>114</v>
      </c>
      <c r="C37">
        <v>60</v>
      </c>
      <c r="D37" t="s">
        <v>90</v>
      </c>
      <c r="E37" t="s">
        <v>11</v>
      </c>
      <c r="F37">
        <v>1</v>
      </c>
      <c r="G37" t="s">
        <v>13</v>
      </c>
    </row>
    <row r="38" spans="1:7" x14ac:dyDescent="0.25">
      <c r="A38">
        <v>4</v>
      </c>
      <c r="B38" t="s">
        <v>114</v>
      </c>
      <c r="C38">
        <v>70</v>
      </c>
      <c r="D38" t="s">
        <v>18</v>
      </c>
      <c r="E38" t="s">
        <v>11</v>
      </c>
      <c r="F38">
        <v>1</v>
      </c>
      <c r="G38" t="s">
        <v>13</v>
      </c>
    </row>
    <row r="39" spans="1:7" x14ac:dyDescent="0.25">
      <c r="A39">
        <v>4</v>
      </c>
      <c r="B39" t="s">
        <v>114</v>
      </c>
      <c r="C39">
        <v>80</v>
      </c>
      <c r="D39" t="s">
        <v>19</v>
      </c>
      <c r="E39" t="s">
        <v>11</v>
      </c>
      <c r="F39">
        <v>1</v>
      </c>
      <c r="G39" t="s">
        <v>13</v>
      </c>
    </row>
    <row r="40" spans="1:7" x14ac:dyDescent="0.25">
      <c r="A40">
        <v>4</v>
      </c>
      <c r="B40" t="s">
        <v>114</v>
      </c>
      <c r="C40">
        <v>90</v>
      </c>
      <c r="D40" t="s">
        <v>97</v>
      </c>
      <c r="E40" t="s">
        <v>12</v>
      </c>
      <c r="F40">
        <v>0.40500000000000003</v>
      </c>
      <c r="G40" t="s">
        <v>13</v>
      </c>
    </row>
    <row r="41" spans="1:7" x14ac:dyDescent="0.25">
      <c r="A41">
        <v>4</v>
      </c>
      <c r="B41" t="s">
        <v>114</v>
      </c>
      <c r="C41">
        <v>100</v>
      </c>
      <c r="D41" t="s">
        <v>115</v>
      </c>
      <c r="E41" t="s">
        <v>11</v>
      </c>
      <c r="F41">
        <v>1</v>
      </c>
      <c r="G41" t="s">
        <v>15</v>
      </c>
    </row>
    <row r="42" spans="1:7" x14ac:dyDescent="0.25">
      <c r="A42">
        <v>5</v>
      </c>
      <c r="B42" t="s">
        <v>116</v>
      </c>
      <c r="C42">
        <v>10</v>
      </c>
      <c r="D42" t="s">
        <v>92</v>
      </c>
      <c r="E42" t="s">
        <v>14</v>
      </c>
      <c r="F42">
        <v>3.0990000000000002</v>
      </c>
      <c r="G42" t="s">
        <v>15</v>
      </c>
    </row>
    <row r="43" spans="1:7" x14ac:dyDescent="0.25">
      <c r="A43">
        <v>5</v>
      </c>
      <c r="B43" t="s">
        <v>116</v>
      </c>
      <c r="C43">
        <v>20</v>
      </c>
      <c r="D43" t="s">
        <v>93</v>
      </c>
      <c r="E43" t="s">
        <v>94</v>
      </c>
      <c r="F43">
        <v>0.437</v>
      </c>
      <c r="G43" t="s">
        <v>13</v>
      </c>
    </row>
    <row r="44" spans="1:7" x14ac:dyDescent="0.25">
      <c r="A44">
        <v>5</v>
      </c>
      <c r="B44" t="s">
        <v>116</v>
      </c>
      <c r="C44">
        <v>30</v>
      </c>
      <c r="D44" t="s">
        <v>95</v>
      </c>
      <c r="E44" t="s">
        <v>11</v>
      </c>
      <c r="F44">
        <v>1</v>
      </c>
      <c r="G44" t="s">
        <v>13</v>
      </c>
    </row>
    <row r="45" spans="1:7" x14ac:dyDescent="0.25">
      <c r="A45">
        <v>5</v>
      </c>
      <c r="B45" t="s">
        <v>116</v>
      </c>
      <c r="C45">
        <v>40</v>
      </c>
      <c r="D45" t="s">
        <v>96</v>
      </c>
      <c r="E45" t="s">
        <v>14</v>
      </c>
      <c r="F45">
        <v>13.818</v>
      </c>
      <c r="G45" t="s">
        <v>13</v>
      </c>
    </row>
    <row r="46" spans="1:7" x14ac:dyDescent="0.25">
      <c r="A46">
        <v>5</v>
      </c>
      <c r="B46" t="s">
        <v>116</v>
      </c>
      <c r="C46">
        <v>50</v>
      </c>
      <c r="D46" t="s">
        <v>100</v>
      </c>
      <c r="E46" t="s">
        <v>14</v>
      </c>
      <c r="F46">
        <v>84.977999999999994</v>
      </c>
      <c r="G46" t="s">
        <v>13</v>
      </c>
    </row>
    <row r="47" spans="1:7" x14ac:dyDescent="0.25">
      <c r="A47">
        <v>5</v>
      </c>
      <c r="B47" t="s">
        <v>116</v>
      </c>
      <c r="C47">
        <v>60</v>
      </c>
      <c r="D47" t="s">
        <v>90</v>
      </c>
      <c r="E47" t="s">
        <v>11</v>
      </c>
      <c r="F47">
        <v>1</v>
      </c>
      <c r="G47" t="s">
        <v>13</v>
      </c>
    </row>
    <row r="48" spans="1:7" x14ac:dyDescent="0.25">
      <c r="A48">
        <v>5</v>
      </c>
      <c r="B48" t="s">
        <v>116</v>
      </c>
      <c r="C48">
        <v>70</v>
      </c>
      <c r="D48" t="s">
        <v>18</v>
      </c>
      <c r="E48" t="s">
        <v>11</v>
      </c>
      <c r="F48">
        <v>1</v>
      </c>
      <c r="G48" t="s">
        <v>13</v>
      </c>
    </row>
    <row r="49" spans="1:7" x14ac:dyDescent="0.25">
      <c r="A49">
        <v>5</v>
      </c>
      <c r="B49" t="s">
        <v>116</v>
      </c>
      <c r="C49">
        <v>80</v>
      </c>
      <c r="D49" t="s">
        <v>19</v>
      </c>
      <c r="E49" t="s">
        <v>11</v>
      </c>
      <c r="F49">
        <v>1</v>
      </c>
      <c r="G49" t="s">
        <v>13</v>
      </c>
    </row>
    <row r="50" spans="1:7" x14ac:dyDescent="0.25">
      <c r="A50">
        <v>5</v>
      </c>
      <c r="B50" t="s">
        <v>116</v>
      </c>
      <c r="C50">
        <v>90</v>
      </c>
      <c r="D50" t="s">
        <v>97</v>
      </c>
      <c r="E50" t="s">
        <v>12</v>
      </c>
      <c r="F50">
        <v>0.495</v>
      </c>
      <c r="G50" t="s">
        <v>13</v>
      </c>
    </row>
    <row r="51" spans="1:7" x14ac:dyDescent="0.25">
      <c r="A51">
        <v>5</v>
      </c>
      <c r="B51" t="s">
        <v>116</v>
      </c>
      <c r="C51">
        <v>100</v>
      </c>
      <c r="D51" t="s">
        <v>117</v>
      </c>
      <c r="E51" t="s">
        <v>11</v>
      </c>
      <c r="F51">
        <v>1</v>
      </c>
      <c r="G51" t="s">
        <v>15</v>
      </c>
    </row>
    <row r="52" spans="1:7" x14ac:dyDescent="0.25">
      <c r="A52">
        <v>6</v>
      </c>
      <c r="B52" t="s">
        <v>118</v>
      </c>
      <c r="C52">
        <v>10</v>
      </c>
      <c r="D52" t="s">
        <v>92</v>
      </c>
      <c r="E52" t="s">
        <v>14</v>
      </c>
      <c r="F52">
        <v>3.4039999999999999</v>
      </c>
      <c r="G52" t="s">
        <v>15</v>
      </c>
    </row>
    <row r="53" spans="1:7" x14ac:dyDescent="0.25">
      <c r="A53">
        <v>6</v>
      </c>
      <c r="B53" t="s">
        <v>118</v>
      </c>
      <c r="C53">
        <v>20</v>
      </c>
      <c r="D53" t="s">
        <v>93</v>
      </c>
      <c r="E53" t="s">
        <v>94</v>
      </c>
      <c r="F53">
        <v>0.48099999999999998</v>
      </c>
      <c r="G53" t="s">
        <v>13</v>
      </c>
    </row>
    <row r="54" spans="1:7" x14ac:dyDescent="0.25">
      <c r="A54">
        <v>6</v>
      </c>
      <c r="B54" t="s">
        <v>118</v>
      </c>
      <c r="C54">
        <v>30</v>
      </c>
      <c r="D54" t="s">
        <v>95</v>
      </c>
      <c r="E54" t="s">
        <v>11</v>
      </c>
      <c r="F54">
        <v>1</v>
      </c>
      <c r="G54" t="s">
        <v>13</v>
      </c>
    </row>
    <row r="55" spans="1:7" x14ac:dyDescent="0.25">
      <c r="A55">
        <v>6</v>
      </c>
      <c r="B55" t="s">
        <v>118</v>
      </c>
      <c r="C55">
        <v>40</v>
      </c>
      <c r="D55" t="s">
        <v>96</v>
      </c>
      <c r="E55" t="s">
        <v>14</v>
      </c>
      <c r="F55">
        <v>14.427</v>
      </c>
      <c r="G55" t="s">
        <v>13</v>
      </c>
    </row>
    <row r="56" spans="1:7" x14ac:dyDescent="0.25">
      <c r="A56">
        <v>6</v>
      </c>
      <c r="B56" t="s">
        <v>118</v>
      </c>
      <c r="C56">
        <v>50</v>
      </c>
      <c r="D56" t="s">
        <v>100</v>
      </c>
      <c r="E56" t="s">
        <v>14</v>
      </c>
      <c r="F56">
        <v>88.727000000000004</v>
      </c>
      <c r="G56" t="s">
        <v>13</v>
      </c>
    </row>
    <row r="57" spans="1:7" x14ac:dyDescent="0.25">
      <c r="A57">
        <v>6</v>
      </c>
      <c r="B57" t="s">
        <v>118</v>
      </c>
      <c r="C57">
        <v>60</v>
      </c>
      <c r="D57" t="s">
        <v>90</v>
      </c>
      <c r="E57" t="s">
        <v>11</v>
      </c>
      <c r="F57">
        <v>1</v>
      </c>
      <c r="G57" t="s">
        <v>13</v>
      </c>
    </row>
    <row r="58" spans="1:7" x14ac:dyDescent="0.25">
      <c r="A58">
        <v>6</v>
      </c>
      <c r="B58" t="s">
        <v>118</v>
      </c>
      <c r="C58">
        <v>70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6</v>
      </c>
      <c r="B59" t="s">
        <v>118</v>
      </c>
      <c r="C59">
        <v>80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6</v>
      </c>
      <c r="B60" t="s">
        <v>118</v>
      </c>
      <c r="C60">
        <v>90</v>
      </c>
      <c r="D60" t="s">
        <v>97</v>
      </c>
      <c r="E60" t="s">
        <v>12</v>
      </c>
      <c r="F60">
        <v>0.54</v>
      </c>
      <c r="G60" t="s">
        <v>13</v>
      </c>
    </row>
    <row r="61" spans="1:7" x14ac:dyDescent="0.25">
      <c r="A61">
        <v>6</v>
      </c>
      <c r="B61" t="s">
        <v>118</v>
      </c>
      <c r="C61">
        <v>100</v>
      </c>
      <c r="D61" t="s">
        <v>119</v>
      </c>
      <c r="E61" t="s">
        <v>11</v>
      </c>
      <c r="F61">
        <v>1</v>
      </c>
      <c r="G61" t="s">
        <v>15</v>
      </c>
    </row>
    <row r="62" spans="1:7" x14ac:dyDescent="0.25">
      <c r="A62">
        <v>7</v>
      </c>
      <c r="B62" t="s">
        <v>120</v>
      </c>
      <c r="C62">
        <v>10</v>
      </c>
      <c r="D62" t="s">
        <v>92</v>
      </c>
      <c r="E62" t="s">
        <v>14</v>
      </c>
      <c r="F62">
        <v>3.7080000000000002</v>
      </c>
      <c r="G62" t="s">
        <v>15</v>
      </c>
    </row>
    <row r="63" spans="1:7" x14ac:dyDescent="0.25">
      <c r="A63">
        <v>7</v>
      </c>
      <c r="B63" t="s">
        <v>120</v>
      </c>
      <c r="C63">
        <v>20</v>
      </c>
      <c r="D63" t="s">
        <v>93</v>
      </c>
      <c r="E63" t="s">
        <v>94</v>
      </c>
      <c r="F63">
        <v>0.52500000000000002</v>
      </c>
      <c r="G63" t="s">
        <v>13</v>
      </c>
    </row>
    <row r="64" spans="1:7" x14ac:dyDescent="0.25">
      <c r="A64">
        <v>7</v>
      </c>
      <c r="B64" t="s">
        <v>120</v>
      </c>
      <c r="C64">
        <v>30</v>
      </c>
      <c r="D64" t="s">
        <v>95</v>
      </c>
      <c r="E64" t="s">
        <v>11</v>
      </c>
      <c r="F64">
        <v>1</v>
      </c>
      <c r="G64" t="s">
        <v>13</v>
      </c>
    </row>
    <row r="65" spans="1:7" x14ac:dyDescent="0.25">
      <c r="A65">
        <v>7</v>
      </c>
      <c r="B65" t="s">
        <v>120</v>
      </c>
      <c r="C65">
        <v>40</v>
      </c>
      <c r="D65" t="s">
        <v>96</v>
      </c>
      <c r="E65" t="s">
        <v>14</v>
      </c>
      <c r="F65">
        <v>15.037000000000001</v>
      </c>
      <c r="G65" t="s">
        <v>13</v>
      </c>
    </row>
    <row r="66" spans="1:7" x14ac:dyDescent="0.25">
      <c r="A66">
        <v>7</v>
      </c>
      <c r="B66" t="s">
        <v>120</v>
      </c>
      <c r="C66">
        <v>50</v>
      </c>
      <c r="D66" t="s">
        <v>100</v>
      </c>
      <c r="E66" t="s">
        <v>14</v>
      </c>
      <c r="F66">
        <v>92.475999999999999</v>
      </c>
      <c r="G66" t="s">
        <v>13</v>
      </c>
    </row>
    <row r="67" spans="1:7" x14ac:dyDescent="0.25">
      <c r="A67">
        <v>7</v>
      </c>
      <c r="B67" t="s">
        <v>120</v>
      </c>
      <c r="C67">
        <v>60</v>
      </c>
      <c r="D67" t="s">
        <v>90</v>
      </c>
      <c r="E67" t="s">
        <v>11</v>
      </c>
      <c r="F67">
        <v>1</v>
      </c>
      <c r="G67" t="s">
        <v>13</v>
      </c>
    </row>
    <row r="68" spans="1:7" x14ac:dyDescent="0.25">
      <c r="A68">
        <v>7</v>
      </c>
      <c r="B68" t="s">
        <v>120</v>
      </c>
      <c r="C68">
        <v>70</v>
      </c>
      <c r="D68" t="s">
        <v>18</v>
      </c>
      <c r="E68" t="s">
        <v>11</v>
      </c>
      <c r="F68">
        <v>1</v>
      </c>
      <c r="G68" t="s">
        <v>13</v>
      </c>
    </row>
    <row r="69" spans="1:7" x14ac:dyDescent="0.25">
      <c r="A69">
        <v>7</v>
      </c>
      <c r="B69" t="s">
        <v>120</v>
      </c>
      <c r="C69">
        <v>80</v>
      </c>
      <c r="D69" t="s">
        <v>19</v>
      </c>
      <c r="E69" t="s">
        <v>11</v>
      </c>
      <c r="F69">
        <v>1</v>
      </c>
      <c r="G69" t="s">
        <v>13</v>
      </c>
    </row>
    <row r="70" spans="1:7" x14ac:dyDescent="0.25">
      <c r="A70">
        <v>7</v>
      </c>
      <c r="B70" t="s">
        <v>120</v>
      </c>
      <c r="C70">
        <v>90</v>
      </c>
      <c r="D70" t="s">
        <v>97</v>
      </c>
      <c r="E70" t="s">
        <v>12</v>
      </c>
      <c r="F70">
        <v>0.58599999999999997</v>
      </c>
      <c r="G70" t="s">
        <v>13</v>
      </c>
    </row>
    <row r="71" spans="1:7" x14ac:dyDescent="0.25">
      <c r="A71">
        <v>7</v>
      </c>
      <c r="B71" t="s">
        <v>120</v>
      </c>
      <c r="C71">
        <v>100</v>
      </c>
      <c r="D71" t="s">
        <v>121</v>
      </c>
      <c r="E71" t="s">
        <v>11</v>
      </c>
      <c r="F71">
        <v>1</v>
      </c>
      <c r="G71" t="s">
        <v>15</v>
      </c>
    </row>
    <row r="72" spans="1:7" x14ac:dyDescent="0.25">
      <c r="A72">
        <v>8</v>
      </c>
      <c r="B72" t="s">
        <v>122</v>
      </c>
      <c r="C72">
        <v>10</v>
      </c>
      <c r="D72" t="s">
        <v>92</v>
      </c>
      <c r="E72" t="s">
        <v>14</v>
      </c>
      <c r="F72">
        <v>1.575</v>
      </c>
      <c r="G72" t="s">
        <v>15</v>
      </c>
    </row>
    <row r="73" spans="1:7" x14ac:dyDescent="0.25">
      <c r="A73">
        <v>8</v>
      </c>
      <c r="B73" t="s">
        <v>122</v>
      </c>
      <c r="C73">
        <v>20</v>
      </c>
      <c r="D73" t="s">
        <v>93</v>
      </c>
      <c r="E73" t="s">
        <v>94</v>
      </c>
      <c r="F73">
        <v>0.22800000000000001</v>
      </c>
      <c r="G73" t="s">
        <v>13</v>
      </c>
    </row>
    <row r="74" spans="1:7" x14ac:dyDescent="0.25">
      <c r="A74">
        <v>8</v>
      </c>
      <c r="B74" t="s">
        <v>122</v>
      </c>
      <c r="C74">
        <v>30</v>
      </c>
      <c r="D74" t="s">
        <v>95</v>
      </c>
      <c r="E74" t="s">
        <v>11</v>
      </c>
      <c r="F74">
        <v>1</v>
      </c>
      <c r="G74" t="s">
        <v>13</v>
      </c>
    </row>
    <row r="75" spans="1:7" x14ac:dyDescent="0.25">
      <c r="A75">
        <v>8</v>
      </c>
      <c r="B75" t="s">
        <v>122</v>
      </c>
      <c r="C75">
        <v>40</v>
      </c>
      <c r="D75" t="s">
        <v>96</v>
      </c>
      <c r="E75" t="s">
        <v>14</v>
      </c>
      <c r="F75">
        <v>11.074</v>
      </c>
      <c r="G75" t="s">
        <v>13</v>
      </c>
    </row>
    <row r="76" spans="1:7" x14ac:dyDescent="0.25">
      <c r="A76">
        <v>8</v>
      </c>
      <c r="B76" t="s">
        <v>122</v>
      </c>
      <c r="C76">
        <v>50</v>
      </c>
      <c r="D76" t="s">
        <v>100</v>
      </c>
      <c r="E76" t="s">
        <v>14</v>
      </c>
      <c r="F76">
        <v>68.108000000000004</v>
      </c>
      <c r="G76" t="s">
        <v>13</v>
      </c>
    </row>
    <row r="77" spans="1:7" x14ac:dyDescent="0.25">
      <c r="A77">
        <v>8</v>
      </c>
      <c r="B77" t="s">
        <v>122</v>
      </c>
      <c r="C77">
        <v>60</v>
      </c>
      <c r="D77" t="s">
        <v>90</v>
      </c>
      <c r="E77" t="s">
        <v>11</v>
      </c>
      <c r="F77">
        <v>1</v>
      </c>
      <c r="G77" t="s">
        <v>13</v>
      </c>
    </row>
    <row r="78" spans="1:7" x14ac:dyDescent="0.25">
      <c r="A78">
        <v>8</v>
      </c>
      <c r="B78" t="s">
        <v>122</v>
      </c>
      <c r="C78">
        <v>70</v>
      </c>
      <c r="D78" t="s">
        <v>18</v>
      </c>
      <c r="E78" t="s">
        <v>11</v>
      </c>
      <c r="F78">
        <v>1</v>
      </c>
      <c r="G78" t="s">
        <v>13</v>
      </c>
    </row>
    <row r="79" spans="1:7" x14ac:dyDescent="0.25">
      <c r="A79">
        <v>8</v>
      </c>
      <c r="B79" t="s">
        <v>122</v>
      </c>
      <c r="C79">
        <v>80</v>
      </c>
      <c r="D79" t="s">
        <v>19</v>
      </c>
      <c r="E79" t="s">
        <v>11</v>
      </c>
      <c r="F79">
        <v>1</v>
      </c>
      <c r="G79" t="s">
        <v>13</v>
      </c>
    </row>
    <row r="80" spans="1:7" x14ac:dyDescent="0.25">
      <c r="A80">
        <v>8</v>
      </c>
      <c r="B80" t="s">
        <v>122</v>
      </c>
      <c r="C80">
        <v>90</v>
      </c>
      <c r="D80" t="s">
        <v>97</v>
      </c>
      <c r="E80" t="s">
        <v>12</v>
      </c>
      <c r="F80">
        <v>0.27</v>
      </c>
      <c r="G80" t="s">
        <v>13</v>
      </c>
    </row>
    <row r="81" spans="1:7" x14ac:dyDescent="0.25">
      <c r="A81">
        <v>8</v>
      </c>
      <c r="B81" t="s">
        <v>122</v>
      </c>
      <c r="C81">
        <v>100</v>
      </c>
      <c r="D81" t="s">
        <v>123</v>
      </c>
      <c r="E81" t="s">
        <v>11</v>
      </c>
      <c r="F81">
        <v>1</v>
      </c>
      <c r="G81" t="s">
        <v>15</v>
      </c>
    </row>
    <row r="82" spans="1:7" x14ac:dyDescent="0.25">
      <c r="A82">
        <v>9</v>
      </c>
      <c r="B82" t="s">
        <v>124</v>
      </c>
      <c r="C82">
        <v>10</v>
      </c>
      <c r="D82" t="s">
        <v>92</v>
      </c>
      <c r="E82" t="s">
        <v>14</v>
      </c>
      <c r="F82">
        <v>1.88</v>
      </c>
      <c r="G82" t="s">
        <v>15</v>
      </c>
    </row>
    <row r="83" spans="1:7" x14ac:dyDescent="0.25">
      <c r="A83">
        <v>9</v>
      </c>
      <c r="B83" t="s">
        <v>124</v>
      </c>
      <c r="C83">
        <v>20</v>
      </c>
      <c r="D83" t="s">
        <v>93</v>
      </c>
      <c r="E83" t="s">
        <v>94</v>
      </c>
      <c r="F83">
        <v>0.27300000000000002</v>
      </c>
      <c r="G83" t="s">
        <v>13</v>
      </c>
    </row>
    <row r="84" spans="1:7" x14ac:dyDescent="0.25">
      <c r="A84">
        <v>9</v>
      </c>
      <c r="B84" t="s">
        <v>124</v>
      </c>
      <c r="C84">
        <v>30</v>
      </c>
      <c r="D84" t="s">
        <v>95</v>
      </c>
      <c r="E84" t="s">
        <v>11</v>
      </c>
      <c r="F84">
        <v>1</v>
      </c>
      <c r="G84" t="s">
        <v>13</v>
      </c>
    </row>
    <row r="85" spans="1:7" x14ac:dyDescent="0.25">
      <c r="A85">
        <v>9</v>
      </c>
      <c r="B85" t="s">
        <v>124</v>
      </c>
      <c r="C85">
        <v>40</v>
      </c>
      <c r="D85" t="s">
        <v>96</v>
      </c>
      <c r="E85" t="s">
        <v>14</v>
      </c>
      <c r="F85">
        <v>11.683999999999999</v>
      </c>
      <c r="G85" t="s">
        <v>13</v>
      </c>
    </row>
    <row r="86" spans="1:7" x14ac:dyDescent="0.25">
      <c r="A86">
        <v>9</v>
      </c>
      <c r="B86" t="s">
        <v>124</v>
      </c>
      <c r="C86">
        <v>50</v>
      </c>
      <c r="D86" t="s">
        <v>100</v>
      </c>
      <c r="E86" t="s">
        <v>14</v>
      </c>
      <c r="F86">
        <v>71.856999999999999</v>
      </c>
      <c r="G86" t="s">
        <v>13</v>
      </c>
    </row>
    <row r="87" spans="1:7" x14ac:dyDescent="0.25">
      <c r="A87">
        <v>9</v>
      </c>
      <c r="B87" t="s">
        <v>124</v>
      </c>
      <c r="C87">
        <v>60</v>
      </c>
      <c r="D87" t="s">
        <v>90</v>
      </c>
      <c r="E87" t="s">
        <v>11</v>
      </c>
      <c r="F87">
        <v>1</v>
      </c>
      <c r="G87" t="s">
        <v>13</v>
      </c>
    </row>
    <row r="88" spans="1:7" x14ac:dyDescent="0.25">
      <c r="A88">
        <v>9</v>
      </c>
      <c r="B88" t="s">
        <v>124</v>
      </c>
      <c r="C88">
        <v>70</v>
      </c>
      <c r="D88" t="s">
        <v>18</v>
      </c>
      <c r="E88" t="s">
        <v>11</v>
      </c>
      <c r="F88">
        <v>1</v>
      </c>
      <c r="G88" t="s">
        <v>13</v>
      </c>
    </row>
    <row r="89" spans="1:7" x14ac:dyDescent="0.25">
      <c r="A89">
        <v>9</v>
      </c>
      <c r="B89" t="s">
        <v>124</v>
      </c>
      <c r="C89">
        <v>80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9</v>
      </c>
      <c r="B90" t="s">
        <v>124</v>
      </c>
      <c r="C90">
        <v>90</v>
      </c>
      <c r="D90" t="s">
        <v>97</v>
      </c>
      <c r="E90" t="s">
        <v>12</v>
      </c>
      <c r="F90">
        <v>0.315</v>
      </c>
      <c r="G90" t="s">
        <v>13</v>
      </c>
    </row>
    <row r="91" spans="1:7" x14ac:dyDescent="0.25">
      <c r="A91">
        <v>9</v>
      </c>
      <c r="B91" t="s">
        <v>124</v>
      </c>
      <c r="C91">
        <v>100</v>
      </c>
      <c r="D91" t="s">
        <v>125</v>
      </c>
      <c r="E91" t="s">
        <v>11</v>
      </c>
      <c r="F91">
        <v>1</v>
      </c>
      <c r="G91" t="s">
        <v>15</v>
      </c>
    </row>
    <row r="92" spans="1:7" x14ac:dyDescent="0.25">
      <c r="A92">
        <v>10</v>
      </c>
      <c r="B92" t="s">
        <v>126</v>
      </c>
      <c r="C92">
        <v>10</v>
      </c>
      <c r="D92" t="s">
        <v>92</v>
      </c>
      <c r="E92" t="s">
        <v>14</v>
      </c>
      <c r="F92">
        <v>2.1840000000000002</v>
      </c>
      <c r="G92" t="s">
        <v>15</v>
      </c>
    </row>
    <row r="93" spans="1:7" x14ac:dyDescent="0.25">
      <c r="A93">
        <v>10</v>
      </c>
      <c r="B93" t="s">
        <v>126</v>
      </c>
      <c r="C93">
        <v>20</v>
      </c>
      <c r="D93" t="s">
        <v>93</v>
      </c>
      <c r="E93" t="s">
        <v>94</v>
      </c>
      <c r="F93">
        <v>0.31900000000000001</v>
      </c>
      <c r="G93" t="s">
        <v>13</v>
      </c>
    </row>
    <row r="94" spans="1:7" x14ac:dyDescent="0.25">
      <c r="A94">
        <v>10</v>
      </c>
      <c r="B94" t="s">
        <v>126</v>
      </c>
      <c r="C94">
        <v>30</v>
      </c>
      <c r="D94" t="s">
        <v>95</v>
      </c>
      <c r="E94" t="s">
        <v>11</v>
      </c>
      <c r="F94">
        <v>1</v>
      </c>
      <c r="G94" t="s">
        <v>13</v>
      </c>
    </row>
    <row r="95" spans="1:7" x14ac:dyDescent="0.25">
      <c r="A95">
        <v>10</v>
      </c>
      <c r="B95" t="s">
        <v>126</v>
      </c>
      <c r="C95">
        <v>40</v>
      </c>
      <c r="D95" t="s">
        <v>96</v>
      </c>
      <c r="E95" t="s">
        <v>14</v>
      </c>
      <c r="F95">
        <v>12.294</v>
      </c>
      <c r="G95" t="s">
        <v>13</v>
      </c>
    </row>
    <row r="96" spans="1:7" x14ac:dyDescent="0.25">
      <c r="A96">
        <v>10</v>
      </c>
      <c r="B96" t="s">
        <v>126</v>
      </c>
      <c r="C96">
        <v>50</v>
      </c>
      <c r="D96" t="s">
        <v>100</v>
      </c>
      <c r="E96" t="s">
        <v>14</v>
      </c>
      <c r="F96">
        <v>75.605999999999995</v>
      </c>
      <c r="G96" t="s">
        <v>13</v>
      </c>
    </row>
    <row r="97" spans="1:7" x14ac:dyDescent="0.25">
      <c r="A97">
        <v>10</v>
      </c>
      <c r="B97" t="s">
        <v>126</v>
      </c>
      <c r="C97">
        <v>60</v>
      </c>
      <c r="D97" t="s">
        <v>90</v>
      </c>
      <c r="E97" t="s">
        <v>11</v>
      </c>
      <c r="F97">
        <v>1</v>
      </c>
      <c r="G97" t="s">
        <v>13</v>
      </c>
    </row>
    <row r="98" spans="1:7" x14ac:dyDescent="0.25">
      <c r="A98">
        <v>10</v>
      </c>
      <c r="B98" t="s">
        <v>126</v>
      </c>
      <c r="C98">
        <v>70</v>
      </c>
      <c r="D98" t="s">
        <v>18</v>
      </c>
      <c r="E98" t="s">
        <v>11</v>
      </c>
      <c r="F98">
        <v>1</v>
      </c>
      <c r="G98" t="s">
        <v>13</v>
      </c>
    </row>
    <row r="99" spans="1:7" x14ac:dyDescent="0.25">
      <c r="A99">
        <v>10</v>
      </c>
      <c r="B99" t="s">
        <v>126</v>
      </c>
      <c r="C99">
        <v>80</v>
      </c>
      <c r="D99" t="s">
        <v>19</v>
      </c>
      <c r="E99" t="s">
        <v>11</v>
      </c>
      <c r="F99">
        <v>1</v>
      </c>
      <c r="G99" t="s">
        <v>13</v>
      </c>
    </row>
    <row r="100" spans="1:7" x14ac:dyDescent="0.25">
      <c r="A100">
        <v>10</v>
      </c>
      <c r="B100" t="s">
        <v>126</v>
      </c>
      <c r="C100">
        <v>90</v>
      </c>
      <c r="D100" t="s">
        <v>97</v>
      </c>
      <c r="E100" t="s">
        <v>12</v>
      </c>
      <c r="F100">
        <v>0.36</v>
      </c>
      <c r="G100" t="s">
        <v>13</v>
      </c>
    </row>
    <row r="101" spans="1:7" x14ac:dyDescent="0.25">
      <c r="A101">
        <v>10</v>
      </c>
      <c r="B101" t="s">
        <v>126</v>
      </c>
      <c r="C101">
        <v>100</v>
      </c>
      <c r="D101" t="s">
        <v>127</v>
      </c>
      <c r="E101" t="s">
        <v>11</v>
      </c>
      <c r="F101">
        <v>1</v>
      </c>
      <c r="G101" t="s">
        <v>15</v>
      </c>
    </row>
    <row r="102" spans="1:7" x14ac:dyDescent="0.25">
      <c r="A102">
        <v>11</v>
      </c>
      <c r="B102" t="s">
        <v>128</v>
      </c>
      <c r="C102">
        <v>10</v>
      </c>
      <c r="D102" t="s">
        <v>92</v>
      </c>
      <c r="E102" t="s">
        <v>14</v>
      </c>
      <c r="F102">
        <v>2.4889999999999999</v>
      </c>
      <c r="G102" t="s">
        <v>15</v>
      </c>
    </row>
    <row r="103" spans="1:7" x14ac:dyDescent="0.25">
      <c r="A103">
        <v>11</v>
      </c>
      <c r="B103" t="s">
        <v>128</v>
      </c>
      <c r="C103">
        <v>20</v>
      </c>
      <c r="D103" t="s">
        <v>93</v>
      </c>
      <c r="E103" t="s">
        <v>94</v>
      </c>
      <c r="F103">
        <v>0.36499999999999999</v>
      </c>
      <c r="G103" t="s">
        <v>13</v>
      </c>
    </row>
    <row r="104" spans="1:7" x14ac:dyDescent="0.25">
      <c r="A104">
        <v>11</v>
      </c>
      <c r="B104" t="s">
        <v>128</v>
      </c>
      <c r="C104">
        <v>30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11</v>
      </c>
      <c r="B105" t="s">
        <v>128</v>
      </c>
      <c r="C105">
        <v>40</v>
      </c>
      <c r="D105" t="s">
        <v>96</v>
      </c>
      <c r="E105" t="s">
        <v>14</v>
      </c>
      <c r="F105">
        <v>12.903</v>
      </c>
      <c r="G105" t="s">
        <v>13</v>
      </c>
    </row>
    <row r="106" spans="1:7" x14ac:dyDescent="0.25">
      <c r="A106">
        <v>11</v>
      </c>
      <c r="B106" t="s">
        <v>128</v>
      </c>
      <c r="C106">
        <v>50</v>
      </c>
      <c r="D106" t="s">
        <v>100</v>
      </c>
      <c r="E106" t="s">
        <v>14</v>
      </c>
      <c r="F106">
        <v>79.355000000000004</v>
      </c>
      <c r="G106" t="s">
        <v>13</v>
      </c>
    </row>
    <row r="107" spans="1:7" x14ac:dyDescent="0.25">
      <c r="A107">
        <v>11</v>
      </c>
      <c r="B107" t="s">
        <v>128</v>
      </c>
      <c r="C107">
        <v>60</v>
      </c>
      <c r="D107" t="s">
        <v>90</v>
      </c>
      <c r="E107" t="s">
        <v>11</v>
      </c>
      <c r="F107">
        <v>1</v>
      </c>
      <c r="G107" t="s">
        <v>13</v>
      </c>
    </row>
    <row r="108" spans="1:7" x14ac:dyDescent="0.25">
      <c r="A108">
        <v>11</v>
      </c>
      <c r="B108" t="s">
        <v>128</v>
      </c>
      <c r="C108">
        <v>70</v>
      </c>
      <c r="D108" t="s">
        <v>18</v>
      </c>
      <c r="E108" t="s">
        <v>11</v>
      </c>
      <c r="F108">
        <v>1</v>
      </c>
      <c r="G108" t="s">
        <v>13</v>
      </c>
    </row>
    <row r="109" spans="1:7" x14ac:dyDescent="0.25">
      <c r="A109">
        <v>11</v>
      </c>
      <c r="B109" t="s">
        <v>128</v>
      </c>
      <c r="C109">
        <v>80</v>
      </c>
      <c r="D109" t="s">
        <v>19</v>
      </c>
      <c r="E109" t="s">
        <v>11</v>
      </c>
      <c r="F109">
        <v>1</v>
      </c>
      <c r="G109" t="s">
        <v>13</v>
      </c>
    </row>
    <row r="110" spans="1:7" x14ac:dyDescent="0.25">
      <c r="A110">
        <v>11</v>
      </c>
      <c r="B110" t="s">
        <v>128</v>
      </c>
      <c r="C110">
        <v>90</v>
      </c>
      <c r="D110" t="s">
        <v>97</v>
      </c>
      <c r="E110" t="s">
        <v>12</v>
      </c>
      <c r="F110">
        <v>0.40500000000000003</v>
      </c>
      <c r="G110" t="s">
        <v>13</v>
      </c>
    </row>
    <row r="111" spans="1:7" x14ac:dyDescent="0.25">
      <c r="A111">
        <v>11</v>
      </c>
      <c r="B111" t="s">
        <v>128</v>
      </c>
      <c r="C111">
        <v>100</v>
      </c>
      <c r="D111" t="s">
        <v>129</v>
      </c>
      <c r="E111" t="s">
        <v>11</v>
      </c>
      <c r="F111">
        <v>1</v>
      </c>
      <c r="G111" t="s">
        <v>15</v>
      </c>
    </row>
    <row r="112" spans="1:7" x14ac:dyDescent="0.25">
      <c r="A112">
        <v>12</v>
      </c>
      <c r="B112" t="s">
        <v>130</v>
      </c>
      <c r="C112">
        <v>10</v>
      </c>
      <c r="D112" t="s">
        <v>92</v>
      </c>
      <c r="E112" t="s">
        <v>14</v>
      </c>
      <c r="F112">
        <v>3.0990000000000002</v>
      </c>
      <c r="G112" t="s">
        <v>15</v>
      </c>
    </row>
    <row r="113" spans="1:7" x14ac:dyDescent="0.25">
      <c r="A113">
        <v>12</v>
      </c>
      <c r="B113" t="s">
        <v>130</v>
      </c>
      <c r="C113">
        <v>20</v>
      </c>
      <c r="D113" t="s">
        <v>93</v>
      </c>
      <c r="E113" t="s">
        <v>94</v>
      </c>
      <c r="F113">
        <v>0.45600000000000002</v>
      </c>
      <c r="G113" t="s">
        <v>13</v>
      </c>
    </row>
    <row r="114" spans="1:7" x14ac:dyDescent="0.25">
      <c r="A114">
        <v>12</v>
      </c>
      <c r="B114" t="s">
        <v>130</v>
      </c>
      <c r="C114">
        <v>30</v>
      </c>
      <c r="D114" t="s">
        <v>95</v>
      </c>
      <c r="E114" t="s">
        <v>11</v>
      </c>
      <c r="F114">
        <v>1</v>
      </c>
      <c r="G114" t="s">
        <v>13</v>
      </c>
    </row>
    <row r="115" spans="1:7" x14ac:dyDescent="0.25">
      <c r="A115">
        <v>12</v>
      </c>
      <c r="B115" t="s">
        <v>130</v>
      </c>
      <c r="C115">
        <v>40</v>
      </c>
      <c r="D115" t="s">
        <v>96</v>
      </c>
      <c r="E115" t="s">
        <v>14</v>
      </c>
      <c r="F115">
        <v>14.122</v>
      </c>
      <c r="G115" t="s">
        <v>13</v>
      </c>
    </row>
    <row r="116" spans="1:7" x14ac:dyDescent="0.25">
      <c r="A116">
        <v>12</v>
      </c>
      <c r="B116" t="s">
        <v>130</v>
      </c>
      <c r="C116">
        <v>50</v>
      </c>
      <c r="D116" t="s">
        <v>100</v>
      </c>
      <c r="E116" t="s">
        <v>14</v>
      </c>
      <c r="F116">
        <v>86.852999999999994</v>
      </c>
      <c r="G116" t="s">
        <v>13</v>
      </c>
    </row>
    <row r="117" spans="1:7" x14ac:dyDescent="0.25">
      <c r="A117">
        <v>12</v>
      </c>
      <c r="B117" t="s">
        <v>130</v>
      </c>
      <c r="C117">
        <v>60</v>
      </c>
      <c r="D117" t="s">
        <v>90</v>
      </c>
      <c r="E117" t="s">
        <v>11</v>
      </c>
      <c r="F117">
        <v>1</v>
      </c>
      <c r="G117" t="s">
        <v>13</v>
      </c>
    </row>
    <row r="118" spans="1:7" x14ac:dyDescent="0.25">
      <c r="A118">
        <v>12</v>
      </c>
      <c r="B118" t="s">
        <v>130</v>
      </c>
      <c r="C118">
        <v>70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12</v>
      </c>
      <c r="B119" t="s">
        <v>130</v>
      </c>
      <c r="C119">
        <v>80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12</v>
      </c>
      <c r="B120" t="s">
        <v>130</v>
      </c>
      <c r="C120">
        <v>90</v>
      </c>
      <c r="D120" t="s">
        <v>97</v>
      </c>
      <c r="E120" t="s">
        <v>12</v>
      </c>
      <c r="F120">
        <v>0.495</v>
      </c>
      <c r="G120" t="s">
        <v>13</v>
      </c>
    </row>
    <row r="121" spans="1:7" x14ac:dyDescent="0.25">
      <c r="A121">
        <v>12</v>
      </c>
      <c r="B121" t="s">
        <v>130</v>
      </c>
      <c r="C121">
        <v>100</v>
      </c>
      <c r="D121" t="s">
        <v>131</v>
      </c>
      <c r="E121" t="s">
        <v>11</v>
      </c>
      <c r="F121">
        <v>1</v>
      </c>
      <c r="G121" t="s">
        <v>15</v>
      </c>
    </row>
    <row r="122" spans="1:7" x14ac:dyDescent="0.25">
      <c r="A122">
        <v>13</v>
      </c>
      <c r="B122" t="s">
        <v>132</v>
      </c>
      <c r="C122">
        <v>10</v>
      </c>
      <c r="D122" t="s">
        <v>92</v>
      </c>
      <c r="E122" t="s">
        <v>14</v>
      </c>
      <c r="F122">
        <v>3.4039999999999999</v>
      </c>
      <c r="G122" t="s">
        <v>15</v>
      </c>
    </row>
    <row r="123" spans="1:7" x14ac:dyDescent="0.25">
      <c r="A123">
        <v>13</v>
      </c>
      <c r="B123" t="s">
        <v>132</v>
      </c>
      <c r="C123">
        <v>20</v>
      </c>
      <c r="D123" t="s">
        <v>93</v>
      </c>
      <c r="E123" t="s">
        <v>94</v>
      </c>
      <c r="F123">
        <v>0.501</v>
      </c>
      <c r="G123" t="s">
        <v>13</v>
      </c>
    </row>
    <row r="124" spans="1:7" x14ac:dyDescent="0.25">
      <c r="A124">
        <v>13</v>
      </c>
      <c r="B124" t="s">
        <v>132</v>
      </c>
      <c r="C124">
        <v>30</v>
      </c>
      <c r="D124" t="s">
        <v>95</v>
      </c>
      <c r="E124" t="s">
        <v>11</v>
      </c>
      <c r="F124">
        <v>1</v>
      </c>
      <c r="G124" t="s">
        <v>13</v>
      </c>
    </row>
    <row r="125" spans="1:7" x14ac:dyDescent="0.25">
      <c r="A125">
        <v>13</v>
      </c>
      <c r="B125" t="s">
        <v>132</v>
      </c>
      <c r="C125">
        <v>40</v>
      </c>
      <c r="D125" t="s">
        <v>96</v>
      </c>
      <c r="E125" t="s">
        <v>14</v>
      </c>
      <c r="F125">
        <v>14.731999999999999</v>
      </c>
      <c r="G125" t="s">
        <v>13</v>
      </c>
    </row>
    <row r="126" spans="1:7" x14ac:dyDescent="0.25">
      <c r="A126">
        <v>13</v>
      </c>
      <c r="B126" t="s">
        <v>132</v>
      </c>
      <c r="C126">
        <v>50</v>
      </c>
      <c r="D126" t="s">
        <v>100</v>
      </c>
      <c r="E126" t="s">
        <v>14</v>
      </c>
      <c r="F126">
        <v>90.602000000000004</v>
      </c>
      <c r="G126" t="s">
        <v>13</v>
      </c>
    </row>
    <row r="127" spans="1:7" x14ac:dyDescent="0.25">
      <c r="A127">
        <v>13</v>
      </c>
      <c r="B127" t="s">
        <v>132</v>
      </c>
      <c r="C127">
        <v>60</v>
      </c>
      <c r="D127" t="s">
        <v>90</v>
      </c>
      <c r="E127" t="s">
        <v>11</v>
      </c>
      <c r="F127">
        <v>1</v>
      </c>
      <c r="G127" t="s">
        <v>13</v>
      </c>
    </row>
    <row r="128" spans="1:7" x14ac:dyDescent="0.25">
      <c r="A128">
        <v>13</v>
      </c>
      <c r="B128" t="s">
        <v>132</v>
      </c>
      <c r="C128">
        <v>70</v>
      </c>
      <c r="D128" t="s">
        <v>18</v>
      </c>
      <c r="E128" t="s">
        <v>11</v>
      </c>
      <c r="F128">
        <v>1</v>
      </c>
      <c r="G128" t="s">
        <v>13</v>
      </c>
    </row>
    <row r="129" spans="1:7" x14ac:dyDescent="0.25">
      <c r="A129">
        <v>13</v>
      </c>
      <c r="B129" t="s">
        <v>132</v>
      </c>
      <c r="C129">
        <v>80</v>
      </c>
      <c r="D129" t="s">
        <v>19</v>
      </c>
      <c r="E129" t="s">
        <v>11</v>
      </c>
      <c r="F129">
        <v>1</v>
      </c>
      <c r="G129" t="s">
        <v>13</v>
      </c>
    </row>
    <row r="130" spans="1:7" x14ac:dyDescent="0.25">
      <c r="A130">
        <v>13</v>
      </c>
      <c r="B130" t="s">
        <v>132</v>
      </c>
      <c r="C130">
        <v>90</v>
      </c>
      <c r="D130" t="s">
        <v>97</v>
      </c>
      <c r="E130" t="s">
        <v>12</v>
      </c>
      <c r="F130">
        <v>0.54</v>
      </c>
      <c r="G130" t="s">
        <v>13</v>
      </c>
    </row>
    <row r="131" spans="1:7" x14ac:dyDescent="0.25">
      <c r="A131">
        <v>13</v>
      </c>
      <c r="B131" t="s">
        <v>132</v>
      </c>
      <c r="C131">
        <v>100</v>
      </c>
      <c r="D131" t="s">
        <v>133</v>
      </c>
      <c r="E131" t="s">
        <v>11</v>
      </c>
      <c r="F131">
        <v>1</v>
      </c>
      <c r="G131" t="s">
        <v>15</v>
      </c>
    </row>
    <row r="132" spans="1:7" x14ac:dyDescent="0.25">
      <c r="A132">
        <v>14</v>
      </c>
      <c r="B132" t="s">
        <v>134</v>
      </c>
      <c r="C132">
        <v>10</v>
      </c>
      <c r="D132" t="s">
        <v>92</v>
      </c>
      <c r="E132" t="s">
        <v>14</v>
      </c>
      <c r="F132">
        <v>3.7080000000000002</v>
      </c>
      <c r="G132" t="s">
        <v>15</v>
      </c>
    </row>
    <row r="133" spans="1:7" x14ac:dyDescent="0.25">
      <c r="A133">
        <v>14</v>
      </c>
      <c r="B133" t="s">
        <v>134</v>
      </c>
      <c r="C133">
        <v>20</v>
      </c>
      <c r="D133" t="s">
        <v>93</v>
      </c>
      <c r="E133" t="s">
        <v>94</v>
      </c>
      <c r="F133">
        <v>0.54700000000000004</v>
      </c>
      <c r="G133" t="s">
        <v>13</v>
      </c>
    </row>
    <row r="134" spans="1:7" x14ac:dyDescent="0.25">
      <c r="A134">
        <v>14</v>
      </c>
      <c r="B134" t="s">
        <v>134</v>
      </c>
      <c r="C134">
        <v>30</v>
      </c>
      <c r="D134" t="s">
        <v>95</v>
      </c>
      <c r="E134" t="s">
        <v>11</v>
      </c>
      <c r="F134">
        <v>1</v>
      </c>
      <c r="G134" t="s">
        <v>13</v>
      </c>
    </row>
    <row r="135" spans="1:7" x14ac:dyDescent="0.25">
      <c r="A135">
        <v>14</v>
      </c>
      <c r="B135" t="s">
        <v>134</v>
      </c>
      <c r="C135">
        <v>40</v>
      </c>
      <c r="D135" t="s">
        <v>96</v>
      </c>
      <c r="E135" t="s">
        <v>14</v>
      </c>
      <c r="F135">
        <v>15.342000000000001</v>
      </c>
      <c r="G135" t="s">
        <v>13</v>
      </c>
    </row>
    <row r="136" spans="1:7" x14ac:dyDescent="0.25">
      <c r="A136">
        <v>14</v>
      </c>
      <c r="B136" t="s">
        <v>134</v>
      </c>
      <c r="C136">
        <v>50</v>
      </c>
      <c r="D136" t="s">
        <v>100</v>
      </c>
      <c r="E136" t="s">
        <v>14</v>
      </c>
      <c r="F136">
        <v>94.350999999999999</v>
      </c>
      <c r="G136" t="s">
        <v>13</v>
      </c>
    </row>
    <row r="137" spans="1:7" x14ac:dyDescent="0.25">
      <c r="A137">
        <v>14</v>
      </c>
      <c r="B137" t="s">
        <v>134</v>
      </c>
      <c r="C137">
        <v>60</v>
      </c>
      <c r="D137" t="s">
        <v>90</v>
      </c>
      <c r="E137" t="s">
        <v>11</v>
      </c>
      <c r="F137">
        <v>1</v>
      </c>
      <c r="G137" t="s">
        <v>13</v>
      </c>
    </row>
    <row r="138" spans="1:7" x14ac:dyDescent="0.25">
      <c r="A138">
        <v>14</v>
      </c>
      <c r="B138" t="s">
        <v>134</v>
      </c>
      <c r="C138">
        <v>70</v>
      </c>
      <c r="D138" t="s">
        <v>18</v>
      </c>
      <c r="E138" t="s">
        <v>11</v>
      </c>
      <c r="F138">
        <v>1</v>
      </c>
      <c r="G138" t="s">
        <v>13</v>
      </c>
    </row>
    <row r="139" spans="1:7" x14ac:dyDescent="0.25">
      <c r="A139">
        <v>14</v>
      </c>
      <c r="B139" t="s">
        <v>134</v>
      </c>
      <c r="C139">
        <v>80</v>
      </c>
      <c r="D139" t="s">
        <v>19</v>
      </c>
      <c r="E139" t="s">
        <v>11</v>
      </c>
      <c r="F139">
        <v>1</v>
      </c>
      <c r="G139" t="s">
        <v>13</v>
      </c>
    </row>
    <row r="140" spans="1:7" x14ac:dyDescent="0.25">
      <c r="A140">
        <v>14</v>
      </c>
      <c r="B140" t="s">
        <v>134</v>
      </c>
      <c r="C140">
        <v>90</v>
      </c>
      <c r="D140" t="s">
        <v>97</v>
      </c>
      <c r="E140" t="s">
        <v>12</v>
      </c>
      <c r="F140">
        <v>0.58599999999999997</v>
      </c>
      <c r="G140" t="s">
        <v>13</v>
      </c>
    </row>
    <row r="141" spans="1:7" x14ac:dyDescent="0.25">
      <c r="A141">
        <v>14</v>
      </c>
      <c r="B141" t="s">
        <v>134</v>
      </c>
      <c r="C141">
        <v>100</v>
      </c>
      <c r="D141" t="s">
        <v>135</v>
      </c>
      <c r="E141" t="s">
        <v>11</v>
      </c>
      <c r="F141">
        <v>1</v>
      </c>
      <c r="G141" t="s">
        <v>15</v>
      </c>
    </row>
    <row r="142" spans="1:7" x14ac:dyDescent="0.25">
      <c r="A142">
        <v>15</v>
      </c>
      <c r="B142" t="s">
        <v>136</v>
      </c>
      <c r="C142">
        <v>10</v>
      </c>
      <c r="D142" t="s">
        <v>92</v>
      </c>
      <c r="E142" t="s">
        <v>14</v>
      </c>
      <c r="F142">
        <v>1.575</v>
      </c>
      <c r="G142" t="s">
        <v>15</v>
      </c>
    </row>
    <row r="143" spans="1:7" x14ac:dyDescent="0.25">
      <c r="A143">
        <v>15</v>
      </c>
      <c r="B143" t="s">
        <v>136</v>
      </c>
      <c r="C143">
        <v>20</v>
      </c>
      <c r="D143" t="s">
        <v>93</v>
      </c>
      <c r="E143" t="s">
        <v>94</v>
      </c>
      <c r="F143">
        <v>0.23699999999999999</v>
      </c>
      <c r="G143" t="s">
        <v>13</v>
      </c>
    </row>
    <row r="144" spans="1:7" x14ac:dyDescent="0.25">
      <c r="A144">
        <v>15</v>
      </c>
      <c r="B144" t="s">
        <v>136</v>
      </c>
      <c r="C144">
        <v>30</v>
      </c>
      <c r="D144" t="s">
        <v>95</v>
      </c>
      <c r="E144" t="s">
        <v>11</v>
      </c>
      <c r="F144">
        <v>1</v>
      </c>
      <c r="G144" t="s">
        <v>13</v>
      </c>
    </row>
    <row r="145" spans="1:7" x14ac:dyDescent="0.25">
      <c r="A145">
        <v>15</v>
      </c>
      <c r="B145" t="s">
        <v>136</v>
      </c>
      <c r="C145">
        <v>40</v>
      </c>
      <c r="D145" t="s">
        <v>96</v>
      </c>
      <c r="E145" t="s">
        <v>14</v>
      </c>
      <c r="F145">
        <v>11.379</v>
      </c>
      <c r="G145" t="s">
        <v>13</v>
      </c>
    </row>
    <row r="146" spans="1:7" x14ac:dyDescent="0.25">
      <c r="A146">
        <v>15</v>
      </c>
      <c r="B146" t="s">
        <v>136</v>
      </c>
      <c r="C146">
        <v>50</v>
      </c>
      <c r="D146" t="s">
        <v>100</v>
      </c>
      <c r="E146" t="s">
        <v>14</v>
      </c>
      <c r="F146">
        <v>69.981999999999999</v>
      </c>
      <c r="G146" t="s">
        <v>13</v>
      </c>
    </row>
    <row r="147" spans="1:7" x14ac:dyDescent="0.25">
      <c r="A147">
        <v>15</v>
      </c>
      <c r="B147" t="s">
        <v>136</v>
      </c>
      <c r="C147">
        <v>60</v>
      </c>
      <c r="D147" t="s">
        <v>90</v>
      </c>
      <c r="E147" t="s">
        <v>11</v>
      </c>
      <c r="F147">
        <v>1</v>
      </c>
      <c r="G147" t="s">
        <v>13</v>
      </c>
    </row>
    <row r="148" spans="1:7" x14ac:dyDescent="0.25">
      <c r="A148">
        <v>15</v>
      </c>
      <c r="B148" t="s">
        <v>136</v>
      </c>
      <c r="C148">
        <v>70</v>
      </c>
      <c r="D148" t="s">
        <v>18</v>
      </c>
      <c r="E148" t="s">
        <v>11</v>
      </c>
      <c r="F148">
        <v>1</v>
      </c>
      <c r="G148" t="s">
        <v>13</v>
      </c>
    </row>
    <row r="149" spans="1:7" x14ac:dyDescent="0.25">
      <c r="A149">
        <v>15</v>
      </c>
      <c r="B149" t="s">
        <v>136</v>
      </c>
      <c r="C149">
        <v>80</v>
      </c>
      <c r="D149" t="s">
        <v>19</v>
      </c>
      <c r="E149" t="s">
        <v>11</v>
      </c>
      <c r="F149">
        <v>1</v>
      </c>
      <c r="G149" t="s">
        <v>13</v>
      </c>
    </row>
    <row r="150" spans="1:7" x14ac:dyDescent="0.25">
      <c r="A150">
        <v>15</v>
      </c>
      <c r="B150" t="s">
        <v>136</v>
      </c>
      <c r="C150">
        <v>90</v>
      </c>
      <c r="D150" t="s">
        <v>97</v>
      </c>
      <c r="E150" t="s">
        <v>12</v>
      </c>
      <c r="F150">
        <v>0.27</v>
      </c>
      <c r="G150" t="s">
        <v>13</v>
      </c>
    </row>
    <row r="151" spans="1:7" x14ac:dyDescent="0.25">
      <c r="A151">
        <v>15</v>
      </c>
      <c r="B151" t="s">
        <v>136</v>
      </c>
      <c r="C151">
        <v>100</v>
      </c>
      <c r="D151" t="s">
        <v>137</v>
      </c>
      <c r="E151" t="s">
        <v>11</v>
      </c>
      <c r="F151">
        <v>1</v>
      </c>
      <c r="G151" t="s">
        <v>15</v>
      </c>
    </row>
    <row r="152" spans="1:7" x14ac:dyDescent="0.25">
      <c r="A152">
        <v>16</v>
      </c>
      <c r="B152" t="s">
        <v>138</v>
      </c>
      <c r="C152">
        <v>10</v>
      </c>
      <c r="D152" t="s">
        <v>92</v>
      </c>
      <c r="E152" t="s">
        <v>14</v>
      </c>
      <c r="F152">
        <v>1.88</v>
      </c>
      <c r="G152" t="s">
        <v>15</v>
      </c>
    </row>
    <row r="153" spans="1:7" x14ac:dyDescent="0.25">
      <c r="A153">
        <v>16</v>
      </c>
      <c r="B153" t="s">
        <v>138</v>
      </c>
      <c r="C153">
        <v>20</v>
      </c>
      <c r="D153" t="s">
        <v>93</v>
      </c>
      <c r="E153" t="s">
        <v>94</v>
      </c>
      <c r="F153">
        <v>0.28399999999999997</v>
      </c>
      <c r="G153" t="s">
        <v>13</v>
      </c>
    </row>
    <row r="154" spans="1:7" x14ac:dyDescent="0.25">
      <c r="A154">
        <v>16</v>
      </c>
      <c r="B154" t="s">
        <v>138</v>
      </c>
      <c r="C154">
        <v>30</v>
      </c>
      <c r="D154" t="s">
        <v>95</v>
      </c>
      <c r="E154" t="s">
        <v>11</v>
      </c>
      <c r="F154">
        <v>1</v>
      </c>
      <c r="G154" t="s">
        <v>13</v>
      </c>
    </row>
    <row r="155" spans="1:7" x14ac:dyDescent="0.25">
      <c r="A155">
        <v>16</v>
      </c>
      <c r="B155" t="s">
        <v>138</v>
      </c>
      <c r="C155">
        <v>40</v>
      </c>
      <c r="D155" t="s">
        <v>96</v>
      </c>
      <c r="E155" t="s">
        <v>14</v>
      </c>
      <c r="F155">
        <v>11.989000000000001</v>
      </c>
      <c r="G155" t="s">
        <v>13</v>
      </c>
    </row>
    <row r="156" spans="1:7" x14ac:dyDescent="0.25">
      <c r="A156">
        <v>16</v>
      </c>
      <c r="B156" t="s">
        <v>138</v>
      </c>
      <c r="C156">
        <v>50</v>
      </c>
      <c r="D156" t="s">
        <v>100</v>
      </c>
      <c r="E156" t="s">
        <v>14</v>
      </c>
      <c r="F156">
        <v>73.730999999999995</v>
      </c>
      <c r="G156" t="s">
        <v>13</v>
      </c>
    </row>
    <row r="157" spans="1:7" x14ac:dyDescent="0.25">
      <c r="A157">
        <v>16</v>
      </c>
      <c r="B157" t="s">
        <v>138</v>
      </c>
      <c r="C157">
        <v>60</v>
      </c>
      <c r="D157" t="s">
        <v>90</v>
      </c>
      <c r="E157" t="s">
        <v>11</v>
      </c>
      <c r="F157">
        <v>1</v>
      </c>
      <c r="G157" t="s">
        <v>13</v>
      </c>
    </row>
    <row r="158" spans="1:7" x14ac:dyDescent="0.25">
      <c r="A158">
        <v>16</v>
      </c>
      <c r="B158" t="s">
        <v>138</v>
      </c>
      <c r="C158">
        <v>70</v>
      </c>
      <c r="D158" t="s">
        <v>18</v>
      </c>
      <c r="E158" t="s">
        <v>11</v>
      </c>
      <c r="F158">
        <v>1</v>
      </c>
      <c r="G158" t="s">
        <v>13</v>
      </c>
    </row>
    <row r="159" spans="1:7" x14ac:dyDescent="0.25">
      <c r="A159">
        <v>16</v>
      </c>
      <c r="B159" t="s">
        <v>138</v>
      </c>
      <c r="C159">
        <v>80</v>
      </c>
      <c r="D159" t="s">
        <v>19</v>
      </c>
      <c r="E159" t="s">
        <v>11</v>
      </c>
      <c r="F159">
        <v>1</v>
      </c>
      <c r="G159" t="s">
        <v>13</v>
      </c>
    </row>
    <row r="160" spans="1:7" x14ac:dyDescent="0.25">
      <c r="A160">
        <v>16</v>
      </c>
      <c r="B160" t="s">
        <v>138</v>
      </c>
      <c r="C160">
        <v>90</v>
      </c>
      <c r="D160" t="s">
        <v>97</v>
      </c>
      <c r="E160" t="s">
        <v>12</v>
      </c>
      <c r="F160">
        <v>0.315</v>
      </c>
      <c r="G160" t="s">
        <v>13</v>
      </c>
    </row>
    <row r="161" spans="1:7" x14ac:dyDescent="0.25">
      <c r="A161">
        <v>16</v>
      </c>
      <c r="B161" t="s">
        <v>138</v>
      </c>
      <c r="C161">
        <v>100</v>
      </c>
      <c r="D161" t="s">
        <v>139</v>
      </c>
      <c r="E161" t="s">
        <v>11</v>
      </c>
      <c r="F161">
        <v>1</v>
      </c>
      <c r="G161" t="s">
        <v>15</v>
      </c>
    </row>
    <row r="162" spans="1:7" x14ac:dyDescent="0.25">
      <c r="A162">
        <v>17</v>
      </c>
      <c r="B162" t="s">
        <v>140</v>
      </c>
      <c r="C162">
        <v>10</v>
      </c>
      <c r="D162" t="s">
        <v>92</v>
      </c>
      <c r="E162" t="s">
        <v>14</v>
      </c>
      <c r="F162">
        <v>2.1840000000000002</v>
      </c>
      <c r="G162" t="s">
        <v>15</v>
      </c>
    </row>
    <row r="163" spans="1:7" x14ac:dyDescent="0.25">
      <c r="A163">
        <v>17</v>
      </c>
      <c r="B163" t="s">
        <v>140</v>
      </c>
      <c r="C163">
        <v>20</v>
      </c>
      <c r="D163" t="s">
        <v>93</v>
      </c>
      <c r="E163" t="s">
        <v>94</v>
      </c>
      <c r="F163">
        <v>0.33200000000000002</v>
      </c>
      <c r="G163" t="s">
        <v>13</v>
      </c>
    </row>
    <row r="164" spans="1:7" x14ac:dyDescent="0.25">
      <c r="A164">
        <v>17</v>
      </c>
      <c r="B164" t="s">
        <v>140</v>
      </c>
      <c r="C164">
        <v>30</v>
      </c>
      <c r="D164" t="s">
        <v>95</v>
      </c>
      <c r="E164" t="s">
        <v>11</v>
      </c>
      <c r="F164">
        <v>1</v>
      </c>
      <c r="G164" t="s">
        <v>13</v>
      </c>
    </row>
    <row r="165" spans="1:7" x14ac:dyDescent="0.25">
      <c r="A165">
        <v>17</v>
      </c>
      <c r="B165" t="s">
        <v>140</v>
      </c>
      <c r="C165">
        <v>40</v>
      </c>
      <c r="D165" t="s">
        <v>96</v>
      </c>
      <c r="E165" t="s">
        <v>14</v>
      </c>
      <c r="F165">
        <v>12.598000000000001</v>
      </c>
      <c r="G165" t="s">
        <v>13</v>
      </c>
    </row>
    <row r="166" spans="1:7" x14ac:dyDescent="0.25">
      <c r="A166">
        <v>17</v>
      </c>
      <c r="B166" t="s">
        <v>140</v>
      </c>
      <c r="C166">
        <v>50</v>
      </c>
      <c r="D166" t="s">
        <v>100</v>
      </c>
      <c r="E166" t="s">
        <v>14</v>
      </c>
      <c r="F166">
        <v>77.48</v>
      </c>
      <c r="G166" t="s">
        <v>13</v>
      </c>
    </row>
    <row r="167" spans="1:7" x14ac:dyDescent="0.25">
      <c r="A167">
        <v>17</v>
      </c>
      <c r="B167" t="s">
        <v>140</v>
      </c>
      <c r="C167">
        <v>60</v>
      </c>
      <c r="D167" t="s">
        <v>90</v>
      </c>
      <c r="E167" t="s">
        <v>11</v>
      </c>
      <c r="F167">
        <v>1</v>
      </c>
      <c r="G167" t="s">
        <v>13</v>
      </c>
    </row>
    <row r="168" spans="1:7" x14ac:dyDescent="0.25">
      <c r="A168">
        <v>17</v>
      </c>
      <c r="B168" t="s">
        <v>140</v>
      </c>
      <c r="C168">
        <v>70</v>
      </c>
      <c r="D168" t="s">
        <v>18</v>
      </c>
      <c r="E168" t="s">
        <v>11</v>
      </c>
      <c r="F168">
        <v>1</v>
      </c>
      <c r="G168" t="s">
        <v>13</v>
      </c>
    </row>
    <row r="169" spans="1:7" x14ac:dyDescent="0.25">
      <c r="A169">
        <v>17</v>
      </c>
      <c r="B169" t="s">
        <v>140</v>
      </c>
      <c r="C169">
        <v>80</v>
      </c>
      <c r="D169" t="s">
        <v>19</v>
      </c>
      <c r="E169" t="s">
        <v>11</v>
      </c>
      <c r="F169">
        <v>1</v>
      </c>
      <c r="G169" t="s">
        <v>13</v>
      </c>
    </row>
    <row r="170" spans="1:7" x14ac:dyDescent="0.25">
      <c r="A170">
        <v>17</v>
      </c>
      <c r="B170" t="s">
        <v>140</v>
      </c>
      <c r="C170">
        <v>90</v>
      </c>
      <c r="D170" t="s">
        <v>97</v>
      </c>
      <c r="E170" t="s">
        <v>12</v>
      </c>
      <c r="F170">
        <v>0.36</v>
      </c>
      <c r="G170" t="s">
        <v>13</v>
      </c>
    </row>
    <row r="171" spans="1:7" x14ac:dyDescent="0.25">
      <c r="A171">
        <v>17</v>
      </c>
      <c r="B171" t="s">
        <v>140</v>
      </c>
      <c r="C171">
        <v>100</v>
      </c>
      <c r="D171" t="s">
        <v>141</v>
      </c>
      <c r="E171" t="s">
        <v>11</v>
      </c>
      <c r="F171">
        <v>1</v>
      </c>
      <c r="G171" t="s">
        <v>15</v>
      </c>
    </row>
    <row r="172" spans="1:7" x14ac:dyDescent="0.25">
      <c r="A172">
        <v>18</v>
      </c>
      <c r="B172" t="s">
        <v>142</v>
      </c>
      <c r="C172">
        <v>10</v>
      </c>
      <c r="D172" t="s">
        <v>92</v>
      </c>
      <c r="E172" t="s">
        <v>14</v>
      </c>
      <c r="F172">
        <v>2.4889999999999999</v>
      </c>
      <c r="G172" t="s">
        <v>15</v>
      </c>
    </row>
    <row r="173" spans="1:7" x14ac:dyDescent="0.25">
      <c r="A173">
        <v>18</v>
      </c>
      <c r="B173" t="s">
        <v>142</v>
      </c>
      <c r="C173">
        <v>20</v>
      </c>
      <c r="D173" t="s">
        <v>93</v>
      </c>
      <c r="E173" t="s">
        <v>94</v>
      </c>
      <c r="F173">
        <v>0.379</v>
      </c>
      <c r="G173" t="s">
        <v>13</v>
      </c>
    </row>
    <row r="174" spans="1:7" x14ac:dyDescent="0.25">
      <c r="A174">
        <v>18</v>
      </c>
      <c r="B174" t="s">
        <v>142</v>
      </c>
      <c r="C174">
        <v>30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18</v>
      </c>
      <c r="B175" t="s">
        <v>142</v>
      </c>
      <c r="C175">
        <v>40</v>
      </c>
      <c r="D175" t="s">
        <v>96</v>
      </c>
      <c r="E175" t="s">
        <v>14</v>
      </c>
      <c r="F175">
        <v>13.208</v>
      </c>
      <c r="G175" t="s">
        <v>13</v>
      </c>
    </row>
    <row r="176" spans="1:7" x14ac:dyDescent="0.25">
      <c r="A176">
        <v>18</v>
      </c>
      <c r="B176" t="s">
        <v>142</v>
      </c>
      <c r="C176">
        <v>50</v>
      </c>
      <c r="D176" t="s">
        <v>100</v>
      </c>
      <c r="E176" t="s">
        <v>14</v>
      </c>
      <c r="F176">
        <v>81.228999999999999</v>
      </c>
      <c r="G176" t="s">
        <v>13</v>
      </c>
    </row>
    <row r="177" spans="1:7" x14ac:dyDescent="0.25">
      <c r="A177">
        <v>18</v>
      </c>
      <c r="B177" t="s">
        <v>142</v>
      </c>
      <c r="C177">
        <v>60</v>
      </c>
      <c r="D177" t="s">
        <v>90</v>
      </c>
      <c r="E177" t="s">
        <v>11</v>
      </c>
      <c r="F177">
        <v>1</v>
      </c>
      <c r="G177" t="s">
        <v>13</v>
      </c>
    </row>
    <row r="178" spans="1:7" x14ac:dyDescent="0.25">
      <c r="A178">
        <v>18</v>
      </c>
      <c r="B178" t="s">
        <v>142</v>
      </c>
      <c r="C178">
        <v>70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18</v>
      </c>
      <c r="B179" t="s">
        <v>142</v>
      </c>
      <c r="C179">
        <v>80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18</v>
      </c>
      <c r="B180" t="s">
        <v>142</v>
      </c>
      <c r="C180">
        <v>90</v>
      </c>
      <c r="D180" t="s">
        <v>97</v>
      </c>
      <c r="E180" t="s">
        <v>12</v>
      </c>
      <c r="F180">
        <v>0.40500000000000003</v>
      </c>
      <c r="G180" t="s">
        <v>13</v>
      </c>
    </row>
    <row r="181" spans="1:7" x14ac:dyDescent="0.25">
      <c r="A181">
        <v>18</v>
      </c>
      <c r="B181" t="s">
        <v>142</v>
      </c>
      <c r="C181">
        <v>100</v>
      </c>
      <c r="D181" t="s">
        <v>143</v>
      </c>
      <c r="E181" t="s">
        <v>11</v>
      </c>
      <c r="F181">
        <v>1</v>
      </c>
      <c r="G181" t="s">
        <v>15</v>
      </c>
    </row>
    <row r="182" spans="1:7" x14ac:dyDescent="0.25">
      <c r="A182">
        <v>19</v>
      </c>
      <c r="B182" t="s">
        <v>144</v>
      </c>
      <c r="C182">
        <v>10</v>
      </c>
      <c r="D182" t="s">
        <v>92</v>
      </c>
      <c r="E182" t="s">
        <v>14</v>
      </c>
      <c r="F182">
        <v>3.0990000000000002</v>
      </c>
      <c r="G182" t="s">
        <v>15</v>
      </c>
    </row>
    <row r="183" spans="1:7" x14ac:dyDescent="0.25">
      <c r="A183">
        <v>19</v>
      </c>
      <c r="B183" t="s">
        <v>144</v>
      </c>
      <c r="C183">
        <v>20</v>
      </c>
      <c r="D183" t="s">
        <v>93</v>
      </c>
      <c r="E183" t="s">
        <v>94</v>
      </c>
      <c r="F183">
        <v>0.47399999999999998</v>
      </c>
      <c r="G183" t="s">
        <v>13</v>
      </c>
    </row>
    <row r="184" spans="1:7" x14ac:dyDescent="0.25">
      <c r="A184">
        <v>19</v>
      </c>
      <c r="B184" t="s">
        <v>144</v>
      </c>
      <c r="C184">
        <v>30</v>
      </c>
      <c r="D184" t="s">
        <v>95</v>
      </c>
      <c r="E184" t="s">
        <v>11</v>
      </c>
      <c r="F184">
        <v>1</v>
      </c>
      <c r="G184" t="s">
        <v>13</v>
      </c>
    </row>
    <row r="185" spans="1:7" x14ac:dyDescent="0.25">
      <c r="A185">
        <v>19</v>
      </c>
      <c r="B185" t="s">
        <v>144</v>
      </c>
      <c r="C185">
        <v>40</v>
      </c>
      <c r="D185" t="s">
        <v>96</v>
      </c>
      <c r="E185" t="s">
        <v>14</v>
      </c>
      <c r="F185">
        <v>14.427</v>
      </c>
      <c r="G185" t="s">
        <v>13</v>
      </c>
    </row>
    <row r="186" spans="1:7" x14ac:dyDescent="0.25">
      <c r="A186">
        <v>19</v>
      </c>
      <c r="B186" t="s">
        <v>144</v>
      </c>
      <c r="C186">
        <v>50</v>
      </c>
      <c r="D186" t="s">
        <v>100</v>
      </c>
      <c r="E186" t="s">
        <v>14</v>
      </c>
      <c r="F186">
        <v>88.727000000000004</v>
      </c>
      <c r="G186" t="s">
        <v>13</v>
      </c>
    </row>
    <row r="187" spans="1:7" x14ac:dyDescent="0.25">
      <c r="A187">
        <v>19</v>
      </c>
      <c r="B187" t="s">
        <v>144</v>
      </c>
      <c r="C187">
        <v>60</v>
      </c>
      <c r="D187" t="s">
        <v>90</v>
      </c>
      <c r="E187" t="s">
        <v>11</v>
      </c>
      <c r="F187">
        <v>1</v>
      </c>
      <c r="G187" t="s">
        <v>13</v>
      </c>
    </row>
    <row r="188" spans="1:7" x14ac:dyDescent="0.25">
      <c r="A188">
        <v>19</v>
      </c>
      <c r="B188" t="s">
        <v>144</v>
      </c>
      <c r="C188">
        <v>70</v>
      </c>
      <c r="D188" t="s">
        <v>18</v>
      </c>
      <c r="E188" t="s">
        <v>11</v>
      </c>
      <c r="F188">
        <v>1</v>
      </c>
      <c r="G188" t="s">
        <v>13</v>
      </c>
    </row>
    <row r="189" spans="1:7" x14ac:dyDescent="0.25">
      <c r="A189">
        <v>19</v>
      </c>
      <c r="B189" t="s">
        <v>144</v>
      </c>
      <c r="C189">
        <v>80</v>
      </c>
      <c r="D189" t="s">
        <v>19</v>
      </c>
      <c r="E189" t="s">
        <v>11</v>
      </c>
      <c r="F189">
        <v>1</v>
      </c>
      <c r="G189" t="s">
        <v>13</v>
      </c>
    </row>
    <row r="190" spans="1:7" x14ac:dyDescent="0.25">
      <c r="A190">
        <v>19</v>
      </c>
      <c r="B190" t="s">
        <v>144</v>
      </c>
      <c r="C190">
        <v>90</v>
      </c>
      <c r="D190" t="s">
        <v>97</v>
      </c>
      <c r="E190" t="s">
        <v>12</v>
      </c>
      <c r="F190">
        <v>0.495</v>
      </c>
      <c r="G190" t="s">
        <v>13</v>
      </c>
    </row>
    <row r="191" spans="1:7" x14ac:dyDescent="0.25">
      <c r="A191">
        <v>19</v>
      </c>
      <c r="B191" t="s">
        <v>144</v>
      </c>
      <c r="C191">
        <v>100</v>
      </c>
      <c r="D191" t="s">
        <v>145</v>
      </c>
      <c r="E191" t="s">
        <v>11</v>
      </c>
      <c r="F191">
        <v>1</v>
      </c>
      <c r="G191" t="s">
        <v>15</v>
      </c>
    </row>
    <row r="192" spans="1:7" x14ac:dyDescent="0.25">
      <c r="A192">
        <v>20</v>
      </c>
      <c r="B192" t="s">
        <v>146</v>
      </c>
      <c r="C192">
        <v>10</v>
      </c>
      <c r="D192" t="s">
        <v>92</v>
      </c>
      <c r="E192" t="s">
        <v>14</v>
      </c>
      <c r="F192">
        <v>3.4039999999999999</v>
      </c>
      <c r="G192" t="s">
        <v>15</v>
      </c>
    </row>
    <row r="193" spans="1:7" x14ac:dyDescent="0.25">
      <c r="A193">
        <v>20</v>
      </c>
      <c r="B193" t="s">
        <v>146</v>
      </c>
      <c r="C193">
        <v>20</v>
      </c>
      <c r="D193" t="s">
        <v>93</v>
      </c>
      <c r="E193" t="s">
        <v>94</v>
      </c>
      <c r="F193">
        <v>0.52100000000000002</v>
      </c>
      <c r="G193" t="s">
        <v>13</v>
      </c>
    </row>
    <row r="194" spans="1:7" x14ac:dyDescent="0.25">
      <c r="A194">
        <v>20</v>
      </c>
      <c r="B194" t="s">
        <v>146</v>
      </c>
      <c r="C194">
        <v>30</v>
      </c>
      <c r="D194" t="s">
        <v>95</v>
      </c>
      <c r="E194" t="s">
        <v>11</v>
      </c>
      <c r="F194">
        <v>1</v>
      </c>
      <c r="G194" t="s">
        <v>13</v>
      </c>
    </row>
    <row r="195" spans="1:7" x14ac:dyDescent="0.25">
      <c r="A195">
        <v>20</v>
      </c>
      <c r="B195" t="s">
        <v>146</v>
      </c>
      <c r="C195">
        <v>40</v>
      </c>
      <c r="D195" t="s">
        <v>96</v>
      </c>
      <c r="E195" t="s">
        <v>14</v>
      </c>
      <c r="F195">
        <v>15.037000000000001</v>
      </c>
      <c r="G195" t="s">
        <v>13</v>
      </c>
    </row>
    <row r="196" spans="1:7" x14ac:dyDescent="0.25">
      <c r="A196">
        <v>20</v>
      </c>
      <c r="B196" t="s">
        <v>146</v>
      </c>
      <c r="C196">
        <v>50</v>
      </c>
      <c r="D196" t="s">
        <v>100</v>
      </c>
      <c r="E196" t="s">
        <v>14</v>
      </c>
      <c r="F196">
        <v>92.475999999999999</v>
      </c>
      <c r="G196" t="s">
        <v>13</v>
      </c>
    </row>
    <row r="197" spans="1:7" x14ac:dyDescent="0.25">
      <c r="A197">
        <v>20</v>
      </c>
      <c r="B197" t="s">
        <v>146</v>
      </c>
      <c r="C197">
        <v>60</v>
      </c>
      <c r="D197" t="s">
        <v>90</v>
      </c>
      <c r="E197" t="s">
        <v>11</v>
      </c>
      <c r="F197">
        <v>1</v>
      </c>
      <c r="G197" t="s">
        <v>13</v>
      </c>
    </row>
    <row r="198" spans="1:7" x14ac:dyDescent="0.25">
      <c r="A198">
        <v>20</v>
      </c>
      <c r="B198" t="s">
        <v>146</v>
      </c>
      <c r="C198">
        <v>70</v>
      </c>
      <c r="D198" t="s">
        <v>18</v>
      </c>
      <c r="E198" t="s">
        <v>11</v>
      </c>
      <c r="F198">
        <v>1</v>
      </c>
      <c r="G198" t="s">
        <v>13</v>
      </c>
    </row>
    <row r="199" spans="1:7" x14ac:dyDescent="0.25">
      <c r="A199">
        <v>20</v>
      </c>
      <c r="B199" t="s">
        <v>146</v>
      </c>
      <c r="C199">
        <v>80</v>
      </c>
      <c r="D199" t="s">
        <v>19</v>
      </c>
      <c r="E199" t="s">
        <v>11</v>
      </c>
      <c r="F199">
        <v>1</v>
      </c>
      <c r="G199" t="s">
        <v>13</v>
      </c>
    </row>
    <row r="200" spans="1:7" x14ac:dyDescent="0.25">
      <c r="A200">
        <v>20</v>
      </c>
      <c r="B200" t="s">
        <v>146</v>
      </c>
      <c r="C200">
        <v>90</v>
      </c>
      <c r="D200" t="s">
        <v>97</v>
      </c>
      <c r="E200" t="s">
        <v>12</v>
      </c>
      <c r="F200">
        <v>0.54</v>
      </c>
      <c r="G200" t="s">
        <v>13</v>
      </c>
    </row>
    <row r="201" spans="1:7" x14ac:dyDescent="0.25">
      <c r="A201">
        <v>20</v>
      </c>
      <c r="B201" t="s">
        <v>146</v>
      </c>
      <c r="C201">
        <v>100</v>
      </c>
      <c r="D201" t="s">
        <v>147</v>
      </c>
      <c r="E201" t="s">
        <v>11</v>
      </c>
      <c r="F201">
        <v>1</v>
      </c>
      <c r="G201" t="s">
        <v>15</v>
      </c>
    </row>
    <row r="202" spans="1:7" x14ac:dyDescent="0.25">
      <c r="A202">
        <v>21</v>
      </c>
      <c r="B202" t="s">
        <v>148</v>
      </c>
      <c r="C202">
        <v>10</v>
      </c>
      <c r="D202" t="s">
        <v>92</v>
      </c>
      <c r="E202" t="s">
        <v>14</v>
      </c>
      <c r="F202">
        <v>3.7080000000000002</v>
      </c>
      <c r="G202" t="s">
        <v>15</v>
      </c>
    </row>
    <row r="203" spans="1:7" x14ac:dyDescent="0.25">
      <c r="A203">
        <v>21</v>
      </c>
      <c r="B203" t="s">
        <v>148</v>
      </c>
      <c r="C203">
        <v>20</v>
      </c>
      <c r="D203" t="s">
        <v>93</v>
      </c>
      <c r="E203" t="s">
        <v>94</v>
      </c>
      <c r="F203">
        <v>0.56899999999999995</v>
      </c>
      <c r="G203" t="s">
        <v>13</v>
      </c>
    </row>
    <row r="204" spans="1:7" x14ac:dyDescent="0.25">
      <c r="A204">
        <v>21</v>
      </c>
      <c r="B204" t="s">
        <v>148</v>
      </c>
      <c r="C204">
        <v>30</v>
      </c>
      <c r="D204" t="s">
        <v>95</v>
      </c>
      <c r="E204" t="s">
        <v>11</v>
      </c>
      <c r="F204">
        <v>1</v>
      </c>
      <c r="G204" t="s">
        <v>13</v>
      </c>
    </row>
    <row r="205" spans="1:7" x14ac:dyDescent="0.25">
      <c r="A205">
        <v>21</v>
      </c>
      <c r="B205" t="s">
        <v>148</v>
      </c>
      <c r="C205">
        <v>40</v>
      </c>
      <c r="D205" t="s">
        <v>96</v>
      </c>
      <c r="E205" t="s">
        <v>14</v>
      </c>
      <c r="F205">
        <v>15.646000000000001</v>
      </c>
      <c r="G205" t="s">
        <v>13</v>
      </c>
    </row>
    <row r="206" spans="1:7" x14ac:dyDescent="0.25">
      <c r="A206">
        <v>21</v>
      </c>
      <c r="B206" t="s">
        <v>148</v>
      </c>
      <c r="C206">
        <v>50</v>
      </c>
      <c r="D206" t="s">
        <v>100</v>
      </c>
      <c r="E206" t="s">
        <v>14</v>
      </c>
      <c r="F206">
        <v>96.224999999999994</v>
      </c>
      <c r="G206" t="s">
        <v>13</v>
      </c>
    </row>
    <row r="207" spans="1:7" x14ac:dyDescent="0.25">
      <c r="A207">
        <v>21</v>
      </c>
      <c r="B207" t="s">
        <v>148</v>
      </c>
      <c r="C207">
        <v>60</v>
      </c>
      <c r="D207" t="s">
        <v>90</v>
      </c>
      <c r="E207" t="s">
        <v>11</v>
      </c>
      <c r="F207">
        <v>1</v>
      </c>
      <c r="G207" t="s">
        <v>13</v>
      </c>
    </row>
    <row r="208" spans="1:7" x14ac:dyDescent="0.25">
      <c r="A208">
        <v>21</v>
      </c>
      <c r="B208" t="s">
        <v>148</v>
      </c>
      <c r="C208">
        <v>70</v>
      </c>
      <c r="D208" t="s">
        <v>18</v>
      </c>
      <c r="E208" t="s">
        <v>11</v>
      </c>
      <c r="F208">
        <v>1</v>
      </c>
      <c r="G208" t="s">
        <v>13</v>
      </c>
    </row>
    <row r="209" spans="1:7" x14ac:dyDescent="0.25">
      <c r="A209">
        <v>21</v>
      </c>
      <c r="B209" t="s">
        <v>148</v>
      </c>
      <c r="C209">
        <v>80</v>
      </c>
      <c r="D209" t="s">
        <v>19</v>
      </c>
      <c r="E209" t="s">
        <v>11</v>
      </c>
      <c r="F209">
        <v>1</v>
      </c>
      <c r="G209" t="s">
        <v>13</v>
      </c>
    </row>
    <row r="210" spans="1:7" x14ac:dyDescent="0.25">
      <c r="A210">
        <v>21</v>
      </c>
      <c r="B210" t="s">
        <v>148</v>
      </c>
      <c r="C210">
        <v>90</v>
      </c>
      <c r="D210" t="s">
        <v>97</v>
      </c>
      <c r="E210" t="s">
        <v>12</v>
      </c>
      <c r="F210">
        <v>0.58599999999999997</v>
      </c>
      <c r="G210" t="s">
        <v>13</v>
      </c>
    </row>
    <row r="211" spans="1:7" x14ac:dyDescent="0.25">
      <c r="A211">
        <v>21</v>
      </c>
      <c r="B211" t="s">
        <v>148</v>
      </c>
      <c r="C211">
        <v>100</v>
      </c>
      <c r="D211" t="s">
        <v>149</v>
      </c>
      <c r="E211" t="s">
        <v>11</v>
      </c>
      <c r="F211">
        <v>1</v>
      </c>
      <c r="G21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4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39" t="s">
        <v>22</v>
      </c>
      <c r="B1" s="40" t="s">
        <v>23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1" t="s">
        <v>24</v>
      </c>
      <c r="N1" s="42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</row>
    <row r="2" spans="1:38" x14ac:dyDescent="0.25">
      <c r="A2" s="39"/>
      <c r="B2" s="37" t="s">
        <v>25</v>
      </c>
      <c r="C2" s="37" t="s">
        <v>26</v>
      </c>
      <c r="D2" s="37" t="s">
        <v>27</v>
      </c>
      <c r="E2" s="37" t="s">
        <v>26</v>
      </c>
      <c r="F2" s="37" t="s">
        <v>27</v>
      </c>
      <c r="G2" s="37" t="s">
        <v>25</v>
      </c>
      <c r="H2" s="37" t="s">
        <v>27</v>
      </c>
      <c r="I2" s="37" t="s">
        <v>27</v>
      </c>
      <c r="J2" s="37" t="s">
        <v>27</v>
      </c>
      <c r="K2" s="37" t="s">
        <v>27</v>
      </c>
      <c r="L2" s="37" t="s">
        <v>25</v>
      </c>
      <c r="M2" s="38" t="s">
        <v>28</v>
      </c>
      <c r="N2" s="20" t="s">
        <v>28</v>
      </c>
      <c r="O2" s="38" t="s">
        <v>28</v>
      </c>
      <c r="P2" s="38" t="s">
        <v>29</v>
      </c>
      <c r="Q2" s="38" t="s">
        <v>28</v>
      </c>
      <c r="R2" s="38" t="s">
        <v>29</v>
      </c>
      <c r="S2" s="38" t="s">
        <v>28</v>
      </c>
      <c r="T2" s="38" t="s">
        <v>28</v>
      </c>
      <c r="U2" s="38" t="s">
        <v>29</v>
      </c>
      <c r="V2" s="38" t="s">
        <v>28</v>
      </c>
      <c r="W2" s="38" t="s">
        <v>28</v>
      </c>
      <c r="X2" s="38" t="s">
        <v>28</v>
      </c>
      <c r="Y2" s="38" t="s">
        <v>29</v>
      </c>
      <c r="Z2" s="38" t="s">
        <v>30</v>
      </c>
      <c r="AA2" s="38" t="s">
        <v>28</v>
      </c>
      <c r="AB2" s="38" t="s">
        <v>28</v>
      </c>
      <c r="AC2" s="38" t="s">
        <v>28</v>
      </c>
      <c r="AD2" s="38" t="s">
        <v>28</v>
      </c>
      <c r="AE2" s="38" t="s">
        <v>28</v>
      </c>
      <c r="AF2" s="38" t="s">
        <v>28</v>
      </c>
      <c r="AG2" s="38" t="s">
        <v>30</v>
      </c>
      <c r="AH2" s="38" t="s">
        <v>30</v>
      </c>
      <c r="AI2" s="38" t="s">
        <v>30</v>
      </c>
      <c r="AJ2" s="38" t="s">
        <v>28</v>
      </c>
      <c r="AK2" s="38" t="s">
        <v>28</v>
      </c>
      <c r="AL2" s="38" t="s">
        <v>28</v>
      </c>
    </row>
    <row r="3" spans="1:38" x14ac:dyDescent="0.25">
      <c r="A3" s="39"/>
      <c r="B3" s="37" t="s">
        <v>31</v>
      </c>
      <c r="C3" s="37" t="s">
        <v>32</v>
      </c>
      <c r="D3" s="37" t="s">
        <v>33</v>
      </c>
      <c r="E3" s="37" t="s">
        <v>32</v>
      </c>
      <c r="F3" s="37" t="s">
        <v>34</v>
      </c>
      <c r="G3" s="37" t="s">
        <v>35</v>
      </c>
      <c r="H3" s="37" t="s">
        <v>36</v>
      </c>
      <c r="I3" s="37" t="s">
        <v>37</v>
      </c>
      <c r="J3" s="37" t="s">
        <v>32</v>
      </c>
      <c r="K3" s="37" t="s">
        <v>32</v>
      </c>
      <c r="L3" s="37" t="s">
        <v>38</v>
      </c>
      <c r="M3" s="38" t="s">
        <v>39</v>
      </c>
      <c r="N3" s="20" t="s">
        <v>32</v>
      </c>
      <c r="O3" s="38" t="s">
        <v>34</v>
      </c>
      <c r="P3" s="38" t="s">
        <v>40</v>
      </c>
      <c r="Q3" s="38" t="s">
        <v>37</v>
      </c>
      <c r="R3" s="38" t="s">
        <v>36</v>
      </c>
      <c r="S3" s="38" t="s">
        <v>41</v>
      </c>
      <c r="T3" s="38" t="s">
        <v>39</v>
      </c>
      <c r="U3" s="38" t="s">
        <v>42</v>
      </c>
      <c r="V3" s="38" t="s">
        <v>36</v>
      </c>
      <c r="W3" s="38" t="s">
        <v>37</v>
      </c>
      <c r="X3" s="38" t="s">
        <v>37</v>
      </c>
      <c r="Y3" s="38" t="s">
        <v>31</v>
      </c>
      <c r="Z3" s="38" t="s">
        <v>38</v>
      </c>
      <c r="AA3" s="38" t="s">
        <v>43</v>
      </c>
      <c r="AB3" s="38" t="s">
        <v>43</v>
      </c>
      <c r="AC3" s="38" t="s">
        <v>37</v>
      </c>
      <c r="AD3" s="38" t="s">
        <v>37</v>
      </c>
      <c r="AE3" s="38" t="s">
        <v>42</v>
      </c>
      <c r="AF3" s="38" t="s">
        <v>41</v>
      </c>
      <c r="AG3" s="38" t="s">
        <v>31</v>
      </c>
      <c r="AH3" s="38" t="s">
        <v>38</v>
      </c>
      <c r="AI3" s="38" t="s">
        <v>38</v>
      </c>
      <c r="AJ3" s="38" t="s">
        <v>32</v>
      </c>
      <c r="AK3" s="38" t="s">
        <v>34</v>
      </c>
      <c r="AL3" s="38" t="s">
        <v>44</v>
      </c>
    </row>
    <row r="4" spans="1:38" x14ac:dyDescent="0.25">
      <c r="A4" s="39"/>
      <c r="B4" s="21" t="s">
        <v>45</v>
      </c>
      <c r="C4" s="21" t="s">
        <v>46</v>
      </c>
      <c r="D4" s="37" t="s">
        <v>47</v>
      </c>
      <c r="E4" s="21" t="s">
        <v>3</v>
      </c>
      <c r="F4" s="37" t="s">
        <v>48</v>
      </c>
      <c r="G4" s="21" t="s">
        <v>49</v>
      </c>
      <c r="H4" s="21" t="s">
        <v>6</v>
      </c>
      <c r="I4" s="21" t="s">
        <v>50</v>
      </c>
      <c r="J4" s="37" t="s">
        <v>51</v>
      </c>
      <c r="K4" s="37" t="s">
        <v>52</v>
      </c>
      <c r="L4" s="37" t="s">
        <v>53</v>
      </c>
      <c r="M4" s="22" t="s">
        <v>54</v>
      </c>
      <c r="N4" s="23" t="s">
        <v>3</v>
      </c>
      <c r="O4" s="38" t="s">
        <v>48</v>
      </c>
      <c r="P4" s="38" t="s">
        <v>55</v>
      </c>
      <c r="Q4" s="38" t="s">
        <v>56</v>
      </c>
      <c r="R4" s="38" t="s">
        <v>4</v>
      </c>
      <c r="S4" s="38" t="s">
        <v>57</v>
      </c>
      <c r="T4" s="38" t="s">
        <v>58</v>
      </c>
      <c r="U4" s="38" t="s">
        <v>59</v>
      </c>
      <c r="V4" s="38" t="s">
        <v>6</v>
      </c>
      <c r="W4" s="38" t="s">
        <v>60</v>
      </c>
      <c r="X4" s="38" t="s">
        <v>61</v>
      </c>
      <c r="Y4" s="38" t="s">
        <v>62</v>
      </c>
      <c r="Z4" s="38" t="s">
        <v>63</v>
      </c>
      <c r="AA4" s="38" t="s">
        <v>64</v>
      </c>
      <c r="AB4" s="38" t="s">
        <v>65</v>
      </c>
      <c r="AC4" s="38" t="s">
        <v>66</v>
      </c>
      <c r="AD4" s="38" t="s">
        <v>67</v>
      </c>
      <c r="AE4" s="38" t="s">
        <v>68</v>
      </c>
      <c r="AF4" s="38" t="s">
        <v>69</v>
      </c>
      <c r="AG4" s="38" t="s">
        <v>70</v>
      </c>
      <c r="AH4" s="38" t="s">
        <v>71</v>
      </c>
      <c r="AI4" s="38" t="s">
        <v>72</v>
      </c>
      <c r="AJ4" s="38" t="s">
        <v>73</v>
      </c>
      <c r="AK4" s="38" t="s">
        <v>74</v>
      </c>
      <c r="AL4" s="38" t="s">
        <v>75</v>
      </c>
    </row>
    <row r="5" spans="1:38" x14ac:dyDescent="0.25">
      <c r="A5" s="3">
        <v>1</v>
      </c>
      <c r="B5" s="3" t="s">
        <v>85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92</v>
      </c>
      <c r="O5" s="3"/>
      <c r="P5" s="3"/>
      <c r="Q5" s="3">
        <v>1.575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93</v>
      </c>
      <c r="O6" s="3"/>
      <c r="P6" s="3"/>
      <c r="Q6" s="3">
        <v>0.219</v>
      </c>
      <c r="R6" s="3" t="s">
        <v>94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95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96</v>
      </c>
      <c r="O8" s="3"/>
      <c r="P8" s="3"/>
      <c r="Q8" s="3">
        <v>10.77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100</v>
      </c>
      <c r="O9" s="3"/>
      <c r="P9" s="3"/>
      <c r="Q9" s="3">
        <v>66.233000000000004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90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18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19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97</v>
      </c>
      <c r="O13" s="3"/>
      <c r="P13" s="3"/>
      <c r="Q13" s="3">
        <v>0.27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109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2</v>
      </c>
      <c r="B15" s="3" t="s">
        <v>85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86</v>
      </c>
      <c r="M15" s="3">
        <v>10</v>
      </c>
      <c r="N15" s="3" t="s">
        <v>92</v>
      </c>
      <c r="O15" s="3"/>
      <c r="P15" s="3"/>
      <c r="Q15" s="3">
        <v>1.88</v>
      </c>
      <c r="R15" s="3" t="s">
        <v>14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2</v>
      </c>
      <c r="B16" s="3" t="s">
        <v>85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86</v>
      </c>
      <c r="M16" s="3">
        <v>20</v>
      </c>
      <c r="N16" s="3" t="s">
        <v>93</v>
      </c>
      <c r="O16" s="3"/>
      <c r="P16" s="3"/>
      <c r="Q16" s="3">
        <v>0.26200000000000001</v>
      </c>
      <c r="R16" s="3" t="s">
        <v>94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86</v>
      </c>
      <c r="M17" s="3">
        <v>30</v>
      </c>
      <c r="N17" s="3" t="s">
        <v>95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86</v>
      </c>
      <c r="M18" s="3">
        <v>40</v>
      </c>
      <c r="N18" s="3" t="s">
        <v>96</v>
      </c>
      <c r="O18" s="3"/>
      <c r="P18" s="3"/>
      <c r="Q18" s="3">
        <v>11.379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86</v>
      </c>
      <c r="M19" s="3">
        <v>50</v>
      </c>
      <c r="N19" s="3" t="s">
        <v>100</v>
      </c>
      <c r="O19" s="3"/>
      <c r="P19" s="3"/>
      <c r="Q19" s="3">
        <v>69.981999999999999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86</v>
      </c>
      <c r="M20" s="3">
        <v>60</v>
      </c>
      <c r="N20" s="3" t="s">
        <v>90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86</v>
      </c>
      <c r="M21" s="3">
        <v>70</v>
      </c>
      <c r="N21" s="3" t="s">
        <v>18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86</v>
      </c>
      <c r="M22" s="3">
        <v>80</v>
      </c>
      <c r="N22" s="3" t="s">
        <v>19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86</v>
      </c>
      <c r="M23" s="3">
        <v>90</v>
      </c>
      <c r="N23" s="3" t="s">
        <v>97</v>
      </c>
      <c r="O23" s="3"/>
      <c r="P23" s="3"/>
      <c r="Q23" s="3">
        <v>0.315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86</v>
      </c>
      <c r="M24" s="3">
        <v>100</v>
      </c>
      <c r="N24" s="3" t="s">
        <v>111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3</v>
      </c>
      <c r="B25" s="3" t="s">
        <v>85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86</v>
      </c>
      <c r="M25" s="3">
        <v>10</v>
      </c>
      <c r="N25" s="3" t="s">
        <v>92</v>
      </c>
      <c r="O25" s="3"/>
      <c r="P25" s="3"/>
      <c r="Q25" s="3">
        <v>2.1840000000000002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3</v>
      </c>
      <c r="B26" s="3" t="s">
        <v>85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86</v>
      </c>
      <c r="M26" s="3">
        <v>20</v>
      </c>
      <c r="N26" s="3" t="s">
        <v>93</v>
      </c>
      <c r="O26" s="3"/>
      <c r="P26" s="3"/>
      <c r="Q26" s="3">
        <v>0.30599999999999999</v>
      </c>
      <c r="R26" s="3" t="s">
        <v>94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85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86</v>
      </c>
      <c r="M27" s="3">
        <v>30</v>
      </c>
      <c r="N27" s="3" t="s">
        <v>95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85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86</v>
      </c>
      <c r="M28" s="3">
        <v>40</v>
      </c>
      <c r="N28" s="3" t="s">
        <v>96</v>
      </c>
      <c r="O28" s="3"/>
      <c r="P28" s="3"/>
      <c r="Q28" s="3">
        <v>11.989000000000001</v>
      </c>
      <c r="R28" s="3" t="s">
        <v>14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86</v>
      </c>
      <c r="M29" s="3">
        <v>50</v>
      </c>
      <c r="N29" s="3" t="s">
        <v>100</v>
      </c>
      <c r="O29" s="3"/>
      <c r="P29" s="3"/>
      <c r="Q29" s="3">
        <v>73.730999999999995</v>
      </c>
      <c r="R29" s="3" t="s">
        <v>14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86</v>
      </c>
      <c r="M30" s="3">
        <v>60</v>
      </c>
      <c r="N30" s="3" t="s">
        <v>90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112</v>
      </c>
      <c r="D31" s="3"/>
      <c r="E31" s="3" t="s">
        <v>112</v>
      </c>
      <c r="F31" s="3"/>
      <c r="G31" s="3"/>
      <c r="H31" s="3"/>
      <c r="I31" s="3"/>
      <c r="J31" s="3"/>
      <c r="K31" s="3"/>
      <c r="L31" s="3" t="s">
        <v>86</v>
      </c>
      <c r="M31" s="3">
        <v>70</v>
      </c>
      <c r="N31" s="3" t="s">
        <v>18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112</v>
      </c>
      <c r="D32" s="3"/>
      <c r="E32" s="3" t="s">
        <v>112</v>
      </c>
      <c r="F32" s="3"/>
      <c r="G32" s="3"/>
      <c r="H32" s="3"/>
      <c r="I32" s="3"/>
      <c r="J32" s="3"/>
      <c r="K32" s="3"/>
      <c r="L32" s="3" t="s">
        <v>86</v>
      </c>
      <c r="M32" s="3">
        <v>80</v>
      </c>
      <c r="N32" s="3" t="s">
        <v>19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112</v>
      </c>
      <c r="D33" s="3"/>
      <c r="E33" s="3" t="s">
        <v>112</v>
      </c>
      <c r="F33" s="3"/>
      <c r="G33" s="3"/>
      <c r="H33" s="3"/>
      <c r="I33" s="3"/>
      <c r="J33" s="3"/>
      <c r="K33" s="3"/>
      <c r="L33" s="3" t="s">
        <v>86</v>
      </c>
      <c r="M33" s="3">
        <v>90</v>
      </c>
      <c r="N33" s="3" t="s">
        <v>97</v>
      </c>
      <c r="O33" s="3"/>
      <c r="P33" s="3"/>
      <c r="Q33" s="3">
        <v>0.36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112</v>
      </c>
      <c r="D34" s="3"/>
      <c r="E34" s="3" t="s">
        <v>112</v>
      </c>
      <c r="F34" s="3"/>
      <c r="G34" s="3"/>
      <c r="H34" s="3"/>
      <c r="I34" s="3"/>
      <c r="J34" s="3"/>
      <c r="K34" s="3"/>
      <c r="L34" s="3" t="s">
        <v>86</v>
      </c>
      <c r="M34" s="3">
        <v>100</v>
      </c>
      <c r="N34" s="3" t="s">
        <v>113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4</v>
      </c>
      <c r="B35" s="3" t="s">
        <v>85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86</v>
      </c>
      <c r="M35" s="3">
        <v>10</v>
      </c>
      <c r="N35" s="3" t="s">
        <v>92</v>
      </c>
      <c r="O35" s="3"/>
      <c r="P35" s="3"/>
      <c r="Q35" s="3">
        <v>2.4889999999999999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4</v>
      </c>
      <c r="B36" s="3" t="s">
        <v>85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86</v>
      </c>
      <c r="M36" s="3">
        <v>20</v>
      </c>
      <c r="N36" s="3" t="s">
        <v>93</v>
      </c>
      <c r="O36" s="3"/>
      <c r="P36" s="3"/>
      <c r="Q36" s="3">
        <v>0.35</v>
      </c>
      <c r="R36" s="3" t="s">
        <v>94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4</v>
      </c>
      <c r="B37" s="3" t="s">
        <v>85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86</v>
      </c>
      <c r="M37" s="3">
        <v>30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85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86</v>
      </c>
      <c r="M38" s="3">
        <v>40</v>
      </c>
      <c r="N38" s="3" t="s">
        <v>96</v>
      </c>
      <c r="O38" s="3"/>
      <c r="P38" s="3"/>
      <c r="Q38" s="3">
        <v>12.598000000000001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85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86</v>
      </c>
      <c r="M39" s="3">
        <v>50</v>
      </c>
      <c r="N39" s="3" t="s">
        <v>100</v>
      </c>
      <c r="O39" s="3"/>
      <c r="P39" s="3"/>
      <c r="Q39" s="3">
        <v>77.48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85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86</v>
      </c>
      <c r="M40" s="3">
        <v>60</v>
      </c>
      <c r="N40" s="3" t="s">
        <v>90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86</v>
      </c>
      <c r="M41" s="3">
        <v>70</v>
      </c>
      <c r="N41" s="3" t="s">
        <v>18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86</v>
      </c>
      <c r="M42" s="3">
        <v>80</v>
      </c>
      <c r="N42" s="3" t="s">
        <v>19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86</v>
      </c>
      <c r="M43" s="3">
        <v>90</v>
      </c>
      <c r="N43" s="3" t="s">
        <v>97</v>
      </c>
      <c r="O43" s="3"/>
      <c r="P43" s="3"/>
      <c r="Q43" s="3">
        <v>0.40500000000000003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86</v>
      </c>
      <c r="M44" s="3">
        <v>100</v>
      </c>
      <c r="N44" s="3" t="s">
        <v>115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5</v>
      </c>
      <c r="B45" s="3" t="s">
        <v>85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86</v>
      </c>
      <c r="M45" s="3">
        <v>10</v>
      </c>
      <c r="N45" s="3" t="s">
        <v>92</v>
      </c>
      <c r="O45" s="3"/>
      <c r="P45" s="3"/>
      <c r="Q45" s="3">
        <v>3.0990000000000002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5</v>
      </c>
      <c r="B46" s="3" t="s">
        <v>85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86</v>
      </c>
      <c r="M46" s="3">
        <v>20</v>
      </c>
      <c r="N46" s="3" t="s">
        <v>93</v>
      </c>
      <c r="O46" s="3"/>
      <c r="P46" s="3"/>
      <c r="Q46" s="3">
        <v>0.437</v>
      </c>
      <c r="R46" s="3" t="s">
        <v>94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5</v>
      </c>
      <c r="B47" s="3" t="s">
        <v>85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86</v>
      </c>
      <c r="M47" s="3">
        <v>30</v>
      </c>
      <c r="N47" s="3" t="s">
        <v>95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5</v>
      </c>
      <c r="B48" s="3" t="s">
        <v>85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86</v>
      </c>
      <c r="M48" s="3">
        <v>40</v>
      </c>
      <c r="N48" s="3" t="s">
        <v>96</v>
      </c>
      <c r="O48" s="3"/>
      <c r="P48" s="3"/>
      <c r="Q48" s="3">
        <v>13.818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85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86</v>
      </c>
      <c r="M49" s="3">
        <v>50</v>
      </c>
      <c r="N49" s="3" t="s">
        <v>100</v>
      </c>
      <c r="O49" s="3"/>
      <c r="P49" s="3"/>
      <c r="Q49" s="3">
        <v>84.977999999999994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5</v>
      </c>
      <c r="B50" s="3" t="s">
        <v>85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86</v>
      </c>
      <c r="M50" s="3">
        <v>60</v>
      </c>
      <c r="N50" s="3" t="s">
        <v>90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5</v>
      </c>
      <c r="B51" s="3" t="s">
        <v>85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86</v>
      </c>
      <c r="M51" s="3">
        <v>70</v>
      </c>
      <c r="N51" s="3" t="s">
        <v>18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5</v>
      </c>
      <c r="B52" s="3" t="s">
        <v>85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86</v>
      </c>
      <c r="M52" s="3">
        <v>80</v>
      </c>
      <c r="N52" s="3" t="s">
        <v>19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86</v>
      </c>
      <c r="M53" s="3">
        <v>90</v>
      </c>
      <c r="N53" s="3" t="s">
        <v>97</v>
      </c>
      <c r="O53" s="3"/>
      <c r="P53" s="3"/>
      <c r="Q53" s="3">
        <v>0.495</v>
      </c>
      <c r="R53" s="3" t="s">
        <v>12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86</v>
      </c>
      <c r="M54" s="3">
        <v>100</v>
      </c>
      <c r="N54" s="3" t="s">
        <v>117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6</v>
      </c>
      <c r="B55" s="3" t="s">
        <v>85</v>
      </c>
      <c r="C55" s="3" t="s">
        <v>118</v>
      </c>
      <c r="D55" s="3"/>
      <c r="E55" s="3" t="s">
        <v>118</v>
      </c>
      <c r="F55" s="3"/>
      <c r="G55" s="3"/>
      <c r="H55" s="3"/>
      <c r="I55" s="3"/>
      <c r="J55" s="3"/>
      <c r="K55" s="3"/>
      <c r="L55" s="3" t="s">
        <v>86</v>
      </c>
      <c r="M55" s="3">
        <v>10</v>
      </c>
      <c r="N55" s="3" t="s">
        <v>92</v>
      </c>
      <c r="O55" s="3"/>
      <c r="P55" s="3"/>
      <c r="Q55" s="3">
        <v>3.4039999999999999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6</v>
      </c>
      <c r="B56" s="3" t="s">
        <v>85</v>
      </c>
      <c r="C56" s="3" t="s">
        <v>118</v>
      </c>
      <c r="D56" s="3"/>
      <c r="E56" s="3" t="s">
        <v>118</v>
      </c>
      <c r="F56" s="3"/>
      <c r="G56" s="3"/>
      <c r="H56" s="3"/>
      <c r="I56" s="3"/>
      <c r="J56" s="3"/>
      <c r="K56" s="3"/>
      <c r="L56" s="3" t="s">
        <v>86</v>
      </c>
      <c r="M56" s="3">
        <v>20</v>
      </c>
      <c r="N56" s="3" t="s">
        <v>93</v>
      </c>
      <c r="O56" s="3"/>
      <c r="P56" s="3"/>
      <c r="Q56" s="3">
        <v>0.48099999999999998</v>
      </c>
      <c r="R56" s="3" t="s">
        <v>94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6</v>
      </c>
      <c r="B57" s="3" t="s">
        <v>85</v>
      </c>
      <c r="C57" s="3" t="s">
        <v>118</v>
      </c>
      <c r="D57" s="3"/>
      <c r="E57" s="3" t="s">
        <v>118</v>
      </c>
      <c r="F57" s="3"/>
      <c r="G57" s="3"/>
      <c r="H57" s="3"/>
      <c r="I57" s="3"/>
      <c r="J57" s="3"/>
      <c r="K57" s="3"/>
      <c r="L57" s="3" t="s">
        <v>86</v>
      </c>
      <c r="M57" s="3">
        <v>30</v>
      </c>
      <c r="N57" s="3" t="s">
        <v>95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6</v>
      </c>
      <c r="B58" s="3" t="s">
        <v>85</v>
      </c>
      <c r="C58" s="3" t="s">
        <v>118</v>
      </c>
      <c r="D58" s="3"/>
      <c r="E58" s="3" t="s">
        <v>118</v>
      </c>
      <c r="F58" s="3"/>
      <c r="G58" s="3"/>
      <c r="H58" s="3"/>
      <c r="I58" s="3"/>
      <c r="J58" s="3"/>
      <c r="K58" s="3"/>
      <c r="L58" s="3" t="s">
        <v>86</v>
      </c>
      <c r="M58" s="3">
        <v>40</v>
      </c>
      <c r="N58" s="3" t="s">
        <v>96</v>
      </c>
      <c r="O58" s="3"/>
      <c r="P58" s="3"/>
      <c r="Q58" s="3">
        <v>14.427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6</v>
      </c>
      <c r="B59" s="3" t="s">
        <v>85</v>
      </c>
      <c r="C59" s="3" t="s">
        <v>118</v>
      </c>
      <c r="D59" s="3"/>
      <c r="E59" s="3" t="s">
        <v>118</v>
      </c>
      <c r="F59" s="3"/>
      <c r="G59" s="3"/>
      <c r="H59" s="3"/>
      <c r="I59" s="3"/>
      <c r="J59" s="3"/>
      <c r="K59" s="3"/>
      <c r="L59" s="3" t="s">
        <v>86</v>
      </c>
      <c r="M59" s="3">
        <v>50</v>
      </c>
      <c r="N59" s="3" t="s">
        <v>100</v>
      </c>
      <c r="O59" s="3"/>
      <c r="P59" s="3"/>
      <c r="Q59" s="3">
        <v>88.727000000000004</v>
      </c>
      <c r="R59" s="3" t="s">
        <v>14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6</v>
      </c>
      <c r="B60" s="3" t="s">
        <v>85</v>
      </c>
      <c r="C60" s="3" t="s">
        <v>118</v>
      </c>
      <c r="D60" s="3"/>
      <c r="E60" s="3" t="s">
        <v>118</v>
      </c>
      <c r="F60" s="3"/>
      <c r="G60" s="3"/>
      <c r="H60" s="3"/>
      <c r="I60" s="3"/>
      <c r="J60" s="3"/>
      <c r="K60" s="3"/>
      <c r="L60" s="3" t="s">
        <v>86</v>
      </c>
      <c r="M60" s="3">
        <v>60</v>
      </c>
      <c r="N60" s="3" t="s">
        <v>90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6</v>
      </c>
      <c r="B61" s="3" t="s">
        <v>85</v>
      </c>
      <c r="C61" s="3" t="s">
        <v>118</v>
      </c>
      <c r="D61" s="3"/>
      <c r="E61" s="3" t="s">
        <v>118</v>
      </c>
      <c r="F61" s="3"/>
      <c r="G61" s="3"/>
      <c r="H61" s="3"/>
      <c r="I61" s="3"/>
      <c r="J61" s="3"/>
      <c r="K61" s="3"/>
      <c r="L61" s="3" t="s">
        <v>86</v>
      </c>
      <c r="M61" s="3">
        <v>70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6</v>
      </c>
      <c r="B62" s="3" t="s">
        <v>85</v>
      </c>
      <c r="C62" s="3" t="s">
        <v>118</v>
      </c>
      <c r="D62" s="3"/>
      <c r="E62" s="3" t="s">
        <v>118</v>
      </c>
      <c r="F62" s="3"/>
      <c r="G62" s="3"/>
      <c r="H62" s="3"/>
      <c r="I62" s="3"/>
      <c r="J62" s="3"/>
      <c r="K62" s="3"/>
      <c r="L62" s="3" t="s">
        <v>86</v>
      </c>
      <c r="M62" s="3">
        <v>80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6</v>
      </c>
      <c r="B63" s="3" t="s">
        <v>85</v>
      </c>
      <c r="C63" s="3" t="s">
        <v>118</v>
      </c>
      <c r="D63" s="3"/>
      <c r="E63" s="3" t="s">
        <v>118</v>
      </c>
      <c r="F63" s="3"/>
      <c r="G63" s="3"/>
      <c r="H63" s="3"/>
      <c r="I63" s="3"/>
      <c r="J63" s="3"/>
      <c r="K63" s="3"/>
      <c r="L63" s="3" t="s">
        <v>86</v>
      </c>
      <c r="M63" s="3">
        <v>90</v>
      </c>
      <c r="N63" s="3" t="s">
        <v>97</v>
      </c>
      <c r="O63" s="3"/>
      <c r="P63" s="3"/>
      <c r="Q63" s="3">
        <v>0.54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6</v>
      </c>
      <c r="B64" s="3" t="s">
        <v>85</v>
      </c>
      <c r="C64" s="3" t="s">
        <v>118</v>
      </c>
      <c r="D64" s="3"/>
      <c r="E64" s="3" t="s">
        <v>118</v>
      </c>
      <c r="F64" s="3"/>
      <c r="G64" s="3"/>
      <c r="H64" s="3"/>
      <c r="I64" s="3"/>
      <c r="J64" s="3"/>
      <c r="K64" s="3"/>
      <c r="L64" s="3" t="s">
        <v>86</v>
      </c>
      <c r="M64" s="3">
        <v>100</v>
      </c>
      <c r="N64" s="3" t="s">
        <v>119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7</v>
      </c>
      <c r="B65" s="3" t="s">
        <v>85</v>
      </c>
      <c r="C65" s="3" t="s">
        <v>120</v>
      </c>
      <c r="D65" s="3"/>
      <c r="E65" s="3" t="s">
        <v>120</v>
      </c>
      <c r="F65" s="3"/>
      <c r="G65" s="3"/>
      <c r="H65" s="3"/>
      <c r="I65" s="3"/>
      <c r="J65" s="3"/>
      <c r="K65" s="3"/>
      <c r="L65" s="3" t="s">
        <v>86</v>
      </c>
      <c r="M65" s="3">
        <v>10</v>
      </c>
      <c r="N65" s="3" t="s">
        <v>92</v>
      </c>
      <c r="O65" s="3"/>
      <c r="P65" s="3"/>
      <c r="Q65" s="3">
        <v>3.7080000000000002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7</v>
      </c>
      <c r="B66" s="3" t="s">
        <v>85</v>
      </c>
      <c r="C66" s="3" t="s">
        <v>120</v>
      </c>
      <c r="D66" s="3"/>
      <c r="E66" s="3" t="s">
        <v>120</v>
      </c>
      <c r="F66" s="3"/>
      <c r="G66" s="3"/>
      <c r="H66" s="3"/>
      <c r="I66" s="3"/>
      <c r="J66" s="3"/>
      <c r="K66" s="3"/>
      <c r="L66" s="3" t="s">
        <v>86</v>
      </c>
      <c r="M66" s="3">
        <v>20</v>
      </c>
      <c r="N66" s="3" t="s">
        <v>93</v>
      </c>
      <c r="O66" s="3"/>
      <c r="P66" s="3"/>
      <c r="Q66" s="3">
        <v>0.52500000000000002</v>
      </c>
      <c r="R66" s="3" t="s">
        <v>94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7</v>
      </c>
      <c r="B67" s="3" t="s">
        <v>85</v>
      </c>
      <c r="C67" s="3" t="s">
        <v>120</v>
      </c>
      <c r="D67" s="3"/>
      <c r="E67" s="3" t="s">
        <v>120</v>
      </c>
      <c r="F67" s="3"/>
      <c r="G67" s="3"/>
      <c r="H67" s="3"/>
      <c r="I67" s="3"/>
      <c r="J67" s="3"/>
      <c r="K67" s="3"/>
      <c r="L67" s="3" t="s">
        <v>86</v>
      </c>
      <c r="M67" s="3">
        <v>30</v>
      </c>
      <c r="N67" s="3" t="s">
        <v>95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7</v>
      </c>
      <c r="B68" s="3" t="s">
        <v>85</v>
      </c>
      <c r="C68" s="3" t="s">
        <v>120</v>
      </c>
      <c r="D68" s="3"/>
      <c r="E68" s="3" t="s">
        <v>120</v>
      </c>
      <c r="F68" s="3"/>
      <c r="G68" s="3"/>
      <c r="H68" s="3"/>
      <c r="I68" s="3"/>
      <c r="J68" s="3"/>
      <c r="K68" s="3"/>
      <c r="L68" s="3" t="s">
        <v>86</v>
      </c>
      <c r="M68" s="3">
        <v>40</v>
      </c>
      <c r="N68" s="3" t="s">
        <v>96</v>
      </c>
      <c r="O68" s="3"/>
      <c r="P68" s="3"/>
      <c r="Q68" s="3">
        <v>15.037000000000001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7</v>
      </c>
      <c r="B69" s="3" t="s">
        <v>85</v>
      </c>
      <c r="C69" s="3" t="s">
        <v>120</v>
      </c>
      <c r="D69" s="3"/>
      <c r="E69" s="3" t="s">
        <v>120</v>
      </c>
      <c r="F69" s="3"/>
      <c r="G69" s="3"/>
      <c r="H69" s="3"/>
      <c r="I69" s="3"/>
      <c r="J69" s="3"/>
      <c r="K69" s="3"/>
      <c r="L69" s="3" t="s">
        <v>86</v>
      </c>
      <c r="M69" s="3">
        <v>50</v>
      </c>
      <c r="N69" s="3" t="s">
        <v>100</v>
      </c>
      <c r="O69" s="3"/>
      <c r="P69" s="3"/>
      <c r="Q69" s="3">
        <v>92.475999999999999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7</v>
      </c>
      <c r="B70" s="3" t="s">
        <v>85</v>
      </c>
      <c r="C70" s="3" t="s">
        <v>120</v>
      </c>
      <c r="D70" s="3"/>
      <c r="E70" s="3" t="s">
        <v>120</v>
      </c>
      <c r="F70" s="3"/>
      <c r="G70" s="3"/>
      <c r="H70" s="3"/>
      <c r="I70" s="3"/>
      <c r="J70" s="3"/>
      <c r="K70" s="3"/>
      <c r="L70" s="3" t="s">
        <v>86</v>
      </c>
      <c r="M70" s="3">
        <v>60</v>
      </c>
      <c r="N70" s="3" t="s">
        <v>90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7</v>
      </c>
      <c r="B71" s="3" t="s">
        <v>85</v>
      </c>
      <c r="C71" s="3" t="s">
        <v>120</v>
      </c>
      <c r="D71" s="3"/>
      <c r="E71" s="3" t="s">
        <v>120</v>
      </c>
      <c r="F71" s="3"/>
      <c r="G71" s="3"/>
      <c r="H71" s="3"/>
      <c r="I71" s="3"/>
      <c r="J71" s="3"/>
      <c r="K71" s="3"/>
      <c r="L71" s="3" t="s">
        <v>86</v>
      </c>
      <c r="M71" s="3">
        <v>70</v>
      </c>
      <c r="N71" s="3" t="s">
        <v>18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7</v>
      </c>
      <c r="B72" s="3" t="s">
        <v>85</v>
      </c>
      <c r="C72" s="3" t="s">
        <v>120</v>
      </c>
      <c r="D72" s="3"/>
      <c r="E72" s="3" t="s">
        <v>120</v>
      </c>
      <c r="F72" s="3"/>
      <c r="G72" s="3"/>
      <c r="H72" s="3"/>
      <c r="I72" s="3"/>
      <c r="J72" s="3"/>
      <c r="K72" s="3"/>
      <c r="L72" s="3" t="s">
        <v>86</v>
      </c>
      <c r="M72" s="3">
        <v>80</v>
      </c>
      <c r="N72" s="3" t="s">
        <v>19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7</v>
      </c>
      <c r="B73" s="3" t="s">
        <v>85</v>
      </c>
      <c r="C73" s="3" t="s">
        <v>120</v>
      </c>
      <c r="D73" s="3"/>
      <c r="E73" s="3" t="s">
        <v>120</v>
      </c>
      <c r="F73" s="3"/>
      <c r="G73" s="3"/>
      <c r="H73" s="3"/>
      <c r="I73" s="3"/>
      <c r="J73" s="3"/>
      <c r="K73" s="3"/>
      <c r="L73" s="3" t="s">
        <v>86</v>
      </c>
      <c r="M73" s="3">
        <v>90</v>
      </c>
      <c r="N73" s="3" t="s">
        <v>97</v>
      </c>
      <c r="O73" s="3"/>
      <c r="P73" s="3"/>
      <c r="Q73" s="3">
        <v>0.58599999999999997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7</v>
      </c>
      <c r="B74" s="3" t="s">
        <v>85</v>
      </c>
      <c r="C74" s="3" t="s">
        <v>120</v>
      </c>
      <c r="D74" s="3"/>
      <c r="E74" s="3" t="s">
        <v>120</v>
      </c>
      <c r="F74" s="3"/>
      <c r="G74" s="3"/>
      <c r="H74" s="3"/>
      <c r="I74" s="3"/>
      <c r="J74" s="3"/>
      <c r="K74" s="3"/>
      <c r="L74" s="3" t="s">
        <v>86</v>
      </c>
      <c r="M74" s="3">
        <v>100</v>
      </c>
      <c r="N74" s="3" t="s">
        <v>121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8</v>
      </c>
      <c r="B75" s="3" t="s">
        <v>85</v>
      </c>
      <c r="C75" s="3" t="s">
        <v>122</v>
      </c>
      <c r="D75" s="3"/>
      <c r="E75" s="3" t="s">
        <v>122</v>
      </c>
      <c r="F75" s="3"/>
      <c r="G75" s="3"/>
      <c r="H75" s="3"/>
      <c r="I75" s="3"/>
      <c r="J75" s="3"/>
      <c r="K75" s="3"/>
      <c r="L75" s="3" t="s">
        <v>86</v>
      </c>
      <c r="M75" s="3">
        <v>10</v>
      </c>
      <c r="N75" s="3" t="s">
        <v>92</v>
      </c>
      <c r="O75" s="3"/>
      <c r="P75" s="3"/>
      <c r="Q75" s="3">
        <v>1.575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8</v>
      </c>
      <c r="B76" s="3" t="s">
        <v>85</v>
      </c>
      <c r="C76" s="3" t="s">
        <v>122</v>
      </c>
      <c r="D76" s="3"/>
      <c r="E76" s="3" t="s">
        <v>122</v>
      </c>
      <c r="F76" s="3"/>
      <c r="G76" s="3"/>
      <c r="H76" s="3"/>
      <c r="I76" s="3"/>
      <c r="J76" s="3"/>
      <c r="K76" s="3"/>
      <c r="L76" s="3" t="s">
        <v>86</v>
      </c>
      <c r="M76" s="3">
        <v>20</v>
      </c>
      <c r="N76" s="3" t="s">
        <v>93</v>
      </c>
      <c r="O76" s="3"/>
      <c r="P76" s="3"/>
      <c r="Q76" s="3">
        <v>0.22800000000000001</v>
      </c>
      <c r="R76" s="3" t="s">
        <v>94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8</v>
      </c>
      <c r="B77" s="3" t="s">
        <v>85</v>
      </c>
      <c r="C77" s="3" t="s">
        <v>122</v>
      </c>
      <c r="D77" s="3"/>
      <c r="E77" s="3" t="s">
        <v>122</v>
      </c>
      <c r="F77" s="3"/>
      <c r="G77" s="3"/>
      <c r="H77" s="3"/>
      <c r="I77" s="3"/>
      <c r="J77" s="3"/>
      <c r="K77" s="3"/>
      <c r="L77" s="3" t="s">
        <v>86</v>
      </c>
      <c r="M77" s="3">
        <v>30</v>
      </c>
      <c r="N77" s="3" t="s">
        <v>95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8</v>
      </c>
      <c r="B78" s="3" t="s">
        <v>85</v>
      </c>
      <c r="C78" s="3" t="s">
        <v>122</v>
      </c>
      <c r="D78" s="3"/>
      <c r="E78" s="3" t="s">
        <v>122</v>
      </c>
      <c r="F78" s="3"/>
      <c r="G78" s="3"/>
      <c r="H78" s="3"/>
      <c r="I78" s="3"/>
      <c r="J78" s="3"/>
      <c r="K78" s="3"/>
      <c r="L78" s="3" t="s">
        <v>86</v>
      </c>
      <c r="M78" s="3">
        <v>40</v>
      </c>
      <c r="N78" s="3" t="s">
        <v>96</v>
      </c>
      <c r="O78" s="3"/>
      <c r="P78" s="3"/>
      <c r="Q78" s="3">
        <v>11.074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8</v>
      </c>
      <c r="B79" s="3" t="s">
        <v>85</v>
      </c>
      <c r="C79" s="3" t="s">
        <v>122</v>
      </c>
      <c r="D79" s="3"/>
      <c r="E79" s="3" t="s">
        <v>122</v>
      </c>
      <c r="F79" s="3"/>
      <c r="G79" s="3"/>
      <c r="H79" s="3"/>
      <c r="I79" s="3"/>
      <c r="J79" s="3"/>
      <c r="K79" s="3"/>
      <c r="L79" s="3" t="s">
        <v>86</v>
      </c>
      <c r="M79" s="3">
        <v>50</v>
      </c>
      <c r="N79" s="3" t="s">
        <v>100</v>
      </c>
      <c r="O79" s="3"/>
      <c r="P79" s="3"/>
      <c r="Q79" s="3">
        <v>68.108000000000004</v>
      </c>
      <c r="R79" s="3" t="s">
        <v>14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8</v>
      </c>
      <c r="B80" s="3" t="s">
        <v>85</v>
      </c>
      <c r="C80" s="3" t="s">
        <v>122</v>
      </c>
      <c r="D80" s="3"/>
      <c r="E80" s="3" t="s">
        <v>122</v>
      </c>
      <c r="F80" s="3"/>
      <c r="G80" s="3"/>
      <c r="H80" s="3"/>
      <c r="I80" s="3"/>
      <c r="J80" s="3"/>
      <c r="K80" s="3"/>
      <c r="L80" s="3" t="s">
        <v>86</v>
      </c>
      <c r="M80" s="3">
        <v>60</v>
      </c>
      <c r="N80" s="3" t="s">
        <v>90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8</v>
      </c>
      <c r="B81" s="3" t="s">
        <v>85</v>
      </c>
      <c r="C81" s="3" t="s">
        <v>122</v>
      </c>
      <c r="D81" s="3"/>
      <c r="E81" s="3" t="s">
        <v>122</v>
      </c>
      <c r="F81" s="3"/>
      <c r="G81" s="3"/>
      <c r="H81" s="3"/>
      <c r="I81" s="3"/>
      <c r="J81" s="3"/>
      <c r="K81" s="3"/>
      <c r="L81" s="3" t="s">
        <v>86</v>
      </c>
      <c r="M81" s="3">
        <v>70</v>
      </c>
      <c r="N81" s="3" t="s">
        <v>18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8</v>
      </c>
      <c r="B82" s="3" t="s">
        <v>85</v>
      </c>
      <c r="C82" s="3" t="s">
        <v>122</v>
      </c>
      <c r="D82" s="3"/>
      <c r="E82" s="3" t="s">
        <v>122</v>
      </c>
      <c r="F82" s="3"/>
      <c r="G82" s="3"/>
      <c r="H82" s="3"/>
      <c r="I82" s="3"/>
      <c r="J82" s="3"/>
      <c r="K82" s="3"/>
      <c r="L82" s="3" t="s">
        <v>86</v>
      </c>
      <c r="M82" s="3">
        <v>80</v>
      </c>
      <c r="N82" s="3" t="s">
        <v>19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8</v>
      </c>
      <c r="B83" s="3" t="s">
        <v>85</v>
      </c>
      <c r="C83" s="3" t="s">
        <v>122</v>
      </c>
      <c r="D83" s="3"/>
      <c r="E83" s="3" t="s">
        <v>122</v>
      </c>
      <c r="F83" s="3"/>
      <c r="G83" s="3"/>
      <c r="H83" s="3"/>
      <c r="I83" s="3"/>
      <c r="J83" s="3"/>
      <c r="K83" s="3"/>
      <c r="L83" s="3" t="s">
        <v>86</v>
      </c>
      <c r="M83" s="3">
        <v>90</v>
      </c>
      <c r="N83" s="3" t="s">
        <v>97</v>
      </c>
      <c r="O83" s="3"/>
      <c r="P83" s="3"/>
      <c r="Q83" s="3">
        <v>0.27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8</v>
      </c>
      <c r="B84" s="3" t="s">
        <v>85</v>
      </c>
      <c r="C84" s="3" t="s">
        <v>122</v>
      </c>
      <c r="D84" s="3"/>
      <c r="E84" s="3" t="s">
        <v>122</v>
      </c>
      <c r="F84" s="3"/>
      <c r="G84" s="3"/>
      <c r="H84" s="3"/>
      <c r="I84" s="3"/>
      <c r="J84" s="3"/>
      <c r="K84" s="3"/>
      <c r="L84" s="3" t="s">
        <v>86</v>
      </c>
      <c r="M84" s="3">
        <v>100</v>
      </c>
      <c r="N84" s="3" t="s">
        <v>123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9</v>
      </c>
      <c r="B85" s="3" t="s">
        <v>85</v>
      </c>
      <c r="C85" s="3" t="s">
        <v>124</v>
      </c>
      <c r="D85" s="3"/>
      <c r="E85" s="3" t="s">
        <v>124</v>
      </c>
      <c r="F85" s="3"/>
      <c r="G85" s="3"/>
      <c r="H85" s="3"/>
      <c r="I85" s="3"/>
      <c r="J85" s="3"/>
      <c r="K85" s="3"/>
      <c r="L85" s="3" t="s">
        <v>86</v>
      </c>
      <c r="M85" s="3">
        <v>10</v>
      </c>
      <c r="N85" s="3" t="s">
        <v>92</v>
      </c>
      <c r="O85" s="3"/>
      <c r="P85" s="3"/>
      <c r="Q85" s="3">
        <v>1.88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9</v>
      </c>
      <c r="B86" s="3" t="s">
        <v>85</v>
      </c>
      <c r="C86" s="3" t="s">
        <v>124</v>
      </c>
      <c r="D86" s="3"/>
      <c r="E86" s="3" t="s">
        <v>124</v>
      </c>
      <c r="F86" s="3"/>
      <c r="G86" s="3"/>
      <c r="H86" s="3"/>
      <c r="I86" s="3"/>
      <c r="J86" s="3"/>
      <c r="K86" s="3"/>
      <c r="L86" s="3" t="s">
        <v>86</v>
      </c>
      <c r="M86" s="3">
        <v>20</v>
      </c>
      <c r="N86" s="3" t="s">
        <v>93</v>
      </c>
      <c r="O86" s="3"/>
      <c r="P86" s="3"/>
      <c r="Q86" s="3">
        <v>0.27300000000000002</v>
      </c>
      <c r="R86" s="3" t="s">
        <v>94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9</v>
      </c>
      <c r="B87" s="3" t="s">
        <v>85</v>
      </c>
      <c r="C87" s="3" t="s">
        <v>124</v>
      </c>
      <c r="D87" s="3"/>
      <c r="E87" s="3" t="s">
        <v>124</v>
      </c>
      <c r="F87" s="3"/>
      <c r="G87" s="3"/>
      <c r="H87" s="3"/>
      <c r="I87" s="3"/>
      <c r="J87" s="3"/>
      <c r="K87" s="3"/>
      <c r="L87" s="3" t="s">
        <v>86</v>
      </c>
      <c r="M87" s="3">
        <v>30</v>
      </c>
      <c r="N87" s="3" t="s">
        <v>95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9</v>
      </c>
      <c r="B88" s="3" t="s">
        <v>85</v>
      </c>
      <c r="C88" s="3" t="s">
        <v>124</v>
      </c>
      <c r="D88" s="3"/>
      <c r="E88" s="3" t="s">
        <v>124</v>
      </c>
      <c r="F88" s="3"/>
      <c r="G88" s="3"/>
      <c r="H88" s="3"/>
      <c r="I88" s="3"/>
      <c r="J88" s="3"/>
      <c r="K88" s="3"/>
      <c r="L88" s="3" t="s">
        <v>86</v>
      </c>
      <c r="M88" s="3">
        <v>40</v>
      </c>
      <c r="N88" s="3" t="s">
        <v>96</v>
      </c>
      <c r="O88" s="3"/>
      <c r="P88" s="3"/>
      <c r="Q88" s="3">
        <v>11.683999999999999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9</v>
      </c>
      <c r="B89" s="3" t="s">
        <v>85</v>
      </c>
      <c r="C89" s="3" t="s">
        <v>124</v>
      </c>
      <c r="D89" s="3"/>
      <c r="E89" s="3" t="s">
        <v>124</v>
      </c>
      <c r="F89" s="3"/>
      <c r="G89" s="3"/>
      <c r="H89" s="3"/>
      <c r="I89" s="3"/>
      <c r="J89" s="3"/>
      <c r="K89" s="3"/>
      <c r="L89" s="3" t="s">
        <v>86</v>
      </c>
      <c r="M89" s="3">
        <v>50</v>
      </c>
      <c r="N89" s="3" t="s">
        <v>100</v>
      </c>
      <c r="O89" s="3"/>
      <c r="P89" s="3"/>
      <c r="Q89" s="3">
        <v>71.856999999999999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9</v>
      </c>
      <c r="B90" s="3" t="s">
        <v>85</v>
      </c>
      <c r="C90" s="3" t="s">
        <v>124</v>
      </c>
      <c r="D90" s="3"/>
      <c r="E90" s="3" t="s">
        <v>124</v>
      </c>
      <c r="F90" s="3"/>
      <c r="G90" s="3"/>
      <c r="H90" s="3"/>
      <c r="I90" s="3"/>
      <c r="J90" s="3"/>
      <c r="K90" s="3"/>
      <c r="L90" s="3" t="s">
        <v>86</v>
      </c>
      <c r="M90" s="3">
        <v>60</v>
      </c>
      <c r="N90" s="3" t="s">
        <v>90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9</v>
      </c>
      <c r="B91" s="3" t="s">
        <v>85</v>
      </c>
      <c r="C91" s="3" t="s">
        <v>124</v>
      </c>
      <c r="D91" s="3"/>
      <c r="E91" s="3" t="s">
        <v>124</v>
      </c>
      <c r="F91" s="3"/>
      <c r="G91" s="3"/>
      <c r="H91" s="3"/>
      <c r="I91" s="3"/>
      <c r="J91" s="3"/>
      <c r="K91" s="3"/>
      <c r="L91" s="3" t="s">
        <v>86</v>
      </c>
      <c r="M91" s="3">
        <v>70</v>
      </c>
      <c r="N91" s="3" t="s">
        <v>18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9</v>
      </c>
      <c r="B92" s="3" t="s">
        <v>85</v>
      </c>
      <c r="C92" s="3" t="s">
        <v>124</v>
      </c>
      <c r="D92" s="3"/>
      <c r="E92" s="3" t="s">
        <v>124</v>
      </c>
      <c r="F92" s="3"/>
      <c r="G92" s="3"/>
      <c r="H92" s="3"/>
      <c r="I92" s="3"/>
      <c r="J92" s="3"/>
      <c r="K92" s="3"/>
      <c r="L92" s="3" t="s">
        <v>86</v>
      </c>
      <c r="M92" s="3">
        <v>80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9</v>
      </c>
      <c r="B93" s="3" t="s">
        <v>85</v>
      </c>
      <c r="C93" s="3" t="s">
        <v>124</v>
      </c>
      <c r="D93" s="3"/>
      <c r="E93" s="3" t="s">
        <v>124</v>
      </c>
      <c r="F93" s="3"/>
      <c r="G93" s="3"/>
      <c r="H93" s="3"/>
      <c r="I93" s="3"/>
      <c r="J93" s="3"/>
      <c r="K93" s="3"/>
      <c r="L93" s="3" t="s">
        <v>86</v>
      </c>
      <c r="M93" s="3">
        <v>90</v>
      </c>
      <c r="N93" s="3" t="s">
        <v>97</v>
      </c>
      <c r="O93" s="3"/>
      <c r="P93" s="3"/>
      <c r="Q93" s="3">
        <v>0.315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9</v>
      </c>
      <c r="B94" s="3" t="s">
        <v>85</v>
      </c>
      <c r="C94" s="3" t="s">
        <v>124</v>
      </c>
      <c r="D94" s="3"/>
      <c r="E94" s="3" t="s">
        <v>124</v>
      </c>
      <c r="F94" s="3"/>
      <c r="G94" s="3"/>
      <c r="H94" s="3"/>
      <c r="I94" s="3"/>
      <c r="J94" s="3"/>
      <c r="K94" s="3"/>
      <c r="L94" s="3" t="s">
        <v>86</v>
      </c>
      <c r="M94" s="3">
        <v>100</v>
      </c>
      <c r="N94" s="3" t="s">
        <v>125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10</v>
      </c>
      <c r="B95" s="3" t="s">
        <v>85</v>
      </c>
      <c r="C95" s="3" t="s">
        <v>126</v>
      </c>
      <c r="D95" s="3"/>
      <c r="E95" s="3" t="s">
        <v>126</v>
      </c>
      <c r="F95" s="3"/>
      <c r="G95" s="3"/>
      <c r="H95" s="3"/>
      <c r="I95" s="3"/>
      <c r="J95" s="3"/>
      <c r="K95" s="3"/>
      <c r="L95" s="3" t="s">
        <v>86</v>
      </c>
      <c r="M95" s="3">
        <v>10</v>
      </c>
      <c r="N95" s="3" t="s">
        <v>92</v>
      </c>
      <c r="O95" s="3"/>
      <c r="P95" s="3"/>
      <c r="Q95" s="3">
        <v>2.1840000000000002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10</v>
      </c>
      <c r="B96" s="3" t="s">
        <v>85</v>
      </c>
      <c r="C96" s="3" t="s">
        <v>126</v>
      </c>
      <c r="D96" s="3"/>
      <c r="E96" s="3" t="s">
        <v>126</v>
      </c>
      <c r="F96" s="3"/>
      <c r="G96" s="3"/>
      <c r="H96" s="3"/>
      <c r="I96" s="3"/>
      <c r="J96" s="3"/>
      <c r="K96" s="3"/>
      <c r="L96" s="3" t="s">
        <v>86</v>
      </c>
      <c r="M96" s="3">
        <v>20</v>
      </c>
      <c r="N96" s="3" t="s">
        <v>93</v>
      </c>
      <c r="O96" s="3"/>
      <c r="P96" s="3"/>
      <c r="Q96" s="3">
        <v>0.31900000000000001</v>
      </c>
      <c r="R96" s="3" t="s">
        <v>94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10</v>
      </c>
      <c r="B97" s="3" t="s">
        <v>85</v>
      </c>
      <c r="C97" s="3" t="s">
        <v>126</v>
      </c>
      <c r="D97" s="3"/>
      <c r="E97" s="3" t="s">
        <v>126</v>
      </c>
      <c r="F97" s="3"/>
      <c r="G97" s="3"/>
      <c r="H97" s="3"/>
      <c r="I97" s="3"/>
      <c r="J97" s="3"/>
      <c r="K97" s="3"/>
      <c r="L97" s="3" t="s">
        <v>86</v>
      </c>
      <c r="M97" s="3">
        <v>30</v>
      </c>
      <c r="N97" s="3" t="s">
        <v>95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10</v>
      </c>
      <c r="B98" s="3" t="s">
        <v>85</v>
      </c>
      <c r="C98" s="3" t="s">
        <v>126</v>
      </c>
      <c r="D98" s="3"/>
      <c r="E98" s="3" t="s">
        <v>126</v>
      </c>
      <c r="F98" s="3"/>
      <c r="G98" s="3"/>
      <c r="H98" s="3"/>
      <c r="I98" s="3"/>
      <c r="J98" s="3"/>
      <c r="K98" s="3"/>
      <c r="L98" s="3" t="s">
        <v>86</v>
      </c>
      <c r="M98" s="3">
        <v>40</v>
      </c>
      <c r="N98" s="3" t="s">
        <v>96</v>
      </c>
      <c r="O98" s="3"/>
      <c r="P98" s="3"/>
      <c r="Q98" s="3">
        <v>12.294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10</v>
      </c>
      <c r="B99" s="3" t="s">
        <v>85</v>
      </c>
      <c r="C99" s="3" t="s">
        <v>126</v>
      </c>
      <c r="D99" s="3"/>
      <c r="E99" s="3" t="s">
        <v>126</v>
      </c>
      <c r="F99" s="3"/>
      <c r="G99" s="3"/>
      <c r="H99" s="3"/>
      <c r="I99" s="3"/>
      <c r="J99" s="3"/>
      <c r="K99" s="3"/>
      <c r="L99" s="3" t="s">
        <v>86</v>
      </c>
      <c r="M99" s="3">
        <v>50</v>
      </c>
      <c r="N99" s="3" t="s">
        <v>100</v>
      </c>
      <c r="O99" s="3"/>
      <c r="P99" s="3"/>
      <c r="Q99" s="3">
        <v>75.605999999999995</v>
      </c>
      <c r="R99" s="3" t="s">
        <v>14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10</v>
      </c>
      <c r="B100" s="3" t="s">
        <v>85</v>
      </c>
      <c r="C100" s="3" t="s">
        <v>126</v>
      </c>
      <c r="D100" s="3"/>
      <c r="E100" s="3" t="s">
        <v>126</v>
      </c>
      <c r="F100" s="3"/>
      <c r="G100" s="3"/>
      <c r="H100" s="3"/>
      <c r="I100" s="3"/>
      <c r="J100" s="3"/>
      <c r="K100" s="3"/>
      <c r="L100" s="3" t="s">
        <v>86</v>
      </c>
      <c r="M100" s="3">
        <v>60</v>
      </c>
      <c r="N100" s="3" t="s">
        <v>90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10</v>
      </c>
      <c r="B101" s="3" t="s">
        <v>85</v>
      </c>
      <c r="C101" s="3" t="s">
        <v>126</v>
      </c>
      <c r="D101" s="3"/>
      <c r="E101" s="3" t="s">
        <v>126</v>
      </c>
      <c r="F101" s="3"/>
      <c r="G101" s="3"/>
      <c r="H101" s="3"/>
      <c r="I101" s="3"/>
      <c r="J101" s="3"/>
      <c r="K101" s="3"/>
      <c r="L101" s="3" t="s">
        <v>86</v>
      </c>
      <c r="M101" s="3">
        <v>70</v>
      </c>
      <c r="N101" s="3" t="s">
        <v>18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10</v>
      </c>
      <c r="B102" s="3" t="s">
        <v>85</v>
      </c>
      <c r="C102" s="3" t="s">
        <v>126</v>
      </c>
      <c r="D102" s="3"/>
      <c r="E102" s="3" t="s">
        <v>126</v>
      </c>
      <c r="F102" s="3"/>
      <c r="G102" s="3"/>
      <c r="H102" s="3"/>
      <c r="I102" s="3"/>
      <c r="J102" s="3"/>
      <c r="K102" s="3"/>
      <c r="L102" s="3" t="s">
        <v>86</v>
      </c>
      <c r="M102" s="3">
        <v>80</v>
      </c>
      <c r="N102" s="3" t="s">
        <v>19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10</v>
      </c>
      <c r="B103" s="3" t="s">
        <v>85</v>
      </c>
      <c r="C103" s="3" t="s">
        <v>126</v>
      </c>
      <c r="D103" s="3"/>
      <c r="E103" s="3" t="s">
        <v>126</v>
      </c>
      <c r="F103" s="3"/>
      <c r="G103" s="3"/>
      <c r="H103" s="3"/>
      <c r="I103" s="3"/>
      <c r="J103" s="3"/>
      <c r="K103" s="3"/>
      <c r="L103" s="3" t="s">
        <v>86</v>
      </c>
      <c r="M103" s="3">
        <v>90</v>
      </c>
      <c r="N103" s="3" t="s">
        <v>97</v>
      </c>
      <c r="O103" s="3"/>
      <c r="P103" s="3"/>
      <c r="Q103" s="3">
        <v>0.36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10</v>
      </c>
      <c r="B104" s="3" t="s">
        <v>85</v>
      </c>
      <c r="C104" s="3" t="s">
        <v>126</v>
      </c>
      <c r="D104" s="3"/>
      <c r="E104" s="3" t="s">
        <v>126</v>
      </c>
      <c r="F104" s="3"/>
      <c r="G104" s="3"/>
      <c r="H104" s="3"/>
      <c r="I104" s="3"/>
      <c r="J104" s="3"/>
      <c r="K104" s="3"/>
      <c r="L104" s="3" t="s">
        <v>86</v>
      </c>
      <c r="M104" s="3">
        <v>100</v>
      </c>
      <c r="N104" s="3" t="s">
        <v>127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11</v>
      </c>
      <c r="B105" s="3" t="s">
        <v>85</v>
      </c>
      <c r="C105" s="3" t="s">
        <v>128</v>
      </c>
      <c r="D105" s="3"/>
      <c r="E105" s="3" t="s">
        <v>128</v>
      </c>
      <c r="F105" s="3"/>
      <c r="G105" s="3"/>
      <c r="H105" s="3"/>
      <c r="I105" s="3"/>
      <c r="J105" s="3"/>
      <c r="K105" s="3"/>
      <c r="L105" s="3" t="s">
        <v>86</v>
      </c>
      <c r="M105" s="3">
        <v>10</v>
      </c>
      <c r="N105" s="3" t="s">
        <v>92</v>
      </c>
      <c r="O105" s="3"/>
      <c r="P105" s="3"/>
      <c r="Q105" s="3">
        <v>2.4889999999999999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11</v>
      </c>
      <c r="B106" s="3" t="s">
        <v>85</v>
      </c>
      <c r="C106" s="3" t="s">
        <v>128</v>
      </c>
      <c r="D106" s="3"/>
      <c r="E106" s="3" t="s">
        <v>128</v>
      </c>
      <c r="F106" s="3"/>
      <c r="G106" s="3"/>
      <c r="H106" s="3"/>
      <c r="I106" s="3"/>
      <c r="J106" s="3"/>
      <c r="K106" s="3"/>
      <c r="L106" s="3" t="s">
        <v>86</v>
      </c>
      <c r="M106" s="3">
        <v>20</v>
      </c>
      <c r="N106" s="3" t="s">
        <v>93</v>
      </c>
      <c r="O106" s="3"/>
      <c r="P106" s="3"/>
      <c r="Q106" s="3">
        <v>0.36499999999999999</v>
      </c>
      <c r="R106" s="3" t="s">
        <v>94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11</v>
      </c>
      <c r="B107" s="3" t="s">
        <v>85</v>
      </c>
      <c r="C107" s="3" t="s">
        <v>128</v>
      </c>
      <c r="D107" s="3"/>
      <c r="E107" s="3" t="s">
        <v>128</v>
      </c>
      <c r="F107" s="3"/>
      <c r="G107" s="3"/>
      <c r="H107" s="3"/>
      <c r="I107" s="3"/>
      <c r="J107" s="3"/>
      <c r="K107" s="3"/>
      <c r="L107" s="3" t="s">
        <v>86</v>
      </c>
      <c r="M107" s="3">
        <v>30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11</v>
      </c>
      <c r="B108" s="3" t="s">
        <v>85</v>
      </c>
      <c r="C108" s="3" t="s">
        <v>128</v>
      </c>
      <c r="D108" s="3"/>
      <c r="E108" s="3" t="s">
        <v>128</v>
      </c>
      <c r="F108" s="3"/>
      <c r="G108" s="3"/>
      <c r="H108" s="3"/>
      <c r="I108" s="3"/>
      <c r="J108" s="3"/>
      <c r="K108" s="3"/>
      <c r="L108" s="3" t="s">
        <v>86</v>
      </c>
      <c r="M108" s="3">
        <v>40</v>
      </c>
      <c r="N108" s="3" t="s">
        <v>96</v>
      </c>
      <c r="O108" s="3"/>
      <c r="P108" s="3"/>
      <c r="Q108" s="3">
        <v>12.903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11</v>
      </c>
      <c r="B109" s="3" t="s">
        <v>85</v>
      </c>
      <c r="C109" s="3" t="s">
        <v>128</v>
      </c>
      <c r="D109" s="3"/>
      <c r="E109" s="3" t="s">
        <v>128</v>
      </c>
      <c r="F109" s="3"/>
      <c r="G109" s="3"/>
      <c r="H109" s="3"/>
      <c r="I109" s="3"/>
      <c r="J109" s="3"/>
      <c r="K109" s="3"/>
      <c r="L109" s="3" t="s">
        <v>86</v>
      </c>
      <c r="M109" s="3">
        <v>50</v>
      </c>
      <c r="N109" s="3" t="s">
        <v>100</v>
      </c>
      <c r="O109" s="3"/>
      <c r="P109" s="3"/>
      <c r="Q109" s="3">
        <v>79.355000000000004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11</v>
      </c>
      <c r="B110" s="3" t="s">
        <v>85</v>
      </c>
      <c r="C110" s="3" t="s">
        <v>128</v>
      </c>
      <c r="D110" s="3"/>
      <c r="E110" s="3" t="s">
        <v>128</v>
      </c>
      <c r="F110" s="3"/>
      <c r="G110" s="3"/>
      <c r="H110" s="3"/>
      <c r="I110" s="3"/>
      <c r="J110" s="3"/>
      <c r="K110" s="3"/>
      <c r="L110" s="3" t="s">
        <v>86</v>
      </c>
      <c r="M110" s="3">
        <v>60</v>
      </c>
      <c r="N110" s="3" t="s">
        <v>90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11</v>
      </c>
      <c r="B111" s="3" t="s">
        <v>85</v>
      </c>
      <c r="C111" s="3" t="s">
        <v>128</v>
      </c>
      <c r="D111" s="3"/>
      <c r="E111" s="3" t="s">
        <v>128</v>
      </c>
      <c r="F111" s="3"/>
      <c r="G111" s="3"/>
      <c r="H111" s="3"/>
      <c r="I111" s="3"/>
      <c r="J111" s="3"/>
      <c r="K111" s="3"/>
      <c r="L111" s="3" t="s">
        <v>86</v>
      </c>
      <c r="M111" s="3">
        <v>70</v>
      </c>
      <c r="N111" s="3" t="s">
        <v>18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11</v>
      </c>
      <c r="B112" s="3" t="s">
        <v>85</v>
      </c>
      <c r="C112" s="3" t="s">
        <v>128</v>
      </c>
      <c r="D112" s="3"/>
      <c r="E112" s="3" t="s">
        <v>128</v>
      </c>
      <c r="F112" s="3"/>
      <c r="G112" s="3"/>
      <c r="H112" s="3"/>
      <c r="I112" s="3"/>
      <c r="J112" s="3"/>
      <c r="K112" s="3"/>
      <c r="L112" s="3" t="s">
        <v>86</v>
      </c>
      <c r="M112" s="3">
        <v>80</v>
      </c>
      <c r="N112" s="3" t="s">
        <v>19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11</v>
      </c>
      <c r="B113" s="3" t="s">
        <v>85</v>
      </c>
      <c r="C113" s="3" t="s">
        <v>128</v>
      </c>
      <c r="D113" s="3"/>
      <c r="E113" s="3" t="s">
        <v>128</v>
      </c>
      <c r="F113" s="3"/>
      <c r="G113" s="3"/>
      <c r="H113" s="3"/>
      <c r="I113" s="3"/>
      <c r="J113" s="3"/>
      <c r="K113" s="3"/>
      <c r="L113" s="3" t="s">
        <v>86</v>
      </c>
      <c r="M113" s="3">
        <v>90</v>
      </c>
      <c r="N113" s="3" t="s">
        <v>97</v>
      </c>
      <c r="O113" s="3"/>
      <c r="P113" s="3"/>
      <c r="Q113" s="3">
        <v>0.40500000000000003</v>
      </c>
      <c r="R113" s="3" t="s">
        <v>12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11</v>
      </c>
      <c r="B114" s="3" t="s">
        <v>85</v>
      </c>
      <c r="C114" s="3" t="s">
        <v>128</v>
      </c>
      <c r="D114" s="3"/>
      <c r="E114" s="3" t="s">
        <v>128</v>
      </c>
      <c r="F114" s="3"/>
      <c r="G114" s="3"/>
      <c r="H114" s="3"/>
      <c r="I114" s="3"/>
      <c r="J114" s="3"/>
      <c r="K114" s="3"/>
      <c r="L114" s="3" t="s">
        <v>86</v>
      </c>
      <c r="M114" s="3">
        <v>100</v>
      </c>
      <c r="N114" s="3" t="s">
        <v>129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12</v>
      </c>
      <c r="B115" s="3" t="s">
        <v>85</v>
      </c>
      <c r="C115" s="3" t="s">
        <v>130</v>
      </c>
      <c r="D115" s="3"/>
      <c r="E115" s="3" t="s">
        <v>130</v>
      </c>
      <c r="F115" s="3"/>
      <c r="G115" s="3"/>
      <c r="H115" s="3"/>
      <c r="I115" s="3"/>
      <c r="J115" s="3"/>
      <c r="K115" s="3"/>
      <c r="L115" s="3" t="s">
        <v>86</v>
      </c>
      <c r="M115" s="3">
        <v>10</v>
      </c>
      <c r="N115" s="3" t="s">
        <v>92</v>
      </c>
      <c r="O115" s="3"/>
      <c r="P115" s="3"/>
      <c r="Q115" s="3">
        <v>3.0990000000000002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12</v>
      </c>
      <c r="B116" s="3" t="s">
        <v>85</v>
      </c>
      <c r="C116" s="3" t="s">
        <v>130</v>
      </c>
      <c r="D116" s="3"/>
      <c r="E116" s="3" t="s">
        <v>130</v>
      </c>
      <c r="F116" s="3"/>
      <c r="G116" s="3"/>
      <c r="H116" s="3"/>
      <c r="I116" s="3"/>
      <c r="J116" s="3"/>
      <c r="K116" s="3"/>
      <c r="L116" s="3" t="s">
        <v>86</v>
      </c>
      <c r="M116" s="3">
        <v>20</v>
      </c>
      <c r="N116" s="3" t="s">
        <v>93</v>
      </c>
      <c r="O116" s="3"/>
      <c r="P116" s="3"/>
      <c r="Q116" s="3">
        <v>0.45600000000000002</v>
      </c>
      <c r="R116" s="3" t="s">
        <v>94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12</v>
      </c>
      <c r="B117" s="3" t="s">
        <v>85</v>
      </c>
      <c r="C117" s="3" t="s">
        <v>130</v>
      </c>
      <c r="D117" s="3"/>
      <c r="E117" s="3" t="s">
        <v>130</v>
      </c>
      <c r="F117" s="3"/>
      <c r="G117" s="3"/>
      <c r="H117" s="3"/>
      <c r="I117" s="3"/>
      <c r="J117" s="3"/>
      <c r="K117" s="3"/>
      <c r="L117" s="3" t="s">
        <v>86</v>
      </c>
      <c r="M117" s="3">
        <v>30</v>
      </c>
      <c r="N117" s="3" t="s">
        <v>95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12</v>
      </c>
      <c r="B118" s="3" t="s">
        <v>85</v>
      </c>
      <c r="C118" s="3" t="s">
        <v>130</v>
      </c>
      <c r="D118" s="3"/>
      <c r="E118" s="3" t="s">
        <v>130</v>
      </c>
      <c r="F118" s="3"/>
      <c r="G118" s="3"/>
      <c r="H118" s="3"/>
      <c r="I118" s="3"/>
      <c r="J118" s="3"/>
      <c r="K118" s="3"/>
      <c r="L118" s="3" t="s">
        <v>86</v>
      </c>
      <c r="M118" s="3">
        <v>40</v>
      </c>
      <c r="N118" s="3" t="s">
        <v>96</v>
      </c>
      <c r="O118" s="3"/>
      <c r="P118" s="3"/>
      <c r="Q118" s="3">
        <v>14.122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12</v>
      </c>
      <c r="B119" s="3" t="s">
        <v>85</v>
      </c>
      <c r="C119" s="3" t="s">
        <v>130</v>
      </c>
      <c r="D119" s="3"/>
      <c r="E119" s="3" t="s">
        <v>130</v>
      </c>
      <c r="F119" s="3"/>
      <c r="G119" s="3"/>
      <c r="H119" s="3"/>
      <c r="I119" s="3"/>
      <c r="J119" s="3"/>
      <c r="K119" s="3"/>
      <c r="L119" s="3" t="s">
        <v>86</v>
      </c>
      <c r="M119" s="3">
        <v>50</v>
      </c>
      <c r="N119" s="3" t="s">
        <v>100</v>
      </c>
      <c r="O119" s="3"/>
      <c r="P119" s="3"/>
      <c r="Q119" s="3">
        <v>86.852999999999994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12</v>
      </c>
      <c r="B120" s="3" t="s">
        <v>85</v>
      </c>
      <c r="C120" s="3" t="s">
        <v>130</v>
      </c>
      <c r="D120" s="3"/>
      <c r="E120" s="3" t="s">
        <v>130</v>
      </c>
      <c r="F120" s="3"/>
      <c r="G120" s="3"/>
      <c r="H120" s="3"/>
      <c r="I120" s="3"/>
      <c r="J120" s="3"/>
      <c r="K120" s="3"/>
      <c r="L120" s="3" t="s">
        <v>86</v>
      </c>
      <c r="M120" s="3">
        <v>60</v>
      </c>
      <c r="N120" s="3" t="s">
        <v>90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12</v>
      </c>
      <c r="B121" s="3" t="s">
        <v>85</v>
      </c>
      <c r="C121" s="3" t="s">
        <v>130</v>
      </c>
      <c r="D121" s="3"/>
      <c r="E121" s="3" t="s">
        <v>130</v>
      </c>
      <c r="F121" s="3"/>
      <c r="G121" s="3"/>
      <c r="H121" s="3"/>
      <c r="I121" s="3"/>
      <c r="J121" s="3"/>
      <c r="K121" s="3"/>
      <c r="L121" s="3" t="s">
        <v>86</v>
      </c>
      <c r="M121" s="3">
        <v>70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12</v>
      </c>
      <c r="B122" s="3" t="s">
        <v>85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86</v>
      </c>
      <c r="M122" s="3">
        <v>80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12</v>
      </c>
      <c r="B123" s="3" t="s">
        <v>85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86</v>
      </c>
      <c r="M123" s="3">
        <v>90</v>
      </c>
      <c r="N123" s="3" t="s">
        <v>97</v>
      </c>
      <c r="O123" s="3"/>
      <c r="P123" s="3"/>
      <c r="Q123" s="3">
        <v>0.495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12</v>
      </c>
      <c r="B124" s="3" t="s">
        <v>85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86</v>
      </c>
      <c r="M124" s="3">
        <v>100</v>
      </c>
      <c r="N124" s="3" t="s">
        <v>131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13</v>
      </c>
      <c r="B125" s="3" t="s">
        <v>85</v>
      </c>
      <c r="C125" s="3" t="s">
        <v>132</v>
      </c>
      <c r="D125" s="3"/>
      <c r="E125" s="3" t="s">
        <v>132</v>
      </c>
      <c r="F125" s="3"/>
      <c r="G125" s="3"/>
      <c r="H125" s="3"/>
      <c r="I125" s="3"/>
      <c r="J125" s="3"/>
      <c r="K125" s="3"/>
      <c r="L125" s="3" t="s">
        <v>86</v>
      </c>
      <c r="M125" s="3">
        <v>10</v>
      </c>
      <c r="N125" s="3" t="s">
        <v>92</v>
      </c>
      <c r="O125" s="3"/>
      <c r="P125" s="3"/>
      <c r="Q125" s="3">
        <v>3.4039999999999999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13</v>
      </c>
      <c r="B126" s="3" t="s">
        <v>85</v>
      </c>
      <c r="C126" s="3" t="s">
        <v>132</v>
      </c>
      <c r="D126" s="3"/>
      <c r="E126" s="3" t="s">
        <v>132</v>
      </c>
      <c r="F126" s="3"/>
      <c r="G126" s="3"/>
      <c r="H126" s="3"/>
      <c r="I126" s="3"/>
      <c r="J126" s="3"/>
      <c r="K126" s="3"/>
      <c r="L126" s="3" t="s">
        <v>86</v>
      </c>
      <c r="M126" s="3">
        <v>20</v>
      </c>
      <c r="N126" s="3" t="s">
        <v>93</v>
      </c>
      <c r="O126" s="3"/>
      <c r="P126" s="3"/>
      <c r="Q126" s="3">
        <v>0.501</v>
      </c>
      <c r="R126" s="3" t="s">
        <v>94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13</v>
      </c>
      <c r="B127" s="3" t="s">
        <v>85</v>
      </c>
      <c r="C127" s="3" t="s">
        <v>132</v>
      </c>
      <c r="D127" s="3"/>
      <c r="E127" s="3" t="s">
        <v>132</v>
      </c>
      <c r="F127" s="3"/>
      <c r="G127" s="3"/>
      <c r="H127" s="3"/>
      <c r="I127" s="3"/>
      <c r="J127" s="3"/>
      <c r="K127" s="3"/>
      <c r="L127" s="3" t="s">
        <v>86</v>
      </c>
      <c r="M127" s="3">
        <v>30</v>
      </c>
      <c r="N127" s="3" t="s">
        <v>95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13</v>
      </c>
      <c r="B128" s="3" t="s">
        <v>85</v>
      </c>
      <c r="C128" s="3" t="s">
        <v>132</v>
      </c>
      <c r="D128" s="3"/>
      <c r="E128" s="3" t="s">
        <v>132</v>
      </c>
      <c r="F128" s="3"/>
      <c r="G128" s="3"/>
      <c r="H128" s="3"/>
      <c r="I128" s="3"/>
      <c r="J128" s="3"/>
      <c r="K128" s="3"/>
      <c r="L128" s="3" t="s">
        <v>86</v>
      </c>
      <c r="M128" s="3">
        <v>40</v>
      </c>
      <c r="N128" s="3" t="s">
        <v>96</v>
      </c>
      <c r="O128" s="3"/>
      <c r="P128" s="3"/>
      <c r="Q128" s="3">
        <v>14.731999999999999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13</v>
      </c>
      <c r="B129" s="3" t="s">
        <v>85</v>
      </c>
      <c r="C129" s="3" t="s">
        <v>132</v>
      </c>
      <c r="D129" s="3"/>
      <c r="E129" s="3" t="s">
        <v>132</v>
      </c>
      <c r="F129" s="3"/>
      <c r="G129" s="3"/>
      <c r="H129" s="3"/>
      <c r="I129" s="3"/>
      <c r="J129" s="3"/>
      <c r="K129" s="3"/>
      <c r="L129" s="3" t="s">
        <v>86</v>
      </c>
      <c r="M129" s="3">
        <v>50</v>
      </c>
      <c r="N129" s="3" t="s">
        <v>100</v>
      </c>
      <c r="O129" s="3"/>
      <c r="P129" s="3"/>
      <c r="Q129" s="3">
        <v>90.602000000000004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13</v>
      </c>
      <c r="B130" s="3" t="s">
        <v>85</v>
      </c>
      <c r="C130" s="3" t="s">
        <v>132</v>
      </c>
      <c r="D130" s="3"/>
      <c r="E130" s="3" t="s">
        <v>132</v>
      </c>
      <c r="F130" s="3"/>
      <c r="G130" s="3"/>
      <c r="H130" s="3"/>
      <c r="I130" s="3"/>
      <c r="J130" s="3"/>
      <c r="K130" s="3"/>
      <c r="L130" s="3" t="s">
        <v>86</v>
      </c>
      <c r="M130" s="3">
        <v>60</v>
      </c>
      <c r="N130" s="3" t="s">
        <v>90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13</v>
      </c>
      <c r="B131" s="3" t="s">
        <v>85</v>
      </c>
      <c r="C131" s="3" t="s">
        <v>132</v>
      </c>
      <c r="D131" s="3"/>
      <c r="E131" s="3" t="s">
        <v>132</v>
      </c>
      <c r="F131" s="3"/>
      <c r="G131" s="3"/>
      <c r="H131" s="3"/>
      <c r="I131" s="3"/>
      <c r="J131" s="3"/>
      <c r="K131" s="3"/>
      <c r="L131" s="3" t="s">
        <v>86</v>
      </c>
      <c r="M131" s="3">
        <v>70</v>
      </c>
      <c r="N131" s="3" t="s">
        <v>18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13</v>
      </c>
      <c r="B132" s="3" t="s">
        <v>85</v>
      </c>
      <c r="C132" s="3" t="s">
        <v>132</v>
      </c>
      <c r="D132" s="3"/>
      <c r="E132" s="3" t="s">
        <v>132</v>
      </c>
      <c r="F132" s="3"/>
      <c r="G132" s="3"/>
      <c r="H132" s="3"/>
      <c r="I132" s="3"/>
      <c r="J132" s="3"/>
      <c r="K132" s="3"/>
      <c r="L132" s="3" t="s">
        <v>86</v>
      </c>
      <c r="M132" s="3">
        <v>80</v>
      </c>
      <c r="N132" s="3" t="s">
        <v>19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13</v>
      </c>
      <c r="B133" s="3" t="s">
        <v>85</v>
      </c>
      <c r="C133" s="3" t="s">
        <v>132</v>
      </c>
      <c r="D133" s="3"/>
      <c r="E133" s="3" t="s">
        <v>132</v>
      </c>
      <c r="F133" s="3"/>
      <c r="G133" s="3"/>
      <c r="H133" s="3"/>
      <c r="I133" s="3"/>
      <c r="J133" s="3"/>
      <c r="K133" s="3"/>
      <c r="L133" s="3" t="s">
        <v>86</v>
      </c>
      <c r="M133" s="3">
        <v>90</v>
      </c>
      <c r="N133" s="3" t="s">
        <v>97</v>
      </c>
      <c r="O133" s="3"/>
      <c r="P133" s="3"/>
      <c r="Q133" s="3">
        <v>0.54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13</v>
      </c>
      <c r="B134" s="3" t="s">
        <v>85</v>
      </c>
      <c r="C134" s="3" t="s">
        <v>132</v>
      </c>
      <c r="D134" s="3"/>
      <c r="E134" s="3" t="s">
        <v>132</v>
      </c>
      <c r="F134" s="3"/>
      <c r="G134" s="3"/>
      <c r="H134" s="3"/>
      <c r="I134" s="3"/>
      <c r="J134" s="3"/>
      <c r="K134" s="3"/>
      <c r="L134" s="3" t="s">
        <v>86</v>
      </c>
      <c r="M134" s="3">
        <v>100</v>
      </c>
      <c r="N134" s="3" t="s">
        <v>133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14</v>
      </c>
      <c r="B135" s="3" t="s">
        <v>85</v>
      </c>
      <c r="C135" s="3" t="s">
        <v>134</v>
      </c>
      <c r="D135" s="3"/>
      <c r="E135" s="3" t="s">
        <v>134</v>
      </c>
      <c r="F135" s="3"/>
      <c r="G135" s="3"/>
      <c r="H135" s="3"/>
      <c r="I135" s="3"/>
      <c r="J135" s="3"/>
      <c r="K135" s="3"/>
      <c r="L135" s="3" t="s">
        <v>86</v>
      </c>
      <c r="M135" s="3">
        <v>10</v>
      </c>
      <c r="N135" s="3" t="s">
        <v>92</v>
      </c>
      <c r="O135" s="3"/>
      <c r="P135" s="3"/>
      <c r="Q135" s="3">
        <v>3.7080000000000002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14</v>
      </c>
      <c r="B136" s="3" t="s">
        <v>85</v>
      </c>
      <c r="C136" s="3" t="s">
        <v>134</v>
      </c>
      <c r="D136" s="3"/>
      <c r="E136" s="3" t="s">
        <v>134</v>
      </c>
      <c r="F136" s="3"/>
      <c r="G136" s="3"/>
      <c r="H136" s="3"/>
      <c r="I136" s="3"/>
      <c r="J136" s="3"/>
      <c r="K136" s="3"/>
      <c r="L136" s="3" t="s">
        <v>86</v>
      </c>
      <c r="M136" s="3">
        <v>20</v>
      </c>
      <c r="N136" s="3" t="s">
        <v>93</v>
      </c>
      <c r="O136" s="3"/>
      <c r="P136" s="3"/>
      <c r="Q136" s="3">
        <v>0.54700000000000004</v>
      </c>
      <c r="R136" s="3" t="s">
        <v>94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14</v>
      </c>
      <c r="B137" s="3" t="s">
        <v>85</v>
      </c>
      <c r="C137" s="3" t="s">
        <v>134</v>
      </c>
      <c r="D137" s="3"/>
      <c r="E137" s="3" t="s">
        <v>134</v>
      </c>
      <c r="F137" s="3"/>
      <c r="G137" s="3"/>
      <c r="H137" s="3"/>
      <c r="I137" s="3"/>
      <c r="J137" s="3"/>
      <c r="K137" s="3"/>
      <c r="L137" s="3" t="s">
        <v>86</v>
      </c>
      <c r="M137" s="3">
        <v>30</v>
      </c>
      <c r="N137" s="3" t="s">
        <v>95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14</v>
      </c>
      <c r="B138" s="3" t="s">
        <v>85</v>
      </c>
      <c r="C138" s="3" t="s">
        <v>134</v>
      </c>
      <c r="D138" s="3"/>
      <c r="E138" s="3" t="s">
        <v>134</v>
      </c>
      <c r="F138" s="3"/>
      <c r="G138" s="3"/>
      <c r="H138" s="3"/>
      <c r="I138" s="3"/>
      <c r="J138" s="3"/>
      <c r="K138" s="3"/>
      <c r="L138" s="3" t="s">
        <v>86</v>
      </c>
      <c r="M138" s="3">
        <v>40</v>
      </c>
      <c r="N138" s="3" t="s">
        <v>96</v>
      </c>
      <c r="O138" s="3"/>
      <c r="P138" s="3"/>
      <c r="Q138" s="3">
        <v>15.342000000000001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14</v>
      </c>
      <c r="B139" s="3" t="s">
        <v>85</v>
      </c>
      <c r="C139" s="3" t="s">
        <v>134</v>
      </c>
      <c r="D139" s="3"/>
      <c r="E139" s="3" t="s">
        <v>134</v>
      </c>
      <c r="F139" s="3"/>
      <c r="G139" s="3"/>
      <c r="H139" s="3"/>
      <c r="I139" s="3"/>
      <c r="J139" s="3"/>
      <c r="K139" s="3"/>
      <c r="L139" s="3" t="s">
        <v>86</v>
      </c>
      <c r="M139" s="3">
        <v>50</v>
      </c>
      <c r="N139" s="3" t="s">
        <v>100</v>
      </c>
      <c r="O139" s="3"/>
      <c r="P139" s="3"/>
      <c r="Q139" s="3">
        <v>94.350999999999999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14</v>
      </c>
      <c r="B140" s="3" t="s">
        <v>85</v>
      </c>
      <c r="C140" s="3" t="s">
        <v>134</v>
      </c>
      <c r="D140" s="3"/>
      <c r="E140" s="3" t="s">
        <v>134</v>
      </c>
      <c r="F140" s="3"/>
      <c r="G140" s="3"/>
      <c r="H140" s="3"/>
      <c r="I140" s="3"/>
      <c r="J140" s="3"/>
      <c r="K140" s="3"/>
      <c r="L140" s="3" t="s">
        <v>86</v>
      </c>
      <c r="M140" s="3">
        <v>60</v>
      </c>
      <c r="N140" s="3" t="s">
        <v>90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14</v>
      </c>
      <c r="B141" s="3" t="s">
        <v>85</v>
      </c>
      <c r="C141" s="3" t="s">
        <v>134</v>
      </c>
      <c r="D141" s="3"/>
      <c r="E141" s="3" t="s">
        <v>134</v>
      </c>
      <c r="F141" s="3"/>
      <c r="G141" s="3"/>
      <c r="H141" s="3"/>
      <c r="I141" s="3"/>
      <c r="J141" s="3"/>
      <c r="K141" s="3"/>
      <c r="L141" s="3" t="s">
        <v>86</v>
      </c>
      <c r="M141" s="3">
        <v>70</v>
      </c>
      <c r="N141" s="3" t="s">
        <v>18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14</v>
      </c>
      <c r="B142" s="3" t="s">
        <v>85</v>
      </c>
      <c r="C142" s="3" t="s">
        <v>134</v>
      </c>
      <c r="D142" s="3"/>
      <c r="E142" s="3" t="s">
        <v>134</v>
      </c>
      <c r="F142" s="3"/>
      <c r="G142" s="3"/>
      <c r="H142" s="3"/>
      <c r="I142" s="3"/>
      <c r="J142" s="3"/>
      <c r="K142" s="3"/>
      <c r="L142" s="3" t="s">
        <v>86</v>
      </c>
      <c r="M142" s="3">
        <v>80</v>
      </c>
      <c r="N142" s="3" t="s">
        <v>19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14</v>
      </c>
      <c r="B143" s="3" t="s">
        <v>85</v>
      </c>
      <c r="C143" s="3" t="s">
        <v>134</v>
      </c>
      <c r="D143" s="3"/>
      <c r="E143" s="3" t="s">
        <v>134</v>
      </c>
      <c r="F143" s="3"/>
      <c r="G143" s="3"/>
      <c r="H143" s="3"/>
      <c r="I143" s="3"/>
      <c r="J143" s="3"/>
      <c r="K143" s="3"/>
      <c r="L143" s="3" t="s">
        <v>86</v>
      </c>
      <c r="M143" s="3">
        <v>90</v>
      </c>
      <c r="N143" s="3" t="s">
        <v>97</v>
      </c>
      <c r="O143" s="3"/>
      <c r="P143" s="3"/>
      <c r="Q143" s="3">
        <v>0.58599999999999997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14</v>
      </c>
      <c r="B144" s="3" t="s">
        <v>85</v>
      </c>
      <c r="C144" s="3" t="s">
        <v>134</v>
      </c>
      <c r="D144" s="3"/>
      <c r="E144" s="3" t="s">
        <v>134</v>
      </c>
      <c r="F144" s="3"/>
      <c r="G144" s="3"/>
      <c r="H144" s="3"/>
      <c r="I144" s="3"/>
      <c r="J144" s="3"/>
      <c r="K144" s="3"/>
      <c r="L144" s="3" t="s">
        <v>86</v>
      </c>
      <c r="M144" s="3">
        <v>100</v>
      </c>
      <c r="N144" s="3" t="s">
        <v>135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15</v>
      </c>
      <c r="B145" s="3" t="s">
        <v>85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86</v>
      </c>
      <c r="M145" s="3">
        <v>10</v>
      </c>
      <c r="N145" s="3" t="s">
        <v>92</v>
      </c>
      <c r="O145" s="3"/>
      <c r="P145" s="3"/>
      <c r="Q145" s="3">
        <v>1.575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15</v>
      </c>
      <c r="B146" s="3" t="s">
        <v>85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86</v>
      </c>
      <c r="M146" s="3">
        <v>20</v>
      </c>
      <c r="N146" s="3" t="s">
        <v>93</v>
      </c>
      <c r="O146" s="3"/>
      <c r="P146" s="3"/>
      <c r="Q146" s="3">
        <v>0.23699999999999999</v>
      </c>
      <c r="R146" s="3" t="s">
        <v>94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15</v>
      </c>
      <c r="B147" s="3" t="s">
        <v>85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86</v>
      </c>
      <c r="M147" s="3">
        <v>30</v>
      </c>
      <c r="N147" s="3" t="s">
        <v>95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15</v>
      </c>
      <c r="B148" s="3" t="s">
        <v>85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86</v>
      </c>
      <c r="M148" s="3">
        <v>40</v>
      </c>
      <c r="N148" s="3" t="s">
        <v>96</v>
      </c>
      <c r="O148" s="3"/>
      <c r="P148" s="3"/>
      <c r="Q148" s="3">
        <v>11.379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15</v>
      </c>
      <c r="B149" s="3" t="s">
        <v>85</v>
      </c>
      <c r="C149" s="3" t="s">
        <v>136</v>
      </c>
      <c r="D149" s="3"/>
      <c r="E149" s="3" t="s">
        <v>136</v>
      </c>
      <c r="F149" s="3"/>
      <c r="G149" s="3"/>
      <c r="H149" s="3"/>
      <c r="I149" s="3"/>
      <c r="J149" s="3"/>
      <c r="K149" s="3"/>
      <c r="L149" s="3" t="s">
        <v>86</v>
      </c>
      <c r="M149" s="3">
        <v>50</v>
      </c>
      <c r="N149" s="3" t="s">
        <v>100</v>
      </c>
      <c r="O149" s="3"/>
      <c r="P149" s="3"/>
      <c r="Q149" s="3">
        <v>69.981999999999999</v>
      </c>
      <c r="R149" s="3" t="s">
        <v>14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15</v>
      </c>
      <c r="B150" s="3" t="s">
        <v>85</v>
      </c>
      <c r="C150" s="3" t="s">
        <v>136</v>
      </c>
      <c r="D150" s="3"/>
      <c r="E150" s="3" t="s">
        <v>136</v>
      </c>
      <c r="F150" s="3"/>
      <c r="G150" s="3"/>
      <c r="H150" s="3"/>
      <c r="I150" s="3"/>
      <c r="J150" s="3"/>
      <c r="K150" s="3"/>
      <c r="L150" s="3" t="s">
        <v>86</v>
      </c>
      <c r="M150" s="3">
        <v>60</v>
      </c>
      <c r="N150" s="3" t="s">
        <v>90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15</v>
      </c>
      <c r="B151" s="3" t="s">
        <v>85</v>
      </c>
      <c r="C151" s="3" t="s">
        <v>136</v>
      </c>
      <c r="D151" s="3"/>
      <c r="E151" s="3" t="s">
        <v>136</v>
      </c>
      <c r="F151" s="3"/>
      <c r="G151" s="3"/>
      <c r="H151" s="3"/>
      <c r="I151" s="3"/>
      <c r="J151" s="3"/>
      <c r="K151" s="3"/>
      <c r="L151" s="3" t="s">
        <v>86</v>
      </c>
      <c r="M151" s="3">
        <v>70</v>
      </c>
      <c r="N151" s="3" t="s">
        <v>18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15</v>
      </c>
      <c r="B152" s="3" t="s">
        <v>85</v>
      </c>
      <c r="C152" s="3" t="s">
        <v>136</v>
      </c>
      <c r="D152" s="3"/>
      <c r="E152" s="3" t="s">
        <v>136</v>
      </c>
      <c r="F152" s="3"/>
      <c r="G152" s="3"/>
      <c r="H152" s="3"/>
      <c r="I152" s="3"/>
      <c r="J152" s="3"/>
      <c r="K152" s="3"/>
      <c r="L152" s="3" t="s">
        <v>86</v>
      </c>
      <c r="M152" s="3">
        <v>80</v>
      </c>
      <c r="N152" s="3" t="s">
        <v>19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15</v>
      </c>
      <c r="B153" s="3" t="s">
        <v>85</v>
      </c>
      <c r="C153" s="3" t="s">
        <v>136</v>
      </c>
      <c r="D153" s="3"/>
      <c r="E153" s="3" t="s">
        <v>136</v>
      </c>
      <c r="F153" s="3"/>
      <c r="G153" s="3"/>
      <c r="H153" s="3"/>
      <c r="I153" s="3"/>
      <c r="J153" s="3"/>
      <c r="K153" s="3"/>
      <c r="L153" s="3" t="s">
        <v>86</v>
      </c>
      <c r="M153" s="3">
        <v>90</v>
      </c>
      <c r="N153" s="3" t="s">
        <v>97</v>
      </c>
      <c r="O153" s="3"/>
      <c r="P153" s="3"/>
      <c r="Q153" s="3">
        <v>0.27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15</v>
      </c>
      <c r="B154" s="3" t="s">
        <v>85</v>
      </c>
      <c r="C154" s="3" t="s">
        <v>136</v>
      </c>
      <c r="D154" s="3"/>
      <c r="E154" s="3" t="s">
        <v>136</v>
      </c>
      <c r="F154" s="3"/>
      <c r="G154" s="3"/>
      <c r="H154" s="3"/>
      <c r="I154" s="3"/>
      <c r="J154" s="3"/>
      <c r="K154" s="3"/>
      <c r="L154" s="3" t="s">
        <v>86</v>
      </c>
      <c r="M154" s="3">
        <v>100</v>
      </c>
      <c r="N154" s="3" t="s">
        <v>137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16</v>
      </c>
      <c r="B155" s="3" t="s">
        <v>85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86</v>
      </c>
      <c r="M155" s="3">
        <v>10</v>
      </c>
      <c r="N155" s="3" t="s">
        <v>92</v>
      </c>
      <c r="O155" s="3"/>
      <c r="P155" s="3"/>
      <c r="Q155" s="3">
        <v>1.88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16</v>
      </c>
      <c r="B156" s="3" t="s">
        <v>85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86</v>
      </c>
      <c r="M156" s="3">
        <v>20</v>
      </c>
      <c r="N156" s="3" t="s">
        <v>93</v>
      </c>
      <c r="O156" s="3"/>
      <c r="P156" s="3"/>
      <c r="Q156" s="3">
        <v>0.28399999999999997</v>
      </c>
      <c r="R156" s="3" t="s">
        <v>94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16</v>
      </c>
      <c r="B157" s="3" t="s">
        <v>85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86</v>
      </c>
      <c r="M157" s="3">
        <v>30</v>
      </c>
      <c r="N157" s="3" t="s">
        <v>95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16</v>
      </c>
      <c r="B158" s="3" t="s">
        <v>85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86</v>
      </c>
      <c r="M158" s="3">
        <v>40</v>
      </c>
      <c r="N158" s="3" t="s">
        <v>96</v>
      </c>
      <c r="O158" s="3"/>
      <c r="P158" s="3"/>
      <c r="Q158" s="3">
        <v>11.989000000000001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16</v>
      </c>
      <c r="B159" s="3" t="s">
        <v>85</v>
      </c>
      <c r="C159" s="3" t="s">
        <v>138</v>
      </c>
      <c r="D159" s="3"/>
      <c r="E159" s="3" t="s">
        <v>138</v>
      </c>
      <c r="F159" s="3"/>
      <c r="G159" s="3"/>
      <c r="H159" s="3"/>
      <c r="I159" s="3"/>
      <c r="J159" s="3"/>
      <c r="K159" s="3"/>
      <c r="L159" s="3" t="s">
        <v>86</v>
      </c>
      <c r="M159" s="3">
        <v>50</v>
      </c>
      <c r="N159" s="3" t="s">
        <v>100</v>
      </c>
      <c r="O159" s="3"/>
      <c r="P159" s="3"/>
      <c r="Q159" s="3">
        <v>73.730999999999995</v>
      </c>
      <c r="R159" s="3" t="s">
        <v>14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16</v>
      </c>
      <c r="B160" s="3" t="s">
        <v>85</v>
      </c>
      <c r="C160" s="3" t="s">
        <v>138</v>
      </c>
      <c r="D160" s="3"/>
      <c r="E160" s="3" t="s">
        <v>138</v>
      </c>
      <c r="F160" s="3"/>
      <c r="G160" s="3"/>
      <c r="H160" s="3"/>
      <c r="I160" s="3"/>
      <c r="J160" s="3"/>
      <c r="K160" s="3"/>
      <c r="L160" s="3" t="s">
        <v>86</v>
      </c>
      <c r="M160" s="3">
        <v>60</v>
      </c>
      <c r="N160" s="3" t="s">
        <v>90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16</v>
      </c>
      <c r="B161" s="3" t="s">
        <v>85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86</v>
      </c>
      <c r="M161" s="3">
        <v>70</v>
      </c>
      <c r="N161" s="3" t="s">
        <v>18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16</v>
      </c>
      <c r="B162" s="3" t="s">
        <v>85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86</v>
      </c>
      <c r="M162" s="3">
        <v>80</v>
      </c>
      <c r="N162" s="3" t="s">
        <v>19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16</v>
      </c>
      <c r="B163" s="3" t="s">
        <v>85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86</v>
      </c>
      <c r="M163" s="3">
        <v>90</v>
      </c>
      <c r="N163" s="3" t="s">
        <v>97</v>
      </c>
      <c r="O163" s="3"/>
      <c r="P163" s="3"/>
      <c r="Q163" s="3">
        <v>0.315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16</v>
      </c>
      <c r="B164" s="3" t="s">
        <v>85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86</v>
      </c>
      <c r="M164" s="3">
        <v>100</v>
      </c>
      <c r="N164" s="3" t="s">
        <v>139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17</v>
      </c>
      <c r="B165" s="3" t="s">
        <v>85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86</v>
      </c>
      <c r="M165" s="3">
        <v>10</v>
      </c>
      <c r="N165" s="3" t="s">
        <v>92</v>
      </c>
      <c r="O165" s="3"/>
      <c r="P165" s="3"/>
      <c r="Q165" s="3">
        <v>2.1840000000000002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17</v>
      </c>
      <c r="B166" s="3" t="s">
        <v>85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86</v>
      </c>
      <c r="M166" s="3">
        <v>20</v>
      </c>
      <c r="N166" s="3" t="s">
        <v>93</v>
      </c>
      <c r="O166" s="3"/>
      <c r="P166" s="3"/>
      <c r="Q166" s="3">
        <v>0.33200000000000002</v>
      </c>
      <c r="R166" s="3" t="s">
        <v>94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17</v>
      </c>
      <c r="B167" s="3" t="s">
        <v>85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86</v>
      </c>
      <c r="M167" s="3">
        <v>30</v>
      </c>
      <c r="N167" s="3" t="s">
        <v>95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17</v>
      </c>
      <c r="B168" s="3" t="s">
        <v>85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86</v>
      </c>
      <c r="M168" s="3">
        <v>40</v>
      </c>
      <c r="N168" s="3" t="s">
        <v>96</v>
      </c>
      <c r="O168" s="3"/>
      <c r="P168" s="3"/>
      <c r="Q168" s="3">
        <v>12.598000000000001</v>
      </c>
      <c r="R168" s="3" t="s">
        <v>14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17</v>
      </c>
      <c r="B169" s="3" t="s">
        <v>85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86</v>
      </c>
      <c r="M169" s="3">
        <v>50</v>
      </c>
      <c r="N169" s="3" t="s">
        <v>100</v>
      </c>
      <c r="O169" s="3"/>
      <c r="P169" s="3"/>
      <c r="Q169" s="3">
        <v>77.48</v>
      </c>
      <c r="R169" s="3" t="s">
        <v>14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17</v>
      </c>
      <c r="B170" s="3" t="s">
        <v>85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86</v>
      </c>
      <c r="M170" s="3">
        <v>60</v>
      </c>
      <c r="N170" s="3" t="s">
        <v>90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17</v>
      </c>
      <c r="B171" s="3" t="s">
        <v>85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86</v>
      </c>
      <c r="M171" s="3">
        <v>70</v>
      </c>
      <c r="N171" s="3" t="s">
        <v>18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17</v>
      </c>
      <c r="B172" s="3" t="s">
        <v>85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86</v>
      </c>
      <c r="M172" s="3">
        <v>80</v>
      </c>
      <c r="N172" s="3" t="s">
        <v>19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17</v>
      </c>
      <c r="B173" s="3" t="s">
        <v>85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86</v>
      </c>
      <c r="M173" s="3">
        <v>90</v>
      </c>
      <c r="N173" s="3" t="s">
        <v>97</v>
      </c>
      <c r="O173" s="3"/>
      <c r="P173" s="3"/>
      <c r="Q173" s="3">
        <v>0.36</v>
      </c>
      <c r="R173" s="3" t="s">
        <v>12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17</v>
      </c>
      <c r="B174" s="3" t="s">
        <v>85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86</v>
      </c>
      <c r="M174" s="3">
        <v>100</v>
      </c>
      <c r="N174" s="3" t="s">
        <v>141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18</v>
      </c>
      <c r="B175" s="3" t="s">
        <v>85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86</v>
      </c>
      <c r="M175" s="3">
        <v>10</v>
      </c>
      <c r="N175" s="3" t="s">
        <v>92</v>
      </c>
      <c r="O175" s="3"/>
      <c r="P175" s="3"/>
      <c r="Q175" s="3">
        <v>2.4889999999999999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18</v>
      </c>
      <c r="B176" s="3" t="s">
        <v>85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86</v>
      </c>
      <c r="M176" s="3">
        <v>20</v>
      </c>
      <c r="N176" s="3" t="s">
        <v>93</v>
      </c>
      <c r="O176" s="3"/>
      <c r="P176" s="3"/>
      <c r="Q176" s="3">
        <v>0.379</v>
      </c>
      <c r="R176" s="3" t="s">
        <v>94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18</v>
      </c>
      <c r="B177" s="3" t="s">
        <v>85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86</v>
      </c>
      <c r="M177" s="3">
        <v>30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18</v>
      </c>
      <c r="B178" s="3" t="s">
        <v>85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86</v>
      </c>
      <c r="M178" s="3">
        <v>40</v>
      </c>
      <c r="N178" s="3" t="s">
        <v>96</v>
      </c>
      <c r="O178" s="3"/>
      <c r="P178" s="3"/>
      <c r="Q178" s="3">
        <v>13.208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18</v>
      </c>
      <c r="B179" s="3" t="s">
        <v>85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86</v>
      </c>
      <c r="M179" s="3">
        <v>50</v>
      </c>
      <c r="N179" s="3" t="s">
        <v>100</v>
      </c>
      <c r="O179" s="3"/>
      <c r="P179" s="3"/>
      <c r="Q179" s="3">
        <v>81.228999999999999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18</v>
      </c>
      <c r="B180" s="3" t="s">
        <v>85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86</v>
      </c>
      <c r="M180" s="3">
        <v>60</v>
      </c>
      <c r="N180" s="3" t="s">
        <v>90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18</v>
      </c>
      <c r="B181" s="3" t="s">
        <v>85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86</v>
      </c>
      <c r="M181" s="3">
        <v>70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18</v>
      </c>
      <c r="B182" s="3" t="s">
        <v>85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86</v>
      </c>
      <c r="M182" s="3">
        <v>80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18</v>
      </c>
      <c r="B183" s="3" t="s">
        <v>85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86</v>
      </c>
      <c r="M183" s="3">
        <v>90</v>
      </c>
      <c r="N183" s="3" t="s">
        <v>97</v>
      </c>
      <c r="O183" s="3"/>
      <c r="P183" s="3"/>
      <c r="Q183" s="3">
        <v>0.40500000000000003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18</v>
      </c>
      <c r="B184" s="3" t="s">
        <v>85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86</v>
      </c>
      <c r="M184" s="3">
        <v>100</v>
      </c>
      <c r="N184" s="3" t="s">
        <v>143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19</v>
      </c>
      <c r="B185" s="3" t="s">
        <v>85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86</v>
      </c>
      <c r="M185" s="3">
        <v>10</v>
      </c>
      <c r="N185" s="3" t="s">
        <v>92</v>
      </c>
      <c r="O185" s="3"/>
      <c r="P185" s="3"/>
      <c r="Q185" s="3">
        <v>3.0990000000000002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19</v>
      </c>
      <c r="B186" s="3" t="s">
        <v>85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86</v>
      </c>
      <c r="M186" s="3">
        <v>20</v>
      </c>
      <c r="N186" s="3" t="s">
        <v>93</v>
      </c>
      <c r="O186" s="3"/>
      <c r="P186" s="3"/>
      <c r="Q186" s="3">
        <v>0.47399999999999998</v>
      </c>
      <c r="R186" s="3" t="s">
        <v>94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19</v>
      </c>
      <c r="B187" s="3" t="s">
        <v>85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86</v>
      </c>
      <c r="M187" s="3">
        <v>30</v>
      </c>
      <c r="N187" s="3" t="s">
        <v>95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19</v>
      </c>
      <c r="B188" s="3" t="s">
        <v>85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86</v>
      </c>
      <c r="M188" s="3">
        <v>40</v>
      </c>
      <c r="N188" s="3" t="s">
        <v>96</v>
      </c>
      <c r="O188" s="3"/>
      <c r="P188" s="3"/>
      <c r="Q188" s="3">
        <v>14.427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19</v>
      </c>
      <c r="B189" s="3" t="s">
        <v>85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86</v>
      </c>
      <c r="M189" s="3">
        <v>50</v>
      </c>
      <c r="N189" s="3" t="s">
        <v>100</v>
      </c>
      <c r="O189" s="3"/>
      <c r="P189" s="3"/>
      <c r="Q189" s="3">
        <v>88.727000000000004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19</v>
      </c>
      <c r="B190" s="3" t="s">
        <v>85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86</v>
      </c>
      <c r="M190" s="3">
        <v>60</v>
      </c>
      <c r="N190" s="3" t="s">
        <v>90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19</v>
      </c>
      <c r="B191" s="3" t="s">
        <v>85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86</v>
      </c>
      <c r="M191" s="3">
        <v>70</v>
      </c>
      <c r="N191" s="3" t="s">
        <v>18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19</v>
      </c>
      <c r="B192" s="3" t="s">
        <v>85</v>
      </c>
      <c r="C192" s="3" t="s">
        <v>144</v>
      </c>
      <c r="D192" s="3"/>
      <c r="E192" s="3" t="s">
        <v>144</v>
      </c>
      <c r="F192" s="3"/>
      <c r="G192" s="3"/>
      <c r="H192" s="3"/>
      <c r="I192" s="3"/>
      <c r="J192" s="3"/>
      <c r="K192" s="3"/>
      <c r="L192" s="3" t="s">
        <v>86</v>
      </c>
      <c r="M192" s="3">
        <v>80</v>
      </c>
      <c r="N192" s="3" t="s">
        <v>19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19</v>
      </c>
      <c r="B193" s="3" t="s">
        <v>85</v>
      </c>
      <c r="C193" s="3" t="s">
        <v>144</v>
      </c>
      <c r="D193" s="3"/>
      <c r="E193" s="3" t="s">
        <v>144</v>
      </c>
      <c r="F193" s="3"/>
      <c r="G193" s="3"/>
      <c r="H193" s="3"/>
      <c r="I193" s="3"/>
      <c r="J193" s="3"/>
      <c r="K193" s="3"/>
      <c r="L193" s="3" t="s">
        <v>86</v>
      </c>
      <c r="M193" s="3">
        <v>90</v>
      </c>
      <c r="N193" s="3" t="s">
        <v>97</v>
      </c>
      <c r="O193" s="3"/>
      <c r="P193" s="3"/>
      <c r="Q193" s="3">
        <v>0.495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19</v>
      </c>
      <c r="B194" s="3" t="s">
        <v>85</v>
      </c>
      <c r="C194" s="3" t="s">
        <v>144</v>
      </c>
      <c r="D194" s="3"/>
      <c r="E194" s="3" t="s">
        <v>144</v>
      </c>
      <c r="F194" s="3"/>
      <c r="G194" s="3"/>
      <c r="H194" s="3"/>
      <c r="I194" s="3"/>
      <c r="J194" s="3"/>
      <c r="K194" s="3"/>
      <c r="L194" s="3" t="s">
        <v>86</v>
      </c>
      <c r="M194" s="3">
        <v>100</v>
      </c>
      <c r="N194" s="3" t="s">
        <v>145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20</v>
      </c>
      <c r="B195" s="3" t="s">
        <v>85</v>
      </c>
      <c r="C195" s="3" t="s">
        <v>146</v>
      </c>
      <c r="D195" s="3"/>
      <c r="E195" s="3" t="s">
        <v>146</v>
      </c>
      <c r="F195" s="3"/>
      <c r="G195" s="3"/>
      <c r="H195" s="3"/>
      <c r="I195" s="3"/>
      <c r="J195" s="3"/>
      <c r="K195" s="3"/>
      <c r="L195" s="3" t="s">
        <v>86</v>
      </c>
      <c r="M195" s="3">
        <v>10</v>
      </c>
      <c r="N195" s="3" t="s">
        <v>92</v>
      </c>
      <c r="O195" s="3"/>
      <c r="P195" s="3"/>
      <c r="Q195" s="3">
        <v>3.4039999999999999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20</v>
      </c>
      <c r="B196" s="3" t="s">
        <v>85</v>
      </c>
      <c r="C196" s="3" t="s">
        <v>146</v>
      </c>
      <c r="D196" s="3"/>
      <c r="E196" s="3" t="s">
        <v>146</v>
      </c>
      <c r="F196" s="3"/>
      <c r="G196" s="3"/>
      <c r="H196" s="3"/>
      <c r="I196" s="3"/>
      <c r="J196" s="3"/>
      <c r="K196" s="3"/>
      <c r="L196" s="3" t="s">
        <v>86</v>
      </c>
      <c r="M196" s="3">
        <v>20</v>
      </c>
      <c r="N196" s="3" t="s">
        <v>93</v>
      </c>
      <c r="O196" s="3"/>
      <c r="P196" s="3"/>
      <c r="Q196" s="3">
        <v>0.52100000000000002</v>
      </c>
      <c r="R196" s="3" t="s">
        <v>94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20</v>
      </c>
      <c r="B197" s="3" t="s">
        <v>85</v>
      </c>
      <c r="C197" s="3" t="s">
        <v>146</v>
      </c>
      <c r="D197" s="3"/>
      <c r="E197" s="3" t="s">
        <v>146</v>
      </c>
      <c r="F197" s="3"/>
      <c r="G197" s="3"/>
      <c r="H197" s="3"/>
      <c r="I197" s="3"/>
      <c r="J197" s="3"/>
      <c r="K197" s="3"/>
      <c r="L197" s="3" t="s">
        <v>86</v>
      </c>
      <c r="M197" s="3">
        <v>30</v>
      </c>
      <c r="N197" s="3" t="s">
        <v>95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20</v>
      </c>
      <c r="B198" s="3" t="s">
        <v>85</v>
      </c>
      <c r="C198" s="3" t="s">
        <v>146</v>
      </c>
      <c r="D198" s="3"/>
      <c r="E198" s="3" t="s">
        <v>146</v>
      </c>
      <c r="F198" s="3"/>
      <c r="G198" s="3"/>
      <c r="H198" s="3"/>
      <c r="I198" s="3"/>
      <c r="J198" s="3"/>
      <c r="K198" s="3"/>
      <c r="L198" s="3" t="s">
        <v>86</v>
      </c>
      <c r="M198" s="3">
        <v>40</v>
      </c>
      <c r="N198" s="3" t="s">
        <v>96</v>
      </c>
      <c r="O198" s="3"/>
      <c r="P198" s="3"/>
      <c r="Q198" s="3">
        <v>15.037000000000001</v>
      </c>
      <c r="R198" s="3" t="s">
        <v>14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20</v>
      </c>
      <c r="B199" s="3" t="s">
        <v>85</v>
      </c>
      <c r="C199" s="3" t="s">
        <v>146</v>
      </c>
      <c r="D199" s="3"/>
      <c r="E199" s="3" t="s">
        <v>146</v>
      </c>
      <c r="F199" s="3"/>
      <c r="G199" s="3"/>
      <c r="H199" s="3"/>
      <c r="I199" s="3"/>
      <c r="J199" s="3"/>
      <c r="K199" s="3"/>
      <c r="L199" s="3" t="s">
        <v>86</v>
      </c>
      <c r="M199" s="3">
        <v>50</v>
      </c>
      <c r="N199" s="3" t="s">
        <v>100</v>
      </c>
      <c r="O199" s="3"/>
      <c r="P199" s="3"/>
      <c r="Q199" s="3">
        <v>92.475999999999999</v>
      </c>
      <c r="R199" s="3" t="s">
        <v>14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20</v>
      </c>
      <c r="B200" s="3" t="s">
        <v>85</v>
      </c>
      <c r="C200" s="3" t="s">
        <v>146</v>
      </c>
      <c r="D200" s="3"/>
      <c r="E200" s="3" t="s">
        <v>146</v>
      </c>
      <c r="F200" s="3"/>
      <c r="G200" s="3"/>
      <c r="H200" s="3"/>
      <c r="I200" s="3"/>
      <c r="J200" s="3"/>
      <c r="K200" s="3"/>
      <c r="L200" s="3" t="s">
        <v>86</v>
      </c>
      <c r="M200" s="3">
        <v>60</v>
      </c>
      <c r="N200" s="3" t="s">
        <v>90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20</v>
      </c>
      <c r="B201" s="3" t="s">
        <v>85</v>
      </c>
      <c r="C201" s="3" t="s">
        <v>146</v>
      </c>
      <c r="D201" s="3"/>
      <c r="E201" s="3" t="s">
        <v>146</v>
      </c>
      <c r="F201" s="3"/>
      <c r="G201" s="3"/>
      <c r="H201" s="3"/>
      <c r="I201" s="3"/>
      <c r="J201" s="3"/>
      <c r="K201" s="3"/>
      <c r="L201" s="3" t="s">
        <v>86</v>
      </c>
      <c r="M201" s="3">
        <v>70</v>
      </c>
      <c r="N201" s="3" t="s">
        <v>18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20</v>
      </c>
      <c r="B202" s="3" t="s">
        <v>85</v>
      </c>
      <c r="C202" s="3" t="s">
        <v>146</v>
      </c>
      <c r="D202" s="3"/>
      <c r="E202" s="3" t="s">
        <v>146</v>
      </c>
      <c r="F202" s="3"/>
      <c r="G202" s="3"/>
      <c r="H202" s="3"/>
      <c r="I202" s="3"/>
      <c r="J202" s="3"/>
      <c r="K202" s="3"/>
      <c r="L202" s="3" t="s">
        <v>86</v>
      </c>
      <c r="M202" s="3">
        <v>80</v>
      </c>
      <c r="N202" s="3" t="s">
        <v>19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20</v>
      </c>
      <c r="B203" s="3" t="s">
        <v>85</v>
      </c>
      <c r="C203" s="3" t="s">
        <v>146</v>
      </c>
      <c r="D203" s="3"/>
      <c r="E203" s="3" t="s">
        <v>146</v>
      </c>
      <c r="F203" s="3"/>
      <c r="G203" s="3"/>
      <c r="H203" s="3"/>
      <c r="I203" s="3"/>
      <c r="J203" s="3"/>
      <c r="K203" s="3"/>
      <c r="L203" s="3" t="s">
        <v>86</v>
      </c>
      <c r="M203" s="3">
        <v>90</v>
      </c>
      <c r="N203" s="3" t="s">
        <v>97</v>
      </c>
      <c r="O203" s="3"/>
      <c r="P203" s="3"/>
      <c r="Q203" s="3">
        <v>0.54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20</v>
      </c>
      <c r="B204" s="3" t="s">
        <v>85</v>
      </c>
      <c r="C204" s="3" t="s">
        <v>146</v>
      </c>
      <c r="D204" s="3"/>
      <c r="E204" s="3" t="s">
        <v>146</v>
      </c>
      <c r="F204" s="3"/>
      <c r="G204" s="3"/>
      <c r="H204" s="3"/>
      <c r="I204" s="3"/>
      <c r="J204" s="3"/>
      <c r="K204" s="3"/>
      <c r="L204" s="3" t="s">
        <v>86</v>
      </c>
      <c r="M204" s="3">
        <v>100</v>
      </c>
      <c r="N204" s="3" t="s">
        <v>147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21</v>
      </c>
      <c r="B205" s="3" t="s">
        <v>85</v>
      </c>
      <c r="C205" s="3" t="s">
        <v>148</v>
      </c>
      <c r="D205" s="3"/>
      <c r="E205" s="3" t="s">
        <v>148</v>
      </c>
      <c r="F205" s="3"/>
      <c r="G205" s="3"/>
      <c r="H205" s="3"/>
      <c r="I205" s="3"/>
      <c r="J205" s="3"/>
      <c r="K205" s="3"/>
      <c r="L205" s="3" t="s">
        <v>86</v>
      </c>
      <c r="M205" s="3">
        <v>10</v>
      </c>
      <c r="N205" s="3" t="s">
        <v>92</v>
      </c>
      <c r="O205" s="3"/>
      <c r="P205" s="3"/>
      <c r="Q205" s="3">
        <v>3.7080000000000002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21</v>
      </c>
      <c r="B206" s="3" t="s">
        <v>85</v>
      </c>
      <c r="C206" s="3" t="s">
        <v>148</v>
      </c>
      <c r="D206" s="3"/>
      <c r="E206" s="3" t="s">
        <v>148</v>
      </c>
      <c r="F206" s="3"/>
      <c r="G206" s="3"/>
      <c r="H206" s="3"/>
      <c r="I206" s="3"/>
      <c r="J206" s="3"/>
      <c r="K206" s="3"/>
      <c r="L206" s="3" t="s">
        <v>86</v>
      </c>
      <c r="M206" s="3">
        <v>20</v>
      </c>
      <c r="N206" s="3" t="s">
        <v>93</v>
      </c>
      <c r="O206" s="3"/>
      <c r="P206" s="3"/>
      <c r="Q206" s="3">
        <v>0.56899999999999995</v>
      </c>
      <c r="R206" s="3" t="s">
        <v>94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21</v>
      </c>
      <c r="B207" s="3" t="s">
        <v>85</v>
      </c>
      <c r="C207" s="3" t="s">
        <v>148</v>
      </c>
      <c r="D207" s="3"/>
      <c r="E207" s="3" t="s">
        <v>148</v>
      </c>
      <c r="F207" s="3"/>
      <c r="G207" s="3"/>
      <c r="H207" s="3"/>
      <c r="I207" s="3"/>
      <c r="J207" s="3"/>
      <c r="K207" s="3"/>
      <c r="L207" s="3" t="s">
        <v>86</v>
      </c>
      <c r="M207" s="3">
        <v>30</v>
      </c>
      <c r="N207" s="3" t="s">
        <v>95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21</v>
      </c>
      <c r="B208" s="3" t="s">
        <v>85</v>
      </c>
      <c r="C208" s="3" t="s">
        <v>148</v>
      </c>
      <c r="D208" s="3"/>
      <c r="E208" s="3" t="s">
        <v>148</v>
      </c>
      <c r="F208" s="3"/>
      <c r="G208" s="3"/>
      <c r="H208" s="3"/>
      <c r="I208" s="3"/>
      <c r="J208" s="3"/>
      <c r="K208" s="3"/>
      <c r="L208" s="3" t="s">
        <v>86</v>
      </c>
      <c r="M208" s="3">
        <v>40</v>
      </c>
      <c r="N208" s="3" t="s">
        <v>96</v>
      </c>
      <c r="O208" s="3"/>
      <c r="P208" s="3"/>
      <c r="Q208" s="3">
        <v>15.646000000000001</v>
      </c>
      <c r="R208" s="3" t="s">
        <v>14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21</v>
      </c>
      <c r="B209" s="3" t="s">
        <v>85</v>
      </c>
      <c r="C209" s="3" t="s">
        <v>148</v>
      </c>
      <c r="D209" s="3"/>
      <c r="E209" s="3" t="s">
        <v>148</v>
      </c>
      <c r="F209" s="3"/>
      <c r="G209" s="3"/>
      <c r="H209" s="3"/>
      <c r="I209" s="3"/>
      <c r="J209" s="3"/>
      <c r="K209" s="3"/>
      <c r="L209" s="3" t="s">
        <v>86</v>
      </c>
      <c r="M209" s="3">
        <v>50</v>
      </c>
      <c r="N209" s="3" t="s">
        <v>100</v>
      </c>
      <c r="O209" s="3"/>
      <c r="P209" s="3"/>
      <c r="Q209" s="3">
        <v>96.224999999999994</v>
      </c>
      <c r="R209" s="3" t="s">
        <v>14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21</v>
      </c>
      <c r="B210" s="3" t="s">
        <v>85</v>
      </c>
      <c r="C210" s="3" t="s">
        <v>148</v>
      </c>
      <c r="D210" s="3"/>
      <c r="E210" s="3" t="s">
        <v>148</v>
      </c>
      <c r="F210" s="3"/>
      <c r="G210" s="3"/>
      <c r="H210" s="3"/>
      <c r="I210" s="3"/>
      <c r="J210" s="3"/>
      <c r="K210" s="3"/>
      <c r="L210" s="3" t="s">
        <v>86</v>
      </c>
      <c r="M210" s="3">
        <v>60</v>
      </c>
      <c r="N210" s="3" t="s">
        <v>90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21</v>
      </c>
      <c r="B211" s="3" t="s">
        <v>85</v>
      </c>
      <c r="C211" s="3" t="s">
        <v>148</v>
      </c>
      <c r="D211" s="3"/>
      <c r="E211" s="3" t="s">
        <v>148</v>
      </c>
      <c r="F211" s="3"/>
      <c r="G211" s="3"/>
      <c r="H211" s="3"/>
      <c r="I211" s="3"/>
      <c r="J211" s="3"/>
      <c r="K211" s="3"/>
      <c r="L211" s="3" t="s">
        <v>86</v>
      </c>
      <c r="M211" s="3">
        <v>70</v>
      </c>
      <c r="N211" s="3" t="s">
        <v>18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21</v>
      </c>
      <c r="B212" s="3" t="s">
        <v>85</v>
      </c>
      <c r="C212" s="3" t="s">
        <v>148</v>
      </c>
      <c r="D212" s="3"/>
      <c r="E212" s="3" t="s">
        <v>148</v>
      </c>
      <c r="F212" s="3"/>
      <c r="G212" s="3"/>
      <c r="H212" s="3"/>
      <c r="I212" s="3"/>
      <c r="J212" s="3"/>
      <c r="K212" s="3"/>
      <c r="L212" s="3" t="s">
        <v>86</v>
      </c>
      <c r="M212" s="3">
        <v>80</v>
      </c>
      <c r="N212" s="3" t="s">
        <v>19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21</v>
      </c>
      <c r="B213" s="3" t="s">
        <v>85</v>
      </c>
      <c r="C213" s="3" t="s">
        <v>148</v>
      </c>
      <c r="D213" s="3"/>
      <c r="E213" s="3" t="s">
        <v>148</v>
      </c>
      <c r="F213" s="3"/>
      <c r="G213" s="3"/>
      <c r="H213" s="3"/>
      <c r="I213" s="3"/>
      <c r="J213" s="3"/>
      <c r="K213" s="3"/>
      <c r="L213" s="3" t="s">
        <v>86</v>
      </c>
      <c r="M213" s="3">
        <v>90</v>
      </c>
      <c r="N213" s="3" t="s">
        <v>97</v>
      </c>
      <c r="O213" s="3"/>
      <c r="P213" s="3"/>
      <c r="Q213" s="3">
        <v>0.58599999999999997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21</v>
      </c>
      <c r="B214" s="3" t="s">
        <v>85</v>
      </c>
      <c r="C214" s="3" t="s">
        <v>148</v>
      </c>
      <c r="D214" s="3"/>
      <c r="E214" s="3" t="s">
        <v>148</v>
      </c>
      <c r="F214" s="3"/>
      <c r="G214" s="3"/>
      <c r="H214" s="3"/>
      <c r="I214" s="3"/>
      <c r="J214" s="3"/>
      <c r="K214" s="3"/>
      <c r="L214" s="3" t="s">
        <v>86</v>
      </c>
      <c r="M214" s="3">
        <v>100</v>
      </c>
      <c r="N214" s="3" t="s">
        <v>149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2026-06-02T04:27:19Z</dcterms:modified>
</cp:coreProperties>
</file>