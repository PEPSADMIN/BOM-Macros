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Y-2026 SPEC CHANGE\CIRRUS-MAY-2026\OTHER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G3" i="13"/>
  <c r="H3" i="13" s="1"/>
  <c r="E15" i="13" l="1"/>
  <c r="D4" i="13" l="1"/>
  <c r="D5" i="13"/>
  <c r="D6" i="13"/>
  <c r="D7" i="13"/>
  <c r="D8" i="13"/>
  <c r="D9" i="13"/>
  <c r="D10" i="13"/>
  <c r="D11" i="13"/>
  <c r="D12" i="13"/>
  <c r="D13" i="13"/>
  <c r="D14" i="13"/>
  <c r="D15" i="13"/>
  <c r="D2" i="13"/>
  <c r="G2" i="13" l="1"/>
  <c r="G9" i="13" l="1"/>
  <c r="G5" i="13"/>
  <c r="G4" i="13"/>
  <c r="H6" i="13" l="1"/>
  <c r="H11" i="13"/>
  <c r="G14" i="13"/>
  <c r="H14" i="13" l="1"/>
  <c r="H15" i="13" l="1"/>
  <c r="H13" i="13" l="1"/>
  <c r="H12" i="13"/>
  <c r="H10" i="13"/>
  <c r="H9" i="13"/>
  <c r="G8" i="13"/>
  <c r="H8" i="13" s="1"/>
  <c r="H7" i="13"/>
  <c r="H5" i="13"/>
  <c r="H4" i="13"/>
  <c r="H2" i="13"/>
</calcChain>
</file>

<file path=xl/sharedStrings.xml><?xml version="1.0" encoding="utf-8"?>
<sst xmlns="http://schemas.openxmlformats.org/spreadsheetml/2006/main" count="15539" uniqueCount="326">
  <si>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</si>
  <si>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</si>
  <si>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</si>
  <si>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</si>
  <si>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</si>
  <si>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</si>
  <si>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</si>
  <si>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</si>
  <si>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</si>
  <si>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</si>
  <si>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</si>
  <si>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</si>
  <si>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</si>
  <si>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</si>
  <si>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</si>
  <si>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</si>
  <si>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</si>
  <si>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</si>
  <si>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</si>
  <si>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</si>
  <si>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</si>
  <si>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</si>
  <si>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</si>
  <si>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</si>
  <si>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</si>
  <si>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</si>
  <si>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</si>
  <si>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</si>
  <si>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</si>
  <si>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</si>
  <si>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</si>
  <si>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</si>
  <si>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</si>
  <si>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</si>
  <si>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</si>
  <si>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</si>
  <si>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</si>
  <si>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</si>
  <si>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</si>
  <si>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</si>
  <si>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</si>
  <si>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</si>
  <si>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</si>
  <si>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</si>
  <si>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</si>
  <si>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</si>
  <si>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</si>
  <si>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</si>
  <si>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</si>
  <si>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</si>
  <si>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</si>
  <si>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</si>
  <si>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</si>
  <si>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</si>
  <si>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</si>
  <si>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</si>
  <si>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</si>
  <si>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</si>
  <si>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</si>
  <si>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</si>
  <si>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</si>
  <si>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</si>
  <si>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</si>
  <si>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</si>
  <si>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</si>
  <si>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</si>
  <si>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</si>
  <si>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</si>
  <si>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</si>
  <si>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</si>
  <si>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</si>
  <si>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</si>
  <si>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</si>
  <si>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</si>
  <si>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</si>
  <si>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</si>
  <si>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</si>
  <si>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</si>
  <si>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</si>
  <si>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</si>
  <si>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</si>
  <si>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</si>
  <si>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</si>
  <si>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</si>
  <si>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</si>
  <si>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</si>
  <si>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</si>
  <si>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</si>
  <si>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</si>
  <si>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</si>
  <si>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</si>
  <si>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</si>
  <si>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</si>
  <si>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</si>
  <si>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QUILTING</t>
  </si>
  <si>
    <t>Quilt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</si>
  <si>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</si>
  <si>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</si>
  <si>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</si>
  <si>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</si>
  <si>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</si>
  <si>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</si>
  <si>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</si>
  <si>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</si>
  <si>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4,5,6</t>
  </si>
  <si>
    <t>HYPMIRFMDB72X30X05-ECOM</t>
  </si>
  <si>
    <t>MIRAGE-FOAM-BLOCK-72X30X05</t>
  </si>
  <si>
    <t>HYPMIRFMDB72X36X05-ECOM</t>
  </si>
  <si>
    <t>MIRAGE-FOAM-BLOCK-72X36X05</t>
  </si>
  <si>
    <t>HYPMIRFMDB72X42X05-ECOM</t>
  </si>
  <si>
    <t>MIRAGE-FOAM-BLOCK-72X42X05</t>
  </si>
  <si>
    <t>HYPMIRFMDB72X48X05-ECOM</t>
  </si>
  <si>
    <t>MIRAGE-FOAM-BLOCK-72X48X05</t>
  </si>
  <si>
    <t>HYPMIRFMDB72X60X05-ECOM</t>
  </si>
  <si>
    <t>MIRAGE-FOAM-BLOCK-72X60X05</t>
  </si>
  <si>
    <t>HYPMIRFMDB72X66X05-ECOM</t>
  </si>
  <si>
    <t>MIRAGE-FOAM-BLOCK-72X66X05</t>
  </si>
  <si>
    <t>HYPMIRFMDB72X72X05-ECOM</t>
  </si>
  <si>
    <t>MIRAGE-FOAM-BLOCK-72X72X05</t>
  </si>
  <si>
    <t>HYPMIRFMDB75X30X05-ECOM</t>
  </si>
  <si>
    <t>MIRAGE-FOAM-BLOCK-75X30X05</t>
  </si>
  <si>
    <t>HYPMIRFMDB75X36X05-ECOM</t>
  </si>
  <si>
    <t>MIRAGE-FOAM-BLOCK-75X36X05</t>
  </si>
  <si>
    <t>HYPMIRFMDB75X42X05-ECOM</t>
  </si>
  <si>
    <t>MIRAGE-FOAM-BLOCK-75X42X05</t>
  </si>
  <si>
    <t>HYPMIRFMDB75X48X05-ECOM</t>
  </si>
  <si>
    <t>MIRAGE-FOAM-BLOCK-75X48X05</t>
  </si>
  <si>
    <t>HYPMIRFMDB75X60X05-ECOM</t>
  </si>
  <si>
    <t>MIRAGE-FOAM-BLOCK-75X60X05</t>
  </si>
  <si>
    <t>HYPMIRFMDB75X66X05-ECOM</t>
  </si>
  <si>
    <t>MIRAGE-FOAM-BLOCK-75X66X05</t>
  </si>
  <si>
    <t>HYPMIRFMDB75X72X05-ECOM</t>
  </si>
  <si>
    <t>MIRAGE-FOAM-BLOCK-75X72X05</t>
  </si>
  <si>
    <t>HYPMIRFMDB78X30X05-ECOM</t>
  </si>
  <si>
    <t>MIRAGE-FOAM-BLOCK-78X30X05</t>
  </si>
  <si>
    <t>HYPMIRFMDB78X36X05-ECOM</t>
  </si>
  <si>
    <t>MIRAGE-FOAM-BLOCK-78X36X05</t>
  </si>
  <si>
    <t>HYPMIRFMDB78X42X05-ECOM</t>
  </si>
  <si>
    <t>MIRAGE-FOAM-BLOCK-78X42X05</t>
  </si>
  <si>
    <t>HYPMIRFMDB78X48X05-ECOM</t>
  </si>
  <si>
    <t>MIRAGE-FOAM-BLOCK-78X48X05</t>
  </si>
  <si>
    <t>HYPMIRFMDB78X60X05-ECOM</t>
  </si>
  <si>
    <t>MIRAGE-FOAM-BLOCK-78X60X05</t>
  </si>
  <si>
    <t>HYPMIRFMDB78X66X05-ECOM</t>
  </si>
  <si>
    <t>MIRAGE-FOAM-BLOCK-78X66X05</t>
  </si>
  <si>
    <t>HYPMIRFMDB78X72X05-ECOM</t>
  </si>
  <si>
    <t>MIRAGE-FOAM-BLOCK-78X72X05</t>
  </si>
  <si>
    <t>HYPMIRFMDB80X30X05-ECOM</t>
  </si>
  <si>
    <t>MIRAGE-FOAM-BLOCK-80X30X05</t>
  </si>
  <si>
    <t>HYPMIRFMDB80X36X05-ECOM</t>
  </si>
  <si>
    <t>MIRAGE-FOAM-BLOCK-80X36X05</t>
  </si>
  <si>
    <t>HYPMIRFMDB80X42X05-ECOM</t>
  </si>
  <si>
    <t>MIRAGE-FOAM-BLOCK-80X42X05</t>
  </si>
  <si>
    <t>HYPMIRFMDB80X48X05-ECOM</t>
  </si>
  <si>
    <t>MIRAGE-FOAM-BLOCK-80X48X05</t>
  </si>
  <si>
    <t>HYPMIRFMDB80X60X05-ECOM</t>
  </si>
  <si>
    <t>MIRAGE-FOAM-BLOCK-80X60X05</t>
  </si>
  <si>
    <t>HYPMIRFMDB80X66X05-ECOM</t>
  </si>
  <si>
    <t>MIRAGE-FOAM-BLOCK-80X66X05</t>
  </si>
  <si>
    <t>HYPMIRFMDB80X72X05-ECOM</t>
  </si>
  <si>
    <t>MIRAGE-FOAM-BLOCK-80X72X05</t>
  </si>
  <si>
    <t>HYPMIRFMDB84X30X05-ECOM</t>
  </si>
  <si>
    <t>MIRAGE-FOAM-BLOCK-84X30X05</t>
  </si>
  <si>
    <t>HYPMIRFMDB84X36X05-ECOM</t>
  </si>
  <si>
    <t>MIRAGE-FOAM-BLOCK-84X36X05</t>
  </si>
  <si>
    <t>HYPMIRFMDB84X42X05-ECOM</t>
  </si>
  <si>
    <t>MIRAGE-FOAM-BLOCK-84X42X05</t>
  </si>
  <si>
    <t>HYPMIRFMDB84X48X05-ECOM</t>
  </si>
  <si>
    <t>MIRAGE-FOAM-BLOCK-84X48X05</t>
  </si>
  <si>
    <t>HYPMIRFMDB84X60X05-ECOM</t>
  </si>
  <si>
    <t>MIRAGE-FOAM-BLOCK-84X60X05</t>
  </si>
  <si>
    <t>HYPMIRFMDB84X66X05-ECOM</t>
  </si>
  <si>
    <t>MIRAGE-FOAM-BLOCK-84X66X05</t>
  </si>
  <si>
    <t>HYPMIRFMDB84X72X05-ECOM</t>
  </si>
  <si>
    <t>MIRAGE-FOAM-BLOCK-84X72X05</t>
  </si>
  <si>
    <t>HYPMIRFMDB72X30X06-ECOM</t>
  </si>
  <si>
    <t>MIRAGE-FOAM-BLOCK-72X30X06</t>
  </si>
  <si>
    <t>HYPMIRFMDB72X36X06-ECOM</t>
  </si>
  <si>
    <t>MIRAGE-FOAM-BLOCK-72X36X06</t>
  </si>
  <si>
    <t>HYPMIRFMDB72X42X06-ECOM</t>
  </si>
  <si>
    <t>MIRAGE-FOAM-BLOCK-72X42X06</t>
  </si>
  <si>
    <t>HYPMIRFMDB72X48X06-ECOM</t>
  </si>
  <si>
    <t>MIRAGE-FOAM-BLOCK-72X48X06</t>
  </si>
  <si>
    <t>HYPMIRFMDB72X60X06-ECOM</t>
  </si>
  <si>
    <t>MIRAGE-FOAM-BLOCK-72X60X06</t>
  </si>
  <si>
    <t>HYPMIRFMDB72X66X06-ECOM</t>
  </si>
  <si>
    <t>MIRAGE-FOAM-BLOCK-72X66X06</t>
  </si>
  <si>
    <t>HYPMIRFMDB72X72X06-ECOM</t>
  </si>
  <si>
    <t>MIRAGE-FOAM-BLOCK-72X72X06</t>
  </si>
  <si>
    <t>HYPMIRFMDB75X30X06-ECOM</t>
  </si>
  <si>
    <t>MIRAGE-FOAM-BLOCK-75X30X06</t>
  </si>
  <si>
    <t>HYPMIRFMDB75X36X06-ECOM</t>
  </si>
  <si>
    <t>MIRAGE-FOAM-BLOCK-75X36X06</t>
  </si>
  <si>
    <t>HYPMIRFMDB75X42X06-ECOM</t>
  </si>
  <si>
    <t>MIRAGE-FOAM-BLOCK-75X42X06</t>
  </si>
  <si>
    <t>HYPMIRFMDB75X48X06-ECOM</t>
  </si>
  <si>
    <t>MIRAGE-FOAM-BLOCK-75X48X06</t>
  </si>
  <si>
    <t>HYPMIRFMDB75X60X06-ECOM</t>
  </si>
  <si>
    <t>MIRAGE-FOAM-BLOCK-75X60X06</t>
  </si>
  <si>
    <t>HYPMIRFMDB75X66X06-ECOM</t>
  </si>
  <si>
    <t>MIRAGE-FOAM-BLOCK-75X66X06</t>
  </si>
  <si>
    <t>HYPMIRFMDB75X72X06-ECOM</t>
  </si>
  <si>
    <t>MIRAGE-FOAM-BLOCK-75X72X06</t>
  </si>
  <si>
    <t>HYPMIRFMDB78X30X06-ECOM</t>
  </si>
  <si>
    <t>MIRAGE-FOAM-BLOCK-78X30X06</t>
  </si>
  <si>
    <t>HYPMIRFMDB78X36X06-ECOM</t>
  </si>
  <si>
    <t>MIRAGE-FOAM-BLOCK-78X36X06</t>
  </si>
  <si>
    <t>HYPMIRFMDB78X42X06-ECOM</t>
  </si>
  <si>
    <t>MIRAGE-FOAM-BLOCK-78X42X06</t>
  </si>
  <si>
    <t>HYPMIRFMDB78X48X06-ECOM</t>
  </si>
  <si>
    <t>MIRAGE-FOAM-BLOCK-78X48X06</t>
  </si>
  <si>
    <t>HYPMIRFMDB78X60X06-ECOM</t>
  </si>
  <si>
    <t>MIRAGE-FOAM-BLOCK-78X60X06</t>
  </si>
  <si>
    <t>HYPMIRFMDB78X66X06-ECOM</t>
  </si>
  <si>
    <t>MIRAGE-FOAM-BLOCK-78X66X06</t>
  </si>
  <si>
    <t>HYPMIRFMDB78X72X06-ECOM</t>
  </si>
  <si>
    <t>MIRAGE-FOAM-BLOCK-78X72X06</t>
  </si>
  <si>
    <t>HYPMIRFMDB80X30X06-ECOM</t>
  </si>
  <si>
    <t>MIRAGE-FOAM-BLOCK-80X30X06</t>
  </si>
  <si>
    <t>HYPMIRFMDB80X36X06-ECOM</t>
  </si>
  <si>
    <t>MIRAGE-FOAM-BLOCK-80X36X06</t>
  </si>
  <si>
    <t>HYPMIRFMDB80X42X06-ECOM</t>
  </si>
  <si>
    <t>MIRAGE-FOAM-BLOCK-80X42X06</t>
  </si>
  <si>
    <t>HYPMIRFMDB80X48X06-ECOM</t>
  </si>
  <si>
    <t>MIRAGE-FOAM-BLOCK-80X48X06</t>
  </si>
  <si>
    <t>HYPMIRFMDB80X60X06-ECOM</t>
  </si>
  <si>
    <t>MIRAGE-FOAM-BLOCK-80X60X06</t>
  </si>
  <si>
    <t>HYPMIRFMDB80X66X06-ECOM</t>
  </si>
  <si>
    <t>MIRAGE-FOAM-BLOCK-80X66X06</t>
  </si>
  <si>
    <t>HYPMIRFMDB80X72X06-ECOM</t>
  </si>
  <si>
    <t>MIRAGE-FOAM-BLOCK-80X72X06</t>
  </si>
  <si>
    <t>HYPMIRFMDB84X30X06-ECOM</t>
  </si>
  <si>
    <t>MIRAGE-FOAM-BLOCK-84X30X06</t>
  </si>
  <si>
    <t>HYPMIRFMDB84X36X06-ECOM</t>
  </si>
  <si>
    <t>MIRAGE-FOAM-BLOCK-84X36X06</t>
  </si>
  <si>
    <t>HYPMIRFMDB84X42X06-ECOM</t>
  </si>
  <si>
    <t>MIRAGE-FOAM-BLOCK-84X42X06</t>
  </si>
  <si>
    <t>HYPMIRFMDB84X48X06-ECOM</t>
  </si>
  <si>
    <t>MIRAGE-FOAM-BLOCK-84X48X06</t>
  </si>
  <si>
    <t>HYPMIRFMDB84X60X06-ECOM</t>
  </si>
  <si>
    <t>MIRAGE-FOAM-BLOCK-84X60X06</t>
  </si>
  <si>
    <t>HYPMIRFMDB84X66X06-ECOM</t>
  </si>
  <si>
    <t>MIRAGE-FOAM-BLOCK-84X66X06</t>
  </si>
  <si>
    <t>HYPMIRFMDB84X72X06-ECOM</t>
  </si>
  <si>
    <t>MIRAGE-FOAM-BLOCK-84X72X06</t>
  </si>
  <si>
    <t>HYPMIRFMDB72X30X04-ECOM</t>
  </si>
  <si>
    <t>MIRAGE-FOAM-BLOCK-72X30X04</t>
  </si>
  <si>
    <t>HYPMIRFMDB72X36X04-ECOM</t>
  </si>
  <si>
    <t>MIRAGE-FOAM-BLOCK-72X36X04</t>
  </si>
  <si>
    <t>HYPMIRFMDB72X42X04-ECOM</t>
  </si>
  <si>
    <t>MIRAGE-FOAM-BLOCK-72X42X04</t>
  </si>
  <si>
    <t>HYPMIRFMDB72X48X04-ECOM</t>
  </si>
  <si>
    <t>MIRAGE-FOAM-BLOCK-72X48X04</t>
  </si>
  <si>
    <t>HYPMIRFMDB72X60X04-ECOM</t>
  </si>
  <si>
    <t>MIRAGE-FOAM-BLOCK-72X60X04</t>
  </si>
  <si>
    <t>HYPMIRFMDB72X66X04-ECOM</t>
  </si>
  <si>
    <t>MIRAGE-FOAM-BLOCK-72X66X04</t>
  </si>
  <si>
    <t>HYPMIRFMDB72X72X04-ECOM</t>
  </si>
  <si>
    <t>MIRAGE-FOAM-BLOCK-72X72X04</t>
  </si>
  <si>
    <t>HYPMIRFMDB75X30X04-ECOM</t>
  </si>
  <si>
    <t>MIRAGE-FOAM-BLOCK-75X30X04</t>
  </si>
  <si>
    <t>HYPMIRFMDB75X36X04-ECOM</t>
  </si>
  <si>
    <t>MIRAGE-FOAM-BLOCK-75X36X04</t>
  </si>
  <si>
    <t>HYPMIRFMDB75X42X04-ECOM</t>
  </si>
  <si>
    <t>MIRAGE-FOAM-BLOCK-75X42X04</t>
  </si>
  <si>
    <t>HYPMIRFMDB75X48X04-ECOM</t>
  </si>
  <si>
    <t>MIRAGE-FOAM-BLOCK-75X48X04</t>
  </si>
  <si>
    <t>HYPMIRFMDB75X60X04-ECOM</t>
  </si>
  <si>
    <t>MIRAGE-FOAM-BLOCK-75X60X04</t>
  </si>
  <si>
    <t>HYPMIRFMDB75X66X04-ECOM</t>
  </si>
  <si>
    <t>MIRAGE-FOAM-BLOCK-75X66X04</t>
  </si>
  <si>
    <t>HYPMIRFMDB75X72X04-ECOM</t>
  </si>
  <si>
    <t>MIRAGE-FOAM-BLOCK-75X72X04</t>
  </si>
  <si>
    <t>HYPMIRFMDB78X30X04-ECOM</t>
  </si>
  <si>
    <t>MIRAGE-FOAM-BLOCK-78X30X04</t>
  </si>
  <si>
    <t>HYPMIRFMDB78X36X04-ECOM</t>
  </si>
  <si>
    <t>MIRAGE-FOAM-BLOCK-78X36X04</t>
  </si>
  <si>
    <t>HYPMIRFMDB78X42X04-ECOM</t>
  </si>
  <si>
    <t>MIRAGE-FOAM-BLOCK-78X42X04</t>
  </si>
  <si>
    <t>HYPMIRFMDB78X48X04-ECOM</t>
  </si>
  <si>
    <t>MIRAGE-FOAM-BLOCK-78X48X04</t>
  </si>
  <si>
    <t>HYPMIRFMDB78X60X04-ECOM</t>
  </si>
  <si>
    <t>MIRAGE-FOAM-BLOCK-78X60X04</t>
  </si>
  <si>
    <t>HYPMIRFMDB78X66X04-ECOM</t>
  </si>
  <si>
    <t>MIRAGE-FOAM-BLOCK-78X66X04</t>
  </si>
  <si>
    <t>HYPMIRFMDB78X72X04-ECOM</t>
  </si>
  <si>
    <t>MIRAGE-FOAM-BLOCK-78X72X04</t>
  </si>
  <si>
    <t>HYPMIRFMDB80X30X04-ECOM</t>
  </si>
  <si>
    <t>MIRAGE-FOAM-BLOCK-80X30X04</t>
  </si>
  <si>
    <t>HYPMIRFMDB80X36X04-ECOM</t>
  </si>
  <si>
    <t>MIRAGE-FOAM-BLOCK-80X36X04</t>
  </si>
  <si>
    <t>HYPMIRFMDB80X42X04-ECOM</t>
  </si>
  <si>
    <t>MIRAGE-FOAM-BLOCK-80X42X04</t>
  </si>
  <si>
    <t>HYPMIRFMDB80X48X04-ECOM</t>
  </si>
  <si>
    <t>MIRAGE-FOAM-BLOCK-80X48X04</t>
  </si>
  <si>
    <t>HYPMIRFMDB80X60X04-ECOM</t>
  </si>
  <si>
    <t>MIRAGE-FOAM-BLOCK-80X60X04</t>
  </si>
  <si>
    <t>HYPMIRFMDB80X66X04-ECOM</t>
  </si>
  <si>
    <t>MIRAGE-FOAM-BLOCK-80X66X04</t>
  </si>
  <si>
    <t>HYPMIRFMDB80X72X04-ECOM</t>
  </si>
  <si>
    <t>MIRAGE-FOAM-BLOCK-80X72X04</t>
  </si>
  <si>
    <t>HYPMIRFMDB84X30X04-ECOM</t>
  </si>
  <si>
    <t>MIRAGE-FOAM-BLOCK-84X30X04</t>
  </si>
  <si>
    <t>HYPMIRFMDB84X36X04-ECOM</t>
  </si>
  <si>
    <t>MIRAGE-FOAM-BLOCK-84X36X04</t>
  </si>
  <si>
    <t>HYPMIRFMDB84X42X04-ECOM</t>
  </si>
  <si>
    <t>MIRAGE-FOAM-BLOCK-84X42X04</t>
  </si>
  <si>
    <t>HYPMIRFMDB84X48X04-ECOM</t>
  </si>
  <si>
    <t>MIRAGE-FOAM-BLOCK-84X48X04</t>
  </si>
  <si>
    <t>HYPMIRFMDB84X60X04-ECOM</t>
  </si>
  <si>
    <t>MIRAGE-FOAM-BLOCK-84X60X04</t>
  </si>
  <si>
    <t>HYPMIRFMDB84X66X04-ECOM</t>
  </si>
  <si>
    <t>MIRAGE-FOAM-BLOCK-84X66X04</t>
  </si>
  <si>
    <t>HYPMIRFMDB84X72X04-ECOM</t>
  </si>
  <si>
    <t>MIRAGE-FOAM-BLOCK-84X72X04</t>
  </si>
  <si>
    <t>RML-EDTAPE-BLUE</t>
  </si>
  <si>
    <t>RM-THRD-TKT40-BLACK</t>
  </si>
  <si>
    <t>RMI-PVC-50</t>
  </si>
  <si>
    <t>RML-MRP-BACK-LBL</t>
  </si>
  <si>
    <t>RML-CS-PL-6.5"</t>
  </si>
  <si>
    <t>FBR-KOZBOND-PNL-BLUE</t>
  </si>
  <si>
    <t>BL</t>
  </si>
  <si>
    <t>RML-CIR-LOG-SDE-LBL-FUS</t>
  </si>
  <si>
    <t>RML-CIR-MRP-LBL</t>
  </si>
  <si>
    <t>SFG-RTC-BNPK-BP</t>
  </si>
  <si>
    <t>TAILORIING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</si>
</sst>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164" fontId="0" fillId="0" borderId="0" xfId="0" applyNumberFormat="1" applyFont="1" applyAlignment="1">
      <alignment horizontal="center"/>
    </xf>
    <xf numFmtId="0" fontId="0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1" xfId="0" applyNumberFormat="1" applyFont="1" applyBorder="1" applyAlignment="1">
      <alignment vertical="center"/>
    </xf>
    <xf numFmtId="0" fontId="0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3" sqref="D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6.7109375" style="13" bestFit="1" customWidth="1"/>
    <col min="5" max="5" width="34.7109375" style="13" bestFit="1" customWidth="1"/>
    <col min="6" max="6" width="5.7109375" style="4" bestFit="1" customWidth="1"/>
    <col min="7" max="7" width="10.7109375" style="44" bestFit="1" customWidth="1"/>
    <col min="8" max="8" width="10.7109375" style="4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38" t="s">
        <v>5</v>
      </c>
      <c r="H1" s="38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2" t="s">
        <v>94</v>
      </c>
      <c r="C2" s="8" t="s">
        <v>95</v>
      </c>
      <c r="D2" s="8" t="str">
        <f>"CIRLUMCFBL"&amp;$K$2&amp;"X"&amp;$L$2&amp;"X0"&amp;$M$2&amp;"-ECOM"</f>
        <v>CIRLUMCFBL75X60X04-ECOM</v>
      </c>
      <c r="E2" s="37" t="s">
        <v>320</v>
      </c>
      <c r="F2" s="10" t="s">
        <v>14</v>
      </c>
      <c r="G2" s="39">
        <f>((IF(K2&lt;=75,(L2*2)+(M2*2),IF(K2=78,IF(M2=4,(L2*2)+(M2*2),(K2+2)+(M2*2)),(IF(K2&gt;=80,(K2*2)+(M2*2))))))*0.0254)</f>
        <v>3.2511999999999999</v>
      </c>
      <c r="H2" s="42">
        <f>ROUND(G2,3)</f>
        <v>3.2509999999999999</v>
      </c>
      <c r="I2" s="10" t="s">
        <v>13</v>
      </c>
      <c r="J2" s="5"/>
      <c r="K2" s="6">
        <v>75</v>
      </c>
      <c r="L2" s="6">
        <v>60</v>
      </c>
      <c r="M2" s="29">
        <v>4</v>
      </c>
      <c r="N2" s="6" t="s">
        <v>321</v>
      </c>
      <c r="P2" s="4" t="s">
        <v>104</v>
      </c>
      <c r="R2" s="28" t="s">
        <v>88</v>
      </c>
      <c r="S2" s="28" t="s">
        <v>96</v>
      </c>
      <c r="T2" s="27">
        <v>4</v>
      </c>
      <c r="U2" s="28" t="s">
        <v>321</v>
      </c>
    </row>
    <row r="3" spans="1:21" s="15" customFormat="1" x14ac:dyDescent="0.25">
      <c r="A3" s="36">
        <v>2</v>
      </c>
      <c r="B3" s="32" t="s">
        <v>94</v>
      </c>
      <c r="C3" s="8" t="s">
        <v>95</v>
      </c>
      <c r="D3" s="8" t="str">
        <f>"CIRLUMCFBL"&amp;$K$2&amp;"X"&amp;$L$2&amp;"X0"&amp;$M$2&amp;"-ECOM"</f>
        <v>CIRLUMCFBL75X60X04-ECOM</v>
      </c>
      <c r="E3" s="56" t="s">
        <v>324</v>
      </c>
      <c r="F3" s="10" t="s">
        <v>14</v>
      </c>
      <c r="G3" s="57">
        <f>IF(K2&lt;79,(L2+1.5)*1,(K2+1.5)*1)*0.0254</f>
        <v>1.5621</v>
      </c>
      <c r="H3" s="42">
        <f>ROUND(G3,3)</f>
        <v>1.5620000000000001</v>
      </c>
      <c r="I3" s="45" t="s">
        <v>15</v>
      </c>
      <c r="J3" s="5"/>
      <c r="K3" s="14"/>
      <c r="L3" s="14"/>
      <c r="M3" s="14"/>
      <c r="N3" s="14"/>
      <c r="O3" s="4"/>
      <c r="R3" s="36" t="s">
        <v>88</v>
      </c>
      <c r="S3" s="36" t="s">
        <v>97</v>
      </c>
      <c r="T3" s="27">
        <v>4</v>
      </c>
      <c r="U3" s="28" t="s">
        <v>321</v>
      </c>
    </row>
    <row r="4" spans="1:21" x14ac:dyDescent="0.25">
      <c r="A4" s="31">
        <v>2</v>
      </c>
      <c r="B4" s="7" t="s">
        <v>325</v>
      </c>
      <c r="C4" s="7" t="s">
        <v>325</v>
      </c>
      <c r="D4" s="8" t="str">
        <f t="shared" ref="D4:D15" si="0">"CIRLUMCFBL"&amp;$K$2&amp;"X"&amp;$L$2&amp;"X0"&amp;$M$2&amp;"-ECOM"</f>
        <v>CIRLUMCFBL75X60X04-ECOM</v>
      </c>
      <c r="E4" s="33" t="s">
        <v>93</v>
      </c>
      <c r="F4" s="10" t="s">
        <v>14</v>
      </c>
      <c r="G4" s="40">
        <f>(K2+L2)*2*0.0254*26</f>
        <v>178.30799999999999</v>
      </c>
      <c r="H4" s="42">
        <f t="shared" ref="H4:H6" si="1">ROUND(G4,3)</f>
        <v>178.30799999999999</v>
      </c>
      <c r="I4" s="10" t="s">
        <v>13</v>
      </c>
      <c r="J4" s="11"/>
      <c r="O4" s="15"/>
      <c r="R4" s="28" t="s">
        <v>88</v>
      </c>
      <c r="S4" s="28" t="s">
        <v>98</v>
      </c>
      <c r="T4" s="27">
        <v>4</v>
      </c>
      <c r="U4" s="28" t="s">
        <v>321</v>
      </c>
    </row>
    <row r="5" spans="1:21" x14ac:dyDescent="0.25">
      <c r="A5" s="31">
        <v>3</v>
      </c>
      <c r="B5" s="7" t="s">
        <v>325</v>
      </c>
      <c r="C5" s="7" t="s">
        <v>325</v>
      </c>
      <c r="D5" s="8" t="str">
        <f t="shared" si="0"/>
        <v>CIRLUMCFBL75X60X04-ECOM</v>
      </c>
      <c r="E5" s="8" t="s">
        <v>16</v>
      </c>
      <c r="F5" s="10" t="s">
        <v>14</v>
      </c>
      <c r="G5" s="41">
        <f>7*(K2+L2)*2*0.0254</f>
        <v>48.006</v>
      </c>
      <c r="H5" s="42">
        <f t="shared" si="1"/>
        <v>48.006</v>
      </c>
      <c r="I5" s="10" t="s">
        <v>13</v>
      </c>
      <c r="J5" s="11"/>
      <c r="O5" s="15"/>
      <c r="R5" s="28" t="s">
        <v>88</v>
      </c>
      <c r="S5" s="28" t="s">
        <v>99</v>
      </c>
      <c r="T5" s="27">
        <v>4</v>
      </c>
      <c r="U5" s="28" t="s">
        <v>321</v>
      </c>
    </row>
    <row r="6" spans="1:21" x14ac:dyDescent="0.25">
      <c r="A6" s="31">
        <v>4</v>
      </c>
      <c r="B6" s="7" t="s">
        <v>325</v>
      </c>
      <c r="C6" s="7" t="s">
        <v>325</v>
      </c>
      <c r="D6" s="8" t="str">
        <f t="shared" si="0"/>
        <v>CIRLUMCFBL75X60X04-ECOM</v>
      </c>
      <c r="E6" s="8" t="s">
        <v>318</v>
      </c>
      <c r="F6" s="49" t="s">
        <v>11</v>
      </c>
      <c r="G6" s="44">
        <v>1</v>
      </c>
      <c r="H6" s="42">
        <f t="shared" si="1"/>
        <v>1</v>
      </c>
      <c r="I6" s="10" t="s">
        <v>13</v>
      </c>
      <c r="J6" s="11"/>
      <c r="R6" s="28" t="s">
        <v>88</v>
      </c>
      <c r="S6" s="28" t="s">
        <v>100</v>
      </c>
      <c r="T6" s="27">
        <v>4</v>
      </c>
      <c r="U6" s="28" t="s">
        <v>321</v>
      </c>
    </row>
    <row r="7" spans="1:21" x14ac:dyDescent="0.25">
      <c r="A7" s="31">
        <v>5</v>
      </c>
      <c r="B7" s="7" t="s">
        <v>325</v>
      </c>
      <c r="C7" s="7" t="s">
        <v>325</v>
      </c>
      <c r="D7" s="8" t="str">
        <f t="shared" si="0"/>
        <v>CIRLUMCFBL75X60X04-ECOM</v>
      </c>
      <c r="E7" s="35" t="s">
        <v>322</v>
      </c>
      <c r="F7" s="10" t="s">
        <v>11</v>
      </c>
      <c r="G7" s="39">
        <v>1</v>
      </c>
      <c r="H7" s="42">
        <f>ROUND(G7,3)</f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88</v>
      </c>
      <c r="S7" s="28" t="s">
        <v>101</v>
      </c>
      <c r="T7" s="27">
        <v>4</v>
      </c>
      <c r="U7" s="28" t="s">
        <v>321</v>
      </c>
    </row>
    <row r="8" spans="1:21" x14ac:dyDescent="0.25">
      <c r="A8" s="31">
        <v>6</v>
      </c>
      <c r="B8" s="7" t="s">
        <v>17</v>
      </c>
      <c r="C8" s="7" t="s">
        <v>17</v>
      </c>
      <c r="D8" s="8" t="str">
        <f t="shared" si="0"/>
        <v>CIRLUMCFBL75X60X04-ECOM</v>
      </c>
      <c r="E8" s="35" t="s">
        <v>315</v>
      </c>
      <c r="F8" s="10" t="s">
        <v>14</v>
      </c>
      <c r="G8" s="42">
        <f>(K2+L2+4)*2*0.0254</f>
        <v>7.0611999999999995</v>
      </c>
      <c r="H8" s="42">
        <f>ROUND(G8,3)</f>
        <v>7.0609999999999999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88</v>
      </c>
      <c r="S8" s="28" t="s">
        <v>88</v>
      </c>
      <c r="T8" s="27">
        <v>4</v>
      </c>
      <c r="U8" s="28" t="s">
        <v>321</v>
      </c>
    </row>
    <row r="9" spans="1:21" x14ac:dyDescent="0.25">
      <c r="A9" s="31">
        <v>7</v>
      </c>
      <c r="B9" s="7" t="s">
        <v>17</v>
      </c>
      <c r="C9" s="7" t="s">
        <v>17</v>
      </c>
      <c r="D9" s="8" t="str">
        <f t="shared" si="0"/>
        <v>CIRLUMCFBL75X60X04-ECOM</v>
      </c>
      <c r="E9" s="35" t="s">
        <v>316</v>
      </c>
      <c r="F9" s="10" t="s">
        <v>14</v>
      </c>
      <c r="G9" s="42">
        <f>(K2+L2+4)*2*0.0254*(4.73+1.42)</f>
        <v>43.426380000000002</v>
      </c>
      <c r="H9" s="42">
        <f>ROUND(G9,3)</f>
        <v>43.426000000000002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89</v>
      </c>
      <c r="S9" s="28" t="s">
        <v>96</v>
      </c>
      <c r="T9" s="27">
        <v>4</v>
      </c>
      <c r="U9" s="28" t="s">
        <v>321</v>
      </c>
    </row>
    <row r="10" spans="1:21" x14ac:dyDescent="0.25">
      <c r="A10" s="31">
        <v>8</v>
      </c>
      <c r="B10" s="7" t="s">
        <v>17</v>
      </c>
      <c r="C10" s="7" t="s">
        <v>17</v>
      </c>
      <c r="D10" s="8" t="str">
        <f t="shared" si="0"/>
        <v>CIRLUMCFBL75X60X04-ECOM</v>
      </c>
      <c r="E10" s="51" t="s">
        <v>323</v>
      </c>
      <c r="F10" s="10" t="s">
        <v>11</v>
      </c>
      <c r="G10" s="42">
        <v>1</v>
      </c>
      <c r="H10" s="42">
        <f>ROUND(G10,3)</f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89</v>
      </c>
      <c r="S10" s="28" t="s">
        <v>97</v>
      </c>
      <c r="T10" s="27">
        <v>4</v>
      </c>
      <c r="U10" s="28" t="s">
        <v>321</v>
      </c>
    </row>
    <row r="11" spans="1:21" x14ac:dyDescent="0.25">
      <c r="A11" s="31">
        <v>9</v>
      </c>
      <c r="B11" s="7" t="s">
        <v>18</v>
      </c>
      <c r="C11" s="8" t="s">
        <v>18</v>
      </c>
      <c r="D11" s="8" t="str">
        <f t="shared" si="0"/>
        <v>CIRLUMCFBL75X60X04-ECOM</v>
      </c>
      <c r="E11" s="16" t="s">
        <v>319</v>
      </c>
      <c r="F11" s="10" t="s">
        <v>11</v>
      </c>
      <c r="G11" s="42">
        <v>4</v>
      </c>
      <c r="H11" s="42">
        <f t="shared" ref="H11" si="2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89</v>
      </c>
      <c r="S11" s="28" t="s">
        <v>98</v>
      </c>
      <c r="T11" s="27">
        <v>4</v>
      </c>
      <c r="U11" s="28" t="s">
        <v>321</v>
      </c>
    </row>
    <row r="12" spans="1:21" x14ac:dyDescent="0.25">
      <c r="A12" s="31">
        <v>10</v>
      </c>
      <c r="B12" s="7" t="s">
        <v>18</v>
      </c>
      <c r="C12" s="8" t="s">
        <v>18</v>
      </c>
      <c r="D12" s="8" t="str">
        <f t="shared" si="0"/>
        <v>CIRLUMCFBL75X60X04-ECOM</v>
      </c>
      <c r="E12" s="8" t="s">
        <v>19</v>
      </c>
      <c r="F12" s="10" t="s">
        <v>11</v>
      </c>
      <c r="G12" s="43">
        <v>1</v>
      </c>
      <c r="H12" s="42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89</v>
      </c>
      <c r="S12" s="28" t="s">
        <v>99</v>
      </c>
      <c r="T12" s="27">
        <v>4</v>
      </c>
      <c r="U12" s="28" t="s">
        <v>321</v>
      </c>
    </row>
    <row r="13" spans="1:21" x14ac:dyDescent="0.25">
      <c r="A13" s="31">
        <v>11</v>
      </c>
      <c r="B13" s="7" t="s">
        <v>18</v>
      </c>
      <c r="C13" s="8" t="s">
        <v>18</v>
      </c>
      <c r="D13" s="8" t="str">
        <f t="shared" si="0"/>
        <v>CIRLUMCFBL75X60X04-ECOM</v>
      </c>
      <c r="E13" s="8" t="s">
        <v>20</v>
      </c>
      <c r="F13" s="10" t="s">
        <v>11</v>
      </c>
      <c r="G13" s="43">
        <v>1</v>
      </c>
      <c r="H13" s="42">
        <f>ROUND(G13,3)</f>
        <v>1</v>
      </c>
      <c r="I13" s="10" t="s">
        <v>13</v>
      </c>
      <c r="J13" s="11"/>
      <c r="K13" s="17"/>
      <c r="R13" s="28" t="s">
        <v>89</v>
      </c>
      <c r="S13" s="28" t="s">
        <v>100</v>
      </c>
      <c r="T13" s="27">
        <v>4</v>
      </c>
      <c r="U13" s="28" t="s">
        <v>321</v>
      </c>
    </row>
    <row r="14" spans="1:21" x14ac:dyDescent="0.25">
      <c r="A14" s="31">
        <v>12</v>
      </c>
      <c r="B14" s="7" t="s">
        <v>18</v>
      </c>
      <c r="C14" s="8" t="s">
        <v>18</v>
      </c>
      <c r="D14" s="8" t="str">
        <f t="shared" si="0"/>
        <v>CIRLUMCFBL75X60X04-ECOM</v>
      </c>
      <c r="E14" s="8" t="s">
        <v>317</v>
      </c>
      <c r="F14" s="10" t="s">
        <v>12</v>
      </c>
      <c r="G14" s="48">
        <f>(IF(K2&lt;79,(L2*2)+(M2*2),(K2*2)+(M2*2))+4)*89.5*0.0254*0.0254*0.00005*1300</f>
        <v>0.49542481560000001</v>
      </c>
      <c r="H14" s="42">
        <f>ROUND(G14,3)</f>
        <v>0.495</v>
      </c>
      <c r="I14" s="9" t="s">
        <v>13</v>
      </c>
      <c r="J14" s="11"/>
      <c r="M14" s="17"/>
      <c r="O14" s="17"/>
      <c r="R14" s="28" t="s">
        <v>89</v>
      </c>
      <c r="S14" s="28" t="s">
        <v>101</v>
      </c>
      <c r="T14" s="27">
        <v>4</v>
      </c>
      <c r="U14" s="28" t="s">
        <v>321</v>
      </c>
    </row>
    <row r="15" spans="1:21" x14ac:dyDescent="0.25">
      <c r="A15" s="31">
        <v>13</v>
      </c>
      <c r="B15" s="7" t="s">
        <v>17</v>
      </c>
      <c r="C15" s="7" t="s">
        <v>17</v>
      </c>
      <c r="D15" s="8" t="str">
        <f t="shared" si="0"/>
        <v>CIRLUMCFBL75X60X04-ECOM</v>
      </c>
      <c r="E15" s="34" t="str">
        <f>"p"&amp;K2&amp;"X"&amp;L2&amp;"X0"&amp;M2</f>
        <v>p75X60X04</v>
      </c>
      <c r="F15" s="10" t="s">
        <v>11</v>
      </c>
      <c r="G15" s="42">
        <v>1</v>
      </c>
      <c r="H15" s="42">
        <f>ROUND(G15,3)</f>
        <v>1</v>
      </c>
      <c r="I15" s="45" t="s">
        <v>15</v>
      </c>
      <c r="J15" s="11"/>
      <c r="N15"/>
      <c r="O15"/>
      <c r="R15" s="28" t="s">
        <v>89</v>
      </c>
      <c r="S15" s="28" t="s">
        <v>88</v>
      </c>
      <c r="T15" s="27">
        <v>4</v>
      </c>
      <c r="U15" s="28" t="s">
        <v>321</v>
      </c>
    </row>
    <row r="16" spans="1:21" x14ac:dyDescent="0.25">
      <c r="J16" s="11"/>
      <c r="M16" s="17"/>
      <c r="N16"/>
      <c r="O16"/>
      <c r="R16" s="28" t="s">
        <v>90</v>
      </c>
      <c r="S16" s="28" t="s">
        <v>96</v>
      </c>
      <c r="T16" s="27">
        <v>4</v>
      </c>
      <c r="U16" s="28" t="s">
        <v>321</v>
      </c>
    </row>
    <row r="17" spans="5:21" x14ac:dyDescent="0.25">
      <c r="J17" s="11"/>
      <c r="N17"/>
      <c r="O17"/>
      <c r="R17" s="28" t="s">
        <v>90</v>
      </c>
      <c r="S17" s="28" t="s">
        <v>97</v>
      </c>
      <c r="T17" s="27">
        <v>4</v>
      </c>
      <c r="U17" s="28" t="s">
        <v>321</v>
      </c>
    </row>
    <row r="18" spans="5:21" x14ac:dyDescent="0.25">
      <c r="J18" s="11"/>
      <c r="N18"/>
      <c r="O18"/>
      <c r="R18" s="28" t="s">
        <v>90</v>
      </c>
      <c r="S18" s="28" t="s">
        <v>98</v>
      </c>
      <c r="T18" s="27">
        <v>4</v>
      </c>
      <c r="U18" s="28" t="s">
        <v>321</v>
      </c>
    </row>
    <row r="19" spans="5:21" x14ac:dyDescent="0.25">
      <c r="J19" s="11"/>
      <c r="N19"/>
      <c r="O19"/>
      <c r="R19" s="28" t="s">
        <v>90</v>
      </c>
      <c r="S19" s="28" t="s">
        <v>99</v>
      </c>
      <c r="T19" s="27">
        <v>4</v>
      </c>
      <c r="U19" s="28" t="s">
        <v>321</v>
      </c>
    </row>
    <row r="20" spans="5:21" x14ac:dyDescent="0.25">
      <c r="J20" s="11"/>
      <c r="N20" s="26"/>
      <c r="O20"/>
      <c r="R20" s="28" t="s">
        <v>90</v>
      </c>
      <c r="S20" s="28" t="s">
        <v>100</v>
      </c>
      <c r="T20" s="27">
        <v>4</v>
      </c>
      <c r="U20" s="28" t="s">
        <v>321</v>
      </c>
    </row>
    <row r="21" spans="5:21" x14ac:dyDescent="0.25">
      <c r="J21" s="11"/>
      <c r="N21"/>
      <c r="O21"/>
      <c r="R21" s="28" t="s">
        <v>90</v>
      </c>
      <c r="S21" s="28" t="s">
        <v>101</v>
      </c>
      <c r="T21" s="27">
        <v>4</v>
      </c>
      <c r="U21" s="28" t="s">
        <v>321</v>
      </c>
    </row>
    <row r="22" spans="5:21" x14ac:dyDescent="0.25">
      <c r="J22" s="11"/>
      <c r="N22"/>
      <c r="O22"/>
      <c r="R22" s="28" t="s">
        <v>90</v>
      </c>
      <c r="S22" s="28" t="s">
        <v>88</v>
      </c>
      <c r="T22" s="27">
        <v>4</v>
      </c>
      <c r="U22" s="28" t="s">
        <v>321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91</v>
      </c>
      <c r="S23" s="28" t="s">
        <v>96</v>
      </c>
      <c r="T23" s="27">
        <v>4</v>
      </c>
      <c r="U23" s="28" t="s">
        <v>321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91</v>
      </c>
      <c r="S24" s="28" t="s">
        <v>97</v>
      </c>
      <c r="T24" s="27">
        <v>4</v>
      </c>
      <c r="U24" s="28" t="s">
        <v>321</v>
      </c>
    </row>
    <row r="25" spans="5:21" x14ac:dyDescent="0.25">
      <c r="N25"/>
      <c r="O25"/>
      <c r="R25" s="28" t="s">
        <v>91</v>
      </c>
      <c r="S25" s="28" t="s">
        <v>98</v>
      </c>
      <c r="T25" s="27">
        <v>4</v>
      </c>
      <c r="U25" s="28" t="s">
        <v>321</v>
      </c>
    </row>
    <row r="26" spans="5:21" x14ac:dyDescent="0.25">
      <c r="N26"/>
      <c r="O26"/>
      <c r="R26" s="28" t="s">
        <v>91</v>
      </c>
      <c r="S26" s="28" t="s">
        <v>99</v>
      </c>
      <c r="T26" s="27">
        <v>4</v>
      </c>
      <c r="U26" s="28" t="s">
        <v>321</v>
      </c>
    </row>
    <row r="27" spans="5:21" x14ac:dyDescent="0.25">
      <c r="N27"/>
      <c r="O27"/>
      <c r="R27" s="28" t="s">
        <v>91</v>
      </c>
      <c r="S27" s="28" t="s">
        <v>100</v>
      </c>
      <c r="T27" s="27">
        <v>4</v>
      </c>
      <c r="U27" s="28" t="s">
        <v>321</v>
      </c>
    </row>
    <row r="28" spans="5:21" x14ac:dyDescent="0.25">
      <c r="M28" s="17"/>
      <c r="N28"/>
      <c r="O28"/>
      <c r="R28" s="28" t="s">
        <v>91</v>
      </c>
      <c r="S28" s="28" t="s">
        <v>101</v>
      </c>
      <c r="T28" s="27">
        <v>4</v>
      </c>
      <c r="U28" s="28" t="s">
        <v>321</v>
      </c>
    </row>
    <row r="29" spans="5:21" x14ac:dyDescent="0.25">
      <c r="E29" s="17"/>
      <c r="N29"/>
      <c r="O29"/>
      <c r="R29" s="28" t="s">
        <v>91</v>
      </c>
      <c r="S29" s="28" t="s">
        <v>88</v>
      </c>
      <c r="T29" s="27">
        <v>4</v>
      </c>
      <c r="U29" s="28" t="s">
        <v>321</v>
      </c>
    </row>
    <row r="30" spans="5:21" x14ac:dyDescent="0.25">
      <c r="H30" s="50"/>
      <c r="N30"/>
      <c r="O30"/>
      <c r="R30" s="28" t="s">
        <v>92</v>
      </c>
      <c r="S30" s="28" t="s">
        <v>96</v>
      </c>
      <c r="T30" s="27">
        <v>4</v>
      </c>
      <c r="U30" s="28" t="s">
        <v>321</v>
      </c>
    </row>
    <row r="31" spans="5:21" x14ac:dyDescent="0.25">
      <c r="N31"/>
      <c r="O31"/>
      <c r="R31" s="28" t="s">
        <v>92</v>
      </c>
      <c r="S31" s="28" t="s">
        <v>97</v>
      </c>
      <c r="T31" s="27">
        <v>4</v>
      </c>
      <c r="U31" s="28" t="s">
        <v>321</v>
      </c>
    </row>
    <row r="32" spans="5:21" x14ac:dyDescent="0.25">
      <c r="N32"/>
      <c r="O32"/>
      <c r="R32" s="28" t="s">
        <v>92</v>
      </c>
      <c r="S32" s="28" t="s">
        <v>98</v>
      </c>
      <c r="T32" s="27">
        <v>4</v>
      </c>
      <c r="U32" s="28" t="s">
        <v>321</v>
      </c>
    </row>
    <row r="33" spans="14:21" x14ac:dyDescent="0.25">
      <c r="N33"/>
      <c r="O33"/>
      <c r="R33" s="28" t="s">
        <v>92</v>
      </c>
      <c r="S33" s="28" t="s">
        <v>99</v>
      </c>
      <c r="T33" s="27">
        <v>4</v>
      </c>
      <c r="U33" s="28" t="s">
        <v>321</v>
      </c>
    </row>
    <row r="34" spans="14:21" x14ac:dyDescent="0.25">
      <c r="N34"/>
      <c r="O34"/>
      <c r="R34" s="28" t="s">
        <v>92</v>
      </c>
      <c r="S34" s="28" t="s">
        <v>100</v>
      </c>
      <c r="T34" s="27">
        <v>4</v>
      </c>
      <c r="U34" s="28" t="s">
        <v>321</v>
      </c>
    </row>
    <row r="35" spans="14:21" x14ac:dyDescent="0.25">
      <c r="N35"/>
      <c r="O35"/>
      <c r="R35" s="28" t="s">
        <v>92</v>
      </c>
      <c r="S35" s="28" t="s">
        <v>101</v>
      </c>
      <c r="T35" s="27">
        <v>4</v>
      </c>
      <c r="U35" s="28" t="s">
        <v>321</v>
      </c>
    </row>
    <row r="36" spans="14:21" x14ac:dyDescent="0.25">
      <c r="N36"/>
      <c r="O36"/>
      <c r="R36" s="28" t="s">
        <v>92</v>
      </c>
      <c r="S36" s="28" t="s">
        <v>88</v>
      </c>
      <c r="T36" s="27">
        <v>4</v>
      </c>
      <c r="U36" s="28" t="s">
        <v>321</v>
      </c>
    </row>
    <row r="37" spans="14:21" x14ac:dyDescent="0.25">
      <c r="N37"/>
      <c r="O37"/>
      <c r="R37" s="28" t="s">
        <v>88</v>
      </c>
      <c r="S37" s="28" t="s">
        <v>96</v>
      </c>
      <c r="T37" s="27">
        <v>5</v>
      </c>
      <c r="U37" s="28" t="s">
        <v>321</v>
      </c>
    </row>
    <row r="38" spans="14:21" x14ac:dyDescent="0.25">
      <c r="N38"/>
      <c r="O38"/>
      <c r="R38" s="36" t="s">
        <v>88</v>
      </c>
      <c r="S38" s="36" t="s">
        <v>97</v>
      </c>
      <c r="T38" s="27">
        <v>5</v>
      </c>
      <c r="U38" s="28" t="s">
        <v>321</v>
      </c>
    </row>
    <row r="39" spans="14:21" x14ac:dyDescent="0.25">
      <c r="N39"/>
      <c r="O39"/>
      <c r="R39" s="28" t="s">
        <v>88</v>
      </c>
      <c r="S39" s="28" t="s">
        <v>98</v>
      </c>
      <c r="T39" s="27">
        <v>5</v>
      </c>
      <c r="U39" s="28" t="s">
        <v>321</v>
      </c>
    </row>
    <row r="40" spans="14:21" x14ac:dyDescent="0.25">
      <c r="N40"/>
      <c r="O40"/>
      <c r="R40" s="28" t="s">
        <v>88</v>
      </c>
      <c r="S40" s="28" t="s">
        <v>99</v>
      </c>
      <c r="T40" s="27">
        <v>5</v>
      </c>
      <c r="U40" s="28" t="s">
        <v>321</v>
      </c>
    </row>
    <row r="41" spans="14:21" x14ac:dyDescent="0.25">
      <c r="N41"/>
      <c r="O41"/>
      <c r="R41" s="28" t="s">
        <v>88</v>
      </c>
      <c r="S41" s="28" t="s">
        <v>100</v>
      </c>
      <c r="T41" s="27">
        <v>5</v>
      </c>
      <c r="U41" s="28" t="s">
        <v>321</v>
      </c>
    </row>
    <row r="42" spans="14:21" x14ac:dyDescent="0.25">
      <c r="N42"/>
      <c r="O42"/>
      <c r="R42" s="28" t="s">
        <v>88</v>
      </c>
      <c r="S42" s="28" t="s">
        <v>101</v>
      </c>
      <c r="T42" s="27">
        <v>5</v>
      </c>
      <c r="U42" s="28" t="s">
        <v>321</v>
      </c>
    </row>
    <row r="43" spans="14:21" x14ac:dyDescent="0.25">
      <c r="N43"/>
      <c r="O43"/>
      <c r="R43" s="28" t="s">
        <v>88</v>
      </c>
      <c r="S43" s="28" t="s">
        <v>88</v>
      </c>
      <c r="T43" s="27">
        <v>5</v>
      </c>
      <c r="U43" s="28" t="s">
        <v>321</v>
      </c>
    </row>
    <row r="44" spans="14:21" x14ac:dyDescent="0.25">
      <c r="N44"/>
      <c r="O44"/>
      <c r="R44" s="28" t="s">
        <v>89</v>
      </c>
      <c r="S44" s="28" t="s">
        <v>96</v>
      </c>
      <c r="T44" s="27">
        <v>5</v>
      </c>
      <c r="U44" s="28" t="s">
        <v>321</v>
      </c>
    </row>
    <row r="45" spans="14:21" x14ac:dyDescent="0.25">
      <c r="N45"/>
      <c r="O45"/>
      <c r="R45" s="28" t="s">
        <v>89</v>
      </c>
      <c r="S45" s="28" t="s">
        <v>97</v>
      </c>
      <c r="T45" s="27">
        <v>5</v>
      </c>
      <c r="U45" s="28" t="s">
        <v>321</v>
      </c>
    </row>
    <row r="46" spans="14:21" x14ac:dyDescent="0.25">
      <c r="N46"/>
      <c r="O46"/>
      <c r="R46" s="28" t="s">
        <v>89</v>
      </c>
      <c r="S46" s="28" t="s">
        <v>98</v>
      </c>
      <c r="T46" s="27">
        <v>5</v>
      </c>
      <c r="U46" s="28" t="s">
        <v>321</v>
      </c>
    </row>
    <row r="47" spans="14:21" x14ac:dyDescent="0.25">
      <c r="N47"/>
      <c r="O47"/>
      <c r="R47" s="28" t="s">
        <v>89</v>
      </c>
      <c r="S47" s="28" t="s">
        <v>99</v>
      </c>
      <c r="T47" s="27">
        <v>5</v>
      </c>
      <c r="U47" s="28" t="s">
        <v>321</v>
      </c>
    </row>
    <row r="48" spans="14:21" x14ac:dyDescent="0.25">
      <c r="N48"/>
      <c r="O48"/>
      <c r="R48" s="28" t="s">
        <v>89</v>
      </c>
      <c r="S48" s="28" t="s">
        <v>100</v>
      </c>
      <c r="T48" s="27">
        <v>5</v>
      </c>
      <c r="U48" s="28" t="s">
        <v>321</v>
      </c>
    </row>
    <row r="49" spans="14:21" x14ac:dyDescent="0.25">
      <c r="N49"/>
      <c r="O49"/>
      <c r="R49" s="28" t="s">
        <v>89</v>
      </c>
      <c r="S49" s="28" t="s">
        <v>101</v>
      </c>
      <c r="T49" s="27">
        <v>5</v>
      </c>
      <c r="U49" s="28" t="s">
        <v>321</v>
      </c>
    </row>
    <row r="50" spans="14:21" x14ac:dyDescent="0.25">
      <c r="R50" s="28" t="s">
        <v>89</v>
      </c>
      <c r="S50" s="28" t="s">
        <v>88</v>
      </c>
      <c r="T50" s="27">
        <v>5</v>
      </c>
      <c r="U50" s="28" t="s">
        <v>321</v>
      </c>
    </row>
    <row r="51" spans="14:21" x14ac:dyDescent="0.25">
      <c r="R51" s="28" t="s">
        <v>90</v>
      </c>
      <c r="S51" s="28" t="s">
        <v>96</v>
      </c>
      <c r="T51" s="27">
        <v>5</v>
      </c>
      <c r="U51" s="28" t="s">
        <v>321</v>
      </c>
    </row>
    <row r="52" spans="14:21" x14ac:dyDescent="0.25">
      <c r="R52" s="28" t="s">
        <v>90</v>
      </c>
      <c r="S52" s="28" t="s">
        <v>97</v>
      </c>
      <c r="T52" s="27">
        <v>5</v>
      </c>
      <c r="U52" s="28" t="s">
        <v>321</v>
      </c>
    </row>
    <row r="53" spans="14:21" x14ac:dyDescent="0.25">
      <c r="R53" s="28" t="s">
        <v>90</v>
      </c>
      <c r="S53" s="28" t="s">
        <v>98</v>
      </c>
      <c r="T53" s="27">
        <v>5</v>
      </c>
      <c r="U53" s="28" t="s">
        <v>321</v>
      </c>
    </row>
    <row r="54" spans="14:21" x14ac:dyDescent="0.25">
      <c r="R54" s="28" t="s">
        <v>90</v>
      </c>
      <c r="S54" s="28" t="s">
        <v>99</v>
      </c>
      <c r="T54" s="27">
        <v>5</v>
      </c>
      <c r="U54" s="28" t="s">
        <v>321</v>
      </c>
    </row>
    <row r="55" spans="14:21" x14ac:dyDescent="0.25">
      <c r="R55" s="28" t="s">
        <v>90</v>
      </c>
      <c r="S55" s="28" t="s">
        <v>100</v>
      </c>
      <c r="T55" s="27">
        <v>5</v>
      </c>
      <c r="U55" s="28" t="s">
        <v>321</v>
      </c>
    </row>
    <row r="56" spans="14:21" x14ac:dyDescent="0.25">
      <c r="R56" s="28" t="s">
        <v>90</v>
      </c>
      <c r="S56" s="28" t="s">
        <v>101</v>
      </c>
      <c r="T56" s="27">
        <v>5</v>
      </c>
      <c r="U56" s="28" t="s">
        <v>321</v>
      </c>
    </row>
    <row r="57" spans="14:21" x14ac:dyDescent="0.25">
      <c r="R57" s="28" t="s">
        <v>90</v>
      </c>
      <c r="S57" s="28" t="s">
        <v>88</v>
      </c>
      <c r="T57" s="27">
        <v>5</v>
      </c>
      <c r="U57" s="28" t="s">
        <v>321</v>
      </c>
    </row>
    <row r="58" spans="14:21" x14ac:dyDescent="0.25">
      <c r="R58" s="28" t="s">
        <v>91</v>
      </c>
      <c r="S58" s="28" t="s">
        <v>96</v>
      </c>
      <c r="T58" s="27">
        <v>5</v>
      </c>
      <c r="U58" s="28" t="s">
        <v>321</v>
      </c>
    </row>
    <row r="59" spans="14:21" x14ac:dyDescent="0.25">
      <c r="R59" s="28" t="s">
        <v>91</v>
      </c>
      <c r="S59" s="28" t="s">
        <v>97</v>
      </c>
      <c r="T59" s="27">
        <v>5</v>
      </c>
      <c r="U59" s="28" t="s">
        <v>321</v>
      </c>
    </row>
    <row r="60" spans="14:21" x14ac:dyDescent="0.25">
      <c r="R60" s="28" t="s">
        <v>91</v>
      </c>
      <c r="S60" s="28" t="s">
        <v>98</v>
      </c>
      <c r="T60" s="27">
        <v>5</v>
      </c>
      <c r="U60" s="28" t="s">
        <v>321</v>
      </c>
    </row>
    <row r="61" spans="14:21" x14ac:dyDescent="0.25">
      <c r="R61" s="28" t="s">
        <v>91</v>
      </c>
      <c r="S61" s="28" t="s">
        <v>99</v>
      </c>
      <c r="T61" s="27">
        <v>5</v>
      </c>
      <c r="U61" s="28" t="s">
        <v>321</v>
      </c>
    </row>
    <row r="62" spans="14:21" x14ac:dyDescent="0.25">
      <c r="R62" s="28" t="s">
        <v>91</v>
      </c>
      <c r="S62" s="28" t="s">
        <v>100</v>
      </c>
      <c r="T62" s="27">
        <v>5</v>
      </c>
      <c r="U62" s="28" t="s">
        <v>321</v>
      </c>
    </row>
    <row r="63" spans="14:21" x14ac:dyDescent="0.25">
      <c r="R63" s="28" t="s">
        <v>91</v>
      </c>
      <c r="S63" s="28" t="s">
        <v>101</v>
      </c>
      <c r="T63" s="27">
        <v>5</v>
      </c>
      <c r="U63" s="28" t="s">
        <v>321</v>
      </c>
    </row>
    <row r="64" spans="14:21" x14ac:dyDescent="0.25">
      <c r="R64" s="28" t="s">
        <v>91</v>
      </c>
      <c r="S64" s="28" t="s">
        <v>88</v>
      </c>
      <c r="T64" s="27">
        <v>5</v>
      </c>
      <c r="U64" s="28" t="s">
        <v>321</v>
      </c>
    </row>
    <row r="65" spans="18:21" x14ac:dyDescent="0.25">
      <c r="R65" s="28" t="s">
        <v>92</v>
      </c>
      <c r="S65" s="28" t="s">
        <v>96</v>
      </c>
      <c r="T65" s="27">
        <v>5</v>
      </c>
      <c r="U65" s="28" t="s">
        <v>321</v>
      </c>
    </row>
    <row r="66" spans="18:21" x14ac:dyDescent="0.25">
      <c r="R66" s="28" t="s">
        <v>92</v>
      </c>
      <c r="S66" s="28" t="s">
        <v>97</v>
      </c>
      <c r="T66" s="27">
        <v>5</v>
      </c>
      <c r="U66" s="28" t="s">
        <v>321</v>
      </c>
    </row>
    <row r="67" spans="18:21" x14ac:dyDescent="0.25">
      <c r="R67" s="28" t="s">
        <v>92</v>
      </c>
      <c r="S67" s="28" t="s">
        <v>98</v>
      </c>
      <c r="T67" s="27">
        <v>5</v>
      </c>
      <c r="U67" s="28" t="s">
        <v>321</v>
      </c>
    </row>
    <row r="68" spans="18:21" x14ac:dyDescent="0.25">
      <c r="R68" s="28" t="s">
        <v>92</v>
      </c>
      <c r="S68" s="28" t="s">
        <v>99</v>
      </c>
      <c r="T68" s="27">
        <v>5</v>
      </c>
      <c r="U68" s="28" t="s">
        <v>321</v>
      </c>
    </row>
    <row r="69" spans="18:21" x14ac:dyDescent="0.25">
      <c r="R69" s="28" t="s">
        <v>92</v>
      </c>
      <c r="S69" s="28" t="s">
        <v>100</v>
      </c>
      <c r="T69" s="27">
        <v>5</v>
      </c>
      <c r="U69" s="28" t="s">
        <v>321</v>
      </c>
    </row>
    <row r="70" spans="18:21" x14ac:dyDescent="0.25">
      <c r="R70" s="28" t="s">
        <v>92</v>
      </c>
      <c r="S70" s="28" t="s">
        <v>101</v>
      </c>
      <c r="T70" s="27">
        <v>5</v>
      </c>
      <c r="U70" s="28" t="s">
        <v>321</v>
      </c>
    </row>
    <row r="71" spans="18:21" x14ac:dyDescent="0.25">
      <c r="R71" s="28" t="s">
        <v>92</v>
      </c>
      <c r="S71" s="28" t="s">
        <v>88</v>
      </c>
      <c r="T71" s="27">
        <v>5</v>
      </c>
      <c r="U71" s="28" t="s">
        <v>321</v>
      </c>
    </row>
    <row r="72" spans="18:21" x14ac:dyDescent="0.25">
      <c r="R72" s="28" t="s">
        <v>88</v>
      </c>
      <c r="S72" s="28" t="s">
        <v>96</v>
      </c>
      <c r="T72" s="27">
        <v>6</v>
      </c>
      <c r="U72" s="28" t="s">
        <v>321</v>
      </c>
    </row>
    <row r="73" spans="18:21" x14ac:dyDescent="0.25">
      <c r="R73" s="36" t="s">
        <v>88</v>
      </c>
      <c r="S73" s="36" t="s">
        <v>97</v>
      </c>
      <c r="T73" s="27">
        <v>6</v>
      </c>
      <c r="U73" s="28" t="s">
        <v>321</v>
      </c>
    </row>
    <row r="74" spans="18:21" x14ac:dyDescent="0.25">
      <c r="R74" s="28" t="s">
        <v>88</v>
      </c>
      <c r="S74" s="28" t="s">
        <v>98</v>
      </c>
      <c r="T74" s="27">
        <v>6</v>
      </c>
      <c r="U74" s="28" t="s">
        <v>321</v>
      </c>
    </row>
    <row r="75" spans="18:21" x14ac:dyDescent="0.25">
      <c r="R75" s="28" t="s">
        <v>88</v>
      </c>
      <c r="S75" s="28" t="s">
        <v>99</v>
      </c>
      <c r="T75" s="27">
        <v>6</v>
      </c>
      <c r="U75" s="28" t="s">
        <v>321</v>
      </c>
    </row>
    <row r="76" spans="18:21" x14ac:dyDescent="0.25">
      <c r="R76" s="28" t="s">
        <v>88</v>
      </c>
      <c r="S76" s="28" t="s">
        <v>100</v>
      </c>
      <c r="T76" s="27">
        <v>6</v>
      </c>
      <c r="U76" s="28" t="s">
        <v>321</v>
      </c>
    </row>
    <row r="77" spans="18:21" x14ac:dyDescent="0.25">
      <c r="R77" s="28" t="s">
        <v>88</v>
      </c>
      <c r="S77" s="28" t="s">
        <v>101</v>
      </c>
      <c r="T77" s="27">
        <v>6</v>
      </c>
      <c r="U77" s="28" t="s">
        <v>321</v>
      </c>
    </row>
    <row r="78" spans="18:21" x14ac:dyDescent="0.25">
      <c r="R78" s="28" t="s">
        <v>88</v>
      </c>
      <c r="S78" s="28" t="s">
        <v>88</v>
      </c>
      <c r="T78" s="27">
        <v>6</v>
      </c>
      <c r="U78" s="28" t="s">
        <v>321</v>
      </c>
    </row>
    <row r="79" spans="18:21" x14ac:dyDescent="0.25">
      <c r="R79" s="28" t="s">
        <v>89</v>
      </c>
      <c r="S79" s="28" t="s">
        <v>96</v>
      </c>
      <c r="T79" s="27">
        <v>6</v>
      </c>
      <c r="U79" s="28" t="s">
        <v>321</v>
      </c>
    </row>
    <row r="80" spans="18:21" x14ac:dyDescent="0.25">
      <c r="R80" s="28" t="s">
        <v>89</v>
      </c>
      <c r="S80" s="28" t="s">
        <v>97</v>
      </c>
      <c r="T80" s="27">
        <v>6</v>
      </c>
      <c r="U80" s="28" t="s">
        <v>321</v>
      </c>
    </row>
    <row r="81" spans="18:21" x14ac:dyDescent="0.25">
      <c r="R81" s="28" t="s">
        <v>89</v>
      </c>
      <c r="S81" s="28" t="s">
        <v>98</v>
      </c>
      <c r="T81" s="27">
        <v>6</v>
      </c>
      <c r="U81" s="28" t="s">
        <v>321</v>
      </c>
    </row>
    <row r="82" spans="18:21" x14ac:dyDescent="0.25">
      <c r="R82" s="28" t="s">
        <v>89</v>
      </c>
      <c r="S82" s="28" t="s">
        <v>99</v>
      </c>
      <c r="T82" s="27">
        <v>6</v>
      </c>
      <c r="U82" s="28" t="s">
        <v>321</v>
      </c>
    </row>
    <row r="83" spans="18:21" x14ac:dyDescent="0.25">
      <c r="R83" s="28" t="s">
        <v>89</v>
      </c>
      <c r="S83" s="28" t="s">
        <v>100</v>
      </c>
      <c r="T83" s="27">
        <v>6</v>
      </c>
      <c r="U83" s="28" t="s">
        <v>321</v>
      </c>
    </row>
    <row r="84" spans="18:21" x14ac:dyDescent="0.25">
      <c r="R84" s="28" t="s">
        <v>89</v>
      </c>
      <c r="S84" s="28" t="s">
        <v>101</v>
      </c>
      <c r="T84" s="27">
        <v>6</v>
      </c>
      <c r="U84" s="28" t="s">
        <v>321</v>
      </c>
    </row>
    <row r="85" spans="18:21" x14ac:dyDescent="0.25">
      <c r="R85" s="28" t="s">
        <v>89</v>
      </c>
      <c r="S85" s="28" t="s">
        <v>88</v>
      </c>
      <c r="T85" s="27">
        <v>6</v>
      </c>
      <c r="U85" s="28" t="s">
        <v>321</v>
      </c>
    </row>
    <row r="86" spans="18:21" x14ac:dyDescent="0.25">
      <c r="R86" s="28" t="s">
        <v>90</v>
      </c>
      <c r="S86" s="28" t="s">
        <v>96</v>
      </c>
      <c r="T86" s="27">
        <v>6</v>
      </c>
      <c r="U86" s="28" t="s">
        <v>321</v>
      </c>
    </row>
    <row r="87" spans="18:21" x14ac:dyDescent="0.25">
      <c r="R87" s="28" t="s">
        <v>90</v>
      </c>
      <c r="S87" s="28" t="s">
        <v>97</v>
      </c>
      <c r="T87" s="27">
        <v>6</v>
      </c>
      <c r="U87" s="28" t="s">
        <v>321</v>
      </c>
    </row>
    <row r="88" spans="18:21" x14ac:dyDescent="0.25">
      <c r="R88" s="28" t="s">
        <v>90</v>
      </c>
      <c r="S88" s="28" t="s">
        <v>98</v>
      </c>
      <c r="T88" s="27">
        <v>6</v>
      </c>
      <c r="U88" s="28" t="s">
        <v>321</v>
      </c>
    </row>
    <row r="89" spans="18:21" x14ac:dyDescent="0.25">
      <c r="R89" s="28" t="s">
        <v>90</v>
      </c>
      <c r="S89" s="28" t="s">
        <v>99</v>
      </c>
      <c r="T89" s="27">
        <v>6</v>
      </c>
      <c r="U89" s="28" t="s">
        <v>321</v>
      </c>
    </row>
    <row r="90" spans="18:21" x14ac:dyDescent="0.25">
      <c r="R90" s="28" t="s">
        <v>90</v>
      </c>
      <c r="S90" s="28" t="s">
        <v>100</v>
      </c>
      <c r="T90" s="27">
        <v>6</v>
      </c>
      <c r="U90" s="28" t="s">
        <v>321</v>
      </c>
    </row>
    <row r="91" spans="18:21" x14ac:dyDescent="0.25">
      <c r="R91" s="28" t="s">
        <v>90</v>
      </c>
      <c r="S91" s="28" t="s">
        <v>101</v>
      </c>
      <c r="T91" s="27">
        <v>6</v>
      </c>
      <c r="U91" s="28" t="s">
        <v>321</v>
      </c>
    </row>
    <row r="92" spans="18:21" x14ac:dyDescent="0.25">
      <c r="R92" s="28" t="s">
        <v>90</v>
      </c>
      <c r="S92" s="28" t="s">
        <v>88</v>
      </c>
      <c r="T92" s="27">
        <v>6</v>
      </c>
      <c r="U92" s="28" t="s">
        <v>321</v>
      </c>
    </row>
    <row r="93" spans="18:21" x14ac:dyDescent="0.25">
      <c r="R93" s="28" t="s">
        <v>91</v>
      </c>
      <c r="S93" s="28" t="s">
        <v>96</v>
      </c>
      <c r="T93" s="27">
        <v>6</v>
      </c>
      <c r="U93" s="28" t="s">
        <v>321</v>
      </c>
    </row>
    <row r="94" spans="18:21" x14ac:dyDescent="0.25">
      <c r="R94" s="28" t="s">
        <v>91</v>
      </c>
      <c r="S94" s="28" t="s">
        <v>97</v>
      </c>
      <c r="T94" s="27">
        <v>6</v>
      </c>
      <c r="U94" s="28" t="s">
        <v>321</v>
      </c>
    </row>
    <row r="95" spans="18:21" x14ac:dyDescent="0.25">
      <c r="R95" s="28" t="s">
        <v>91</v>
      </c>
      <c r="S95" s="28" t="s">
        <v>98</v>
      </c>
      <c r="T95" s="27">
        <v>6</v>
      </c>
      <c r="U95" s="28" t="s">
        <v>321</v>
      </c>
    </row>
    <row r="96" spans="18:21" x14ac:dyDescent="0.25">
      <c r="R96" s="28" t="s">
        <v>91</v>
      </c>
      <c r="S96" s="28" t="s">
        <v>99</v>
      </c>
      <c r="T96" s="27">
        <v>6</v>
      </c>
      <c r="U96" s="28" t="s">
        <v>321</v>
      </c>
    </row>
    <row r="97" spans="18:21" x14ac:dyDescent="0.25">
      <c r="R97" s="28" t="s">
        <v>91</v>
      </c>
      <c r="S97" s="28" t="s">
        <v>100</v>
      </c>
      <c r="T97" s="27">
        <v>6</v>
      </c>
      <c r="U97" s="28" t="s">
        <v>321</v>
      </c>
    </row>
    <row r="98" spans="18:21" x14ac:dyDescent="0.25">
      <c r="R98" s="28" t="s">
        <v>91</v>
      </c>
      <c r="S98" s="28" t="s">
        <v>101</v>
      </c>
      <c r="T98" s="27">
        <v>6</v>
      </c>
      <c r="U98" s="28" t="s">
        <v>321</v>
      </c>
    </row>
    <row r="99" spans="18:21" x14ac:dyDescent="0.25">
      <c r="R99" s="28" t="s">
        <v>91</v>
      </c>
      <c r="S99" s="28" t="s">
        <v>88</v>
      </c>
      <c r="T99" s="27">
        <v>6</v>
      </c>
      <c r="U99" s="28" t="s">
        <v>321</v>
      </c>
    </row>
    <row r="100" spans="18:21" x14ac:dyDescent="0.25">
      <c r="R100" s="28" t="s">
        <v>92</v>
      </c>
      <c r="S100" s="28" t="s">
        <v>96</v>
      </c>
      <c r="T100" s="27">
        <v>6</v>
      </c>
      <c r="U100" s="28" t="s">
        <v>321</v>
      </c>
    </row>
    <row r="101" spans="18:21" x14ac:dyDescent="0.25">
      <c r="R101" s="28" t="s">
        <v>92</v>
      </c>
      <c r="S101" s="28" t="s">
        <v>97</v>
      </c>
      <c r="T101" s="27">
        <v>6</v>
      </c>
      <c r="U101" s="28" t="s">
        <v>321</v>
      </c>
    </row>
    <row r="102" spans="18:21" x14ac:dyDescent="0.25">
      <c r="R102" s="28" t="s">
        <v>92</v>
      </c>
      <c r="S102" s="28" t="s">
        <v>98</v>
      </c>
      <c r="T102" s="27">
        <v>6</v>
      </c>
      <c r="U102" s="28" t="s">
        <v>321</v>
      </c>
    </row>
    <row r="103" spans="18:21" x14ac:dyDescent="0.25">
      <c r="R103" s="28" t="s">
        <v>92</v>
      </c>
      <c r="S103" s="28" t="s">
        <v>99</v>
      </c>
      <c r="T103" s="27">
        <v>6</v>
      </c>
      <c r="U103" s="28" t="s">
        <v>321</v>
      </c>
    </row>
    <row r="104" spans="18:21" x14ac:dyDescent="0.25">
      <c r="R104" s="28" t="s">
        <v>92</v>
      </c>
      <c r="S104" s="28" t="s">
        <v>100</v>
      </c>
      <c r="T104" s="27">
        <v>6</v>
      </c>
      <c r="U104" s="28" t="s">
        <v>321</v>
      </c>
    </row>
    <row r="105" spans="18:21" x14ac:dyDescent="0.25">
      <c r="R105" s="28" t="s">
        <v>92</v>
      </c>
      <c r="S105" s="28" t="s">
        <v>101</v>
      </c>
      <c r="T105" s="27">
        <v>6</v>
      </c>
      <c r="U105" s="28" t="s">
        <v>321</v>
      </c>
    </row>
    <row r="106" spans="18:21" x14ac:dyDescent="0.25">
      <c r="R106" s="28" t="s">
        <v>92</v>
      </c>
      <c r="S106" s="28" t="s">
        <v>88</v>
      </c>
      <c r="T106" s="27">
        <v>6</v>
      </c>
      <c r="U106" s="28" t="s">
        <v>321</v>
      </c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245</v>
      </c>
      <c r="C2">
        <v>10</v>
      </c>
      <c r="D2" t="s">
        <v>320</v>
      </c>
      <c r="E2" t="s">
        <v>14</v>
      </c>
      <c r="F2">
        <v>1.7270000000000001</v>
      </c>
      <c r="G2" t="s">
        <v>13</v>
      </c>
    </row>
    <row r="3" spans="1:7" x14ac:dyDescent="0.25">
      <c r="A3">
        <v>1</v>
      </c>
      <c r="B3" t="s">
        <v>245</v>
      </c>
      <c r="C3">
        <v>20</v>
      </c>
      <c r="D3" t="s">
        <v>93</v>
      </c>
      <c r="E3" t="s">
        <v>14</v>
      </c>
      <c r="F3">
        <v>134.72200000000001</v>
      </c>
      <c r="G3" t="s">
        <v>13</v>
      </c>
    </row>
    <row r="4" spans="1:7" x14ac:dyDescent="0.25">
      <c r="A4">
        <v>1</v>
      </c>
      <c r="B4" t="s">
        <v>245</v>
      </c>
      <c r="C4">
        <v>30</v>
      </c>
      <c r="D4" t="s">
        <v>16</v>
      </c>
      <c r="E4" t="s">
        <v>14</v>
      </c>
      <c r="F4">
        <v>36.271000000000001</v>
      </c>
      <c r="G4" t="s">
        <v>13</v>
      </c>
    </row>
    <row r="5" spans="1:7" x14ac:dyDescent="0.25">
      <c r="A5">
        <v>1</v>
      </c>
      <c r="B5" t="s">
        <v>245</v>
      </c>
      <c r="C5">
        <v>40</v>
      </c>
      <c r="D5" t="s">
        <v>318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245</v>
      </c>
      <c r="C6">
        <v>50</v>
      </c>
      <c r="D6" t="s">
        <v>102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245</v>
      </c>
      <c r="C7">
        <v>60</v>
      </c>
      <c r="D7" t="s">
        <v>315</v>
      </c>
      <c r="E7" t="s">
        <v>14</v>
      </c>
      <c r="F7">
        <v>5.3849999999999998</v>
      </c>
      <c r="G7" t="s">
        <v>13</v>
      </c>
    </row>
    <row r="8" spans="1:7" x14ac:dyDescent="0.25">
      <c r="A8">
        <v>1</v>
      </c>
      <c r="B8" t="s">
        <v>245</v>
      </c>
      <c r="C8">
        <v>70</v>
      </c>
      <c r="D8" t="s">
        <v>316</v>
      </c>
      <c r="E8" t="s">
        <v>14</v>
      </c>
      <c r="F8">
        <v>33.116999999999997</v>
      </c>
      <c r="G8" t="s">
        <v>13</v>
      </c>
    </row>
    <row r="9" spans="1:7" x14ac:dyDescent="0.25">
      <c r="A9">
        <v>1</v>
      </c>
      <c r="B9" t="s">
        <v>245</v>
      </c>
      <c r="C9">
        <v>80</v>
      </c>
      <c r="D9" t="s">
        <v>103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245</v>
      </c>
      <c r="C10">
        <v>90</v>
      </c>
      <c r="D10" t="s">
        <v>319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245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245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245</v>
      </c>
      <c r="C13">
        <v>120</v>
      </c>
      <c r="D13" t="s">
        <v>317</v>
      </c>
      <c r="E13" t="s">
        <v>12</v>
      </c>
      <c r="F13">
        <v>0.27</v>
      </c>
      <c r="G13" t="s">
        <v>13</v>
      </c>
    </row>
    <row r="14" spans="1:7" x14ac:dyDescent="0.25">
      <c r="A14">
        <v>1</v>
      </c>
      <c r="B14" t="s">
        <v>245</v>
      </c>
      <c r="C14">
        <v>130</v>
      </c>
      <c r="D14" t="s">
        <v>246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247</v>
      </c>
      <c r="C15">
        <v>10</v>
      </c>
      <c r="D15" t="s">
        <v>320</v>
      </c>
      <c r="E15" t="s">
        <v>14</v>
      </c>
      <c r="F15">
        <v>2.032</v>
      </c>
      <c r="G15" t="s">
        <v>13</v>
      </c>
    </row>
    <row r="16" spans="1:7" x14ac:dyDescent="0.25">
      <c r="A16">
        <v>2</v>
      </c>
      <c r="B16" t="s">
        <v>247</v>
      </c>
      <c r="C16">
        <v>20</v>
      </c>
      <c r="D16" t="s">
        <v>93</v>
      </c>
      <c r="E16" t="s">
        <v>14</v>
      </c>
      <c r="F16">
        <v>142.64599999999999</v>
      </c>
      <c r="G16" t="s">
        <v>13</v>
      </c>
    </row>
    <row r="17" spans="1:7" x14ac:dyDescent="0.25">
      <c r="A17">
        <v>2</v>
      </c>
      <c r="B17" t="s">
        <v>247</v>
      </c>
      <c r="C17">
        <v>30</v>
      </c>
      <c r="D17" t="s">
        <v>16</v>
      </c>
      <c r="E17" t="s">
        <v>14</v>
      </c>
      <c r="F17">
        <v>38.405000000000001</v>
      </c>
      <c r="G17" t="s">
        <v>13</v>
      </c>
    </row>
    <row r="18" spans="1:7" x14ac:dyDescent="0.25">
      <c r="A18">
        <v>2</v>
      </c>
      <c r="B18" t="s">
        <v>247</v>
      </c>
      <c r="C18">
        <v>40</v>
      </c>
      <c r="D18" t="s">
        <v>318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247</v>
      </c>
      <c r="C19">
        <v>50</v>
      </c>
      <c r="D19" t="s">
        <v>102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247</v>
      </c>
      <c r="C20">
        <v>60</v>
      </c>
      <c r="D20" t="s">
        <v>315</v>
      </c>
      <c r="E20" t="s">
        <v>14</v>
      </c>
      <c r="F20">
        <v>5.69</v>
      </c>
      <c r="G20" t="s">
        <v>13</v>
      </c>
    </row>
    <row r="21" spans="1:7" x14ac:dyDescent="0.25">
      <c r="A21">
        <v>2</v>
      </c>
      <c r="B21" t="s">
        <v>247</v>
      </c>
      <c r="C21">
        <v>70</v>
      </c>
      <c r="D21" t="s">
        <v>316</v>
      </c>
      <c r="E21" t="s">
        <v>14</v>
      </c>
      <c r="F21">
        <v>34.991</v>
      </c>
      <c r="G21" t="s">
        <v>13</v>
      </c>
    </row>
    <row r="22" spans="1:7" x14ac:dyDescent="0.25">
      <c r="A22">
        <v>2</v>
      </c>
      <c r="B22" t="s">
        <v>247</v>
      </c>
      <c r="C22">
        <v>80</v>
      </c>
      <c r="D22" t="s">
        <v>103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247</v>
      </c>
      <c r="C23">
        <v>90</v>
      </c>
      <c r="D23" t="s">
        <v>319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247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247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247</v>
      </c>
      <c r="C26">
        <v>120</v>
      </c>
      <c r="D26" t="s">
        <v>317</v>
      </c>
      <c r="E26" t="s">
        <v>12</v>
      </c>
      <c r="F26">
        <v>0.315</v>
      </c>
      <c r="G26" t="s">
        <v>13</v>
      </c>
    </row>
    <row r="27" spans="1:7" x14ac:dyDescent="0.25">
      <c r="A27">
        <v>2</v>
      </c>
      <c r="B27" t="s">
        <v>247</v>
      </c>
      <c r="C27">
        <v>130</v>
      </c>
      <c r="D27" t="s">
        <v>248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249</v>
      </c>
      <c r="C28">
        <v>10</v>
      </c>
      <c r="D28" t="s">
        <v>320</v>
      </c>
      <c r="E28" t="s">
        <v>14</v>
      </c>
      <c r="F28">
        <v>2.3370000000000002</v>
      </c>
      <c r="G28" t="s">
        <v>13</v>
      </c>
    </row>
    <row r="29" spans="1:7" x14ac:dyDescent="0.25">
      <c r="A29">
        <v>3</v>
      </c>
      <c r="B29" t="s">
        <v>249</v>
      </c>
      <c r="C29">
        <v>20</v>
      </c>
      <c r="D29" t="s">
        <v>93</v>
      </c>
      <c r="E29" t="s">
        <v>14</v>
      </c>
      <c r="F29">
        <v>150.571</v>
      </c>
      <c r="G29" t="s">
        <v>13</v>
      </c>
    </row>
    <row r="30" spans="1:7" x14ac:dyDescent="0.25">
      <c r="A30">
        <v>3</v>
      </c>
      <c r="B30" t="s">
        <v>249</v>
      </c>
      <c r="C30">
        <v>30</v>
      </c>
      <c r="D30" t="s">
        <v>16</v>
      </c>
      <c r="E30" t="s">
        <v>14</v>
      </c>
      <c r="F30">
        <v>40.537999999999997</v>
      </c>
      <c r="G30" t="s">
        <v>13</v>
      </c>
    </row>
    <row r="31" spans="1:7" x14ac:dyDescent="0.25">
      <c r="A31">
        <v>3</v>
      </c>
      <c r="B31" t="s">
        <v>249</v>
      </c>
      <c r="C31">
        <v>40</v>
      </c>
      <c r="D31" t="s">
        <v>318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249</v>
      </c>
      <c r="C32">
        <v>50</v>
      </c>
      <c r="D32" t="s">
        <v>102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249</v>
      </c>
      <c r="C33">
        <v>60</v>
      </c>
      <c r="D33" t="s">
        <v>315</v>
      </c>
      <c r="E33" t="s">
        <v>14</v>
      </c>
      <c r="F33">
        <v>5.9939999999999998</v>
      </c>
      <c r="G33" t="s">
        <v>13</v>
      </c>
    </row>
    <row r="34" spans="1:7" x14ac:dyDescent="0.25">
      <c r="A34">
        <v>3</v>
      </c>
      <c r="B34" t="s">
        <v>249</v>
      </c>
      <c r="C34">
        <v>70</v>
      </c>
      <c r="D34" t="s">
        <v>316</v>
      </c>
      <c r="E34" t="s">
        <v>14</v>
      </c>
      <c r="F34">
        <v>36.866</v>
      </c>
      <c r="G34" t="s">
        <v>13</v>
      </c>
    </row>
    <row r="35" spans="1:7" x14ac:dyDescent="0.25">
      <c r="A35">
        <v>3</v>
      </c>
      <c r="B35" t="s">
        <v>249</v>
      </c>
      <c r="C35">
        <v>80</v>
      </c>
      <c r="D35" t="s">
        <v>103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249</v>
      </c>
      <c r="C36">
        <v>90</v>
      </c>
      <c r="D36" t="s">
        <v>319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249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249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249</v>
      </c>
      <c r="C39">
        <v>120</v>
      </c>
      <c r="D39" t="s">
        <v>317</v>
      </c>
      <c r="E39" t="s">
        <v>12</v>
      </c>
      <c r="F39">
        <v>0.36</v>
      </c>
      <c r="G39" t="s">
        <v>13</v>
      </c>
    </row>
    <row r="40" spans="1:7" x14ac:dyDescent="0.25">
      <c r="A40">
        <v>3</v>
      </c>
      <c r="B40" t="s">
        <v>249</v>
      </c>
      <c r="C40">
        <v>130</v>
      </c>
      <c r="D40" t="s">
        <v>250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251</v>
      </c>
      <c r="C41">
        <v>10</v>
      </c>
      <c r="D41" t="s">
        <v>320</v>
      </c>
      <c r="E41" t="s">
        <v>14</v>
      </c>
      <c r="F41">
        <v>2.6419999999999999</v>
      </c>
      <c r="G41" t="s">
        <v>13</v>
      </c>
    </row>
    <row r="42" spans="1:7" x14ac:dyDescent="0.25">
      <c r="A42">
        <v>4</v>
      </c>
      <c r="B42" t="s">
        <v>251</v>
      </c>
      <c r="C42">
        <v>20</v>
      </c>
      <c r="D42" t="s">
        <v>93</v>
      </c>
      <c r="E42" t="s">
        <v>14</v>
      </c>
      <c r="F42">
        <v>158.49600000000001</v>
      </c>
      <c r="G42" t="s">
        <v>13</v>
      </c>
    </row>
    <row r="43" spans="1:7" x14ac:dyDescent="0.25">
      <c r="A43">
        <v>4</v>
      </c>
      <c r="B43" t="s">
        <v>251</v>
      </c>
      <c r="C43">
        <v>30</v>
      </c>
      <c r="D43" t="s">
        <v>16</v>
      </c>
      <c r="E43" t="s">
        <v>14</v>
      </c>
      <c r="F43">
        <v>42.671999999999997</v>
      </c>
      <c r="G43" t="s">
        <v>13</v>
      </c>
    </row>
    <row r="44" spans="1:7" x14ac:dyDescent="0.25">
      <c r="A44">
        <v>4</v>
      </c>
      <c r="B44" t="s">
        <v>251</v>
      </c>
      <c r="C44">
        <v>40</v>
      </c>
      <c r="D44" t="s">
        <v>318</v>
      </c>
      <c r="E44" t="s">
        <v>11</v>
      </c>
      <c r="F44">
        <v>1</v>
      </c>
      <c r="G44" t="s">
        <v>13</v>
      </c>
    </row>
    <row r="45" spans="1:7" x14ac:dyDescent="0.25">
      <c r="A45">
        <v>4</v>
      </c>
      <c r="B45" t="s">
        <v>251</v>
      </c>
      <c r="C45">
        <v>50</v>
      </c>
      <c r="D45" t="s">
        <v>102</v>
      </c>
      <c r="E45" t="s">
        <v>11</v>
      </c>
      <c r="F45">
        <v>1</v>
      </c>
      <c r="G45" t="s">
        <v>13</v>
      </c>
    </row>
    <row r="46" spans="1:7" x14ac:dyDescent="0.25">
      <c r="A46">
        <v>4</v>
      </c>
      <c r="B46" t="s">
        <v>251</v>
      </c>
      <c r="C46">
        <v>60</v>
      </c>
      <c r="D46" t="s">
        <v>315</v>
      </c>
      <c r="E46" t="s">
        <v>14</v>
      </c>
      <c r="F46">
        <v>6.2990000000000004</v>
      </c>
      <c r="G46" t="s">
        <v>13</v>
      </c>
    </row>
    <row r="47" spans="1:7" x14ac:dyDescent="0.25">
      <c r="A47">
        <v>4</v>
      </c>
      <c r="B47" t="s">
        <v>251</v>
      </c>
      <c r="C47">
        <v>70</v>
      </c>
      <c r="D47" t="s">
        <v>316</v>
      </c>
      <c r="E47" t="s">
        <v>14</v>
      </c>
      <c r="F47">
        <v>38.74</v>
      </c>
      <c r="G47" t="s">
        <v>13</v>
      </c>
    </row>
    <row r="48" spans="1:7" x14ac:dyDescent="0.25">
      <c r="A48">
        <v>4</v>
      </c>
      <c r="B48" t="s">
        <v>251</v>
      </c>
      <c r="C48">
        <v>80</v>
      </c>
      <c r="D48" t="s">
        <v>103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251</v>
      </c>
      <c r="C49">
        <v>90</v>
      </c>
      <c r="D49" t="s">
        <v>319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251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251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251</v>
      </c>
      <c r="C52">
        <v>120</v>
      </c>
      <c r="D52" t="s">
        <v>317</v>
      </c>
      <c r="E52" t="s">
        <v>12</v>
      </c>
      <c r="F52">
        <v>0.40500000000000003</v>
      </c>
      <c r="G52" t="s">
        <v>13</v>
      </c>
    </row>
    <row r="53" spans="1:7" x14ac:dyDescent="0.25">
      <c r="A53">
        <v>4</v>
      </c>
      <c r="B53" t="s">
        <v>251</v>
      </c>
      <c r="C53">
        <v>130</v>
      </c>
      <c r="D53" t="s">
        <v>252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253</v>
      </c>
      <c r="C54">
        <v>10</v>
      </c>
      <c r="D54" t="s">
        <v>320</v>
      </c>
      <c r="E54" t="s">
        <v>14</v>
      </c>
      <c r="F54">
        <v>3.2509999999999999</v>
      </c>
      <c r="G54" t="s">
        <v>13</v>
      </c>
    </row>
    <row r="55" spans="1:7" x14ac:dyDescent="0.25">
      <c r="A55">
        <v>5</v>
      </c>
      <c r="B55" t="s">
        <v>253</v>
      </c>
      <c r="C55">
        <v>20</v>
      </c>
      <c r="D55" t="s">
        <v>93</v>
      </c>
      <c r="E55" t="s">
        <v>14</v>
      </c>
      <c r="F55">
        <v>174.346</v>
      </c>
      <c r="G55" t="s">
        <v>13</v>
      </c>
    </row>
    <row r="56" spans="1:7" x14ac:dyDescent="0.25">
      <c r="A56">
        <v>5</v>
      </c>
      <c r="B56" t="s">
        <v>253</v>
      </c>
      <c r="C56">
        <v>30</v>
      </c>
      <c r="D56" t="s">
        <v>16</v>
      </c>
      <c r="E56" t="s">
        <v>14</v>
      </c>
      <c r="F56">
        <v>46.939</v>
      </c>
      <c r="G56" t="s">
        <v>13</v>
      </c>
    </row>
    <row r="57" spans="1:7" x14ac:dyDescent="0.25">
      <c r="A57">
        <v>5</v>
      </c>
      <c r="B57" t="s">
        <v>253</v>
      </c>
      <c r="C57">
        <v>40</v>
      </c>
      <c r="D57" t="s">
        <v>318</v>
      </c>
      <c r="E57" t="s">
        <v>11</v>
      </c>
      <c r="F57">
        <v>1</v>
      </c>
      <c r="G57" t="s">
        <v>13</v>
      </c>
    </row>
    <row r="58" spans="1:7" x14ac:dyDescent="0.25">
      <c r="A58">
        <v>5</v>
      </c>
      <c r="B58" t="s">
        <v>253</v>
      </c>
      <c r="C58">
        <v>50</v>
      </c>
      <c r="D58" t="s">
        <v>102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253</v>
      </c>
      <c r="C59">
        <v>60</v>
      </c>
      <c r="D59" t="s">
        <v>315</v>
      </c>
      <c r="E59" t="s">
        <v>14</v>
      </c>
      <c r="F59">
        <v>6.9089999999999998</v>
      </c>
      <c r="G59" t="s">
        <v>13</v>
      </c>
    </row>
    <row r="60" spans="1:7" x14ac:dyDescent="0.25">
      <c r="A60">
        <v>5</v>
      </c>
      <c r="B60" t="s">
        <v>253</v>
      </c>
      <c r="C60">
        <v>70</v>
      </c>
      <c r="D60" t="s">
        <v>316</v>
      </c>
      <c r="E60" t="s">
        <v>14</v>
      </c>
      <c r="F60">
        <v>42.488999999999997</v>
      </c>
      <c r="G60" t="s">
        <v>13</v>
      </c>
    </row>
    <row r="61" spans="1:7" x14ac:dyDescent="0.25">
      <c r="A61">
        <v>5</v>
      </c>
      <c r="B61" t="s">
        <v>253</v>
      </c>
      <c r="C61">
        <v>80</v>
      </c>
      <c r="D61" t="s">
        <v>103</v>
      </c>
      <c r="E61" t="s">
        <v>11</v>
      </c>
      <c r="F61">
        <v>1</v>
      </c>
      <c r="G61" t="s">
        <v>13</v>
      </c>
    </row>
    <row r="62" spans="1:7" x14ac:dyDescent="0.25">
      <c r="A62">
        <v>5</v>
      </c>
      <c r="B62" t="s">
        <v>253</v>
      </c>
      <c r="C62">
        <v>90</v>
      </c>
      <c r="D62" t="s">
        <v>319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253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253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253</v>
      </c>
      <c r="C65">
        <v>120</v>
      </c>
      <c r="D65" t="s">
        <v>317</v>
      </c>
      <c r="E65" t="s">
        <v>12</v>
      </c>
      <c r="F65">
        <v>0.495</v>
      </c>
      <c r="G65" t="s">
        <v>13</v>
      </c>
    </row>
    <row r="66" spans="1:7" x14ac:dyDescent="0.25">
      <c r="A66">
        <v>5</v>
      </c>
      <c r="B66" t="s">
        <v>253</v>
      </c>
      <c r="C66">
        <v>130</v>
      </c>
      <c r="D66" t="s">
        <v>254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255</v>
      </c>
      <c r="C67">
        <v>10</v>
      </c>
      <c r="D67" t="s">
        <v>320</v>
      </c>
      <c r="E67" t="s">
        <v>14</v>
      </c>
      <c r="F67">
        <v>3.556</v>
      </c>
      <c r="G67" t="s">
        <v>13</v>
      </c>
    </row>
    <row r="68" spans="1:7" x14ac:dyDescent="0.25">
      <c r="A68">
        <v>6</v>
      </c>
      <c r="B68" t="s">
        <v>255</v>
      </c>
      <c r="C68">
        <v>20</v>
      </c>
      <c r="D68" t="s">
        <v>93</v>
      </c>
      <c r="E68" t="s">
        <v>14</v>
      </c>
      <c r="F68">
        <v>182.27</v>
      </c>
      <c r="G68" t="s">
        <v>13</v>
      </c>
    </row>
    <row r="69" spans="1:7" x14ac:dyDescent="0.25">
      <c r="A69">
        <v>6</v>
      </c>
      <c r="B69" t="s">
        <v>255</v>
      </c>
      <c r="C69">
        <v>30</v>
      </c>
      <c r="D69" t="s">
        <v>16</v>
      </c>
      <c r="E69" t="s">
        <v>14</v>
      </c>
      <c r="F69">
        <v>49.073</v>
      </c>
      <c r="G69" t="s">
        <v>13</v>
      </c>
    </row>
    <row r="70" spans="1:7" x14ac:dyDescent="0.25">
      <c r="A70">
        <v>6</v>
      </c>
      <c r="B70" t="s">
        <v>255</v>
      </c>
      <c r="C70">
        <v>40</v>
      </c>
      <c r="D70" t="s">
        <v>318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255</v>
      </c>
      <c r="C71">
        <v>50</v>
      </c>
      <c r="D71" t="s">
        <v>102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255</v>
      </c>
      <c r="C72">
        <v>60</v>
      </c>
      <c r="D72" t="s">
        <v>315</v>
      </c>
      <c r="E72" t="s">
        <v>14</v>
      </c>
      <c r="F72">
        <v>7.2140000000000004</v>
      </c>
      <c r="G72" t="s">
        <v>13</v>
      </c>
    </row>
    <row r="73" spans="1:7" x14ac:dyDescent="0.25">
      <c r="A73">
        <v>6</v>
      </c>
      <c r="B73" t="s">
        <v>255</v>
      </c>
      <c r="C73">
        <v>70</v>
      </c>
      <c r="D73" t="s">
        <v>316</v>
      </c>
      <c r="E73" t="s">
        <v>14</v>
      </c>
      <c r="F73">
        <v>44.363999999999997</v>
      </c>
      <c r="G73" t="s">
        <v>13</v>
      </c>
    </row>
    <row r="74" spans="1:7" x14ac:dyDescent="0.25">
      <c r="A74">
        <v>6</v>
      </c>
      <c r="B74" t="s">
        <v>255</v>
      </c>
      <c r="C74">
        <v>80</v>
      </c>
      <c r="D74" t="s">
        <v>103</v>
      </c>
      <c r="E74" t="s">
        <v>11</v>
      </c>
      <c r="F74">
        <v>1</v>
      </c>
      <c r="G74" t="s">
        <v>13</v>
      </c>
    </row>
    <row r="75" spans="1:7" x14ac:dyDescent="0.25">
      <c r="A75">
        <v>6</v>
      </c>
      <c r="B75" t="s">
        <v>255</v>
      </c>
      <c r="C75">
        <v>90</v>
      </c>
      <c r="D75" t="s">
        <v>319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255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255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255</v>
      </c>
      <c r="C78">
        <v>120</v>
      </c>
      <c r="D78" t="s">
        <v>317</v>
      </c>
      <c r="E78" t="s">
        <v>12</v>
      </c>
      <c r="F78">
        <v>0.54</v>
      </c>
      <c r="G78" t="s">
        <v>13</v>
      </c>
    </row>
    <row r="79" spans="1:7" x14ac:dyDescent="0.25">
      <c r="A79">
        <v>6</v>
      </c>
      <c r="B79" t="s">
        <v>255</v>
      </c>
      <c r="C79">
        <v>130</v>
      </c>
      <c r="D79" t="s">
        <v>256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257</v>
      </c>
      <c r="C80">
        <v>10</v>
      </c>
      <c r="D80" t="s">
        <v>320</v>
      </c>
      <c r="E80" t="s">
        <v>14</v>
      </c>
      <c r="F80">
        <v>3.8610000000000002</v>
      </c>
      <c r="G80" t="s">
        <v>13</v>
      </c>
    </row>
    <row r="81" spans="1:7" x14ac:dyDescent="0.25">
      <c r="A81">
        <v>7</v>
      </c>
      <c r="B81" t="s">
        <v>257</v>
      </c>
      <c r="C81">
        <v>20</v>
      </c>
      <c r="D81" t="s">
        <v>93</v>
      </c>
      <c r="E81" t="s">
        <v>14</v>
      </c>
      <c r="F81">
        <v>190.19499999999999</v>
      </c>
      <c r="G81" t="s">
        <v>13</v>
      </c>
    </row>
    <row r="82" spans="1:7" x14ac:dyDescent="0.25">
      <c r="A82">
        <v>7</v>
      </c>
      <c r="B82" t="s">
        <v>257</v>
      </c>
      <c r="C82">
        <v>30</v>
      </c>
      <c r="D82" t="s">
        <v>16</v>
      </c>
      <c r="E82" t="s">
        <v>14</v>
      </c>
      <c r="F82">
        <v>51.206000000000003</v>
      </c>
      <c r="G82" t="s">
        <v>13</v>
      </c>
    </row>
    <row r="83" spans="1:7" x14ac:dyDescent="0.25">
      <c r="A83">
        <v>7</v>
      </c>
      <c r="B83" t="s">
        <v>257</v>
      </c>
      <c r="C83">
        <v>40</v>
      </c>
      <c r="D83" t="s">
        <v>318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257</v>
      </c>
      <c r="C84">
        <v>50</v>
      </c>
      <c r="D84" t="s">
        <v>102</v>
      </c>
      <c r="E84" t="s">
        <v>11</v>
      </c>
      <c r="F84">
        <v>1</v>
      </c>
      <c r="G84" t="s">
        <v>13</v>
      </c>
    </row>
    <row r="85" spans="1:7" x14ac:dyDescent="0.25">
      <c r="A85">
        <v>7</v>
      </c>
      <c r="B85" t="s">
        <v>257</v>
      </c>
      <c r="C85">
        <v>60</v>
      </c>
      <c r="D85" t="s">
        <v>315</v>
      </c>
      <c r="E85" t="s">
        <v>14</v>
      </c>
      <c r="F85">
        <v>7.5179999999999998</v>
      </c>
      <c r="G85" t="s">
        <v>13</v>
      </c>
    </row>
    <row r="86" spans="1:7" x14ac:dyDescent="0.25">
      <c r="A86">
        <v>7</v>
      </c>
      <c r="B86" t="s">
        <v>257</v>
      </c>
      <c r="C86">
        <v>70</v>
      </c>
      <c r="D86" t="s">
        <v>316</v>
      </c>
      <c r="E86" t="s">
        <v>14</v>
      </c>
      <c r="F86">
        <v>46.238</v>
      </c>
      <c r="G86" t="s">
        <v>13</v>
      </c>
    </row>
    <row r="87" spans="1:7" x14ac:dyDescent="0.25">
      <c r="A87">
        <v>7</v>
      </c>
      <c r="B87" t="s">
        <v>257</v>
      </c>
      <c r="C87">
        <v>80</v>
      </c>
      <c r="D87" t="s">
        <v>103</v>
      </c>
      <c r="E87" t="s">
        <v>11</v>
      </c>
      <c r="F87">
        <v>1</v>
      </c>
      <c r="G87" t="s">
        <v>13</v>
      </c>
    </row>
    <row r="88" spans="1:7" x14ac:dyDescent="0.25">
      <c r="A88">
        <v>7</v>
      </c>
      <c r="B88" t="s">
        <v>257</v>
      </c>
      <c r="C88">
        <v>90</v>
      </c>
      <c r="D88" t="s">
        <v>319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257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257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257</v>
      </c>
      <c r="C91">
        <v>120</v>
      </c>
      <c r="D91" t="s">
        <v>317</v>
      </c>
      <c r="E91" t="s">
        <v>12</v>
      </c>
      <c r="F91">
        <v>0.58599999999999997</v>
      </c>
      <c r="G91" t="s">
        <v>13</v>
      </c>
    </row>
    <row r="92" spans="1:7" x14ac:dyDescent="0.25">
      <c r="A92">
        <v>7</v>
      </c>
      <c r="B92" t="s">
        <v>257</v>
      </c>
      <c r="C92">
        <v>130</v>
      </c>
      <c r="D92" t="s">
        <v>258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259</v>
      </c>
      <c r="C93">
        <v>10</v>
      </c>
      <c r="D93" t="s">
        <v>320</v>
      </c>
      <c r="E93" t="s">
        <v>14</v>
      </c>
      <c r="F93">
        <v>1.7270000000000001</v>
      </c>
      <c r="G93" t="s">
        <v>13</v>
      </c>
    </row>
    <row r="94" spans="1:7" x14ac:dyDescent="0.25">
      <c r="A94">
        <v>8</v>
      </c>
      <c r="B94" t="s">
        <v>259</v>
      </c>
      <c r="C94">
        <v>20</v>
      </c>
      <c r="D94" t="s">
        <v>93</v>
      </c>
      <c r="E94" t="s">
        <v>14</v>
      </c>
      <c r="F94">
        <v>138.684</v>
      </c>
      <c r="G94" t="s">
        <v>13</v>
      </c>
    </row>
    <row r="95" spans="1:7" x14ac:dyDescent="0.25">
      <c r="A95">
        <v>8</v>
      </c>
      <c r="B95" t="s">
        <v>259</v>
      </c>
      <c r="C95">
        <v>30</v>
      </c>
      <c r="D95" t="s">
        <v>16</v>
      </c>
      <c r="E95" t="s">
        <v>14</v>
      </c>
      <c r="F95">
        <v>37.338000000000001</v>
      </c>
      <c r="G95" t="s">
        <v>13</v>
      </c>
    </row>
    <row r="96" spans="1:7" x14ac:dyDescent="0.25">
      <c r="A96">
        <v>8</v>
      </c>
      <c r="B96" t="s">
        <v>259</v>
      </c>
      <c r="C96">
        <v>40</v>
      </c>
      <c r="D96" t="s">
        <v>318</v>
      </c>
      <c r="E96" t="s">
        <v>11</v>
      </c>
      <c r="F96">
        <v>1</v>
      </c>
      <c r="G96" t="s">
        <v>13</v>
      </c>
    </row>
    <row r="97" spans="1:7" x14ac:dyDescent="0.25">
      <c r="A97">
        <v>8</v>
      </c>
      <c r="B97" t="s">
        <v>259</v>
      </c>
      <c r="C97">
        <v>50</v>
      </c>
      <c r="D97" t="s">
        <v>102</v>
      </c>
      <c r="E97" t="s">
        <v>11</v>
      </c>
      <c r="F97">
        <v>1</v>
      </c>
      <c r="G97" t="s">
        <v>13</v>
      </c>
    </row>
    <row r="98" spans="1:7" x14ac:dyDescent="0.25">
      <c r="A98">
        <v>8</v>
      </c>
      <c r="B98" t="s">
        <v>259</v>
      </c>
      <c r="C98">
        <v>60</v>
      </c>
      <c r="D98" t="s">
        <v>315</v>
      </c>
      <c r="E98" t="s">
        <v>14</v>
      </c>
      <c r="F98">
        <v>5.5369999999999999</v>
      </c>
      <c r="G98" t="s">
        <v>13</v>
      </c>
    </row>
    <row r="99" spans="1:7" x14ac:dyDescent="0.25">
      <c r="A99">
        <v>8</v>
      </c>
      <c r="B99" t="s">
        <v>259</v>
      </c>
      <c r="C99">
        <v>70</v>
      </c>
      <c r="D99" t="s">
        <v>316</v>
      </c>
      <c r="E99" t="s">
        <v>14</v>
      </c>
      <c r="F99">
        <v>34.054000000000002</v>
      </c>
      <c r="G99" t="s">
        <v>13</v>
      </c>
    </row>
    <row r="100" spans="1:7" x14ac:dyDescent="0.25">
      <c r="A100">
        <v>8</v>
      </c>
      <c r="B100" t="s">
        <v>259</v>
      </c>
      <c r="C100">
        <v>80</v>
      </c>
      <c r="D100" t="s">
        <v>103</v>
      </c>
      <c r="E100" t="s">
        <v>11</v>
      </c>
      <c r="F100">
        <v>1</v>
      </c>
      <c r="G100" t="s">
        <v>13</v>
      </c>
    </row>
    <row r="101" spans="1:7" x14ac:dyDescent="0.25">
      <c r="A101">
        <v>8</v>
      </c>
      <c r="B101" t="s">
        <v>259</v>
      </c>
      <c r="C101">
        <v>90</v>
      </c>
      <c r="D101" t="s">
        <v>319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259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259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259</v>
      </c>
      <c r="C104">
        <v>120</v>
      </c>
      <c r="D104" t="s">
        <v>317</v>
      </c>
      <c r="E104" t="s">
        <v>12</v>
      </c>
      <c r="F104">
        <v>0.27</v>
      </c>
      <c r="G104" t="s">
        <v>13</v>
      </c>
    </row>
    <row r="105" spans="1:7" x14ac:dyDescent="0.25">
      <c r="A105">
        <v>8</v>
      </c>
      <c r="B105" t="s">
        <v>259</v>
      </c>
      <c r="C105">
        <v>130</v>
      </c>
      <c r="D105" t="s">
        <v>260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261</v>
      </c>
      <c r="C106">
        <v>10</v>
      </c>
      <c r="D106" t="s">
        <v>320</v>
      </c>
      <c r="E106" t="s">
        <v>14</v>
      </c>
      <c r="F106">
        <v>2.032</v>
      </c>
      <c r="G106" t="s">
        <v>13</v>
      </c>
    </row>
    <row r="107" spans="1:7" x14ac:dyDescent="0.25">
      <c r="A107">
        <v>9</v>
      </c>
      <c r="B107" t="s">
        <v>261</v>
      </c>
      <c r="C107">
        <v>20</v>
      </c>
      <c r="D107" t="s">
        <v>93</v>
      </c>
      <c r="E107" t="s">
        <v>14</v>
      </c>
      <c r="F107">
        <v>146.60900000000001</v>
      </c>
      <c r="G107" t="s">
        <v>13</v>
      </c>
    </row>
    <row r="108" spans="1:7" x14ac:dyDescent="0.25">
      <c r="A108">
        <v>9</v>
      </c>
      <c r="B108" t="s">
        <v>261</v>
      </c>
      <c r="C108">
        <v>30</v>
      </c>
      <c r="D108" t="s">
        <v>16</v>
      </c>
      <c r="E108" t="s">
        <v>14</v>
      </c>
      <c r="F108">
        <v>39.472000000000001</v>
      </c>
      <c r="G108" t="s">
        <v>13</v>
      </c>
    </row>
    <row r="109" spans="1:7" x14ac:dyDescent="0.25">
      <c r="A109">
        <v>9</v>
      </c>
      <c r="B109" t="s">
        <v>261</v>
      </c>
      <c r="C109">
        <v>40</v>
      </c>
      <c r="D109" t="s">
        <v>318</v>
      </c>
      <c r="E109" t="s">
        <v>11</v>
      </c>
      <c r="F109">
        <v>1</v>
      </c>
      <c r="G109" t="s">
        <v>13</v>
      </c>
    </row>
    <row r="110" spans="1:7" x14ac:dyDescent="0.25">
      <c r="A110">
        <v>9</v>
      </c>
      <c r="B110" t="s">
        <v>261</v>
      </c>
      <c r="C110">
        <v>50</v>
      </c>
      <c r="D110" t="s">
        <v>102</v>
      </c>
      <c r="E110" t="s">
        <v>11</v>
      </c>
      <c r="F110">
        <v>1</v>
      </c>
      <c r="G110" t="s">
        <v>13</v>
      </c>
    </row>
    <row r="111" spans="1:7" x14ac:dyDescent="0.25">
      <c r="A111">
        <v>9</v>
      </c>
      <c r="B111" t="s">
        <v>261</v>
      </c>
      <c r="C111">
        <v>60</v>
      </c>
      <c r="D111" t="s">
        <v>315</v>
      </c>
      <c r="E111" t="s">
        <v>14</v>
      </c>
      <c r="F111">
        <v>5.8419999999999996</v>
      </c>
      <c r="G111" t="s">
        <v>13</v>
      </c>
    </row>
    <row r="112" spans="1:7" x14ac:dyDescent="0.25">
      <c r="A112">
        <v>9</v>
      </c>
      <c r="B112" t="s">
        <v>261</v>
      </c>
      <c r="C112">
        <v>70</v>
      </c>
      <c r="D112" t="s">
        <v>316</v>
      </c>
      <c r="E112" t="s">
        <v>14</v>
      </c>
      <c r="F112">
        <v>35.927999999999997</v>
      </c>
      <c r="G112" t="s">
        <v>13</v>
      </c>
    </row>
    <row r="113" spans="1:7" x14ac:dyDescent="0.25">
      <c r="A113">
        <v>9</v>
      </c>
      <c r="B113" t="s">
        <v>261</v>
      </c>
      <c r="C113">
        <v>80</v>
      </c>
      <c r="D113" t="s">
        <v>103</v>
      </c>
      <c r="E113" t="s">
        <v>11</v>
      </c>
      <c r="F113">
        <v>1</v>
      </c>
      <c r="G113" t="s">
        <v>13</v>
      </c>
    </row>
    <row r="114" spans="1:7" x14ac:dyDescent="0.25">
      <c r="A114">
        <v>9</v>
      </c>
      <c r="B114" t="s">
        <v>261</v>
      </c>
      <c r="C114">
        <v>90</v>
      </c>
      <c r="D114" t="s">
        <v>319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261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261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261</v>
      </c>
      <c r="C117">
        <v>120</v>
      </c>
      <c r="D117" t="s">
        <v>317</v>
      </c>
      <c r="E117" t="s">
        <v>12</v>
      </c>
      <c r="F117">
        <v>0.315</v>
      </c>
      <c r="G117" t="s">
        <v>13</v>
      </c>
    </row>
    <row r="118" spans="1:7" x14ac:dyDescent="0.25">
      <c r="A118">
        <v>9</v>
      </c>
      <c r="B118" t="s">
        <v>261</v>
      </c>
      <c r="C118">
        <v>130</v>
      </c>
      <c r="D118" t="s">
        <v>262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263</v>
      </c>
      <c r="C119">
        <v>10</v>
      </c>
      <c r="D119" t="s">
        <v>320</v>
      </c>
      <c r="E119" t="s">
        <v>14</v>
      </c>
      <c r="F119">
        <v>2.3370000000000002</v>
      </c>
      <c r="G119" t="s">
        <v>13</v>
      </c>
    </row>
    <row r="120" spans="1:7" x14ac:dyDescent="0.25">
      <c r="A120">
        <v>10</v>
      </c>
      <c r="B120" t="s">
        <v>263</v>
      </c>
      <c r="C120">
        <v>20</v>
      </c>
      <c r="D120" t="s">
        <v>93</v>
      </c>
      <c r="E120" t="s">
        <v>14</v>
      </c>
      <c r="F120">
        <v>154.53399999999999</v>
      </c>
      <c r="G120" t="s">
        <v>13</v>
      </c>
    </row>
    <row r="121" spans="1:7" x14ac:dyDescent="0.25">
      <c r="A121">
        <v>10</v>
      </c>
      <c r="B121" t="s">
        <v>263</v>
      </c>
      <c r="C121">
        <v>30</v>
      </c>
      <c r="D121" t="s">
        <v>16</v>
      </c>
      <c r="E121" t="s">
        <v>14</v>
      </c>
      <c r="F121">
        <v>41.604999999999997</v>
      </c>
      <c r="G121" t="s">
        <v>13</v>
      </c>
    </row>
    <row r="122" spans="1:7" x14ac:dyDescent="0.25">
      <c r="A122">
        <v>10</v>
      </c>
      <c r="B122" t="s">
        <v>263</v>
      </c>
      <c r="C122">
        <v>40</v>
      </c>
      <c r="D122" t="s">
        <v>318</v>
      </c>
      <c r="E122" t="s">
        <v>11</v>
      </c>
      <c r="F122">
        <v>1</v>
      </c>
      <c r="G122" t="s">
        <v>13</v>
      </c>
    </row>
    <row r="123" spans="1:7" x14ac:dyDescent="0.25">
      <c r="A123">
        <v>10</v>
      </c>
      <c r="B123" t="s">
        <v>263</v>
      </c>
      <c r="C123">
        <v>50</v>
      </c>
      <c r="D123" t="s">
        <v>102</v>
      </c>
      <c r="E123" t="s">
        <v>11</v>
      </c>
      <c r="F123">
        <v>1</v>
      </c>
      <c r="G123" t="s">
        <v>13</v>
      </c>
    </row>
    <row r="124" spans="1:7" x14ac:dyDescent="0.25">
      <c r="A124">
        <v>10</v>
      </c>
      <c r="B124" t="s">
        <v>263</v>
      </c>
      <c r="C124">
        <v>60</v>
      </c>
      <c r="D124" t="s">
        <v>315</v>
      </c>
      <c r="E124" t="s">
        <v>14</v>
      </c>
      <c r="F124">
        <v>6.1470000000000002</v>
      </c>
      <c r="G124" t="s">
        <v>13</v>
      </c>
    </row>
    <row r="125" spans="1:7" x14ac:dyDescent="0.25">
      <c r="A125">
        <v>10</v>
      </c>
      <c r="B125" t="s">
        <v>263</v>
      </c>
      <c r="C125">
        <v>70</v>
      </c>
      <c r="D125" t="s">
        <v>316</v>
      </c>
      <c r="E125" t="s">
        <v>14</v>
      </c>
      <c r="F125">
        <v>37.802999999999997</v>
      </c>
      <c r="G125" t="s">
        <v>13</v>
      </c>
    </row>
    <row r="126" spans="1:7" x14ac:dyDescent="0.25">
      <c r="A126">
        <v>10</v>
      </c>
      <c r="B126" t="s">
        <v>263</v>
      </c>
      <c r="C126">
        <v>80</v>
      </c>
      <c r="D126" t="s">
        <v>103</v>
      </c>
      <c r="E126" t="s">
        <v>11</v>
      </c>
      <c r="F126">
        <v>1</v>
      </c>
      <c r="G126" t="s">
        <v>13</v>
      </c>
    </row>
    <row r="127" spans="1:7" x14ac:dyDescent="0.25">
      <c r="A127">
        <v>10</v>
      </c>
      <c r="B127" t="s">
        <v>263</v>
      </c>
      <c r="C127">
        <v>90</v>
      </c>
      <c r="D127" t="s">
        <v>319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263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263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263</v>
      </c>
      <c r="C130">
        <v>120</v>
      </c>
      <c r="D130" t="s">
        <v>317</v>
      </c>
      <c r="E130" t="s">
        <v>12</v>
      </c>
      <c r="F130">
        <v>0.36</v>
      </c>
      <c r="G130" t="s">
        <v>13</v>
      </c>
    </row>
    <row r="131" spans="1:7" x14ac:dyDescent="0.25">
      <c r="A131">
        <v>10</v>
      </c>
      <c r="B131" t="s">
        <v>263</v>
      </c>
      <c r="C131">
        <v>130</v>
      </c>
      <c r="D131" t="s">
        <v>264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265</v>
      </c>
      <c r="C132">
        <v>10</v>
      </c>
      <c r="D132" t="s">
        <v>320</v>
      </c>
      <c r="E132" t="s">
        <v>14</v>
      </c>
      <c r="F132">
        <v>2.6419999999999999</v>
      </c>
      <c r="G132" t="s">
        <v>13</v>
      </c>
    </row>
    <row r="133" spans="1:7" x14ac:dyDescent="0.25">
      <c r="A133">
        <v>11</v>
      </c>
      <c r="B133" t="s">
        <v>265</v>
      </c>
      <c r="C133">
        <v>20</v>
      </c>
      <c r="D133" t="s">
        <v>93</v>
      </c>
      <c r="E133" t="s">
        <v>14</v>
      </c>
      <c r="F133">
        <v>162.458</v>
      </c>
      <c r="G133" t="s">
        <v>13</v>
      </c>
    </row>
    <row r="134" spans="1:7" x14ac:dyDescent="0.25">
      <c r="A134">
        <v>11</v>
      </c>
      <c r="B134" t="s">
        <v>265</v>
      </c>
      <c r="C134">
        <v>30</v>
      </c>
      <c r="D134" t="s">
        <v>16</v>
      </c>
      <c r="E134" t="s">
        <v>14</v>
      </c>
      <c r="F134">
        <v>43.738999999999997</v>
      </c>
      <c r="G134" t="s">
        <v>13</v>
      </c>
    </row>
    <row r="135" spans="1:7" x14ac:dyDescent="0.25">
      <c r="A135">
        <v>11</v>
      </c>
      <c r="B135" t="s">
        <v>265</v>
      </c>
      <c r="C135">
        <v>40</v>
      </c>
      <c r="D135" t="s">
        <v>318</v>
      </c>
      <c r="E135" t="s">
        <v>11</v>
      </c>
      <c r="F135">
        <v>1</v>
      </c>
      <c r="G135" t="s">
        <v>13</v>
      </c>
    </row>
    <row r="136" spans="1:7" x14ac:dyDescent="0.25">
      <c r="A136">
        <v>11</v>
      </c>
      <c r="B136" t="s">
        <v>265</v>
      </c>
      <c r="C136">
        <v>50</v>
      </c>
      <c r="D136" t="s">
        <v>102</v>
      </c>
      <c r="E136" t="s">
        <v>11</v>
      </c>
      <c r="F136">
        <v>1</v>
      </c>
      <c r="G136" t="s">
        <v>13</v>
      </c>
    </row>
    <row r="137" spans="1:7" x14ac:dyDescent="0.25">
      <c r="A137">
        <v>11</v>
      </c>
      <c r="B137" t="s">
        <v>265</v>
      </c>
      <c r="C137">
        <v>60</v>
      </c>
      <c r="D137" t="s">
        <v>315</v>
      </c>
      <c r="E137" t="s">
        <v>14</v>
      </c>
      <c r="F137">
        <v>6.452</v>
      </c>
      <c r="G137" t="s">
        <v>13</v>
      </c>
    </row>
    <row r="138" spans="1:7" x14ac:dyDescent="0.25">
      <c r="A138">
        <v>11</v>
      </c>
      <c r="B138" t="s">
        <v>265</v>
      </c>
      <c r="C138">
        <v>70</v>
      </c>
      <c r="D138" t="s">
        <v>316</v>
      </c>
      <c r="E138" t="s">
        <v>14</v>
      </c>
      <c r="F138">
        <v>39.677</v>
      </c>
      <c r="G138" t="s">
        <v>13</v>
      </c>
    </row>
    <row r="139" spans="1:7" x14ac:dyDescent="0.25">
      <c r="A139">
        <v>11</v>
      </c>
      <c r="B139" t="s">
        <v>265</v>
      </c>
      <c r="C139">
        <v>80</v>
      </c>
      <c r="D139" t="s">
        <v>103</v>
      </c>
      <c r="E139" t="s">
        <v>11</v>
      </c>
      <c r="F139">
        <v>1</v>
      </c>
      <c r="G139" t="s">
        <v>13</v>
      </c>
    </row>
    <row r="140" spans="1:7" x14ac:dyDescent="0.25">
      <c r="A140">
        <v>11</v>
      </c>
      <c r="B140" t="s">
        <v>265</v>
      </c>
      <c r="C140">
        <v>90</v>
      </c>
      <c r="D140" t="s">
        <v>319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265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265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265</v>
      </c>
      <c r="C143">
        <v>120</v>
      </c>
      <c r="D143" t="s">
        <v>317</v>
      </c>
      <c r="E143" t="s">
        <v>12</v>
      </c>
      <c r="F143">
        <v>0.40500000000000003</v>
      </c>
      <c r="G143" t="s">
        <v>13</v>
      </c>
    </row>
    <row r="144" spans="1:7" x14ac:dyDescent="0.25">
      <c r="A144">
        <v>11</v>
      </c>
      <c r="B144" t="s">
        <v>265</v>
      </c>
      <c r="C144">
        <v>130</v>
      </c>
      <c r="D144" t="s">
        <v>266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267</v>
      </c>
      <c r="C145">
        <v>10</v>
      </c>
      <c r="D145" t="s">
        <v>320</v>
      </c>
      <c r="E145" t="s">
        <v>14</v>
      </c>
      <c r="F145">
        <v>3.2509999999999999</v>
      </c>
      <c r="G145" t="s">
        <v>13</v>
      </c>
    </row>
    <row r="146" spans="1:7" x14ac:dyDescent="0.25">
      <c r="A146">
        <v>12</v>
      </c>
      <c r="B146" t="s">
        <v>267</v>
      </c>
      <c r="C146">
        <v>20</v>
      </c>
      <c r="D146" t="s">
        <v>93</v>
      </c>
      <c r="E146" t="s">
        <v>14</v>
      </c>
      <c r="F146">
        <v>178.30799999999999</v>
      </c>
      <c r="G146" t="s">
        <v>13</v>
      </c>
    </row>
    <row r="147" spans="1:7" x14ac:dyDescent="0.25">
      <c r="A147">
        <v>12</v>
      </c>
      <c r="B147" t="s">
        <v>267</v>
      </c>
      <c r="C147">
        <v>30</v>
      </c>
      <c r="D147" t="s">
        <v>16</v>
      </c>
      <c r="E147" t="s">
        <v>14</v>
      </c>
      <c r="F147">
        <v>48.006</v>
      </c>
      <c r="G147" t="s">
        <v>13</v>
      </c>
    </row>
    <row r="148" spans="1:7" x14ac:dyDescent="0.25">
      <c r="A148">
        <v>12</v>
      </c>
      <c r="B148" t="s">
        <v>267</v>
      </c>
      <c r="C148">
        <v>40</v>
      </c>
      <c r="D148" t="s">
        <v>318</v>
      </c>
      <c r="E148" t="s">
        <v>11</v>
      </c>
      <c r="F148">
        <v>1</v>
      </c>
      <c r="G148" t="s">
        <v>13</v>
      </c>
    </row>
    <row r="149" spans="1:7" x14ac:dyDescent="0.25">
      <c r="A149">
        <v>12</v>
      </c>
      <c r="B149" t="s">
        <v>267</v>
      </c>
      <c r="C149">
        <v>50</v>
      </c>
      <c r="D149" t="s">
        <v>102</v>
      </c>
      <c r="E149" t="s">
        <v>11</v>
      </c>
      <c r="F149">
        <v>1</v>
      </c>
      <c r="G149" t="s">
        <v>13</v>
      </c>
    </row>
    <row r="150" spans="1:7" x14ac:dyDescent="0.25">
      <c r="A150">
        <v>12</v>
      </c>
      <c r="B150" t="s">
        <v>267</v>
      </c>
      <c r="C150">
        <v>60</v>
      </c>
      <c r="D150" t="s">
        <v>315</v>
      </c>
      <c r="E150" t="s">
        <v>14</v>
      </c>
      <c r="F150">
        <v>7.0609999999999999</v>
      </c>
      <c r="G150" t="s">
        <v>13</v>
      </c>
    </row>
    <row r="151" spans="1:7" x14ac:dyDescent="0.25">
      <c r="A151">
        <v>12</v>
      </c>
      <c r="B151" t="s">
        <v>267</v>
      </c>
      <c r="C151">
        <v>70</v>
      </c>
      <c r="D151" t="s">
        <v>316</v>
      </c>
      <c r="E151" t="s">
        <v>14</v>
      </c>
      <c r="F151">
        <v>43.426000000000002</v>
      </c>
      <c r="G151" t="s">
        <v>13</v>
      </c>
    </row>
    <row r="152" spans="1:7" x14ac:dyDescent="0.25">
      <c r="A152">
        <v>12</v>
      </c>
      <c r="B152" t="s">
        <v>267</v>
      </c>
      <c r="C152">
        <v>80</v>
      </c>
      <c r="D152" t="s">
        <v>103</v>
      </c>
      <c r="E152" t="s">
        <v>11</v>
      </c>
      <c r="F152">
        <v>1</v>
      </c>
      <c r="G152" t="s">
        <v>13</v>
      </c>
    </row>
    <row r="153" spans="1:7" x14ac:dyDescent="0.25">
      <c r="A153">
        <v>12</v>
      </c>
      <c r="B153" t="s">
        <v>267</v>
      </c>
      <c r="C153">
        <v>90</v>
      </c>
      <c r="D153" t="s">
        <v>319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267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267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267</v>
      </c>
      <c r="C156">
        <v>120</v>
      </c>
      <c r="D156" t="s">
        <v>317</v>
      </c>
      <c r="E156" t="s">
        <v>12</v>
      </c>
      <c r="F156">
        <v>0.495</v>
      </c>
      <c r="G156" t="s">
        <v>13</v>
      </c>
    </row>
    <row r="157" spans="1:7" x14ac:dyDescent="0.25">
      <c r="A157">
        <v>12</v>
      </c>
      <c r="B157" t="s">
        <v>267</v>
      </c>
      <c r="C157">
        <v>130</v>
      </c>
      <c r="D157" t="s">
        <v>268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269</v>
      </c>
      <c r="C158">
        <v>10</v>
      </c>
      <c r="D158" t="s">
        <v>320</v>
      </c>
      <c r="E158" t="s">
        <v>14</v>
      </c>
      <c r="F158">
        <v>3.556</v>
      </c>
      <c r="G158" t="s">
        <v>13</v>
      </c>
    </row>
    <row r="159" spans="1:7" x14ac:dyDescent="0.25">
      <c r="A159">
        <v>13</v>
      </c>
      <c r="B159" t="s">
        <v>269</v>
      </c>
      <c r="C159">
        <v>20</v>
      </c>
      <c r="D159" t="s">
        <v>93</v>
      </c>
      <c r="E159" t="s">
        <v>14</v>
      </c>
      <c r="F159">
        <v>186.233</v>
      </c>
      <c r="G159" t="s">
        <v>13</v>
      </c>
    </row>
    <row r="160" spans="1:7" x14ac:dyDescent="0.25">
      <c r="A160">
        <v>13</v>
      </c>
      <c r="B160" t="s">
        <v>269</v>
      </c>
      <c r="C160">
        <v>30</v>
      </c>
      <c r="D160" t="s">
        <v>16</v>
      </c>
      <c r="E160" t="s">
        <v>14</v>
      </c>
      <c r="F160">
        <v>50.14</v>
      </c>
      <c r="G160" t="s">
        <v>13</v>
      </c>
    </row>
    <row r="161" spans="1:7" x14ac:dyDescent="0.25">
      <c r="A161">
        <v>13</v>
      </c>
      <c r="B161" t="s">
        <v>269</v>
      </c>
      <c r="C161">
        <v>40</v>
      </c>
      <c r="D161" t="s">
        <v>318</v>
      </c>
      <c r="E161" t="s">
        <v>11</v>
      </c>
      <c r="F161">
        <v>1</v>
      </c>
      <c r="G161" t="s">
        <v>13</v>
      </c>
    </row>
    <row r="162" spans="1:7" x14ac:dyDescent="0.25">
      <c r="A162">
        <v>13</v>
      </c>
      <c r="B162" t="s">
        <v>269</v>
      </c>
      <c r="C162">
        <v>50</v>
      </c>
      <c r="D162" t="s">
        <v>102</v>
      </c>
      <c r="E162" t="s">
        <v>11</v>
      </c>
      <c r="F162">
        <v>1</v>
      </c>
      <c r="G162" t="s">
        <v>13</v>
      </c>
    </row>
    <row r="163" spans="1:7" x14ac:dyDescent="0.25">
      <c r="A163">
        <v>13</v>
      </c>
      <c r="B163" t="s">
        <v>269</v>
      </c>
      <c r="C163">
        <v>60</v>
      </c>
      <c r="D163" t="s">
        <v>315</v>
      </c>
      <c r="E163" t="s">
        <v>14</v>
      </c>
      <c r="F163">
        <v>7.3659999999999997</v>
      </c>
      <c r="G163" t="s">
        <v>13</v>
      </c>
    </row>
    <row r="164" spans="1:7" x14ac:dyDescent="0.25">
      <c r="A164">
        <v>13</v>
      </c>
      <c r="B164" t="s">
        <v>269</v>
      </c>
      <c r="C164">
        <v>70</v>
      </c>
      <c r="D164" t="s">
        <v>316</v>
      </c>
      <c r="E164" t="s">
        <v>14</v>
      </c>
      <c r="F164">
        <v>45.301000000000002</v>
      </c>
      <c r="G164" t="s">
        <v>13</v>
      </c>
    </row>
    <row r="165" spans="1:7" x14ac:dyDescent="0.25">
      <c r="A165">
        <v>13</v>
      </c>
      <c r="B165" t="s">
        <v>269</v>
      </c>
      <c r="C165">
        <v>80</v>
      </c>
      <c r="D165" t="s">
        <v>103</v>
      </c>
      <c r="E165" t="s">
        <v>11</v>
      </c>
      <c r="F165">
        <v>1</v>
      </c>
      <c r="G165" t="s">
        <v>13</v>
      </c>
    </row>
    <row r="166" spans="1:7" x14ac:dyDescent="0.25">
      <c r="A166">
        <v>13</v>
      </c>
      <c r="B166" t="s">
        <v>269</v>
      </c>
      <c r="C166">
        <v>90</v>
      </c>
      <c r="D166" t="s">
        <v>319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269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269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269</v>
      </c>
      <c r="C169">
        <v>120</v>
      </c>
      <c r="D169" t="s">
        <v>317</v>
      </c>
      <c r="E169" t="s">
        <v>12</v>
      </c>
      <c r="F169">
        <v>0.54</v>
      </c>
      <c r="G169" t="s">
        <v>13</v>
      </c>
    </row>
    <row r="170" spans="1:7" x14ac:dyDescent="0.25">
      <c r="A170">
        <v>13</v>
      </c>
      <c r="B170" t="s">
        <v>269</v>
      </c>
      <c r="C170">
        <v>130</v>
      </c>
      <c r="D170" t="s">
        <v>270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271</v>
      </c>
      <c r="C171">
        <v>10</v>
      </c>
      <c r="D171" t="s">
        <v>320</v>
      </c>
      <c r="E171" t="s">
        <v>14</v>
      </c>
      <c r="F171">
        <v>3.8610000000000002</v>
      </c>
      <c r="G171" t="s">
        <v>13</v>
      </c>
    </row>
    <row r="172" spans="1:7" x14ac:dyDescent="0.25">
      <c r="A172">
        <v>14</v>
      </c>
      <c r="B172" t="s">
        <v>271</v>
      </c>
      <c r="C172">
        <v>20</v>
      </c>
      <c r="D172" t="s">
        <v>93</v>
      </c>
      <c r="E172" t="s">
        <v>14</v>
      </c>
      <c r="F172">
        <v>194.15799999999999</v>
      </c>
      <c r="G172" t="s">
        <v>13</v>
      </c>
    </row>
    <row r="173" spans="1:7" x14ac:dyDescent="0.25">
      <c r="A173">
        <v>14</v>
      </c>
      <c r="B173" t="s">
        <v>271</v>
      </c>
      <c r="C173">
        <v>30</v>
      </c>
      <c r="D173" t="s">
        <v>16</v>
      </c>
      <c r="E173" t="s">
        <v>14</v>
      </c>
      <c r="F173">
        <v>52.273000000000003</v>
      </c>
      <c r="G173" t="s">
        <v>13</v>
      </c>
    </row>
    <row r="174" spans="1:7" x14ac:dyDescent="0.25">
      <c r="A174">
        <v>14</v>
      </c>
      <c r="B174" t="s">
        <v>271</v>
      </c>
      <c r="C174">
        <v>40</v>
      </c>
      <c r="D174" t="s">
        <v>318</v>
      </c>
      <c r="E174" t="s">
        <v>11</v>
      </c>
      <c r="F174">
        <v>1</v>
      </c>
      <c r="G174" t="s">
        <v>13</v>
      </c>
    </row>
    <row r="175" spans="1:7" x14ac:dyDescent="0.25">
      <c r="A175">
        <v>14</v>
      </c>
      <c r="B175" t="s">
        <v>271</v>
      </c>
      <c r="C175">
        <v>50</v>
      </c>
      <c r="D175" t="s">
        <v>102</v>
      </c>
      <c r="E175" t="s">
        <v>11</v>
      </c>
      <c r="F175">
        <v>1</v>
      </c>
      <c r="G175" t="s">
        <v>13</v>
      </c>
    </row>
    <row r="176" spans="1:7" x14ac:dyDescent="0.25">
      <c r="A176">
        <v>14</v>
      </c>
      <c r="B176" t="s">
        <v>271</v>
      </c>
      <c r="C176">
        <v>60</v>
      </c>
      <c r="D176" t="s">
        <v>315</v>
      </c>
      <c r="E176" t="s">
        <v>14</v>
      </c>
      <c r="F176">
        <v>7.6710000000000003</v>
      </c>
      <c r="G176" t="s">
        <v>13</v>
      </c>
    </row>
    <row r="177" spans="1:7" x14ac:dyDescent="0.25">
      <c r="A177">
        <v>14</v>
      </c>
      <c r="B177" t="s">
        <v>271</v>
      </c>
      <c r="C177">
        <v>70</v>
      </c>
      <c r="D177" t="s">
        <v>316</v>
      </c>
      <c r="E177" t="s">
        <v>14</v>
      </c>
      <c r="F177">
        <v>47.174999999999997</v>
      </c>
      <c r="G177" t="s">
        <v>13</v>
      </c>
    </row>
    <row r="178" spans="1:7" x14ac:dyDescent="0.25">
      <c r="A178">
        <v>14</v>
      </c>
      <c r="B178" t="s">
        <v>271</v>
      </c>
      <c r="C178">
        <v>80</v>
      </c>
      <c r="D178" t="s">
        <v>103</v>
      </c>
      <c r="E178" t="s">
        <v>11</v>
      </c>
      <c r="F178">
        <v>1</v>
      </c>
      <c r="G178" t="s">
        <v>13</v>
      </c>
    </row>
    <row r="179" spans="1:7" x14ac:dyDescent="0.25">
      <c r="A179">
        <v>14</v>
      </c>
      <c r="B179" t="s">
        <v>271</v>
      </c>
      <c r="C179">
        <v>90</v>
      </c>
      <c r="D179" t="s">
        <v>319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271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271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271</v>
      </c>
      <c r="C182">
        <v>120</v>
      </c>
      <c r="D182" t="s">
        <v>317</v>
      </c>
      <c r="E182" t="s">
        <v>12</v>
      </c>
      <c r="F182">
        <v>0.58599999999999997</v>
      </c>
      <c r="G182" t="s">
        <v>13</v>
      </c>
    </row>
    <row r="183" spans="1:7" x14ac:dyDescent="0.25">
      <c r="A183">
        <v>14</v>
      </c>
      <c r="B183" t="s">
        <v>271</v>
      </c>
      <c r="C183">
        <v>130</v>
      </c>
      <c r="D183" t="s">
        <v>272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273</v>
      </c>
      <c r="C184">
        <v>10</v>
      </c>
      <c r="D184" t="s">
        <v>320</v>
      </c>
      <c r="E184" t="s">
        <v>14</v>
      </c>
      <c r="F184">
        <v>1.7270000000000001</v>
      </c>
      <c r="G184" t="s">
        <v>13</v>
      </c>
    </row>
    <row r="185" spans="1:7" x14ac:dyDescent="0.25">
      <c r="A185">
        <v>15</v>
      </c>
      <c r="B185" t="s">
        <v>273</v>
      </c>
      <c r="C185">
        <v>20</v>
      </c>
      <c r="D185" t="s">
        <v>93</v>
      </c>
      <c r="E185" t="s">
        <v>14</v>
      </c>
      <c r="F185">
        <v>142.64599999999999</v>
      </c>
      <c r="G185" t="s">
        <v>13</v>
      </c>
    </row>
    <row r="186" spans="1:7" x14ac:dyDescent="0.25">
      <c r="A186">
        <v>15</v>
      </c>
      <c r="B186" t="s">
        <v>273</v>
      </c>
      <c r="C186">
        <v>30</v>
      </c>
      <c r="D186" t="s">
        <v>16</v>
      </c>
      <c r="E186" t="s">
        <v>14</v>
      </c>
      <c r="F186">
        <v>38.405000000000001</v>
      </c>
      <c r="G186" t="s">
        <v>13</v>
      </c>
    </row>
    <row r="187" spans="1:7" x14ac:dyDescent="0.25">
      <c r="A187">
        <v>15</v>
      </c>
      <c r="B187" t="s">
        <v>273</v>
      </c>
      <c r="C187">
        <v>40</v>
      </c>
      <c r="D187" t="s">
        <v>318</v>
      </c>
      <c r="E187" t="s">
        <v>11</v>
      </c>
      <c r="F187">
        <v>1</v>
      </c>
      <c r="G187" t="s">
        <v>13</v>
      </c>
    </row>
    <row r="188" spans="1:7" x14ac:dyDescent="0.25">
      <c r="A188">
        <v>15</v>
      </c>
      <c r="B188" t="s">
        <v>273</v>
      </c>
      <c r="C188">
        <v>50</v>
      </c>
      <c r="D188" t="s">
        <v>102</v>
      </c>
      <c r="E188" t="s">
        <v>11</v>
      </c>
      <c r="F188">
        <v>1</v>
      </c>
      <c r="G188" t="s">
        <v>13</v>
      </c>
    </row>
    <row r="189" spans="1:7" x14ac:dyDescent="0.25">
      <c r="A189">
        <v>15</v>
      </c>
      <c r="B189" t="s">
        <v>273</v>
      </c>
      <c r="C189">
        <v>60</v>
      </c>
      <c r="D189" t="s">
        <v>315</v>
      </c>
      <c r="E189" t="s">
        <v>14</v>
      </c>
      <c r="F189">
        <v>5.69</v>
      </c>
      <c r="G189" t="s">
        <v>13</v>
      </c>
    </row>
    <row r="190" spans="1:7" x14ac:dyDescent="0.25">
      <c r="A190">
        <v>15</v>
      </c>
      <c r="B190" t="s">
        <v>273</v>
      </c>
      <c r="C190">
        <v>70</v>
      </c>
      <c r="D190" t="s">
        <v>316</v>
      </c>
      <c r="E190" t="s">
        <v>14</v>
      </c>
      <c r="F190">
        <v>34.991</v>
      </c>
      <c r="G190" t="s">
        <v>13</v>
      </c>
    </row>
    <row r="191" spans="1:7" x14ac:dyDescent="0.25">
      <c r="A191">
        <v>15</v>
      </c>
      <c r="B191" t="s">
        <v>273</v>
      </c>
      <c r="C191">
        <v>80</v>
      </c>
      <c r="D191" t="s">
        <v>103</v>
      </c>
      <c r="E191" t="s">
        <v>11</v>
      </c>
      <c r="F191">
        <v>1</v>
      </c>
      <c r="G191" t="s">
        <v>13</v>
      </c>
    </row>
    <row r="192" spans="1:7" x14ac:dyDescent="0.25">
      <c r="A192">
        <v>15</v>
      </c>
      <c r="B192" t="s">
        <v>273</v>
      </c>
      <c r="C192">
        <v>90</v>
      </c>
      <c r="D192" t="s">
        <v>319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273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273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273</v>
      </c>
      <c r="C195">
        <v>120</v>
      </c>
      <c r="D195" t="s">
        <v>317</v>
      </c>
      <c r="E195" t="s">
        <v>12</v>
      </c>
      <c r="F195">
        <v>0.27</v>
      </c>
      <c r="G195" t="s">
        <v>13</v>
      </c>
    </row>
    <row r="196" spans="1:7" x14ac:dyDescent="0.25">
      <c r="A196">
        <v>15</v>
      </c>
      <c r="B196" t="s">
        <v>273</v>
      </c>
      <c r="C196">
        <v>130</v>
      </c>
      <c r="D196" t="s">
        <v>274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275</v>
      </c>
      <c r="C197">
        <v>10</v>
      </c>
      <c r="D197" t="s">
        <v>320</v>
      </c>
      <c r="E197" t="s">
        <v>14</v>
      </c>
      <c r="F197">
        <v>2.032</v>
      </c>
      <c r="G197" t="s">
        <v>13</v>
      </c>
    </row>
    <row r="198" spans="1:7" x14ac:dyDescent="0.25">
      <c r="A198">
        <v>16</v>
      </c>
      <c r="B198" t="s">
        <v>275</v>
      </c>
      <c r="C198">
        <v>20</v>
      </c>
      <c r="D198" t="s">
        <v>93</v>
      </c>
      <c r="E198" t="s">
        <v>14</v>
      </c>
      <c r="F198">
        <v>150.571</v>
      </c>
      <c r="G198" t="s">
        <v>13</v>
      </c>
    </row>
    <row r="199" spans="1:7" x14ac:dyDescent="0.25">
      <c r="A199">
        <v>16</v>
      </c>
      <c r="B199" t="s">
        <v>275</v>
      </c>
      <c r="C199">
        <v>30</v>
      </c>
      <c r="D199" t="s">
        <v>16</v>
      </c>
      <c r="E199" t="s">
        <v>14</v>
      </c>
      <c r="F199">
        <v>40.537999999999997</v>
      </c>
      <c r="G199" t="s">
        <v>13</v>
      </c>
    </row>
    <row r="200" spans="1:7" x14ac:dyDescent="0.25">
      <c r="A200">
        <v>16</v>
      </c>
      <c r="B200" t="s">
        <v>275</v>
      </c>
      <c r="C200">
        <v>40</v>
      </c>
      <c r="D200" t="s">
        <v>318</v>
      </c>
      <c r="E200" t="s">
        <v>11</v>
      </c>
      <c r="F200">
        <v>1</v>
      </c>
      <c r="G200" t="s">
        <v>13</v>
      </c>
    </row>
    <row r="201" spans="1:7" x14ac:dyDescent="0.25">
      <c r="A201">
        <v>16</v>
      </c>
      <c r="B201" t="s">
        <v>275</v>
      </c>
      <c r="C201">
        <v>50</v>
      </c>
      <c r="D201" t="s">
        <v>102</v>
      </c>
      <c r="E201" t="s">
        <v>11</v>
      </c>
      <c r="F201">
        <v>1</v>
      </c>
      <c r="G201" t="s">
        <v>13</v>
      </c>
    </row>
    <row r="202" spans="1:7" x14ac:dyDescent="0.25">
      <c r="A202">
        <v>16</v>
      </c>
      <c r="B202" t="s">
        <v>275</v>
      </c>
      <c r="C202">
        <v>60</v>
      </c>
      <c r="D202" t="s">
        <v>315</v>
      </c>
      <c r="E202" t="s">
        <v>14</v>
      </c>
      <c r="F202">
        <v>5.9939999999999998</v>
      </c>
      <c r="G202" t="s">
        <v>13</v>
      </c>
    </row>
    <row r="203" spans="1:7" x14ac:dyDescent="0.25">
      <c r="A203">
        <v>16</v>
      </c>
      <c r="B203" t="s">
        <v>275</v>
      </c>
      <c r="C203">
        <v>70</v>
      </c>
      <c r="D203" t="s">
        <v>316</v>
      </c>
      <c r="E203" t="s">
        <v>14</v>
      </c>
      <c r="F203">
        <v>36.866</v>
      </c>
      <c r="G203" t="s">
        <v>13</v>
      </c>
    </row>
    <row r="204" spans="1:7" x14ac:dyDescent="0.25">
      <c r="A204">
        <v>16</v>
      </c>
      <c r="B204" t="s">
        <v>275</v>
      </c>
      <c r="C204">
        <v>80</v>
      </c>
      <c r="D204" t="s">
        <v>103</v>
      </c>
      <c r="E204" t="s">
        <v>11</v>
      </c>
      <c r="F204">
        <v>1</v>
      </c>
      <c r="G204" t="s">
        <v>13</v>
      </c>
    </row>
    <row r="205" spans="1:7" x14ac:dyDescent="0.25">
      <c r="A205">
        <v>16</v>
      </c>
      <c r="B205" t="s">
        <v>275</v>
      </c>
      <c r="C205">
        <v>90</v>
      </c>
      <c r="D205" t="s">
        <v>319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275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275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275</v>
      </c>
      <c r="C208">
        <v>120</v>
      </c>
      <c r="D208" t="s">
        <v>317</v>
      </c>
      <c r="E208" t="s">
        <v>12</v>
      </c>
      <c r="F208">
        <v>0.315</v>
      </c>
      <c r="G208" t="s">
        <v>13</v>
      </c>
    </row>
    <row r="209" spans="1:7" x14ac:dyDescent="0.25">
      <c r="A209">
        <v>16</v>
      </c>
      <c r="B209" t="s">
        <v>275</v>
      </c>
      <c r="C209">
        <v>130</v>
      </c>
      <c r="D209" t="s">
        <v>276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277</v>
      </c>
      <c r="C210">
        <v>10</v>
      </c>
      <c r="D210" t="s">
        <v>320</v>
      </c>
      <c r="E210" t="s">
        <v>14</v>
      </c>
      <c r="F210">
        <v>2.3370000000000002</v>
      </c>
      <c r="G210" t="s">
        <v>13</v>
      </c>
    </row>
    <row r="211" spans="1:7" x14ac:dyDescent="0.25">
      <c r="A211">
        <v>17</v>
      </c>
      <c r="B211" t="s">
        <v>277</v>
      </c>
      <c r="C211">
        <v>20</v>
      </c>
      <c r="D211" t="s">
        <v>93</v>
      </c>
      <c r="E211" t="s">
        <v>14</v>
      </c>
      <c r="F211">
        <v>158.49600000000001</v>
      </c>
      <c r="G211" t="s">
        <v>13</v>
      </c>
    </row>
    <row r="212" spans="1:7" x14ac:dyDescent="0.25">
      <c r="A212">
        <v>17</v>
      </c>
      <c r="B212" t="s">
        <v>277</v>
      </c>
      <c r="C212">
        <v>30</v>
      </c>
      <c r="D212" t="s">
        <v>16</v>
      </c>
      <c r="E212" t="s">
        <v>14</v>
      </c>
      <c r="F212">
        <v>42.671999999999997</v>
      </c>
      <c r="G212" t="s">
        <v>13</v>
      </c>
    </row>
    <row r="213" spans="1:7" x14ac:dyDescent="0.25">
      <c r="A213">
        <v>17</v>
      </c>
      <c r="B213" t="s">
        <v>277</v>
      </c>
      <c r="C213">
        <v>40</v>
      </c>
      <c r="D213" t="s">
        <v>318</v>
      </c>
      <c r="E213" t="s">
        <v>11</v>
      </c>
      <c r="F213">
        <v>1</v>
      </c>
      <c r="G213" t="s">
        <v>13</v>
      </c>
    </row>
    <row r="214" spans="1:7" x14ac:dyDescent="0.25">
      <c r="A214">
        <v>17</v>
      </c>
      <c r="B214" t="s">
        <v>277</v>
      </c>
      <c r="C214">
        <v>50</v>
      </c>
      <c r="D214" t="s">
        <v>102</v>
      </c>
      <c r="E214" t="s">
        <v>11</v>
      </c>
      <c r="F214">
        <v>1</v>
      </c>
      <c r="G214" t="s">
        <v>13</v>
      </c>
    </row>
    <row r="215" spans="1:7" x14ac:dyDescent="0.25">
      <c r="A215">
        <v>17</v>
      </c>
      <c r="B215" t="s">
        <v>277</v>
      </c>
      <c r="C215">
        <v>60</v>
      </c>
      <c r="D215" t="s">
        <v>315</v>
      </c>
      <c r="E215" t="s">
        <v>14</v>
      </c>
      <c r="F215">
        <v>6.2990000000000004</v>
      </c>
      <c r="G215" t="s">
        <v>13</v>
      </c>
    </row>
    <row r="216" spans="1:7" x14ac:dyDescent="0.25">
      <c r="A216">
        <v>17</v>
      </c>
      <c r="B216" t="s">
        <v>277</v>
      </c>
      <c r="C216">
        <v>70</v>
      </c>
      <c r="D216" t="s">
        <v>316</v>
      </c>
      <c r="E216" t="s">
        <v>14</v>
      </c>
      <c r="F216">
        <v>38.74</v>
      </c>
      <c r="G216" t="s">
        <v>13</v>
      </c>
    </row>
    <row r="217" spans="1:7" x14ac:dyDescent="0.25">
      <c r="A217">
        <v>17</v>
      </c>
      <c r="B217" t="s">
        <v>277</v>
      </c>
      <c r="C217">
        <v>80</v>
      </c>
      <c r="D217" t="s">
        <v>103</v>
      </c>
      <c r="E217" t="s">
        <v>11</v>
      </c>
      <c r="F217">
        <v>1</v>
      </c>
      <c r="G217" t="s">
        <v>13</v>
      </c>
    </row>
    <row r="218" spans="1:7" x14ac:dyDescent="0.25">
      <c r="A218">
        <v>17</v>
      </c>
      <c r="B218" t="s">
        <v>277</v>
      </c>
      <c r="C218">
        <v>90</v>
      </c>
      <c r="D218" t="s">
        <v>319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277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277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277</v>
      </c>
      <c r="C221">
        <v>120</v>
      </c>
      <c r="D221" t="s">
        <v>317</v>
      </c>
      <c r="E221" t="s">
        <v>12</v>
      </c>
      <c r="F221">
        <v>0.36</v>
      </c>
      <c r="G221" t="s">
        <v>13</v>
      </c>
    </row>
    <row r="222" spans="1:7" x14ac:dyDescent="0.25">
      <c r="A222">
        <v>17</v>
      </c>
      <c r="B222" t="s">
        <v>277</v>
      </c>
      <c r="C222">
        <v>130</v>
      </c>
      <c r="D222" t="s">
        <v>278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279</v>
      </c>
      <c r="C223">
        <v>10</v>
      </c>
      <c r="D223" t="s">
        <v>320</v>
      </c>
      <c r="E223" t="s">
        <v>14</v>
      </c>
      <c r="F223">
        <v>2.6419999999999999</v>
      </c>
      <c r="G223" t="s">
        <v>13</v>
      </c>
    </row>
    <row r="224" spans="1:7" x14ac:dyDescent="0.25">
      <c r="A224">
        <v>18</v>
      </c>
      <c r="B224" t="s">
        <v>279</v>
      </c>
      <c r="C224">
        <v>20</v>
      </c>
      <c r="D224" t="s">
        <v>93</v>
      </c>
      <c r="E224" t="s">
        <v>14</v>
      </c>
      <c r="F224">
        <v>166.42099999999999</v>
      </c>
      <c r="G224" t="s">
        <v>13</v>
      </c>
    </row>
    <row r="225" spans="1:7" x14ac:dyDescent="0.25">
      <c r="A225">
        <v>18</v>
      </c>
      <c r="B225" t="s">
        <v>279</v>
      </c>
      <c r="C225">
        <v>30</v>
      </c>
      <c r="D225" t="s">
        <v>16</v>
      </c>
      <c r="E225" t="s">
        <v>14</v>
      </c>
      <c r="F225">
        <v>44.805999999999997</v>
      </c>
      <c r="G225" t="s">
        <v>13</v>
      </c>
    </row>
    <row r="226" spans="1:7" x14ac:dyDescent="0.25">
      <c r="A226">
        <v>18</v>
      </c>
      <c r="B226" t="s">
        <v>279</v>
      </c>
      <c r="C226">
        <v>40</v>
      </c>
      <c r="D226" t="s">
        <v>318</v>
      </c>
      <c r="E226" t="s">
        <v>11</v>
      </c>
      <c r="F226">
        <v>1</v>
      </c>
      <c r="G226" t="s">
        <v>13</v>
      </c>
    </row>
    <row r="227" spans="1:7" x14ac:dyDescent="0.25">
      <c r="A227">
        <v>18</v>
      </c>
      <c r="B227" t="s">
        <v>279</v>
      </c>
      <c r="C227">
        <v>50</v>
      </c>
      <c r="D227" t="s">
        <v>102</v>
      </c>
      <c r="E227" t="s">
        <v>11</v>
      </c>
      <c r="F227">
        <v>1</v>
      </c>
      <c r="G227" t="s">
        <v>13</v>
      </c>
    </row>
    <row r="228" spans="1:7" x14ac:dyDescent="0.25">
      <c r="A228">
        <v>18</v>
      </c>
      <c r="B228" t="s">
        <v>279</v>
      </c>
      <c r="C228">
        <v>60</v>
      </c>
      <c r="D228" t="s">
        <v>315</v>
      </c>
      <c r="E228" t="s">
        <v>14</v>
      </c>
      <c r="F228">
        <v>6.6040000000000001</v>
      </c>
      <c r="G228" t="s">
        <v>13</v>
      </c>
    </row>
    <row r="229" spans="1:7" x14ac:dyDescent="0.25">
      <c r="A229">
        <v>18</v>
      </c>
      <c r="B229" t="s">
        <v>279</v>
      </c>
      <c r="C229">
        <v>70</v>
      </c>
      <c r="D229" t="s">
        <v>316</v>
      </c>
      <c r="E229" t="s">
        <v>14</v>
      </c>
      <c r="F229">
        <v>40.615000000000002</v>
      </c>
      <c r="G229" t="s">
        <v>13</v>
      </c>
    </row>
    <row r="230" spans="1:7" x14ac:dyDescent="0.25">
      <c r="A230">
        <v>18</v>
      </c>
      <c r="B230" t="s">
        <v>279</v>
      </c>
      <c r="C230">
        <v>80</v>
      </c>
      <c r="D230" t="s">
        <v>103</v>
      </c>
      <c r="E230" t="s">
        <v>11</v>
      </c>
      <c r="F230">
        <v>1</v>
      </c>
      <c r="G230" t="s">
        <v>13</v>
      </c>
    </row>
    <row r="231" spans="1:7" x14ac:dyDescent="0.25">
      <c r="A231">
        <v>18</v>
      </c>
      <c r="B231" t="s">
        <v>279</v>
      </c>
      <c r="C231">
        <v>90</v>
      </c>
      <c r="D231" t="s">
        <v>319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279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279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279</v>
      </c>
      <c r="C234">
        <v>120</v>
      </c>
      <c r="D234" t="s">
        <v>317</v>
      </c>
      <c r="E234" t="s">
        <v>12</v>
      </c>
      <c r="F234">
        <v>0.40500000000000003</v>
      </c>
      <c r="G234" t="s">
        <v>13</v>
      </c>
    </row>
    <row r="235" spans="1:7" x14ac:dyDescent="0.25">
      <c r="A235">
        <v>18</v>
      </c>
      <c r="B235" t="s">
        <v>279</v>
      </c>
      <c r="C235">
        <v>130</v>
      </c>
      <c r="D235" t="s">
        <v>280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281</v>
      </c>
      <c r="C236">
        <v>10</v>
      </c>
      <c r="D236" t="s">
        <v>320</v>
      </c>
      <c r="E236" t="s">
        <v>14</v>
      </c>
      <c r="F236">
        <v>3.2509999999999999</v>
      </c>
      <c r="G236" t="s">
        <v>13</v>
      </c>
    </row>
    <row r="237" spans="1:7" x14ac:dyDescent="0.25">
      <c r="A237">
        <v>19</v>
      </c>
      <c r="B237" t="s">
        <v>281</v>
      </c>
      <c r="C237">
        <v>20</v>
      </c>
      <c r="D237" t="s">
        <v>93</v>
      </c>
      <c r="E237" t="s">
        <v>14</v>
      </c>
      <c r="F237">
        <v>182.27</v>
      </c>
      <c r="G237" t="s">
        <v>13</v>
      </c>
    </row>
    <row r="238" spans="1:7" x14ac:dyDescent="0.25">
      <c r="A238">
        <v>19</v>
      </c>
      <c r="B238" t="s">
        <v>281</v>
      </c>
      <c r="C238">
        <v>30</v>
      </c>
      <c r="D238" t="s">
        <v>16</v>
      </c>
      <c r="E238" t="s">
        <v>14</v>
      </c>
      <c r="F238">
        <v>49.073</v>
      </c>
      <c r="G238" t="s">
        <v>13</v>
      </c>
    </row>
    <row r="239" spans="1:7" x14ac:dyDescent="0.25">
      <c r="A239">
        <v>19</v>
      </c>
      <c r="B239" t="s">
        <v>281</v>
      </c>
      <c r="C239">
        <v>40</v>
      </c>
      <c r="D239" t="s">
        <v>318</v>
      </c>
      <c r="E239" t="s">
        <v>11</v>
      </c>
      <c r="F239">
        <v>1</v>
      </c>
      <c r="G239" t="s">
        <v>13</v>
      </c>
    </row>
    <row r="240" spans="1:7" x14ac:dyDescent="0.25">
      <c r="A240">
        <v>19</v>
      </c>
      <c r="B240" t="s">
        <v>281</v>
      </c>
      <c r="C240">
        <v>50</v>
      </c>
      <c r="D240" t="s">
        <v>102</v>
      </c>
      <c r="E240" t="s">
        <v>11</v>
      </c>
      <c r="F240">
        <v>1</v>
      </c>
      <c r="G240" t="s">
        <v>13</v>
      </c>
    </row>
    <row r="241" spans="1:7" x14ac:dyDescent="0.25">
      <c r="A241">
        <v>19</v>
      </c>
      <c r="B241" t="s">
        <v>281</v>
      </c>
      <c r="C241">
        <v>60</v>
      </c>
      <c r="D241" t="s">
        <v>315</v>
      </c>
      <c r="E241" t="s">
        <v>14</v>
      </c>
      <c r="F241">
        <v>7.2140000000000004</v>
      </c>
      <c r="G241" t="s">
        <v>13</v>
      </c>
    </row>
    <row r="242" spans="1:7" x14ac:dyDescent="0.25">
      <c r="A242">
        <v>19</v>
      </c>
      <c r="B242" t="s">
        <v>281</v>
      </c>
      <c r="C242">
        <v>70</v>
      </c>
      <c r="D242" t="s">
        <v>316</v>
      </c>
      <c r="E242" t="s">
        <v>14</v>
      </c>
      <c r="F242">
        <v>44.363999999999997</v>
      </c>
      <c r="G242" t="s">
        <v>13</v>
      </c>
    </row>
    <row r="243" spans="1:7" x14ac:dyDescent="0.25">
      <c r="A243">
        <v>19</v>
      </c>
      <c r="B243" t="s">
        <v>281</v>
      </c>
      <c r="C243">
        <v>80</v>
      </c>
      <c r="D243" t="s">
        <v>103</v>
      </c>
      <c r="E243" t="s">
        <v>11</v>
      </c>
      <c r="F243">
        <v>1</v>
      </c>
      <c r="G243" t="s">
        <v>13</v>
      </c>
    </row>
    <row r="244" spans="1:7" x14ac:dyDescent="0.25">
      <c r="A244">
        <v>19</v>
      </c>
      <c r="B244" t="s">
        <v>281</v>
      </c>
      <c r="C244">
        <v>90</v>
      </c>
      <c r="D244" t="s">
        <v>319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281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281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281</v>
      </c>
      <c r="C247">
        <v>120</v>
      </c>
      <c r="D247" t="s">
        <v>317</v>
      </c>
      <c r="E247" t="s">
        <v>12</v>
      </c>
      <c r="F247">
        <v>0.495</v>
      </c>
      <c r="G247" t="s">
        <v>13</v>
      </c>
    </row>
    <row r="248" spans="1:7" x14ac:dyDescent="0.25">
      <c r="A248">
        <v>19</v>
      </c>
      <c r="B248" t="s">
        <v>281</v>
      </c>
      <c r="C248">
        <v>130</v>
      </c>
      <c r="D248" t="s">
        <v>282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283</v>
      </c>
      <c r="C249">
        <v>10</v>
      </c>
      <c r="D249" t="s">
        <v>320</v>
      </c>
      <c r="E249" t="s">
        <v>14</v>
      </c>
      <c r="F249">
        <v>3.556</v>
      </c>
      <c r="G249" t="s">
        <v>13</v>
      </c>
    </row>
    <row r="250" spans="1:7" x14ac:dyDescent="0.25">
      <c r="A250">
        <v>20</v>
      </c>
      <c r="B250" t="s">
        <v>283</v>
      </c>
      <c r="C250">
        <v>20</v>
      </c>
      <c r="D250" t="s">
        <v>93</v>
      </c>
      <c r="E250" t="s">
        <v>14</v>
      </c>
      <c r="F250">
        <v>190.19499999999999</v>
      </c>
      <c r="G250" t="s">
        <v>13</v>
      </c>
    </row>
    <row r="251" spans="1:7" x14ac:dyDescent="0.25">
      <c r="A251">
        <v>20</v>
      </c>
      <c r="B251" t="s">
        <v>283</v>
      </c>
      <c r="C251">
        <v>30</v>
      </c>
      <c r="D251" t="s">
        <v>16</v>
      </c>
      <c r="E251" t="s">
        <v>14</v>
      </c>
      <c r="F251">
        <v>51.206000000000003</v>
      </c>
      <c r="G251" t="s">
        <v>13</v>
      </c>
    </row>
    <row r="252" spans="1:7" x14ac:dyDescent="0.25">
      <c r="A252">
        <v>20</v>
      </c>
      <c r="B252" t="s">
        <v>283</v>
      </c>
      <c r="C252">
        <v>40</v>
      </c>
      <c r="D252" t="s">
        <v>318</v>
      </c>
      <c r="E252" t="s">
        <v>11</v>
      </c>
      <c r="F252">
        <v>1</v>
      </c>
      <c r="G252" t="s">
        <v>13</v>
      </c>
    </row>
    <row r="253" spans="1:7" x14ac:dyDescent="0.25">
      <c r="A253">
        <v>20</v>
      </c>
      <c r="B253" t="s">
        <v>283</v>
      </c>
      <c r="C253">
        <v>50</v>
      </c>
      <c r="D253" t="s">
        <v>102</v>
      </c>
      <c r="E253" t="s">
        <v>11</v>
      </c>
      <c r="F253">
        <v>1</v>
      </c>
      <c r="G253" t="s">
        <v>13</v>
      </c>
    </row>
    <row r="254" spans="1:7" x14ac:dyDescent="0.25">
      <c r="A254">
        <v>20</v>
      </c>
      <c r="B254" t="s">
        <v>283</v>
      </c>
      <c r="C254">
        <v>60</v>
      </c>
      <c r="D254" t="s">
        <v>315</v>
      </c>
      <c r="E254" t="s">
        <v>14</v>
      </c>
      <c r="F254">
        <v>7.5179999999999998</v>
      </c>
      <c r="G254" t="s">
        <v>13</v>
      </c>
    </row>
    <row r="255" spans="1:7" x14ac:dyDescent="0.25">
      <c r="A255">
        <v>20</v>
      </c>
      <c r="B255" t="s">
        <v>283</v>
      </c>
      <c r="C255">
        <v>70</v>
      </c>
      <c r="D255" t="s">
        <v>316</v>
      </c>
      <c r="E255" t="s">
        <v>14</v>
      </c>
      <c r="F255">
        <v>46.238</v>
      </c>
      <c r="G255" t="s">
        <v>13</v>
      </c>
    </row>
    <row r="256" spans="1:7" x14ac:dyDescent="0.25">
      <c r="A256">
        <v>20</v>
      </c>
      <c r="B256" t="s">
        <v>283</v>
      </c>
      <c r="C256">
        <v>80</v>
      </c>
      <c r="D256" t="s">
        <v>103</v>
      </c>
      <c r="E256" t="s">
        <v>11</v>
      </c>
      <c r="F256">
        <v>1</v>
      </c>
      <c r="G256" t="s">
        <v>13</v>
      </c>
    </row>
    <row r="257" spans="1:7" x14ac:dyDescent="0.25">
      <c r="A257">
        <v>20</v>
      </c>
      <c r="B257" t="s">
        <v>283</v>
      </c>
      <c r="C257">
        <v>90</v>
      </c>
      <c r="D257" t="s">
        <v>319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283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283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283</v>
      </c>
      <c r="C260">
        <v>120</v>
      </c>
      <c r="D260" t="s">
        <v>317</v>
      </c>
      <c r="E260" t="s">
        <v>12</v>
      </c>
      <c r="F260">
        <v>0.54</v>
      </c>
      <c r="G260" t="s">
        <v>13</v>
      </c>
    </row>
    <row r="261" spans="1:7" x14ac:dyDescent="0.25">
      <c r="A261">
        <v>20</v>
      </c>
      <c r="B261" t="s">
        <v>283</v>
      </c>
      <c r="C261">
        <v>130</v>
      </c>
      <c r="D261" t="s">
        <v>284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285</v>
      </c>
      <c r="C262">
        <v>10</v>
      </c>
      <c r="D262" t="s">
        <v>320</v>
      </c>
      <c r="E262" t="s">
        <v>14</v>
      </c>
      <c r="F262">
        <v>3.8610000000000002</v>
      </c>
      <c r="G262" t="s">
        <v>13</v>
      </c>
    </row>
    <row r="263" spans="1:7" x14ac:dyDescent="0.25">
      <c r="A263">
        <v>21</v>
      </c>
      <c r="B263" t="s">
        <v>285</v>
      </c>
      <c r="C263">
        <v>20</v>
      </c>
      <c r="D263" t="s">
        <v>93</v>
      </c>
      <c r="E263" t="s">
        <v>14</v>
      </c>
      <c r="F263">
        <v>198.12</v>
      </c>
      <c r="G263" t="s">
        <v>13</v>
      </c>
    </row>
    <row r="264" spans="1:7" x14ac:dyDescent="0.25">
      <c r="A264">
        <v>21</v>
      </c>
      <c r="B264" t="s">
        <v>285</v>
      </c>
      <c r="C264">
        <v>30</v>
      </c>
      <c r="D264" t="s">
        <v>16</v>
      </c>
      <c r="E264" t="s">
        <v>14</v>
      </c>
      <c r="F264">
        <v>53.34</v>
      </c>
      <c r="G264" t="s">
        <v>13</v>
      </c>
    </row>
    <row r="265" spans="1:7" x14ac:dyDescent="0.25">
      <c r="A265">
        <v>21</v>
      </c>
      <c r="B265" t="s">
        <v>285</v>
      </c>
      <c r="C265">
        <v>40</v>
      </c>
      <c r="D265" t="s">
        <v>318</v>
      </c>
      <c r="E265" t="s">
        <v>11</v>
      </c>
      <c r="F265">
        <v>1</v>
      </c>
      <c r="G265" t="s">
        <v>13</v>
      </c>
    </row>
    <row r="266" spans="1:7" x14ac:dyDescent="0.25">
      <c r="A266">
        <v>21</v>
      </c>
      <c r="B266" t="s">
        <v>285</v>
      </c>
      <c r="C266">
        <v>50</v>
      </c>
      <c r="D266" t="s">
        <v>102</v>
      </c>
      <c r="E266" t="s">
        <v>11</v>
      </c>
      <c r="F266">
        <v>1</v>
      </c>
      <c r="G266" t="s">
        <v>13</v>
      </c>
    </row>
    <row r="267" spans="1:7" x14ac:dyDescent="0.25">
      <c r="A267">
        <v>21</v>
      </c>
      <c r="B267" t="s">
        <v>285</v>
      </c>
      <c r="C267">
        <v>60</v>
      </c>
      <c r="D267" t="s">
        <v>315</v>
      </c>
      <c r="E267" t="s">
        <v>14</v>
      </c>
      <c r="F267">
        <v>7.8230000000000004</v>
      </c>
      <c r="G267" t="s">
        <v>13</v>
      </c>
    </row>
    <row r="268" spans="1:7" x14ac:dyDescent="0.25">
      <c r="A268">
        <v>21</v>
      </c>
      <c r="B268" t="s">
        <v>285</v>
      </c>
      <c r="C268">
        <v>70</v>
      </c>
      <c r="D268" t="s">
        <v>316</v>
      </c>
      <c r="E268" t="s">
        <v>14</v>
      </c>
      <c r="F268">
        <v>48.113</v>
      </c>
      <c r="G268" t="s">
        <v>13</v>
      </c>
    </row>
    <row r="269" spans="1:7" x14ac:dyDescent="0.25">
      <c r="A269">
        <v>21</v>
      </c>
      <c r="B269" t="s">
        <v>285</v>
      </c>
      <c r="C269">
        <v>80</v>
      </c>
      <c r="D269" t="s">
        <v>103</v>
      </c>
      <c r="E269" t="s">
        <v>11</v>
      </c>
      <c r="F269">
        <v>1</v>
      </c>
      <c r="G269" t="s">
        <v>13</v>
      </c>
    </row>
    <row r="270" spans="1:7" x14ac:dyDescent="0.25">
      <c r="A270">
        <v>21</v>
      </c>
      <c r="B270" t="s">
        <v>285</v>
      </c>
      <c r="C270">
        <v>90</v>
      </c>
      <c r="D270" t="s">
        <v>319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285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285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285</v>
      </c>
      <c r="C273">
        <v>120</v>
      </c>
      <c r="D273" t="s">
        <v>317</v>
      </c>
      <c r="E273" t="s">
        <v>12</v>
      </c>
      <c r="F273">
        <v>0.58599999999999997</v>
      </c>
      <c r="G273" t="s">
        <v>13</v>
      </c>
    </row>
    <row r="274" spans="1:7" x14ac:dyDescent="0.25">
      <c r="A274">
        <v>21</v>
      </c>
      <c r="B274" t="s">
        <v>285</v>
      </c>
      <c r="C274">
        <v>130</v>
      </c>
      <c r="D274" t="s">
        <v>286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287</v>
      </c>
      <c r="C275">
        <v>10</v>
      </c>
      <c r="D275" t="s">
        <v>320</v>
      </c>
      <c r="E275" t="s">
        <v>14</v>
      </c>
      <c r="F275">
        <v>4.2670000000000003</v>
      </c>
      <c r="G275" t="s">
        <v>13</v>
      </c>
    </row>
    <row r="276" spans="1:7" x14ac:dyDescent="0.25">
      <c r="A276">
        <v>22</v>
      </c>
      <c r="B276" t="s">
        <v>287</v>
      </c>
      <c r="C276">
        <v>20</v>
      </c>
      <c r="D276" t="s">
        <v>93</v>
      </c>
      <c r="E276" t="s">
        <v>14</v>
      </c>
      <c r="F276">
        <v>145.28800000000001</v>
      </c>
      <c r="G276" t="s">
        <v>13</v>
      </c>
    </row>
    <row r="277" spans="1:7" x14ac:dyDescent="0.25">
      <c r="A277">
        <v>22</v>
      </c>
      <c r="B277" t="s">
        <v>287</v>
      </c>
      <c r="C277">
        <v>30</v>
      </c>
      <c r="D277" t="s">
        <v>16</v>
      </c>
      <c r="E277" t="s">
        <v>14</v>
      </c>
      <c r="F277">
        <v>39.116</v>
      </c>
      <c r="G277" t="s">
        <v>13</v>
      </c>
    </row>
    <row r="278" spans="1:7" x14ac:dyDescent="0.25">
      <c r="A278">
        <v>22</v>
      </c>
      <c r="B278" t="s">
        <v>287</v>
      </c>
      <c r="C278">
        <v>40</v>
      </c>
      <c r="D278" t="s">
        <v>318</v>
      </c>
      <c r="E278" t="s">
        <v>11</v>
      </c>
      <c r="F278">
        <v>1</v>
      </c>
      <c r="G278" t="s">
        <v>13</v>
      </c>
    </row>
    <row r="279" spans="1:7" x14ac:dyDescent="0.25">
      <c r="A279">
        <v>22</v>
      </c>
      <c r="B279" t="s">
        <v>287</v>
      </c>
      <c r="C279">
        <v>50</v>
      </c>
      <c r="D279" t="s">
        <v>102</v>
      </c>
      <c r="E279" t="s">
        <v>11</v>
      </c>
      <c r="F279">
        <v>1</v>
      </c>
      <c r="G279" t="s">
        <v>13</v>
      </c>
    </row>
    <row r="280" spans="1:7" x14ac:dyDescent="0.25">
      <c r="A280">
        <v>22</v>
      </c>
      <c r="B280" t="s">
        <v>287</v>
      </c>
      <c r="C280">
        <v>60</v>
      </c>
      <c r="D280" t="s">
        <v>315</v>
      </c>
      <c r="E280" t="s">
        <v>14</v>
      </c>
      <c r="F280">
        <v>5.7910000000000004</v>
      </c>
      <c r="G280" t="s">
        <v>13</v>
      </c>
    </row>
    <row r="281" spans="1:7" x14ac:dyDescent="0.25">
      <c r="A281">
        <v>22</v>
      </c>
      <c r="B281" t="s">
        <v>287</v>
      </c>
      <c r="C281">
        <v>70</v>
      </c>
      <c r="D281" t="s">
        <v>316</v>
      </c>
      <c r="E281" t="s">
        <v>14</v>
      </c>
      <c r="F281">
        <v>35.616</v>
      </c>
      <c r="G281" t="s">
        <v>13</v>
      </c>
    </row>
    <row r="282" spans="1:7" x14ac:dyDescent="0.25">
      <c r="A282">
        <v>22</v>
      </c>
      <c r="B282" t="s">
        <v>287</v>
      </c>
      <c r="C282">
        <v>80</v>
      </c>
      <c r="D282" t="s">
        <v>103</v>
      </c>
      <c r="E282" t="s">
        <v>11</v>
      </c>
      <c r="F282">
        <v>1</v>
      </c>
      <c r="G282" t="s">
        <v>13</v>
      </c>
    </row>
    <row r="283" spans="1:7" x14ac:dyDescent="0.25">
      <c r="A283">
        <v>22</v>
      </c>
      <c r="B283" t="s">
        <v>287</v>
      </c>
      <c r="C283">
        <v>90</v>
      </c>
      <c r="D283" t="s">
        <v>319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287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287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287</v>
      </c>
      <c r="C286">
        <v>120</v>
      </c>
      <c r="D286" t="s">
        <v>317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22</v>
      </c>
      <c r="B287" t="s">
        <v>287</v>
      </c>
      <c r="C287">
        <v>130</v>
      </c>
      <c r="D287" t="s">
        <v>288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289</v>
      </c>
      <c r="C288">
        <v>10</v>
      </c>
      <c r="D288" t="s">
        <v>320</v>
      </c>
      <c r="E288" t="s">
        <v>14</v>
      </c>
      <c r="F288">
        <v>4.2670000000000003</v>
      </c>
      <c r="G288" t="s">
        <v>13</v>
      </c>
    </row>
    <row r="289" spans="1:7" x14ac:dyDescent="0.25">
      <c r="A289">
        <v>23</v>
      </c>
      <c r="B289" t="s">
        <v>289</v>
      </c>
      <c r="C289">
        <v>20</v>
      </c>
      <c r="D289" t="s">
        <v>93</v>
      </c>
      <c r="E289" t="s">
        <v>14</v>
      </c>
      <c r="F289">
        <v>153.21299999999999</v>
      </c>
      <c r="G289" t="s">
        <v>13</v>
      </c>
    </row>
    <row r="290" spans="1:7" x14ac:dyDescent="0.25">
      <c r="A290">
        <v>23</v>
      </c>
      <c r="B290" t="s">
        <v>289</v>
      </c>
      <c r="C290">
        <v>30</v>
      </c>
      <c r="D290" t="s">
        <v>16</v>
      </c>
      <c r="E290" t="s">
        <v>14</v>
      </c>
      <c r="F290">
        <v>41.25</v>
      </c>
      <c r="G290" t="s">
        <v>13</v>
      </c>
    </row>
    <row r="291" spans="1:7" x14ac:dyDescent="0.25">
      <c r="A291">
        <v>23</v>
      </c>
      <c r="B291" t="s">
        <v>289</v>
      </c>
      <c r="C291">
        <v>40</v>
      </c>
      <c r="D291" t="s">
        <v>318</v>
      </c>
      <c r="E291" t="s">
        <v>11</v>
      </c>
      <c r="F291">
        <v>1</v>
      </c>
      <c r="G291" t="s">
        <v>13</v>
      </c>
    </row>
    <row r="292" spans="1:7" x14ac:dyDescent="0.25">
      <c r="A292">
        <v>23</v>
      </c>
      <c r="B292" t="s">
        <v>289</v>
      </c>
      <c r="C292">
        <v>50</v>
      </c>
      <c r="D292" t="s">
        <v>102</v>
      </c>
      <c r="E292" t="s">
        <v>11</v>
      </c>
      <c r="F292">
        <v>1</v>
      </c>
      <c r="G292" t="s">
        <v>13</v>
      </c>
    </row>
    <row r="293" spans="1:7" x14ac:dyDescent="0.25">
      <c r="A293">
        <v>23</v>
      </c>
      <c r="B293" t="s">
        <v>289</v>
      </c>
      <c r="C293">
        <v>60</v>
      </c>
      <c r="D293" t="s">
        <v>315</v>
      </c>
      <c r="E293" t="s">
        <v>14</v>
      </c>
      <c r="F293">
        <v>6.0960000000000001</v>
      </c>
      <c r="G293" t="s">
        <v>13</v>
      </c>
    </row>
    <row r="294" spans="1:7" x14ac:dyDescent="0.25">
      <c r="A294">
        <v>23</v>
      </c>
      <c r="B294" t="s">
        <v>289</v>
      </c>
      <c r="C294">
        <v>70</v>
      </c>
      <c r="D294" t="s">
        <v>316</v>
      </c>
      <c r="E294" t="s">
        <v>14</v>
      </c>
      <c r="F294">
        <v>37.49</v>
      </c>
      <c r="G294" t="s">
        <v>13</v>
      </c>
    </row>
    <row r="295" spans="1:7" x14ac:dyDescent="0.25">
      <c r="A295">
        <v>23</v>
      </c>
      <c r="B295" t="s">
        <v>289</v>
      </c>
      <c r="C295">
        <v>80</v>
      </c>
      <c r="D295" t="s">
        <v>103</v>
      </c>
      <c r="E295" t="s">
        <v>11</v>
      </c>
      <c r="F295">
        <v>1</v>
      </c>
      <c r="G295" t="s">
        <v>13</v>
      </c>
    </row>
    <row r="296" spans="1:7" x14ac:dyDescent="0.25">
      <c r="A296">
        <v>23</v>
      </c>
      <c r="B296" t="s">
        <v>289</v>
      </c>
      <c r="C296">
        <v>90</v>
      </c>
      <c r="D296" t="s">
        <v>319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289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289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289</v>
      </c>
      <c r="C299">
        <v>120</v>
      </c>
      <c r="D299" t="s">
        <v>317</v>
      </c>
      <c r="E299" t="s">
        <v>12</v>
      </c>
      <c r="F299">
        <v>0.64600000000000002</v>
      </c>
      <c r="G299" t="s">
        <v>13</v>
      </c>
    </row>
    <row r="300" spans="1:7" x14ac:dyDescent="0.25">
      <c r="A300">
        <v>23</v>
      </c>
      <c r="B300" t="s">
        <v>289</v>
      </c>
      <c r="C300">
        <v>130</v>
      </c>
      <c r="D300" t="s">
        <v>290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291</v>
      </c>
      <c r="C301">
        <v>10</v>
      </c>
      <c r="D301" t="s">
        <v>320</v>
      </c>
      <c r="E301" t="s">
        <v>14</v>
      </c>
      <c r="F301">
        <v>4.2670000000000003</v>
      </c>
      <c r="G301" t="s">
        <v>13</v>
      </c>
    </row>
    <row r="302" spans="1:7" x14ac:dyDescent="0.25">
      <c r="A302">
        <v>24</v>
      </c>
      <c r="B302" t="s">
        <v>291</v>
      </c>
      <c r="C302">
        <v>20</v>
      </c>
      <c r="D302" t="s">
        <v>93</v>
      </c>
      <c r="E302" t="s">
        <v>14</v>
      </c>
      <c r="F302">
        <v>161.13800000000001</v>
      </c>
      <c r="G302" t="s">
        <v>13</v>
      </c>
    </row>
    <row r="303" spans="1:7" x14ac:dyDescent="0.25">
      <c r="A303">
        <v>24</v>
      </c>
      <c r="B303" t="s">
        <v>291</v>
      </c>
      <c r="C303">
        <v>30</v>
      </c>
      <c r="D303" t="s">
        <v>16</v>
      </c>
      <c r="E303" t="s">
        <v>14</v>
      </c>
      <c r="F303">
        <v>43.383000000000003</v>
      </c>
      <c r="G303" t="s">
        <v>13</v>
      </c>
    </row>
    <row r="304" spans="1:7" x14ac:dyDescent="0.25">
      <c r="A304">
        <v>24</v>
      </c>
      <c r="B304" t="s">
        <v>291</v>
      </c>
      <c r="C304">
        <v>40</v>
      </c>
      <c r="D304" t="s">
        <v>318</v>
      </c>
      <c r="E304" t="s">
        <v>11</v>
      </c>
      <c r="F304">
        <v>1</v>
      </c>
      <c r="G304" t="s">
        <v>13</v>
      </c>
    </row>
    <row r="305" spans="1:7" x14ac:dyDescent="0.25">
      <c r="A305">
        <v>24</v>
      </c>
      <c r="B305" t="s">
        <v>291</v>
      </c>
      <c r="C305">
        <v>50</v>
      </c>
      <c r="D305" t="s">
        <v>102</v>
      </c>
      <c r="E305" t="s">
        <v>11</v>
      </c>
      <c r="F305">
        <v>1</v>
      </c>
      <c r="G305" t="s">
        <v>13</v>
      </c>
    </row>
    <row r="306" spans="1:7" x14ac:dyDescent="0.25">
      <c r="A306">
        <v>24</v>
      </c>
      <c r="B306" t="s">
        <v>291</v>
      </c>
      <c r="C306">
        <v>60</v>
      </c>
      <c r="D306" t="s">
        <v>315</v>
      </c>
      <c r="E306" t="s">
        <v>14</v>
      </c>
      <c r="F306">
        <v>6.4009999999999998</v>
      </c>
      <c r="G306" t="s">
        <v>13</v>
      </c>
    </row>
    <row r="307" spans="1:7" x14ac:dyDescent="0.25">
      <c r="A307">
        <v>24</v>
      </c>
      <c r="B307" t="s">
        <v>291</v>
      </c>
      <c r="C307">
        <v>70</v>
      </c>
      <c r="D307" t="s">
        <v>316</v>
      </c>
      <c r="E307" t="s">
        <v>14</v>
      </c>
      <c r="F307">
        <v>39.365000000000002</v>
      </c>
      <c r="G307" t="s">
        <v>13</v>
      </c>
    </row>
    <row r="308" spans="1:7" x14ac:dyDescent="0.25">
      <c r="A308">
        <v>24</v>
      </c>
      <c r="B308" t="s">
        <v>291</v>
      </c>
      <c r="C308">
        <v>80</v>
      </c>
      <c r="D308" t="s">
        <v>103</v>
      </c>
      <c r="E308" t="s">
        <v>11</v>
      </c>
      <c r="F308">
        <v>1</v>
      </c>
      <c r="G308" t="s">
        <v>13</v>
      </c>
    </row>
    <row r="309" spans="1:7" x14ac:dyDescent="0.25">
      <c r="A309">
        <v>24</v>
      </c>
      <c r="B309" t="s">
        <v>291</v>
      </c>
      <c r="C309">
        <v>90</v>
      </c>
      <c r="D309" t="s">
        <v>319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291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291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291</v>
      </c>
      <c r="C312">
        <v>120</v>
      </c>
      <c r="D312" t="s">
        <v>317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24</v>
      </c>
      <c r="B313" t="s">
        <v>291</v>
      </c>
      <c r="C313">
        <v>130</v>
      </c>
      <c r="D313" t="s">
        <v>292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293</v>
      </c>
      <c r="C314">
        <v>10</v>
      </c>
      <c r="D314" t="s">
        <v>320</v>
      </c>
      <c r="E314" t="s">
        <v>14</v>
      </c>
      <c r="F314">
        <v>4.2670000000000003</v>
      </c>
      <c r="G314" t="s">
        <v>13</v>
      </c>
    </row>
    <row r="315" spans="1:7" x14ac:dyDescent="0.25">
      <c r="A315">
        <v>25</v>
      </c>
      <c r="B315" t="s">
        <v>293</v>
      </c>
      <c r="C315">
        <v>20</v>
      </c>
      <c r="D315" t="s">
        <v>93</v>
      </c>
      <c r="E315" t="s">
        <v>14</v>
      </c>
      <c r="F315">
        <v>169.06200000000001</v>
      </c>
      <c r="G315" t="s">
        <v>13</v>
      </c>
    </row>
    <row r="316" spans="1:7" x14ac:dyDescent="0.25">
      <c r="A316">
        <v>25</v>
      </c>
      <c r="B316" t="s">
        <v>293</v>
      </c>
      <c r="C316">
        <v>30</v>
      </c>
      <c r="D316" t="s">
        <v>16</v>
      </c>
      <c r="E316" t="s">
        <v>14</v>
      </c>
      <c r="F316">
        <v>45.517000000000003</v>
      </c>
      <c r="G316" t="s">
        <v>13</v>
      </c>
    </row>
    <row r="317" spans="1:7" x14ac:dyDescent="0.25">
      <c r="A317">
        <v>25</v>
      </c>
      <c r="B317" t="s">
        <v>293</v>
      </c>
      <c r="C317">
        <v>40</v>
      </c>
      <c r="D317" t="s">
        <v>318</v>
      </c>
      <c r="E317" t="s">
        <v>11</v>
      </c>
      <c r="F317">
        <v>1</v>
      </c>
      <c r="G317" t="s">
        <v>13</v>
      </c>
    </row>
    <row r="318" spans="1:7" x14ac:dyDescent="0.25">
      <c r="A318">
        <v>25</v>
      </c>
      <c r="B318" t="s">
        <v>293</v>
      </c>
      <c r="C318">
        <v>50</v>
      </c>
      <c r="D318" t="s">
        <v>102</v>
      </c>
      <c r="E318" t="s">
        <v>11</v>
      </c>
      <c r="F318">
        <v>1</v>
      </c>
      <c r="G318" t="s">
        <v>13</v>
      </c>
    </row>
    <row r="319" spans="1:7" x14ac:dyDescent="0.25">
      <c r="A319">
        <v>25</v>
      </c>
      <c r="B319" t="s">
        <v>293</v>
      </c>
      <c r="C319">
        <v>60</v>
      </c>
      <c r="D319" t="s">
        <v>315</v>
      </c>
      <c r="E319" t="s">
        <v>14</v>
      </c>
      <c r="F319">
        <v>6.7060000000000004</v>
      </c>
      <c r="G319" t="s">
        <v>13</v>
      </c>
    </row>
    <row r="320" spans="1:7" x14ac:dyDescent="0.25">
      <c r="A320">
        <v>25</v>
      </c>
      <c r="B320" t="s">
        <v>293</v>
      </c>
      <c r="C320">
        <v>70</v>
      </c>
      <c r="D320" t="s">
        <v>316</v>
      </c>
      <c r="E320" t="s">
        <v>14</v>
      </c>
      <c r="F320">
        <v>41.238999999999997</v>
      </c>
      <c r="G320" t="s">
        <v>13</v>
      </c>
    </row>
    <row r="321" spans="1:7" x14ac:dyDescent="0.25">
      <c r="A321">
        <v>25</v>
      </c>
      <c r="B321" t="s">
        <v>293</v>
      </c>
      <c r="C321">
        <v>80</v>
      </c>
      <c r="D321" t="s">
        <v>103</v>
      </c>
      <c r="E321" t="s">
        <v>11</v>
      </c>
      <c r="F321">
        <v>1</v>
      </c>
      <c r="G321" t="s">
        <v>13</v>
      </c>
    </row>
    <row r="322" spans="1:7" x14ac:dyDescent="0.25">
      <c r="A322">
        <v>25</v>
      </c>
      <c r="B322" t="s">
        <v>293</v>
      </c>
      <c r="C322">
        <v>90</v>
      </c>
      <c r="D322" t="s">
        <v>319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293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293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293</v>
      </c>
      <c r="C325">
        <v>120</v>
      </c>
      <c r="D325" t="s">
        <v>317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293</v>
      </c>
      <c r="C326">
        <v>130</v>
      </c>
      <c r="D326" t="s">
        <v>294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295</v>
      </c>
      <c r="C327">
        <v>10</v>
      </c>
      <c r="D327" t="s">
        <v>320</v>
      </c>
      <c r="E327" t="s">
        <v>14</v>
      </c>
      <c r="F327">
        <v>4.2670000000000003</v>
      </c>
      <c r="G327" t="s">
        <v>13</v>
      </c>
    </row>
    <row r="328" spans="1:7" x14ac:dyDescent="0.25">
      <c r="A328">
        <v>26</v>
      </c>
      <c r="B328" t="s">
        <v>295</v>
      </c>
      <c r="C328">
        <v>20</v>
      </c>
      <c r="D328" t="s">
        <v>93</v>
      </c>
      <c r="E328" t="s">
        <v>14</v>
      </c>
      <c r="F328">
        <v>184.91200000000001</v>
      </c>
      <c r="G328" t="s">
        <v>13</v>
      </c>
    </row>
    <row r="329" spans="1:7" x14ac:dyDescent="0.25">
      <c r="A329">
        <v>26</v>
      </c>
      <c r="B329" t="s">
        <v>295</v>
      </c>
      <c r="C329">
        <v>30</v>
      </c>
      <c r="D329" t="s">
        <v>16</v>
      </c>
      <c r="E329" t="s">
        <v>14</v>
      </c>
      <c r="F329">
        <v>49.783999999999999</v>
      </c>
      <c r="G329" t="s">
        <v>13</v>
      </c>
    </row>
    <row r="330" spans="1:7" x14ac:dyDescent="0.25">
      <c r="A330">
        <v>26</v>
      </c>
      <c r="B330" t="s">
        <v>295</v>
      </c>
      <c r="C330">
        <v>40</v>
      </c>
      <c r="D330" t="s">
        <v>318</v>
      </c>
      <c r="E330" t="s">
        <v>11</v>
      </c>
      <c r="F330">
        <v>1</v>
      </c>
      <c r="G330" t="s">
        <v>13</v>
      </c>
    </row>
    <row r="331" spans="1:7" x14ac:dyDescent="0.25">
      <c r="A331">
        <v>26</v>
      </c>
      <c r="B331" t="s">
        <v>295</v>
      </c>
      <c r="C331">
        <v>50</v>
      </c>
      <c r="D331" t="s">
        <v>102</v>
      </c>
      <c r="E331" t="s">
        <v>11</v>
      </c>
      <c r="F331">
        <v>1</v>
      </c>
      <c r="G331" t="s">
        <v>13</v>
      </c>
    </row>
    <row r="332" spans="1:7" x14ac:dyDescent="0.25">
      <c r="A332">
        <v>26</v>
      </c>
      <c r="B332" t="s">
        <v>295</v>
      </c>
      <c r="C332">
        <v>60</v>
      </c>
      <c r="D332" t="s">
        <v>315</v>
      </c>
      <c r="E332" t="s">
        <v>14</v>
      </c>
      <c r="F332">
        <v>7.3150000000000004</v>
      </c>
      <c r="G332" t="s">
        <v>13</v>
      </c>
    </row>
    <row r="333" spans="1:7" x14ac:dyDescent="0.25">
      <c r="A333">
        <v>26</v>
      </c>
      <c r="B333" t="s">
        <v>295</v>
      </c>
      <c r="C333">
        <v>70</v>
      </c>
      <c r="D333" t="s">
        <v>316</v>
      </c>
      <c r="E333" t="s">
        <v>14</v>
      </c>
      <c r="F333">
        <v>44.988</v>
      </c>
      <c r="G333" t="s">
        <v>13</v>
      </c>
    </row>
    <row r="334" spans="1:7" x14ac:dyDescent="0.25">
      <c r="A334">
        <v>26</v>
      </c>
      <c r="B334" t="s">
        <v>295</v>
      </c>
      <c r="C334">
        <v>80</v>
      </c>
      <c r="D334" t="s">
        <v>103</v>
      </c>
      <c r="E334" t="s">
        <v>11</v>
      </c>
      <c r="F334">
        <v>1</v>
      </c>
      <c r="G334" t="s">
        <v>13</v>
      </c>
    </row>
    <row r="335" spans="1:7" x14ac:dyDescent="0.25">
      <c r="A335">
        <v>26</v>
      </c>
      <c r="B335" t="s">
        <v>295</v>
      </c>
      <c r="C335">
        <v>90</v>
      </c>
      <c r="D335" t="s">
        <v>319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295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295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295</v>
      </c>
      <c r="C338">
        <v>120</v>
      </c>
      <c r="D338" t="s">
        <v>317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295</v>
      </c>
      <c r="C339">
        <v>130</v>
      </c>
      <c r="D339" t="s">
        <v>296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297</v>
      </c>
      <c r="C340">
        <v>10</v>
      </c>
      <c r="D340" t="s">
        <v>320</v>
      </c>
      <c r="E340" t="s">
        <v>14</v>
      </c>
      <c r="F340">
        <v>4.2670000000000003</v>
      </c>
      <c r="G340" t="s">
        <v>13</v>
      </c>
    </row>
    <row r="341" spans="1:7" x14ac:dyDescent="0.25">
      <c r="A341">
        <v>27</v>
      </c>
      <c r="B341" t="s">
        <v>297</v>
      </c>
      <c r="C341">
        <v>20</v>
      </c>
      <c r="D341" t="s">
        <v>93</v>
      </c>
      <c r="E341" t="s">
        <v>14</v>
      </c>
      <c r="F341">
        <v>192.83699999999999</v>
      </c>
      <c r="G341" t="s">
        <v>13</v>
      </c>
    </row>
    <row r="342" spans="1:7" x14ac:dyDescent="0.25">
      <c r="A342">
        <v>27</v>
      </c>
      <c r="B342" t="s">
        <v>297</v>
      </c>
      <c r="C342">
        <v>30</v>
      </c>
      <c r="D342" t="s">
        <v>16</v>
      </c>
      <c r="E342" t="s">
        <v>14</v>
      </c>
      <c r="F342">
        <v>51.917999999999999</v>
      </c>
      <c r="G342" t="s">
        <v>13</v>
      </c>
    </row>
    <row r="343" spans="1:7" x14ac:dyDescent="0.25">
      <c r="A343">
        <v>27</v>
      </c>
      <c r="B343" t="s">
        <v>297</v>
      </c>
      <c r="C343">
        <v>40</v>
      </c>
      <c r="D343" t="s">
        <v>318</v>
      </c>
      <c r="E343" t="s">
        <v>11</v>
      </c>
      <c r="F343">
        <v>1</v>
      </c>
      <c r="G343" t="s">
        <v>13</v>
      </c>
    </row>
    <row r="344" spans="1:7" x14ac:dyDescent="0.25">
      <c r="A344">
        <v>27</v>
      </c>
      <c r="B344" t="s">
        <v>297</v>
      </c>
      <c r="C344">
        <v>50</v>
      </c>
      <c r="D344" t="s">
        <v>102</v>
      </c>
      <c r="E344" t="s">
        <v>11</v>
      </c>
      <c r="F344">
        <v>1</v>
      </c>
      <c r="G344" t="s">
        <v>13</v>
      </c>
    </row>
    <row r="345" spans="1:7" x14ac:dyDescent="0.25">
      <c r="A345">
        <v>27</v>
      </c>
      <c r="B345" t="s">
        <v>297</v>
      </c>
      <c r="C345">
        <v>60</v>
      </c>
      <c r="D345" t="s">
        <v>315</v>
      </c>
      <c r="E345" t="s">
        <v>14</v>
      </c>
      <c r="F345">
        <v>7.62</v>
      </c>
      <c r="G345" t="s">
        <v>13</v>
      </c>
    </row>
    <row r="346" spans="1:7" x14ac:dyDescent="0.25">
      <c r="A346">
        <v>27</v>
      </c>
      <c r="B346" t="s">
        <v>297</v>
      </c>
      <c r="C346">
        <v>70</v>
      </c>
      <c r="D346" t="s">
        <v>316</v>
      </c>
      <c r="E346" t="s">
        <v>14</v>
      </c>
      <c r="F346">
        <v>46.863</v>
      </c>
      <c r="G346" t="s">
        <v>13</v>
      </c>
    </row>
    <row r="347" spans="1:7" x14ac:dyDescent="0.25">
      <c r="A347">
        <v>27</v>
      </c>
      <c r="B347" t="s">
        <v>297</v>
      </c>
      <c r="C347">
        <v>80</v>
      </c>
      <c r="D347" t="s">
        <v>103</v>
      </c>
      <c r="E347" t="s">
        <v>11</v>
      </c>
      <c r="F347">
        <v>1</v>
      </c>
      <c r="G347" t="s">
        <v>13</v>
      </c>
    </row>
    <row r="348" spans="1:7" x14ac:dyDescent="0.25">
      <c r="A348">
        <v>27</v>
      </c>
      <c r="B348" t="s">
        <v>297</v>
      </c>
      <c r="C348">
        <v>90</v>
      </c>
      <c r="D348" t="s">
        <v>319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297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297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297</v>
      </c>
      <c r="C351">
        <v>120</v>
      </c>
      <c r="D351" t="s">
        <v>317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297</v>
      </c>
      <c r="C352">
        <v>130</v>
      </c>
      <c r="D352" t="s">
        <v>298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299</v>
      </c>
      <c r="C353">
        <v>10</v>
      </c>
      <c r="D353" t="s">
        <v>320</v>
      </c>
      <c r="E353" t="s">
        <v>14</v>
      </c>
      <c r="F353">
        <v>4.2670000000000003</v>
      </c>
      <c r="G353" t="s">
        <v>13</v>
      </c>
    </row>
    <row r="354" spans="1:7" x14ac:dyDescent="0.25">
      <c r="A354">
        <v>28</v>
      </c>
      <c r="B354" t="s">
        <v>299</v>
      </c>
      <c r="C354">
        <v>20</v>
      </c>
      <c r="D354" t="s">
        <v>93</v>
      </c>
      <c r="E354" t="s">
        <v>14</v>
      </c>
      <c r="F354">
        <v>200.762</v>
      </c>
      <c r="G354" t="s">
        <v>13</v>
      </c>
    </row>
    <row r="355" spans="1:7" x14ac:dyDescent="0.25">
      <c r="A355">
        <v>28</v>
      </c>
      <c r="B355" t="s">
        <v>299</v>
      </c>
      <c r="C355">
        <v>30</v>
      </c>
      <c r="D355" t="s">
        <v>16</v>
      </c>
      <c r="E355" t="s">
        <v>14</v>
      </c>
      <c r="F355">
        <v>54.051000000000002</v>
      </c>
      <c r="G355" t="s">
        <v>13</v>
      </c>
    </row>
    <row r="356" spans="1:7" x14ac:dyDescent="0.25">
      <c r="A356">
        <v>28</v>
      </c>
      <c r="B356" t="s">
        <v>299</v>
      </c>
      <c r="C356">
        <v>40</v>
      </c>
      <c r="D356" t="s">
        <v>318</v>
      </c>
      <c r="E356" t="s">
        <v>11</v>
      </c>
      <c r="F356">
        <v>1</v>
      </c>
      <c r="G356" t="s">
        <v>13</v>
      </c>
    </row>
    <row r="357" spans="1:7" x14ac:dyDescent="0.25">
      <c r="A357">
        <v>28</v>
      </c>
      <c r="B357" t="s">
        <v>299</v>
      </c>
      <c r="C357">
        <v>50</v>
      </c>
      <c r="D357" t="s">
        <v>102</v>
      </c>
      <c r="E357" t="s">
        <v>11</v>
      </c>
      <c r="F357">
        <v>1</v>
      </c>
      <c r="G357" t="s">
        <v>13</v>
      </c>
    </row>
    <row r="358" spans="1:7" x14ac:dyDescent="0.25">
      <c r="A358">
        <v>28</v>
      </c>
      <c r="B358" t="s">
        <v>299</v>
      </c>
      <c r="C358">
        <v>60</v>
      </c>
      <c r="D358" t="s">
        <v>315</v>
      </c>
      <c r="E358" t="s">
        <v>14</v>
      </c>
      <c r="F358">
        <v>7.9249999999999998</v>
      </c>
      <c r="G358" t="s">
        <v>13</v>
      </c>
    </row>
    <row r="359" spans="1:7" x14ac:dyDescent="0.25">
      <c r="A359">
        <v>28</v>
      </c>
      <c r="B359" t="s">
        <v>299</v>
      </c>
      <c r="C359">
        <v>70</v>
      </c>
      <c r="D359" t="s">
        <v>316</v>
      </c>
      <c r="E359" t="s">
        <v>14</v>
      </c>
      <c r="F359">
        <v>48.738</v>
      </c>
      <c r="G359" t="s">
        <v>13</v>
      </c>
    </row>
    <row r="360" spans="1:7" x14ac:dyDescent="0.25">
      <c r="A360">
        <v>28</v>
      </c>
      <c r="B360" t="s">
        <v>299</v>
      </c>
      <c r="C360">
        <v>80</v>
      </c>
      <c r="D360" t="s">
        <v>103</v>
      </c>
      <c r="E360" t="s">
        <v>11</v>
      </c>
      <c r="F360">
        <v>1</v>
      </c>
      <c r="G360" t="s">
        <v>13</v>
      </c>
    </row>
    <row r="361" spans="1:7" x14ac:dyDescent="0.25">
      <c r="A361">
        <v>28</v>
      </c>
      <c r="B361" t="s">
        <v>299</v>
      </c>
      <c r="C361">
        <v>90</v>
      </c>
      <c r="D361" t="s">
        <v>319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299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299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299</v>
      </c>
      <c r="C364">
        <v>120</v>
      </c>
      <c r="D364" t="s">
        <v>317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299</v>
      </c>
      <c r="C365">
        <v>130</v>
      </c>
      <c r="D365" t="s">
        <v>300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301</v>
      </c>
      <c r="C366">
        <v>10</v>
      </c>
      <c r="D366" t="s">
        <v>320</v>
      </c>
      <c r="E366" t="s">
        <v>14</v>
      </c>
      <c r="F366">
        <v>4.47</v>
      </c>
      <c r="G366" t="s">
        <v>13</v>
      </c>
    </row>
    <row r="367" spans="1:7" x14ac:dyDescent="0.25">
      <c r="A367">
        <v>29</v>
      </c>
      <c r="B367" t="s">
        <v>301</v>
      </c>
      <c r="C367">
        <v>20</v>
      </c>
      <c r="D367" t="s">
        <v>93</v>
      </c>
      <c r="E367" t="s">
        <v>14</v>
      </c>
      <c r="F367">
        <v>150.571</v>
      </c>
      <c r="G367" t="s">
        <v>13</v>
      </c>
    </row>
    <row r="368" spans="1:7" x14ac:dyDescent="0.25">
      <c r="A368">
        <v>29</v>
      </c>
      <c r="B368" t="s">
        <v>301</v>
      </c>
      <c r="C368">
        <v>30</v>
      </c>
      <c r="D368" t="s">
        <v>16</v>
      </c>
      <c r="E368" t="s">
        <v>14</v>
      </c>
      <c r="F368">
        <v>40.537999999999997</v>
      </c>
      <c r="G368" t="s">
        <v>13</v>
      </c>
    </row>
    <row r="369" spans="1:7" x14ac:dyDescent="0.25">
      <c r="A369">
        <v>29</v>
      </c>
      <c r="B369" t="s">
        <v>301</v>
      </c>
      <c r="C369">
        <v>40</v>
      </c>
      <c r="D369" t="s">
        <v>318</v>
      </c>
      <c r="E369" t="s">
        <v>11</v>
      </c>
      <c r="F369">
        <v>1</v>
      </c>
      <c r="G369" t="s">
        <v>13</v>
      </c>
    </row>
    <row r="370" spans="1:7" x14ac:dyDescent="0.25">
      <c r="A370">
        <v>29</v>
      </c>
      <c r="B370" t="s">
        <v>301</v>
      </c>
      <c r="C370">
        <v>50</v>
      </c>
      <c r="D370" t="s">
        <v>102</v>
      </c>
      <c r="E370" t="s">
        <v>11</v>
      </c>
      <c r="F370">
        <v>1</v>
      </c>
      <c r="G370" t="s">
        <v>13</v>
      </c>
    </row>
    <row r="371" spans="1:7" x14ac:dyDescent="0.25">
      <c r="A371">
        <v>29</v>
      </c>
      <c r="B371" t="s">
        <v>301</v>
      </c>
      <c r="C371">
        <v>60</v>
      </c>
      <c r="D371" t="s">
        <v>315</v>
      </c>
      <c r="E371" t="s">
        <v>14</v>
      </c>
      <c r="F371">
        <v>5.9939999999999998</v>
      </c>
      <c r="G371" t="s">
        <v>13</v>
      </c>
    </row>
    <row r="372" spans="1:7" x14ac:dyDescent="0.25">
      <c r="A372">
        <v>29</v>
      </c>
      <c r="B372" t="s">
        <v>301</v>
      </c>
      <c r="C372">
        <v>70</v>
      </c>
      <c r="D372" t="s">
        <v>316</v>
      </c>
      <c r="E372" t="s">
        <v>14</v>
      </c>
      <c r="F372">
        <v>36.866</v>
      </c>
      <c r="G372" t="s">
        <v>13</v>
      </c>
    </row>
    <row r="373" spans="1:7" x14ac:dyDescent="0.25">
      <c r="A373">
        <v>29</v>
      </c>
      <c r="B373" t="s">
        <v>301</v>
      </c>
      <c r="C373">
        <v>80</v>
      </c>
      <c r="D373" t="s">
        <v>103</v>
      </c>
      <c r="E373" t="s">
        <v>11</v>
      </c>
      <c r="F373">
        <v>1</v>
      </c>
      <c r="G373" t="s">
        <v>13</v>
      </c>
    </row>
    <row r="374" spans="1:7" x14ac:dyDescent="0.25">
      <c r="A374">
        <v>29</v>
      </c>
      <c r="B374" t="s">
        <v>301</v>
      </c>
      <c r="C374">
        <v>90</v>
      </c>
      <c r="D374" t="s">
        <v>319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301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301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301</v>
      </c>
      <c r="C377">
        <v>120</v>
      </c>
      <c r="D377" t="s">
        <v>317</v>
      </c>
      <c r="E377" t="s">
        <v>12</v>
      </c>
      <c r="F377">
        <v>0.67600000000000005</v>
      </c>
      <c r="G377" t="s">
        <v>13</v>
      </c>
    </row>
    <row r="378" spans="1:7" x14ac:dyDescent="0.25">
      <c r="A378">
        <v>29</v>
      </c>
      <c r="B378" t="s">
        <v>301</v>
      </c>
      <c r="C378">
        <v>130</v>
      </c>
      <c r="D378" t="s">
        <v>302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303</v>
      </c>
      <c r="C379">
        <v>10</v>
      </c>
      <c r="D379" t="s">
        <v>320</v>
      </c>
      <c r="E379" t="s">
        <v>14</v>
      </c>
      <c r="F379">
        <v>4.47</v>
      </c>
      <c r="G379" t="s">
        <v>13</v>
      </c>
    </row>
    <row r="380" spans="1:7" x14ac:dyDescent="0.25">
      <c r="A380">
        <v>30</v>
      </c>
      <c r="B380" t="s">
        <v>303</v>
      </c>
      <c r="C380">
        <v>20</v>
      </c>
      <c r="D380" t="s">
        <v>93</v>
      </c>
      <c r="E380" t="s">
        <v>14</v>
      </c>
      <c r="F380">
        <v>158.49600000000001</v>
      </c>
      <c r="G380" t="s">
        <v>13</v>
      </c>
    </row>
    <row r="381" spans="1:7" x14ac:dyDescent="0.25">
      <c r="A381">
        <v>30</v>
      </c>
      <c r="B381" t="s">
        <v>303</v>
      </c>
      <c r="C381">
        <v>30</v>
      </c>
      <c r="D381" t="s">
        <v>16</v>
      </c>
      <c r="E381" t="s">
        <v>14</v>
      </c>
      <c r="F381">
        <v>42.671999999999997</v>
      </c>
      <c r="G381" t="s">
        <v>13</v>
      </c>
    </row>
    <row r="382" spans="1:7" x14ac:dyDescent="0.25">
      <c r="A382">
        <v>30</v>
      </c>
      <c r="B382" t="s">
        <v>303</v>
      </c>
      <c r="C382">
        <v>40</v>
      </c>
      <c r="D382" t="s">
        <v>318</v>
      </c>
      <c r="E382" t="s">
        <v>11</v>
      </c>
      <c r="F382">
        <v>1</v>
      </c>
      <c r="G382" t="s">
        <v>13</v>
      </c>
    </row>
    <row r="383" spans="1:7" x14ac:dyDescent="0.25">
      <c r="A383">
        <v>30</v>
      </c>
      <c r="B383" t="s">
        <v>303</v>
      </c>
      <c r="C383">
        <v>50</v>
      </c>
      <c r="D383" t="s">
        <v>102</v>
      </c>
      <c r="E383" t="s">
        <v>11</v>
      </c>
      <c r="F383">
        <v>1</v>
      </c>
      <c r="G383" t="s">
        <v>13</v>
      </c>
    </row>
    <row r="384" spans="1:7" x14ac:dyDescent="0.25">
      <c r="A384">
        <v>30</v>
      </c>
      <c r="B384" t="s">
        <v>303</v>
      </c>
      <c r="C384">
        <v>60</v>
      </c>
      <c r="D384" t="s">
        <v>315</v>
      </c>
      <c r="E384" t="s">
        <v>14</v>
      </c>
      <c r="F384">
        <v>6.2990000000000004</v>
      </c>
      <c r="G384" t="s">
        <v>13</v>
      </c>
    </row>
    <row r="385" spans="1:7" x14ac:dyDescent="0.25">
      <c r="A385">
        <v>30</v>
      </c>
      <c r="B385" t="s">
        <v>303</v>
      </c>
      <c r="C385">
        <v>70</v>
      </c>
      <c r="D385" t="s">
        <v>316</v>
      </c>
      <c r="E385" t="s">
        <v>14</v>
      </c>
      <c r="F385">
        <v>38.74</v>
      </c>
      <c r="G385" t="s">
        <v>13</v>
      </c>
    </row>
    <row r="386" spans="1:7" x14ac:dyDescent="0.25">
      <c r="A386">
        <v>30</v>
      </c>
      <c r="B386" t="s">
        <v>303</v>
      </c>
      <c r="C386">
        <v>80</v>
      </c>
      <c r="D386" t="s">
        <v>103</v>
      </c>
      <c r="E386" t="s">
        <v>11</v>
      </c>
      <c r="F386">
        <v>1</v>
      </c>
      <c r="G386" t="s">
        <v>13</v>
      </c>
    </row>
    <row r="387" spans="1:7" x14ac:dyDescent="0.25">
      <c r="A387">
        <v>30</v>
      </c>
      <c r="B387" t="s">
        <v>303</v>
      </c>
      <c r="C387">
        <v>90</v>
      </c>
      <c r="D387" t="s">
        <v>319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303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303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303</v>
      </c>
      <c r="C390">
        <v>120</v>
      </c>
      <c r="D390" t="s">
        <v>317</v>
      </c>
      <c r="E390" t="s">
        <v>12</v>
      </c>
      <c r="F390">
        <v>0.67600000000000005</v>
      </c>
      <c r="G390" t="s">
        <v>13</v>
      </c>
    </row>
    <row r="391" spans="1:7" x14ac:dyDescent="0.25">
      <c r="A391">
        <v>30</v>
      </c>
      <c r="B391" t="s">
        <v>303</v>
      </c>
      <c r="C391">
        <v>130</v>
      </c>
      <c r="D391" t="s">
        <v>304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305</v>
      </c>
      <c r="C392">
        <v>10</v>
      </c>
      <c r="D392" t="s">
        <v>320</v>
      </c>
      <c r="E392" t="s">
        <v>14</v>
      </c>
      <c r="F392">
        <v>4.47</v>
      </c>
      <c r="G392" t="s">
        <v>13</v>
      </c>
    </row>
    <row r="393" spans="1:7" x14ac:dyDescent="0.25">
      <c r="A393">
        <v>31</v>
      </c>
      <c r="B393" t="s">
        <v>305</v>
      </c>
      <c r="C393">
        <v>20</v>
      </c>
      <c r="D393" t="s">
        <v>93</v>
      </c>
      <c r="E393" t="s">
        <v>14</v>
      </c>
      <c r="F393">
        <v>166.42099999999999</v>
      </c>
      <c r="G393" t="s">
        <v>13</v>
      </c>
    </row>
    <row r="394" spans="1:7" x14ac:dyDescent="0.25">
      <c r="A394">
        <v>31</v>
      </c>
      <c r="B394" t="s">
        <v>305</v>
      </c>
      <c r="C394">
        <v>30</v>
      </c>
      <c r="D394" t="s">
        <v>16</v>
      </c>
      <c r="E394" t="s">
        <v>14</v>
      </c>
      <c r="F394">
        <v>44.805999999999997</v>
      </c>
      <c r="G394" t="s">
        <v>13</v>
      </c>
    </row>
    <row r="395" spans="1:7" x14ac:dyDescent="0.25">
      <c r="A395">
        <v>31</v>
      </c>
      <c r="B395" t="s">
        <v>305</v>
      </c>
      <c r="C395">
        <v>40</v>
      </c>
      <c r="D395" t="s">
        <v>318</v>
      </c>
      <c r="E395" t="s">
        <v>11</v>
      </c>
      <c r="F395">
        <v>1</v>
      </c>
      <c r="G395" t="s">
        <v>13</v>
      </c>
    </row>
    <row r="396" spans="1:7" x14ac:dyDescent="0.25">
      <c r="A396">
        <v>31</v>
      </c>
      <c r="B396" t="s">
        <v>305</v>
      </c>
      <c r="C396">
        <v>50</v>
      </c>
      <c r="D396" t="s">
        <v>102</v>
      </c>
      <c r="E396" t="s">
        <v>11</v>
      </c>
      <c r="F396">
        <v>1</v>
      </c>
      <c r="G396" t="s">
        <v>13</v>
      </c>
    </row>
    <row r="397" spans="1:7" x14ac:dyDescent="0.25">
      <c r="A397">
        <v>31</v>
      </c>
      <c r="B397" t="s">
        <v>305</v>
      </c>
      <c r="C397">
        <v>60</v>
      </c>
      <c r="D397" t="s">
        <v>315</v>
      </c>
      <c r="E397" t="s">
        <v>14</v>
      </c>
      <c r="F397">
        <v>6.6040000000000001</v>
      </c>
      <c r="G397" t="s">
        <v>13</v>
      </c>
    </row>
    <row r="398" spans="1:7" x14ac:dyDescent="0.25">
      <c r="A398">
        <v>31</v>
      </c>
      <c r="B398" t="s">
        <v>305</v>
      </c>
      <c r="C398">
        <v>70</v>
      </c>
      <c r="D398" t="s">
        <v>316</v>
      </c>
      <c r="E398" t="s">
        <v>14</v>
      </c>
      <c r="F398">
        <v>40.615000000000002</v>
      </c>
      <c r="G398" t="s">
        <v>13</v>
      </c>
    </row>
    <row r="399" spans="1:7" x14ac:dyDescent="0.25">
      <c r="A399">
        <v>31</v>
      </c>
      <c r="B399" t="s">
        <v>305</v>
      </c>
      <c r="C399">
        <v>80</v>
      </c>
      <c r="D399" t="s">
        <v>103</v>
      </c>
      <c r="E399" t="s">
        <v>11</v>
      </c>
      <c r="F399">
        <v>1</v>
      </c>
      <c r="G399" t="s">
        <v>13</v>
      </c>
    </row>
    <row r="400" spans="1:7" x14ac:dyDescent="0.25">
      <c r="A400">
        <v>31</v>
      </c>
      <c r="B400" t="s">
        <v>305</v>
      </c>
      <c r="C400">
        <v>90</v>
      </c>
      <c r="D400" t="s">
        <v>319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305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305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305</v>
      </c>
      <c r="C403">
        <v>120</v>
      </c>
      <c r="D403" t="s">
        <v>317</v>
      </c>
      <c r="E403" t="s">
        <v>12</v>
      </c>
      <c r="F403">
        <v>0.67600000000000005</v>
      </c>
      <c r="G403" t="s">
        <v>13</v>
      </c>
    </row>
    <row r="404" spans="1:7" x14ac:dyDescent="0.25">
      <c r="A404">
        <v>31</v>
      </c>
      <c r="B404" t="s">
        <v>305</v>
      </c>
      <c r="C404">
        <v>130</v>
      </c>
      <c r="D404" t="s">
        <v>306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307</v>
      </c>
      <c r="C405">
        <v>10</v>
      </c>
      <c r="D405" t="s">
        <v>320</v>
      </c>
      <c r="E405" t="s">
        <v>14</v>
      </c>
      <c r="F405">
        <v>4.47</v>
      </c>
      <c r="G405" t="s">
        <v>13</v>
      </c>
    </row>
    <row r="406" spans="1:7" x14ac:dyDescent="0.25">
      <c r="A406">
        <v>32</v>
      </c>
      <c r="B406" t="s">
        <v>307</v>
      </c>
      <c r="C406">
        <v>20</v>
      </c>
      <c r="D406" t="s">
        <v>93</v>
      </c>
      <c r="E406" t="s">
        <v>14</v>
      </c>
      <c r="F406">
        <v>174.346</v>
      </c>
      <c r="G406" t="s">
        <v>13</v>
      </c>
    </row>
    <row r="407" spans="1:7" x14ac:dyDescent="0.25">
      <c r="A407">
        <v>32</v>
      </c>
      <c r="B407" t="s">
        <v>307</v>
      </c>
      <c r="C407">
        <v>30</v>
      </c>
      <c r="D407" t="s">
        <v>16</v>
      </c>
      <c r="E407" t="s">
        <v>14</v>
      </c>
      <c r="F407">
        <v>46.939</v>
      </c>
      <c r="G407" t="s">
        <v>13</v>
      </c>
    </row>
    <row r="408" spans="1:7" x14ac:dyDescent="0.25">
      <c r="A408">
        <v>32</v>
      </c>
      <c r="B408" t="s">
        <v>307</v>
      </c>
      <c r="C408">
        <v>40</v>
      </c>
      <c r="D408" t="s">
        <v>318</v>
      </c>
      <c r="E408" t="s">
        <v>11</v>
      </c>
      <c r="F408">
        <v>1</v>
      </c>
      <c r="G408" t="s">
        <v>13</v>
      </c>
    </row>
    <row r="409" spans="1:7" x14ac:dyDescent="0.25">
      <c r="A409">
        <v>32</v>
      </c>
      <c r="B409" t="s">
        <v>307</v>
      </c>
      <c r="C409">
        <v>50</v>
      </c>
      <c r="D409" t="s">
        <v>102</v>
      </c>
      <c r="E409" t="s">
        <v>11</v>
      </c>
      <c r="F409">
        <v>1</v>
      </c>
      <c r="G409" t="s">
        <v>13</v>
      </c>
    </row>
    <row r="410" spans="1:7" x14ac:dyDescent="0.25">
      <c r="A410">
        <v>32</v>
      </c>
      <c r="B410" t="s">
        <v>307</v>
      </c>
      <c r="C410">
        <v>60</v>
      </c>
      <c r="D410" t="s">
        <v>315</v>
      </c>
      <c r="E410" t="s">
        <v>14</v>
      </c>
      <c r="F410">
        <v>6.9089999999999998</v>
      </c>
      <c r="G410" t="s">
        <v>13</v>
      </c>
    </row>
    <row r="411" spans="1:7" x14ac:dyDescent="0.25">
      <c r="A411">
        <v>32</v>
      </c>
      <c r="B411" t="s">
        <v>307</v>
      </c>
      <c r="C411">
        <v>70</v>
      </c>
      <c r="D411" t="s">
        <v>316</v>
      </c>
      <c r="E411" t="s">
        <v>14</v>
      </c>
      <c r="F411">
        <v>42.488999999999997</v>
      </c>
      <c r="G411" t="s">
        <v>13</v>
      </c>
    </row>
    <row r="412" spans="1:7" x14ac:dyDescent="0.25">
      <c r="A412">
        <v>32</v>
      </c>
      <c r="B412" t="s">
        <v>307</v>
      </c>
      <c r="C412">
        <v>80</v>
      </c>
      <c r="D412" t="s">
        <v>103</v>
      </c>
      <c r="E412" t="s">
        <v>11</v>
      </c>
      <c r="F412">
        <v>1</v>
      </c>
      <c r="G412" t="s">
        <v>13</v>
      </c>
    </row>
    <row r="413" spans="1:7" x14ac:dyDescent="0.25">
      <c r="A413">
        <v>32</v>
      </c>
      <c r="B413" t="s">
        <v>307</v>
      </c>
      <c r="C413">
        <v>90</v>
      </c>
      <c r="D413" t="s">
        <v>319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307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307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307</v>
      </c>
      <c r="C416">
        <v>120</v>
      </c>
      <c r="D416" t="s">
        <v>317</v>
      </c>
      <c r="E416" t="s">
        <v>12</v>
      </c>
      <c r="F416">
        <v>0.67600000000000005</v>
      </c>
      <c r="G416" t="s">
        <v>13</v>
      </c>
    </row>
    <row r="417" spans="1:7" x14ac:dyDescent="0.25">
      <c r="A417">
        <v>32</v>
      </c>
      <c r="B417" t="s">
        <v>307</v>
      </c>
      <c r="C417">
        <v>130</v>
      </c>
      <c r="D417" t="s">
        <v>308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309</v>
      </c>
      <c r="C418">
        <v>10</v>
      </c>
      <c r="D418" t="s">
        <v>320</v>
      </c>
      <c r="E418" t="s">
        <v>14</v>
      </c>
      <c r="F418">
        <v>4.47</v>
      </c>
      <c r="G418" t="s">
        <v>13</v>
      </c>
    </row>
    <row r="419" spans="1:7" x14ac:dyDescent="0.25">
      <c r="A419">
        <v>33</v>
      </c>
      <c r="B419" t="s">
        <v>309</v>
      </c>
      <c r="C419">
        <v>20</v>
      </c>
      <c r="D419" t="s">
        <v>93</v>
      </c>
      <c r="E419" t="s">
        <v>14</v>
      </c>
      <c r="F419">
        <v>190.19499999999999</v>
      </c>
      <c r="G419" t="s">
        <v>13</v>
      </c>
    </row>
    <row r="420" spans="1:7" x14ac:dyDescent="0.25">
      <c r="A420">
        <v>33</v>
      </c>
      <c r="B420" t="s">
        <v>309</v>
      </c>
      <c r="C420">
        <v>30</v>
      </c>
      <c r="D420" t="s">
        <v>16</v>
      </c>
      <c r="E420" t="s">
        <v>14</v>
      </c>
      <c r="F420">
        <v>51.206000000000003</v>
      </c>
      <c r="G420" t="s">
        <v>13</v>
      </c>
    </row>
    <row r="421" spans="1:7" x14ac:dyDescent="0.25">
      <c r="A421">
        <v>33</v>
      </c>
      <c r="B421" t="s">
        <v>309</v>
      </c>
      <c r="C421">
        <v>40</v>
      </c>
      <c r="D421" t="s">
        <v>318</v>
      </c>
      <c r="E421" t="s">
        <v>11</v>
      </c>
      <c r="F421">
        <v>1</v>
      </c>
      <c r="G421" t="s">
        <v>13</v>
      </c>
    </row>
    <row r="422" spans="1:7" x14ac:dyDescent="0.25">
      <c r="A422">
        <v>33</v>
      </c>
      <c r="B422" t="s">
        <v>309</v>
      </c>
      <c r="C422">
        <v>50</v>
      </c>
      <c r="D422" t="s">
        <v>102</v>
      </c>
      <c r="E422" t="s">
        <v>11</v>
      </c>
      <c r="F422">
        <v>1</v>
      </c>
      <c r="G422" t="s">
        <v>13</v>
      </c>
    </row>
    <row r="423" spans="1:7" x14ac:dyDescent="0.25">
      <c r="A423">
        <v>33</v>
      </c>
      <c r="B423" t="s">
        <v>309</v>
      </c>
      <c r="C423">
        <v>60</v>
      </c>
      <c r="D423" t="s">
        <v>315</v>
      </c>
      <c r="E423" t="s">
        <v>14</v>
      </c>
      <c r="F423">
        <v>7.5179999999999998</v>
      </c>
      <c r="G423" t="s">
        <v>13</v>
      </c>
    </row>
    <row r="424" spans="1:7" x14ac:dyDescent="0.25">
      <c r="A424">
        <v>33</v>
      </c>
      <c r="B424" t="s">
        <v>309</v>
      </c>
      <c r="C424">
        <v>70</v>
      </c>
      <c r="D424" t="s">
        <v>316</v>
      </c>
      <c r="E424" t="s">
        <v>14</v>
      </c>
      <c r="F424">
        <v>46.238</v>
      </c>
      <c r="G424" t="s">
        <v>13</v>
      </c>
    </row>
    <row r="425" spans="1:7" x14ac:dyDescent="0.25">
      <c r="A425">
        <v>33</v>
      </c>
      <c r="B425" t="s">
        <v>309</v>
      </c>
      <c r="C425">
        <v>80</v>
      </c>
      <c r="D425" t="s">
        <v>103</v>
      </c>
      <c r="E425" t="s">
        <v>11</v>
      </c>
      <c r="F425">
        <v>1</v>
      </c>
      <c r="G425" t="s">
        <v>13</v>
      </c>
    </row>
    <row r="426" spans="1:7" x14ac:dyDescent="0.25">
      <c r="A426">
        <v>33</v>
      </c>
      <c r="B426" t="s">
        <v>309</v>
      </c>
      <c r="C426">
        <v>90</v>
      </c>
      <c r="D426" t="s">
        <v>319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309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309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309</v>
      </c>
      <c r="C429">
        <v>120</v>
      </c>
      <c r="D429" t="s">
        <v>317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309</v>
      </c>
      <c r="C430">
        <v>130</v>
      </c>
      <c r="D430" t="s">
        <v>310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311</v>
      </c>
      <c r="C431">
        <v>10</v>
      </c>
      <c r="D431" t="s">
        <v>320</v>
      </c>
      <c r="E431" t="s">
        <v>14</v>
      </c>
      <c r="F431">
        <v>4.47</v>
      </c>
      <c r="G431" t="s">
        <v>13</v>
      </c>
    </row>
    <row r="432" spans="1:7" x14ac:dyDescent="0.25">
      <c r="A432">
        <v>34</v>
      </c>
      <c r="B432" t="s">
        <v>311</v>
      </c>
      <c r="C432">
        <v>20</v>
      </c>
      <c r="D432" t="s">
        <v>93</v>
      </c>
      <c r="E432" t="s">
        <v>14</v>
      </c>
      <c r="F432">
        <v>198.12</v>
      </c>
      <c r="G432" t="s">
        <v>13</v>
      </c>
    </row>
    <row r="433" spans="1:7" x14ac:dyDescent="0.25">
      <c r="A433">
        <v>34</v>
      </c>
      <c r="B433" t="s">
        <v>311</v>
      </c>
      <c r="C433">
        <v>30</v>
      </c>
      <c r="D433" t="s">
        <v>16</v>
      </c>
      <c r="E433" t="s">
        <v>14</v>
      </c>
      <c r="F433">
        <v>53.34</v>
      </c>
      <c r="G433" t="s">
        <v>13</v>
      </c>
    </row>
    <row r="434" spans="1:7" x14ac:dyDescent="0.25">
      <c r="A434">
        <v>34</v>
      </c>
      <c r="B434" t="s">
        <v>311</v>
      </c>
      <c r="C434">
        <v>40</v>
      </c>
      <c r="D434" t="s">
        <v>318</v>
      </c>
      <c r="E434" t="s">
        <v>11</v>
      </c>
      <c r="F434">
        <v>1</v>
      </c>
      <c r="G434" t="s">
        <v>13</v>
      </c>
    </row>
    <row r="435" spans="1:7" x14ac:dyDescent="0.25">
      <c r="A435">
        <v>34</v>
      </c>
      <c r="B435" t="s">
        <v>311</v>
      </c>
      <c r="C435">
        <v>50</v>
      </c>
      <c r="D435" t="s">
        <v>102</v>
      </c>
      <c r="E435" t="s">
        <v>11</v>
      </c>
      <c r="F435">
        <v>1</v>
      </c>
      <c r="G435" t="s">
        <v>13</v>
      </c>
    </row>
    <row r="436" spans="1:7" x14ac:dyDescent="0.25">
      <c r="A436">
        <v>34</v>
      </c>
      <c r="B436" t="s">
        <v>311</v>
      </c>
      <c r="C436">
        <v>60</v>
      </c>
      <c r="D436" t="s">
        <v>315</v>
      </c>
      <c r="E436" t="s">
        <v>14</v>
      </c>
      <c r="F436">
        <v>7.8230000000000004</v>
      </c>
      <c r="G436" t="s">
        <v>13</v>
      </c>
    </row>
    <row r="437" spans="1:7" x14ac:dyDescent="0.25">
      <c r="A437">
        <v>34</v>
      </c>
      <c r="B437" t="s">
        <v>311</v>
      </c>
      <c r="C437">
        <v>70</v>
      </c>
      <c r="D437" t="s">
        <v>316</v>
      </c>
      <c r="E437" t="s">
        <v>14</v>
      </c>
      <c r="F437">
        <v>48.113</v>
      </c>
      <c r="G437" t="s">
        <v>13</v>
      </c>
    </row>
    <row r="438" spans="1:7" x14ac:dyDescent="0.25">
      <c r="A438">
        <v>34</v>
      </c>
      <c r="B438" t="s">
        <v>311</v>
      </c>
      <c r="C438">
        <v>80</v>
      </c>
      <c r="D438" t="s">
        <v>103</v>
      </c>
      <c r="E438" t="s">
        <v>11</v>
      </c>
      <c r="F438">
        <v>1</v>
      </c>
      <c r="G438" t="s">
        <v>13</v>
      </c>
    </row>
    <row r="439" spans="1:7" x14ac:dyDescent="0.25">
      <c r="A439">
        <v>34</v>
      </c>
      <c r="B439" t="s">
        <v>311</v>
      </c>
      <c r="C439">
        <v>90</v>
      </c>
      <c r="D439" t="s">
        <v>319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311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311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311</v>
      </c>
      <c r="C442">
        <v>120</v>
      </c>
      <c r="D442" t="s">
        <v>317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311</v>
      </c>
      <c r="C443">
        <v>130</v>
      </c>
      <c r="D443" t="s">
        <v>312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313</v>
      </c>
      <c r="C444">
        <v>10</v>
      </c>
      <c r="D444" t="s">
        <v>320</v>
      </c>
      <c r="E444" t="s">
        <v>14</v>
      </c>
      <c r="F444">
        <v>4.47</v>
      </c>
      <c r="G444" t="s">
        <v>13</v>
      </c>
    </row>
    <row r="445" spans="1:7" x14ac:dyDescent="0.25">
      <c r="A445">
        <v>35</v>
      </c>
      <c r="B445" t="s">
        <v>313</v>
      </c>
      <c r="C445">
        <v>20</v>
      </c>
      <c r="D445" t="s">
        <v>93</v>
      </c>
      <c r="E445" t="s">
        <v>14</v>
      </c>
      <c r="F445">
        <v>206.04499999999999</v>
      </c>
      <c r="G445" t="s">
        <v>13</v>
      </c>
    </row>
    <row r="446" spans="1:7" x14ac:dyDescent="0.25">
      <c r="A446">
        <v>35</v>
      </c>
      <c r="B446" t="s">
        <v>313</v>
      </c>
      <c r="C446">
        <v>30</v>
      </c>
      <c r="D446" t="s">
        <v>16</v>
      </c>
      <c r="E446" t="s">
        <v>14</v>
      </c>
      <c r="F446">
        <v>55.473999999999997</v>
      </c>
      <c r="G446" t="s">
        <v>13</v>
      </c>
    </row>
    <row r="447" spans="1:7" x14ac:dyDescent="0.25">
      <c r="A447">
        <v>35</v>
      </c>
      <c r="B447" t="s">
        <v>313</v>
      </c>
      <c r="C447">
        <v>40</v>
      </c>
      <c r="D447" t="s">
        <v>318</v>
      </c>
      <c r="E447" t="s">
        <v>11</v>
      </c>
      <c r="F447">
        <v>1</v>
      </c>
      <c r="G447" t="s">
        <v>13</v>
      </c>
    </row>
    <row r="448" spans="1:7" x14ac:dyDescent="0.25">
      <c r="A448">
        <v>35</v>
      </c>
      <c r="B448" t="s">
        <v>313</v>
      </c>
      <c r="C448">
        <v>50</v>
      </c>
      <c r="D448" t="s">
        <v>102</v>
      </c>
      <c r="E448" t="s">
        <v>11</v>
      </c>
      <c r="F448">
        <v>1</v>
      </c>
      <c r="G448" t="s">
        <v>13</v>
      </c>
    </row>
    <row r="449" spans="1:7" x14ac:dyDescent="0.25">
      <c r="A449">
        <v>35</v>
      </c>
      <c r="B449" t="s">
        <v>313</v>
      </c>
      <c r="C449">
        <v>60</v>
      </c>
      <c r="D449" t="s">
        <v>315</v>
      </c>
      <c r="E449" t="s">
        <v>14</v>
      </c>
      <c r="F449">
        <v>8.1280000000000001</v>
      </c>
      <c r="G449" t="s">
        <v>13</v>
      </c>
    </row>
    <row r="450" spans="1:7" x14ac:dyDescent="0.25">
      <c r="A450">
        <v>35</v>
      </c>
      <c r="B450" t="s">
        <v>313</v>
      </c>
      <c r="C450">
        <v>70</v>
      </c>
      <c r="D450" t="s">
        <v>316</v>
      </c>
      <c r="E450" t="s">
        <v>14</v>
      </c>
      <c r="F450">
        <v>49.987000000000002</v>
      </c>
      <c r="G450" t="s">
        <v>13</v>
      </c>
    </row>
    <row r="451" spans="1:7" x14ac:dyDescent="0.25">
      <c r="A451">
        <v>35</v>
      </c>
      <c r="B451" t="s">
        <v>313</v>
      </c>
      <c r="C451">
        <v>80</v>
      </c>
      <c r="D451" t="s">
        <v>103</v>
      </c>
      <c r="E451" t="s">
        <v>11</v>
      </c>
      <c r="F451">
        <v>1</v>
      </c>
      <c r="G451" t="s">
        <v>13</v>
      </c>
    </row>
    <row r="452" spans="1:7" x14ac:dyDescent="0.25">
      <c r="A452">
        <v>35</v>
      </c>
      <c r="B452" t="s">
        <v>313</v>
      </c>
      <c r="C452">
        <v>90</v>
      </c>
      <c r="D452" t="s">
        <v>319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313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313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313</v>
      </c>
      <c r="C455">
        <v>120</v>
      </c>
      <c r="D455" t="s">
        <v>317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313</v>
      </c>
      <c r="C456">
        <v>130</v>
      </c>
      <c r="D456" t="s">
        <v>314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105</v>
      </c>
      <c r="C457">
        <v>10</v>
      </c>
      <c r="D457" t="s">
        <v>320</v>
      </c>
      <c r="E457" t="s">
        <v>14</v>
      </c>
      <c r="F457">
        <v>1.778</v>
      </c>
      <c r="G457" t="s">
        <v>13</v>
      </c>
    </row>
    <row r="458" spans="1:7" x14ac:dyDescent="0.25">
      <c r="A458">
        <v>36</v>
      </c>
      <c r="B458" t="s">
        <v>105</v>
      </c>
      <c r="C458">
        <v>20</v>
      </c>
      <c r="D458" t="s">
        <v>93</v>
      </c>
      <c r="E458" t="s">
        <v>14</v>
      </c>
      <c r="F458">
        <v>134.72200000000001</v>
      </c>
      <c r="G458" t="s">
        <v>13</v>
      </c>
    </row>
    <row r="459" spans="1:7" x14ac:dyDescent="0.25">
      <c r="A459">
        <v>36</v>
      </c>
      <c r="B459" t="s">
        <v>105</v>
      </c>
      <c r="C459">
        <v>30</v>
      </c>
      <c r="D459" t="s">
        <v>16</v>
      </c>
      <c r="E459" t="s">
        <v>14</v>
      </c>
      <c r="F459">
        <v>36.271000000000001</v>
      </c>
      <c r="G459" t="s">
        <v>13</v>
      </c>
    </row>
    <row r="460" spans="1:7" x14ac:dyDescent="0.25">
      <c r="A460">
        <v>36</v>
      </c>
      <c r="B460" t="s">
        <v>105</v>
      </c>
      <c r="C460">
        <v>40</v>
      </c>
      <c r="D460" t="s">
        <v>318</v>
      </c>
      <c r="E460" t="s">
        <v>11</v>
      </c>
      <c r="F460">
        <v>1</v>
      </c>
      <c r="G460" t="s">
        <v>13</v>
      </c>
    </row>
    <row r="461" spans="1:7" x14ac:dyDescent="0.25">
      <c r="A461">
        <v>36</v>
      </c>
      <c r="B461" t="s">
        <v>105</v>
      </c>
      <c r="C461">
        <v>50</v>
      </c>
      <c r="D461" t="s">
        <v>102</v>
      </c>
      <c r="E461" t="s">
        <v>11</v>
      </c>
      <c r="F461">
        <v>1</v>
      </c>
      <c r="G461" t="s">
        <v>13</v>
      </c>
    </row>
    <row r="462" spans="1:7" x14ac:dyDescent="0.25">
      <c r="A462">
        <v>36</v>
      </c>
      <c r="B462" t="s">
        <v>105</v>
      </c>
      <c r="C462">
        <v>60</v>
      </c>
      <c r="D462" t="s">
        <v>315</v>
      </c>
      <c r="E462" t="s">
        <v>14</v>
      </c>
      <c r="F462">
        <v>5.3849999999999998</v>
      </c>
      <c r="G462" t="s">
        <v>13</v>
      </c>
    </row>
    <row r="463" spans="1:7" x14ac:dyDescent="0.25">
      <c r="A463">
        <v>36</v>
      </c>
      <c r="B463" t="s">
        <v>105</v>
      </c>
      <c r="C463">
        <v>70</v>
      </c>
      <c r="D463" t="s">
        <v>316</v>
      </c>
      <c r="E463" t="s">
        <v>14</v>
      </c>
      <c r="F463">
        <v>33.116999999999997</v>
      </c>
      <c r="G463" t="s">
        <v>13</v>
      </c>
    </row>
    <row r="464" spans="1:7" x14ac:dyDescent="0.25">
      <c r="A464">
        <v>36</v>
      </c>
      <c r="B464" t="s">
        <v>105</v>
      </c>
      <c r="C464">
        <v>80</v>
      </c>
      <c r="D464" t="s">
        <v>103</v>
      </c>
      <c r="E464" t="s">
        <v>11</v>
      </c>
      <c r="F464">
        <v>1</v>
      </c>
      <c r="G464" t="s">
        <v>13</v>
      </c>
    </row>
    <row r="465" spans="1:7" x14ac:dyDescent="0.25">
      <c r="A465">
        <v>36</v>
      </c>
      <c r="B465" t="s">
        <v>105</v>
      </c>
      <c r="C465">
        <v>90</v>
      </c>
      <c r="D465" t="s">
        <v>319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105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105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105</v>
      </c>
      <c r="C468">
        <v>120</v>
      </c>
      <c r="D468" t="s">
        <v>317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36</v>
      </c>
      <c r="B469" t="s">
        <v>105</v>
      </c>
      <c r="C469">
        <v>130</v>
      </c>
      <c r="D469" t="s">
        <v>106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107</v>
      </c>
      <c r="C470">
        <v>10</v>
      </c>
      <c r="D470" t="s">
        <v>320</v>
      </c>
      <c r="E470" t="s">
        <v>14</v>
      </c>
      <c r="F470">
        <v>2.0830000000000002</v>
      </c>
      <c r="G470" t="s">
        <v>13</v>
      </c>
    </row>
    <row r="471" spans="1:7" x14ac:dyDescent="0.25">
      <c r="A471">
        <v>37</v>
      </c>
      <c r="B471" t="s">
        <v>107</v>
      </c>
      <c r="C471">
        <v>20</v>
      </c>
      <c r="D471" t="s">
        <v>93</v>
      </c>
      <c r="E471" t="s">
        <v>14</v>
      </c>
      <c r="F471">
        <v>142.64599999999999</v>
      </c>
      <c r="G471" t="s">
        <v>13</v>
      </c>
    </row>
    <row r="472" spans="1:7" x14ac:dyDescent="0.25">
      <c r="A472">
        <v>37</v>
      </c>
      <c r="B472" t="s">
        <v>107</v>
      </c>
      <c r="C472">
        <v>30</v>
      </c>
      <c r="D472" t="s">
        <v>16</v>
      </c>
      <c r="E472" t="s">
        <v>14</v>
      </c>
      <c r="F472">
        <v>38.405000000000001</v>
      </c>
      <c r="G472" t="s">
        <v>13</v>
      </c>
    </row>
    <row r="473" spans="1:7" x14ac:dyDescent="0.25">
      <c r="A473">
        <v>37</v>
      </c>
      <c r="B473" t="s">
        <v>107</v>
      </c>
      <c r="C473">
        <v>40</v>
      </c>
      <c r="D473" t="s">
        <v>318</v>
      </c>
      <c r="E473" t="s">
        <v>11</v>
      </c>
      <c r="F473">
        <v>1</v>
      </c>
      <c r="G473" t="s">
        <v>13</v>
      </c>
    </row>
    <row r="474" spans="1:7" x14ac:dyDescent="0.25">
      <c r="A474">
        <v>37</v>
      </c>
      <c r="B474" t="s">
        <v>107</v>
      </c>
      <c r="C474">
        <v>50</v>
      </c>
      <c r="D474" t="s">
        <v>102</v>
      </c>
      <c r="E474" t="s">
        <v>11</v>
      </c>
      <c r="F474">
        <v>1</v>
      </c>
      <c r="G474" t="s">
        <v>13</v>
      </c>
    </row>
    <row r="475" spans="1:7" x14ac:dyDescent="0.25">
      <c r="A475">
        <v>37</v>
      </c>
      <c r="B475" t="s">
        <v>107</v>
      </c>
      <c r="C475">
        <v>60</v>
      </c>
      <c r="D475" t="s">
        <v>315</v>
      </c>
      <c r="E475" t="s">
        <v>14</v>
      </c>
      <c r="F475">
        <v>5.69</v>
      </c>
      <c r="G475" t="s">
        <v>13</v>
      </c>
    </row>
    <row r="476" spans="1:7" x14ac:dyDescent="0.25">
      <c r="A476">
        <v>37</v>
      </c>
      <c r="B476" t="s">
        <v>107</v>
      </c>
      <c r="C476">
        <v>70</v>
      </c>
      <c r="D476" t="s">
        <v>316</v>
      </c>
      <c r="E476" t="s">
        <v>14</v>
      </c>
      <c r="F476">
        <v>34.991</v>
      </c>
      <c r="G476" t="s">
        <v>13</v>
      </c>
    </row>
    <row r="477" spans="1:7" x14ac:dyDescent="0.25">
      <c r="A477">
        <v>37</v>
      </c>
      <c r="B477" t="s">
        <v>107</v>
      </c>
      <c r="C477">
        <v>80</v>
      </c>
      <c r="D477" t="s">
        <v>103</v>
      </c>
      <c r="E477" t="s">
        <v>11</v>
      </c>
      <c r="F477">
        <v>1</v>
      </c>
      <c r="G477" t="s">
        <v>13</v>
      </c>
    </row>
    <row r="478" spans="1:7" x14ac:dyDescent="0.25">
      <c r="A478">
        <v>37</v>
      </c>
      <c r="B478" t="s">
        <v>107</v>
      </c>
      <c r="C478">
        <v>90</v>
      </c>
      <c r="D478" t="s">
        <v>319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107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107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107</v>
      </c>
      <c r="C481">
        <v>120</v>
      </c>
      <c r="D481" t="s">
        <v>317</v>
      </c>
      <c r="E481" t="s">
        <v>12</v>
      </c>
      <c r="F481">
        <v>0.32300000000000001</v>
      </c>
      <c r="G481" t="s">
        <v>13</v>
      </c>
    </row>
    <row r="482" spans="1:7" x14ac:dyDescent="0.25">
      <c r="A482">
        <v>37</v>
      </c>
      <c r="B482" t="s">
        <v>107</v>
      </c>
      <c r="C482">
        <v>130</v>
      </c>
      <c r="D482" t="s">
        <v>108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109</v>
      </c>
      <c r="C483">
        <v>10</v>
      </c>
      <c r="D483" t="s">
        <v>320</v>
      </c>
      <c r="E483" t="s">
        <v>14</v>
      </c>
      <c r="F483">
        <v>2.3879999999999999</v>
      </c>
      <c r="G483" t="s">
        <v>13</v>
      </c>
    </row>
    <row r="484" spans="1:7" x14ac:dyDescent="0.25">
      <c r="A484">
        <v>38</v>
      </c>
      <c r="B484" t="s">
        <v>109</v>
      </c>
      <c r="C484">
        <v>20</v>
      </c>
      <c r="D484" t="s">
        <v>93</v>
      </c>
      <c r="E484" t="s">
        <v>14</v>
      </c>
      <c r="F484">
        <v>150.571</v>
      </c>
      <c r="G484" t="s">
        <v>13</v>
      </c>
    </row>
    <row r="485" spans="1:7" x14ac:dyDescent="0.25">
      <c r="A485">
        <v>38</v>
      </c>
      <c r="B485" t="s">
        <v>109</v>
      </c>
      <c r="C485">
        <v>30</v>
      </c>
      <c r="D485" t="s">
        <v>16</v>
      </c>
      <c r="E485" t="s">
        <v>14</v>
      </c>
      <c r="F485">
        <v>40.537999999999997</v>
      </c>
      <c r="G485" t="s">
        <v>13</v>
      </c>
    </row>
    <row r="486" spans="1:7" x14ac:dyDescent="0.25">
      <c r="A486">
        <v>38</v>
      </c>
      <c r="B486" t="s">
        <v>109</v>
      </c>
      <c r="C486">
        <v>40</v>
      </c>
      <c r="D486" t="s">
        <v>318</v>
      </c>
      <c r="E486" t="s">
        <v>11</v>
      </c>
      <c r="F486">
        <v>1</v>
      </c>
      <c r="G486" t="s">
        <v>13</v>
      </c>
    </row>
    <row r="487" spans="1:7" x14ac:dyDescent="0.25">
      <c r="A487">
        <v>38</v>
      </c>
      <c r="B487" t="s">
        <v>109</v>
      </c>
      <c r="C487">
        <v>50</v>
      </c>
      <c r="D487" t="s">
        <v>102</v>
      </c>
      <c r="E487" t="s">
        <v>11</v>
      </c>
      <c r="F487">
        <v>1</v>
      </c>
      <c r="G487" t="s">
        <v>13</v>
      </c>
    </row>
    <row r="488" spans="1:7" x14ac:dyDescent="0.25">
      <c r="A488">
        <v>38</v>
      </c>
      <c r="B488" t="s">
        <v>109</v>
      </c>
      <c r="C488">
        <v>60</v>
      </c>
      <c r="D488" t="s">
        <v>315</v>
      </c>
      <c r="E488" t="s">
        <v>14</v>
      </c>
      <c r="F488">
        <v>5.9939999999999998</v>
      </c>
      <c r="G488" t="s">
        <v>13</v>
      </c>
    </row>
    <row r="489" spans="1:7" x14ac:dyDescent="0.25">
      <c r="A489">
        <v>38</v>
      </c>
      <c r="B489" t="s">
        <v>109</v>
      </c>
      <c r="C489">
        <v>70</v>
      </c>
      <c r="D489" t="s">
        <v>316</v>
      </c>
      <c r="E489" t="s">
        <v>14</v>
      </c>
      <c r="F489">
        <v>36.866</v>
      </c>
      <c r="G489" t="s">
        <v>13</v>
      </c>
    </row>
    <row r="490" spans="1:7" x14ac:dyDescent="0.25">
      <c r="A490">
        <v>38</v>
      </c>
      <c r="B490" t="s">
        <v>109</v>
      </c>
      <c r="C490">
        <v>80</v>
      </c>
      <c r="D490" t="s">
        <v>103</v>
      </c>
      <c r="E490" t="s">
        <v>11</v>
      </c>
      <c r="F490">
        <v>1</v>
      </c>
      <c r="G490" t="s">
        <v>13</v>
      </c>
    </row>
    <row r="491" spans="1:7" x14ac:dyDescent="0.25">
      <c r="A491">
        <v>38</v>
      </c>
      <c r="B491" t="s">
        <v>109</v>
      </c>
      <c r="C491">
        <v>90</v>
      </c>
      <c r="D491" t="s">
        <v>319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109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109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109</v>
      </c>
      <c r="C494">
        <v>120</v>
      </c>
      <c r="D494" t="s">
        <v>317</v>
      </c>
      <c r="E494" t="s">
        <v>12</v>
      </c>
      <c r="F494">
        <v>0.36799999999999999</v>
      </c>
      <c r="G494" t="s">
        <v>13</v>
      </c>
    </row>
    <row r="495" spans="1:7" x14ac:dyDescent="0.25">
      <c r="A495">
        <v>38</v>
      </c>
      <c r="B495" t="s">
        <v>109</v>
      </c>
      <c r="C495">
        <v>130</v>
      </c>
      <c r="D495" t="s">
        <v>110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111</v>
      </c>
      <c r="C496">
        <v>10</v>
      </c>
      <c r="D496" t="s">
        <v>320</v>
      </c>
      <c r="E496" t="s">
        <v>14</v>
      </c>
      <c r="F496">
        <v>2.6920000000000002</v>
      </c>
      <c r="G496" t="s">
        <v>13</v>
      </c>
    </row>
    <row r="497" spans="1:7" x14ac:dyDescent="0.25">
      <c r="A497">
        <v>39</v>
      </c>
      <c r="B497" t="s">
        <v>111</v>
      </c>
      <c r="C497">
        <v>20</v>
      </c>
      <c r="D497" t="s">
        <v>93</v>
      </c>
      <c r="E497" t="s">
        <v>14</v>
      </c>
      <c r="F497">
        <v>158.49600000000001</v>
      </c>
      <c r="G497" t="s">
        <v>13</v>
      </c>
    </row>
    <row r="498" spans="1:7" x14ac:dyDescent="0.25">
      <c r="A498">
        <v>39</v>
      </c>
      <c r="B498" t="s">
        <v>111</v>
      </c>
      <c r="C498">
        <v>30</v>
      </c>
      <c r="D498" t="s">
        <v>16</v>
      </c>
      <c r="E498" t="s">
        <v>14</v>
      </c>
      <c r="F498">
        <v>42.671999999999997</v>
      </c>
      <c r="G498" t="s">
        <v>13</v>
      </c>
    </row>
    <row r="499" spans="1:7" x14ac:dyDescent="0.25">
      <c r="A499">
        <v>39</v>
      </c>
      <c r="B499" t="s">
        <v>111</v>
      </c>
      <c r="C499">
        <v>40</v>
      </c>
      <c r="D499" t="s">
        <v>318</v>
      </c>
      <c r="E499" t="s">
        <v>11</v>
      </c>
      <c r="F499">
        <v>1</v>
      </c>
      <c r="G499" t="s">
        <v>13</v>
      </c>
    </row>
    <row r="500" spans="1:7" x14ac:dyDescent="0.25">
      <c r="A500">
        <v>39</v>
      </c>
      <c r="B500" t="s">
        <v>111</v>
      </c>
      <c r="C500">
        <v>50</v>
      </c>
      <c r="D500" t="s">
        <v>102</v>
      </c>
      <c r="E500" t="s">
        <v>11</v>
      </c>
      <c r="F500">
        <v>1</v>
      </c>
      <c r="G500" t="s">
        <v>13</v>
      </c>
    </row>
    <row r="501" spans="1:7" x14ac:dyDescent="0.25">
      <c r="A501">
        <v>39</v>
      </c>
      <c r="B501" t="s">
        <v>111</v>
      </c>
      <c r="C501">
        <v>60</v>
      </c>
      <c r="D501" t="s">
        <v>315</v>
      </c>
      <c r="E501" t="s">
        <v>14</v>
      </c>
      <c r="F501">
        <v>6.2990000000000004</v>
      </c>
      <c r="G501" t="s">
        <v>13</v>
      </c>
    </row>
    <row r="502" spans="1:7" x14ac:dyDescent="0.25">
      <c r="A502">
        <v>39</v>
      </c>
      <c r="B502" t="s">
        <v>111</v>
      </c>
      <c r="C502">
        <v>70</v>
      </c>
      <c r="D502" t="s">
        <v>316</v>
      </c>
      <c r="E502" t="s">
        <v>14</v>
      </c>
      <c r="F502">
        <v>38.74</v>
      </c>
      <c r="G502" t="s">
        <v>13</v>
      </c>
    </row>
    <row r="503" spans="1:7" x14ac:dyDescent="0.25">
      <c r="A503">
        <v>39</v>
      </c>
      <c r="B503" t="s">
        <v>111</v>
      </c>
      <c r="C503">
        <v>80</v>
      </c>
      <c r="D503" t="s">
        <v>103</v>
      </c>
      <c r="E503" t="s">
        <v>11</v>
      </c>
      <c r="F503">
        <v>1</v>
      </c>
      <c r="G503" t="s">
        <v>13</v>
      </c>
    </row>
    <row r="504" spans="1:7" x14ac:dyDescent="0.25">
      <c r="A504">
        <v>39</v>
      </c>
      <c r="B504" t="s">
        <v>111</v>
      </c>
      <c r="C504">
        <v>90</v>
      </c>
      <c r="D504" t="s">
        <v>319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111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111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111</v>
      </c>
      <c r="C507">
        <v>120</v>
      </c>
      <c r="D507" t="s">
        <v>317</v>
      </c>
      <c r="E507" t="s">
        <v>12</v>
      </c>
      <c r="F507">
        <v>0.41299999999999998</v>
      </c>
      <c r="G507" t="s">
        <v>13</v>
      </c>
    </row>
    <row r="508" spans="1:7" x14ac:dyDescent="0.25">
      <c r="A508">
        <v>39</v>
      </c>
      <c r="B508" t="s">
        <v>111</v>
      </c>
      <c r="C508">
        <v>130</v>
      </c>
      <c r="D508" t="s">
        <v>112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113</v>
      </c>
      <c r="C509">
        <v>10</v>
      </c>
      <c r="D509" t="s">
        <v>320</v>
      </c>
      <c r="E509" t="s">
        <v>14</v>
      </c>
      <c r="F509">
        <v>3.302</v>
      </c>
      <c r="G509" t="s">
        <v>13</v>
      </c>
    </row>
    <row r="510" spans="1:7" x14ac:dyDescent="0.25">
      <c r="A510">
        <v>40</v>
      </c>
      <c r="B510" t="s">
        <v>113</v>
      </c>
      <c r="C510">
        <v>20</v>
      </c>
      <c r="D510" t="s">
        <v>93</v>
      </c>
      <c r="E510" t="s">
        <v>14</v>
      </c>
      <c r="F510">
        <v>174.346</v>
      </c>
      <c r="G510" t="s">
        <v>13</v>
      </c>
    </row>
    <row r="511" spans="1:7" x14ac:dyDescent="0.25">
      <c r="A511">
        <v>40</v>
      </c>
      <c r="B511" t="s">
        <v>113</v>
      </c>
      <c r="C511">
        <v>30</v>
      </c>
      <c r="D511" t="s">
        <v>16</v>
      </c>
      <c r="E511" t="s">
        <v>14</v>
      </c>
      <c r="F511">
        <v>46.939</v>
      </c>
      <c r="G511" t="s">
        <v>13</v>
      </c>
    </row>
    <row r="512" spans="1:7" x14ac:dyDescent="0.25">
      <c r="A512">
        <v>40</v>
      </c>
      <c r="B512" t="s">
        <v>113</v>
      </c>
      <c r="C512">
        <v>40</v>
      </c>
      <c r="D512" t="s">
        <v>318</v>
      </c>
      <c r="E512" t="s">
        <v>11</v>
      </c>
      <c r="F512">
        <v>1</v>
      </c>
      <c r="G512" t="s">
        <v>13</v>
      </c>
    </row>
    <row r="513" spans="1:7" x14ac:dyDescent="0.25">
      <c r="A513">
        <v>40</v>
      </c>
      <c r="B513" t="s">
        <v>113</v>
      </c>
      <c r="C513">
        <v>50</v>
      </c>
      <c r="D513" t="s">
        <v>102</v>
      </c>
      <c r="E513" t="s">
        <v>11</v>
      </c>
      <c r="F513">
        <v>1</v>
      </c>
      <c r="G513" t="s">
        <v>13</v>
      </c>
    </row>
    <row r="514" spans="1:7" x14ac:dyDescent="0.25">
      <c r="A514">
        <v>40</v>
      </c>
      <c r="B514" t="s">
        <v>113</v>
      </c>
      <c r="C514">
        <v>60</v>
      </c>
      <c r="D514" t="s">
        <v>315</v>
      </c>
      <c r="E514" t="s">
        <v>14</v>
      </c>
      <c r="F514">
        <v>6.9089999999999998</v>
      </c>
      <c r="G514" t="s">
        <v>13</v>
      </c>
    </row>
    <row r="515" spans="1:7" x14ac:dyDescent="0.25">
      <c r="A515">
        <v>40</v>
      </c>
      <c r="B515" t="s">
        <v>113</v>
      </c>
      <c r="C515">
        <v>70</v>
      </c>
      <c r="D515" t="s">
        <v>316</v>
      </c>
      <c r="E515" t="s">
        <v>14</v>
      </c>
      <c r="F515">
        <v>42.488999999999997</v>
      </c>
      <c r="G515" t="s">
        <v>13</v>
      </c>
    </row>
    <row r="516" spans="1:7" x14ac:dyDescent="0.25">
      <c r="A516">
        <v>40</v>
      </c>
      <c r="B516" t="s">
        <v>113</v>
      </c>
      <c r="C516">
        <v>80</v>
      </c>
      <c r="D516" t="s">
        <v>103</v>
      </c>
      <c r="E516" t="s">
        <v>11</v>
      </c>
      <c r="F516">
        <v>1</v>
      </c>
      <c r="G516" t="s">
        <v>13</v>
      </c>
    </row>
    <row r="517" spans="1:7" x14ac:dyDescent="0.25">
      <c r="A517">
        <v>40</v>
      </c>
      <c r="B517" t="s">
        <v>113</v>
      </c>
      <c r="C517">
        <v>90</v>
      </c>
      <c r="D517" t="s">
        <v>319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113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113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113</v>
      </c>
      <c r="C520">
        <v>120</v>
      </c>
      <c r="D520" t="s">
        <v>317</v>
      </c>
      <c r="E520" t="s">
        <v>12</v>
      </c>
      <c r="F520">
        <v>0.503</v>
      </c>
      <c r="G520" t="s">
        <v>13</v>
      </c>
    </row>
    <row r="521" spans="1:7" x14ac:dyDescent="0.25">
      <c r="A521">
        <v>40</v>
      </c>
      <c r="B521" t="s">
        <v>113</v>
      </c>
      <c r="C521">
        <v>130</v>
      </c>
      <c r="D521" t="s">
        <v>114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115</v>
      </c>
      <c r="C522">
        <v>10</v>
      </c>
      <c r="D522" t="s">
        <v>320</v>
      </c>
      <c r="E522" t="s">
        <v>14</v>
      </c>
      <c r="F522">
        <v>3.6070000000000002</v>
      </c>
      <c r="G522" t="s">
        <v>13</v>
      </c>
    </row>
    <row r="523" spans="1:7" x14ac:dyDescent="0.25">
      <c r="A523">
        <v>41</v>
      </c>
      <c r="B523" t="s">
        <v>115</v>
      </c>
      <c r="C523">
        <v>20</v>
      </c>
      <c r="D523" t="s">
        <v>93</v>
      </c>
      <c r="E523" t="s">
        <v>14</v>
      </c>
      <c r="F523">
        <v>182.27</v>
      </c>
      <c r="G523" t="s">
        <v>13</v>
      </c>
    </row>
    <row r="524" spans="1:7" x14ac:dyDescent="0.25">
      <c r="A524">
        <v>41</v>
      </c>
      <c r="B524" t="s">
        <v>115</v>
      </c>
      <c r="C524">
        <v>30</v>
      </c>
      <c r="D524" t="s">
        <v>16</v>
      </c>
      <c r="E524" t="s">
        <v>14</v>
      </c>
      <c r="F524">
        <v>49.073</v>
      </c>
      <c r="G524" t="s">
        <v>13</v>
      </c>
    </row>
    <row r="525" spans="1:7" x14ac:dyDescent="0.25">
      <c r="A525">
        <v>41</v>
      </c>
      <c r="B525" t="s">
        <v>115</v>
      </c>
      <c r="C525">
        <v>40</v>
      </c>
      <c r="D525" t="s">
        <v>318</v>
      </c>
      <c r="E525" t="s">
        <v>11</v>
      </c>
      <c r="F525">
        <v>1</v>
      </c>
      <c r="G525" t="s">
        <v>13</v>
      </c>
    </row>
    <row r="526" spans="1:7" x14ac:dyDescent="0.25">
      <c r="A526">
        <v>41</v>
      </c>
      <c r="B526" t="s">
        <v>115</v>
      </c>
      <c r="C526">
        <v>50</v>
      </c>
      <c r="D526" t="s">
        <v>102</v>
      </c>
      <c r="E526" t="s">
        <v>11</v>
      </c>
      <c r="F526">
        <v>1</v>
      </c>
      <c r="G526" t="s">
        <v>13</v>
      </c>
    </row>
    <row r="527" spans="1:7" x14ac:dyDescent="0.25">
      <c r="A527">
        <v>41</v>
      </c>
      <c r="B527" t="s">
        <v>115</v>
      </c>
      <c r="C527">
        <v>60</v>
      </c>
      <c r="D527" t="s">
        <v>315</v>
      </c>
      <c r="E527" t="s">
        <v>14</v>
      </c>
      <c r="F527">
        <v>7.2140000000000004</v>
      </c>
      <c r="G527" t="s">
        <v>13</v>
      </c>
    </row>
    <row r="528" spans="1:7" x14ac:dyDescent="0.25">
      <c r="A528">
        <v>41</v>
      </c>
      <c r="B528" t="s">
        <v>115</v>
      </c>
      <c r="C528">
        <v>70</v>
      </c>
      <c r="D528" t="s">
        <v>316</v>
      </c>
      <c r="E528" t="s">
        <v>14</v>
      </c>
      <c r="F528">
        <v>44.363999999999997</v>
      </c>
      <c r="G528" t="s">
        <v>13</v>
      </c>
    </row>
    <row r="529" spans="1:7" x14ac:dyDescent="0.25">
      <c r="A529">
        <v>41</v>
      </c>
      <c r="B529" t="s">
        <v>115</v>
      </c>
      <c r="C529">
        <v>80</v>
      </c>
      <c r="D529" t="s">
        <v>103</v>
      </c>
      <c r="E529" t="s">
        <v>11</v>
      </c>
      <c r="F529">
        <v>1</v>
      </c>
      <c r="G529" t="s">
        <v>13</v>
      </c>
    </row>
    <row r="530" spans="1:7" x14ac:dyDescent="0.25">
      <c r="A530">
        <v>41</v>
      </c>
      <c r="B530" t="s">
        <v>115</v>
      </c>
      <c r="C530">
        <v>90</v>
      </c>
      <c r="D530" t="s">
        <v>319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115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115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115</v>
      </c>
      <c r="C533">
        <v>120</v>
      </c>
      <c r="D533" t="s">
        <v>317</v>
      </c>
      <c r="E533" t="s">
        <v>12</v>
      </c>
      <c r="F533">
        <v>0.54800000000000004</v>
      </c>
      <c r="G533" t="s">
        <v>13</v>
      </c>
    </row>
    <row r="534" spans="1:7" x14ac:dyDescent="0.25">
      <c r="A534">
        <v>41</v>
      </c>
      <c r="B534" t="s">
        <v>115</v>
      </c>
      <c r="C534">
        <v>130</v>
      </c>
      <c r="D534" t="s">
        <v>116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117</v>
      </c>
      <c r="C535">
        <v>10</v>
      </c>
      <c r="D535" t="s">
        <v>320</v>
      </c>
      <c r="E535" t="s">
        <v>14</v>
      </c>
      <c r="F535">
        <v>3.9119999999999999</v>
      </c>
      <c r="G535" t="s">
        <v>13</v>
      </c>
    </row>
    <row r="536" spans="1:7" x14ac:dyDescent="0.25">
      <c r="A536">
        <v>42</v>
      </c>
      <c r="B536" t="s">
        <v>117</v>
      </c>
      <c r="C536">
        <v>20</v>
      </c>
      <c r="D536" t="s">
        <v>93</v>
      </c>
      <c r="E536" t="s">
        <v>14</v>
      </c>
      <c r="F536">
        <v>190.19499999999999</v>
      </c>
      <c r="G536" t="s">
        <v>13</v>
      </c>
    </row>
    <row r="537" spans="1:7" x14ac:dyDescent="0.25">
      <c r="A537">
        <v>42</v>
      </c>
      <c r="B537" t="s">
        <v>117</v>
      </c>
      <c r="C537">
        <v>30</v>
      </c>
      <c r="D537" t="s">
        <v>16</v>
      </c>
      <c r="E537" t="s">
        <v>14</v>
      </c>
      <c r="F537">
        <v>51.206000000000003</v>
      </c>
      <c r="G537" t="s">
        <v>13</v>
      </c>
    </row>
    <row r="538" spans="1:7" x14ac:dyDescent="0.25">
      <c r="A538">
        <v>42</v>
      </c>
      <c r="B538" t="s">
        <v>117</v>
      </c>
      <c r="C538">
        <v>40</v>
      </c>
      <c r="D538" t="s">
        <v>318</v>
      </c>
      <c r="E538" t="s">
        <v>11</v>
      </c>
      <c r="F538">
        <v>1</v>
      </c>
      <c r="G538" t="s">
        <v>13</v>
      </c>
    </row>
    <row r="539" spans="1:7" x14ac:dyDescent="0.25">
      <c r="A539">
        <v>42</v>
      </c>
      <c r="B539" t="s">
        <v>117</v>
      </c>
      <c r="C539">
        <v>50</v>
      </c>
      <c r="D539" t="s">
        <v>102</v>
      </c>
      <c r="E539" t="s">
        <v>11</v>
      </c>
      <c r="F539">
        <v>1</v>
      </c>
      <c r="G539" t="s">
        <v>13</v>
      </c>
    </row>
    <row r="540" spans="1:7" x14ac:dyDescent="0.25">
      <c r="A540">
        <v>42</v>
      </c>
      <c r="B540" t="s">
        <v>117</v>
      </c>
      <c r="C540">
        <v>60</v>
      </c>
      <c r="D540" t="s">
        <v>315</v>
      </c>
      <c r="E540" t="s">
        <v>14</v>
      </c>
      <c r="F540">
        <v>7.5179999999999998</v>
      </c>
      <c r="G540" t="s">
        <v>13</v>
      </c>
    </row>
    <row r="541" spans="1:7" x14ac:dyDescent="0.25">
      <c r="A541">
        <v>42</v>
      </c>
      <c r="B541" t="s">
        <v>117</v>
      </c>
      <c r="C541">
        <v>70</v>
      </c>
      <c r="D541" t="s">
        <v>316</v>
      </c>
      <c r="E541" t="s">
        <v>14</v>
      </c>
      <c r="F541">
        <v>46.238</v>
      </c>
      <c r="G541" t="s">
        <v>13</v>
      </c>
    </row>
    <row r="542" spans="1:7" x14ac:dyDescent="0.25">
      <c r="A542">
        <v>42</v>
      </c>
      <c r="B542" t="s">
        <v>117</v>
      </c>
      <c r="C542">
        <v>80</v>
      </c>
      <c r="D542" t="s">
        <v>103</v>
      </c>
      <c r="E542" t="s">
        <v>11</v>
      </c>
      <c r="F542">
        <v>1</v>
      </c>
      <c r="G542" t="s">
        <v>13</v>
      </c>
    </row>
    <row r="543" spans="1:7" x14ac:dyDescent="0.25">
      <c r="A543">
        <v>42</v>
      </c>
      <c r="B543" t="s">
        <v>117</v>
      </c>
      <c r="C543">
        <v>90</v>
      </c>
      <c r="D543" t="s">
        <v>319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117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117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117</v>
      </c>
      <c r="C546">
        <v>120</v>
      </c>
      <c r="D546" t="s">
        <v>317</v>
      </c>
      <c r="E546" t="s">
        <v>12</v>
      </c>
      <c r="F546">
        <v>0.59299999999999997</v>
      </c>
      <c r="G546" t="s">
        <v>13</v>
      </c>
    </row>
    <row r="547" spans="1:7" x14ac:dyDescent="0.25">
      <c r="A547">
        <v>42</v>
      </c>
      <c r="B547" t="s">
        <v>117</v>
      </c>
      <c r="C547">
        <v>130</v>
      </c>
      <c r="D547" t="s">
        <v>118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119</v>
      </c>
      <c r="C548">
        <v>10</v>
      </c>
      <c r="D548" t="s">
        <v>320</v>
      </c>
      <c r="E548" t="s">
        <v>14</v>
      </c>
      <c r="F548">
        <v>1.778</v>
      </c>
      <c r="G548" t="s">
        <v>13</v>
      </c>
    </row>
    <row r="549" spans="1:7" x14ac:dyDescent="0.25">
      <c r="A549">
        <v>43</v>
      </c>
      <c r="B549" t="s">
        <v>119</v>
      </c>
      <c r="C549">
        <v>20</v>
      </c>
      <c r="D549" t="s">
        <v>93</v>
      </c>
      <c r="E549" t="s">
        <v>14</v>
      </c>
      <c r="F549">
        <v>138.684</v>
      </c>
      <c r="G549" t="s">
        <v>13</v>
      </c>
    </row>
    <row r="550" spans="1:7" x14ac:dyDescent="0.25">
      <c r="A550">
        <v>43</v>
      </c>
      <c r="B550" t="s">
        <v>119</v>
      </c>
      <c r="C550">
        <v>30</v>
      </c>
      <c r="D550" t="s">
        <v>16</v>
      </c>
      <c r="E550" t="s">
        <v>14</v>
      </c>
      <c r="F550">
        <v>37.338000000000001</v>
      </c>
      <c r="G550" t="s">
        <v>13</v>
      </c>
    </row>
    <row r="551" spans="1:7" x14ac:dyDescent="0.25">
      <c r="A551">
        <v>43</v>
      </c>
      <c r="B551" t="s">
        <v>119</v>
      </c>
      <c r="C551">
        <v>40</v>
      </c>
      <c r="D551" t="s">
        <v>318</v>
      </c>
      <c r="E551" t="s">
        <v>11</v>
      </c>
      <c r="F551">
        <v>1</v>
      </c>
      <c r="G551" t="s">
        <v>13</v>
      </c>
    </row>
    <row r="552" spans="1:7" x14ac:dyDescent="0.25">
      <c r="A552">
        <v>43</v>
      </c>
      <c r="B552" t="s">
        <v>119</v>
      </c>
      <c r="C552">
        <v>50</v>
      </c>
      <c r="D552" t="s">
        <v>102</v>
      </c>
      <c r="E552" t="s">
        <v>11</v>
      </c>
      <c r="F552">
        <v>1</v>
      </c>
      <c r="G552" t="s">
        <v>13</v>
      </c>
    </row>
    <row r="553" spans="1:7" x14ac:dyDescent="0.25">
      <c r="A553">
        <v>43</v>
      </c>
      <c r="B553" t="s">
        <v>119</v>
      </c>
      <c r="C553">
        <v>60</v>
      </c>
      <c r="D553" t="s">
        <v>315</v>
      </c>
      <c r="E553" t="s">
        <v>14</v>
      </c>
      <c r="F553">
        <v>5.5369999999999999</v>
      </c>
      <c r="G553" t="s">
        <v>13</v>
      </c>
    </row>
    <row r="554" spans="1:7" x14ac:dyDescent="0.25">
      <c r="A554">
        <v>43</v>
      </c>
      <c r="B554" t="s">
        <v>119</v>
      </c>
      <c r="C554">
        <v>70</v>
      </c>
      <c r="D554" t="s">
        <v>316</v>
      </c>
      <c r="E554" t="s">
        <v>14</v>
      </c>
      <c r="F554">
        <v>34.054000000000002</v>
      </c>
      <c r="G554" t="s">
        <v>13</v>
      </c>
    </row>
    <row r="555" spans="1:7" x14ac:dyDescent="0.25">
      <c r="A555">
        <v>43</v>
      </c>
      <c r="B555" t="s">
        <v>119</v>
      </c>
      <c r="C555">
        <v>80</v>
      </c>
      <c r="D555" t="s">
        <v>103</v>
      </c>
      <c r="E555" t="s">
        <v>11</v>
      </c>
      <c r="F555">
        <v>1</v>
      </c>
      <c r="G555" t="s">
        <v>13</v>
      </c>
    </row>
    <row r="556" spans="1:7" x14ac:dyDescent="0.25">
      <c r="A556">
        <v>43</v>
      </c>
      <c r="B556" t="s">
        <v>119</v>
      </c>
      <c r="C556">
        <v>90</v>
      </c>
      <c r="D556" t="s">
        <v>319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119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119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119</v>
      </c>
      <c r="C559">
        <v>120</v>
      </c>
      <c r="D559" t="s">
        <v>317</v>
      </c>
      <c r="E559" t="s">
        <v>12</v>
      </c>
      <c r="F559">
        <v>0.27800000000000002</v>
      </c>
      <c r="G559" t="s">
        <v>13</v>
      </c>
    </row>
    <row r="560" spans="1:7" x14ac:dyDescent="0.25">
      <c r="A560">
        <v>43</v>
      </c>
      <c r="B560" t="s">
        <v>119</v>
      </c>
      <c r="C560">
        <v>130</v>
      </c>
      <c r="D560" t="s">
        <v>120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121</v>
      </c>
      <c r="C561">
        <v>10</v>
      </c>
      <c r="D561" t="s">
        <v>320</v>
      </c>
      <c r="E561" t="s">
        <v>14</v>
      </c>
      <c r="F561">
        <v>2.0830000000000002</v>
      </c>
      <c r="G561" t="s">
        <v>13</v>
      </c>
    </row>
    <row r="562" spans="1:7" x14ac:dyDescent="0.25">
      <c r="A562">
        <v>44</v>
      </c>
      <c r="B562" t="s">
        <v>121</v>
      </c>
      <c r="C562">
        <v>20</v>
      </c>
      <c r="D562" t="s">
        <v>93</v>
      </c>
      <c r="E562" t="s">
        <v>14</v>
      </c>
      <c r="F562">
        <v>146.60900000000001</v>
      </c>
      <c r="G562" t="s">
        <v>13</v>
      </c>
    </row>
    <row r="563" spans="1:7" x14ac:dyDescent="0.25">
      <c r="A563">
        <v>44</v>
      </c>
      <c r="B563" t="s">
        <v>121</v>
      </c>
      <c r="C563">
        <v>30</v>
      </c>
      <c r="D563" t="s">
        <v>16</v>
      </c>
      <c r="E563" t="s">
        <v>14</v>
      </c>
      <c r="F563">
        <v>39.472000000000001</v>
      </c>
      <c r="G563" t="s">
        <v>13</v>
      </c>
    </row>
    <row r="564" spans="1:7" x14ac:dyDescent="0.25">
      <c r="A564">
        <v>44</v>
      </c>
      <c r="B564" t="s">
        <v>121</v>
      </c>
      <c r="C564">
        <v>40</v>
      </c>
      <c r="D564" t="s">
        <v>318</v>
      </c>
      <c r="E564" t="s">
        <v>11</v>
      </c>
      <c r="F564">
        <v>1</v>
      </c>
      <c r="G564" t="s">
        <v>13</v>
      </c>
    </row>
    <row r="565" spans="1:7" x14ac:dyDescent="0.25">
      <c r="A565">
        <v>44</v>
      </c>
      <c r="B565" t="s">
        <v>121</v>
      </c>
      <c r="C565">
        <v>50</v>
      </c>
      <c r="D565" t="s">
        <v>102</v>
      </c>
      <c r="E565" t="s">
        <v>11</v>
      </c>
      <c r="F565">
        <v>1</v>
      </c>
      <c r="G565" t="s">
        <v>13</v>
      </c>
    </row>
    <row r="566" spans="1:7" x14ac:dyDescent="0.25">
      <c r="A566">
        <v>44</v>
      </c>
      <c r="B566" t="s">
        <v>121</v>
      </c>
      <c r="C566">
        <v>60</v>
      </c>
      <c r="D566" t="s">
        <v>315</v>
      </c>
      <c r="E566" t="s">
        <v>14</v>
      </c>
      <c r="F566">
        <v>5.8419999999999996</v>
      </c>
      <c r="G566" t="s">
        <v>13</v>
      </c>
    </row>
    <row r="567" spans="1:7" x14ac:dyDescent="0.25">
      <c r="A567">
        <v>44</v>
      </c>
      <c r="B567" t="s">
        <v>121</v>
      </c>
      <c r="C567">
        <v>70</v>
      </c>
      <c r="D567" t="s">
        <v>316</v>
      </c>
      <c r="E567" t="s">
        <v>14</v>
      </c>
      <c r="F567">
        <v>35.927999999999997</v>
      </c>
      <c r="G567" t="s">
        <v>13</v>
      </c>
    </row>
    <row r="568" spans="1:7" x14ac:dyDescent="0.25">
      <c r="A568">
        <v>44</v>
      </c>
      <c r="B568" t="s">
        <v>121</v>
      </c>
      <c r="C568">
        <v>80</v>
      </c>
      <c r="D568" t="s">
        <v>103</v>
      </c>
      <c r="E568" t="s">
        <v>11</v>
      </c>
      <c r="F568">
        <v>1</v>
      </c>
      <c r="G568" t="s">
        <v>13</v>
      </c>
    </row>
    <row r="569" spans="1:7" x14ac:dyDescent="0.25">
      <c r="A569">
        <v>44</v>
      </c>
      <c r="B569" t="s">
        <v>121</v>
      </c>
      <c r="C569">
        <v>90</v>
      </c>
      <c r="D569" t="s">
        <v>319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121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121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121</v>
      </c>
      <c r="C572">
        <v>120</v>
      </c>
      <c r="D572" t="s">
        <v>317</v>
      </c>
      <c r="E572" t="s">
        <v>12</v>
      </c>
      <c r="F572">
        <v>0.32300000000000001</v>
      </c>
      <c r="G572" t="s">
        <v>13</v>
      </c>
    </row>
    <row r="573" spans="1:7" x14ac:dyDescent="0.25">
      <c r="A573">
        <v>44</v>
      </c>
      <c r="B573" t="s">
        <v>121</v>
      </c>
      <c r="C573">
        <v>130</v>
      </c>
      <c r="D573" t="s">
        <v>122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123</v>
      </c>
      <c r="C574">
        <v>10</v>
      </c>
      <c r="D574" t="s">
        <v>320</v>
      </c>
      <c r="E574" t="s">
        <v>14</v>
      </c>
      <c r="F574">
        <v>2.3879999999999999</v>
      </c>
      <c r="G574" t="s">
        <v>13</v>
      </c>
    </row>
    <row r="575" spans="1:7" x14ac:dyDescent="0.25">
      <c r="A575">
        <v>45</v>
      </c>
      <c r="B575" t="s">
        <v>123</v>
      </c>
      <c r="C575">
        <v>20</v>
      </c>
      <c r="D575" t="s">
        <v>93</v>
      </c>
      <c r="E575" t="s">
        <v>14</v>
      </c>
      <c r="F575">
        <v>154.53399999999999</v>
      </c>
      <c r="G575" t="s">
        <v>13</v>
      </c>
    </row>
    <row r="576" spans="1:7" x14ac:dyDescent="0.25">
      <c r="A576">
        <v>45</v>
      </c>
      <c r="B576" t="s">
        <v>123</v>
      </c>
      <c r="C576">
        <v>30</v>
      </c>
      <c r="D576" t="s">
        <v>16</v>
      </c>
      <c r="E576" t="s">
        <v>14</v>
      </c>
      <c r="F576">
        <v>41.604999999999997</v>
      </c>
      <c r="G576" t="s">
        <v>13</v>
      </c>
    </row>
    <row r="577" spans="1:7" x14ac:dyDescent="0.25">
      <c r="A577">
        <v>45</v>
      </c>
      <c r="B577" t="s">
        <v>123</v>
      </c>
      <c r="C577">
        <v>40</v>
      </c>
      <c r="D577" t="s">
        <v>318</v>
      </c>
      <c r="E577" t="s">
        <v>11</v>
      </c>
      <c r="F577">
        <v>1</v>
      </c>
      <c r="G577" t="s">
        <v>13</v>
      </c>
    </row>
    <row r="578" spans="1:7" x14ac:dyDescent="0.25">
      <c r="A578">
        <v>45</v>
      </c>
      <c r="B578" t="s">
        <v>123</v>
      </c>
      <c r="C578">
        <v>50</v>
      </c>
      <c r="D578" t="s">
        <v>102</v>
      </c>
      <c r="E578" t="s">
        <v>11</v>
      </c>
      <c r="F578">
        <v>1</v>
      </c>
      <c r="G578" t="s">
        <v>13</v>
      </c>
    </row>
    <row r="579" spans="1:7" x14ac:dyDescent="0.25">
      <c r="A579">
        <v>45</v>
      </c>
      <c r="B579" t="s">
        <v>123</v>
      </c>
      <c r="C579">
        <v>60</v>
      </c>
      <c r="D579" t="s">
        <v>315</v>
      </c>
      <c r="E579" t="s">
        <v>14</v>
      </c>
      <c r="F579">
        <v>6.1470000000000002</v>
      </c>
      <c r="G579" t="s">
        <v>13</v>
      </c>
    </row>
    <row r="580" spans="1:7" x14ac:dyDescent="0.25">
      <c r="A580">
        <v>45</v>
      </c>
      <c r="B580" t="s">
        <v>123</v>
      </c>
      <c r="C580">
        <v>70</v>
      </c>
      <c r="D580" t="s">
        <v>316</v>
      </c>
      <c r="E580" t="s">
        <v>14</v>
      </c>
      <c r="F580">
        <v>37.802999999999997</v>
      </c>
      <c r="G580" t="s">
        <v>13</v>
      </c>
    </row>
    <row r="581" spans="1:7" x14ac:dyDescent="0.25">
      <c r="A581">
        <v>45</v>
      </c>
      <c r="B581" t="s">
        <v>123</v>
      </c>
      <c r="C581">
        <v>80</v>
      </c>
      <c r="D581" t="s">
        <v>103</v>
      </c>
      <c r="E581" t="s">
        <v>11</v>
      </c>
      <c r="F581">
        <v>1</v>
      </c>
      <c r="G581" t="s">
        <v>13</v>
      </c>
    </row>
    <row r="582" spans="1:7" x14ac:dyDescent="0.25">
      <c r="A582">
        <v>45</v>
      </c>
      <c r="B582" t="s">
        <v>123</v>
      </c>
      <c r="C582">
        <v>90</v>
      </c>
      <c r="D582" t="s">
        <v>319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123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123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123</v>
      </c>
      <c r="C585">
        <v>120</v>
      </c>
      <c r="D585" t="s">
        <v>317</v>
      </c>
      <c r="E585" t="s">
        <v>12</v>
      </c>
      <c r="F585">
        <v>0.36799999999999999</v>
      </c>
      <c r="G585" t="s">
        <v>13</v>
      </c>
    </row>
    <row r="586" spans="1:7" x14ac:dyDescent="0.25">
      <c r="A586">
        <v>45</v>
      </c>
      <c r="B586" t="s">
        <v>123</v>
      </c>
      <c r="C586">
        <v>130</v>
      </c>
      <c r="D586" t="s">
        <v>124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125</v>
      </c>
      <c r="C587">
        <v>10</v>
      </c>
      <c r="D587" t="s">
        <v>320</v>
      </c>
      <c r="E587" t="s">
        <v>14</v>
      </c>
      <c r="F587">
        <v>2.6920000000000002</v>
      </c>
      <c r="G587" t="s">
        <v>13</v>
      </c>
    </row>
    <row r="588" spans="1:7" x14ac:dyDescent="0.25">
      <c r="A588">
        <v>46</v>
      </c>
      <c r="B588" t="s">
        <v>125</v>
      </c>
      <c r="C588">
        <v>20</v>
      </c>
      <c r="D588" t="s">
        <v>93</v>
      </c>
      <c r="E588" t="s">
        <v>14</v>
      </c>
      <c r="F588">
        <v>162.458</v>
      </c>
      <c r="G588" t="s">
        <v>13</v>
      </c>
    </row>
    <row r="589" spans="1:7" x14ac:dyDescent="0.25">
      <c r="A589">
        <v>46</v>
      </c>
      <c r="B589" t="s">
        <v>125</v>
      </c>
      <c r="C589">
        <v>30</v>
      </c>
      <c r="D589" t="s">
        <v>16</v>
      </c>
      <c r="E589" t="s">
        <v>14</v>
      </c>
      <c r="F589">
        <v>43.738999999999997</v>
      </c>
      <c r="G589" t="s">
        <v>13</v>
      </c>
    </row>
    <row r="590" spans="1:7" x14ac:dyDescent="0.25">
      <c r="A590">
        <v>46</v>
      </c>
      <c r="B590" t="s">
        <v>125</v>
      </c>
      <c r="C590">
        <v>40</v>
      </c>
      <c r="D590" t="s">
        <v>318</v>
      </c>
      <c r="E590" t="s">
        <v>11</v>
      </c>
      <c r="F590">
        <v>1</v>
      </c>
      <c r="G590" t="s">
        <v>13</v>
      </c>
    </row>
    <row r="591" spans="1:7" x14ac:dyDescent="0.25">
      <c r="A591">
        <v>46</v>
      </c>
      <c r="B591" t="s">
        <v>125</v>
      </c>
      <c r="C591">
        <v>50</v>
      </c>
      <c r="D591" t="s">
        <v>102</v>
      </c>
      <c r="E591" t="s">
        <v>11</v>
      </c>
      <c r="F591">
        <v>1</v>
      </c>
      <c r="G591" t="s">
        <v>13</v>
      </c>
    </row>
    <row r="592" spans="1:7" x14ac:dyDescent="0.25">
      <c r="A592">
        <v>46</v>
      </c>
      <c r="B592" t="s">
        <v>125</v>
      </c>
      <c r="C592">
        <v>60</v>
      </c>
      <c r="D592" t="s">
        <v>315</v>
      </c>
      <c r="E592" t="s">
        <v>14</v>
      </c>
      <c r="F592">
        <v>6.452</v>
      </c>
      <c r="G592" t="s">
        <v>13</v>
      </c>
    </row>
    <row r="593" spans="1:7" x14ac:dyDescent="0.25">
      <c r="A593">
        <v>46</v>
      </c>
      <c r="B593" t="s">
        <v>125</v>
      </c>
      <c r="C593">
        <v>70</v>
      </c>
      <c r="D593" t="s">
        <v>316</v>
      </c>
      <c r="E593" t="s">
        <v>14</v>
      </c>
      <c r="F593">
        <v>39.677</v>
      </c>
      <c r="G593" t="s">
        <v>13</v>
      </c>
    </row>
    <row r="594" spans="1:7" x14ac:dyDescent="0.25">
      <c r="A594">
        <v>46</v>
      </c>
      <c r="B594" t="s">
        <v>125</v>
      </c>
      <c r="C594">
        <v>80</v>
      </c>
      <c r="D594" t="s">
        <v>103</v>
      </c>
      <c r="E594" t="s">
        <v>11</v>
      </c>
      <c r="F594">
        <v>1</v>
      </c>
      <c r="G594" t="s">
        <v>13</v>
      </c>
    </row>
    <row r="595" spans="1:7" x14ac:dyDescent="0.25">
      <c r="A595">
        <v>46</v>
      </c>
      <c r="B595" t="s">
        <v>125</v>
      </c>
      <c r="C595">
        <v>90</v>
      </c>
      <c r="D595" t="s">
        <v>319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125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125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125</v>
      </c>
      <c r="C598">
        <v>120</v>
      </c>
      <c r="D598" t="s">
        <v>317</v>
      </c>
      <c r="E598" t="s">
        <v>12</v>
      </c>
      <c r="F598">
        <v>0.41299999999999998</v>
      </c>
      <c r="G598" t="s">
        <v>13</v>
      </c>
    </row>
    <row r="599" spans="1:7" x14ac:dyDescent="0.25">
      <c r="A599">
        <v>46</v>
      </c>
      <c r="B599" t="s">
        <v>125</v>
      </c>
      <c r="C599">
        <v>130</v>
      </c>
      <c r="D599" t="s">
        <v>126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127</v>
      </c>
      <c r="C600">
        <v>10</v>
      </c>
      <c r="D600" t="s">
        <v>320</v>
      </c>
      <c r="E600" t="s">
        <v>14</v>
      </c>
      <c r="F600">
        <v>3.302</v>
      </c>
      <c r="G600" t="s">
        <v>13</v>
      </c>
    </row>
    <row r="601" spans="1:7" x14ac:dyDescent="0.25">
      <c r="A601">
        <v>47</v>
      </c>
      <c r="B601" t="s">
        <v>127</v>
      </c>
      <c r="C601">
        <v>20</v>
      </c>
      <c r="D601" t="s">
        <v>93</v>
      </c>
      <c r="E601" t="s">
        <v>14</v>
      </c>
      <c r="F601">
        <v>178.30799999999999</v>
      </c>
      <c r="G601" t="s">
        <v>13</v>
      </c>
    </row>
    <row r="602" spans="1:7" x14ac:dyDescent="0.25">
      <c r="A602">
        <v>47</v>
      </c>
      <c r="B602" t="s">
        <v>127</v>
      </c>
      <c r="C602">
        <v>30</v>
      </c>
      <c r="D602" t="s">
        <v>16</v>
      </c>
      <c r="E602" t="s">
        <v>14</v>
      </c>
      <c r="F602">
        <v>48.006</v>
      </c>
      <c r="G602" t="s">
        <v>13</v>
      </c>
    </row>
    <row r="603" spans="1:7" x14ac:dyDescent="0.25">
      <c r="A603">
        <v>47</v>
      </c>
      <c r="B603" t="s">
        <v>127</v>
      </c>
      <c r="C603">
        <v>40</v>
      </c>
      <c r="D603" t="s">
        <v>318</v>
      </c>
      <c r="E603" t="s">
        <v>11</v>
      </c>
      <c r="F603">
        <v>1</v>
      </c>
      <c r="G603" t="s">
        <v>13</v>
      </c>
    </row>
    <row r="604" spans="1:7" x14ac:dyDescent="0.25">
      <c r="A604">
        <v>47</v>
      </c>
      <c r="B604" t="s">
        <v>127</v>
      </c>
      <c r="C604">
        <v>50</v>
      </c>
      <c r="D604" t="s">
        <v>102</v>
      </c>
      <c r="E604" t="s">
        <v>11</v>
      </c>
      <c r="F604">
        <v>1</v>
      </c>
      <c r="G604" t="s">
        <v>13</v>
      </c>
    </row>
    <row r="605" spans="1:7" x14ac:dyDescent="0.25">
      <c r="A605">
        <v>47</v>
      </c>
      <c r="B605" t="s">
        <v>127</v>
      </c>
      <c r="C605">
        <v>60</v>
      </c>
      <c r="D605" t="s">
        <v>315</v>
      </c>
      <c r="E605" t="s">
        <v>14</v>
      </c>
      <c r="F605">
        <v>7.0609999999999999</v>
      </c>
      <c r="G605" t="s">
        <v>13</v>
      </c>
    </row>
    <row r="606" spans="1:7" x14ac:dyDescent="0.25">
      <c r="A606">
        <v>47</v>
      </c>
      <c r="B606" t="s">
        <v>127</v>
      </c>
      <c r="C606">
        <v>70</v>
      </c>
      <c r="D606" t="s">
        <v>316</v>
      </c>
      <c r="E606" t="s">
        <v>14</v>
      </c>
      <c r="F606">
        <v>43.426000000000002</v>
      </c>
      <c r="G606" t="s">
        <v>13</v>
      </c>
    </row>
    <row r="607" spans="1:7" x14ac:dyDescent="0.25">
      <c r="A607">
        <v>47</v>
      </c>
      <c r="B607" t="s">
        <v>127</v>
      </c>
      <c r="C607">
        <v>80</v>
      </c>
      <c r="D607" t="s">
        <v>103</v>
      </c>
      <c r="E607" t="s">
        <v>11</v>
      </c>
      <c r="F607">
        <v>1</v>
      </c>
      <c r="G607" t="s">
        <v>13</v>
      </c>
    </row>
    <row r="608" spans="1:7" x14ac:dyDescent="0.25">
      <c r="A608">
        <v>47</v>
      </c>
      <c r="B608" t="s">
        <v>127</v>
      </c>
      <c r="C608">
        <v>90</v>
      </c>
      <c r="D608" t="s">
        <v>319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127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127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127</v>
      </c>
      <c r="C611">
        <v>120</v>
      </c>
      <c r="D611" t="s">
        <v>317</v>
      </c>
      <c r="E611" t="s">
        <v>12</v>
      </c>
      <c r="F611">
        <v>0.503</v>
      </c>
      <c r="G611" t="s">
        <v>13</v>
      </c>
    </row>
    <row r="612" spans="1:7" x14ac:dyDescent="0.25">
      <c r="A612">
        <v>47</v>
      </c>
      <c r="B612" t="s">
        <v>127</v>
      </c>
      <c r="C612">
        <v>130</v>
      </c>
      <c r="D612" t="s">
        <v>128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129</v>
      </c>
      <c r="C613">
        <v>10</v>
      </c>
      <c r="D613" t="s">
        <v>320</v>
      </c>
      <c r="E613" t="s">
        <v>14</v>
      </c>
      <c r="F613">
        <v>3.6070000000000002</v>
      </c>
      <c r="G613" t="s">
        <v>13</v>
      </c>
    </row>
    <row r="614" spans="1:7" x14ac:dyDescent="0.25">
      <c r="A614">
        <v>48</v>
      </c>
      <c r="B614" t="s">
        <v>129</v>
      </c>
      <c r="C614">
        <v>20</v>
      </c>
      <c r="D614" t="s">
        <v>93</v>
      </c>
      <c r="E614" t="s">
        <v>14</v>
      </c>
      <c r="F614">
        <v>186.233</v>
      </c>
      <c r="G614" t="s">
        <v>13</v>
      </c>
    </row>
    <row r="615" spans="1:7" x14ac:dyDescent="0.25">
      <c r="A615">
        <v>48</v>
      </c>
      <c r="B615" t="s">
        <v>129</v>
      </c>
      <c r="C615">
        <v>30</v>
      </c>
      <c r="D615" t="s">
        <v>16</v>
      </c>
      <c r="E615" t="s">
        <v>14</v>
      </c>
      <c r="F615">
        <v>50.14</v>
      </c>
      <c r="G615" t="s">
        <v>13</v>
      </c>
    </row>
    <row r="616" spans="1:7" x14ac:dyDescent="0.25">
      <c r="A616">
        <v>48</v>
      </c>
      <c r="B616" t="s">
        <v>129</v>
      </c>
      <c r="C616">
        <v>40</v>
      </c>
      <c r="D616" t="s">
        <v>318</v>
      </c>
      <c r="E616" t="s">
        <v>11</v>
      </c>
      <c r="F616">
        <v>1</v>
      </c>
      <c r="G616" t="s">
        <v>13</v>
      </c>
    </row>
    <row r="617" spans="1:7" x14ac:dyDescent="0.25">
      <c r="A617">
        <v>48</v>
      </c>
      <c r="B617" t="s">
        <v>129</v>
      </c>
      <c r="C617">
        <v>50</v>
      </c>
      <c r="D617" t="s">
        <v>102</v>
      </c>
      <c r="E617" t="s">
        <v>11</v>
      </c>
      <c r="F617">
        <v>1</v>
      </c>
      <c r="G617" t="s">
        <v>13</v>
      </c>
    </row>
    <row r="618" spans="1:7" x14ac:dyDescent="0.25">
      <c r="A618">
        <v>48</v>
      </c>
      <c r="B618" t="s">
        <v>129</v>
      </c>
      <c r="C618">
        <v>60</v>
      </c>
      <c r="D618" t="s">
        <v>315</v>
      </c>
      <c r="E618" t="s">
        <v>14</v>
      </c>
      <c r="F618">
        <v>7.3659999999999997</v>
      </c>
      <c r="G618" t="s">
        <v>13</v>
      </c>
    </row>
    <row r="619" spans="1:7" x14ac:dyDescent="0.25">
      <c r="A619">
        <v>48</v>
      </c>
      <c r="B619" t="s">
        <v>129</v>
      </c>
      <c r="C619">
        <v>70</v>
      </c>
      <c r="D619" t="s">
        <v>316</v>
      </c>
      <c r="E619" t="s">
        <v>14</v>
      </c>
      <c r="F619">
        <v>45.301000000000002</v>
      </c>
      <c r="G619" t="s">
        <v>13</v>
      </c>
    </row>
    <row r="620" spans="1:7" x14ac:dyDescent="0.25">
      <c r="A620">
        <v>48</v>
      </c>
      <c r="B620" t="s">
        <v>129</v>
      </c>
      <c r="C620">
        <v>80</v>
      </c>
      <c r="D620" t="s">
        <v>103</v>
      </c>
      <c r="E620" t="s">
        <v>11</v>
      </c>
      <c r="F620">
        <v>1</v>
      </c>
      <c r="G620" t="s">
        <v>13</v>
      </c>
    </row>
    <row r="621" spans="1:7" x14ac:dyDescent="0.25">
      <c r="A621">
        <v>48</v>
      </c>
      <c r="B621" t="s">
        <v>129</v>
      </c>
      <c r="C621">
        <v>90</v>
      </c>
      <c r="D621" t="s">
        <v>319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129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129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129</v>
      </c>
      <c r="C624">
        <v>120</v>
      </c>
      <c r="D624" t="s">
        <v>317</v>
      </c>
      <c r="E624" t="s">
        <v>12</v>
      </c>
      <c r="F624">
        <v>0.54800000000000004</v>
      </c>
      <c r="G624" t="s">
        <v>13</v>
      </c>
    </row>
    <row r="625" spans="1:7" x14ac:dyDescent="0.25">
      <c r="A625">
        <v>48</v>
      </c>
      <c r="B625" t="s">
        <v>129</v>
      </c>
      <c r="C625">
        <v>130</v>
      </c>
      <c r="D625" t="s">
        <v>130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131</v>
      </c>
      <c r="C626">
        <v>10</v>
      </c>
      <c r="D626" t="s">
        <v>320</v>
      </c>
      <c r="E626" t="s">
        <v>14</v>
      </c>
      <c r="F626">
        <v>3.9119999999999999</v>
      </c>
      <c r="G626" t="s">
        <v>13</v>
      </c>
    </row>
    <row r="627" spans="1:7" x14ac:dyDescent="0.25">
      <c r="A627">
        <v>49</v>
      </c>
      <c r="B627" t="s">
        <v>131</v>
      </c>
      <c r="C627">
        <v>20</v>
      </c>
      <c r="D627" t="s">
        <v>93</v>
      </c>
      <c r="E627" t="s">
        <v>14</v>
      </c>
      <c r="F627">
        <v>194.15799999999999</v>
      </c>
      <c r="G627" t="s">
        <v>13</v>
      </c>
    </row>
    <row r="628" spans="1:7" x14ac:dyDescent="0.25">
      <c r="A628">
        <v>49</v>
      </c>
      <c r="B628" t="s">
        <v>131</v>
      </c>
      <c r="C628">
        <v>30</v>
      </c>
      <c r="D628" t="s">
        <v>16</v>
      </c>
      <c r="E628" t="s">
        <v>14</v>
      </c>
      <c r="F628">
        <v>52.273000000000003</v>
      </c>
      <c r="G628" t="s">
        <v>13</v>
      </c>
    </row>
    <row r="629" spans="1:7" x14ac:dyDescent="0.25">
      <c r="A629">
        <v>49</v>
      </c>
      <c r="B629" t="s">
        <v>131</v>
      </c>
      <c r="C629">
        <v>40</v>
      </c>
      <c r="D629" t="s">
        <v>318</v>
      </c>
      <c r="E629" t="s">
        <v>11</v>
      </c>
      <c r="F629">
        <v>1</v>
      </c>
      <c r="G629" t="s">
        <v>13</v>
      </c>
    </row>
    <row r="630" spans="1:7" x14ac:dyDescent="0.25">
      <c r="A630">
        <v>49</v>
      </c>
      <c r="B630" t="s">
        <v>131</v>
      </c>
      <c r="C630">
        <v>50</v>
      </c>
      <c r="D630" t="s">
        <v>102</v>
      </c>
      <c r="E630" t="s">
        <v>11</v>
      </c>
      <c r="F630">
        <v>1</v>
      </c>
      <c r="G630" t="s">
        <v>13</v>
      </c>
    </row>
    <row r="631" spans="1:7" x14ac:dyDescent="0.25">
      <c r="A631">
        <v>49</v>
      </c>
      <c r="B631" t="s">
        <v>131</v>
      </c>
      <c r="C631">
        <v>60</v>
      </c>
      <c r="D631" t="s">
        <v>315</v>
      </c>
      <c r="E631" t="s">
        <v>14</v>
      </c>
      <c r="F631">
        <v>7.6710000000000003</v>
      </c>
      <c r="G631" t="s">
        <v>13</v>
      </c>
    </row>
    <row r="632" spans="1:7" x14ac:dyDescent="0.25">
      <c r="A632">
        <v>49</v>
      </c>
      <c r="B632" t="s">
        <v>131</v>
      </c>
      <c r="C632">
        <v>70</v>
      </c>
      <c r="D632" t="s">
        <v>316</v>
      </c>
      <c r="E632" t="s">
        <v>14</v>
      </c>
      <c r="F632">
        <v>47.174999999999997</v>
      </c>
      <c r="G632" t="s">
        <v>13</v>
      </c>
    </row>
    <row r="633" spans="1:7" x14ac:dyDescent="0.25">
      <c r="A633">
        <v>49</v>
      </c>
      <c r="B633" t="s">
        <v>131</v>
      </c>
      <c r="C633">
        <v>80</v>
      </c>
      <c r="D633" t="s">
        <v>103</v>
      </c>
      <c r="E633" t="s">
        <v>11</v>
      </c>
      <c r="F633">
        <v>1</v>
      </c>
      <c r="G633" t="s">
        <v>13</v>
      </c>
    </row>
    <row r="634" spans="1:7" x14ac:dyDescent="0.25">
      <c r="A634">
        <v>49</v>
      </c>
      <c r="B634" t="s">
        <v>131</v>
      </c>
      <c r="C634">
        <v>90</v>
      </c>
      <c r="D634" t="s">
        <v>319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131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131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131</v>
      </c>
      <c r="C637">
        <v>120</v>
      </c>
      <c r="D637" t="s">
        <v>317</v>
      </c>
      <c r="E637" t="s">
        <v>12</v>
      </c>
      <c r="F637">
        <v>0.59299999999999997</v>
      </c>
      <c r="G637" t="s">
        <v>13</v>
      </c>
    </row>
    <row r="638" spans="1:7" x14ac:dyDescent="0.25">
      <c r="A638">
        <v>49</v>
      </c>
      <c r="B638" t="s">
        <v>131</v>
      </c>
      <c r="C638">
        <v>130</v>
      </c>
      <c r="D638" t="s">
        <v>132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133</v>
      </c>
      <c r="C639">
        <v>10</v>
      </c>
      <c r="D639" t="s">
        <v>320</v>
      </c>
      <c r="E639" t="s">
        <v>14</v>
      </c>
      <c r="F639">
        <v>2.286</v>
      </c>
      <c r="G639" t="s">
        <v>13</v>
      </c>
    </row>
    <row r="640" spans="1:7" x14ac:dyDescent="0.25">
      <c r="A640">
        <v>50</v>
      </c>
      <c r="B640" t="s">
        <v>133</v>
      </c>
      <c r="C640">
        <v>20</v>
      </c>
      <c r="D640" t="s">
        <v>93</v>
      </c>
      <c r="E640" t="s">
        <v>14</v>
      </c>
      <c r="F640">
        <v>142.64599999999999</v>
      </c>
      <c r="G640" t="s">
        <v>13</v>
      </c>
    </row>
    <row r="641" spans="1:7" x14ac:dyDescent="0.25">
      <c r="A641">
        <v>50</v>
      </c>
      <c r="B641" t="s">
        <v>133</v>
      </c>
      <c r="C641">
        <v>30</v>
      </c>
      <c r="D641" t="s">
        <v>16</v>
      </c>
      <c r="E641" t="s">
        <v>14</v>
      </c>
      <c r="F641">
        <v>38.405000000000001</v>
      </c>
      <c r="G641" t="s">
        <v>13</v>
      </c>
    </row>
    <row r="642" spans="1:7" x14ac:dyDescent="0.25">
      <c r="A642">
        <v>50</v>
      </c>
      <c r="B642" t="s">
        <v>133</v>
      </c>
      <c r="C642">
        <v>40</v>
      </c>
      <c r="D642" t="s">
        <v>318</v>
      </c>
      <c r="E642" t="s">
        <v>11</v>
      </c>
      <c r="F642">
        <v>1</v>
      </c>
      <c r="G642" t="s">
        <v>13</v>
      </c>
    </row>
    <row r="643" spans="1:7" x14ac:dyDescent="0.25">
      <c r="A643">
        <v>50</v>
      </c>
      <c r="B643" t="s">
        <v>133</v>
      </c>
      <c r="C643">
        <v>50</v>
      </c>
      <c r="D643" t="s">
        <v>102</v>
      </c>
      <c r="E643" t="s">
        <v>11</v>
      </c>
      <c r="F643">
        <v>1</v>
      </c>
      <c r="G643" t="s">
        <v>13</v>
      </c>
    </row>
    <row r="644" spans="1:7" x14ac:dyDescent="0.25">
      <c r="A644">
        <v>50</v>
      </c>
      <c r="B644" t="s">
        <v>133</v>
      </c>
      <c r="C644">
        <v>60</v>
      </c>
      <c r="D644" t="s">
        <v>315</v>
      </c>
      <c r="E644" t="s">
        <v>14</v>
      </c>
      <c r="F644">
        <v>5.69</v>
      </c>
      <c r="G644" t="s">
        <v>13</v>
      </c>
    </row>
    <row r="645" spans="1:7" x14ac:dyDescent="0.25">
      <c r="A645">
        <v>50</v>
      </c>
      <c r="B645" t="s">
        <v>133</v>
      </c>
      <c r="C645">
        <v>70</v>
      </c>
      <c r="D645" t="s">
        <v>316</v>
      </c>
      <c r="E645" t="s">
        <v>14</v>
      </c>
      <c r="F645">
        <v>34.991</v>
      </c>
      <c r="G645" t="s">
        <v>13</v>
      </c>
    </row>
    <row r="646" spans="1:7" x14ac:dyDescent="0.25">
      <c r="A646">
        <v>50</v>
      </c>
      <c r="B646" t="s">
        <v>133</v>
      </c>
      <c r="C646">
        <v>80</v>
      </c>
      <c r="D646" t="s">
        <v>103</v>
      </c>
      <c r="E646" t="s">
        <v>11</v>
      </c>
      <c r="F646">
        <v>1</v>
      </c>
      <c r="G646" t="s">
        <v>13</v>
      </c>
    </row>
    <row r="647" spans="1:7" x14ac:dyDescent="0.25">
      <c r="A647">
        <v>50</v>
      </c>
      <c r="B647" t="s">
        <v>133</v>
      </c>
      <c r="C647">
        <v>90</v>
      </c>
      <c r="D647" t="s">
        <v>319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133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133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133</v>
      </c>
      <c r="C650">
        <v>120</v>
      </c>
      <c r="D650" t="s">
        <v>317</v>
      </c>
      <c r="E650" t="s">
        <v>12</v>
      </c>
      <c r="F650">
        <v>0.27800000000000002</v>
      </c>
      <c r="G650" t="s">
        <v>13</v>
      </c>
    </row>
    <row r="651" spans="1:7" x14ac:dyDescent="0.25">
      <c r="A651">
        <v>50</v>
      </c>
      <c r="B651" t="s">
        <v>133</v>
      </c>
      <c r="C651">
        <v>130</v>
      </c>
      <c r="D651" t="s">
        <v>134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135</v>
      </c>
      <c r="C652">
        <v>10</v>
      </c>
      <c r="D652" t="s">
        <v>320</v>
      </c>
      <c r="E652" t="s">
        <v>14</v>
      </c>
      <c r="F652">
        <v>2.286</v>
      </c>
      <c r="G652" t="s">
        <v>13</v>
      </c>
    </row>
    <row r="653" spans="1:7" x14ac:dyDescent="0.25">
      <c r="A653">
        <v>51</v>
      </c>
      <c r="B653" t="s">
        <v>135</v>
      </c>
      <c r="C653">
        <v>20</v>
      </c>
      <c r="D653" t="s">
        <v>93</v>
      </c>
      <c r="E653" t="s">
        <v>14</v>
      </c>
      <c r="F653">
        <v>150.571</v>
      </c>
      <c r="G653" t="s">
        <v>13</v>
      </c>
    </row>
    <row r="654" spans="1:7" x14ac:dyDescent="0.25">
      <c r="A654">
        <v>51</v>
      </c>
      <c r="B654" t="s">
        <v>135</v>
      </c>
      <c r="C654">
        <v>30</v>
      </c>
      <c r="D654" t="s">
        <v>16</v>
      </c>
      <c r="E654" t="s">
        <v>14</v>
      </c>
      <c r="F654">
        <v>40.537999999999997</v>
      </c>
      <c r="G654" t="s">
        <v>13</v>
      </c>
    </row>
    <row r="655" spans="1:7" x14ac:dyDescent="0.25">
      <c r="A655">
        <v>51</v>
      </c>
      <c r="B655" t="s">
        <v>135</v>
      </c>
      <c r="C655">
        <v>40</v>
      </c>
      <c r="D655" t="s">
        <v>318</v>
      </c>
      <c r="E655" t="s">
        <v>11</v>
      </c>
      <c r="F655">
        <v>1</v>
      </c>
      <c r="G655" t="s">
        <v>13</v>
      </c>
    </row>
    <row r="656" spans="1:7" x14ac:dyDescent="0.25">
      <c r="A656">
        <v>51</v>
      </c>
      <c r="B656" t="s">
        <v>135</v>
      </c>
      <c r="C656">
        <v>50</v>
      </c>
      <c r="D656" t="s">
        <v>102</v>
      </c>
      <c r="E656" t="s">
        <v>11</v>
      </c>
      <c r="F656">
        <v>1</v>
      </c>
      <c r="G656" t="s">
        <v>13</v>
      </c>
    </row>
    <row r="657" spans="1:7" x14ac:dyDescent="0.25">
      <c r="A657">
        <v>51</v>
      </c>
      <c r="B657" t="s">
        <v>135</v>
      </c>
      <c r="C657">
        <v>60</v>
      </c>
      <c r="D657" t="s">
        <v>315</v>
      </c>
      <c r="E657" t="s">
        <v>14</v>
      </c>
      <c r="F657">
        <v>5.9939999999999998</v>
      </c>
      <c r="G657" t="s">
        <v>13</v>
      </c>
    </row>
    <row r="658" spans="1:7" x14ac:dyDescent="0.25">
      <c r="A658">
        <v>51</v>
      </c>
      <c r="B658" t="s">
        <v>135</v>
      </c>
      <c r="C658">
        <v>70</v>
      </c>
      <c r="D658" t="s">
        <v>316</v>
      </c>
      <c r="E658" t="s">
        <v>14</v>
      </c>
      <c r="F658">
        <v>36.866</v>
      </c>
      <c r="G658" t="s">
        <v>13</v>
      </c>
    </row>
    <row r="659" spans="1:7" x14ac:dyDescent="0.25">
      <c r="A659">
        <v>51</v>
      </c>
      <c r="B659" t="s">
        <v>135</v>
      </c>
      <c r="C659">
        <v>80</v>
      </c>
      <c r="D659" t="s">
        <v>103</v>
      </c>
      <c r="E659" t="s">
        <v>11</v>
      </c>
      <c r="F659">
        <v>1</v>
      </c>
      <c r="G659" t="s">
        <v>13</v>
      </c>
    </row>
    <row r="660" spans="1:7" x14ac:dyDescent="0.25">
      <c r="A660">
        <v>51</v>
      </c>
      <c r="B660" t="s">
        <v>135</v>
      </c>
      <c r="C660">
        <v>90</v>
      </c>
      <c r="D660" t="s">
        <v>319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135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135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135</v>
      </c>
      <c r="C663">
        <v>120</v>
      </c>
      <c r="D663" t="s">
        <v>317</v>
      </c>
      <c r="E663" t="s">
        <v>12</v>
      </c>
      <c r="F663">
        <v>0.32300000000000001</v>
      </c>
      <c r="G663" t="s">
        <v>13</v>
      </c>
    </row>
    <row r="664" spans="1:7" x14ac:dyDescent="0.25">
      <c r="A664">
        <v>51</v>
      </c>
      <c r="B664" t="s">
        <v>135</v>
      </c>
      <c r="C664">
        <v>130</v>
      </c>
      <c r="D664" t="s">
        <v>136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137</v>
      </c>
      <c r="C665">
        <v>10</v>
      </c>
      <c r="D665" t="s">
        <v>320</v>
      </c>
      <c r="E665" t="s">
        <v>14</v>
      </c>
      <c r="F665">
        <v>2.286</v>
      </c>
      <c r="G665" t="s">
        <v>13</v>
      </c>
    </row>
    <row r="666" spans="1:7" x14ac:dyDescent="0.25">
      <c r="A666">
        <v>52</v>
      </c>
      <c r="B666" t="s">
        <v>137</v>
      </c>
      <c r="C666">
        <v>20</v>
      </c>
      <c r="D666" t="s">
        <v>93</v>
      </c>
      <c r="E666" t="s">
        <v>14</v>
      </c>
      <c r="F666">
        <v>158.49600000000001</v>
      </c>
      <c r="G666" t="s">
        <v>13</v>
      </c>
    </row>
    <row r="667" spans="1:7" x14ac:dyDescent="0.25">
      <c r="A667">
        <v>52</v>
      </c>
      <c r="B667" t="s">
        <v>137</v>
      </c>
      <c r="C667">
        <v>30</v>
      </c>
      <c r="D667" t="s">
        <v>16</v>
      </c>
      <c r="E667" t="s">
        <v>14</v>
      </c>
      <c r="F667">
        <v>42.671999999999997</v>
      </c>
      <c r="G667" t="s">
        <v>13</v>
      </c>
    </row>
    <row r="668" spans="1:7" x14ac:dyDescent="0.25">
      <c r="A668">
        <v>52</v>
      </c>
      <c r="B668" t="s">
        <v>137</v>
      </c>
      <c r="C668">
        <v>40</v>
      </c>
      <c r="D668" t="s">
        <v>318</v>
      </c>
      <c r="E668" t="s">
        <v>11</v>
      </c>
      <c r="F668">
        <v>1</v>
      </c>
      <c r="G668" t="s">
        <v>13</v>
      </c>
    </row>
    <row r="669" spans="1:7" x14ac:dyDescent="0.25">
      <c r="A669">
        <v>52</v>
      </c>
      <c r="B669" t="s">
        <v>137</v>
      </c>
      <c r="C669">
        <v>50</v>
      </c>
      <c r="D669" t="s">
        <v>102</v>
      </c>
      <c r="E669" t="s">
        <v>11</v>
      </c>
      <c r="F669">
        <v>1</v>
      </c>
      <c r="G669" t="s">
        <v>13</v>
      </c>
    </row>
    <row r="670" spans="1:7" x14ac:dyDescent="0.25">
      <c r="A670">
        <v>52</v>
      </c>
      <c r="B670" t="s">
        <v>137</v>
      </c>
      <c r="C670">
        <v>60</v>
      </c>
      <c r="D670" t="s">
        <v>315</v>
      </c>
      <c r="E670" t="s">
        <v>14</v>
      </c>
      <c r="F670">
        <v>6.2990000000000004</v>
      </c>
      <c r="G670" t="s">
        <v>13</v>
      </c>
    </row>
    <row r="671" spans="1:7" x14ac:dyDescent="0.25">
      <c r="A671">
        <v>52</v>
      </c>
      <c r="B671" t="s">
        <v>137</v>
      </c>
      <c r="C671">
        <v>70</v>
      </c>
      <c r="D671" t="s">
        <v>316</v>
      </c>
      <c r="E671" t="s">
        <v>14</v>
      </c>
      <c r="F671">
        <v>38.74</v>
      </c>
      <c r="G671" t="s">
        <v>13</v>
      </c>
    </row>
    <row r="672" spans="1:7" x14ac:dyDescent="0.25">
      <c r="A672">
        <v>52</v>
      </c>
      <c r="B672" t="s">
        <v>137</v>
      </c>
      <c r="C672">
        <v>80</v>
      </c>
      <c r="D672" t="s">
        <v>103</v>
      </c>
      <c r="E672" t="s">
        <v>11</v>
      </c>
      <c r="F672">
        <v>1</v>
      </c>
      <c r="G672" t="s">
        <v>13</v>
      </c>
    </row>
    <row r="673" spans="1:7" x14ac:dyDescent="0.25">
      <c r="A673">
        <v>52</v>
      </c>
      <c r="B673" t="s">
        <v>137</v>
      </c>
      <c r="C673">
        <v>90</v>
      </c>
      <c r="D673" t="s">
        <v>319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137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137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137</v>
      </c>
      <c r="C676">
        <v>120</v>
      </c>
      <c r="D676" t="s">
        <v>317</v>
      </c>
      <c r="E676" t="s">
        <v>12</v>
      </c>
      <c r="F676">
        <v>0.36799999999999999</v>
      </c>
      <c r="G676" t="s">
        <v>13</v>
      </c>
    </row>
    <row r="677" spans="1:7" x14ac:dyDescent="0.25">
      <c r="A677">
        <v>52</v>
      </c>
      <c r="B677" t="s">
        <v>137</v>
      </c>
      <c r="C677">
        <v>130</v>
      </c>
      <c r="D677" t="s">
        <v>138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139</v>
      </c>
      <c r="C678">
        <v>10</v>
      </c>
      <c r="D678" t="s">
        <v>320</v>
      </c>
      <c r="E678" t="s">
        <v>14</v>
      </c>
      <c r="F678">
        <v>2.286</v>
      </c>
      <c r="G678" t="s">
        <v>13</v>
      </c>
    </row>
    <row r="679" spans="1:7" x14ac:dyDescent="0.25">
      <c r="A679">
        <v>53</v>
      </c>
      <c r="B679" t="s">
        <v>139</v>
      </c>
      <c r="C679">
        <v>20</v>
      </c>
      <c r="D679" t="s">
        <v>93</v>
      </c>
      <c r="E679" t="s">
        <v>14</v>
      </c>
      <c r="F679">
        <v>166.42099999999999</v>
      </c>
      <c r="G679" t="s">
        <v>13</v>
      </c>
    </row>
    <row r="680" spans="1:7" x14ac:dyDescent="0.25">
      <c r="A680">
        <v>53</v>
      </c>
      <c r="B680" t="s">
        <v>139</v>
      </c>
      <c r="C680">
        <v>30</v>
      </c>
      <c r="D680" t="s">
        <v>16</v>
      </c>
      <c r="E680" t="s">
        <v>14</v>
      </c>
      <c r="F680">
        <v>44.805999999999997</v>
      </c>
      <c r="G680" t="s">
        <v>13</v>
      </c>
    </row>
    <row r="681" spans="1:7" x14ac:dyDescent="0.25">
      <c r="A681">
        <v>53</v>
      </c>
      <c r="B681" t="s">
        <v>139</v>
      </c>
      <c r="C681">
        <v>40</v>
      </c>
      <c r="D681" t="s">
        <v>318</v>
      </c>
      <c r="E681" t="s">
        <v>11</v>
      </c>
      <c r="F681">
        <v>1</v>
      </c>
      <c r="G681" t="s">
        <v>13</v>
      </c>
    </row>
    <row r="682" spans="1:7" x14ac:dyDescent="0.25">
      <c r="A682">
        <v>53</v>
      </c>
      <c r="B682" t="s">
        <v>139</v>
      </c>
      <c r="C682">
        <v>50</v>
      </c>
      <c r="D682" t="s">
        <v>102</v>
      </c>
      <c r="E682" t="s">
        <v>11</v>
      </c>
      <c r="F682">
        <v>1</v>
      </c>
      <c r="G682" t="s">
        <v>13</v>
      </c>
    </row>
    <row r="683" spans="1:7" x14ac:dyDescent="0.25">
      <c r="A683">
        <v>53</v>
      </c>
      <c r="B683" t="s">
        <v>139</v>
      </c>
      <c r="C683">
        <v>60</v>
      </c>
      <c r="D683" t="s">
        <v>315</v>
      </c>
      <c r="E683" t="s">
        <v>14</v>
      </c>
      <c r="F683">
        <v>6.6040000000000001</v>
      </c>
      <c r="G683" t="s">
        <v>13</v>
      </c>
    </row>
    <row r="684" spans="1:7" x14ac:dyDescent="0.25">
      <c r="A684">
        <v>53</v>
      </c>
      <c r="B684" t="s">
        <v>139</v>
      </c>
      <c r="C684">
        <v>70</v>
      </c>
      <c r="D684" t="s">
        <v>316</v>
      </c>
      <c r="E684" t="s">
        <v>14</v>
      </c>
      <c r="F684">
        <v>40.615000000000002</v>
      </c>
      <c r="G684" t="s">
        <v>13</v>
      </c>
    </row>
    <row r="685" spans="1:7" x14ac:dyDescent="0.25">
      <c r="A685">
        <v>53</v>
      </c>
      <c r="B685" t="s">
        <v>139</v>
      </c>
      <c r="C685">
        <v>80</v>
      </c>
      <c r="D685" t="s">
        <v>103</v>
      </c>
      <c r="E685" t="s">
        <v>11</v>
      </c>
      <c r="F685">
        <v>1</v>
      </c>
      <c r="G685" t="s">
        <v>13</v>
      </c>
    </row>
    <row r="686" spans="1:7" x14ac:dyDescent="0.25">
      <c r="A686">
        <v>53</v>
      </c>
      <c r="B686" t="s">
        <v>139</v>
      </c>
      <c r="C686">
        <v>90</v>
      </c>
      <c r="D686" t="s">
        <v>319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139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139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139</v>
      </c>
      <c r="C689">
        <v>120</v>
      </c>
      <c r="D689" t="s">
        <v>317</v>
      </c>
      <c r="E689" t="s">
        <v>12</v>
      </c>
      <c r="F689">
        <v>0.41299999999999998</v>
      </c>
      <c r="G689" t="s">
        <v>13</v>
      </c>
    </row>
    <row r="690" spans="1:7" x14ac:dyDescent="0.25">
      <c r="A690">
        <v>53</v>
      </c>
      <c r="B690" t="s">
        <v>139</v>
      </c>
      <c r="C690">
        <v>130</v>
      </c>
      <c r="D690" t="s">
        <v>140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141</v>
      </c>
      <c r="C691">
        <v>10</v>
      </c>
      <c r="D691" t="s">
        <v>320</v>
      </c>
      <c r="E691" t="s">
        <v>14</v>
      </c>
      <c r="F691">
        <v>2.286</v>
      </c>
      <c r="G691" t="s">
        <v>13</v>
      </c>
    </row>
    <row r="692" spans="1:7" x14ac:dyDescent="0.25">
      <c r="A692">
        <v>54</v>
      </c>
      <c r="B692" t="s">
        <v>141</v>
      </c>
      <c r="C692">
        <v>20</v>
      </c>
      <c r="D692" t="s">
        <v>93</v>
      </c>
      <c r="E692" t="s">
        <v>14</v>
      </c>
      <c r="F692">
        <v>182.27</v>
      </c>
      <c r="G692" t="s">
        <v>13</v>
      </c>
    </row>
    <row r="693" spans="1:7" x14ac:dyDescent="0.25">
      <c r="A693">
        <v>54</v>
      </c>
      <c r="B693" t="s">
        <v>141</v>
      </c>
      <c r="C693">
        <v>30</v>
      </c>
      <c r="D693" t="s">
        <v>16</v>
      </c>
      <c r="E693" t="s">
        <v>14</v>
      </c>
      <c r="F693">
        <v>49.073</v>
      </c>
      <c r="G693" t="s">
        <v>13</v>
      </c>
    </row>
    <row r="694" spans="1:7" x14ac:dyDescent="0.25">
      <c r="A694">
        <v>54</v>
      </c>
      <c r="B694" t="s">
        <v>141</v>
      </c>
      <c r="C694">
        <v>40</v>
      </c>
      <c r="D694" t="s">
        <v>318</v>
      </c>
      <c r="E694" t="s">
        <v>11</v>
      </c>
      <c r="F694">
        <v>1</v>
      </c>
      <c r="G694" t="s">
        <v>13</v>
      </c>
    </row>
    <row r="695" spans="1:7" x14ac:dyDescent="0.25">
      <c r="A695">
        <v>54</v>
      </c>
      <c r="B695" t="s">
        <v>141</v>
      </c>
      <c r="C695">
        <v>50</v>
      </c>
      <c r="D695" t="s">
        <v>102</v>
      </c>
      <c r="E695" t="s">
        <v>11</v>
      </c>
      <c r="F695">
        <v>1</v>
      </c>
      <c r="G695" t="s">
        <v>13</v>
      </c>
    </row>
    <row r="696" spans="1:7" x14ac:dyDescent="0.25">
      <c r="A696">
        <v>54</v>
      </c>
      <c r="B696" t="s">
        <v>141</v>
      </c>
      <c r="C696">
        <v>60</v>
      </c>
      <c r="D696" t="s">
        <v>315</v>
      </c>
      <c r="E696" t="s">
        <v>14</v>
      </c>
      <c r="F696">
        <v>7.2140000000000004</v>
      </c>
      <c r="G696" t="s">
        <v>13</v>
      </c>
    </row>
    <row r="697" spans="1:7" x14ac:dyDescent="0.25">
      <c r="A697">
        <v>54</v>
      </c>
      <c r="B697" t="s">
        <v>141</v>
      </c>
      <c r="C697">
        <v>70</v>
      </c>
      <c r="D697" t="s">
        <v>316</v>
      </c>
      <c r="E697" t="s">
        <v>14</v>
      </c>
      <c r="F697">
        <v>44.363999999999997</v>
      </c>
      <c r="G697" t="s">
        <v>13</v>
      </c>
    </row>
    <row r="698" spans="1:7" x14ac:dyDescent="0.25">
      <c r="A698">
        <v>54</v>
      </c>
      <c r="B698" t="s">
        <v>141</v>
      </c>
      <c r="C698">
        <v>80</v>
      </c>
      <c r="D698" t="s">
        <v>103</v>
      </c>
      <c r="E698" t="s">
        <v>11</v>
      </c>
      <c r="F698">
        <v>1</v>
      </c>
      <c r="G698" t="s">
        <v>13</v>
      </c>
    </row>
    <row r="699" spans="1:7" x14ac:dyDescent="0.25">
      <c r="A699">
        <v>54</v>
      </c>
      <c r="B699" t="s">
        <v>141</v>
      </c>
      <c r="C699">
        <v>90</v>
      </c>
      <c r="D699" t="s">
        <v>319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141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141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141</v>
      </c>
      <c r="C702">
        <v>120</v>
      </c>
      <c r="D702" t="s">
        <v>317</v>
      </c>
      <c r="E702" t="s">
        <v>12</v>
      </c>
      <c r="F702">
        <v>0.503</v>
      </c>
      <c r="G702" t="s">
        <v>13</v>
      </c>
    </row>
    <row r="703" spans="1:7" x14ac:dyDescent="0.25">
      <c r="A703">
        <v>54</v>
      </c>
      <c r="B703" t="s">
        <v>141</v>
      </c>
      <c r="C703">
        <v>130</v>
      </c>
      <c r="D703" t="s">
        <v>142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143</v>
      </c>
      <c r="C704">
        <v>10</v>
      </c>
      <c r="D704" t="s">
        <v>320</v>
      </c>
      <c r="E704" t="s">
        <v>14</v>
      </c>
      <c r="F704">
        <v>2.286</v>
      </c>
      <c r="G704" t="s">
        <v>13</v>
      </c>
    </row>
    <row r="705" spans="1:7" x14ac:dyDescent="0.25">
      <c r="A705">
        <v>55</v>
      </c>
      <c r="B705" t="s">
        <v>143</v>
      </c>
      <c r="C705">
        <v>20</v>
      </c>
      <c r="D705" t="s">
        <v>93</v>
      </c>
      <c r="E705" t="s">
        <v>14</v>
      </c>
      <c r="F705">
        <v>190.19499999999999</v>
      </c>
      <c r="G705" t="s">
        <v>13</v>
      </c>
    </row>
    <row r="706" spans="1:7" x14ac:dyDescent="0.25">
      <c r="A706">
        <v>55</v>
      </c>
      <c r="B706" t="s">
        <v>143</v>
      </c>
      <c r="C706">
        <v>30</v>
      </c>
      <c r="D706" t="s">
        <v>16</v>
      </c>
      <c r="E706" t="s">
        <v>14</v>
      </c>
      <c r="F706">
        <v>51.206000000000003</v>
      </c>
      <c r="G706" t="s">
        <v>13</v>
      </c>
    </row>
    <row r="707" spans="1:7" x14ac:dyDescent="0.25">
      <c r="A707">
        <v>55</v>
      </c>
      <c r="B707" t="s">
        <v>143</v>
      </c>
      <c r="C707">
        <v>40</v>
      </c>
      <c r="D707" t="s">
        <v>318</v>
      </c>
      <c r="E707" t="s">
        <v>11</v>
      </c>
      <c r="F707">
        <v>1</v>
      </c>
      <c r="G707" t="s">
        <v>13</v>
      </c>
    </row>
    <row r="708" spans="1:7" x14ac:dyDescent="0.25">
      <c r="A708">
        <v>55</v>
      </c>
      <c r="B708" t="s">
        <v>143</v>
      </c>
      <c r="C708">
        <v>50</v>
      </c>
      <c r="D708" t="s">
        <v>102</v>
      </c>
      <c r="E708" t="s">
        <v>11</v>
      </c>
      <c r="F708">
        <v>1</v>
      </c>
      <c r="G708" t="s">
        <v>13</v>
      </c>
    </row>
    <row r="709" spans="1:7" x14ac:dyDescent="0.25">
      <c r="A709">
        <v>55</v>
      </c>
      <c r="B709" t="s">
        <v>143</v>
      </c>
      <c r="C709">
        <v>60</v>
      </c>
      <c r="D709" t="s">
        <v>315</v>
      </c>
      <c r="E709" t="s">
        <v>14</v>
      </c>
      <c r="F709">
        <v>7.5179999999999998</v>
      </c>
      <c r="G709" t="s">
        <v>13</v>
      </c>
    </row>
    <row r="710" spans="1:7" x14ac:dyDescent="0.25">
      <c r="A710">
        <v>55</v>
      </c>
      <c r="B710" t="s">
        <v>143</v>
      </c>
      <c r="C710">
        <v>70</v>
      </c>
      <c r="D710" t="s">
        <v>316</v>
      </c>
      <c r="E710" t="s">
        <v>14</v>
      </c>
      <c r="F710">
        <v>46.238</v>
      </c>
      <c r="G710" t="s">
        <v>13</v>
      </c>
    </row>
    <row r="711" spans="1:7" x14ac:dyDescent="0.25">
      <c r="A711">
        <v>55</v>
      </c>
      <c r="B711" t="s">
        <v>143</v>
      </c>
      <c r="C711">
        <v>80</v>
      </c>
      <c r="D711" t="s">
        <v>103</v>
      </c>
      <c r="E711" t="s">
        <v>11</v>
      </c>
      <c r="F711">
        <v>1</v>
      </c>
      <c r="G711" t="s">
        <v>13</v>
      </c>
    </row>
    <row r="712" spans="1:7" x14ac:dyDescent="0.25">
      <c r="A712">
        <v>55</v>
      </c>
      <c r="B712" t="s">
        <v>143</v>
      </c>
      <c r="C712">
        <v>90</v>
      </c>
      <c r="D712" t="s">
        <v>319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143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143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143</v>
      </c>
      <c r="C715">
        <v>120</v>
      </c>
      <c r="D715" t="s">
        <v>317</v>
      </c>
      <c r="E715" t="s">
        <v>12</v>
      </c>
      <c r="F715">
        <v>0.54800000000000004</v>
      </c>
      <c r="G715" t="s">
        <v>13</v>
      </c>
    </row>
    <row r="716" spans="1:7" x14ac:dyDescent="0.25">
      <c r="A716">
        <v>55</v>
      </c>
      <c r="B716" t="s">
        <v>143</v>
      </c>
      <c r="C716">
        <v>130</v>
      </c>
      <c r="D716" t="s">
        <v>144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145</v>
      </c>
      <c r="C717">
        <v>10</v>
      </c>
      <c r="D717" t="s">
        <v>320</v>
      </c>
      <c r="E717" t="s">
        <v>14</v>
      </c>
      <c r="F717">
        <v>2.286</v>
      </c>
      <c r="G717" t="s">
        <v>13</v>
      </c>
    </row>
    <row r="718" spans="1:7" x14ac:dyDescent="0.25">
      <c r="A718">
        <v>56</v>
      </c>
      <c r="B718" t="s">
        <v>145</v>
      </c>
      <c r="C718">
        <v>20</v>
      </c>
      <c r="D718" t="s">
        <v>93</v>
      </c>
      <c r="E718" t="s">
        <v>14</v>
      </c>
      <c r="F718">
        <v>198.12</v>
      </c>
      <c r="G718" t="s">
        <v>13</v>
      </c>
    </row>
    <row r="719" spans="1:7" x14ac:dyDescent="0.25">
      <c r="A719">
        <v>56</v>
      </c>
      <c r="B719" t="s">
        <v>145</v>
      </c>
      <c r="C719">
        <v>30</v>
      </c>
      <c r="D719" t="s">
        <v>16</v>
      </c>
      <c r="E719" t="s">
        <v>14</v>
      </c>
      <c r="F719">
        <v>53.34</v>
      </c>
      <c r="G719" t="s">
        <v>13</v>
      </c>
    </row>
    <row r="720" spans="1:7" x14ac:dyDescent="0.25">
      <c r="A720">
        <v>56</v>
      </c>
      <c r="B720" t="s">
        <v>145</v>
      </c>
      <c r="C720">
        <v>40</v>
      </c>
      <c r="D720" t="s">
        <v>318</v>
      </c>
      <c r="E720" t="s">
        <v>11</v>
      </c>
      <c r="F720">
        <v>1</v>
      </c>
      <c r="G720" t="s">
        <v>13</v>
      </c>
    </row>
    <row r="721" spans="1:7" x14ac:dyDescent="0.25">
      <c r="A721">
        <v>56</v>
      </c>
      <c r="B721" t="s">
        <v>145</v>
      </c>
      <c r="C721">
        <v>50</v>
      </c>
      <c r="D721" t="s">
        <v>102</v>
      </c>
      <c r="E721" t="s">
        <v>11</v>
      </c>
      <c r="F721">
        <v>1</v>
      </c>
      <c r="G721" t="s">
        <v>13</v>
      </c>
    </row>
    <row r="722" spans="1:7" x14ac:dyDescent="0.25">
      <c r="A722">
        <v>56</v>
      </c>
      <c r="B722" t="s">
        <v>145</v>
      </c>
      <c r="C722">
        <v>60</v>
      </c>
      <c r="D722" t="s">
        <v>315</v>
      </c>
      <c r="E722" t="s">
        <v>14</v>
      </c>
      <c r="F722">
        <v>7.8230000000000004</v>
      </c>
      <c r="G722" t="s">
        <v>13</v>
      </c>
    </row>
    <row r="723" spans="1:7" x14ac:dyDescent="0.25">
      <c r="A723">
        <v>56</v>
      </c>
      <c r="B723" t="s">
        <v>145</v>
      </c>
      <c r="C723">
        <v>70</v>
      </c>
      <c r="D723" t="s">
        <v>316</v>
      </c>
      <c r="E723" t="s">
        <v>14</v>
      </c>
      <c r="F723">
        <v>48.113</v>
      </c>
      <c r="G723" t="s">
        <v>13</v>
      </c>
    </row>
    <row r="724" spans="1:7" x14ac:dyDescent="0.25">
      <c r="A724">
        <v>56</v>
      </c>
      <c r="B724" t="s">
        <v>145</v>
      </c>
      <c r="C724">
        <v>80</v>
      </c>
      <c r="D724" t="s">
        <v>103</v>
      </c>
      <c r="E724" t="s">
        <v>11</v>
      </c>
      <c r="F724">
        <v>1</v>
      </c>
      <c r="G724" t="s">
        <v>13</v>
      </c>
    </row>
    <row r="725" spans="1:7" x14ac:dyDescent="0.25">
      <c r="A725">
        <v>56</v>
      </c>
      <c r="B725" t="s">
        <v>145</v>
      </c>
      <c r="C725">
        <v>90</v>
      </c>
      <c r="D725" t="s">
        <v>319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145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145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145</v>
      </c>
      <c r="C728">
        <v>120</v>
      </c>
      <c r="D728" t="s">
        <v>317</v>
      </c>
      <c r="E728" t="s">
        <v>12</v>
      </c>
      <c r="F728">
        <v>0.59299999999999997</v>
      </c>
      <c r="G728" t="s">
        <v>13</v>
      </c>
    </row>
    <row r="729" spans="1:7" x14ac:dyDescent="0.25">
      <c r="A729">
        <v>56</v>
      </c>
      <c r="B729" t="s">
        <v>145</v>
      </c>
      <c r="C729">
        <v>130</v>
      </c>
      <c r="D729" t="s">
        <v>146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147</v>
      </c>
      <c r="C730">
        <v>10</v>
      </c>
      <c r="D730" t="s">
        <v>320</v>
      </c>
      <c r="E730" t="s">
        <v>14</v>
      </c>
      <c r="F730">
        <v>4.3179999999999996</v>
      </c>
      <c r="G730" t="s">
        <v>13</v>
      </c>
    </row>
    <row r="731" spans="1:7" x14ac:dyDescent="0.25">
      <c r="A731">
        <v>57</v>
      </c>
      <c r="B731" t="s">
        <v>147</v>
      </c>
      <c r="C731">
        <v>20</v>
      </c>
      <c r="D731" t="s">
        <v>93</v>
      </c>
      <c r="E731" t="s">
        <v>14</v>
      </c>
      <c r="F731">
        <v>145.28800000000001</v>
      </c>
      <c r="G731" t="s">
        <v>13</v>
      </c>
    </row>
    <row r="732" spans="1:7" x14ac:dyDescent="0.25">
      <c r="A732">
        <v>57</v>
      </c>
      <c r="B732" t="s">
        <v>147</v>
      </c>
      <c r="C732">
        <v>30</v>
      </c>
      <c r="D732" t="s">
        <v>16</v>
      </c>
      <c r="E732" t="s">
        <v>14</v>
      </c>
      <c r="F732">
        <v>39.116</v>
      </c>
      <c r="G732" t="s">
        <v>13</v>
      </c>
    </row>
    <row r="733" spans="1:7" x14ac:dyDescent="0.25">
      <c r="A733">
        <v>57</v>
      </c>
      <c r="B733" t="s">
        <v>147</v>
      </c>
      <c r="C733">
        <v>40</v>
      </c>
      <c r="D733" t="s">
        <v>318</v>
      </c>
      <c r="E733" t="s">
        <v>11</v>
      </c>
      <c r="F733">
        <v>1</v>
      </c>
      <c r="G733" t="s">
        <v>13</v>
      </c>
    </row>
    <row r="734" spans="1:7" x14ac:dyDescent="0.25">
      <c r="A734">
        <v>57</v>
      </c>
      <c r="B734" t="s">
        <v>147</v>
      </c>
      <c r="C734">
        <v>50</v>
      </c>
      <c r="D734" t="s">
        <v>102</v>
      </c>
      <c r="E734" t="s">
        <v>11</v>
      </c>
      <c r="F734">
        <v>1</v>
      </c>
      <c r="G734" t="s">
        <v>13</v>
      </c>
    </row>
    <row r="735" spans="1:7" x14ac:dyDescent="0.25">
      <c r="A735">
        <v>57</v>
      </c>
      <c r="B735" t="s">
        <v>147</v>
      </c>
      <c r="C735">
        <v>60</v>
      </c>
      <c r="D735" t="s">
        <v>315</v>
      </c>
      <c r="E735" t="s">
        <v>14</v>
      </c>
      <c r="F735">
        <v>5.7910000000000004</v>
      </c>
      <c r="G735" t="s">
        <v>13</v>
      </c>
    </row>
    <row r="736" spans="1:7" x14ac:dyDescent="0.25">
      <c r="A736">
        <v>57</v>
      </c>
      <c r="B736" t="s">
        <v>147</v>
      </c>
      <c r="C736">
        <v>70</v>
      </c>
      <c r="D736" t="s">
        <v>316</v>
      </c>
      <c r="E736" t="s">
        <v>14</v>
      </c>
      <c r="F736">
        <v>35.616</v>
      </c>
      <c r="G736" t="s">
        <v>13</v>
      </c>
    </row>
    <row r="737" spans="1:7" x14ac:dyDescent="0.25">
      <c r="A737">
        <v>57</v>
      </c>
      <c r="B737" t="s">
        <v>147</v>
      </c>
      <c r="C737">
        <v>80</v>
      </c>
      <c r="D737" t="s">
        <v>103</v>
      </c>
      <c r="E737" t="s">
        <v>11</v>
      </c>
      <c r="F737">
        <v>1</v>
      </c>
      <c r="G737" t="s">
        <v>13</v>
      </c>
    </row>
    <row r="738" spans="1:7" x14ac:dyDescent="0.25">
      <c r="A738">
        <v>57</v>
      </c>
      <c r="B738" t="s">
        <v>147</v>
      </c>
      <c r="C738">
        <v>90</v>
      </c>
      <c r="D738" t="s">
        <v>319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147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147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147</v>
      </c>
      <c r="C741">
        <v>120</v>
      </c>
      <c r="D741" t="s">
        <v>317</v>
      </c>
      <c r="E741" t="s">
        <v>12</v>
      </c>
      <c r="F741">
        <v>0.65300000000000002</v>
      </c>
      <c r="G741" t="s">
        <v>13</v>
      </c>
    </row>
    <row r="742" spans="1:7" x14ac:dyDescent="0.25">
      <c r="A742">
        <v>57</v>
      </c>
      <c r="B742" t="s">
        <v>147</v>
      </c>
      <c r="C742">
        <v>130</v>
      </c>
      <c r="D742" t="s">
        <v>148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149</v>
      </c>
      <c r="C743">
        <v>10</v>
      </c>
      <c r="D743" t="s">
        <v>320</v>
      </c>
      <c r="E743" t="s">
        <v>14</v>
      </c>
      <c r="F743">
        <v>4.3179999999999996</v>
      </c>
      <c r="G743" t="s">
        <v>13</v>
      </c>
    </row>
    <row r="744" spans="1:7" x14ac:dyDescent="0.25">
      <c r="A744">
        <v>58</v>
      </c>
      <c r="B744" t="s">
        <v>149</v>
      </c>
      <c r="C744">
        <v>20</v>
      </c>
      <c r="D744" t="s">
        <v>93</v>
      </c>
      <c r="E744" t="s">
        <v>14</v>
      </c>
      <c r="F744">
        <v>153.21299999999999</v>
      </c>
      <c r="G744" t="s">
        <v>13</v>
      </c>
    </row>
    <row r="745" spans="1:7" x14ac:dyDescent="0.25">
      <c r="A745">
        <v>58</v>
      </c>
      <c r="B745" t="s">
        <v>149</v>
      </c>
      <c r="C745">
        <v>30</v>
      </c>
      <c r="D745" t="s">
        <v>16</v>
      </c>
      <c r="E745" t="s">
        <v>14</v>
      </c>
      <c r="F745">
        <v>41.25</v>
      </c>
      <c r="G745" t="s">
        <v>13</v>
      </c>
    </row>
    <row r="746" spans="1:7" x14ac:dyDescent="0.25">
      <c r="A746">
        <v>58</v>
      </c>
      <c r="B746" t="s">
        <v>149</v>
      </c>
      <c r="C746">
        <v>40</v>
      </c>
      <c r="D746" t="s">
        <v>318</v>
      </c>
      <c r="E746" t="s">
        <v>11</v>
      </c>
      <c r="F746">
        <v>1</v>
      </c>
      <c r="G746" t="s">
        <v>13</v>
      </c>
    </row>
    <row r="747" spans="1:7" x14ac:dyDescent="0.25">
      <c r="A747">
        <v>58</v>
      </c>
      <c r="B747" t="s">
        <v>149</v>
      </c>
      <c r="C747">
        <v>50</v>
      </c>
      <c r="D747" t="s">
        <v>102</v>
      </c>
      <c r="E747" t="s">
        <v>11</v>
      </c>
      <c r="F747">
        <v>1</v>
      </c>
      <c r="G747" t="s">
        <v>13</v>
      </c>
    </row>
    <row r="748" spans="1:7" x14ac:dyDescent="0.25">
      <c r="A748">
        <v>58</v>
      </c>
      <c r="B748" t="s">
        <v>149</v>
      </c>
      <c r="C748">
        <v>60</v>
      </c>
      <c r="D748" t="s">
        <v>315</v>
      </c>
      <c r="E748" t="s">
        <v>14</v>
      </c>
      <c r="F748">
        <v>6.0960000000000001</v>
      </c>
      <c r="G748" t="s">
        <v>13</v>
      </c>
    </row>
    <row r="749" spans="1:7" x14ac:dyDescent="0.25">
      <c r="A749">
        <v>58</v>
      </c>
      <c r="B749" t="s">
        <v>149</v>
      </c>
      <c r="C749">
        <v>70</v>
      </c>
      <c r="D749" t="s">
        <v>316</v>
      </c>
      <c r="E749" t="s">
        <v>14</v>
      </c>
      <c r="F749">
        <v>37.49</v>
      </c>
      <c r="G749" t="s">
        <v>13</v>
      </c>
    </row>
    <row r="750" spans="1:7" x14ac:dyDescent="0.25">
      <c r="A750">
        <v>58</v>
      </c>
      <c r="B750" t="s">
        <v>149</v>
      </c>
      <c r="C750">
        <v>80</v>
      </c>
      <c r="D750" t="s">
        <v>103</v>
      </c>
      <c r="E750" t="s">
        <v>11</v>
      </c>
      <c r="F750">
        <v>1</v>
      </c>
      <c r="G750" t="s">
        <v>13</v>
      </c>
    </row>
    <row r="751" spans="1:7" x14ac:dyDescent="0.25">
      <c r="A751">
        <v>58</v>
      </c>
      <c r="B751" t="s">
        <v>149</v>
      </c>
      <c r="C751">
        <v>90</v>
      </c>
      <c r="D751" t="s">
        <v>319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149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149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149</v>
      </c>
      <c r="C754">
        <v>120</v>
      </c>
      <c r="D754" t="s">
        <v>317</v>
      </c>
      <c r="E754" t="s">
        <v>12</v>
      </c>
      <c r="F754">
        <v>0.65300000000000002</v>
      </c>
      <c r="G754" t="s">
        <v>13</v>
      </c>
    </row>
    <row r="755" spans="1:7" x14ac:dyDescent="0.25">
      <c r="A755">
        <v>58</v>
      </c>
      <c r="B755" t="s">
        <v>149</v>
      </c>
      <c r="C755">
        <v>130</v>
      </c>
      <c r="D755" t="s">
        <v>150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151</v>
      </c>
      <c r="C756">
        <v>10</v>
      </c>
      <c r="D756" t="s">
        <v>320</v>
      </c>
      <c r="E756" t="s">
        <v>14</v>
      </c>
      <c r="F756">
        <v>4.3179999999999996</v>
      </c>
      <c r="G756" t="s">
        <v>13</v>
      </c>
    </row>
    <row r="757" spans="1:7" x14ac:dyDescent="0.25">
      <c r="A757">
        <v>59</v>
      </c>
      <c r="B757" t="s">
        <v>151</v>
      </c>
      <c r="C757">
        <v>20</v>
      </c>
      <c r="D757" t="s">
        <v>93</v>
      </c>
      <c r="E757" t="s">
        <v>14</v>
      </c>
      <c r="F757">
        <v>161.13800000000001</v>
      </c>
      <c r="G757" t="s">
        <v>13</v>
      </c>
    </row>
    <row r="758" spans="1:7" x14ac:dyDescent="0.25">
      <c r="A758">
        <v>59</v>
      </c>
      <c r="B758" t="s">
        <v>151</v>
      </c>
      <c r="C758">
        <v>30</v>
      </c>
      <c r="D758" t="s">
        <v>16</v>
      </c>
      <c r="E758" t="s">
        <v>14</v>
      </c>
      <c r="F758">
        <v>43.383000000000003</v>
      </c>
      <c r="G758" t="s">
        <v>13</v>
      </c>
    </row>
    <row r="759" spans="1:7" x14ac:dyDescent="0.25">
      <c r="A759">
        <v>59</v>
      </c>
      <c r="B759" t="s">
        <v>151</v>
      </c>
      <c r="C759">
        <v>40</v>
      </c>
      <c r="D759" t="s">
        <v>318</v>
      </c>
      <c r="E759" t="s">
        <v>11</v>
      </c>
      <c r="F759">
        <v>1</v>
      </c>
      <c r="G759" t="s">
        <v>13</v>
      </c>
    </row>
    <row r="760" spans="1:7" x14ac:dyDescent="0.25">
      <c r="A760">
        <v>59</v>
      </c>
      <c r="B760" t="s">
        <v>151</v>
      </c>
      <c r="C760">
        <v>50</v>
      </c>
      <c r="D760" t="s">
        <v>102</v>
      </c>
      <c r="E760" t="s">
        <v>11</v>
      </c>
      <c r="F760">
        <v>1</v>
      </c>
      <c r="G760" t="s">
        <v>13</v>
      </c>
    </row>
    <row r="761" spans="1:7" x14ac:dyDescent="0.25">
      <c r="A761">
        <v>59</v>
      </c>
      <c r="B761" t="s">
        <v>151</v>
      </c>
      <c r="C761">
        <v>60</v>
      </c>
      <c r="D761" t="s">
        <v>315</v>
      </c>
      <c r="E761" t="s">
        <v>14</v>
      </c>
      <c r="F761">
        <v>6.4009999999999998</v>
      </c>
      <c r="G761" t="s">
        <v>13</v>
      </c>
    </row>
    <row r="762" spans="1:7" x14ac:dyDescent="0.25">
      <c r="A762">
        <v>59</v>
      </c>
      <c r="B762" t="s">
        <v>151</v>
      </c>
      <c r="C762">
        <v>70</v>
      </c>
      <c r="D762" t="s">
        <v>316</v>
      </c>
      <c r="E762" t="s">
        <v>14</v>
      </c>
      <c r="F762">
        <v>39.365000000000002</v>
      </c>
      <c r="G762" t="s">
        <v>13</v>
      </c>
    </row>
    <row r="763" spans="1:7" x14ac:dyDescent="0.25">
      <c r="A763">
        <v>59</v>
      </c>
      <c r="B763" t="s">
        <v>151</v>
      </c>
      <c r="C763">
        <v>80</v>
      </c>
      <c r="D763" t="s">
        <v>103</v>
      </c>
      <c r="E763" t="s">
        <v>11</v>
      </c>
      <c r="F763">
        <v>1</v>
      </c>
      <c r="G763" t="s">
        <v>13</v>
      </c>
    </row>
    <row r="764" spans="1:7" x14ac:dyDescent="0.25">
      <c r="A764">
        <v>59</v>
      </c>
      <c r="B764" t="s">
        <v>151</v>
      </c>
      <c r="C764">
        <v>90</v>
      </c>
      <c r="D764" t="s">
        <v>319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151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151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151</v>
      </c>
      <c r="C767">
        <v>120</v>
      </c>
      <c r="D767" t="s">
        <v>317</v>
      </c>
      <c r="E767" t="s">
        <v>12</v>
      </c>
      <c r="F767">
        <v>0.65300000000000002</v>
      </c>
      <c r="G767" t="s">
        <v>13</v>
      </c>
    </row>
    <row r="768" spans="1:7" x14ac:dyDescent="0.25">
      <c r="A768">
        <v>59</v>
      </c>
      <c r="B768" t="s">
        <v>151</v>
      </c>
      <c r="C768">
        <v>130</v>
      </c>
      <c r="D768" t="s">
        <v>152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153</v>
      </c>
      <c r="C769">
        <v>10</v>
      </c>
      <c r="D769" t="s">
        <v>320</v>
      </c>
      <c r="E769" t="s">
        <v>14</v>
      </c>
      <c r="F769">
        <v>4.3179999999999996</v>
      </c>
      <c r="G769" t="s">
        <v>13</v>
      </c>
    </row>
    <row r="770" spans="1:7" x14ac:dyDescent="0.25">
      <c r="A770">
        <v>60</v>
      </c>
      <c r="B770" t="s">
        <v>153</v>
      </c>
      <c r="C770">
        <v>20</v>
      </c>
      <c r="D770" t="s">
        <v>93</v>
      </c>
      <c r="E770" t="s">
        <v>14</v>
      </c>
      <c r="F770">
        <v>169.06200000000001</v>
      </c>
      <c r="G770" t="s">
        <v>13</v>
      </c>
    </row>
    <row r="771" spans="1:7" x14ac:dyDescent="0.25">
      <c r="A771">
        <v>60</v>
      </c>
      <c r="B771" t="s">
        <v>153</v>
      </c>
      <c r="C771">
        <v>30</v>
      </c>
      <c r="D771" t="s">
        <v>16</v>
      </c>
      <c r="E771" t="s">
        <v>14</v>
      </c>
      <c r="F771">
        <v>45.517000000000003</v>
      </c>
      <c r="G771" t="s">
        <v>13</v>
      </c>
    </row>
    <row r="772" spans="1:7" x14ac:dyDescent="0.25">
      <c r="A772">
        <v>60</v>
      </c>
      <c r="B772" t="s">
        <v>153</v>
      </c>
      <c r="C772">
        <v>40</v>
      </c>
      <c r="D772" t="s">
        <v>318</v>
      </c>
      <c r="E772" t="s">
        <v>11</v>
      </c>
      <c r="F772">
        <v>1</v>
      </c>
      <c r="G772" t="s">
        <v>13</v>
      </c>
    </row>
    <row r="773" spans="1:7" x14ac:dyDescent="0.25">
      <c r="A773">
        <v>60</v>
      </c>
      <c r="B773" t="s">
        <v>153</v>
      </c>
      <c r="C773">
        <v>50</v>
      </c>
      <c r="D773" t="s">
        <v>102</v>
      </c>
      <c r="E773" t="s">
        <v>11</v>
      </c>
      <c r="F773">
        <v>1</v>
      </c>
      <c r="G773" t="s">
        <v>13</v>
      </c>
    </row>
    <row r="774" spans="1:7" x14ac:dyDescent="0.25">
      <c r="A774">
        <v>60</v>
      </c>
      <c r="B774" t="s">
        <v>153</v>
      </c>
      <c r="C774">
        <v>60</v>
      </c>
      <c r="D774" t="s">
        <v>315</v>
      </c>
      <c r="E774" t="s">
        <v>14</v>
      </c>
      <c r="F774">
        <v>6.7060000000000004</v>
      </c>
      <c r="G774" t="s">
        <v>13</v>
      </c>
    </row>
    <row r="775" spans="1:7" x14ac:dyDescent="0.25">
      <c r="A775">
        <v>60</v>
      </c>
      <c r="B775" t="s">
        <v>153</v>
      </c>
      <c r="C775">
        <v>70</v>
      </c>
      <c r="D775" t="s">
        <v>316</v>
      </c>
      <c r="E775" t="s">
        <v>14</v>
      </c>
      <c r="F775">
        <v>41.238999999999997</v>
      </c>
      <c r="G775" t="s">
        <v>13</v>
      </c>
    </row>
    <row r="776" spans="1:7" x14ac:dyDescent="0.25">
      <c r="A776">
        <v>60</v>
      </c>
      <c r="B776" t="s">
        <v>153</v>
      </c>
      <c r="C776">
        <v>80</v>
      </c>
      <c r="D776" t="s">
        <v>103</v>
      </c>
      <c r="E776" t="s">
        <v>11</v>
      </c>
      <c r="F776">
        <v>1</v>
      </c>
      <c r="G776" t="s">
        <v>13</v>
      </c>
    </row>
    <row r="777" spans="1:7" x14ac:dyDescent="0.25">
      <c r="A777">
        <v>60</v>
      </c>
      <c r="B777" t="s">
        <v>153</v>
      </c>
      <c r="C777">
        <v>90</v>
      </c>
      <c r="D777" t="s">
        <v>319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153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153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153</v>
      </c>
      <c r="C780">
        <v>120</v>
      </c>
      <c r="D780" t="s">
        <v>317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60</v>
      </c>
      <c r="B781" t="s">
        <v>153</v>
      </c>
      <c r="C781">
        <v>130</v>
      </c>
      <c r="D781" t="s">
        <v>154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155</v>
      </c>
      <c r="C782">
        <v>10</v>
      </c>
      <c r="D782" t="s">
        <v>320</v>
      </c>
      <c r="E782" t="s">
        <v>14</v>
      </c>
      <c r="F782">
        <v>4.3179999999999996</v>
      </c>
      <c r="G782" t="s">
        <v>13</v>
      </c>
    </row>
    <row r="783" spans="1:7" x14ac:dyDescent="0.25">
      <c r="A783">
        <v>61</v>
      </c>
      <c r="B783" t="s">
        <v>155</v>
      </c>
      <c r="C783">
        <v>20</v>
      </c>
      <c r="D783" t="s">
        <v>93</v>
      </c>
      <c r="E783" t="s">
        <v>14</v>
      </c>
      <c r="F783">
        <v>184.91200000000001</v>
      </c>
      <c r="G783" t="s">
        <v>13</v>
      </c>
    </row>
    <row r="784" spans="1:7" x14ac:dyDescent="0.25">
      <c r="A784">
        <v>61</v>
      </c>
      <c r="B784" t="s">
        <v>155</v>
      </c>
      <c r="C784">
        <v>30</v>
      </c>
      <c r="D784" t="s">
        <v>16</v>
      </c>
      <c r="E784" t="s">
        <v>14</v>
      </c>
      <c r="F784">
        <v>49.783999999999999</v>
      </c>
      <c r="G784" t="s">
        <v>13</v>
      </c>
    </row>
    <row r="785" spans="1:7" x14ac:dyDescent="0.25">
      <c r="A785">
        <v>61</v>
      </c>
      <c r="B785" t="s">
        <v>155</v>
      </c>
      <c r="C785">
        <v>40</v>
      </c>
      <c r="D785" t="s">
        <v>318</v>
      </c>
      <c r="E785" t="s">
        <v>11</v>
      </c>
      <c r="F785">
        <v>1</v>
      </c>
      <c r="G785" t="s">
        <v>13</v>
      </c>
    </row>
    <row r="786" spans="1:7" x14ac:dyDescent="0.25">
      <c r="A786">
        <v>61</v>
      </c>
      <c r="B786" t="s">
        <v>155</v>
      </c>
      <c r="C786">
        <v>50</v>
      </c>
      <c r="D786" t="s">
        <v>102</v>
      </c>
      <c r="E786" t="s">
        <v>11</v>
      </c>
      <c r="F786">
        <v>1</v>
      </c>
      <c r="G786" t="s">
        <v>13</v>
      </c>
    </row>
    <row r="787" spans="1:7" x14ac:dyDescent="0.25">
      <c r="A787">
        <v>61</v>
      </c>
      <c r="B787" t="s">
        <v>155</v>
      </c>
      <c r="C787">
        <v>60</v>
      </c>
      <c r="D787" t="s">
        <v>315</v>
      </c>
      <c r="E787" t="s">
        <v>14</v>
      </c>
      <c r="F787">
        <v>7.3150000000000004</v>
      </c>
      <c r="G787" t="s">
        <v>13</v>
      </c>
    </row>
    <row r="788" spans="1:7" x14ac:dyDescent="0.25">
      <c r="A788">
        <v>61</v>
      </c>
      <c r="B788" t="s">
        <v>155</v>
      </c>
      <c r="C788">
        <v>70</v>
      </c>
      <c r="D788" t="s">
        <v>316</v>
      </c>
      <c r="E788" t="s">
        <v>14</v>
      </c>
      <c r="F788">
        <v>44.988</v>
      </c>
      <c r="G788" t="s">
        <v>13</v>
      </c>
    </row>
    <row r="789" spans="1:7" x14ac:dyDescent="0.25">
      <c r="A789">
        <v>61</v>
      </c>
      <c r="B789" t="s">
        <v>155</v>
      </c>
      <c r="C789">
        <v>80</v>
      </c>
      <c r="D789" t="s">
        <v>103</v>
      </c>
      <c r="E789" t="s">
        <v>11</v>
      </c>
      <c r="F789">
        <v>1</v>
      </c>
      <c r="G789" t="s">
        <v>13</v>
      </c>
    </row>
    <row r="790" spans="1:7" x14ac:dyDescent="0.25">
      <c r="A790">
        <v>61</v>
      </c>
      <c r="B790" t="s">
        <v>155</v>
      </c>
      <c r="C790">
        <v>90</v>
      </c>
      <c r="D790" t="s">
        <v>319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155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155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155</v>
      </c>
      <c r="C793">
        <v>120</v>
      </c>
      <c r="D793" t="s">
        <v>317</v>
      </c>
      <c r="E793" t="s">
        <v>12</v>
      </c>
      <c r="F793">
        <v>0.65300000000000002</v>
      </c>
      <c r="G793" t="s">
        <v>13</v>
      </c>
    </row>
    <row r="794" spans="1:7" x14ac:dyDescent="0.25">
      <c r="A794">
        <v>61</v>
      </c>
      <c r="B794" t="s">
        <v>155</v>
      </c>
      <c r="C794">
        <v>130</v>
      </c>
      <c r="D794" t="s">
        <v>156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157</v>
      </c>
      <c r="C795">
        <v>10</v>
      </c>
      <c r="D795" t="s">
        <v>320</v>
      </c>
      <c r="E795" t="s">
        <v>14</v>
      </c>
      <c r="F795">
        <v>4.3179999999999996</v>
      </c>
      <c r="G795" t="s">
        <v>13</v>
      </c>
    </row>
    <row r="796" spans="1:7" x14ac:dyDescent="0.25">
      <c r="A796">
        <v>62</v>
      </c>
      <c r="B796" t="s">
        <v>157</v>
      </c>
      <c r="C796">
        <v>20</v>
      </c>
      <c r="D796" t="s">
        <v>93</v>
      </c>
      <c r="E796" t="s">
        <v>14</v>
      </c>
      <c r="F796">
        <v>192.83699999999999</v>
      </c>
      <c r="G796" t="s">
        <v>13</v>
      </c>
    </row>
    <row r="797" spans="1:7" x14ac:dyDescent="0.25">
      <c r="A797">
        <v>62</v>
      </c>
      <c r="B797" t="s">
        <v>157</v>
      </c>
      <c r="C797">
        <v>30</v>
      </c>
      <c r="D797" t="s">
        <v>16</v>
      </c>
      <c r="E797" t="s">
        <v>14</v>
      </c>
      <c r="F797">
        <v>51.917999999999999</v>
      </c>
      <c r="G797" t="s">
        <v>13</v>
      </c>
    </row>
    <row r="798" spans="1:7" x14ac:dyDescent="0.25">
      <c r="A798">
        <v>62</v>
      </c>
      <c r="B798" t="s">
        <v>157</v>
      </c>
      <c r="C798">
        <v>40</v>
      </c>
      <c r="D798" t="s">
        <v>318</v>
      </c>
      <c r="E798" t="s">
        <v>11</v>
      </c>
      <c r="F798">
        <v>1</v>
      </c>
      <c r="G798" t="s">
        <v>13</v>
      </c>
    </row>
    <row r="799" spans="1:7" x14ac:dyDescent="0.25">
      <c r="A799">
        <v>62</v>
      </c>
      <c r="B799" t="s">
        <v>157</v>
      </c>
      <c r="C799">
        <v>50</v>
      </c>
      <c r="D799" t="s">
        <v>102</v>
      </c>
      <c r="E799" t="s">
        <v>11</v>
      </c>
      <c r="F799">
        <v>1</v>
      </c>
      <c r="G799" t="s">
        <v>13</v>
      </c>
    </row>
    <row r="800" spans="1:7" x14ac:dyDescent="0.25">
      <c r="A800">
        <v>62</v>
      </c>
      <c r="B800" t="s">
        <v>157</v>
      </c>
      <c r="C800">
        <v>60</v>
      </c>
      <c r="D800" t="s">
        <v>315</v>
      </c>
      <c r="E800" t="s">
        <v>14</v>
      </c>
      <c r="F800">
        <v>7.62</v>
      </c>
      <c r="G800" t="s">
        <v>13</v>
      </c>
    </row>
    <row r="801" spans="1:7" x14ac:dyDescent="0.25">
      <c r="A801">
        <v>62</v>
      </c>
      <c r="B801" t="s">
        <v>157</v>
      </c>
      <c r="C801">
        <v>70</v>
      </c>
      <c r="D801" t="s">
        <v>316</v>
      </c>
      <c r="E801" t="s">
        <v>14</v>
      </c>
      <c r="F801">
        <v>46.863</v>
      </c>
      <c r="G801" t="s">
        <v>13</v>
      </c>
    </row>
    <row r="802" spans="1:7" x14ac:dyDescent="0.25">
      <c r="A802">
        <v>62</v>
      </c>
      <c r="B802" t="s">
        <v>157</v>
      </c>
      <c r="C802">
        <v>80</v>
      </c>
      <c r="D802" t="s">
        <v>103</v>
      </c>
      <c r="E802" t="s">
        <v>11</v>
      </c>
      <c r="F802">
        <v>1</v>
      </c>
      <c r="G802" t="s">
        <v>13</v>
      </c>
    </row>
    <row r="803" spans="1:7" x14ac:dyDescent="0.25">
      <c r="A803">
        <v>62</v>
      </c>
      <c r="B803" t="s">
        <v>157</v>
      </c>
      <c r="C803">
        <v>90</v>
      </c>
      <c r="D803" t="s">
        <v>319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157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157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157</v>
      </c>
      <c r="C806">
        <v>120</v>
      </c>
      <c r="D806" t="s">
        <v>317</v>
      </c>
      <c r="E806" t="s">
        <v>12</v>
      </c>
      <c r="F806">
        <v>0.65300000000000002</v>
      </c>
      <c r="G806" t="s">
        <v>13</v>
      </c>
    </row>
    <row r="807" spans="1:7" x14ac:dyDescent="0.25">
      <c r="A807">
        <v>62</v>
      </c>
      <c r="B807" t="s">
        <v>157</v>
      </c>
      <c r="C807">
        <v>130</v>
      </c>
      <c r="D807" t="s">
        <v>158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159</v>
      </c>
      <c r="C808">
        <v>10</v>
      </c>
      <c r="D808" t="s">
        <v>320</v>
      </c>
      <c r="E808" t="s">
        <v>14</v>
      </c>
      <c r="F808">
        <v>4.3179999999999996</v>
      </c>
      <c r="G808" t="s">
        <v>13</v>
      </c>
    </row>
    <row r="809" spans="1:7" x14ac:dyDescent="0.25">
      <c r="A809">
        <v>63</v>
      </c>
      <c r="B809" t="s">
        <v>159</v>
      </c>
      <c r="C809">
        <v>20</v>
      </c>
      <c r="D809" t="s">
        <v>93</v>
      </c>
      <c r="E809" t="s">
        <v>14</v>
      </c>
      <c r="F809">
        <v>200.762</v>
      </c>
      <c r="G809" t="s">
        <v>13</v>
      </c>
    </row>
    <row r="810" spans="1:7" x14ac:dyDescent="0.25">
      <c r="A810">
        <v>63</v>
      </c>
      <c r="B810" t="s">
        <v>159</v>
      </c>
      <c r="C810">
        <v>30</v>
      </c>
      <c r="D810" t="s">
        <v>16</v>
      </c>
      <c r="E810" t="s">
        <v>14</v>
      </c>
      <c r="F810">
        <v>54.051000000000002</v>
      </c>
      <c r="G810" t="s">
        <v>13</v>
      </c>
    </row>
    <row r="811" spans="1:7" x14ac:dyDescent="0.25">
      <c r="A811">
        <v>63</v>
      </c>
      <c r="B811" t="s">
        <v>159</v>
      </c>
      <c r="C811">
        <v>40</v>
      </c>
      <c r="D811" t="s">
        <v>318</v>
      </c>
      <c r="E811" t="s">
        <v>11</v>
      </c>
      <c r="F811">
        <v>1</v>
      </c>
      <c r="G811" t="s">
        <v>13</v>
      </c>
    </row>
    <row r="812" spans="1:7" x14ac:dyDescent="0.25">
      <c r="A812">
        <v>63</v>
      </c>
      <c r="B812" t="s">
        <v>159</v>
      </c>
      <c r="C812">
        <v>50</v>
      </c>
      <c r="D812" t="s">
        <v>102</v>
      </c>
      <c r="E812" t="s">
        <v>11</v>
      </c>
      <c r="F812">
        <v>1</v>
      </c>
      <c r="G812" t="s">
        <v>13</v>
      </c>
    </row>
    <row r="813" spans="1:7" x14ac:dyDescent="0.25">
      <c r="A813">
        <v>63</v>
      </c>
      <c r="B813" t="s">
        <v>159</v>
      </c>
      <c r="C813">
        <v>60</v>
      </c>
      <c r="D813" t="s">
        <v>315</v>
      </c>
      <c r="E813" t="s">
        <v>14</v>
      </c>
      <c r="F813">
        <v>7.9249999999999998</v>
      </c>
      <c r="G813" t="s">
        <v>13</v>
      </c>
    </row>
    <row r="814" spans="1:7" x14ac:dyDescent="0.25">
      <c r="A814">
        <v>63</v>
      </c>
      <c r="B814" t="s">
        <v>159</v>
      </c>
      <c r="C814">
        <v>70</v>
      </c>
      <c r="D814" t="s">
        <v>316</v>
      </c>
      <c r="E814" t="s">
        <v>14</v>
      </c>
      <c r="F814">
        <v>48.738</v>
      </c>
      <c r="G814" t="s">
        <v>13</v>
      </c>
    </row>
    <row r="815" spans="1:7" x14ac:dyDescent="0.25">
      <c r="A815">
        <v>63</v>
      </c>
      <c r="B815" t="s">
        <v>159</v>
      </c>
      <c r="C815">
        <v>80</v>
      </c>
      <c r="D815" t="s">
        <v>103</v>
      </c>
      <c r="E815" t="s">
        <v>11</v>
      </c>
      <c r="F815">
        <v>1</v>
      </c>
      <c r="G815" t="s">
        <v>13</v>
      </c>
    </row>
    <row r="816" spans="1:7" x14ac:dyDescent="0.25">
      <c r="A816">
        <v>63</v>
      </c>
      <c r="B816" t="s">
        <v>159</v>
      </c>
      <c r="C816">
        <v>90</v>
      </c>
      <c r="D816" t="s">
        <v>319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159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159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159</v>
      </c>
      <c r="C819">
        <v>120</v>
      </c>
      <c r="D819" t="s">
        <v>317</v>
      </c>
      <c r="E819" t="s">
        <v>12</v>
      </c>
      <c r="F819">
        <v>0.65300000000000002</v>
      </c>
      <c r="G819" t="s">
        <v>13</v>
      </c>
    </row>
    <row r="820" spans="1:7" x14ac:dyDescent="0.25">
      <c r="A820">
        <v>63</v>
      </c>
      <c r="B820" t="s">
        <v>159</v>
      </c>
      <c r="C820">
        <v>130</v>
      </c>
      <c r="D820" t="s">
        <v>160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161</v>
      </c>
      <c r="C821">
        <v>10</v>
      </c>
      <c r="D821" t="s">
        <v>320</v>
      </c>
      <c r="E821" t="s">
        <v>14</v>
      </c>
      <c r="F821">
        <v>4.5209999999999999</v>
      </c>
      <c r="G821" t="s">
        <v>13</v>
      </c>
    </row>
    <row r="822" spans="1:7" x14ac:dyDescent="0.25">
      <c r="A822">
        <v>64</v>
      </c>
      <c r="B822" t="s">
        <v>161</v>
      </c>
      <c r="C822">
        <v>20</v>
      </c>
      <c r="D822" t="s">
        <v>93</v>
      </c>
      <c r="E822" t="s">
        <v>14</v>
      </c>
      <c r="F822">
        <v>150.571</v>
      </c>
      <c r="G822" t="s">
        <v>13</v>
      </c>
    </row>
    <row r="823" spans="1:7" x14ac:dyDescent="0.25">
      <c r="A823">
        <v>64</v>
      </c>
      <c r="B823" t="s">
        <v>161</v>
      </c>
      <c r="C823">
        <v>30</v>
      </c>
      <c r="D823" t="s">
        <v>16</v>
      </c>
      <c r="E823" t="s">
        <v>14</v>
      </c>
      <c r="F823">
        <v>40.537999999999997</v>
      </c>
      <c r="G823" t="s">
        <v>13</v>
      </c>
    </row>
    <row r="824" spans="1:7" x14ac:dyDescent="0.25">
      <c r="A824">
        <v>64</v>
      </c>
      <c r="B824" t="s">
        <v>161</v>
      </c>
      <c r="C824">
        <v>40</v>
      </c>
      <c r="D824" t="s">
        <v>318</v>
      </c>
      <c r="E824" t="s">
        <v>11</v>
      </c>
      <c r="F824">
        <v>1</v>
      </c>
      <c r="G824" t="s">
        <v>13</v>
      </c>
    </row>
    <row r="825" spans="1:7" x14ac:dyDescent="0.25">
      <c r="A825">
        <v>64</v>
      </c>
      <c r="B825" t="s">
        <v>161</v>
      </c>
      <c r="C825">
        <v>50</v>
      </c>
      <c r="D825" t="s">
        <v>102</v>
      </c>
      <c r="E825" t="s">
        <v>11</v>
      </c>
      <c r="F825">
        <v>1</v>
      </c>
      <c r="G825" t="s">
        <v>13</v>
      </c>
    </row>
    <row r="826" spans="1:7" x14ac:dyDescent="0.25">
      <c r="A826">
        <v>64</v>
      </c>
      <c r="B826" t="s">
        <v>161</v>
      </c>
      <c r="C826">
        <v>60</v>
      </c>
      <c r="D826" t="s">
        <v>315</v>
      </c>
      <c r="E826" t="s">
        <v>14</v>
      </c>
      <c r="F826">
        <v>5.9939999999999998</v>
      </c>
      <c r="G826" t="s">
        <v>13</v>
      </c>
    </row>
    <row r="827" spans="1:7" x14ac:dyDescent="0.25">
      <c r="A827">
        <v>64</v>
      </c>
      <c r="B827" t="s">
        <v>161</v>
      </c>
      <c r="C827">
        <v>70</v>
      </c>
      <c r="D827" t="s">
        <v>316</v>
      </c>
      <c r="E827" t="s">
        <v>14</v>
      </c>
      <c r="F827">
        <v>36.866</v>
      </c>
      <c r="G827" t="s">
        <v>13</v>
      </c>
    </row>
    <row r="828" spans="1:7" x14ac:dyDescent="0.25">
      <c r="A828">
        <v>64</v>
      </c>
      <c r="B828" t="s">
        <v>161</v>
      </c>
      <c r="C828">
        <v>80</v>
      </c>
      <c r="D828" t="s">
        <v>103</v>
      </c>
      <c r="E828" t="s">
        <v>11</v>
      </c>
      <c r="F828">
        <v>1</v>
      </c>
      <c r="G828" t="s">
        <v>13</v>
      </c>
    </row>
    <row r="829" spans="1:7" x14ac:dyDescent="0.25">
      <c r="A829">
        <v>64</v>
      </c>
      <c r="B829" t="s">
        <v>161</v>
      </c>
      <c r="C829">
        <v>90</v>
      </c>
      <c r="D829" t="s">
        <v>319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161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161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161</v>
      </c>
      <c r="C832">
        <v>120</v>
      </c>
      <c r="D832" t="s">
        <v>317</v>
      </c>
      <c r="E832" t="s">
        <v>12</v>
      </c>
      <c r="F832">
        <v>0.68300000000000005</v>
      </c>
      <c r="G832" t="s">
        <v>13</v>
      </c>
    </row>
    <row r="833" spans="1:7" x14ac:dyDescent="0.25">
      <c r="A833">
        <v>64</v>
      </c>
      <c r="B833" t="s">
        <v>161</v>
      </c>
      <c r="C833">
        <v>130</v>
      </c>
      <c r="D833" t="s">
        <v>162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163</v>
      </c>
      <c r="C834">
        <v>10</v>
      </c>
      <c r="D834" t="s">
        <v>320</v>
      </c>
      <c r="E834" t="s">
        <v>14</v>
      </c>
      <c r="F834">
        <v>4.5209999999999999</v>
      </c>
      <c r="G834" t="s">
        <v>13</v>
      </c>
    </row>
    <row r="835" spans="1:7" x14ac:dyDescent="0.25">
      <c r="A835">
        <v>65</v>
      </c>
      <c r="B835" t="s">
        <v>163</v>
      </c>
      <c r="C835">
        <v>20</v>
      </c>
      <c r="D835" t="s">
        <v>93</v>
      </c>
      <c r="E835" t="s">
        <v>14</v>
      </c>
      <c r="F835">
        <v>158.49600000000001</v>
      </c>
      <c r="G835" t="s">
        <v>13</v>
      </c>
    </row>
    <row r="836" spans="1:7" x14ac:dyDescent="0.25">
      <c r="A836">
        <v>65</v>
      </c>
      <c r="B836" t="s">
        <v>163</v>
      </c>
      <c r="C836">
        <v>30</v>
      </c>
      <c r="D836" t="s">
        <v>16</v>
      </c>
      <c r="E836" t="s">
        <v>14</v>
      </c>
      <c r="F836">
        <v>42.671999999999997</v>
      </c>
      <c r="G836" t="s">
        <v>13</v>
      </c>
    </row>
    <row r="837" spans="1:7" x14ac:dyDescent="0.25">
      <c r="A837">
        <v>65</v>
      </c>
      <c r="B837" t="s">
        <v>163</v>
      </c>
      <c r="C837">
        <v>40</v>
      </c>
      <c r="D837" t="s">
        <v>318</v>
      </c>
      <c r="E837" t="s">
        <v>11</v>
      </c>
      <c r="F837">
        <v>1</v>
      </c>
      <c r="G837" t="s">
        <v>13</v>
      </c>
    </row>
    <row r="838" spans="1:7" x14ac:dyDescent="0.25">
      <c r="A838">
        <v>65</v>
      </c>
      <c r="B838" t="s">
        <v>163</v>
      </c>
      <c r="C838">
        <v>50</v>
      </c>
      <c r="D838" t="s">
        <v>102</v>
      </c>
      <c r="E838" t="s">
        <v>11</v>
      </c>
      <c r="F838">
        <v>1</v>
      </c>
      <c r="G838" t="s">
        <v>13</v>
      </c>
    </row>
    <row r="839" spans="1:7" x14ac:dyDescent="0.25">
      <c r="A839">
        <v>65</v>
      </c>
      <c r="B839" t="s">
        <v>163</v>
      </c>
      <c r="C839">
        <v>60</v>
      </c>
      <c r="D839" t="s">
        <v>315</v>
      </c>
      <c r="E839" t="s">
        <v>14</v>
      </c>
      <c r="F839">
        <v>6.2990000000000004</v>
      </c>
      <c r="G839" t="s">
        <v>13</v>
      </c>
    </row>
    <row r="840" spans="1:7" x14ac:dyDescent="0.25">
      <c r="A840">
        <v>65</v>
      </c>
      <c r="B840" t="s">
        <v>163</v>
      </c>
      <c r="C840">
        <v>70</v>
      </c>
      <c r="D840" t="s">
        <v>316</v>
      </c>
      <c r="E840" t="s">
        <v>14</v>
      </c>
      <c r="F840">
        <v>38.74</v>
      </c>
      <c r="G840" t="s">
        <v>13</v>
      </c>
    </row>
    <row r="841" spans="1:7" x14ac:dyDescent="0.25">
      <c r="A841">
        <v>65</v>
      </c>
      <c r="B841" t="s">
        <v>163</v>
      </c>
      <c r="C841">
        <v>80</v>
      </c>
      <c r="D841" t="s">
        <v>103</v>
      </c>
      <c r="E841" t="s">
        <v>11</v>
      </c>
      <c r="F841">
        <v>1</v>
      </c>
      <c r="G841" t="s">
        <v>13</v>
      </c>
    </row>
    <row r="842" spans="1:7" x14ac:dyDescent="0.25">
      <c r="A842">
        <v>65</v>
      </c>
      <c r="B842" t="s">
        <v>163</v>
      </c>
      <c r="C842">
        <v>90</v>
      </c>
      <c r="D842" t="s">
        <v>319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163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163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163</v>
      </c>
      <c r="C845">
        <v>120</v>
      </c>
      <c r="D845" t="s">
        <v>317</v>
      </c>
      <c r="E845" t="s">
        <v>12</v>
      </c>
      <c r="F845">
        <v>0.68300000000000005</v>
      </c>
      <c r="G845" t="s">
        <v>13</v>
      </c>
    </row>
    <row r="846" spans="1:7" x14ac:dyDescent="0.25">
      <c r="A846">
        <v>65</v>
      </c>
      <c r="B846" t="s">
        <v>163</v>
      </c>
      <c r="C846">
        <v>130</v>
      </c>
      <c r="D846" t="s">
        <v>164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165</v>
      </c>
      <c r="C847">
        <v>10</v>
      </c>
      <c r="D847" t="s">
        <v>320</v>
      </c>
      <c r="E847" t="s">
        <v>14</v>
      </c>
      <c r="F847">
        <v>4.5209999999999999</v>
      </c>
      <c r="G847" t="s">
        <v>13</v>
      </c>
    </row>
    <row r="848" spans="1:7" x14ac:dyDescent="0.25">
      <c r="A848">
        <v>66</v>
      </c>
      <c r="B848" t="s">
        <v>165</v>
      </c>
      <c r="C848">
        <v>20</v>
      </c>
      <c r="D848" t="s">
        <v>93</v>
      </c>
      <c r="E848" t="s">
        <v>14</v>
      </c>
      <c r="F848">
        <v>166.42099999999999</v>
      </c>
      <c r="G848" t="s">
        <v>13</v>
      </c>
    </row>
    <row r="849" spans="1:7" x14ac:dyDescent="0.25">
      <c r="A849">
        <v>66</v>
      </c>
      <c r="B849" t="s">
        <v>165</v>
      </c>
      <c r="C849">
        <v>30</v>
      </c>
      <c r="D849" t="s">
        <v>16</v>
      </c>
      <c r="E849" t="s">
        <v>14</v>
      </c>
      <c r="F849">
        <v>44.805999999999997</v>
      </c>
      <c r="G849" t="s">
        <v>13</v>
      </c>
    </row>
    <row r="850" spans="1:7" x14ac:dyDescent="0.25">
      <c r="A850">
        <v>66</v>
      </c>
      <c r="B850" t="s">
        <v>165</v>
      </c>
      <c r="C850">
        <v>40</v>
      </c>
      <c r="D850" t="s">
        <v>318</v>
      </c>
      <c r="E850" t="s">
        <v>11</v>
      </c>
      <c r="F850">
        <v>1</v>
      </c>
      <c r="G850" t="s">
        <v>13</v>
      </c>
    </row>
    <row r="851" spans="1:7" x14ac:dyDescent="0.25">
      <c r="A851">
        <v>66</v>
      </c>
      <c r="B851" t="s">
        <v>165</v>
      </c>
      <c r="C851">
        <v>50</v>
      </c>
      <c r="D851" t="s">
        <v>102</v>
      </c>
      <c r="E851" t="s">
        <v>11</v>
      </c>
      <c r="F851">
        <v>1</v>
      </c>
      <c r="G851" t="s">
        <v>13</v>
      </c>
    </row>
    <row r="852" spans="1:7" x14ac:dyDescent="0.25">
      <c r="A852">
        <v>66</v>
      </c>
      <c r="B852" t="s">
        <v>165</v>
      </c>
      <c r="C852">
        <v>60</v>
      </c>
      <c r="D852" t="s">
        <v>315</v>
      </c>
      <c r="E852" t="s">
        <v>14</v>
      </c>
      <c r="F852">
        <v>6.6040000000000001</v>
      </c>
      <c r="G852" t="s">
        <v>13</v>
      </c>
    </row>
    <row r="853" spans="1:7" x14ac:dyDescent="0.25">
      <c r="A853">
        <v>66</v>
      </c>
      <c r="B853" t="s">
        <v>165</v>
      </c>
      <c r="C853">
        <v>70</v>
      </c>
      <c r="D853" t="s">
        <v>316</v>
      </c>
      <c r="E853" t="s">
        <v>14</v>
      </c>
      <c r="F853">
        <v>40.615000000000002</v>
      </c>
      <c r="G853" t="s">
        <v>13</v>
      </c>
    </row>
    <row r="854" spans="1:7" x14ac:dyDescent="0.25">
      <c r="A854">
        <v>66</v>
      </c>
      <c r="B854" t="s">
        <v>165</v>
      </c>
      <c r="C854">
        <v>80</v>
      </c>
      <c r="D854" t="s">
        <v>103</v>
      </c>
      <c r="E854" t="s">
        <v>11</v>
      </c>
      <c r="F854">
        <v>1</v>
      </c>
      <c r="G854" t="s">
        <v>13</v>
      </c>
    </row>
    <row r="855" spans="1:7" x14ac:dyDescent="0.25">
      <c r="A855">
        <v>66</v>
      </c>
      <c r="B855" t="s">
        <v>165</v>
      </c>
      <c r="C855">
        <v>90</v>
      </c>
      <c r="D855" t="s">
        <v>319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165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165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165</v>
      </c>
      <c r="C858">
        <v>120</v>
      </c>
      <c r="D858" t="s">
        <v>317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66</v>
      </c>
      <c r="B859" t="s">
        <v>165</v>
      </c>
      <c r="C859">
        <v>130</v>
      </c>
      <c r="D859" t="s">
        <v>166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167</v>
      </c>
      <c r="C860">
        <v>10</v>
      </c>
      <c r="D860" t="s">
        <v>320</v>
      </c>
      <c r="E860" t="s">
        <v>14</v>
      </c>
      <c r="F860">
        <v>4.5209999999999999</v>
      </c>
      <c r="G860" t="s">
        <v>13</v>
      </c>
    </row>
    <row r="861" spans="1:7" x14ac:dyDescent="0.25">
      <c r="A861">
        <v>67</v>
      </c>
      <c r="B861" t="s">
        <v>167</v>
      </c>
      <c r="C861">
        <v>20</v>
      </c>
      <c r="D861" t="s">
        <v>93</v>
      </c>
      <c r="E861" t="s">
        <v>14</v>
      </c>
      <c r="F861">
        <v>174.346</v>
      </c>
      <c r="G861" t="s">
        <v>13</v>
      </c>
    </row>
    <row r="862" spans="1:7" x14ac:dyDescent="0.25">
      <c r="A862">
        <v>67</v>
      </c>
      <c r="B862" t="s">
        <v>167</v>
      </c>
      <c r="C862">
        <v>30</v>
      </c>
      <c r="D862" t="s">
        <v>16</v>
      </c>
      <c r="E862" t="s">
        <v>14</v>
      </c>
      <c r="F862">
        <v>46.939</v>
      </c>
      <c r="G862" t="s">
        <v>13</v>
      </c>
    </row>
    <row r="863" spans="1:7" x14ac:dyDescent="0.25">
      <c r="A863">
        <v>67</v>
      </c>
      <c r="B863" t="s">
        <v>167</v>
      </c>
      <c r="C863">
        <v>40</v>
      </c>
      <c r="D863" t="s">
        <v>318</v>
      </c>
      <c r="E863" t="s">
        <v>11</v>
      </c>
      <c r="F863">
        <v>1</v>
      </c>
      <c r="G863" t="s">
        <v>13</v>
      </c>
    </row>
    <row r="864" spans="1:7" x14ac:dyDescent="0.25">
      <c r="A864">
        <v>67</v>
      </c>
      <c r="B864" t="s">
        <v>167</v>
      </c>
      <c r="C864">
        <v>50</v>
      </c>
      <c r="D864" t="s">
        <v>102</v>
      </c>
      <c r="E864" t="s">
        <v>11</v>
      </c>
      <c r="F864">
        <v>1</v>
      </c>
      <c r="G864" t="s">
        <v>13</v>
      </c>
    </row>
    <row r="865" spans="1:7" x14ac:dyDescent="0.25">
      <c r="A865">
        <v>67</v>
      </c>
      <c r="B865" t="s">
        <v>167</v>
      </c>
      <c r="C865">
        <v>60</v>
      </c>
      <c r="D865" t="s">
        <v>315</v>
      </c>
      <c r="E865" t="s">
        <v>14</v>
      </c>
      <c r="F865">
        <v>6.9089999999999998</v>
      </c>
      <c r="G865" t="s">
        <v>13</v>
      </c>
    </row>
    <row r="866" spans="1:7" x14ac:dyDescent="0.25">
      <c r="A866">
        <v>67</v>
      </c>
      <c r="B866" t="s">
        <v>167</v>
      </c>
      <c r="C866">
        <v>70</v>
      </c>
      <c r="D866" t="s">
        <v>316</v>
      </c>
      <c r="E866" t="s">
        <v>14</v>
      </c>
      <c r="F866">
        <v>42.488999999999997</v>
      </c>
      <c r="G866" t="s">
        <v>13</v>
      </c>
    </row>
    <row r="867" spans="1:7" x14ac:dyDescent="0.25">
      <c r="A867">
        <v>67</v>
      </c>
      <c r="B867" t="s">
        <v>167</v>
      </c>
      <c r="C867">
        <v>80</v>
      </c>
      <c r="D867" t="s">
        <v>103</v>
      </c>
      <c r="E867" t="s">
        <v>11</v>
      </c>
      <c r="F867">
        <v>1</v>
      </c>
      <c r="G867" t="s">
        <v>13</v>
      </c>
    </row>
    <row r="868" spans="1:7" x14ac:dyDescent="0.25">
      <c r="A868">
        <v>67</v>
      </c>
      <c r="B868" t="s">
        <v>167</v>
      </c>
      <c r="C868">
        <v>90</v>
      </c>
      <c r="D868" t="s">
        <v>319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167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167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167</v>
      </c>
      <c r="C871">
        <v>120</v>
      </c>
      <c r="D871" t="s">
        <v>317</v>
      </c>
      <c r="E871" t="s">
        <v>12</v>
      </c>
      <c r="F871">
        <v>0.68300000000000005</v>
      </c>
      <c r="G871" t="s">
        <v>13</v>
      </c>
    </row>
    <row r="872" spans="1:7" x14ac:dyDescent="0.25">
      <c r="A872">
        <v>67</v>
      </c>
      <c r="B872" t="s">
        <v>167</v>
      </c>
      <c r="C872">
        <v>130</v>
      </c>
      <c r="D872" t="s">
        <v>168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169</v>
      </c>
      <c r="C873">
        <v>10</v>
      </c>
      <c r="D873" t="s">
        <v>320</v>
      </c>
      <c r="E873" t="s">
        <v>14</v>
      </c>
      <c r="F873">
        <v>4.5209999999999999</v>
      </c>
      <c r="G873" t="s">
        <v>13</v>
      </c>
    </row>
    <row r="874" spans="1:7" x14ac:dyDescent="0.25">
      <c r="A874">
        <v>68</v>
      </c>
      <c r="B874" t="s">
        <v>169</v>
      </c>
      <c r="C874">
        <v>20</v>
      </c>
      <c r="D874" t="s">
        <v>93</v>
      </c>
      <c r="E874" t="s">
        <v>14</v>
      </c>
      <c r="F874">
        <v>190.19499999999999</v>
      </c>
      <c r="G874" t="s">
        <v>13</v>
      </c>
    </row>
    <row r="875" spans="1:7" x14ac:dyDescent="0.25">
      <c r="A875">
        <v>68</v>
      </c>
      <c r="B875" t="s">
        <v>169</v>
      </c>
      <c r="C875">
        <v>30</v>
      </c>
      <c r="D875" t="s">
        <v>16</v>
      </c>
      <c r="E875" t="s">
        <v>14</v>
      </c>
      <c r="F875">
        <v>51.206000000000003</v>
      </c>
      <c r="G875" t="s">
        <v>13</v>
      </c>
    </row>
    <row r="876" spans="1:7" x14ac:dyDescent="0.25">
      <c r="A876">
        <v>68</v>
      </c>
      <c r="B876" t="s">
        <v>169</v>
      </c>
      <c r="C876">
        <v>40</v>
      </c>
      <c r="D876" t="s">
        <v>318</v>
      </c>
      <c r="E876" t="s">
        <v>11</v>
      </c>
      <c r="F876">
        <v>1</v>
      </c>
      <c r="G876" t="s">
        <v>13</v>
      </c>
    </row>
    <row r="877" spans="1:7" x14ac:dyDescent="0.25">
      <c r="A877">
        <v>68</v>
      </c>
      <c r="B877" t="s">
        <v>169</v>
      </c>
      <c r="C877">
        <v>50</v>
      </c>
      <c r="D877" t="s">
        <v>102</v>
      </c>
      <c r="E877" t="s">
        <v>11</v>
      </c>
      <c r="F877">
        <v>1</v>
      </c>
      <c r="G877" t="s">
        <v>13</v>
      </c>
    </row>
    <row r="878" spans="1:7" x14ac:dyDescent="0.25">
      <c r="A878">
        <v>68</v>
      </c>
      <c r="B878" t="s">
        <v>169</v>
      </c>
      <c r="C878">
        <v>60</v>
      </c>
      <c r="D878" t="s">
        <v>315</v>
      </c>
      <c r="E878" t="s">
        <v>14</v>
      </c>
      <c r="F878">
        <v>7.5179999999999998</v>
      </c>
      <c r="G878" t="s">
        <v>13</v>
      </c>
    </row>
    <row r="879" spans="1:7" x14ac:dyDescent="0.25">
      <c r="A879">
        <v>68</v>
      </c>
      <c r="B879" t="s">
        <v>169</v>
      </c>
      <c r="C879">
        <v>70</v>
      </c>
      <c r="D879" t="s">
        <v>316</v>
      </c>
      <c r="E879" t="s">
        <v>14</v>
      </c>
      <c r="F879">
        <v>46.238</v>
      </c>
      <c r="G879" t="s">
        <v>13</v>
      </c>
    </row>
    <row r="880" spans="1:7" x14ac:dyDescent="0.25">
      <c r="A880">
        <v>68</v>
      </c>
      <c r="B880" t="s">
        <v>169</v>
      </c>
      <c r="C880">
        <v>80</v>
      </c>
      <c r="D880" t="s">
        <v>103</v>
      </c>
      <c r="E880" t="s">
        <v>11</v>
      </c>
      <c r="F880">
        <v>1</v>
      </c>
      <c r="G880" t="s">
        <v>13</v>
      </c>
    </row>
    <row r="881" spans="1:7" x14ac:dyDescent="0.25">
      <c r="A881">
        <v>68</v>
      </c>
      <c r="B881" t="s">
        <v>169</v>
      </c>
      <c r="C881">
        <v>90</v>
      </c>
      <c r="D881" t="s">
        <v>319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169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169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169</v>
      </c>
      <c r="C884">
        <v>120</v>
      </c>
      <c r="D884" t="s">
        <v>317</v>
      </c>
      <c r="E884" t="s">
        <v>12</v>
      </c>
      <c r="F884">
        <v>0.68300000000000005</v>
      </c>
      <c r="G884" t="s">
        <v>13</v>
      </c>
    </row>
    <row r="885" spans="1:7" x14ac:dyDescent="0.25">
      <c r="A885">
        <v>68</v>
      </c>
      <c r="B885" t="s">
        <v>169</v>
      </c>
      <c r="C885">
        <v>130</v>
      </c>
      <c r="D885" t="s">
        <v>170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171</v>
      </c>
      <c r="C886">
        <v>10</v>
      </c>
      <c r="D886" t="s">
        <v>320</v>
      </c>
      <c r="E886" t="s">
        <v>14</v>
      </c>
      <c r="F886">
        <v>4.5209999999999999</v>
      </c>
      <c r="G886" t="s">
        <v>13</v>
      </c>
    </row>
    <row r="887" spans="1:7" x14ac:dyDescent="0.25">
      <c r="A887">
        <v>69</v>
      </c>
      <c r="B887" t="s">
        <v>171</v>
      </c>
      <c r="C887">
        <v>20</v>
      </c>
      <c r="D887" t="s">
        <v>93</v>
      </c>
      <c r="E887" t="s">
        <v>14</v>
      </c>
      <c r="F887">
        <v>198.12</v>
      </c>
      <c r="G887" t="s">
        <v>13</v>
      </c>
    </row>
    <row r="888" spans="1:7" x14ac:dyDescent="0.25">
      <c r="A888">
        <v>69</v>
      </c>
      <c r="B888" t="s">
        <v>171</v>
      </c>
      <c r="C888">
        <v>30</v>
      </c>
      <c r="D888" t="s">
        <v>16</v>
      </c>
      <c r="E888" t="s">
        <v>14</v>
      </c>
      <c r="F888">
        <v>53.34</v>
      </c>
      <c r="G888" t="s">
        <v>13</v>
      </c>
    </row>
    <row r="889" spans="1:7" x14ac:dyDescent="0.25">
      <c r="A889">
        <v>69</v>
      </c>
      <c r="B889" t="s">
        <v>171</v>
      </c>
      <c r="C889">
        <v>40</v>
      </c>
      <c r="D889" t="s">
        <v>318</v>
      </c>
      <c r="E889" t="s">
        <v>11</v>
      </c>
      <c r="F889">
        <v>1</v>
      </c>
      <c r="G889" t="s">
        <v>13</v>
      </c>
    </row>
    <row r="890" spans="1:7" x14ac:dyDescent="0.25">
      <c r="A890">
        <v>69</v>
      </c>
      <c r="B890" t="s">
        <v>171</v>
      </c>
      <c r="C890">
        <v>50</v>
      </c>
      <c r="D890" t="s">
        <v>102</v>
      </c>
      <c r="E890" t="s">
        <v>11</v>
      </c>
      <c r="F890">
        <v>1</v>
      </c>
      <c r="G890" t="s">
        <v>13</v>
      </c>
    </row>
    <row r="891" spans="1:7" x14ac:dyDescent="0.25">
      <c r="A891">
        <v>69</v>
      </c>
      <c r="B891" t="s">
        <v>171</v>
      </c>
      <c r="C891">
        <v>60</v>
      </c>
      <c r="D891" t="s">
        <v>315</v>
      </c>
      <c r="E891" t="s">
        <v>14</v>
      </c>
      <c r="F891">
        <v>7.8230000000000004</v>
      </c>
      <c r="G891" t="s">
        <v>13</v>
      </c>
    </row>
    <row r="892" spans="1:7" x14ac:dyDescent="0.25">
      <c r="A892">
        <v>69</v>
      </c>
      <c r="B892" t="s">
        <v>171</v>
      </c>
      <c r="C892">
        <v>70</v>
      </c>
      <c r="D892" t="s">
        <v>316</v>
      </c>
      <c r="E892" t="s">
        <v>14</v>
      </c>
      <c r="F892">
        <v>48.113</v>
      </c>
      <c r="G892" t="s">
        <v>13</v>
      </c>
    </row>
    <row r="893" spans="1:7" x14ac:dyDescent="0.25">
      <c r="A893">
        <v>69</v>
      </c>
      <c r="B893" t="s">
        <v>171</v>
      </c>
      <c r="C893">
        <v>80</v>
      </c>
      <c r="D893" t="s">
        <v>103</v>
      </c>
      <c r="E893" t="s">
        <v>11</v>
      </c>
      <c r="F893">
        <v>1</v>
      </c>
      <c r="G893" t="s">
        <v>13</v>
      </c>
    </row>
    <row r="894" spans="1:7" x14ac:dyDescent="0.25">
      <c r="A894">
        <v>69</v>
      </c>
      <c r="B894" t="s">
        <v>171</v>
      </c>
      <c r="C894">
        <v>90</v>
      </c>
      <c r="D894" t="s">
        <v>319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171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171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171</v>
      </c>
      <c r="C897">
        <v>120</v>
      </c>
      <c r="D897" t="s">
        <v>317</v>
      </c>
      <c r="E897" t="s">
        <v>12</v>
      </c>
      <c r="F897">
        <v>0.68300000000000005</v>
      </c>
      <c r="G897" t="s">
        <v>13</v>
      </c>
    </row>
    <row r="898" spans="1:7" x14ac:dyDescent="0.25">
      <c r="A898">
        <v>69</v>
      </c>
      <c r="B898" t="s">
        <v>171</v>
      </c>
      <c r="C898">
        <v>130</v>
      </c>
      <c r="D898" t="s">
        <v>172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173</v>
      </c>
      <c r="C899">
        <v>10</v>
      </c>
      <c r="D899" t="s">
        <v>320</v>
      </c>
      <c r="E899" t="s">
        <v>14</v>
      </c>
      <c r="F899">
        <v>4.5209999999999999</v>
      </c>
      <c r="G899" t="s">
        <v>13</v>
      </c>
    </row>
    <row r="900" spans="1:7" x14ac:dyDescent="0.25">
      <c r="A900">
        <v>70</v>
      </c>
      <c r="B900" t="s">
        <v>173</v>
      </c>
      <c r="C900">
        <v>20</v>
      </c>
      <c r="D900" t="s">
        <v>93</v>
      </c>
      <c r="E900" t="s">
        <v>14</v>
      </c>
      <c r="F900">
        <v>206.04499999999999</v>
      </c>
      <c r="G900" t="s">
        <v>13</v>
      </c>
    </row>
    <row r="901" spans="1:7" x14ac:dyDescent="0.25">
      <c r="A901">
        <v>70</v>
      </c>
      <c r="B901" t="s">
        <v>173</v>
      </c>
      <c r="C901">
        <v>30</v>
      </c>
      <c r="D901" t="s">
        <v>16</v>
      </c>
      <c r="E901" t="s">
        <v>14</v>
      </c>
      <c r="F901">
        <v>55.473999999999997</v>
      </c>
      <c r="G901" t="s">
        <v>13</v>
      </c>
    </row>
    <row r="902" spans="1:7" x14ac:dyDescent="0.25">
      <c r="A902">
        <v>70</v>
      </c>
      <c r="B902" t="s">
        <v>173</v>
      </c>
      <c r="C902">
        <v>40</v>
      </c>
      <c r="D902" t="s">
        <v>318</v>
      </c>
      <c r="E902" t="s">
        <v>11</v>
      </c>
      <c r="F902">
        <v>1</v>
      </c>
      <c r="G902" t="s">
        <v>13</v>
      </c>
    </row>
    <row r="903" spans="1:7" x14ac:dyDescent="0.25">
      <c r="A903">
        <v>70</v>
      </c>
      <c r="B903" t="s">
        <v>173</v>
      </c>
      <c r="C903">
        <v>50</v>
      </c>
      <c r="D903" t="s">
        <v>102</v>
      </c>
      <c r="E903" t="s">
        <v>11</v>
      </c>
      <c r="F903">
        <v>1</v>
      </c>
      <c r="G903" t="s">
        <v>13</v>
      </c>
    </row>
    <row r="904" spans="1:7" x14ac:dyDescent="0.25">
      <c r="A904">
        <v>70</v>
      </c>
      <c r="B904" t="s">
        <v>173</v>
      </c>
      <c r="C904">
        <v>60</v>
      </c>
      <c r="D904" t="s">
        <v>315</v>
      </c>
      <c r="E904" t="s">
        <v>14</v>
      </c>
      <c r="F904">
        <v>8.1280000000000001</v>
      </c>
      <c r="G904" t="s">
        <v>13</v>
      </c>
    </row>
    <row r="905" spans="1:7" x14ac:dyDescent="0.25">
      <c r="A905">
        <v>70</v>
      </c>
      <c r="B905" t="s">
        <v>173</v>
      </c>
      <c r="C905">
        <v>70</v>
      </c>
      <c r="D905" t="s">
        <v>316</v>
      </c>
      <c r="E905" t="s">
        <v>14</v>
      </c>
      <c r="F905">
        <v>49.987000000000002</v>
      </c>
      <c r="G905" t="s">
        <v>13</v>
      </c>
    </row>
    <row r="906" spans="1:7" x14ac:dyDescent="0.25">
      <c r="A906">
        <v>70</v>
      </c>
      <c r="B906" t="s">
        <v>173</v>
      </c>
      <c r="C906">
        <v>80</v>
      </c>
      <c r="D906" t="s">
        <v>103</v>
      </c>
      <c r="E906" t="s">
        <v>11</v>
      </c>
      <c r="F906">
        <v>1</v>
      </c>
      <c r="G906" t="s">
        <v>13</v>
      </c>
    </row>
    <row r="907" spans="1:7" x14ac:dyDescent="0.25">
      <c r="A907">
        <v>70</v>
      </c>
      <c r="B907" t="s">
        <v>173</v>
      </c>
      <c r="C907">
        <v>90</v>
      </c>
      <c r="D907" t="s">
        <v>319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173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173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173</v>
      </c>
      <c r="C910">
        <v>120</v>
      </c>
      <c r="D910" t="s">
        <v>317</v>
      </c>
      <c r="E910" t="s">
        <v>12</v>
      </c>
      <c r="F910">
        <v>0.68300000000000005</v>
      </c>
      <c r="G910" t="s">
        <v>13</v>
      </c>
    </row>
    <row r="911" spans="1:7" x14ac:dyDescent="0.25">
      <c r="A911">
        <v>70</v>
      </c>
      <c r="B911" t="s">
        <v>173</v>
      </c>
      <c r="C911">
        <v>130</v>
      </c>
      <c r="D911" t="s">
        <v>174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175</v>
      </c>
      <c r="C912">
        <v>10</v>
      </c>
      <c r="D912" t="s">
        <v>320</v>
      </c>
      <c r="E912" t="s">
        <v>14</v>
      </c>
      <c r="F912">
        <v>1.829</v>
      </c>
      <c r="G912" t="s">
        <v>13</v>
      </c>
    </row>
    <row r="913" spans="1:7" x14ac:dyDescent="0.25">
      <c r="A913">
        <v>71</v>
      </c>
      <c r="B913" t="s">
        <v>175</v>
      </c>
      <c r="C913">
        <v>20</v>
      </c>
      <c r="D913" t="s">
        <v>93</v>
      </c>
      <c r="E913" t="s">
        <v>14</v>
      </c>
      <c r="F913">
        <v>134.72200000000001</v>
      </c>
      <c r="G913" t="s">
        <v>13</v>
      </c>
    </row>
    <row r="914" spans="1:7" x14ac:dyDescent="0.25">
      <c r="A914">
        <v>71</v>
      </c>
      <c r="B914" t="s">
        <v>175</v>
      </c>
      <c r="C914">
        <v>30</v>
      </c>
      <c r="D914" t="s">
        <v>16</v>
      </c>
      <c r="E914" t="s">
        <v>14</v>
      </c>
      <c r="F914">
        <v>36.271000000000001</v>
      </c>
      <c r="G914" t="s">
        <v>13</v>
      </c>
    </row>
    <row r="915" spans="1:7" x14ac:dyDescent="0.25">
      <c r="A915">
        <v>71</v>
      </c>
      <c r="B915" t="s">
        <v>175</v>
      </c>
      <c r="C915">
        <v>40</v>
      </c>
      <c r="D915" t="s">
        <v>318</v>
      </c>
      <c r="E915" t="s">
        <v>11</v>
      </c>
      <c r="F915">
        <v>1</v>
      </c>
      <c r="G915" t="s">
        <v>13</v>
      </c>
    </row>
    <row r="916" spans="1:7" x14ac:dyDescent="0.25">
      <c r="A916">
        <v>71</v>
      </c>
      <c r="B916" t="s">
        <v>175</v>
      </c>
      <c r="C916">
        <v>50</v>
      </c>
      <c r="D916" t="s">
        <v>102</v>
      </c>
      <c r="E916" t="s">
        <v>11</v>
      </c>
      <c r="F916">
        <v>1</v>
      </c>
      <c r="G916" t="s">
        <v>13</v>
      </c>
    </row>
    <row r="917" spans="1:7" x14ac:dyDescent="0.25">
      <c r="A917">
        <v>71</v>
      </c>
      <c r="B917" t="s">
        <v>175</v>
      </c>
      <c r="C917">
        <v>60</v>
      </c>
      <c r="D917" t="s">
        <v>315</v>
      </c>
      <c r="E917" t="s">
        <v>14</v>
      </c>
      <c r="F917">
        <v>5.3849999999999998</v>
      </c>
      <c r="G917" t="s">
        <v>13</v>
      </c>
    </row>
    <row r="918" spans="1:7" x14ac:dyDescent="0.25">
      <c r="A918">
        <v>71</v>
      </c>
      <c r="B918" t="s">
        <v>175</v>
      </c>
      <c r="C918">
        <v>70</v>
      </c>
      <c r="D918" t="s">
        <v>316</v>
      </c>
      <c r="E918" t="s">
        <v>14</v>
      </c>
      <c r="F918">
        <v>33.116999999999997</v>
      </c>
      <c r="G918" t="s">
        <v>13</v>
      </c>
    </row>
    <row r="919" spans="1:7" x14ac:dyDescent="0.25">
      <c r="A919">
        <v>71</v>
      </c>
      <c r="B919" t="s">
        <v>175</v>
      </c>
      <c r="C919">
        <v>80</v>
      </c>
      <c r="D919" t="s">
        <v>103</v>
      </c>
      <c r="E919" t="s">
        <v>11</v>
      </c>
      <c r="F919">
        <v>1</v>
      </c>
      <c r="G919" t="s">
        <v>13</v>
      </c>
    </row>
    <row r="920" spans="1:7" x14ac:dyDescent="0.25">
      <c r="A920">
        <v>71</v>
      </c>
      <c r="B920" t="s">
        <v>175</v>
      </c>
      <c r="C920">
        <v>90</v>
      </c>
      <c r="D920" t="s">
        <v>319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175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175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175</v>
      </c>
      <c r="C923">
        <v>120</v>
      </c>
      <c r="D923" t="s">
        <v>317</v>
      </c>
      <c r="E923" t="s">
        <v>12</v>
      </c>
      <c r="F923">
        <v>0.28499999999999998</v>
      </c>
      <c r="G923" t="s">
        <v>13</v>
      </c>
    </row>
    <row r="924" spans="1:7" x14ac:dyDescent="0.25">
      <c r="A924">
        <v>71</v>
      </c>
      <c r="B924" t="s">
        <v>175</v>
      </c>
      <c r="C924">
        <v>130</v>
      </c>
      <c r="D924" t="s">
        <v>176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177</v>
      </c>
      <c r="C925">
        <v>10</v>
      </c>
      <c r="D925" t="s">
        <v>320</v>
      </c>
      <c r="E925" t="s">
        <v>14</v>
      </c>
      <c r="F925">
        <v>2.1339999999999999</v>
      </c>
      <c r="G925" t="s">
        <v>13</v>
      </c>
    </row>
    <row r="926" spans="1:7" x14ac:dyDescent="0.25">
      <c r="A926">
        <v>72</v>
      </c>
      <c r="B926" t="s">
        <v>177</v>
      </c>
      <c r="C926">
        <v>20</v>
      </c>
      <c r="D926" t="s">
        <v>93</v>
      </c>
      <c r="E926" t="s">
        <v>14</v>
      </c>
      <c r="F926">
        <v>142.64599999999999</v>
      </c>
      <c r="G926" t="s">
        <v>13</v>
      </c>
    </row>
    <row r="927" spans="1:7" x14ac:dyDescent="0.25">
      <c r="A927">
        <v>72</v>
      </c>
      <c r="B927" t="s">
        <v>177</v>
      </c>
      <c r="C927">
        <v>30</v>
      </c>
      <c r="D927" t="s">
        <v>16</v>
      </c>
      <c r="E927" t="s">
        <v>14</v>
      </c>
      <c r="F927">
        <v>38.405000000000001</v>
      </c>
      <c r="G927" t="s">
        <v>13</v>
      </c>
    </row>
    <row r="928" spans="1:7" x14ac:dyDescent="0.25">
      <c r="A928">
        <v>72</v>
      </c>
      <c r="B928" t="s">
        <v>177</v>
      </c>
      <c r="C928">
        <v>40</v>
      </c>
      <c r="D928" t="s">
        <v>318</v>
      </c>
      <c r="E928" t="s">
        <v>11</v>
      </c>
      <c r="F928">
        <v>1</v>
      </c>
      <c r="G928" t="s">
        <v>13</v>
      </c>
    </row>
    <row r="929" spans="1:7" x14ac:dyDescent="0.25">
      <c r="A929">
        <v>72</v>
      </c>
      <c r="B929" t="s">
        <v>177</v>
      </c>
      <c r="C929">
        <v>50</v>
      </c>
      <c r="D929" t="s">
        <v>102</v>
      </c>
      <c r="E929" t="s">
        <v>11</v>
      </c>
      <c r="F929">
        <v>1</v>
      </c>
      <c r="G929" t="s">
        <v>13</v>
      </c>
    </row>
    <row r="930" spans="1:7" x14ac:dyDescent="0.25">
      <c r="A930">
        <v>72</v>
      </c>
      <c r="B930" t="s">
        <v>177</v>
      </c>
      <c r="C930">
        <v>60</v>
      </c>
      <c r="D930" t="s">
        <v>315</v>
      </c>
      <c r="E930" t="s">
        <v>14</v>
      </c>
      <c r="F930">
        <v>5.69</v>
      </c>
      <c r="G930" t="s">
        <v>13</v>
      </c>
    </row>
    <row r="931" spans="1:7" x14ac:dyDescent="0.25">
      <c r="A931">
        <v>72</v>
      </c>
      <c r="B931" t="s">
        <v>177</v>
      </c>
      <c r="C931">
        <v>70</v>
      </c>
      <c r="D931" t="s">
        <v>316</v>
      </c>
      <c r="E931" t="s">
        <v>14</v>
      </c>
      <c r="F931">
        <v>34.991</v>
      </c>
      <c r="G931" t="s">
        <v>13</v>
      </c>
    </row>
    <row r="932" spans="1:7" x14ac:dyDescent="0.25">
      <c r="A932">
        <v>72</v>
      </c>
      <c r="B932" t="s">
        <v>177</v>
      </c>
      <c r="C932">
        <v>80</v>
      </c>
      <c r="D932" t="s">
        <v>103</v>
      </c>
      <c r="E932" t="s">
        <v>11</v>
      </c>
      <c r="F932">
        <v>1</v>
      </c>
      <c r="G932" t="s">
        <v>13</v>
      </c>
    </row>
    <row r="933" spans="1:7" x14ac:dyDescent="0.25">
      <c r="A933">
        <v>72</v>
      </c>
      <c r="B933" t="s">
        <v>177</v>
      </c>
      <c r="C933">
        <v>90</v>
      </c>
      <c r="D933" t="s">
        <v>319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177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177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177</v>
      </c>
      <c r="C936">
        <v>120</v>
      </c>
      <c r="D936" t="s">
        <v>317</v>
      </c>
      <c r="E936" t="s">
        <v>12</v>
      </c>
      <c r="F936">
        <v>0.33</v>
      </c>
      <c r="G936" t="s">
        <v>13</v>
      </c>
    </row>
    <row r="937" spans="1:7" x14ac:dyDescent="0.25">
      <c r="A937">
        <v>72</v>
      </c>
      <c r="B937" t="s">
        <v>177</v>
      </c>
      <c r="C937">
        <v>130</v>
      </c>
      <c r="D937" t="s">
        <v>178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179</v>
      </c>
      <c r="C938">
        <v>10</v>
      </c>
      <c r="D938" t="s">
        <v>320</v>
      </c>
      <c r="E938" t="s">
        <v>14</v>
      </c>
      <c r="F938">
        <v>2.4380000000000002</v>
      </c>
      <c r="G938" t="s">
        <v>13</v>
      </c>
    </row>
    <row r="939" spans="1:7" x14ac:dyDescent="0.25">
      <c r="A939">
        <v>73</v>
      </c>
      <c r="B939" t="s">
        <v>179</v>
      </c>
      <c r="C939">
        <v>20</v>
      </c>
      <c r="D939" t="s">
        <v>93</v>
      </c>
      <c r="E939" t="s">
        <v>14</v>
      </c>
      <c r="F939">
        <v>150.571</v>
      </c>
      <c r="G939" t="s">
        <v>13</v>
      </c>
    </row>
    <row r="940" spans="1:7" x14ac:dyDescent="0.25">
      <c r="A940">
        <v>73</v>
      </c>
      <c r="B940" t="s">
        <v>179</v>
      </c>
      <c r="C940">
        <v>30</v>
      </c>
      <c r="D940" t="s">
        <v>16</v>
      </c>
      <c r="E940" t="s">
        <v>14</v>
      </c>
      <c r="F940">
        <v>40.537999999999997</v>
      </c>
      <c r="G940" t="s">
        <v>13</v>
      </c>
    </row>
    <row r="941" spans="1:7" x14ac:dyDescent="0.25">
      <c r="A941">
        <v>73</v>
      </c>
      <c r="B941" t="s">
        <v>179</v>
      </c>
      <c r="C941">
        <v>40</v>
      </c>
      <c r="D941" t="s">
        <v>318</v>
      </c>
      <c r="E941" t="s">
        <v>11</v>
      </c>
      <c r="F941">
        <v>1</v>
      </c>
      <c r="G941" t="s">
        <v>13</v>
      </c>
    </row>
    <row r="942" spans="1:7" x14ac:dyDescent="0.25">
      <c r="A942">
        <v>73</v>
      </c>
      <c r="B942" t="s">
        <v>179</v>
      </c>
      <c r="C942">
        <v>50</v>
      </c>
      <c r="D942" t="s">
        <v>102</v>
      </c>
      <c r="E942" t="s">
        <v>11</v>
      </c>
      <c r="F942">
        <v>1</v>
      </c>
      <c r="G942" t="s">
        <v>13</v>
      </c>
    </row>
    <row r="943" spans="1:7" x14ac:dyDescent="0.25">
      <c r="A943">
        <v>73</v>
      </c>
      <c r="B943" t="s">
        <v>179</v>
      </c>
      <c r="C943">
        <v>60</v>
      </c>
      <c r="D943" t="s">
        <v>315</v>
      </c>
      <c r="E943" t="s">
        <v>14</v>
      </c>
      <c r="F943">
        <v>5.9939999999999998</v>
      </c>
      <c r="G943" t="s">
        <v>13</v>
      </c>
    </row>
    <row r="944" spans="1:7" x14ac:dyDescent="0.25">
      <c r="A944">
        <v>73</v>
      </c>
      <c r="B944" t="s">
        <v>179</v>
      </c>
      <c r="C944">
        <v>70</v>
      </c>
      <c r="D944" t="s">
        <v>316</v>
      </c>
      <c r="E944" t="s">
        <v>14</v>
      </c>
      <c r="F944">
        <v>36.866</v>
      </c>
      <c r="G944" t="s">
        <v>13</v>
      </c>
    </row>
    <row r="945" spans="1:7" x14ac:dyDescent="0.25">
      <c r="A945">
        <v>73</v>
      </c>
      <c r="B945" t="s">
        <v>179</v>
      </c>
      <c r="C945">
        <v>80</v>
      </c>
      <c r="D945" t="s">
        <v>103</v>
      </c>
      <c r="E945" t="s">
        <v>11</v>
      </c>
      <c r="F945">
        <v>1</v>
      </c>
      <c r="G945" t="s">
        <v>13</v>
      </c>
    </row>
    <row r="946" spans="1:7" x14ac:dyDescent="0.25">
      <c r="A946">
        <v>73</v>
      </c>
      <c r="B946" t="s">
        <v>179</v>
      </c>
      <c r="C946">
        <v>90</v>
      </c>
      <c r="D946" t="s">
        <v>319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179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179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179</v>
      </c>
      <c r="C949">
        <v>120</v>
      </c>
      <c r="D949" t="s">
        <v>317</v>
      </c>
      <c r="E949" t="s">
        <v>12</v>
      </c>
      <c r="F949">
        <v>0.375</v>
      </c>
      <c r="G949" t="s">
        <v>13</v>
      </c>
    </row>
    <row r="950" spans="1:7" x14ac:dyDescent="0.25">
      <c r="A950">
        <v>73</v>
      </c>
      <c r="B950" t="s">
        <v>179</v>
      </c>
      <c r="C950">
        <v>130</v>
      </c>
      <c r="D950" t="s">
        <v>180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181</v>
      </c>
      <c r="C951">
        <v>10</v>
      </c>
      <c r="D951" t="s">
        <v>320</v>
      </c>
      <c r="E951" t="s">
        <v>14</v>
      </c>
      <c r="F951">
        <v>2.7429999999999999</v>
      </c>
      <c r="G951" t="s">
        <v>13</v>
      </c>
    </row>
    <row r="952" spans="1:7" x14ac:dyDescent="0.25">
      <c r="A952">
        <v>74</v>
      </c>
      <c r="B952" t="s">
        <v>181</v>
      </c>
      <c r="C952">
        <v>20</v>
      </c>
      <c r="D952" t="s">
        <v>93</v>
      </c>
      <c r="E952" t="s">
        <v>14</v>
      </c>
      <c r="F952">
        <v>158.49600000000001</v>
      </c>
      <c r="G952" t="s">
        <v>13</v>
      </c>
    </row>
    <row r="953" spans="1:7" x14ac:dyDescent="0.25">
      <c r="A953">
        <v>74</v>
      </c>
      <c r="B953" t="s">
        <v>181</v>
      </c>
      <c r="C953">
        <v>30</v>
      </c>
      <c r="D953" t="s">
        <v>16</v>
      </c>
      <c r="E953" t="s">
        <v>14</v>
      </c>
      <c r="F953">
        <v>42.671999999999997</v>
      </c>
      <c r="G953" t="s">
        <v>13</v>
      </c>
    </row>
    <row r="954" spans="1:7" x14ac:dyDescent="0.25">
      <c r="A954">
        <v>74</v>
      </c>
      <c r="B954" t="s">
        <v>181</v>
      </c>
      <c r="C954">
        <v>40</v>
      </c>
      <c r="D954" t="s">
        <v>318</v>
      </c>
      <c r="E954" t="s">
        <v>11</v>
      </c>
      <c r="F954">
        <v>1</v>
      </c>
      <c r="G954" t="s">
        <v>13</v>
      </c>
    </row>
    <row r="955" spans="1:7" x14ac:dyDescent="0.25">
      <c r="A955">
        <v>74</v>
      </c>
      <c r="B955" t="s">
        <v>181</v>
      </c>
      <c r="C955">
        <v>50</v>
      </c>
      <c r="D955" t="s">
        <v>102</v>
      </c>
      <c r="E955" t="s">
        <v>11</v>
      </c>
      <c r="F955">
        <v>1</v>
      </c>
      <c r="G955" t="s">
        <v>13</v>
      </c>
    </row>
    <row r="956" spans="1:7" x14ac:dyDescent="0.25">
      <c r="A956">
        <v>74</v>
      </c>
      <c r="B956" t="s">
        <v>181</v>
      </c>
      <c r="C956">
        <v>60</v>
      </c>
      <c r="D956" t="s">
        <v>315</v>
      </c>
      <c r="E956" t="s">
        <v>14</v>
      </c>
      <c r="F956">
        <v>6.2990000000000004</v>
      </c>
      <c r="G956" t="s">
        <v>13</v>
      </c>
    </row>
    <row r="957" spans="1:7" x14ac:dyDescent="0.25">
      <c r="A957">
        <v>74</v>
      </c>
      <c r="B957" t="s">
        <v>181</v>
      </c>
      <c r="C957">
        <v>70</v>
      </c>
      <c r="D957" t="s">
        <v>316</v>
      </c>
      <c r="E957" t="s">
        <v>14</v>
      </c>
      <c r="F957">
        <v>38.74</v>
      </c>
      <c r="G957" t="s">
        <v>13</v>
      </c>
    </row>
    <row r="958" spans="1:7" x14ac:dyDescent="0.25">
      <c r="A958">
        <v>74</v>
      </c>
      <c r="B958" t="s">
        <v>181</v>
      </c>
      <c r="C958">
        <v>80</v>
      </c>
      <c r="D958" t="s">
        <v>103</v>
      </c>
      <c r="E958" t="s">
        <v>11</v>
      </c>
      <c r="F958">
        <v>1</v>
      </c>
      <c r="G958" t="s">
        <v>13</v>
      </c>
    </row>
    <row r="959" spans="1:7" x14ac:dyDescent="0.25">
      <c r="A959">
        <v>74</v>
      </c>
      <c r="B959" t="s">
        <v>181</v>
      </c>
      <c r="C959">
        <v>90</v>
      </c>
      <c r="D959" t="s">
        <v>319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181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181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181</v>
      </c>
      <c r="C962">
        <v>120</v>
      </c>
      <c r="D962" t="s">
        <v>317</v>
      </c>
      <c r="E962" t="s">
        <v>12</v>
      </c>
      <c r="F962">
        <v>0.42</v>
      </c>
      <c r="G962" t="s">
        <v>13</v>
      </c>
    </row>
    <row r="963" spans="1:7" x14ac:dyDescent="0.25">
      <c r="A963">
        <v>74</v>
      </c>
      <c r="B963" t="s">
        <v>181</v>
      </c>
      <c r="C963">
        <v>130</v>
      </c>
      <c r="D963" t="s">
        <v>182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183</v>
      </c>
      <c r="C964">
        <v>10</v>
      </c>
      <c r="D964" t="s">
        <v>320</v>
      </c>
      <c r="E964" t="s">
        <v>14</v>
      </c>
      <c r="F964">
        <v>3.3530000000000002</v>
      </c>
      <c r="G964" t="s">
        <v>13</v>
      </c>
    </row>
    <row r="965" spans="1:7" x14ac:dyDescent="0.25">
      <c r="A965">
        <v>75</v>
      </c>
      <c r="B965" t="s">
        <v>183</v>
      </c>
      <c r="C965">
        <v>20</v>
      </c>
      <c r="D965" t="s">
        <v>93</v>
      </c>
      <c r="E965" t="s">
        <v>14</v>
      </c>
      <c r="F965">
        <v>174.346</v>
      </c>
      <c r="G965" t="s">
        <v>13</v>
      </c>
    </row>
    <row r="966" spans="1:7" x14ac:dyDescent="0.25">
      <c r="A966">
        <v>75</v>
      </c>
      <c r="B966" t="s">
        <v>183</v>
      </c>
      <c r="C966">
        <v>30</v>
      </c>
      <c r="D966" t="s">
        <v>16</v>
      </c>
      <c r="E966" t="s">
        <v>14</v>
      </c>
      <c r="F966">
        <v>46.939</v>
      </c>
      <c r="G966" t="s">
        <v>13</v>
      </c>
    </row>
    <row r="967" spans="1:7" x14ac:dyDescent="0.25">
      <c r="A967">
        <v>75</v>
      </c>
      <c r="B967" t="s">
        <v>183</v>
      </c>
      <c r="C967">
        <v>40</v>
      </c>
      <c r="D967" t="s">
        <v>318</v>
      </c>
      <c r="E967" t="s">
        <v>11</v>
      </c>
      <c r="F967">
        <v>1</v>
      </c>
      <c r="G967" t="s">
        <v>13</v>
      </c>
    </row>
    <row r="968" spans="1:7" x14ac:dyDescent="0.25">
      <c r="A968">
        <v>75</v>
      </c>
      <c r="B968" t="s">
        <v>183</v>
      </c>
      <c r="C968">
        <v>50</v>
      </c>
      <c r="D968" t="s">
        <v>102</v>
      </c>
      <c r="E968" t="s">
        <v>11</v>
      </c>
      <c r="F968">
        <v>1</v>
      </c>
      <c r="G968" t="s">
        <v>13</v>
      </c>
    </row>
    <row r="969" spans="1:7" x14ac:dyDescent="0.25">
      <c r="A969">
        <v>75</v>
      </c>
      <c r="B969" t="s">
        <v>183</v>
      </c>
      <c r="C969">
        <v>60</v>
      </c>
      <c r="D969" t="s">
        <v>315</v>
      </c>
      <c r="E969" t="s">
        <v>14</v>
      </c>
      <c r="F969">
        <v>6.9089999999999998</v>
      </c>
      <c r="G969" t="s">
        <v>13</v>
      </c>
    </row>
    <row r="970" spans="1:7" x14ac:dyDescent="0.25">
      <c r="A970">
        <v>75</v>
      </c>
      <c r="B970" t="s">
        <v>183</v>
      </c>
      <c r="C970">
        <v>70</v>
      </c>
      <c r="D970" t="s">
        <v>316</v>
      </c>
      <c r="E970" t="s">
        <v>14</v>
      </c>
      <c r="F970">
        <v>42.488999999999997</v>
      </c>
      <c r="G970" t="s">
        <v>13</v>
      </c>
    </row>
    <row r="971" spans="1:7" x14ac:dyDescent="0.25">
      <c r="A971">
        <v>75</v>
      </c>
      <c r="B971" t="s">
        <v>183</v>
      </c>
      <c r="C971">
        <v>80</v>
      </c>
      <c r="D971" t="s">
        <v>103</v>
      </c>
      <c r="E971" t="s">
        <v>11</v>
      </c>
      <c r="F971">
        <v>1</v>
      </c>
      <c r="G971" t="s">
        <v>13</v>
      </c>
    </row>
    <row r="972" spans="1:7" x14ac:dyDescent="0.25">
      <c r="A972">
        <v>75</v>
      </c>
      <c r="B972" t="s">
        <v>183</v>
      </c>
      <c r="C972">
        <v>90</v>
      </c>
      <c r="D972" t="s">
        <v>319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183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183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183</v>
      </c>
      <c r="C975">
        <v>120</v>
      </c>
      <c r="D975" t="s">
        <v>317</v>
      </c>
      <c r="E975" t="s">
        <v>12</v>
      </c>
      <c r="F975">
        <v>0.51</v>
      </c>
      <c r="G975" t="s">
        <v>13</v>
      </c>
    </row>
    <row r="976" spans="1:7" x14ac:dyDescent="0.25">
      <c r="A976">
        <v>75</v>
      </c>
      <c r="B976" t="s">
        <v>183</v>
      </c>
      <c r="C976">
        <v>130</v>
      </c>
      <c r="D976" t="s">
        <v>184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185</v>
      </c>
      <c r="C977">
        <v>10</v>
      </c>
      <c r="D977" t="s">
        <v>320</v>
      </c>
      <c r="E977" t="s">
        <v>14</v>
      </c>
      <c r="F977">
        <v>3.6579999999999999</v>
      </c>
      <c r="G977" t="s">
        <v>13</v>
      </c>
    </row>
    <row r="978" spans="1:7" x14ac:dyDescent="0.25">
      <c r="A978">
        <v>76</v>
      </c>
      <c r="B978" t="s">
        <v>185</v>
      </c>
      <c r="C978">
        <v>20</v>
      </c>
      <c r="D978" t="s">
        <v>93</v>
      </c>
      <c r="E978" t="s">
        <v>14</v>
      </c>
      <c r="F978">
        <v>182.27</v>
      </c>
      <c r="G978" t="s">
        <v>13</v>
      </c>
    </row>
    <row r="979" spans="1:7" x14ac:dyDescent="0.25">
      <c r="A979">
        <v>76</v>
      </c>
      <c r="B979" t="s">
        <v>185</v>
      </c>
      <c r="C979">
        <v>30</v>
      </c>
      <c r="D979" t="s">
        <v>16</v>
      </c>
      <c r="E979" t="s">
        <v>14</v>
      </c>
      <c r="F979">
        <v>49.073</v>
      </c>
      <c r="G979" t="s">
        <v>13</v>
      </c>
    </row>
    <row r="980" spans="1:7" x14ac:dyDescent="0.25">
      <c r="A980">
        <v>76</v>
      </c>
      <c r="B980" t="s">
        <v>185</v>
      </c>
      <c r="C980">
        <v>40</v>
      </c>
      <c r="D980" t="s">
        <v>318</v>
      </c>
      <c r="E980" t="s">
        <v>11</v>
      </c>
      <c r="F980">
        <v>1</v>
      </c>
      <c r="G980" t="s">
        <v>13</v>
      </c>
    </row>
    <row r="981" spans="1:7" x14ac:dyDescent="0.25">
      <c r="A981">
        <v>76</v>
      </c>
      <c r="B981" t="s">
        <v>185</v>
      </c>
      <c r="C981">
        <v>50</v>
      </c>
      <c r="D981" t="s">
        <v>102</v>
      </c>
      <c r="E981" t="s">
        <v>11</v>
      </c>
      <c r="F981">
        <v>1</v>
      </c>
      <c r="G981" t="s">
        <v>13</v>
      </c>
    </row>
    <row r="982" spans="1:7" x14ac:dyDescent="0.25">
      <c r="A982">
        <v>76</v>
      </c>
      <c r="B982" t="s">
        <v>185</v>
      </c>
      <c r="C982">
        <v>60</v>
      </c>
      <c r="D982" t="s">
        <v>315</v>
      </c>
      <c r="E982" t="s">
        <v>14</v>
      </c>
      <c r="F982">
        <v>7.2140000000000004</v>
      </c>
      <c r="G982" t="s">
        <v>13</v>
      </c>
    </row>
    <row r="983" spans="1:7" x14ac:dyDescent="0.25">
      <c r="A983">
        <v>76</v>
      </c>
      <c r="B983" t="s">
        <v>185</v>
      </c>
      <c r="C983">
        <v>70</v>
      </c>
      <c r="D983" t="s">
        <v>316</v>
      </c>
      <c r="E983" t="s">
        <v>14</v>
      </c>
      <c r="F983">
        <v>44.363999999999997</v>
      </c>
      <c r="G983" t="s">
        <v>13</v>
      </c>
    </row>
    <row r="984" spans="1:7" x14ac:dyDescent="0.25">
      <c r="A984">
        <v>76</v>
      </c>
      <c r="B984" t="s">
        <v>185</v>
      </c>
      <c r="C984">
        <v>80</v>
      </c>
      <c r="D984" t="s">
        <v>103</v>
      </c>
      <c r="E984" t="s">
        <v>11</v>
      </c>
      <c r="F984">
        <v>1</v>
      </c>
      <c r="G984" t="s">
        <v>13</v>
      </c>
    </row>
    <row r="985" spans="1:7" x14ac:dyDescent="0.25">
      <c r="A985">
        <v>76</v>
      </c>
      <c r="B985" t="s">
        <v>185</v>
      </c>
      <c r="C985">
        <v>90</v>
      </c>
      <c r="D985" t="s">
        <v>319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185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185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185</v>
      </c>
      <c r="C988">
        <v>120</v>
      </c>
      <c r="D988" t="s">
        <v>317</v>
      </c>
      <c r="E988" t="s">
        <v>12</v>
      </c>
      <c r="F988">
        <v>0.55500000000000005</v>
      </c>
      <c r="G988" t="s">
        <v>13</v>
      </c>
    </row>
    <row r="989" spans="1:7" x14ac:dyDescent="0.25">
      <c r="A989">
        <v>76</v>
      </c>
      <c r="B989" t="s">
        <v>185</v>
      </c>
      <c r="C989">
        <v>130</v>
      </c>
      <c r="D989" t="s">
        <v>186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187</v>
      </c>
      <c r="C990">
        <v>10</v>
      </c>
      <c r="D990" t="s">
        <v>320</v>
      </c>
      <c r="E990" t="s">
        <v>14</v>
      </c>
      <c r="F990">
        <v>3.9620000000000002</v>
      </c>
      <c r="G990" t="s">
        <v>13</v>
      </c>
    </row>
    <row r="991" spans="1:7" x14ac:dyDescent="0.25">
      <c r="A991">
        <v>77</v>
      </c>
      <c r="B991" t="s">
        <v>187</v>
      </c>
      <c r="C991">
        <v>20</v>
      </c>
      <c r="D991" t="s">
        <v>93</v>
      </c>
      <c r="E991" t="s">
        <v>14</v>
      </c>
      <c r="F991">
        <v>190.19499999999999</v>
      </c>
      <c r="G991" t="s">
        <v>13</v>
      </c>
    </row>
    <row r="992" spans="1:7" x14ac:dyDescent="0.25">
      <c r="A992">
        <v>77</v>
      </c>
      <c r="B992" t="s">
        <v>187</v>
      </c>
      <c r="C992">
        <v>30</v>
      </c>
      <c r="D992" t="s">
        <v>16</v>
      </c>
      <c r="E992" t="s">
        <v>14</v>
      </c>
      <c r="F992">
        <v>51.206000000000003</v>
      </c>
      <c r="G992" t="s">
        <v>13</v>
      </c>
    </row>
    <row r="993" spans="1:7" x14ac:dyDescent="0.25">
      <c r="A993">
        <v>77</v>
      </c>
      <c r="B993" t="s">
        <v>187</v>
      </c>
      <c r="C993">
        <v>40</v>
      </c>
      <c r="D993" t="s">
        <v>318</v>
      </c>
      <c r="E993" t="s">
        <v>11</v>
      </c>
      <c r="F993">
        <v>1</v>
      </c>
      <c r="G993" t="s">
        <v>13</v>
      </c>
    </row>
    <row r="994" spans="1:7" x14ac:dyDescent="0.25">
      <c r="A994">
        <v>77</v>
      </c>
      <c r="B994" t="s">
        <v>187</v>
      </c>
      <c r="C994">
        <v>50</v>
      </c>
      <c r="D994" t="s">
        <v>102</v>
      </c>
      <c r="E994" t="s">
        <v>11</v>
      </c>
      <c r="F994">
        <v>1</v>
      </c>
      <c r="G994" t="s">
        <v>13</v>
      </c>
    </row>
    <row r="995" spans="1:7" x14ac:dyDescent="0.25">
      <c r="A995">
        <v>77</v>
      </c>
      <c r="B995" t="s">
        <v>187</v>
      </c>
      <c r="C995">
        <v>60</v>
      </c>
      <c r="D995" t="s">
        <v>315</v>
      </c>
      <c r="E995" t="s">
        <v>14</v>
      </c>
      <c r="F995">
        <v>7.5179999999999998</v>
      </c>
      <c r="G995" t="s">
        <v>13</v>
      </c>
    </row>
    <row r="996" spans="1:7" x14ac:dyDescent="0.25">
      <c r="A996">
        <v>77</v>
      </c>
      <c r="B996" t="s">
        <v>187</v>
      </c>
      <c r="C996">
        <v>70</v>
      </c>
      <c r="D996" t="s">
        <v>316</v>
      </c>
      <c r="E996" t="s">
        <v>14</v>
      </c>
      <c r="F996">
        <v>46.238</v>
      </c>
      <c r="G996" t="s">
        <v>13</v>
      </c>
    </row>
    <row r="997" spans="1:7" x14ac:dyDescent="0.25">
      <c r="A997">
        <v>77</v>
      </c>
      <c r="B997" t="s">
        <v>187</v>
      </c>
      <c r="C997">
        <v>80</v>
      </c>
      <c r="D997" t="s">
        <v>103</v>
      </c>
      <c r="E997" t="s">
        <v>11</v>
      </c>
      <c r="F997">
        <v>1</v>
      </c>
      <c r="G997" t="s">
        <v>13</v>
      </c>
    </row>
    <row r="998" spans="1:7" x14ac:dyDescent="0.25">
      <c r="A998">
        <v>77</v>
      </c>
      <c r="B998" t="s">
        <v>187</v>
      </c>
      <c r="C998">
        <v>90</v>
      </c>
      <c r="D998" t="s">
        <v>319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187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187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187</v>
      </c>
      <c r="C1001">
        <v>120</v>
      </c>
      <c r="D1001" t="s">
        <v>317</v>
      </c>
      <c r="E1001" t="s">
        <v>12</v>
      </c>
      <c r="F1001">
        <v>0.60099999999999998</v>
      </c>
      <c r="G1001" t="s">
        <v>13</v>
      </c>
    </row>
    <row r="1002" spans="1:7" x14ac:dyDescent="0.25">
      <c r="A1002">
        <v>77</v>
      </c>
      <c r="B1002" t="s">
        <v>187</v>
      </c>
      <c r="C1002">
        <v>130</v>
      </c>
      <c r="D1002" t="s">
        <v>188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189</v>
      </c>
      <c r="C1003">
        <v>10</v>
      </c>
      <c r="D1003" t="s">
        <v>320</v>
      </c>
      <c r="E1003" t="s">
        <v>14</v>
      </c>
      <c r="F1003">
        <v>1.829</v>
      </c>
      <c r="G1003" t="s">
        <v>13</v>
      </c>
    </row>
    <row r="1004" spans="1:7" x14ac:dyDescent="0.25">
      <c r="A1004">
        <v>78</v>
      </c>
      <c r="B1004" t="s">
        <v>189</v>
      </c>
      <c r="C1004">
        <v>20</v>
      </c>
      <c r="D1004" t="s">
        <v>93</v>
      </c>
      <c r="E1004" t="s">
        <v>14</v>
      </c>
      <c r="F1004">
        <v>138.684</v>
      </c>
      <c r="G1004" t="s">
        <v>13</v>
      </c>
    </row>
    <row r="1005" spans="1:7" x14ac:dyDescent="0.25">
      <c r="A1005">
        <v>78</v>
      </c>
      <c r="B1005" t="s">
        <v>189</v>
      </c>
      <c r="C1005">
        <v>30</v>
      </c>
      <c r="D1005" t="s">
        <v>16</v>
      </c>
      <c r="E1005" t="s">
        <v>14</v>
      </c>
      <c r="F1005">
        <v>37.338000000000001</v>
      </c>
      <c r="G1005" t="s">
        <v>13</v>
      </c>
    </row>
    <row r="1006" spans="1:7" x14ac:dyDescent="0.25">
      <c r="A1006">
        <v>78</v>
      </c>
      <c r="B1006" t="s">
        <v>189</v>
      </c>
      <c r="C1006">
        <v>40</v>
      </c>
      <c r="D1006" t="s">
        <v>318</v>
      </c>
      <c r="E1006" t="s">
        <v>11</v>
      </c>
      <c r="F1006">
        <v>1</v>
      </c>
      <c r="G1006" t="s">
        <v>13</v>
      </c>
    </row>
    <row r="1007" spans="1:7" x14ac:dyDescent="0.25">
      <c r="A1007">
        <v>78</v>
      </c>
      <c r="B1007" t="s">
        <v>189</v>
      </c>
      <c r="C1007">
        <v>50</v>
      </c>
      <c r="D1007" t="s">
        <v>102</v>
      </c>
      <c r="E1007" t="s">
        <v>11</v>
      </c>
      <c r="F1007">
        <v>1</v>
      </c>
      <c r="G1007" t="s">
        <v>13</v>
      </c>
    </row>
    <row r="1008" spans="1:7" x14ac:dyDescent="0.25">
      <c r="A1008">
        <v>78</v>
      </c>
      <c r="B1008" t="s">
        <v>189</v>
      </c>
      <c r="C1008">
        <v>60</v>
      </c>
      <c r="D1008" t="s">
        <v>315</v>
      </c>
      <c r="E1008" t="s">
        <v>14</v>
      </c>
      <c r="F1008">
        <v>5.5369999999999999</v>
      </c>
      <c r="G1008" t="s">
        <v>13</v>
      </c>
    </row>
    <row r="1009" spans="1:7" x14ac:dyDescent="0.25">
      <c r="A1009">
        <v>78</v>
      </c>
      <c r="B1009" t="s">
        <v>189</v>
      </c>
      <c r="C1009">
        <v>70</v>
      </c>
      <c r="D1009" t="s">
        <v>316</v>
      </c>
      <c r="E1009" t="s">
        <v>14</v>
      </c>
      <c r="F1009">
        <v>34.054000000000002</v>
      </c>
      <c r="G1009" t="s">
        <v>13</v>
      </c>
    </row>
    <row r="1010" spans="1:7" x14ac:dyDescent="0.25">
      <c r="A1010">
        <v>78</v>
      </c>
      <c r="B1010" t="s">
        <v>189</v>
      </c>
      <c r="C1010">
        <v>80</v>
      </c>
      <c r="D1010" t="s">
        <v>103</v>
      </c>
      <c r="E1010" t="s">
        <v>11</v>
      </c>
      <c r="F1010">
        <v>1</v>
      </c>
      <c r="G1010" t="s">
        <v>13</v>
      </c>
    </row>
    <row r="1011" spans="1:7" x14ac:dyDescent="0.25">
      <c r="A1011">
        <v>78</v>
      </c>
      <c r="B1011" t="s">
        <v>189</v>
      </c>
      <c r="C1011">
        <v>90</v>
      </c>
      <c r="D1011" t="s">
        <v>319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189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189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189</v>
      </c>
      <c r="C1014">
        <v>120</v>
      </c>
      <c r="D1014" t="s">
        <v>317</v>
      </c>
      <c r="E1014" t="s">
        <v>12</v>
      </c>
      <c r="F1014">
        <v>0.28499999999999998</v>
      </c>
      <c r="G1014" t="s">
        <v>13</v>
      </c>
    </row>
    <row r="1015" spans="1:7" x14ac:dyDescent="0.25">
      <c r="A1015">
        <v>78</v>
      </c>
      <c r="B1015" t="s">
        <v>189</v>
      </c>
      <c r="C1015">
        <v>130</v>
      </c>
      <c r="D1015" t="s">
        <v>190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191</v>
      </c>
      <c r="C1016">
        <v>10</v>
      </c>
      <c r="D1016" t="s">
        <v>320</v>
      </c>
      <c r="E1016" t="s">
        <v>14</v>
      </c>
      <c r="F1016">
        <v>2.1339999999999999</v>
      </c>
      <c r="G1016" t="s">
        <v>13</v>
      </c>
    </row>
    <row r="1017" spans="1:7" x14ac:dyDescent="0.25">
      <c r="A1017">
        <v>79</v>
      </c>
      <c r="B1017" t="s">
        <v>191</v>
      </c>
      <c r="C1017">
        <v>20</v>
      </c>
      <c r="D1017" t="s">
        <v>93</v>
      </c>
      <c r="E1017" t="s">
        <v>14</v>
      </c>
      <c r="F1017">
        <v>146.60900000000001</v>
      </c>
      <c r="G1017" t="s">
        <v>13</v>
      </c>
    </row>
    <row r="1018" spans="1:7" x14ac:dyDescent="0.25">
      <c r="A1018">
        <v>79</v>
      </c>
      <c r="B1018" t="s">
        <v>191</v>
      </c>
      <c r="C1018">
        <v>30</v>
      </c>
      <c r="D1018" t="s">
        <v>16</v>
      </c>
      <c r="E1018" t="s">
        <v>14</v>
      </c>
      <c r="F1018">
        <v>39.472000000000001</v>
      </c>
      <c r="G1018" t="s">
        <v>13</v>
      </c>
    </row>
    <row r="1019" spans="1:7" x14ac:dyDescent="0.25">
      <c r="A1019">
        <v>79</v>
      </c>
      <c r="B1019" t="s">
        <v>191</v>
      </c>
      <c r="C1019">
        <v>40</v>
      </c>
      <c r="D1019" t="s">
        <v>318</v>
      </c>
      <c r="E1019" t="s">
        <v>11</v>
      </c>
      <c r="F1019">
        <v>1</v>
      </c>
      <c r="G1019" t="s">
        <v>13</v>
      </c>
    </row>
    <row r="1020" spans="1:7" x14ac:dyDescent="0.25">
      <c r="A1020">
        <v>79</v>
      </c>
      <c r="B1020" t="s">
        <v>191</v>
      </c>
      <c r="C1020">
        <v>50</v>
      </c>
      <c r="D1020" t="s">
        <v>102</v>
      </c>
      <c r="E1020" t="s">
        <v>11</v>
      </c>
      <c r="F1020">
        <v>1</v>
      </c>
      <c r="G1020" t="s">
        <v>13</v>
      </c>
    </row>
    <row r="1021" spans="1:7" x14ac:dyDescent="0.25">
      <c r="A1021">
        <v>79</v>
      </c>
      <c r="B1021" t="s">
        <v>191</v>
      </c>
      <c r="C1021">
        <v>60</v>
      </c>
      <c r="D1021" t="s">
        <v>315</v>
      </c>
      <c r="E1021" t="s">
        <v>14</v>
      </c>
      <c r="F1021">
        <v>5.8419999999999996</v>
      </c>
      <c r="G1021" t="s">
        <v>13</v>
      </c>
    </row>
    <row r="1022" spans="1:7" x14ac:dyDescent="0.25">
      <c r="A1022">
        <v>79</v>
      </c>
      <c r="B1022" t="s">
        <v>191</v>
      </c>
      <c r="C1022">
        <v>70</v>
      </c>
      <c r="D1022" t="s">
        <v>316</v>
      </c>
      <c r="E1022" t="s">
        <v>14</v>
      </c>
      <c r="F1022">
        <v>35.927999999999997</v>
      </c>
      <c r="G1022" t="s">
        <v>13</v>
      </c>
    </row>
    <row r="1023" spans="1:7" x14ac:dyDescent="0.25">
      <c r="A1023">
        <v>79</v>
      </c>
      <c r="B1023" t="s">
        <v>191</v>
      </c>
      <c r="C1023">
        <v>80</v>
      </c>
      <c r="D1023" t="s">
        <v>103</v>
      </c>
      <c r="E1023" t="s">
        <v>11</v>
      </c>
      <c r="F1023">
        <v>1</v>
      </c>
      <c r="G1023" t="s">
        <v>13</v>
      </c>
    </row>
    <row r="1024" spans="1:7" x14ac:dyDescent="0.25">
      <c r="A1024">
        <v>79</v>
      </c>
      <c r="B1024" t="s">
        <v>191</v>
      </c>
      <c r="C1024">
        <v>90</v>
      </c>
      <c r="D1024" t="s">
        <v>319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191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191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191</v>
      </c>
      <c r="C1027">
        <v>120</v>
      </c>
      <c r="D1027" t="s">
        <v>317</v>
      </c>
      <c r="E1027" t="s">
        <v>12</v>
      </c>
      <c r="F1027">
        <v>0.33</v>
      </c>
      <c r="G1027" t="s">
        <v>13</v>
      </c>
    </row>
    <row r="1028" spans="1:7" x14ac:dyDescent="0.25">
      <c r="A1028">
        <v>79</v>
      </c>
      <c r="B1028" t="s">
        <v>191</v>
      </c>
      <c r="C1028">
        <v>130</v>
      </c>
      <c r="D1028" t="s">
        <v>192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193</v>
      </c>
      <c r="C1029">
        <v>10</v>
      </c>
      <c r="D1029" t="s">
        <v>320</v>
      </c>
      <c r="E1029" t="s">
        <v>14</v>
      </c>
      <c r="F1029">
        <v>2.4380000000000002</v>
      </c>
      <c r="G1029" t="s">
        <v>13</v>
      </c>
    </row>
    <row r="1030" spans="1:7" x14ac:dyDescent="0.25">
      <c r="A1030">
        <v>80</v>
      </c>
      <c r="B1030" t="s">
        <v>193</v>
      </c>
      <c r="C1030">
        <v>20</v>
      </c>
      <c r="D1030" t="s">
        <v>93</v>
      </c>
      <c r="E1030" t="s">
        <v>14</v>
      </c>
      <c r="F1030">
        <v>154.53399999999999</v>
      </c>
      <c r="G1030" t="s">
        <v>13</v>
      </c>
    </row>
    <row r="1031" spans="1:7" x14ac:dyDescent="0.25">
      <c r="A1031">
        <v>80</v>
      </c>
      <c r="B1031" t="s">
        <v>193</v>
      </c>
      <c r="C1031">
        <v>30</v>
      </c>
      <c r="D1031" t="s">
        <v>16</v>
      </c>
      <c r="E1031" t="s">
        <v>14</v>
      </c>
      <c r="F1031">
        <v>41.604999999999997</v>
      </c>
      <c r="G1031" t="s">
        <v>13</v>
      </c>
    </row>
    <row r="1032" spans="1:7" x14ac:dyDescent="0.25">
      <c r="A1032">
        <v>80</v>
      </c>
      <c r="B1032" t="s">
        <v>193</v>
      </c>
      <c r="C1032">
        <v>40</v>
      </c>
      <c r="D1032" t="s">
        <v>318</v>
      </c>
      <c r="E1032" t="s">
        <v>11</v>
      </c>
      <c r="F1032">
        <v>1</v>
      </c>
      <c r="G1032" t="s">
        <v>13</v>
      </c>
    </row>
    <row r="1033" spans="1:7" x14ac:dyDescent="0.25">
      <c r="A1033">
        <v>80</v>
      </c>
      <c r="B1033" t="s">
        <v>193</v>
      </c>
      <c r="C1033">
        <v>50</v>
      </c>
      <c r="D1033" t="s">
        <v>102</v>
      </c>
      <c r="E1033" t="s">
        <v>11</v>
      </c>
      <c r="F1033">
        <v>1</v>
      </c>
      <c r="G1033" t="s">
        <v>13</v>
      </c>
    </row>
    <row r="1034" spans="1:7" x14ac:dyDescent="0.25">
      <c r="A1034">
        <v>80</v>
      </c>
      <c r="B1034" t="s">
        <v>193</v>
      </c>
      <c r="C1034">
        <v>60</v>
      </c>
      <c r="D1034" t="s">
        <v>315</v>
      </c>
      <c r="E1034" t="s">
        <v>14</v>
      </c>
      <c r="F1034">
        <v>6.1470000000000002</v>
      </c>
      <c r="G1034" t="s">
        <v>13</v>
      </c>
    </row>
    <row r="1035" spans="1:7" x14ac:dyDescent="0.25">
      <c r="A1035">
        <v>80</v>
      </c>
      <c r="B1035" t="s">
        <v>193</v>
      </c>
      <c r="C1035">
        <v>70</v>
      </c>
      <c r="D1035" t="s">
        <v>316</v>
      </c>
      <c r="E1035" t="s">
        <v>14</v>
      </c>
      <c r="F1035">
        <v>37.802999999999997</v>
      </c>
      <c r="G1035" t="s">
        <v>13</v>
      </c>
    </row>
    <row r="1036" spans="1:7" x14ac:dyDescent="0.25">
      <c r="A1036">
        <v>80</v>
      </c>
      <c r="B1036" t="s">
        <v>193</v>
      </c>
      <c r="C1036">
        <v>80</v>
      </c>
      <c r="D1036" t="s">
        <v>103</v>
      </c>
      <c r="E1036" t="s">
        <v>11</v>
      </c>
      <c r="F1036">
        <v>1</v>
      </c>
      <c r="G1036" t="s">
        <v>13</v>
      </c>
    </row>
    <row r="1037" spans="1:7" x14ac:dyDescent="0.25">
      <c r="A1037">
        <v>80</v>
      </c>
      <c r="B1037" t="s">
        <v>193</v>
      </c>
      <c r="C1037">
        <v>90</v>
      </c>
      <c r="D1037" t="s">
        <v>319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193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193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193</v>
      </c>
      <c r="C1040">
        <v>120</v>
      </c>
      <c r="D1040" t="s">
        <v>317</v>
      </c>
      <c r="E1040" t="s">
        <v>12</v>
      </c>
      <c r="F1040">
        <v>0.375</v>
      </c>
      <c r="G1040" t="s">
        <v>13</v>
      </c>
    </row>
    <row r="1041" spans="1:7" x14ac:dyDescent="0.25">
      <c r="A1041">
        <v>80</v>
      </c>
      <c r="B1041" t="s">
        <v>193</v>
      </c>
      <c r="C1041">
        <v>130</v>
      </c>
      <c r="D1041" t="s">
        <v>194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195</v>
      </c>
      <c r="C1042">
        <v>10</v>
      </c>
      <c r="D1042" t="s">
        <v>320</v>
      </c>
      <c r="E1042" t="s">
        <v>14</v>
      </c>
      <c r="F1042">
        <v>2.7429999999999999</v>
      </c>
      <c r="G1042" t="s">
        <v>13</v>
      </c>
    </row>
    <row r="1043" spans="1:7" x14ac:dyDescent="0.25">
      <c r="A1043">
        <v>81</v>
      </c>
      <c r="B1043" t="s">
        <v>195</v>
      </c>
      <c r="C1043">
        <v>20</v>
      </c>
      <c r="D1043" t="s">
        <v>93</v>
      </c>
      <c r="E1043" t="s">
        <v>14</v>
      </c>
      <c r="F1043">
        <v>162.458</v>
      </c>
      <c r="G1043" t="s">
        <v>13</v>
      </c>
    </row>
    <row r="1044" spans="1:7" x14ac:dyDescent="0.25">
      <c r="A1044">
        <v>81</v>
      </c>
      <c r="B1044" t="s">
        <v>195</v>
      </c>
      <c r="C1044">
        <v>30</v>
      </c>
      <c r="D1044" t="s">
        <v>16</v>
      </c>
      <c r="E1044" t="s">
        <v>14</v>
      </c>
      <c r="F1044">
        <v>43.738999999999997</v>
      </c>
      <c r="G1044" t="s">
        <v>13</v>
      </c>
    </row>
    <row r="1045" spans="1:7" x14ac:dyDescent="0.25">
      <c r="A1045">
        <v>81</v>
      </c>
      <c r="B1045" t="s">
        <v>195</v>
      </c>
      <c r="C1045">
        <v>40</v>
      </c>
      <c r="D1045" t="s">
        <v>318</v>
      </c>
      <c r="E1045" t="s">
        <v>11</v>
      </c>
      <c r="F1045">
        <v>1</v>
      </c>
      <c r="G1045" t="s">
        <v>13</v>
      </c>
    </row>
    <row r="1046" spans="1:7" x14ac:dyDescent="0.25">
      <c r="A1046">
        <v>81</v>
      </c>
      <c r="B1046" t="s">
        <v>195</v>
      </c>
      <c r="C1046">
        <v>50</v>
      </c>
      <c r="D1046" t="s">
        <v>102</v>
      </c>
      <c r="E1046" t="s">
        <v>11</v>
      </c>
      <c r="F1046">
        <v>1</v>
      </c>
      <c r="G1046" t="s">
        <v>13</v>
      </c>
    </row>
    <row r="1047" spans="1:7" x14ac:dyDescent="0.25">
      <c r="A1047">
        <v>81</v>
      </c>
      <c r="B1047" t="s">
        <v>195</v>
      </c>
      <c r="C1047">
        <v>60</v>
      </c>
      <c r="D1047" t="s">
        <v>315</v>
      </c>
      <c r="E1047" t="s">
        <v>14</v>
      </c>
      <c r="F1047">
        <v>6.452</v>
      </c>
      <c r="G1047" t="s">
        <v>13</v>
      </c>
    </row>
    <row r="1048" spans="1:7" x14ac:dyDescent="0.25">
      <c r="A1048">
        <v>81</v>
      </c>
      <c r="B1048" t="s">
        <v>195</v>
      </c>
      <c r="C1048">
        <v>70</v>
      </c>
      <c r="D1048" t="s">
        <v>316</v>
      </c>
      <c r="E1048" t="s">
        <v>14</v>
      </c>
      <c r="F1048">
        <v>39.677</v>
      </c>
      <c r="G1048" t="s">
        <v>13</v>
      </c>
    </row>
    <row r="1049" spans="1:7" x14ac:dyDescent="0.25">
      <c r="A1049">
        <v>81</v>
      </c>
      <c r="B1049" t="s">
        <v>195</v>
      </c>
      <c r="C1049">
        <v>80</v>
      </c>
      <c r="D1049" t="s">
        <v>103</v>
      </c>
      <c r="E1049" t="s">
        <v>11</v>
      </c>
      <c r="F1049">
        <v>1</v>
      </c>
      <c r="G1049" t="s">
        <v>13</v>
      </c>
    </row>
    <row r="1050" spans="1:7" x14ac:dyDescent="0.25">
      <c r="A1050">
        <v>81</v>
      </c>
      <c r="B1050" t="s">
        <v>195</v>
      </c>
      <c r="C1050">
        <v>90</v>
      </c>
      <c r="D1050" t="s">
        <v>319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195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195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195</v>
      </c>
      <c r="C1053">
        <v>120</v>
      </c>
      <c r="D1053" t="s">
        <v>317</v>
      </c>
      <c r="E1053" t="s">
        <v>12</v>
      </c>
      <c r="F1053">
        <v>0.42</v>
      </c>
      <c r="G1053" t="s">
        <v>13</v>
      </c>
    </row>
    <row r="1054" spans="1:7" x14ac:dyDescent="0.25">
      <c r="A1054">
        <v>81</v>
      </c>
      <c r="B1054" t="s">
        <v>195</v>
      </c>
      <c r="C1054">
        <v>130</v>
      </c>
      <c r="D1054" t="s">
        <v>196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197</v>
      </c>
      <c r="C1055">
        <v>10</v>
      </c>
      <c r="D1055" t="s">
        <v>320</v>
      </c>
      <c r="E1055" t="s">
        <v>14</v>
      </c>
      <c r="F1055">
        <v>3.3530000000000002</v>
      </c>
      <c r="G1055" t="s">
        <v>13</v>
      </c>
    </row>
    <row r="1056" spans="1:7" x14ac:dyDescent="0.25">
      <c r="A1056">
        <v>82</v>
      </c>
      <c r="B1056" t="s">
        <v>197</v>
      </c>
      <c r="C1056">
        <v>20</v>
      </c>
      <c r="D1056" t="s">
        <v>93</v>
      </c>
      <c r="E1056" t="s">
        <v>14</v>
      </c>
      <c r="F1056">
        <v>178.30799999999999</v>
      </c>
      <c r="G1056" t="s">
        <v>13</v>
      </c>
    </row>
    <row r="1057" spans="1:7" x14ac:dyDescent="0.25">
      <c r="A1057">
        <v>82</v>
      </c>
      <c r="B1057" t="s">
        <v>197</v>
      </c>
      <c r="C1057">
        <v>30</v>
      </c>
      <c r="D1057" t="s">
        <v>16</v>
      </c>
      <c r="E1057" t="s">
        <v>14</v>
      </c>
      <c r="F1057">
        <v>48.006</v>
      </c>
      <c r="G1057" t="s">
        <v>13</v>
      </c>
    </row>
    <row r="1058" spans="1:7" x14ac:dyDescent="0.25">
      <c r="A1058">
        <v>82</v>
      </c>
      <c r="B1058" t="s">
        <v>197</v>
      </c>
      <c r="C1058">
        <v>40</v>
      </c>
      <c r="D1058" t="s">
        <v>318</v>
      </c>
      <c r="E1058" t="s">
        <v>11</v>
      </c>
      <c r="F1058">
        <v>1</v>
      </c>
      <c r="G1058" t="s">
        <v>13</v>
      </c>
    </row>
    <row r="1059" spans="1:7" x14ac:dyDescent="0.25">
      <c r="A1059">
        <v>82</v>
      </c>
      <c r="B1059" t="s">
        <v>197</v>
      </c>
      <c r="C1059">
        <v>50</v>
      </c>
      <c r="D1059" t="s">
        <v>102</v>
      </c>
      <c r="E1059" t="s">
        <v>11</v>
      </c>
      <c r="F1059">
        <v>1</v>
      </c>
      <c r="G1059" t="s">
        <v>13</v>
      </c>
    </row>
    <row r="1060" spans="1:7" x14ac:dyDescent="0.25">
      <c r="A1060">
        <v>82</v>
      </c>
      <c r="B1060" t="s">
        <v>197</v>
      </c>
      <c r="C1060">
        <v>60</v>
      </c>
      <c r="D1060" t="s">
        <v>315</v>
      </c>
      <c r="E1060" t="s">
        <v>14</v>
      </c>
      <c r="F1060">
        <v>7.0609999999999999</v>
      </c>
      <c r="G1060" t="s">
        <v>13</v>
      </c>
    </row>
    <row r="1061" spans="1:7" x14ac:dyDescent="0.25">
      <c r="A1061">
        <v>82</v>
      </c>
      <c r="B1061" t="s">
        <v>197</v>
      </c>
      <c r="C1061">
        <v>70</v>
      </c>
      <c r="D1061" t="s">
        <v>316</v>
      </c>
      <c r="E1061" t="s">
        <v>14</v>
      </c>
      <c r="F1061">
        <v>43.426000000000002</v>
      </c>
      <c r="G1061" t="s">
        <v>13</v>
      </c>
    </row>
    <row r="1062" spans="1:7" x14ac:dyDescent="0.25">
      <c r="A1062">
        <v>82</v>
      </c>
      <c r="B1062" t="s">
        <v>197</v>
      </c>
      <c r="C1062">
        <v>80</v>
      </c>
      <c r="D1062" t="s">
        <v>103</v>
      </c>
      <c r="E1062" t="s">
        <v>11</v>
      </c>
      <c r="F1062">
        <v>1</v>
      </c>
      <c r="G1062" t="s">
        <v>13</v>
      </c>
    </row>
    <row r="1063" spans="1:7" x14ac:dyDescent="0.25">
      <c r="A1063">
        <v>82</v>
      </c>
      <c r="B1063" t="s">
        <v>197</v>
      </c>
      <c r="C1063">
        <v>90</v>
      </c>
      <c r="D1063" t="s">
        <v>319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197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197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197</v>
      </c>
      <c r="C1066">
        <v>120</v>
      </c>
      <c r="D1066" t="s">
        <v>317</v>
      </c>
      <c r="E1066" t="s">
        <v>12</v>
      </c>
      <c r="F1066">
        <v>0.51</v>
      </c>
      <c r="G1066" t="s">
        <v>13</v>
      </c>
    </row>
    <row r="1067" spans="1:7" x14ac:dyDescent="0.25">
      <c r="A1067">
        <v>82</v>
      </c>
      <c r="B1067" t="s">
        <v>197</v>
      </c>
      <c r="C1067">
        <v>130</v>
      </c>
      <c r="D1067" t="s">
        <v>198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199</v>
      </c>
      <c r="C1068">
        <v>10</v>
      </c>
      <c r="D1068" t="s">
        <v>320</v>
      </c>
      <c r="E1068" t="s">
        <v>14</v>
      </c>
      <c r="F1068">
        <v>3.6579999999999999</v>
      </c>
      <c r="G1068" t="s">
        <v>13</v>
      </c>
    </row>
    <row r="1069" spans="1:7" x14ac:dyDescent="0.25">
      <c r="A1069">
        <v>83</v>
      </c>
      <c r="B1069" t="s">
        <v>199</v>
      </c>
      <c r="C1069">
        <v>20</v>
      </c>
      <c r="D1069" t="s">
        <v>93</v>
      </c>
      <c r="E1069" t="s">
        <v>14</v>
      </c>
      <c r="F1069">
        <v>186.233</v>
      </c>
      <c r="G1069" t="s">
        <v>13</v>
      </c>
    </row>
    <row r="1070" spans="1:7" x14ac:dyDescent="0.25">
      <c r="A1070">
        <v>83</v>
      </c>
      <c r="B1070" t="s">
        <v>199</v>
      </c>
      <c r="C1070">
        <v>30</v>
      </c>
      <c r="D1070" t="s">
        <v>16</v>
      </c>
      <c r="E1070" t="s">
        <v>14</v>
      </c>
      <c r="F1070">
        <v>50.14</v>
      </c>
      <c r="G1070" t="s">
        <v>13</v>
      </c>
    </row>
    <row r="1071" spans="1:7" x14ac:dyDescent="0.25">
      <c r="A1071">
        <v>83</v>
      </c>
      <c r="B1071" t="s">
        <v>199</v>
      </c>
      <c r="C1071">
        <v>40</v>
      </c>
      <c r="D1071" t="s">
        <v>318</v>
      </c>
      <c r="E1071" t="s">
        <v>11</v>
      </c>
      <c r="F1071">
        <v>1</v>
      </c>
      <c r="G1071" t="s">
        <v>13</v>
      </c>
    </row>
    <row r="1072" spans="1:7" x14ac:dyDescent="0.25">
      <c r="A1072">
        <v>83</v>
      </c>
      <c r="B1072" t="s">
        <v>199</v>
      </c>
      <c r="C1072">
        <v>50</v>
      </c>
      <c r="D1072" t="s">
        <v>102</v>
      </c>
      <c r="E1072" t="s">
        <v>11</v>
      </c>
      <c r="F1072">
        <v>1</v>
      </c>
      <c r="G1072" t="s">
        <v>13</v>
      </c>
    </row>
    <row r="1073" spans="1:7" x14ac:dyDescent="0.25">
      <c r="A1073">
        <v>83</v>
      </c>
      <c r="B1073" t="s">
        <v>199</v>
      </c>
      <c r="C1073">
        <v>60</v>
      </c>
      <c r="D1073" t="s">
        <v>315</v>
      </c>
      <c r="E1073" t="s">
        <v>14</v>
      </c>
      <c r="F1073">
        <v>7.3659999999999997</v>
      </c>
      <c r="G1073" t="s">
        <v>13</v>
      </c>
    </row>
    <row r="1074" spans="1:7" x14ac:dyDescent="0.25">
      <c r="A1074">
        <v>83</v>
      </c>
      <c r="B1074" t="s">
        <v>199</v>
      </c>
      <c r="C1074">
        <v>70</v>
      </c>
      <c r="D1074" t="s">
        <v>316</v>
      </c>
      <c r="E1074" t="s">
        <v>14</v>
      </c>
      <c r="F1074">
        <v>45.301000000000002</v>
      </c>
      <c r="G1074" t="s">
        <v>13</v>
      </c>
    </row>
    <row r="1075" spans="1:7" x14ac:dyDescent="0.25">
      <c r="A1075">
        <v>83</v>
      </c>
      <c r="B1075" t="s">
        <v>199</v>
      </c>
      <c r="C1075">
        <v>80</v>
      </c>
      <c r="D1075" t="s">
        <v>103</v>
      </c>
      <c r="E1075" t="s">
        <v>11</v>
      </c>
      <c r="F1075">
        <v>1</v>
      </c>
      <c r="G1075" t="s">
        <v>13</v>
      </c>
    </row>
    <row r="1076" spans="1:7" x14ac:dyDescent="0.25">
      <c r="A1076">
        <v>83</v>
      </c>
      <c r="B1076" t="s">
        <v>199</v>
      </c>
      <c r="C1076">
        <v>90</v>
      </c>
      <c r="D1076" t="s">
        <v>319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199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199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199</v>
      </c>
      <c r="C1079">
        <v>120</v>
      </c>
      <c r="D1079" t="s">
        <v>317</v>
      </c>
      <c r="E1079" t="s">
        <v>12</v>
      </c>
      <c r="F1079">
        <v>0.55500000000000005</v>
      </c>
      <c r="G1079" t="s">
        <v>13</v>
      </c>
    </row>
    <row r="1080" spans="1:7" x14ac:dyDescent="0.25">
      <c r="A1080">
        <v>83</v>
      </c>
      <c r="B1080" t="s">
        <v>199</v>
      </c>
      <c r="C1080">
        <v>130</v>
      </c>
      <c r="D1080" t="s">
        <v>200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201</v>
      </c>
      <c r="C1081">
        <v>10</v>
      </c>
      <c r="D1081" t="s">
        <v>320</v>
      </c>
      <c r="E1081" t="s">
        <v>14</v>
      </c>
      <c r="F1081">
        <v>3.9620000000000002</v>
      </c>
      <c r="G1081" t="s">
        <v>13</v>
      </c>
    </row>
    <row r="1082" spans="1:7" x14ac:dyDescent="0.25">
      <c r="A1082">
        <v>84</v>
      </c>
      <c r="B1082" t="s">
        <v>201</v>
      </c>
      <c r="C1082">
        <v>20</v>
      </c>
      <c r="D1082" t="s">
        <v>93</v>
      </c>
      <c r="E1082" t="s">
        <v>14</v>
      </c>
      <c r="F1082">
        <v>194.15799999999999</v>
      </c>
      <c r="G1082" t="s">
        <v>13</v>
      </c>
    </row>
    <row r="1083" spans="1:7" x14ac:dyDescent="0.25">
      <c r="A1083">
        <v>84</v>
      </c>
      <c r="B1083" t="s">
        <v>201</v>
      </c>
      <c r="C1083">
        <v>30</v>
      </c>
      <c r="D1083" t="s">
        <v>16</v>
      </c>
      <c r="E1083" t="s">
        <v>14</v>
      </c>
      <c r="F1083">
        <v>52.273000000000003</v>
      </c>
      <c r="G1083" t="s">
        <v>13</v>
      </c>
    </row>
    <row r="1084" spans="1:7" x14ac:dyDescent="0.25">
      <c r="A1084">
        <v>84</v>
      </c>
      <c r="B1084" t="s">
        <v>201</v>
      </c>
      <c r="C1084">
        <v>40</v>
      </c>
      <c r="D1084" t="s">
        <v>318</v>
      </c>
      <c r="E1084" t="s">
        <v>11</v>
      </c>
      <c r="F1084">
        <v>1</v>
      </c>
      <c r="G1084" t="s">
        <v>13</v>
      </c>
    </row>
    <row r="1085" spans="1:7" x14ac:dyDescent="0.25">
      <c r="A1085">
        <v>84</v>
      </c>
      <c r="B1085" t="s">
        <v>201</v>
      </c>
      <c r="C1085">
        <v>50</v>
      </c>
      <c r="D1085" t="s">
        <v>102</v>
      </c>
      <c r="E1085" t="s">
        <v>11</v>
      </c>
      <c r="F1085">
        <v>1</v>
      </c>
      <c r="G1085" t="s">
        <v>13</v>
      </c>
    </row>
    <row r="1086" spans="1:7" x14ac:dyDescent="0.25">
      <c r="A1086">
        <v>84</v>
      </c>
      <c r="B1086" t="s">
        <v>201</v>
      </c>
      <c r="C1086">
        <v>60</v>
      </c>
      <c r="D1086" t="s">
        <v>315</v>
      </c>
      <c r="E1086" t="s">
        <v>14</v>
      </c>
      <c r="F1086">
        <v>7.6710000000000003</v>
      </c>
      <c r="G1086" t="s">
        <v>13</v>
      </c>
    </row>
    <row r="1087" spans="1:7" x14ac:dyDescent="0.25">
      <c r="A1087">
        <v>84</v>
      </c>
      <c r="B1087" t="s">
        <v>201</v>
      </c>
      <c r="C1087">
        <v>70</v>
      </c>
      <c r="D1087" t="s">
        <v>316</v>
      </c>
      <c r="E1087" t="s">
        <v>14</v>
      </c>
      <c r="F1087">
        <v>47.174999999999997</v>
      </c>
      <c r="G1087" t="s">
        <v>13</v>
      </c>
    </row>
    <row r="1088" spans="1:7" x14ac:dyDescent="0.25">
      <c r="A1088">
        <v>84</v>
      </c>
      <c r="B1088" t="s">
        <v>201</v>
      </c>
      <c r="C1088">
        <v>80</v>
      </c>
      <c r="D1088" t="s">
        <v>103</v>
      </c>
      <c r="E1088" t="s">
        <v>11</v>
      </c>
      <c r="F1088">
        <v>1</v>
      </c>
      <c r="G1088" t="s">
        <v>13</v>
      </c>
    </row>
    <row r="1089" spans="1:7" x14ac:dyDescent="0.25">
      <c r="A1089">
        <v>84</v>
      </c>
      <c r="B1089" t="s">
        <v>201</v>
      </c>
      <c r="C1089">
        <v>90</v>
      </c>
      <c r="D1089" t="s">
        <v>319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201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201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201</v>
      </c>
      <c r="C1092">
        <v>120</v>
      </c>
      <c r="D1092" t="s">
        <v>317</v>
      </c>
      <c r="E1092" t="s">
        <v>12</v>
      </c>
      <c r="F1092">
        <v>0.60099999999999998</v>
      </c>
      <c r="G1092" t="s">
        <v>13</v>
      </c>
    </row>
    <row r="1093" spans="1:7" x14ac:dyDescent="0.25">
      <c r="A1093">
        <v>84</v>
      </c>
      <c r="B1093" t="s">
        <v>201</v>
      </c>
      <c r="C1093">
        <v>130</v>
      </c>
      <c r="D1093" t="s">
        <v>202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203</v>
      </c>
      <c r="C1094">
        <v>10</v>
      </c>
      <c r="D1094" t="s">
        <v>320</v>
      </c>
      <c r="E1094" t="s">
        <v>14</v>
      </c>
      <c r="F1094">
        <v>2.3370000000000002</v>
      </c>
      <c r="G1094" t="s">
        <v>13</v>
      </c>
    </row>
    <row r="1095" spans="1:7" x14ac:dyDescent="0.25">
      <c r="A1095">
        <v>85</v>
      </c>
      <c r="B1095" t="s">
        <v>203</v>
      </c>
      <c r="C1095">
        <v>20</v>
      </c>
      <c r="D1095" t="s">
        <v>93</v>
      </c>
      <c r="E1095" t="s">
        <v>14</v>
      </c>
      <c r="F1095">
        <v>142.64599999999999</v>
      </c>
      <c r="G1095" t="s">
        <v>13</v>
      </c>
    </row>
    <row r="1096" spans="1:7" x14ac:dyDescent="0.25">
      <c r="A1096">
        <v>85</v>
      </c>
      <c r="B1096" t="s">
        <v>203</v>
      </c>
      <c r="C1096">
        <v>30</v>
      </c>
      <c r="D1096" t="s">
        <v>16</v>
      </c>
      <c r="E1096" t="s">
        <v>14</v>
      </c>
      <c r="F1096">
        <v>38.405000000000001</v>
      </c>
      <c r="G1096" t="s">
        <v>13</v>
      </c>
    </row>
    <row r="1097" spans="1:7" x14ac:dyDescent="0.25">
      <c r="A1097">
        <v>85</v>
      </c>
      <c r="B1097" t="s">
        <v>203</v>
      </c>
      <c r="C1097">
        <v>40</v>
      </c>
      <c r="D1097" t="s">
        <v>318</v>
      </c>
      <c r="E1097" t="s">
        <v>11</v>
      </c>
      <c r="F1097">
        <v>1</v>
      </c>
      <c r="G1097" t="s">
        <v>13</v>
      </c>
    </row>
    <row r="1098" spans="1:7" x14ac:dyDescent="0.25">
      <c r="A1098">
        <v>85</v>
      </c>
      <c r="B1098" t="s">
        <v>203</v>
      </c>
      <c r="C1098">
        <v>50</v>
      </c>
      <c r="D1098" t="s">
        <v>102</v>
      </c>
      <c r="E1098" t="s">
        <v>11</v>
      </c>
      <c r="F1098">
        <v>1</v>
      </c>
      <c r="G1098" t="s">
        <v>13</v>
      </c>
    </row>
    <row r="1099" spans="1:7" x14ac:dyDescent="0.25">
      <c r="A1099">
        <v>85</v>
      </c>
      <c r="B1099" t="s">
        <v>203</v>
      </c>
      <c r="C1099">
        <v>60</v>
      </c>
      <c r="D1099" t="s">
        <v>315</v>
      </c>
      <c r="E1099" t="s">
        <v>14</v>
      </c>
      <c r="F1099">
        <v>5.69</v>
      </c>
      <c r="G1099" t="s">
        <v>13</v>
      </c>
    </row>
    <row r="1100" spans="1:7" x14ac:dyDescent="0.25">
      <c r="A1100">
        <v>85</v>
      </c>
      <c r="B1100" t="s">
        <v>203</v>
      </c>
      <c r="C1100">
        <v>70</v>
      </c>
      <c r="D1100" t="s">
        <v>316</v>
      </c>
      <c r="E1100" t="s">
        <v>14</v>
      </c>
      <c r="F1100">
        <v>34.991</v>
      </c>
      <c r="G1100" t="s">
        <v>13</v>
      </c>
    </row>
    <row r="1101" spans="1:7" x14ac:dyDescent="0.25">
      <c r="A1101">
        <v>85</v>
      </c>
      <c r="B1101" t="s">
        <v>203</v>
      </c>
      <c r="C1101">
        <v>80</v>
      </c>
      <c r="D1101" t="s">
        <v>103</v>
      </c>
      <c r="E1101" t="s">
        <v>11</v>
      </c>
      <c r="F1101">
        <v>1</v>
      </c>
      <c r="G1101" t="s">
        <v>13</v>
      </c>
    </row>
    <row r="1102" spans="1:7" x14ac:dyDescent="0.25">
      <c r="A1102">
        <v>85</v>
      </c>
      <c r="B1102" t="s">
        <v>203</v>
      </c>
      <c r="C1102">
        <v>90</v>
      </c>
      <c r="D1102" t="s">
        <v>319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203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203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203</v>
      </c>
      <c r="C1105">
        <v>120</v>
      </c>
      <c r="D1105" t="s">
        <v>317</v>
      </c>
      <c r="E1105" t="s">
        <v>12</v>
      </c>
      <c r="F1105">
        <v>0.28499999999999998</v>
      </c>
      <c r="G1105" t="s">
        <v>13</v>
      </c>
    </row>
    <row r="1106" spans="1:7" x14ac:dyDescent="0.25">
      <c r="A1106">
        <v>85</v>
      </c>
      <c r="B1106" t="s">
        <v>203</v>
      </c>
      <c r="C1106">
        <v>130</v>
      </c>
      <c r="D1106" t="s">
        <v>204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205</v>
      </c>
      <c r="C1107">
        <v>10</v>
      </c>
      <c r="D1107" t="s">
        <v>320</v>
      </c>
      <c r="E1107" t="s">
        <v>14</v>
      </c>
      <c r="F1107">
        <v>2.3370000000000002</v>
      </c>
      <c r="G1107" t="s">
        <v>13</v>
      </c>
    </row>
    <row r="1108" spans="1:7" x14ac:dyDescent="0.25">
      <c r="A1108">
        <v>86</v>
      </c>
      <c r="B1108" t="s">
        <v>205</v>
      </c>
      <c r="C1108">
        <v>20</v>
      </c>
      <c r="D1108" t="s">
        <v>93</v>
      </c>
      <c r="E1108" t="s">
        <v>14</v>
      </c>
      <c r="F1108">
        <v>150.571</v>
      </c>
      <c r="G1108" t="s">
        <v>13</v>
      </c>
    </row>
    <row r="1109" spans="1:7" x14ac:dyDescent="0.25">
      <c r="A1109">
        <v>86</v>
      </c>
      <c r="B1109" t="s">
        <v>205</v>
      </c>
      <c r="C1109">
        <v>30</v>
      </c>
      <c r="D1109" t="s">
        <v>16</v>
      </c>
      <c r="E1109" t="s">
        <v>14</v>
      </c>
      <c r="F1109">
        <v>40.537999999999997</v>
      </c>
      <c r="G1109" t="s">
        <v>13</v>
      </c>
    </row>
    <row r="1110" spans="1:7" x14ac:dyDescent="0.25">
      <c r="A1110">
        <v>86</v>
      </c>
      <c r="B1110" t="s">
        <v>205</v>
      </c>
      <c r="C1110">
        <v>40</v>
      </c>
      <c r="D1110" t="s">
        <v>318</v>
      </c>
      <c r="E1110" t="s">
        <v>11</v>
      </c>
      <c r="F1110">
        <v>1</v>
      </c>
      <c r="G1110" t="s">
        <v>13</v>
      </c>
    </row>
    <row r="1111" spans="1:7" x14ac:dyDescent="0.25">
      <c r="A1111">
        <v>86</v>
      </c>
      <c r="B1111" t="s">
        <v>205</v>
      </c>
      <c r="C1111">
        <v>50</v>
      </c>
      <c r="D1111" t="s">
        <v>102</v>
      </c>
      <c r="E1111" t="s">
        <v>11</v>
      </c>
      <c r="F1111">
        <v>1</v>
      </c>
      <c r="G1111" t="s">
        <v>13</v>
      </c>
    </row>
    <row r="1112" spans="1:7" x14ac:dyDescent="0.25">
      <c r="A1112">
        <v>86</v>
      </c>
      <c r="B1112" t="s">
        <v>205</v>
      </c>
      <c r="C1112">
        <v>60</v>
      </c>
      <c r="D1112" t="s">
        <v>315</v>
      </c>
      <c r="E1112" t="s">
        <v>14</v>
      </c>
      <c r="F1112">
        <v>5.9939999999999998</v>
      </c>
      <c r="G1112" t="s">
        <v>13</v>
      </c>
    </row>
    <row r="1113" spans="1:7" x14ac:dyDescent="0.25">
      <c r="A1113">
        <v>86</v>
      </c>
      <c r="B1113" t="s">
        <v>205</v>
      </c>
      <c r="C1113">
        <v>70</v>
      </c>
      <c r="D1113" t="s">
        <v>316</v>
      </c>
      <c r="E1113" t="s">
        <v>14</v>
      </c>
      <c r="F1113">
        <v>36.866</v>
      </c>
      <c r="G1113" t="s">
        <v>13</v>
      </c>
    </row>
    <row r="1114" spans="1:7" x14ac:dyDescent="0.25">
      <c r="A1114">
        <v>86</v>
      </c>
      <c r="B1114" t="s">
        <v>205</v>
      </c>
      <c r="C1114">
        <v>80</v>
      </c>
      <c r="D1114" t="s">
        <v>103</v>
      </c>
      <c r="E1114" t="s">
        <v>11</v>
      </c>
      <c r="F1114">
        <v>1</v>
      </c>
      <c r="G1114" t="s">
        <v>13</v>
      </c>
    </row>
    <row r="1115" spans="1:7" x14ac:dyDescent="0.25">
      <c r="A1115">
        <v>86</v>
      </c>
      <c r="B1115" t="s">
        <v>205</v>
      </c>
      <c r="C1115">
        <v>90</v>
      </c>
      <c r="D1115" t="s">
        <v>319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205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205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205</v>
      </c>
      <c r="C1118">
        <v>120</v>
      </c>
      <c r="D1118" t="s">
        <v>317</v>
      </c>
      <c r="E1118" t="s">
        <v>12</v>
      </c>
      <c r="F1118">
        <v>0.33</v>
      </c>
      <c r="G1118" t="s">
        <v>13</v>
      </c>
    </row>
    <row r="1119" spans="1:7" x14ac:dyDescent="0.25">
      <c r="A1119">
        <v>86</v>
      </c>
      <c r="B1119" t="s">
        <v>205</v>
      </c>
      <c r="C1119">
        <v>130</v>
      </c>
      <c r="D1119" t="s">
        <v>206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207</v>
      </c>
      <c r="C1120">
        <v>10</v>
      </c>
      <c r="D1120" t="s">
        <v>320</v>
      </c>
      <c r="E1120" t="s">
        <v>14</v>
      </c>
      <c r="F1120">
        <v>2.3370000000000002</v>
      </c>
      <c r="G1120" t="s">
        <v>13</v>
      </c>
    </row>
    <row r="1121" spans="1:7" x14ac:dyDescent="0.25">
      <c r="A1121">
        <v>87</v>
      </c>
      <c r="B1121" t="s">
        <v>207</v>
      </c>
      <c r="C1121">
        <v>20</v>
      </c>
      <c r="D1121" t="s">
        <v>93</v>
      </c>
      <c r="E1121" t="s">
        <v>14</v>
      </c>
      <c r="F1121">
        <v>158.49600000000001</v>
      </c>
      <c r="G1121" t="s">
        <v>13</v>
      </c>
    </row>
    <row r="1122" spans="1:7" x14ac:dyDescent="0.25">
      <c r="A1122">
        <v>87</v>
      </c>
      <c r="B1122" t="s">
        <v>207</v>
      </c>
      <c r="C1122">
        <v>30</v>
      </c>
      <c r="D1122" t="s">
        <v>16</v>
      </c>
      <c r="E1122" t="s">
        <v>14</v>
      </c>
      <c r="F1122">
        <v>42.671999999999997</v>
      </c>
      <c r="G1122" t="s">
        <v>13</v>
      </c>
    </row>
    <row r="1123" spans="1:7" x14ac:dyDescent="0.25">
      <c r="A1123">
        <v>87</v>
      </c>
      <c r="B1123" t="s">
        <v>207</v>
      </c>
      <c r="C1123">
        <v>40</v>
      </c>
      <c r="D1123" t="s">
        <v>318</v>
      </c>
      <c r="E1123" t="s">
        <v>11</v>
      </c>
      <c r="F1123">
        <v>1</v>
      </c>
      <c r="G1123" t="s">
        <v>13</v>
      </c>
    </row>
    <row r="1124" spans="1:7" x14ac:dyDescent="0.25">
      <c r="A1124">
        <v>87</v>
      </c>
      <c r="B1124" t="s">
        <v>207</v>
      </c>
      <c r="C1124">
        <v>50</v>
      </c>
      <c r="D1124" t="s">
        <v>102</v>
      </c>
      <c r="E1124" t="s">
        <v>11</v>
      </c>
      <c r="F1124">
        <v>1</v>
      </c>
      <c r="G1124" t="s">
        <v>13</v>
      </c>
    </row>
    <row r="1125" spans="1:7" x14ac:dyDescent="0.25">
      <c r="A1125">
        <v>87</v>
      </c>
      <c r="B1125" t="s">
        <v>207</v>
      </c>
      <c r="C1125">
        <v>60</v>
      </c>
      <c r="D1125" t="s">
        <v>315</v>
      </c>
      <c r="E1125" t="s">
        <v>14</v>
      </c>
      <c r="F1125">
        <v>6.2990000000000004</v>
      </c>
      <c r="G1125" t="s">
        <v>13</v>
      </c>
    </row>
    <row r="1126" spans="1:7" x14ac:dyDescent="0.25">
      <c r="A1126">
        <v>87</v>
      </c>
      <c r="B1126" t="s">
        <v>207</v>
      </c>
      <c r="C1126">
        <v>70</v>
      </c>
      <c r="D1126" t="s">
        <v>316</v>
      </c>
      <c r="E1126" t="s">
        <v>14</v>
      </c>
      <c r="F1126">
        <v>38.74</v>
      </c>
      <c r="G1126" t="s">
        <v>13</v>
      </c>
    </row>
    <row r="1127" spans="1:7" x14ac:dyDescent="0.25">
      <c r="A1127">
        <v>87</v>
      </c>
      <c r="B1127" t="s">
        <v>207</v>
      </c>
      <c r="C1127">
        <v>80</v>
      </c>
      <c r="D1127" t="s">
        <v>103</v>
      </c>
      <c r="E1127" t="s">
        <v>11</v>
      </c>
      <c r="F1127">
        <v>1</v>
      </c>
      <c r="G1127" t="s">
        <v>13</v>
      </c>
    </row>
    <row r="1128" spans="1:7" x14ac:dyDescent="0.25">
      <c r="A1128">
        <v>87</v>
      </c>
      <c r="B1128" t="s">
        <v>207</v>
      </c>
      <c r="C1128">
        <v>90</v>
      </c>
      <c r="D1128" t="s">
        <v>319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207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207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207</v>
      </c>
      <c r="C1131">
        <v>120</v>
      </c>
      <c r="D1131" t="s">
        <v>317</v>
      </c>
      <c r="E1131" t="s">
        <v>12</v>
      </c>
      <c r="F1131">
        <v>0.375</v>
      </c>
      <c r="G1131" t="s">
        <v>13</v>
      </c>
    </row>
    <row r="1132" spans="1:7" x14ac:dyDescent="0.25">
      <c r="A1132">
        <v>87</v>
      </c>
      <c r="B1132" t="s">
        <v>207</v>
      </c>
      <c r="C1132">
        <v>130</v>
      </c>
      <c r="D1132" t="s">
        <v>208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209</v>
      </c>
      <c r="C1133">
        <v>10</v>
      </c>
      <c r="D1133" t="s">
        <v>320</v>
      </c>
      <c r="E1133" t="s">
        <v>14</v>
      </c>
      <c r="F1133">
        <v>2.3370000000000002</v>
      </c>
      <c r="G1133" t="s">
        <v>13</v>
      </c>
    </row>
    <row r="1134" spans="1:7" x14ac:dyDescent="0.25">
      <c r="A1134">
        <v>88</v>
      </c>
      <c r="B1134" t="s">
        <v>209</v>
      </c>
      <c r="C1134">
        <v>20</v>
      </c>
      <c r="D1134" t="s">
        <v>93</v>
      </c>
      <c r="E1134" t="s">
        <v>14</v>
      </c>
      <c r="F1134">
        <v>166.42099999999999</v>
      </c>
      <c r="G1134" t="s">
        <v>13</v>
      </c>
    </row>
    <row r="1135" spans="1:7" x14ac:dyDescent="0.25">
      <c r="A1135">
        <v>88</v>
      </c>
      <c r="B1135" t="s">
        <v>209</v>
      </c>
      <c r="C1135">
        <v>30</v>
      </c>
      <c r="D1135" t="s">
        <v>16</v>
      </c>
      <c r="E1135" t="s">
        <v>14</v>
      </c>
      <c r="F1135">
        <v>44.805999999999997</v>
      </c>
      <c r="G1135" t="s">
        <v>13</v>
      </c>
    </row>
    <row r="1136" spans="1:7" x14ac:dyDescent="0.25">
      <c r="A1136">
        <v>88</v>
      </c>
      <c r="B1136" t="s">
        <v>209</v>
      </c>
      <c r="C1136">
        <v>40</v>
      </c>
      <c r="D1136" t="s">
        <v>318</v>
      </c>
      <c r="E1136" t="s">
        <v>11</v>
      </c>
      <c r="F1136">
        <v>1</v>
      </c>
      <c r="G1136" t="s">
        <v>13</v>
      </c>
    </row>
    <row r="1137" spans="1:7" x14ac:dyDescent="0.25">
      <c r="A1137">
        <v>88</v>
      </c>
      <c r="B1137" t="s">
        <v>209</v>
      </c>
      <c r="C1137">
        <v>50</v>
      </c>
      <c r="D1137" t="s">
        <v>102</v>
      </c>
      <c r="E1137" t="s">
        <v>11</v>
      </c>
      <c r="F1137">
        <v>1</v>
      </c>
      <c r="G1137" t="s">
        <v>13</v>
      </c>
    </row>
    <row r="1138" spans="1:7" x14ac:dyDescent="0.25">
      <c r="A1138">
        <v>88</v>
      </c>
      <c r="B1138" t="s">
        <v>209</v>
      </c>
      <c r="C1138">
        <v>60</v>
      </c>
      <c r="D1138" t="s">
        <v>315</v>
      </c>
      <c r="E1138" t="s">
        <v>14</v>
      </c>
      <c r="F1138">
        <v>6.6040000000000001</v>
      </c>
      <c r="G1138" t="s">
        <v>13</v>
      </c>
    </row>
    <row r="1139" spans="1:7" x14ac:dyDescent="0.25">
      <c r="A1139">
        <v>88</v>
      </c>
      <c r="B1139" t="s">
        <v>209</v>
      </c>
      <c r="C1139">
        <v>70</v>
      </c>
      <c r="D1139" t="s">
        <v>316</v>
      </c>
      <c r="E1139" t="s">
        <v>14</v>
      </c>
      <c r="F1139">
        <v>40.615000000000002</v>
      </c>
      <c r="G1139" t="s">
        <v>13</v>
      </c>
    </row>
    <row r="1140" spans="1:7" x14ac:dyDescent="0.25">
      <c r="A1140">
        <v>88</v>
      </c>
      <c r="B1140" t="s">
        <v>209</v>
      </c>
      <c r="C1140">
        <v>80</v>
      </c>
      <c r="D1140" t="s">
        <v>103</v>
      </c>
      <c r="E1140" t="s">
        <v>11</v>
      </c>
      <c r="F1140">
        <v>1</v>
      </c>
      <c r="G1140" t="s">
        <v>13</v>
      </c>
    </row>
    <row r="1141" spans="1:7" x14ac:dyDescent="0.25">
      <c r="A1141">
        <v>88</v>
      </c>
      <c r="B1141" t="s">
        <v>209</v>
      </c>
      <c r="C1141">
        <v>90</v>
      </c>
      <c r="D1141" t="s">
        <v>319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209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209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209</v>
      </c>
      <c r="C1144">
        <v>120</v>
      </c>
      <c r="D1144" t="s">
        <v>317</v>
      </c>
      <c r="E1144" t="s">
        <v>12</v>
      </c>
      <c r="F1144">
        <v>0.42</v>
      </c>
      <c r="G1144" t="s">
        <v>13</v>
      </c>
    </row>
    <row r="1145" spans="1:7" x14ac:dyDescent="0.25">
      <c r="A1145">
        <v>88</v>
      </c>
      <c r="B1145" t="s">
        <v>209</v>
      </c>
      <c r="C1145">
        <v>130</v>
      </c>
      <c r="D1145" t="s">
        <v>210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211</v>
      </c>
      <c r="C1146">
        <v>10</v>
      </c>
      <c r="D1146" t="s">
        <v>320</v>
      </c>
      <c r="E1146" t="s">
        <v>14</v>
      </c>
      <c r="F1146">
        <v>2.3370000000000002</v>
      </c>
      <c r="G1146" t="s">
        <v>13</v>
      </c>
    </row>
    <row r="1147" spans="1:7" x14ac:dyDescent="0.25">
      <c r="A1147">
        <v>89</v>
      </c>
      <c r="B1147" t="s">
        <v>211</v>
      </c>
      <c r="C1147">
        <v>20</v>
      </c>
      <c r="D1147" t="s">
        <v>93</v>
      </c>
      <c r="E1147" t="s">
        <v>14</v>
      </c>
      <c r="F1147">
        <v>182.27</v>
      </c>
      <c r="G1147" t="s">
        <v>13</v>
      </c>
    </row>
    <row r="1148" spans="1:7" x14ac:dyDescent="0.25">
      <c r="A1148">
        <v>89</v>
      </c>
      <c r="B1148" t="s">
        <v>211</v>
      </c>
      <c r="C1148">
        <v>30</v>
      </c>
      <c r="D1148" t="s">
        <v>16</v>
      </c>
      <c r="E1148" t="s">
        <v>14</v>
      </c>
      <c r="F1148">
        <v>49.073</v>
      </c>
      <c r="G1148" t="s">
        <v>13</v>
      </c>
    </row>
    <row r="1149" spans="1:7" x14ac:dyDescent="0.25">
      <c r="A1149">
        <v>89</v>
      </c>
      <c r="B1149" t="s">
        <v>211</v>
      </c>
      <c r="C1149">
        <v>40</v>
      </c>
      <c r="D1149" t="s">
        <v>318</v>
      </c>
      <c r="E1149" t="s">
        <v>11</v>
      </c>
      <c r="F1149">
        <v>1</v>
      </c>
      <c r="G1149" t="s">
        <v>13</v>
      </c>
    </row>
    <row r="1150" spans="1:7" x14ac:dyDescent="0.25">
      <c r="A1150">
        <v>89</v>
      </c>
      <c r="B1150" t="s">
        <v>211</v>
      </c>
      <c r="C1150">
        <v>50</v>
      </c>
      <c r="D1150" t="s">
        <v>102</v>
      </c>
      <c r="E1150" t="s">
        <v>11</v>
      </c>
      <c r="F1150">
        <v>1</v>
      </c>
      <c r="G1150" t="s">
        <v>13</v>
      </c>
    </row>
    <row r="1151" spans="1:7" x14ac:dyDescent="0.25">
      <c r="A1151">
        <v>89</v>
      </c>
      <c r="B1151" t="s">
        <v>211</v>
      </c>
      <c r="C1151">
        <v>60</v>
      </c>
      <c r="D1151" t="s">
        <v>315</v>
      </c>
      <c r="E1151" t="s">
        <v>14</v>
      </c>
      <c r="F1151">
        <v>7.2140000000000004</v>
      </c>
      <c r="G1151" t="s">
        <v>13</v>
      </c>
    </row>
    <row r="1152" spans="1:7" x14ac:dyDescent="0.25">
      <c r="A1152">
        <v>89</v>
      </c>
      <c r="B1152" t="s">
        <v>211</v>
      </c>
      <c r="C1152">
        <v>70</v>
      </c>
      <c r="D1152" t="s">
        <v>316</v>
      </c>
      <c r="E1152" t="s">
        <v>14</v>
      </c>
      <c r="F1152">
        <v>44.363999999999997</v>
      </c>
      <c r="G1152" t="s">
        <v>13</v>
      </c>
    </row>
    <row r="1153" spans="1:7" x14ac:dyDescent="0.25">
      <c r="A1153">
        <v>89</v>
      </c>
      <c r="B1153" t="s">
        <v>211</v>
      </c>
      <c r="C1153">
        <v>80</v>
      </c>
      <c r="D1153" t="s">
        <v>103</v>
      </c>
      <c r="E1153" t="s">
        <v>11</v>
      </c>
      <c r="F1153">
        <v>1</v>
      </c>
      <c r="G1153" t="s">
        <v>13</v>
      </c>
    </row>
    <row r="1154" spans="1:7" x14ac:dyDescent="0.25">
      <c r="A1154">
        <v>89</v>
      </c>
      <c r="B1154" t="s">
        <v>211</v>
      </c>
      <c r="C1154">
        <v>90</v>
      </c>
      <c r="D1154" t="s">
        <v>319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211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211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211</v>
      </c>
      <c r="C1157">
        <v>120</v>
      </c>
      <c r="D1157" t="s">
        <v>317</v>
      </c>
      <c r="E1157" t="s">
        <v>12</v>
      </c>
      <c r="F1157">
        <v>0.51</v>
      </c>
      <c r="G1157" t="s">
        <v>13</v>
      </c>
    </row>
    <row r="1158" spans="1:7" x14ac:dyDescent="0.25">
      <c r="A1158">
        <v>89</v>
      </c>
      <c r="B1158" t="s">
        <v>211</v>
      </c>
      <c r="C1158">
        <v>130</v>
      </c>
      <c r="D1158" t="s">
        <v>212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213</v>
      </c>
      <c r="C1159">
        <v>10</v>
      </c>
      <c r="D1159" t="s">
        <v>320</v>
      </c>
      <c r="E1159" t="s">
        <v>14</v>
      </c>
      <c r="F1159">
        <v>2.3370000000000002</v>
      </c>
      <c r="G1159" t="s">
        <v>13</v>
      </c>
    </row>
    <row r="1160" spans="1:7" x14ac:dyDescent="0.25">
      <c r="A1160">
        <v>90</v>
      </c>
      <c r="B1160" t="s">
        <v>213</v>
      </c>
      <c r="C1160">
        <v>20</v>
      </c>
      <c r="D1160" t="s">
        <v>93</v>
      </c>
      <c r="E1160" t="s">
        <v>14</v>
      </c>
      <c r="F1160">
        <v>190.19499999999999</v>
      </c>
      <c r="G1160" t="s">
        <v>13</v>
      </c>
    </row>
    <row r="1161" spans="1:7" x14ac:dyDescent="0.25">
      <c r="A1161">
        <v>90</v>
      </c>
      <c r="B1161" t="s">
        <v>213</v>
      </c>
      <c r="C1161">
        <v>30</v>
      </c>
      <c r="D1161" t="s">
        <v>16</v>
      </c>
      <c r="E1161" t="s">
        <v>14</v>
      </c>
      <c r="F1161">
        <v>51.206000000000003</v>
      </c>
      <c r="G1161" t="s">
        <v>13</v>
      </c>
    </row>
    <row r="1162" spans="1:7" x14ac:dyDescent="0.25">
      <c r="A1162">
        <v>90</v>
      </c>
      <c r="B1162" t="s">
        <v>213</v>
      </c>
      <c r="C1162">
        <v>40</v>
      </c>
      <c r="D1162" t="s">
        <v>318</v>
      </c>
      <c r="E1162" t="s">
        <v>11</v>
      </c>
      <c r="F1162">
        <v>1</v>
      </c>
      <c r="G1162" t="s">
        <v>13</v>
      </c>
    </row>
    <row r="1163" spans="1:7" x14ac:dyDescent="0.25">
      <c r="A1163">
        <v>90</v>
      </c>
      <c r="B1163" t="s">
        <v>213</v>
      </c>
      <c r="C1163">
        <v>50</v>
      </c>
      <c r="D1163" t="s">
        <v>102</v>
      </c>
      <c r="E1163" t="s">
        <v>11</v>
      </c>
      <c r="F1163">
        <v>1</v>
      </c>
      <c r="G1163" t="s">
        <v>13</v>
      </c>
    </row>
    <row r="1164" spans="1:7" x14ac:dyDescent="0.25">
      <c r="A1164">
        <v>90</v>
      </c>
      <c r="B1164" t="s">
        <v>213</v>
      </c>
      <c r="C1164">
        <v>60</v>
      </c>
      <c r="D1164" t="s">
        <v>315</v>
      </c>
      <c r="E1164" t="s">
        <v>14</v>
      </c>
      <c r="F1164">
        <v>7.5179999999999998</v>
      </c>
      <c r="G1164" t="s">
        <v>13</v>
      </c>
    </row>
    <row r="1165" spans="1:7" x14ac:dyDescent="0.25">
      <c r="A1165">
        <v>90</v>
      </c>
      <c r="B1165" t="s">
        <v>213</v>
      </c>
      <c r="C1165">
        <v>70</v>
      </c>
      <c r="D1165" t="s">
        <v>316</v>
      </c>
      <c r="E1165" t="s">
        <v>14</v>
      </c>
      <c r="F1165">
        <v>46.238</v>
      </c>
      <c r="G1165" t="s">
        <v>13</v>
      </c>
    </row>
    <row r="1166" spans="1:7" x14ac:dyDescent="0.25">
      <c r="A1166">
        <v>90</v>
      </c>
      <c r="B1166" t="s">
        <v>213</v>
      </c>
      <c r="C1166">
        <v>80</v>
      </c>
      <c r="D1166" t="s">
        <v>103</v>
      </c>
      <c r="E1166" t="s">
        <v>11</v>
      </c>
      <c r="F1166">
        <v>1</v>
      </c>
      <c r="G1166" t="s">
        <v>13</v>
      </c>
    </row>
    <row r="1167" spans="1:7" x14ac:dyDescent="0.25">
      <c r="A1167">
        <v>90</v>
      </c>
      <c r="B1167" t="s">
        <v>213</v>
      </c>
      <c r="C1167">
        <v>90</v>
      </c>
      <c r="D1167" t="s">
        <v>319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213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213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213</v>
      </c>
      <c r="C1170">
        <v>120</v>
      </c>
      <c r="D1170" t="s">
        <v>317</v>
      </c>
      <c r="E1170" t="s">
        <v>12</v>
      </c>
      <c r="F1170">
        <v>0.55500000000000005</v>
      </c>
      <c r="G1170" t="s">
        <v>13</v>
      </c>
    </row>
    <row r="1171" spans="1:7" x14ac:dyDescent="0.25">
      <c r="A1171">
        <v>90</v>
      </c>
      <c r="B1171" t="s">
        <v>213</v>
      </c>
      <c r="C1171">
        <v>130</v>
      </c>
      <c r="D1171" t="s">
        <v>214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215</v>
      </c>
      <c r="C1172">
        <v>10</v>
      </c>
      <c r="D1172" t="s">
        <v>320</v>
      </c>
      <c r="E1172" t="s">
        <v>14</v>
      </c>
      <c r="F1172">
        <v>2.3370000000000002</v>
      </c>
      <c r="G1172" t="s">
        <v>13</v>
      </c>
    </row>
    <row r="1173" spans="1:7" x14ac:dyDescent="0.25">
      <c r="A1173">
        <v>91</v>
      </c>
      <c r="B1173" t="s">
        <v>215</v>
      </c>
      <c r="C1173">
        <v>20</v>
      </c>
      <c r="D1173" t="s">
        <v>93</v>
      </c>
      <c r="E1173" t="s">
        <v>14</v>
      </c>
      <c r="F1173">
        <v>198.12</v>
      </c>
      <c r="G1173" t="s">
        <v>13</v>
      </c>
    </row>
    <row r="1174" spans="1:7" x14ac:dyDescent="0.25">
      <c r="A1174">
        <v>91</v>
      </c>
      <c r="B1174" t="s">
        <v>215</v>
      </c>
      <c r="C1174">
        <v>30</v>
      </c>
      <c r="D1174" t="s">
        <v>16</v>
      </c>
      <c r="E1174" t="s">
        <v>14</v>
      </c>
      <c r="F1174">
        <v>53.34</v>
      </c>
      <c r="G1174" t="s">
        <v>13</v>
      </c>
    </row>
    <row r="1175" spans="1:7" x14ac:dyDescent="0.25">
      <c r="A1175">
        <v>91</v>
      </c>
      <c r="B1175" t="s">
        <v>215</v>
      </c>
      <c r="C1175">
        <v>40</v>
      </c>
      <c r="D1175" t="s">
        <v>318</v>
      </c>
      <c r="E1175" t="s">
        <v>11</v>
      </c>
      <c r="F1175">
        <v>1</v>
      </c>
      <c r="G1175" t="s">
        <v>13</v>
      </c>
    </row>
    <row r="1176" spans="1:7" x14ac:dyDescent="0.25">
      <c r="A1176">
        <v>91</v>
      </c>
      <c r="B1176" t="s">
        <v>215</v>
      </c>
      <c r="C1176">
        <v>50</v>
      </c>
      <c r="D1176" t="s">
        <v>102</v>
      </c>
      <c r="E1176" t="s">
        <v>11</v>
      </c>
      <c r="F1176">
        <v>1</v>
      </c>
      <c r="G1176" t="s">
        <v>13</v>
      </c>
    </row>
    <row r="1177" spans="1:7" x14ac:dyDescent="0.25">
      <c r="A1177">
        <v>91</v>
      </c>
      <c r="B1177" t="s">
        <v>215</v>
      </c>
      <c r="C1177">
        <v>60</v>
      </c>
      <c r="D1177" t="s">
        <v>315</v>
      </c>
      <c r="E1177" t="s">
        <v>14</v>
      </c>
      <c r="F1177">
        <v>7.8230000000000004</v>
      </c>
      <c r="G1177" t="s">
        <v>13</v>
      </c>
    </row>
    <row r="1178" spans="1:7" x14ac:dyDescent="0.25">
      <c r="A1178">
        <v>91</v>
      </c>
      <c r="B1178" t="s">
        <v>215</v>
      </c>
      <c r="C1178">
        <v>70</v>
      </c>
      <c r="D1178" t="s">
        <v>316</v>
      </c>
      <c r="E1178" t="s">
        <v>14</v>
      </c>
      <c r="F1178">
        <v>48.113</v>
      </c>
      <c r="G1178" t="s">
        <v>13</v>
      </c>
    </row>
    <row r="1179" spans="1:7" x14ac:dyDescent="0.25">
      <c r="A1179">
        <v>91</v>
      </c>
      <c r="B1179" t="s">
        <v>215</v>
      </c>
      <c r="C1179">
        <v>80</v>
      </c>
      <c r="D1179" t="s">
        <v>103</v>
      </c>
      <c r="E1179" t="s">
        <v>11</v>
      </c>
      <c r="F1179">
        <v>1</v>
      </c>
      <c r="G1179" t="s">
        <v>13</v>
      </c>
    </row>
    <row r="1180" spans="1:7" x14ac:dyDescent="0.25">
      <c r="A1180">
        <v>91</v>
      </c>
      <c r="B1180" t="s">
        <v>215</v>
      </c>
      <c r="C1180">
        <v>90</v>
      </c>
      <c r="D1180" t="s">
        <v>319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215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215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215</v>
      </c>
      <c r="C1183">
        <v>120</v>
      </c>
      <c r="D1183" t="s">
        <v>317</v>
      </c>
      <c r="E1183" t="s">
        <v>12</v>
      </c>
      <c r="F1183">
        <v>0.60099999999999998</v>
      </c>
      <c r="G1183" t="s">
        <v>13</v>
      </c>
    </row>
    <row r="1184" spans="1:7" x14ac:dyDescent="0.25">
      <c r="A1184">
        <v>91</v>
      </c>
      <c r="B1184" t="s">
        <v>215</v>
      </c>
      <c r="C1184">
        <v>130</v>
      </c>
      <c r="D1184" t="s">
        <v>216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217</v>
      </c>
      <c r="C1185">
        <v>10</v>
      </c>
      <c r="D1185" t="s">
        <v>320</v>
      </c>
      <c r="E1185" t="s">
        <v>14</v>
      </c>
      <c r="F1185">
        <v>4.3689999999999998</v>
      </c>
      <c r="G1185" t="s">
        <v>13</v>
      </c>
    </row>
    <row r="1186" spans="1:7" x14ac:dyDescent="0.25">
      <c r="A1186">
        <v>92</v>
      </c>
      <c r="B1186" t="s">
        <v>217</v>
      </c>
      <c r="C1186">
        <v>20</v>
      </c>
      <c r="D1186" t="s">
        <v>93</v>
      </c>
      <c r="E1186" t="s">
        <v>14</v>
      </c>
      <c r="F1186">
        <v>145.28800000000001</v>
      </c>
      <c r="G1186" t="s">
        <v>13</v>
      </c>
    </row>
    <row r="1187" spans="1:7" x14ac:dyDescent="0.25">
      <c r="A1187">
        <v>92</v>
      </c>
      <c r="B1187" t="s">
        <v>217</v>
      </c>
      <c r="C1187">
        <v>30</v>
      </c>
      <c r="D1187" t="s">
        <v>16</v>
      </c>
      <c r="E1187" t="s">
        <v>14</v>
      </c>
      <c r="F1187">
        <v>39.116</v>
      </c>
      <c r="G1187" t="s">
        <v>13</v>
      </c>
    </row>
    <row r="1188" spans="1:7" x14ac:dyDescent="0.25">
      <c r="A1188">
        <v>92</v>
      </c>
      <c r="B1188" t="s">
        <v>217</v>
      </c>
      <c r="C1188">
        <v>40</v>
      </c>
      <c r="D1188" t="s">
        <v>318</v>
      </c>
      <c r="E1188" t="s">
        <v>11</v>
      </c>
      <c r="F1188">
        <v>1</v>
      </c>
      <c r="G1188" t="s">
        <v>13</v>
      </c>
    </row>
    <row r="1189" spans="1:7" x14ac:dyDescent="0.25">
      <c r="A1189">
        <v>92</v>
      </c>
      <c r="B1189" t="s">
        <v>217</v>
      </c>
      <c r="C1189">
        <v>50</v>
      </c>
      <c r="D1189" t="s">
        <v>102</v>
      </c>
      <c r="E1189" t="s">
        <v>11</v>
      </c>
      <c r="F1189">
        <v>1</v>
      </c>
      <c r="G1189" t="s">
        <v>13</v>
      </c>
    </row>
    <row r="1190" spans="1:7" x14ac:dyDescent="0.25">
      <c r="A1190">
        <v>92</v>
      </c>
      <c r="B1190" t="s">
        <v>217</v>
      </c>
      <c r="C1190">
        <v>60</v>
      </c>
      <c r="D1190" t="s">
        <v>315</v>
      </c>
      <c r="E1190" t="s">
        <v>14</v>
      </c>
      <c r="F1190">
        <v>5.7910000000000004</v>
      </c>
      <c r="G1190" t="s">
        <v>13</v>
      </c>
    </row>
    <row r="1191" spans="1:7" x14ac:dyDescent="0.25">
      <c r="A1191">
        <v>92</v>
      </c>
      <c r="B1191" t="s">
        <v>217</v>
      </c>
      <c r="C1191">
        <v>70</v>
      </c>
      <c r="D1191" t="s">
        <v>316</v>
      </c>
      <c r="E1191" t="s">
        <v>14</v>
      </c>
      <c r="F1191">
        <v>35.616</v>
      </c>
      <c r="G1191" t="s">
        <v>13</v>
      </c>
    </row>
    <row r="1192" spans="1:7" x14ac:dyDescent="0.25">
      <c r="A1192">
        <v>92</v>
      </c>
      <c r="B1192" t="s">
        <v>217</v>
      </c>
      <c r="C1192">
        <v>80</v>
      </c>
      <c r="D1192" t="s">
        <v>103</v>
      </c>
      <c r="E1192" t="s">
        <v>11</v>
      </c>
      <c r="F1192">
        <v>1</v>
      </c>
      <c r="G1192" t="s">
        <v>13</v>
      </c>
    </row>
    <row r="1193" spans="1:7" x14ac:dyDescent="0.25">
      <c r="A1193">
        <v>92</v>
      </c>
      <c r="B1193" t="s">
        <v>217</v>
      </c>
      <c r="C1193">
        <v>90</v>
      </c>
      <c r="D1193" t="s">
        <v>319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217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217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217</v>
      </c>
      <c r="C1196">
        <v>120</v>
      </c>
      <c r="D1196" t="s">
        <v>317</v>
      </c>
      <c r="E1196" t="s">
        <v>12</v>
      </c>
      <c r="F1196">
        <v>0.66100000000000003</v>
      </c>
      <c r="G1196" t="s">
        <v>13</v>
      </c>
    </row>
    <row r="1197" spans="1:7" x14ac:dyDescent="0.25">
      <c r="A1197">
        <v>92</v>
      </c>
      <c r="B1197" t="s">
        <v>217</v>
      </c>
      <c r="C1197">
        <v>130</v>
      </c>
      <c r="D1197" t="s">
        <v>218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219</v>
      </c>
      <c r="C1198">
        <v>10</v>
      </c>
      <c r="D1198" t="s">
        <v>320</v>
      </c>
      <c r="E1198" t="s">
        <v>14</v>
      </c>
      <c r="F1198">
        <v>4.3689999999999998</v>
      </c>
      <c r="G1198" t="s">
        <v>13</v>
      </c>
    </row>
    <row r="1199" spans="1:7" x14ac:dyDescent="0.25">
      <c r="A1199">
        <v>93</v>
      </c>
      <c r="B1199" t="s">
        <v>219</v>
      </c>
      <c r="C1199">
        <v>20</v>
      </c>
      <c r="D1199" t="s">
        <v>93</v>
      </c>
      <c r="E1199" t="s">
        <v>14</v>
      </c>
      <c r="F1199">
        <v>153.21299999999999</v>
      </c>
      <c r="G1199" t="s">
        <v>13</v>
      </c>
    </row>
    <row r="1200" spans="1:7" x14ac:dyDescent="0.25">
      <c r="A1200">
        <v>93</v>
      </c>
      <c r="B1200" t="s">
        <v>219</v>
      </c>
      <c r="C1200">
        <v>30</v>
      </c>
      <c r="D1200" t="s">
        <v>16</v>
      </c>
      <c r="E1200" t="s">
        <v>14</v>
      </c>
      <c r="F1200">
        <v>41.25</v>
      </c>
      <c r="G1200" t="s">
        <v>13</v>
      </c>
    </row>
    <row r="1201" spans="1:7" x14ac:dyDescent="0.25">
      <c r="A1201">
        <v>93</v>
      </c>
      <c r="B1201" t="s">
        <v>219</v>
      </c>
      <c r="C1201">
        <v>40</v>
      </c>
      <c r="D1201" t="s">
        <v>318</v>
      </c>
      <c r="E1201" t="s">
        <v>11</v>
      </c>
      <c r="F1201">
        <v>1</v>
      </c>
      <c r="G1201" t="s">
        <v>13</v>
      </c>
    </row>
    <row r="1202" spans="1:7" x14ac:dyDescent="0.25">
      <c r="A1202">
        <v>93</v>
      </c>
      <c r="B1202" t="s">
        <v>219</v>
      </c>
      <c r="C1202">
        <v>50</v>
      </c>
      <c r="D1202" t="s">
        <v>102</v>
      </c>
      <c r="E1202" t="s">
        <v>11</v>
      </c>
      <c r="F1202">
        <v>1</v>
      </c>
      <c r="G1202" t="s">
        <v>13</v>
      </c>
    </row>
    <row r="1203" spans="1:7" x14ac:dyDescent="0.25">
      <c r="A1203">
        <v>93</v>
      </c>
      <c r="B1203" t="s">
        <v>219</v>
      </c>
      <c r="C1203">
        <v>60</v>
      </c>
      <c r="D1203" t="s">
        <v>315</v>
      </c>
      <c r="E1203" t="s">
        <v>14</v>
      </c>
      <c r="F1203">
        <v>6.0960000000000001</v>
      </c>
      <c r="G1203" t="s">
        <v>13</v>
      </c>
    </row>
    <row r="1204" spans="1:7" x14ac:dyDescent="0.25">
      <c r="A1204">
        <v>93</v>
      </c>
      <c r="B1204" t="s">
        <v>219</v>
      </c>
      <c r="C1204">
        <v>70</v>
      </c>
      <c r="D1204" t="s">
        <v>316</v>
      </c>
      <c r="E1204" t="s">
        <v>14</v>
      </c>
      <c r="F1204">
        <v>37.49</v>
      </c>
      <c r="G1204" t="s">
        <v>13</v>
      </c>
    </row>
    <row r="1205" spans="1:7" x14ac:dyDescent="0.25">
      <c r="A1205">
        <v>93</v>
      </c>
      <c r="B1205" t="s">
        <v>219</v>
      </c>
      <c r="C1205">
        <v>80</v>
      </c>
      <c r="D1205" t="s">
        <v>103</v>
      </c>
      <c r="E1205" t="s">
        <v>11</v>
      </c>
      <c r="F1205">
        <v>1</v>
      </c>
      <c r="G1205" t="s">
        <v>13</v>
      </c>
    </row>
    <row r="1206" spans="1:7" x14ac:dyDescent="0.25">
      <c r="A1206">
        <v>93</v>
      </c>
      <c r="B1206" t="s">
        <v>219</v>
      </c>
      <c r="C1206">
        <v>90</v>
      </c>
      <c r="D1206" t="s">
        <v>319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219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219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219</v>
      </c>
      <c r="C1209">
        <v>120</v>
      </c>
      <c r="D1209" t="s">
        <v>317</v>
      </c>
      <c r="E1209" t="s">
        <v>12</v>
      </c>
      <c r="F1209">
        <v>0.66100000000000003</v>
      </c>
      <c r="G1209" t="s">
        <v>13</v>
      </c>
    </row>
    <row r="1210" spans="1:7" x14ac:dyDescent="0.25">
      <c r="A1210">
        <v>93</v>
      </c>
      <c r="B1210" t="s">
        <v>219</v>
      </c>
      <c r="C1210">
        <v>130</v>
      </c>
      <c r="D1210" t="s">
        <v>220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221</v>
      </c>
      <c r="C1211">
        <v>10</v>
      </c>
      <c r="D1211" t="s">
        <v>320</v>
      </c>
      <c r="E1211" t="s">
        <v>14</v>
      </c>
      <c r="F1211">
        <v>4.3689999999999998</v>
      </c>
      <c r="G1211" t="s">
        <v>13</v>
      </c>
    </row>
    <row r="1212" spans="1:7" x14ac:dyDescent="0.25">
      <c r="A1212">
        <v>94</v>
      </c>
      <c r="B1212" t="s">
        <v>221</v>
      </c>
      <c r="C1212">
        <v>20</v>
      </c>
      <c r="D1212" t="s">
        <v>93</v>
      </c>
      <c r="E1212" t="s">
        <v>14</v>
      </c>
      <c r="F1212">
        <v>161.13800000000001</v>
      </c>
      <c r="G1212" t="s">
        <v>13</v>
      </c>
    </row>
    <row r="1213" spans="1:7" x14ac:dyDescent="0.25">
      <c r="A1213">
        <v>94</v>
      </c>
      <c r="B1213" t="s">
        <v>221</v>
      </c>
      <c r="C1213">
        <v>30</v>
      </c>
      <c r="D1213" t="s">
        <v>16</v>
      </c>
      <c r="E1213" t="s">
        <v>14</v>
      </c>
      <c r="F1213">
        <v>43.383000000000003</v>
      </c>
      <c r="G1213" t="s">
        <v>13</v>
      </c>
    </row>
    <row r="1214" spans="1:7" x14ac:dyDescent="0.25">
      <c r="A1214">
        <v>94</v>
      </c>
      <c r="B1214" t="s">
        <v>221</v>
      </c>
      <c r="C1214">
        <v>40</v>
      </c>
      <c r="D1214" t="s">
        <v>318</v>
      </c>
      <c r="E1214" t="s">
        <v>11</v>
      </c>
      <c r="F1214">
        <v>1</v>
      </c>
      <c r="G1214" t="s">
        <v>13</v>
      </c>
    </row>
    <row r="1215" spans="1:7" x14ac:dyDescent="0.25">
      <c r="A1215">
        <v>94</v>
      </c>
      <c r="B1215" t="s">
        <v>221</v>
      </c>
      <c r="C1215">
        <v>50</v>
      </c>
      <c r="D1215" t="s">
        <v>102</v>
      </c>
      <c r="E1215" t="s">
        <v>11</v>
      </c>
      <c r="F1215">
        <v>1</v>
      </c>
      <c r="G1215" t="s">
        <v>13</v>
      </c>
    </row>
    <row r="1216" spans="1:7" x14ac:dyDescent="0.25">
      <c r="A1216">
        <v>94</v>
      </c>
      <c r="B1216" t="s">
        <v>221</v>
      </c>
      <c r="C1216">
        <v>60</v>
      </c>
      <c r="D1216" t="s">
        <v>315</v>
      </c>
      <c r="E1216" t="s">
        <v>14</v>
      </c>
      <c r="F1216">
        <v>6.4009999999999998</v>
      </c>
      <c r="G1216" t="s">
        <v>13</v>
      </c>
    </row>
    <row r="1217" spans="1:7" x14ac:dyDescent="0.25">
      <c r="A1217">
        <v>94</v>
      </c>
      <c r="B1217" t="s">
        <v>221</v>
      </c>
      <c r="C1217">
        <v>70</v>
      </c>
      <c r="D1217" t="s">
        <v>316</v>
      </c>
      <c r="E1217" t="s">
        <v>14</v>
      </c>
      <c r="F1217">
        <v>39.365000000000002</v>
      </c>
      <c r="G1217" t="s">
        <v>13</v>
      </c>
    </row>
    <row r="1218" spans="1:7" x14ac:dyDescent="0.25">
      <c r="A1218">
        <v>94</v>
      </c>
      <c r="B1218" t="s">
        <v>221</v>
      </c>
      <c r="C1218">
        <v>80</v>
      </c>
      <c r="D1218" t="s">
        <v>103</v>
      </c>
      <c r="E1218" t="s">
        <v>11</v>
      </c>
      <c r="F1218">
        <v>1</v>
      </c>
      <c r="G1218" t="s">
        <v>13</v>
      </c>
    </row>
    <row r="1219" spans="1:7" x14ac:dyDescent="0.25">
      <c r="A1219">
        <v>94</v>
      </c>
      <c r="B1219" t="s">
        <v>221</v>
      </c>
      <c r="C1219">
        <v>90</v>
      </c>
      <c r="D1219" t="s">
        <v>319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221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221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221</v>
      </c>
      <c r="C1222">
        <v>120</v>
      </c>
      <c r="D1222" t="s">
        <v>317</v>
      </c>
      <c r="E1222" t="s">
        <v>12</v>
      </c>
      <c r="F1222">
        <v>0.66100000000000003</v>
      </c>
      <c r="G1222" t="s">
        <v>13</v>
      </c>
    </row>
    <row r="1223" spans="1:7" x14ac:dyDescent="0.25">
      <c r="A1223">
        <v>94</v>
      </c>
      <c r="B1223" t="s">
        <v>221</v>
      </c>
      <c r="C1223">
        <v>130</v>
      </c>
      <c r="D1223" t="s">
        <v>222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223</v>
      </c>
      <c r="C1224">
        <v>10</v>
      </c>
      <c r="D1224" t="s">
        <v>320</v>
      </c>
      <c r="E1224" t="s">
        <v>14</v>
      </c>
      <c r="F1224">
        <v>4.3689999999999998</v>
      </c>
      <c r="G1224" t="s">
        <v>13</v>
      </c>
    </row>
    <row r="1225" spans="1:7" x14ac:dyDescent="0.25">
      <c r="A1225">
        <v>95</v>
      </c>
      <c r="B1225" t="s">
        <v>223</v>
      </c>
      <c r="C1225">
        <v>20</v>
      </c>
      <c r="D1225" t="s">
        <v>93</v>
      </c>
      <c r="E1225" t="s">
        <v>14</v>
      </c>
      <c r="F1225">
        <v>169.06200000000001</v>
      </c>
      <c r="G1225" t="s">
        <v>13</v>
      </c>
    </row>
    <row r="1226" spans="1:7" x14ac:dyDescent="0.25">
      <c r="A1226">
        <v>95</v>
      </c>
      <c r="B1226" t="s">
        <v>223</v>
      </c>
      <c r="C1226">
        <v>30</v>
      </c>
      <c r="D1226" t="s">
        <v>16</v>
      </c>
      <c r="E1226" t="s">
        <v>14</v>
      </c>
      <c r="F1226">
        <v>45.517000000000003</v>
      </c>
      <c r="G1226" t="s">
        <v>13</v>
      </c>
    </row>
    <row r="1227" spans="1:7" x14ac:dyDescent="0.25">
      <c r="A1227">
        <v>95</v>
      </c>
      <c r="B1227" t="s">
        <v>223</v>
      </c>
      <c r="C1227">
        <v>40</v>
      </c>
      <c r="D1227" t="s">
        <v>318</v>
      </c>
      <c r="E1227" t="s">
        <v>11</v>
      </c>
      <c r="F1227">
        <v>1</v>
      </c>
      <c r="G1227" t="s">
        <v>13</v>
      </c>
    </row>
    <row r="1228" spans="1:7" x14ac:dyDescent="0.25">
      <c r="A1228">
        <v>95</v>
      </c>
      <c r="B1228" t="s">
        <v>223</v>
      </c>
      <c r="C1228">
        <v>50</v>
      </c>
      <c r="D1228" t="s">
        <v>102</v>
      </c>
      <c r="E1228" t="s">
        <v>11</v>
      </c>
      <c r="F1228">
        <v>1</v>
      </c>
      <c r="G1228" t="s">
        <v>13</v>
      </c>
    </row>
    <row r="1229" spans="1:7" x14ac:dyDescent="0.25">
      <c r="A1229">
        <v>95</v>
      </c>
      <c r="B1229" t="s">
        <v>223</v>
      </c>
      <c r="C1229">
        <v>60</v>
      </c>
      <c r="D1229" t="s">
        <v>315</v>
      </c>
      <c r="E1229" t="s">
        <v>14</v>
      </c>
      <c r="F1229">
        <v>6.7060000000000004</v>
      </c>
      <c r="G1229" t="s">
        <v>13</v>
      </c>
    </row>
    <row r="1230" spans="1:7" x14ac:dyDescent="0.25">
      <c r="A1230">
        <v>95</v>
      </c>
      <c r="B1230" t="s">
        <v>223</v>
      </c>
      <c r="C1230">
        <v>70</v>
      </c>
      <c r="D1230" t="s">
        <v>316</v>
      </c>
      <c r="E1230" t="s">
        <v>14</v>
      </c>
      <c r="F1230">
        <v>41.238999999999997</v>
      </c>
      <c r="G1230" t="s">
        <v>13</v>
      </c>
    </row>
    <row r="1231" spans="1:7" x14ac:dyDescent="0.25">
      <c r="A1231">
        <v>95</v>
      </c>
      <c r="B1231" t="s">
        <v>223</v>
      </c>
      <c r="C1231">
        <v>80</v>
      </c>
      <c r="D1231" t="s">
        <v>103</v>
      </c>
      <c r="E1231" t="s">
        <v>11</v>
      </c>
      <c r="F1231">
        <v>1</v>
      </c>
      <c r="G1231" t="s">
        <v>13</v>
      </c>
    </row>
    <row r="1232" spans="1:7" x14ac:dyDescent="0.25">
      <c r="A1232">
        <v>95</v>
      </c>
      <c r="B1232" t="s">
        <v>223</v>
      </c>
      <c r="C1232">
        <v>90</v>
      </c>
      <c r="D1232" t="s">
        <v>319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223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223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223</v>
      </c>
      <c r="C1235">
        <v>120</v>
      </c>
      <c r="D1235" t="s">
        <v>317</v>
      </c>
      <c r="E1235" t="s">
        <v>12</v>
      </c>
      <c r="F1235">
        <v>0.66100000000000003</v>
      </c>
      <c r="G1235" t="s">
        <v>13</v>
      </c>
    </row>
    <row r="1236" spans="1:7" x14ac:dyDescent="0.25">
      <c r="A1236">
        <v>95</v>
      </c>
      <c r="B1236" t="s">
        <v>223</v>
      </c>
      <c r="C1236">
        <v>130</v>
      </c>
      <c r="D1236" t="s">
        <v>224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225</v>
      </c>
      <c r="C1237">
        <v>10</v>
      </c>
      <c r="D1237" t="s">
        <v>320</v>
      </c>
      <c r="E1237" t="s">
        <v>14</v>
      </c>
      <c r="F1237">
        <v>4.3689999999999998</v>
      </c>
      <c r="G1237" t="s">
        <v>13</v>
      </c>
    </row>
    <row r="1238" spans="1:7" x14ac:dyDescent="0.25">
      <c r="A1238">
        <v>96</v>
      </c>
      <c r="B1238" t="s">
        <v>225</v>
      </c>
      <c r="C1238">
        <v>20</v>
      </c>
      <c r="D1238" t="s">
        <v>93</v>
      </c>
      <c r="E1238" t="s">
        <v>14</v>
      </c>
      <c r="F1238">
        <v>184.91200000000001</v>
      </c>
      <c r="G1238" t="s">
        <v>13</v>
      </c>
    </row>
    <row r="1239" spans="1:7" x14ac:dyDescent="0.25">
      <c r="A1239">
        <v>96</v>
      </c>
      <c r="B1239" t="s">
        <v>225</v>
      </c>
      <c r="C1239">
        <v>30</v>
      </c>
      <c r="D1239" t="s">
        <v>16</v>
      </c>
      <c r="E1239" t="s">
        <v>14</v>
      </c>
      <c r="F1239">
        <v>49.783999999999999</v>
      </c>
      <c r="G1239" t="s">
        <v>13</v>
      </c>
    </row>
    <row r="1240" spans="1:7" x14ac:dyDescent="0.25">
      <c r="A1240">
        <v>96</v>
      </c>
      <c r="B1240" t="s">
        <v>225</v>
      </c>
      <c r="C1240">
        <v>40</v>
      </c>
      <c r="D1240" t="s">
        <v>318</v>
      </c>
      <c r="E1240" t="s">
        <v>11</v>
      </c>
      <c r="F1240">
        <v>1</v>
      </c>
      <c r="G1240" t="s">
        <v>13</v>
      </c>
    </row>
    <row r="1241" spans="1:7" x14ac:dyDescent="0.25">
      <c r="A1241">
        <v>96</v>
      </c>
      <c r="B1241" t="s">
        <v>225</v>
      </c>
      <c r="C1241">
        <v>50</v>
      </c>
      <c r="D1241" t="s">
        <v>102</v>
      </c>
      <c r="E1241" t="s">
        <v>11</v>
      </c>
      <c r="F1241">
        <v>1</v>
      </c>
      <c r="G1241" t="s">
        <v>13</v>
      </c>
    </row>
    <row r="1242" spans="1:7" x14ac:dyDescent="0.25">
      <c r="A1242">
        <v>96</v>
      </c>
      <c r="B1242" t="s">
        <v>225</v>
      </c>
      <c r="C1242">
        <v>60</v>
      </c>
      <c r="D1242" t="s">
        <v>315</v>
      </c>
      <c r="E1242" t="s">
        <v>14</v>
      </c>
      <c r="F1242">
        <v>7.3150000000000004</v>
      </c>
      <c r="G1242" t="s">
        <v>13</v>
      </c>
    </row>
    <row r="1243" spans="1:7" x14ac:dyDescent="0.25">
      <c r="A1243">
        <v>96</v>
      </c>
      <c r="B1243" t="s">
        <v>225</v>
      </c>
      <c r="C1243">
        <v>70</v>
      </c>
      <c r="D1243" t="s">
        <v>316</v>
      </c>
      <c r="E1243" t="s">
        <v>14</v>
      </c>
      <c r="F1243">
        <v>44.988</v>
      </c>
      <c r="G1243" t="s">
        <v>13</v>
      </c>
    </row>
    <row r="1244" spans="1:7" x14ac:dyDescent="0.25">
      <c r="A1244">
        <v>96</v>
      </c>
      <c r="B1244" t="s">
        <v>225</v>
      </c>
      <c r="C1244">
        <v>80</v>
      </c>
      <c r="D1244" t="s">
        <v>103</v>
      </c>
      <c r="E1244" t="s">
        <v>11</v>
      </c>
      <c r="F1244">
        <v>1</v>
      </c>
      <c r="G1244" t="s">
        <v>13</v>
      </c>
    </row>
    <row r="1245" spans="1:7" x14ac:dyDescent="0.25">
      <c r="A1245">
        <v>96</v>
      </c>
      <c r="B1245" t="s">
        <v>225</v>
      </c>
      <c r="C1245">
        <v>90</v>
      </c>
      <c r="D1245" t="s">
        <v>319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225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225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225</v>
      </c>
      <c r="C1248">
        <v>120</v>
      </c>
      <c r="D1248" t="s">
        <v>317</v>
      </c>
      <c r="E1248" t="s">
        <v>12</v>
      </c>
      <c r="F1248">
        <v>0.66100000000000003</v>
      </c>
      <c r="G1248" t="s">
        <v>13</v>
      </c>
    </row>
    <row r="1249" spans="1:7" x14ac:dyDescent="0.25">
      <c r="A1249">
        <v>96</v>
      </c>
      <c r="B1249" t="s">
        <v>225</v>
      </c>
      <c r="C1249">
        <v>130</v>
      </c>
      <c r="D1249" t="s">
        <v>226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227</v>
      </c>
      <c r="C1250">
        <v>10</v>
      </c>
      <c r="D1250" t="s">
        <v>320</v>
      </c>
      <c r="E1250" t="s">
        <v>14</v>
      </c>
      <c r="F1250">
        <v>4.3689999999999998</v>
      </c>
      <c r="G1250" t="s">
        <v>13</v>
      </c>
    </row>
    <row r="1251" spans="1:7" x14ac:dyDescent="0.25">
      <c r="A1251">
        <v>97</v>
      </c>
      <c r="B1251" t="s">
        <v>227</v>
      </c>
      <c r="C1251">
        <v>20</v>
      </c>
      <c r="D1251" t="s">
        <v>93</v>
      </c>
      <c r="E1251" t="s">
        <v>14</v>
      </c>
      <c r="F1251">
        <v>192.83699999999999</v>
      </c>
      <c r="G1251" t="s">
        <v>13</v>
      </c>
    </row>
    <row r="1252" spans="1:7" x14ac:dyDescent="0.25">
      <c r="A1252">
        <v>97</v>
      </c>
      <c r="B1252" t="s">
        <v>227</v>
      </c>
      <c r="C1252">
        <v>30</v>
      </c>
      <c r="D1252" t="s">
        <v>16</v>
      </c>
      <c r="E1252" t="s">
        <v>14</v>
      </c>
      <c r="F1252">
        <v>51.917999999999999</v>
      </c>
      <c r="G1252" t="s">
        <v>13</v>
      </c>
    </row>
    <row r="1253" spans="1:7" x14ac:dyDescent="0.25">
      <c r="A1253">
        <v>97</v>
      </c>
      <c r="B1253" t="s">
        <v>227</v>
      </c>
      <c r="C1253">
        <v>40</v>
      </c>
      <c r="D1253" t="s">
        <v>318</v>
      </c>
      <c r="E1253" t="s">
        <v>11</v>
      </c>
      <c r="F1253">
        <v>1</v>
      </c>
      <c r="G1253" t="s">
        <v>13</v>
      </c>
    </row>
    <row r="1254" spans="1:7" x14ac:dyDescent="0.25">
      <c r="A1254">
        <v>97</v>
      </c>
      <c r="B1254" t="s">
        <v>227</v>
      </c>
      <c r="C1254">
        <v>50</v>
      </c>
      <c r="D1254" t="s">
        <v>102</v>
      </c>
      <c r="E1254" t="s">
        <v>11</v>
      </c>
      <c r="F1254">
        <v>1</v>
      </c>
      <c r="G1254" t="s">
        <v>13</v>
      </c>
    </row>
    <row r="1255" spans="1:7" x14ac:dyDescent="0.25">
      <c r="A1255">
        <v>97</v>
      </c>
      <c r="B1255" t="s">
        <v>227</v>
      </c>
      <c r="C1255">
        <v>60</v>
      </c>
      <c r="D1255" t="s">
        <v>315</v>
      </c>
      <c r="E1255" t="s">
        <v>14</v>
      </c>
      <c r="F1255">
        <v>7.62</v>
      </c>
      <c r="G1255" t="s">
        <v>13</v>
      </c>
    </row>
    <row r="1256" spans="1:7" x14ac:dyDescent="0.25">
      <c r="A1256">
        <v>97</v>
      </c>
      <c r="B1256" t="s">
        <v>227</v>
      </c>
      <c r="C1256">
        <v>70</v>
      </c>
      <c r="D1256" t="s">
        <v>316</v>
      </c>
      <c r="E1256" t="s">
        <v>14</v>
      </c>
      <c r="F1256">
        <v>46.863</v>
      </c>
      <c r="G1256" t="s">
        <v>13</v>
      </c>
    </row>
    <row r="1257" spans="1:7" x14ac:dyDescent="0.25">
      <c r="A1257">
        <v>97</v>
      </c>
      <c r="B1257" t="s">
        <v>227</v>
      </c>
      <c r="C1257">
        <v>80</v>
      </c>
      <c r="D1257" t="s">
        <v>103</v>
      </c>
      <c r="E1257" t="s">
        <v>11</v>
      </c>
      <c r="F1257">
        <v>1</v>
      </c>
      <c r="G1257" t="s">
        <v>13</v>
      </c>
    </row>
    <row r="1258" spans="1:7" x14ac:dyDescent="0.25">
      <c r="A1258">
        <v>97</v>
      </c>
      <c r="B1258" t="s">
        <v>227</v>
      </c>
      <c r="C1258">
        <v>90</v>
      </c>
      <c r="D1258" t="s">
        <v>319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227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227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227</v>
      </c>
      <c r="C1261">
        <v>120</v>
      </c>
      <c r="D1261" t="s">
        <v>317</v>
      </c>
      <c r="E1261" t="s">
        <v>12</v>
      </c>
      <c r="F1261">
        <v>0.66100000000000003</v>
      </c>
      <c r="G1261" t="s">
        <v>13</v>
      </c>
    </row>
    <row r="1262" spans="1:7" x14ac:dyDescent="0.25">
      <c r="A1262">
        <v>97</v>
      </c>
      <c r="B1262" t="s">
        <v>227</v>
      </c>
      <c r="C1262">
        <v>130</v>
      </c>
      <c r="D1262" t="s">
        <v>228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229</v>
      </c>
      <c r="C1263">
        <v>10</v>
      </c>
      <c r="D1263" t="s">
        <v>320</v>
      </c>
      <c r="E1263" t="s">
        <v>14</v>
      </c>
      <c r="F1263">
        <v>4.3689999999999998</v>
      </c>
      <c r="G1263" t="s">
        <v>13</v>
      </c>
    </row>
    <row r="1264" spans="1:7" x14ac:dyDescent="0.25">
      <c r="A1264">
        <v>98</v>
      </c>
      <c r="B1264" t="s">
        <v>229</v>
      </c>
      <c r="C1264">
        <v>20</v>
      </c>
      <c r="D1264" t="s">
        <v>93</v>
      </c>
      <c r="E1264" t="s">
        <v>14</v>
      </c>
      <c r="F1264">
        <v>200.762</v>
      </c>
      <c r="G1264" t="s">
        <v>13</v>
      </c>
    </row>
    <row r="1265" spans="1:7" x14ac:dyDescent="0.25">
      <c r="A1265">
        <v>98</v>
      </c>
      <c r="B1265" t="s">
        <v>229</v>
      </c>
      <c r="C1265">
        <v>30</v>
      </c>
      <c r="D1265" t="s">
        <v>16</v>
      </c>
      <c r="E1265" t="s">
        <v>14</v>
      </c>
      <c r="F1265">
        <v>54.051000000000002</v>
      </c>
      <c r="G1265" t="s">
        <v>13</v>
      </c>
    </row>
    <row r="1266" spans="1:7" x14ac:dyDescent="0.25">
      <c r="A1266">
        <v>98</v>
      </c>
      <c r="B1266" t="s">
        <v>229</v>
      </c>
      <c r="C1266">
        <v>40</v>
      </c>
      <c r="D1266" t="s">
        <v>318</v>
      </c>
      <c r="E1266" t="s">
        <v>11</v>
      </c>
      <c r="F1266">
        <v>1</v>
      </c>
      <c r="G1266" t="s">
        <v>13</v>
      </c>
    </row>
    <row r="1267" spans="1:7" x14ac:dyDescent="0.25">
      <c r="A1267">
        <v>98</v>
      </c>
      <c r="B1267" t="s">
        <v>229</v>
      </c>
      <c r="C1267">
        <v>50</v>
      </c>
      <c r="D1267" t="s">
        <v>102</v>
      </c>
      <c r="E1267" t="s">
        <v>11</v>
      </c>
      <c r="F1267">
        <v>1</v>
      </c>
      <c r="G1267" t="s">
        <v>13</v>
      </c>
    </row>
    <row r="1268" spans="1:7" x14ac:dyDescent="0.25">
      <c r="A1268">
        <v>98</v>
      </c>
      <c r="B1268" t="s">
        <v>229</v>
      </c>
      <c r="C1268">
        <v>60</v>
      </c>
      <c r="D1268" t="s">
        <v>315</v>
      </c>
      <c r="E1268" t="s">
        <v>14</v>
      </c>
      <c r="F1268">
        <v>7.9249999999999998</v>
      </c>
      <c r="G1268" t="s">
        <v>13</v>
      </c>
    </row>
    <row r="1269" spans="1:7" x14ac:dyDescent="0.25">
      <c r="A1269">
        <v>98</v>
      </c>
      <c r="B1269" t="s">
        <v>229</v>
      </c>
      <c r="C1269">
        <v>70</v>
      </c>
      <c r="D1269" t="s">
        <v>316</v>
      </c>
      <c r="E1269" t="s">
        <v>14</v>
      </c>
      <c r="F1269">
        <v>48.738</v>
      </c>
      <c r="G1269" t="s">
        <v>13</v>
      </c>
    </row>
    <row r="1270" spans="1:7" x14ac:dyDescent="0.25">
      <c r="A1270">
        <v>98</v>
      </c>
      <c r="B1270" t="s">
        <v>229</v>
      </c>
      <c r="C1270">
        <v>80</v>
      </c>
      <c r="D1270" t="s">
        <v>103</v>
      </c>
      <c r="E1270" t="s">
        <v>11</v>
      </c>
      <c r="F1270">
        <v>1</v>
      </c>
      <c r="G1270" t="s">
        <v>13</v>
      </c>
    </row>
    <row r="1271" spans="1:7" x14ac:dyDescent="0.25">
      <c r="A1271">
        <v>98</v>
      </c>
      <c r="B1271" t="s">
        <v>229</v>
      </c>
      <c r="C1271">
        <v>90</v>
      </c>
      <c r="D1271" t="s">
        <v>319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229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229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229</v>
      </c>
      <c r="C1274">
        <v>120</v>
      </c>
      <c r="D1274" t="s">
        <v>317</v>
      </c>
      <c r="E1274" t="s">
        <v>12</v>
      </c>
      <c r="F1274">
        <v>0.66100000000000003</v>
      </c>
      <c r="G1274" t="s">
        <v>13</v>
      </c>
    </row>
    <row r="1275" spans="1:7" x14ac:dyDescent="0.25">
      <c r="A1275">
        <v>98</v>
      </c>
      <c r="B1275" t="s">
        <v>229</v>
      </c>
      <c r="C1275">
        <v>130</v>
      </c>
      <c r="D1275" t="s">
        <v>230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231</v>
      </c>
      <c r="C1276">
        <v>10</v>
      </c>
      <c r="D1276" t="s">
        <v>320</v>
      </c>
      <c r="E1276" t="s">
        <v>14</v>
      </c>
      <c r="F1276">
        <v>4.5720000000000001</v>
      </c>
      <c r="G1276" t="s">
        <v>13</v>
      </c>
    </row>
    <row r="1277" spans="1:7" x14ac:dyDescent="0.25">
      <c r="A1277">
        <v>99</v>
      </c>
      <c r="B1277" t="s">
        <v>231</v>
      </c>
      <c r="C1277">
        <v>20</v>
      </c>
      <c r="D1277" t="s">
        <v>93</v>
      </c>
      <c r="E1277" t="s">
        <v>14</v>
      </c>
      <c r="F1277">
        <v>150.571</v>
      </c>
      <c r="G1277" t="s">
        <v>13</v>
      </c>
    </row>
    <row r="1278" spans="1:7" x14ac:dyDescent="0.25">
      <c r="A1278">
        <v>99</v>
      </c>
      <c r="B1278" t="s">
        <v>231</v>
      </c>
      <c r="C1278">
        <v>30</v>
      </c>
      <c r="D1278" t="s">
        <v>16</v>
      </c>
      <c r="E1278" t="s">
        <v>14</v>
      </c>
      <c r="F1278">
        <v>40.537999999999997</v>
      </c>
      <c r="G1278" t="s">
        <v>13</v>
      </c>
    </row>
    <row r="1279" spans="1:7" x14ac:dyDescent="0.25">
      <c r="A1279">
        <v>99</v>
      </c>
      <c r="B1279" t="s">
        <v>231</v>
      </c>
      <c r="C1279">
        <v>40</v>
      </c>
      <c r="D1279" t="s">
        <v>318</v>
      </c>
      <c r="E1279" t="s">
        <v>11</v>
      </c>
      <c r="F1279">
        <v>1</v>
      </c>
      <c r="G1279" t="s">
        <v>13</v>
      </c>
    </row>
    <row r="1280" spans="1:7" x14ac:dyDescent="0.25">
      <c r="A1280">
        <v>99</v>
      </c>
      <c r="B1280" t="s">
        <v>231</v>
      </c>
      <c r="C1280">
        <v>50</v>
      </c>
      <c r="D1280" t="s">
        <v>102</v>
      </c>
      <c r="E1280" t="s">
        <v>11</v>
      </c>
      <c r="F1280">
        <v>1</v>
      </c>
      <c r="G1280" t="s">
        <v>13</v>
      </c>
    </row>
    <row r="1281" spans="1:7" x14ac:dyDescent="0.25">
      <c r="A1281">
        <v>99</v>
      </c>
      <c r="B1281" t="s">
        <v>231</v>
      </c>
      <c r="C1281">
        <v>60</v>
      </c>
      <c r="D1281" t="s">
        <v>315</v>
      </c>
      <c r="E1281" t="s">
        <v>14</v>
      </c>
      <c r="F1281">
        <v>5.9939999999999998</v>
      </c>
      <c r="G1281" t="s">
        <v>13</v>
      </c>
    </row>
    <row r="1282" spans="1:7" x14ac:dyDescent="0.25">
      <c r="A1282">
        <v>99</v>
      </c>
      <c r="B1282" t="s">
        <v>231</v>
      </c>
      <c r="C1282">
        <v>70</v>
      </c>
      <c r="D1282" t="s">
        <v>316</v>
      </c>
      <c r="E1282" t="s">
        <v>14</v>
      </c>
      <c r="F1282">
        <v>36.866</v>
      </c>
      <c r="G1282" t="s">
        <v>13</v>
      </c>
    </row>
    <row r="1283" spans="1:7" x14ac:dyDescent="0.25">
      <c r="A1283">
        <v>99</v>
      </c>
      <c r="B1283" t="s">
        <v>231</v>
      </c>
      <c r="C1283">
        <v>80</v>
      </c>
      <c r="D1283" t="s">
        <v>103</v>
      </c>
      <c r="E1283" t="s">
        <v>11</v>
      </c>
      <c r="F1283">
        <v>1</v>
      </c>
      <c r="G1283" t="s">
        <v>13</v>
      </c>
    </row>
    <row r="1284" spans="1:7" x14ac:dyDescent="0.25">
      <c r="A1284">
        <v>99</v>
      </c>
      <c r="B1284" t="s">
        <v>231</v>
      </c>
      <c r="C1284">
        <v>90</v>
      </c>
      <c r="D1284" t="s">
        <v>319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231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231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231</v>
      </c>
      <c r="C1287">
        <v>120</v>
      </c>
      <c r="D1287" t="s">
        <v>317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99</v>
      </c>
      <c r="B1288" t="s">
        <v>231</v>
      </c>
      <c r="C1288">
        <v>130</v>
      </c>
      <c r="D1288" t="s">
        <v>232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233</v>
      </c>
      <c r="C1289">
        <v>10</v>
      </c>
      <c r="D1289" t="s">
        <v>320</v>
      </c>
      <c r="E1289" t="s">
        <v>14</v>
      </c>
      <c r="F1289">
        <v>4.5720000000000001</v>
      </c>
      <c r="G1289" t="s">
        <v>13</v>
      </c>
    </row>
    <row r="1290" spans="1:7" x14ac:dyDescent="0.25">
      <c r="A1290">
        <v>100</v>
      </c>
      <c r="B1290" t="s">
        <v>233</v>
      </c>
      <c r="C1290">
        <v>20</v>
      </c>
      <c r="D1290" t="s">
        <v>93</v>
      </c>
      <c r="E1290" t="s">
        <v>14</v>
      </c>
      <c r="F1290">
        <v>158.49600000000001</v>
      </c>
      <c r="G1290" t="s">
        <v>13</v>
      </c>
    </row>
    <row r="1291" spans="1:7" x14ac:dyDescent="0.25">
      <c r="A1291">
        <v>100</v>
      </c>
      <c r="B1291" t="s">
        <v>233</v>
      </c>
      <c r="C1291">
        <v>30</v>
      </c>
      <c r="D1291" t="s">
        <v>16</v>
      </c>
      <c r="E1291" t="s">
        <v>14</v>
      </c>
      <c r="F1291">
        <v>42.671999999999997</v>
      </c>
      <c r="G1291" t="s">
        <v>13</v>
      </c>
    </row>
    <row r="1292" spans="1:7" x14ac:dyDescent="0.25">
      <c r="A1292">
        <v>100</v>
      </c>
      <c r="B1292" t="s">
        <v>233</v>
      </c>
      <c r="C1292">
        <v>40</v>
      </c>
      <c r="D1292" t="s">
        <v>318</v>
      </c>
      <c r="E1292" t="s">
        <v>11</v>
      </c>
      <c r="F1292">
        <v>1</v>
      </c>
      <c r="G1292" t="s">
        <v>13</v>
      </c>
    </row>
    <row r="1293" spans="1:7" x14ac:dyDescent="0.25">
      <c r="A1293">
        <v>100</v>
      </c>
      <c r="B1293" t="s">
        <v>233</v>
      </c>
      <c r="C1293">
        <v>50</v>
      </c>
      <c r="D1293" t="s">
        <v>102</v>
      </c>
      <c r="E1293" t="s">
        <v>11</v>
      </c>
      <c r="F1293">
        <v>1</v>
      </c>
      <c r="G1293" t="s">
        <v>13</v>
      </c>
    </row>
    <row r="1294" spans="1:7" x14ac:dyDescent="0.25">
      <c r="A1294">
        <v>100</v>
      </c>
      <c r="B1294" t="s">
        <v>233</v>
      </c>
      <c r="C1294">
        <v>60</v>
      </c>
      <c r="D1294" t="s">
        <v>315</v>
      </c>
      <c r="E1294" t="s">
        <v>14</v>
      </c>
      <c r="F1294">
        <v>6.2990000000000004</v>
      </c>
      <c r="G1294" t="s">
        <v>13</v>
      </c>
    </row>
    <row r="1295" spans="1:7" x14ac:dyDescent="0.25">
      <c r="A1295">
        <v>100</v>
      </c>
      <c r="B1295" t="s">
        <v>233</v>
      </c>
      <c r="C1295">
        <v>70</v>
      </c>
      <c r="D1295" t="s">
        <v>316</v>
      </c>
      <c r="E1295" t="s">
        <v>14</v>
      </c>
      <c r="F1295">
        <v>38.74</v>
      </c>
      <c r="G1295" t="s">
        <v>13</v>
      </c>
    </row>
    <row r="1296" spans="1:7" x14ac:dyDescent="0.25">
      <c r="A1296">
        <v>100</v>
      </c>
      <c r="B1296" t="s">
        <v>233</v>
      </c>
      <c r="C1296">
        <v>80</v>
      </c>
      <c r="D1296" t="s">
        <v>103</v>
      </c>
      <c r="E1296" t="s">
        <v>11</v>
      </c>
      <c r="F1296">
        <v>1</v>
      </c>
      <c r="G1296" t="s">
        <v>13</v>
      </c>
    </row>
    <row r="1297" spans="1:7" x14ac:dyDescent="0.25">
      <c r="A1297">
        <v>100</v>
      </c>
      <c r="B1297" t="s">
        <v>233</v>
      </c>
      <c r="C1297">
        <v>90</v>
      </c>
      <c r="D1297" t="s">
        <v>319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233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233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233</v>
      </c>
      <c r="C1300">
        <v>120</v>
      </c>
      <c r="D1300" t="s">
        <v>317</v>
      </c>
      <c r="E1300" t="s">
        <v>12</v>
      </c>
      <c r="F1300">
        <v>0.69099999999999995</v>
      </c>
      <c r="G1300" t="s">
        <v>13</v>
      </c>
    </row>
    <row r="1301" spans="1:7" x14ac:dyDescent="0.25">
      <c r="A1301">
        <v>100</v>
      </c>
      <c r="B1301" t="s">
        <v>233</v>
      </c>
      <c r="C1301">
        <v>130</v>
      </c>
      <c r="D1301" t="s">
        <v>234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235</v>
      </c>
      <c r="C1302">
        <v>10</v>
      </c>
      <c r="D1302" t="s">
        <v>320</v>
      </c>
      <c r="E1302" t="s">
        <v>14</v>
      </c>
      <c r="F1302">
        <v>4.5720000000000001</v>
      </c>
      <c r="G1302" t="s">
        <v>13</v>
      </c>
    </row>
    <row r="1303" spans="1:7" x14ac:dyDescent="0.25">
      <c r="A1303">
        <v>101</v>
      </c>
      <c r="B1303" t="s">
        <v>235</v>
      </c>
      <c r="C1303">
        <v>20</v>
      </c>
      <c r="D1303" t="s">
        <v>93</v>
      </c>
      <c r="E1303" t="s">
        <v>14</v>
      </c>
      <c r="F1303">
        <v>166.42099999999999</v>
      </c>
      <c r="G1303" t="s">
        <v>13</v>
      </c>
    </row>
    <row r="1304" spans="1:7" x14ac:dyDescent="0.25">
      <c r="A1304">
        <v>101</v>
      </c>
      <c r="B1304" t="s">
        <v>235</v>
      </c>
      <c r="C1304">
        <v>30</v>
      </c>
      <c r="D1304" t="s">
        <v>16</v>
      </c>
      <c r="E1304" t="s">
        <v>14</v>
      </c>
      <c r="F1304">
        <v>44.805999999999997</v>
      </c>
      <c r="G1304" t="s">
        <v>13</v>
      </c>
    </row>
    <row r="1305" spans="1:7" x14ac:dyDescent="0.25">
      <c r="A1305">
        <v>101</v>
      </c>
      <c r="B1305" t="s">
        <v>235</v>
      </c>
      <c r="C1305">
        <v>40</v>
      </c>
      <c r="D1305" t="s">
        <v>318</v>
      </c>
      <c r="E1305" t="s">
        <v>11</v>
      </c>
      <c r="F1305">
        <v>1</v>
      </c>
      <c r="G1305" t="s">
        <v>13</v>
      </c>
    </row>
    <row r="1306" spans="1:7" x14ac:dyDescent="0.25">
      <c r="A1306">
        <v>101</v>
      </c>
      <c r="B1306" t="s">
        <v>235</v>
      </c>
      <c r="C1306">
        <v>50</v>
      </c>
      <c r="D1306" t="s">
        <v>102</v>
      </c>
      <c r="E1306" t="s">
        <v>11</v>
      </c>
      <c r="F1306">
        <v>1</v>
      </c>
      <c r="G1306" t="s">
        <v>13</v>
      </c>
    </row>
    <row r="1307" spans="1:7" x14ac:dyDescent="0.25">
      <c r="A1307">
        <v>101</v>
      </c>
      <c r="B1307" t="s">
        <v>235</v>
      </c>
      <c r="C1307">
        <v>60</v>
      </c>
      <c r="D1307" t="s">
        <v>315</v>
      </c>
      <c r="E1307" t="s">
        <v>14</v>
      </c>
      <c r="F1307">
        <v>6.6040000000000001</v>
      </c>
      <c r="G1307" t="s">
        <v>13</v>
      </c>
    </row>
    <row r="1308" spans="1:7" x14ac:dyDescent="0.25">
      <c r="A1308">
        <v>101</v>
      </c>
      <c r="B1308" t="s">
        <v>235</v>
      </c>
      <c r="C1308">
        <v>70</v>
      </c>
      <c r="D1308" t="s">
        <v>316</v>
      </c>
      <c r="E1308" t="s">
        <v>14</v>
      </c>
      <c r="F1308">
        <v>40.615000000000002</v>
      </c>
      <c r="G1308" t="s">
        <v>13</v>
      </c>
    </row>
    <row r="1309" spans="1:7" x14ac:dyDescent="0.25">
      <c r="A1309">
        <v>101</v>
      </c>
      <c r="B1309" t="s">
        <v>235</v>
      </c>
      <c r="C1309">
        <v>80</v>
      </c>
      <c r="D1309" t="s">
        <v>103</v>
      </c>
      <c r="E1309" t="s">
        <v>11</v>
      </c>
      <c r="F1309">
        <v>1</v>
      </c>
      <c r="G1309" t="s">
        <v>13</v>
      </c>
    </row>
    <row r="1310" spans="1:7" x14ac:dyDescent="0.25">
      <c r="A1310">
        <v>101</v>
      </c>
      <c r="B1310" t="s">
        <v>235</v>
      </c>
      <c r="C1310">
        <v>90</v>
      </c>
      <c r="D1310" t="s">
        <v>319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235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235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235</v>
      </c>
      <c r="C1313">
        <v>120</v>
      </c>
      <c r="D1313" t="s">
        <v>317</v>
      </c>
      <c r="E1313" t="s">
        <v>12</v>
      </c>
      <c r="F1313">
        <v>0.69099999999999995</v>
      </c>
      <c r="G1313" t="s">
        <v>13</v>
      </c>
    </row>
    <row r="1314" spans="1:7" x14ac:dyDescent="0.25">
      <c r="A1314">
        <v>101</v>
      </c>
      <c r="B1314" t="s">
        <v>235</v>
      </c>
      <c r="C1314">
        <v>130</v>
      </c>
      <c r="D1314" t="s">
        <v>236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237</v>
      </c>
      <c r="C1315">
        <v>10</v>
      </c>
      <c r="D1315" t="s">
        <v>320</v>
      </c>
      <c r="E1315" t="s">
        <v>14</v>
      </c>
      <c r="F1315">
        <v>4.5720000000000001</v>
      </c>
      <c r="G1315" t="s">
        <v>13</v>
      </c>
    </row>
    <row r="1316" spans="1:7" x14ac:dyDescent="0.25">
      <c r="A1316">
        <v>102</v>
      </c>
      <c r="B1316" t="s">
        <v>237</v>
      </c>
      <c r="C1316">
        <v>20</v>
      </c>
      <c r="D1316" t="s">
        <v>93</v>
      </c>
      <c r="E1316" t="s">
        <v>14</v>
      </c>
      <c r="F1316">
        <v>174.346</v>
      </c>
      <c r="G1316" t="s">
        <v>13</v>
      </c>
    </row>
    <row r="1317" spans="1:7" x14ac:dyDescent="0.25">
      <c r="A1317">
        <v>102</v>
      </c>
      <c r="B1317" t="s">
        <v>237</v>
      </c>
      <c r="C1317">
        <v>30</v>
      </c>
      <c r="D1317" t="s">
        <v>16</v>
      </c>
      <c r="E1317" t="s">
        <v>14</v>
      </c>
      <c r="F1317">
        <v>46.939</v>
      </c>
      <c r="G1317" t="s">
        <v>13</v>
      </c>
    </row>
    <row r="1318" spans="1:7" x14ac:dyDescent="0.25">
      <c r="A1318">
        <v>102</v>
      </c>
      <c r="B1318" t="s">
        <v>237</v>
      </c>
      <c r="C1318">
        <v>40</v>
      </c>
      <c r="D1318" t="s">
        <v>318</v>
      </c>
      <c r="E1318" t="s">
        <v>11</v>
      </c>
      <c r="F1318">
        <v>1</v>
      </c>
      <c r="G1318" t="s">
        <v>13</v>
      </c>
    </row>
    <row r="1319" spans="1:7" x14ac:dyDescent="0.25">
      <c r="A1319">
        <v>102</v>
      </c>
      <c r="B1319" t="s">
        <v>237</v>
      </c>
      <c r="C1319">
        <v>50</v>
      </c>
      <c r="D1319" t="s">
        <v>102</v>
      </c>
      <c r="E1319" t="s">
        <v>11</v>
      </c>
      <c r="F1319">
        <v>1</v>
      </c>
      <c r="G1319" t="s">
        <v>13</v>
      </c>
    </row>
    <row r="1320" spans="1:7" x14ac:dyDescent="0.25">
      <c r="A1320">
        <v>102</v>
      </c>
      <c r="B1320" t="s">
        <v>237</v>
      </c>
      <c r="C1320">
        <v>60</v>
      </c>
      <c r="D1320" t="s">
        <v>315</v>
      </c>
      <c r="E1320" t="s">
        <v>14</v>
      </c>
      <c r="F1320">
        <v>6.9089999999999998</v>
      </c>
      <c r="G1320" t="s">
        <v>13</v>
      </c>
    </row>
    <row r="1321" spans="1:7" x14ac:dyDescent="0.25">
      <c r="A1321">
        <v>102</v>
      </c>
      <c r="B1321" t="s">
        <v>237</v>
      </c>
      <c r="C1321">
        <v>70</v>
      </c>
      <c r="D1321" t="s">
        <v>316</v>
      </c>
      <c r="E1321" t="s">
        <v>14</v>
      </c>
      <c r="F1321">
        <v>42.488999999999997</v>
      </c>
      <c r="G1321" t="s">
        <v>13</v>
      </c>
    </row>
    <row r="1322" spans="1:7" x14ac:dyDescent="0.25">
      <c r="A1322">
        <v>102</v>
      </c>
      <c r="B1322" t="s">
        <v>237</v>
      </c>
      <c r="C1322">
        <v>80</v>
      </c>
      <c r="D1322" t="s">
        <v>103</v>
      </c>
      <c r="E1322" t="s">
        <v>11</v>
      </c>
      <c r="F1322">
        <v>1</v>
      </c>
      <c r="G1322" t="s">
        <v>13</v>
      </c>
    </row>
    <row r="1323" spans="1:7" x14ac:dyDescent="0.25">
      <c r="A1323">
        <v>102</v>
      </c>
      <c r="B1323" t="s">
        <v>237</v>
      </c>
      <c r="C1323">
        <v>90</v>
      </c>
      <c r="D1323" t="s">
        <v>319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237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237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237</v>
      </c>
      <c r="C1326">
        <v>120</v>
      </c>
      <c r="D1326" t="s">
        <v>317</v>
      </c>
      <c r="E1326" t="s">
        <v>12</v>
      </c>
      <c r="F1326">
        <v>0.69099999999999995</v>
      </c>
      <c r="G1326" t="s">
        <v>13</v>
      </c>
    </row>
    <row r="1327" spans="1:7" x14ac:dyDescent="0.25">
      <c r="A1327">
        <v>102</v>
      </c>
      <c r="B1327" t="s">
        <v>237</v>
      </c>
      <c r="C1327">
        <v>130</v>
      </c>
      <c r="D1327" t="s">
        <v>238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239</v>
      </c>
      <c r="C1328">
        <v>10</v>
      </c>
      <c r="D1328" t="s">
        <v>320</v>
      </c>
      <c r="E1328" t="s">
        <v>14</v>
      </c>
      <c r="F1328">
        <v>4.5720000000000001</v>
      </c>
      <c r="G1328" t="s">
        <v>13</v>
      </c>
    </row>
    <row r="1329" spans="1:7" x14ac:dyDescent="0.25">
      <c r="A1329">
        <v>103</v>
      </c>
      <c r="B1329" t="s">
        <v>239</v>
      </c>
      <c r="C1329">
        <v>20</v>
      </c>
      <c r="D1329" t="s">
        <v>93</v>
      </c>
      <c r="E1329" t="s">
        <v>14</v>
      </c>
      <c r="F1329">
        <v>190.19499999999999</v>
      </c>
      <c r="G1329" t="s">
        <v>13</v>
      </c>
    </row>
    <row r="1330" spans="1:7" x14ac:dyDescent="0.25">
      <c r="A1330">
        <v>103</v>
      </c>
      <c r="B1330" t="s">
        <v>239</v>
      </c>
      <c r="C1330">
        <v>30</v>
      </c>
      <c r="D1330" t="s">
        <v>16</v>
      </c>
      <c r="E1330" t="s">
        <v>14</v>
      </c>
      <c r="F1330">
        <v>51.206000000000003</v>
      </c>
      <c r="G1330" t="s">
        <v>13</v>
      </c>
    </row>
    <row r="1331" spans="1:7" x14ac:dyDescent="0.25">
      <c r="A1331">
        <v>103</v>
      </c>
      <c r="B1331" t="s">
        <v>239</v>
      </c>
      <c r="C1331">
        <v>40</v>
      </c>
      <c r="D1331" t="s">
        <v>318</v>
      </c>
      <c r="E1331" t="s">
        <v>11</v>
      </c>
      <c r="F1331">
        <v>1</v>
      </c>
      <c r="G1331" t="s">
        <v>13</v>
      </c>
    </row>
    <row r="1332" spans="1:7" x14ac:dyDescent="0.25">
      <c r="A1332">
        <v>103</v>
      </c>
      <c r="B1332" t="s">
        <v>239</v>
      </c>
      <c r="C1332">
        <v>50</v>
      </c>
      <c r="D1332" t="s">
        <v>102</v>
      </c>
      <c r="E1332" t="s">
        <v>11</v>
      </c>
      <c r="F1332">
        <v>1</v>
      </c>
      <c r="G1332" t="s">
        <v>13</v>
      </c>
    </row>
    <row r="1333" spans="1:7" x14ac:dyDescent="0.25">
      <c r="A1333">
        <v>103</v>
      </c>
      <c r="B1333" t="s">
        <v>239</v>
      </c>
      <c r="C1333">
        <v>60</v>
      </c>
      <c r="D1333" t="s">
        <v>315</v>
      </c>
      <c r="E1333" t="s">
        <v>14</v>
      </c>
      <c r="F1333">
        <v>7.5179999999999998</v>
      </c>
      <c r="G1333" t="s">
        <v>13</v>
      </c>
    </row>
    <row r="1334" spans="1:7" x14ac:dyDescent="0.25">
      <c r="A1334">
        <v>103</v>
      </c>
      <c r="B1334" t="s">
        <v>239</v>
      </c>
      <c r="C1334">
        <v>70</v>
      </c>
      <c r="D1334" t="s">
        <v>316</v>
      </c>
      <c r="E1334" t="s">
        <v>14</v>
      </c>
      <c r="F1334">
        <v>46.238</v>
      </c>
      <c r="G1334" t="s">
        <v>13</v>
      </c>
    </row>
    <row r="1335" spans="1:7" x14ac:dyDescent="0.25">
      <c r="A1335">
        <v>103</v>
      </c>
      <c r="B1335" t="s">
        <v>239</v>
      </c>
      <c r="C1335">
        <v>80</v>
      </c>
      <c r="D1335" t="s">
        <v>103</v>
      </c>
      <c r="E1335" t="s">
        <v>11</v>
      </c>
      <c r="F1335">
        <v>1</v>
      </c>
      <c r="G1335" t="s">
        <v>13</v>
      </c>
    </row>
    <row r="1336" spans="1:7" x14ac:dyDescent="0.25">
      <c r="A1336">
        <v>103</v>
      </c>
      <c r="B1336" t="s">
        <v>239</v>
      </c>
      <c r="C1336">
        <v>90</v>
      </c>
      <c r="D1336" t="s">
        <v>319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239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239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239</v>
      </c>
      <c r="C1339">
        <v>120</v>
      </c>
      <c r="D1339" t="s">
        <v>317</v>
      </c>
      <c r="E1339" t="s">
        <v>12</v>
      </c>
      <c r="F1339">
        <v>0.69099999999999995</v>
      </c>
      <c r="G1339" t="s">
        <v>13</v>
      </c>
    </row>
    <row r="1340" spans="1:7" x14ac:dyDescent="0.25">
      <c r="A1340">
        <v>103</v>
      </c>
      <c r="B1340" t="s">
        <v>239</v>
      </c>
      <c r="C1340">
        <v>130</v>
      </c>
      <c r="D1340" t="s">
        <v>240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241</v>
      </c>
      <c r="C1341">
        <v>10</v>
      </c>
      <c r="D1341" t="s">
        <v>320</v>
      </c>
      <c r="E1341" t="s">
        <v>14</v>
      </c>
      <c r="F1341">
        <v>4.5720000000000001</v>
      </c>
      <c r="G1341" t="s">
        <v>13</v>
      </c>
    </row>
    <row r="1342" spans="1:7" x14ac:dyDescent="0.25">
      <c r="A1342">
        <v>104</v>
      </c>
      <c r="B1342" t="s">
        <v>241</v>
      </c>
      <c r="C1342">
        <v>20</v>
      </c>
      <c r="D1342" t="s">
        <v>93</v>
      </c>
      <c r="E1342" t="s">
        <v>14</v>
      </c>
      <c r="F1342">
        <v>198.12</v>
      </c>
      <c r="G1342" t="s">
        <v>13</v>
      </c>
    </row>
    <row r="1343" spans="1:7" x14ac:dyDescent="0.25">
      <c r="A1343">
        <v>104</v>
      </c>
      <c r="B1343" t="s">
        <v>241</v>
      </c>
      <c r="C1343">
        <v>30</v>
      </c>
      <c r="D1343" t="s">
        <v>16</v>
      </c>
      <c r="E1343" t="s">
        <v>14</v>
      </c>
      <c r="F1343">
        <v>53.34</v>
      </c>
      <c r="G1343" t="s">
        <v>13</v>
      </c>
    </row>
    <row r="1344" spans="1:7" x14ac:dyDescent="0.25">
      <c r="A1344">
        <v>104</v>
      </c>
      <c r="B1344" t="s">
        <v>241</v>
      </c>
      <c r="C1344">
        <v>40</v>
      </c>
      <c r="D1344" t="s">
        <v>318</v>
      </c>
      <c r="E1344" t="s">
        <v>11</v>
      </c>
      <c r="F1344">
        <v>1</v>
      </c>
      <c r="G1344" t="s">
        <v>13</v>
      </c>
    </row>
    <row r="1345" spans="1:7" x14ac:dyDescent="0.25">
      <c r="A1345">
        <v>104</v>
      </c>
      <c r="B1345" t="s">
        <v>241</v>
      </c>
      <c r="C1345">
        <v>50</v>
      </c>
      <c r="D1345" t="s">
        <v>102</v>
      </c>
      <c r="E1345" t="s">
        <v>11</v>
      </c>
      <c r="F1345">
        <v>1</v>
      </c>
      <c r="G1345" t="s">
        <v>13</v>
      </c>
    </row>
    <row r="1346" spans="1:7" x14ac:dyDescent="0.25">
      <c r="A1346">
        <v>104</v>
      </c>
      <c r="B1346" t="s">
        <v>241</v>
      </c>
      <c r="C1346">
        <v>60</v>
      </c>
      <c r="D1346" t="s">
        <v>315</v>
      </c>
      <c r="E1346" t="s">
        <v>14</v>
      </c>
      <c r="F1346">
        <v>7.8230000000000004</v>
      </c>
      <c r="G1346" t="s">
        <v>13</v>
      </c>
    </row>
    <row r="1347" spans="1:7" x14ac:dyDescent="0.25">
      <c r="A1347">
        <v>104</v>
      </c>
      <c r="B1347" t="s">
        <v>241</v>
      </c>
      <c r="C1347">
        <v>70</v>
      </c>
      <c r="D1347" t="s">
        <v>316</v>
      </c>
      <c r="E1347" t="s">
        <v>14</v>
      </c>
      <c r="F1347">
        <v>48.113</v>
      </c>
      <c r="G1347" t="s">
        <v>13</v>
      </c>
    </row>
    <row r="1348" spans="1:7" x14ac:dyDescent="0.25">
      <c r="A1348">
        <v>104</v>
      </c>
      <c r="B1348" t="s">
        <v>241</v>
      </c>
      <c r="C1348">
        <v>80</v>
      </c>
      <c r="D1348" t="s">
        <v>103</v>
      </c>
      <c r="E1348" t="s">
        <v>11</v>
      </c>
      <c r="F1348">
        <v>1</v>
      </c>
      <c r="G1348" t="s">
        <v>13</v>
      </c>
    </row>
    <row r="1349" spans="1:7" x14ac:dyDescent="0.25">
      <c r="A1349">
        <v>104</v>
      </c>
      <c r="B1349" t="s">
        <v>241</v>
      </c>
      <c r="C1349">
        <v>90</v>
      </c>
      <c r="D1349" t="s">
        <v>319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241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241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241</v>
      </c>
      <c r="C1352">
        <v>120</v>
      </c>
      <c r="D1352" t="s">
        <v>317</v>
      </c>
      <c r="E1352" t="s">
        <v>12</v>
      </c>
      <c r="F1352">
        <v>0.69099999999999995</v>
      </c>
      <c r="G1352" t="s">
        <v>13</v>
      </c>
    </row>
    <row r="1353" spans="1:7" x14ac:dyDescent="0.25">
      <c r="A1353">
        <v>104</v>
      </c>
      <c r="B1353" t="s">
        <v>241</v>
      </c>
      <c r="C1353">
        <v>130</v>
      </c>
      <c r="D1353" t="s">
        <v>242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243</v>
      </c>
      <c r="C1354">
        <v>10</v>
      </c>
      <c r="D1354" t="s">
        <v>320</v>
      </c>
      <c r="E1354" t="s">
        <v>14</v>
      </c>
      <c r="F1354">
        <v>4.5720000000000001</v>
      </c>
      <c r="G1354" t="s">
        <v>13</v>
      </c>
    </row>
    <row r="1355" spans="1:7" x14ac:dyDescent="0.25">
      <c r="A1355">
        <v>105</v>
      </c>
      <c r="B1355" t="s">
        <v>243</v>
      </c>
      <c r="C1355">
        <v>20</v>
      </c>
      <c r="D1355" t="s">
        <v>93</v>
      </c>
      <c r="E1355" t="s">
        <v>14</v>
      </c>
      <c r="F1355">
        <v>206.04499999999999</v>
      </c>
      <c r="G1355" t="s">
        <v>13</v>
      </c>
    </row>
    <row r="1356" spans="1:7" x14ac:dyDescent="0.25">
      <c r="A1356">
        <v>105</v>
      </c>
      <c r="B1356" t="s">
        <v>243</v>
      </c>
      <c r="C1356">
        <v>30</v>
      </c>
      <c r="D1356" t="s">
        <v>16</v>
      </c>
      <c r="E1356" t="s">
        <v>14</v>
      </c>
      <c r="F1356">
        <v>55.473999999999997</v>
      </c>
      <c r="G1356" t="s">
        <v>13</v>
      </c>
    </row>
    <row r="1357" spans="1:7" x14ac:dyDescent="0.25">
      <c r="A1357">
        <v>105</v>
      </c>
      <c r="B1357" t="s">
        <v>243</v>
      </c>
      <c r="C1357">
        <v>40</v>
      </c>
      <c r="D1357" t="s">
        <v>318</v>
      </c>
      <c r="E1357" t="s">
        <v>11</v>
      </c>
      <c r="F1357">
        <v>1</v>
      </c>
      <c r="G1357" t="s">
        <v>13</v>
      </c>
    </row>
    <row r="1358" spans="1:7" x14ac:dyDescent="0.25">
      <c r="A1358">
        <v>105</v>
      </c>
      <c r="B1358" t="s">
        <v>243</v>
      </c>
      <c r="C1358">
        <v>50</v>
      </c>
      <c r="D1358" t="s">
        <v>102</v>
      </c>
      <c r="E1358" t="s">
        <v>11</v>
      </c>
      <c r="F1358">
        <v>1</v>
      </c>
      <c r="G1358" t="s">
        <v>13</v>
      </c>
    </row>
    <row r="1359" spans="1:7" x14ac:dyDescent="0.25">
      <c r="A1359">
        <v>105</v>
      </c>
      <c r="B1359" t="s">
        <v>243</v>
      </c>
      <c r="C1359">
        <v>60</v>
      </c>
      <c r="D1359" t="s">
        <v>315</v>
      </c>
      <c r="E1359" t="s">
        <v>14</v>
      </c>
      <c r="F1359">
        <v>8.1280000000000001</v>
      </c>
      <c r="G1359" t="s">
        <v>13</v>
      </c>
    </row>
    <row r="1360" spans="1:7" x14ac:dyDescent="0.25">
      <c r="A1360">
        <v>105</v>
      </c>
      <c r="B1360" t="s">
        <v>243</v>
      </c>
      <c r="C1360">
        <v>70</v>
      </c>
      <c r="D1360" t="s">
        <v>316</v>
      </c>
      <c r="E1360" t="s">
        <v>14</v>
      </c>
      <c r="F1360">
        <v>49.987000000000002</v>
      </c>
      <c r="G1360" t="s">
        <v>13</v>
      </c>
    </row>
    <row r="1361" spans="1:7" x14ac:dyDescent="0.25">
      <c r="A1361">
        <v>105</v>
      </c>
      <c r="B1361" t="s">
        <v>243</v>
      </c>
      <c r="C1361">
        <v>80</v>
      </c>
      <c r="D1361" t="s">
        <v>103</v>
      </c>
      <c r="E1361" t="s">
        <v>11</v>
      </c>
      <c r="F1361">
        <v>1</v>
      </c>
      <c r="G1361" t="s">
        <v>13</v>
      </c>
    </row>
    <row r="1362" spans="1:7" x14ac:dyDescent="0.25">
      <c r="A1362">
        <v>105</v>
      </c>
      <c r="B1362" t="s">
        <v>243</v>
      </c>
      <c r="C1362">
        <v>90</v>
      </c>
      <c r="D1362" t="s">
        <v>319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243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243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243</v>
      </c>
      <c r="C1365">
        <v>120</v>
      </c>
      <c r="D1365" t="s">
        <v>317</v>
      </c>
      <c r="E1365" t="s">
        <v>12</v>
      </c>
      <c r="F1365">
        <v>0.69099999999999995</v>
      </c>
      <c r="G1365" t="s">
        <v>13</v>
      </c>
    </row>
    <row r="1366" spans="1:7" x14ac:dyDescent="0.25">
      <c r="A1366">
        <v>105</v>
      </c>
      <c r="B1366" t="s">
        <v>243</v>
      </c>
      <c r="C1366">
        <v>130</v>
      </c>
      <c r="D1366" t="s">
        <v>244</v>
      </c>
      <c r="E1366" t="s">
        <v>11</v>
      </c>
      <c r="F1366">
        <v>1</v>
      </c>
      <c r="G136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69"/>
  <sheetViews>
    <sheetView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2" t="s">
        <v>23</v>
      </c>
      <c r="B1" s="53" t="s">
        <v>24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25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0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52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0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52"/>
      <c r="B4" s="21" t="s">
        <v>46</v>
      </c>
      <c r="C4" s="21" t="s">
        <v>47</v>
      </c>
      <c r="D4" s="46" t="s">
        <v>48</v>
      </c>
      <c r="E4" s="21" t="s">
        <v>3</v>
      </c>
      <c r="F4" s="46" t="s">
        <v>49</v>
      </c>
      <c r="G4" s="21" t="s">
        <v>50</v>
      </c>
      <c r="H4" s="21" t="s">
        <v>6</v>
      </c>
      <c r="I4" s="21" t="s">
        <v>51</v>
      </c>
      <c r="J4" s="46" t="s">
        <v>52</v>
      </c>
      <c r="K4" s="46" t="s">
        <v>53</v>
      </c>
      <c r="L4" s="46" t="s">
        <v>54</v>
      </c>
      <c r="M4" s="22" t="s">
        <v>55</v>
      </c>
      <c r="N4" s="23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245</v>
      </c>
      <c r="D5" s="3"/>
      <c r="E5" s="3" t="s">
        <v>245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320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245</v>
      </c>
      <c r="D6" s="3"/>
      <c r="E6" s="3" t="s">
        <v>245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93</v>
      </c>
      <c r="O6" s="3"/>
      <c r="P6" s="3"/>
      <c r="Q6" s="3">
        <v>134.72200000000001</v>
      </c>
      <c r="R6" s="3" t="s">
        <v>14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245</v>
      </c>
      <c r="D7" s="3"/>
      <c r="E7" s="3" t="s">
        <v>245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16</v>
      </c>
      <c r="O7" s="3"/>
      <c r="P7" s="3"/>
      <c r="Q7" s="3">
        <v>36.271000000000001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245</v>
      </c>
      <c r="D8" s="3"/>
      <c r="E8" s="3" t="s">
        <v>245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318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245</v>
      </c>
      <c r="D9" s="3"/>
      <c r="E9" s="3" t="s">
        <v>245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245</v>
      </c>
      <c r="D10" s="3"/>
      <c r="E10" s="3" t="s">
        <v>245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315</v>
      </c>
      <c r="O10" s="3"/>
      <c r="P10" s="3"/>
      <c r="Q10" s="3">
        <v>5.3849999999999998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245</v>
      </c>
      <c r="D11" s="3"/>
      <c r="E11" s="3" t="s">
        <v>245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316</v>
      </c>
      <c r="O11" s="3"/>
      <c r="P11" s="3"/>
      <c r="Q11" s="3">
        <v>33.116999999999997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245</v>
      </c>
      <c r="D12" s="3"/>
      <c r="E12" s="3" t="s">
        <v>245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103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245</v>
      </c>
      <c r="D13" s="3"/>
      <c r="E13" s="3" t="s">
        <v>245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319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245</v>
      </c>
      <c r="D14" s="3"/>
      <c r="E14" s="3" t="s">
        <v>245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245</v>
      </c>
      <c r="D15" s="3"/>
      <c r="E15" s="3" t="s">
        <v>245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245</v>
      </c>
      <c r="D16" s="3"/>
      <c r="E16" s="3" t="s">
        <v>245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317</v>
      </c>
      <c r="O16" s="3"/>
      <c r="P16" s="3"/>
      <c r="Q16" s="3">
        <v>0.27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245</v>
      </c>
      <c r="D17" s="3"/>
      <c r="E17" s="3" t="s">
        <v>245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246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247</v>
      </c>
      <c r="D18" s="3"/>
      <c r="E18" s="3" t="s">
        <v>247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320</v>
      </c>
      <c r="O18" s="3"/>
      <c r="P18" s="3"/>
      <c r="Q18" s="3">
        <v>2.032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247</v>
      </c>
      <c r="D19" s="3"/>
      <c r="E19" s="3" t="s">
        <v>247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93</v>
      </c>
      <c r="O19" s="3"/>
      <c r="P19" s="3"/>
      <c r="Q19" s="3">
        <v>142.64599999999999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247</v>
      </c>
      <c r="D20" s="3"/>
      <c r="E20" s="3" t="s">
        <v>247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16</v>
      </c>
      <c r="O20" s="3"/>
      <c r="P20" s="3"/>
      <c r="Q20" s="3">
        <v>38.405000000000001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247</v>
      </c>
      <c r="D21" s="3"/>
      <c r="E21" s="3" t="s">
        <v>247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318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247</v>
      </c>
      <c r="D22" s="3"/>
      <c r="E22" s="3" t="s">
        <v>247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102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247</v>
      </c>
      <c r="D23" s="3"/>
      <c r="E23" s="3" t="s">
        <v>247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315</v>
      </c>
      <c r="O23" s="3"/>
      <c r="P23" s="3"/>
      <c r="Q23" s="3">
        <v>5.69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247</v>
      </c>
      <c r="D24" s="3"/>
      <c r="E24" s="3" t="s">
        <v>247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316</v>
      </c>
      <c r="O24" s="3"/>
      <c r="P24" s="3"/>
      <c r="Q24" s="3">
        <v>34.991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247</v>
      </c>
      <c r="D25" s="3"/>
      <c r="E25" s="3" t="s">
        <v>247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103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247</v>
      </c>
      <c r="D26" s="3"/>
      <c r="E26" s="3" t="s">
        <v>247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319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247</v>
      </c>
      <c r="D27" s="3"/>
      <c r="E27" s="3" t="s">
        <v>247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247</v>
      </c>
      <c r="D28" s="3"/>
      <c r="E28" s="3" t="s">
        <v>247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247</v>
      </c>
      <c r="D29" s="3"/>
      <c r="E29" s="3" t="s">
        <v>247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317</v>
      </c>
      <c r="O29" s="3"/>
      <c r="P29" s="3"/>
      <c r="Q29" s="3">
        <v>0.315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247</v>
      </c>
      <c r="D30" s="3"/>
      <c r="E30" s="3" t="s">
        <v>247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248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249</v>
      </c>
      <c r="D31" s="3"/>
      <c r="E31" s="3" t="s">
        <v>249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320</v>
      </c>
      <c r="O31" s="3"/>
      <c r="P31" s="3"/>
      <c r="Q31" s="3">
        <v>2.3370000000000002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249</v>
      </c>
      <c r="D32" s="3"/>
      <c r="E32" s="3" t="s">
        <v>249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93</v>
      </c>
      <c r="O32" s="3"/>
      <c r="P32" s="3"/>
      <c r="Q32" s="3">
        <v>150.571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249</v>
      </c>
      <c r="D33" s="3"/>
      <c r="E33" s="3" t="s">
        <v>249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16</v>
      </c>
      <c r="O33" s="3"/>
      <c r="P33" s="3"/>
      <c r="Q33" s="3">
        <v>40.537999999999997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249</v>
      </c>
      <c r="D34" s="3"/>
      <c r="E34" s="3" t="s">
        <v>249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318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249</v>
      </c>
      <c r="D35" s="3"/>
      <c r="E35" s="3" t="s">
        <v>249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102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249</v>
      </c>
      <c r="D36" s="3"/>
      <c r="E36" s="3" t="s">
        <v>249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315</v>
      </c>
      <c r="O36" s="3"/>
      <c r="P36" s="3"/>
      <c r="Q36" s="3">
        <v>5.9939999999999998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249</v>
      </c>
      <c r="D37" s="3"/>
      <c r="E37" s="3" t="s">
        <v>249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316</v>
      </c>
      <c r="O37" s="3"/>
      <c r="P37" s="3"/>
      <c r="Q37" s="3">
        <v>36.866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249</v>
      </c>
      <c r="D38" s="3"/>
      <c r="E38" s="3" t="s">
        <v>249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103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249</v>
      </c>
      <c r="D39" s="3"/>
      <c r="E39" s="3" t="s">
        <v>249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319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249</v>
      </c>
      <c r="D40" s="3"/>
      <c r="E40" s="3" t="s">
        <v>249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249</v>
      </c>
      <c r="D41" s="3"/>
      <c r="E41" s="3" t="s">
        <v>249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249</v>
      </c>
      <c r="D42" s="3"/>
      <c r="E42" s="3" t="s">
        <v>249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317</v>
      </c>
      <c r="O42" s="3"/>
      <c r="P42" s="3"/>
      <c r="Q42" s="3">
        <v>0.36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249</v>
      </c>
      <c r="D43" s="3"/>
      <c r="E43" s="3" t="s">
        <v>249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250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251</v>
      </c>
      <c r="D44" s="3"/>
      <c r="E44" s="3" t="s">
        <v>251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320</v>
      </c>
      <c r="O44" s="3"/>
      <c r="P44" s="3"/>
      <c r="Q44" s="3">
        <v>2.6419999999999999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251</v>
      </c>
      <c r="D45" s="3"/>
      <c r="E45" s="3" t="s">
        <v>251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93</v>
      </c>
      <c r="O45" s="3"/>
      <c r="P45" s="3"/>
      <c r="Q45" s="3">
        <v>158.49600000000001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251</v>
      </c>
      <c r="D46" s="3"/>
      <c r="E46" s="3" t="s">
        <v>251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16</v>
      </c>
      <c r="O46" s="3"/>
      <c r="P46" s="3"/>
      <c r="Q46" s="3">
        <v>42.671999999999997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251</v>
      </c>
      <c r="D47" s="3"/>
      <c r="E47" s="3" t="s">
        <v>251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318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251</v>
      </c>
      <c r="D48" s="3"/>
      <c r="E48" s="3" t="s">
        <v>251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102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251</v>
      </c>
      <c r="D49" s="3"/>
      <c r="E49" s="3" t="s">
        <v>251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315</v>
      </c>
      <c r="O49" s="3"/>
      <c r="P49" s="3"/>
      <c r="Q49" s="3">
        <v>6.2990000000000004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251</v>
      </c>
      <c r="D50" s="3"/>
      <c r="E50" s="3" t="s">
        <v>251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316</v>
      </c>
      <c r="O50" s="3"/>
      <c r="P50" s="3"/>
      <c r="Q50" s="3">
        <v>38.74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251</v>
      </c>
      <c r="D51" s="3"/>
      <c r="E51" s="3" t="s">
        <v>251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103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251</v>
      </c>
      <c r="D52" s="3"/>
      <c r="E52" s="3" t="s">
        <v>251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319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251</v>
      </c>
      <c r="D53" s="3"/>
      <c r="E53" s="3" t="s">
        <v>251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251</v>
      </c>
      <c r="D54" s="3"/>
      <c r="E54" s="3" t="s">
        <v>251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251</v>
      </c>
      <c r="D55" s="3"/>
      <c r="E55" s="3" t="s">
        <v>251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317</v>
      </c>
      <c r="O55" s="3"/>
      <c r="P55" s="3"/>
      <c r="Q55" s="3">
        <v>0.40500000000000003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251</v>
      </c>
      <c r="D56" s="3"/>
      <c r="E56" s="3" t="s">
        <v>251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252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253</v>
      </c>
      <c r="D57" s="3"/>
      <c r="E57" s="3" t="s">
        <v>253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320</v>
      </c>
      <c r="O57" s="3"/>
      <c r="P57" s="3"/>
      <c r="Q57" s="3">
        <v>3.2509999999999999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253</v>
      </c>
      <c r="D58" s="3"/>
      <c r="E58" s="3" t="s">
        <v>253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93</v>
      </c>
      <c r="O58" s="3"/>
      <c r="P58" s="3"/>
      <c r="Q58" s="3">
        <v>174.346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253</v>
      </c>
      <c r="D59" s="3"/>
      <c r="E59" s="3" t="s">
        <v>253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16</v>
      </c>
      <c r="O59" s="3"/>
      <c r="P59" s="3"/>
      <c r="Q59" s="3">
        <v>46.939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253</v>
      </c>
      <c r="D60" s="3"/>
      <c r="E60" s="3" t="s">
        <v>253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318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253</v>
      </c>
      <c r="D61" s="3"/>
      <c r="E61" s="3" t="s">
        <v>253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102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253</v>
      </c>
      <c r="D62" s="3"/>
      <c r="E62" s="3" t="s">
        <v>253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315</v>
      </c>
      <c r="O62" s="3"/>
      <c r="P62" s="3"/>
      <c r="Q62" s="3">
        <v>6.9089999999999998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253</v>
      </c>
      <c r="D63" s="3"/>
      <c r="E63" s="3" t="s">
        <v>253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316</v>
      </c>
      <c r="O63" s="3"/>
      <c r="P63" s="3"/>
      <c r="Q63" s="3">
        <v>42.488999999999997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253</v>
      </c>
      <c r="D64" s="3"/>
      <c r="E64" s="3" t="s">
        <v>253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103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253</v>
      </c>
      <c r="D65" s="3"/>
      <c r="E65" s="3" t="s">
        <v>253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319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253</v>
      </c>
      <c r="D66" s="3"/>
      <c r="E66" s="3" t="s">
        <v>253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253</v>
      </c>
      <c r="D67" s="3"/>
      <c r="E67" s="3" t="s">
        <v>253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253</v>
      </c>
      <c r="D68" s="3"/>
      <c r="E68" s="3" t="s">
        <v>253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317</v>
      </c>
      <c r="O68" s="3"/>
      <c r="P68" s="3"/>
      <c r="Q68" s="3">
        <v>0.495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253</v>
      </c>
      <c r="D69" s="3"/>
      <c r="E69" s="3" t="s">
        <v>253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254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255</v>
      </c>
      <c r="D70" s="3"/>
      <c r="E70" s="3" t="s">
        <v>255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320</v>
      </c>
      <c r="O70" s="3"/>
      <c r="P70" s="3"/>
      <c r="Q70" s="3">
        <v>3.556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255</v>
      </c>
      <c r="D71" s="3"/>
      <c r="E71" s="3" t="s">
        <v>255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93</v>
      </c>
      <c r="O71" s="3"/>
      <c r="P71" s="3"/>
      <c r="Q71" s="3">
        <v>182.27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255</v>
      </c>
      <c r="D72" s="3"/>
      <c r="E72" s="3" t="s">
        <v>255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16</v>
      </c>
      <c r="O72" s="3"/>
      <c r="P72" s="3"/>
      <c r="Q72" s="3">
        <v>49.073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255</v>
      </c>
      <c r="D73" s="3"/>
      <c r="E73" s="3" t="s">
        <v>255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318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255</v>
      </c>
      <c r="D74" s="3"/>
      <c r="E74" s="3" t="s">
        <v>255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102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255</v>
      </c>
      <c r="D75" s="3"/>
      <c r="E75" s="3" t="s">
        <v>255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315</v>
      </c>
      <c r="O75" s="3"/>
      <c r="P75" s="3"/>
      <c r="Q75" s="3">
        <v>7.2140000000000004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255</v>
      </c>
      <c r="D76" s="3"/>
      <c r="E76" s="3" t="s">
        <v>255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316</v>
      </c>
      <c r="O76" s="3"/>
      <c r="P76" s="3"/>
      <c r="Q76" s="3">
        <v>44.363999999999997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255</v>
      </c>
      <c r="D77" s="3"/>
      <c r="E77" s="3" t="s">
        <v>255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103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255</v>
      </c>
      <c r="D78" s="3"/>
      <c r="E78" s="3" t="s">
        <v>255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319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255</v>
      </c>
      <c r="D79" s="3"/>
      <c r="E79" s="3" t="s">
        <v>255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255</v>
      </c>
      <c r="D80" s="3"/>
      <c r="E80" s="3" t="s">
        <v>255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255</v>
      </c>
      <c r="D81" s="3"/>
      <c r="E81" s="3" t="s">
        <v>255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317</v>
      </c>
      <c r="O81" s="3"/>
      <c r="P81" s="3"/>
      <c r="Q81" s="3">
        <v>0.54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255</v>
      </c>
      <c r="D82" s="3"/>
      <c r="E82" s="3" t="s">
        <v>255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256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257</v>
      </c>
      <c r="D83" s="3"/>
      <c r="E83" s="3" t="s">
        <v>257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320</v>
      </c>
      <c r="O83" s="3"/>
      <c r="P83" s="3"/>
      <c r="Q83" s="3">
        <v>3.8610000000000002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257</v>
      </c>
      <c r="D84" s="3"/>
      <c r="E84" s="3" t="s">
        <v>257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93</v>
      </c>
      <c r="O84" s="3"/>
      <c r="P84" s="3"/>
      <c r="Q84" s="3">
        <v>190.19499999999999</v>
      </c>
      <c r="R84" s="3" t="s">
        <v>14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257</v>
      </c>
      <c r="D85" s="3"/>
      <c r="E85" s="3" t="s">
        <v>257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16</v>
      </c>
      <c r="O85" s="3"/>
      <c r="P85" s="3"/>
      <c r="Q85" s="3">
        <v>51.206000000000003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257</v>
      </c>
      <c r="D86" s="3"/>
      <c r="E86" s="3" t="s">
        <v>257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318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257</v>
      </c>
      <c r="D87" s="3"/>
      <c r="E87" s="3" t="s">
        <v>257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102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257</v>
      </c>
      <c r="D88" s="3"/>
      <c r="E88" s="3" t="s">
        <v>257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315</v>
      </c>
      <c r="O88" s="3"/>
      <c r="P88" s="3"/>
      <c r="Q88" s="3">
        <v>7.5179999999999998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257</v>
      </c>
      <c r="D89" s="3"/>
      <c r="E89" s="3" t="s">
        <v>257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316</v>
      </c>
      <c r="O89" s="3"/>
      <c r="P89" s="3"/>
      <c r="Q89" s="3">
        <v>46.238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257</v>
      </c>
      <c r="D90" s="3"/>
      <c r="E90" s="3" t="s">
        <v>257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103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257</v>
      </c>
      <c r="D91" s="3"/>
      <c r="E91" s="3" t="s">
        <v>257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319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257</v>
      </c>
      <c r="D92" s="3"/>
      <c r="E92" s="3" t="s">
        <v>257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257</v>
      </c>
      <c r="D93" s="3"/>
      <c r="E93" s="3" t="s">
        <v>257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257</v>
      </c>
      <c r="D94" s="3"/>
      <c r="E94" s="3" t="s">
        <v>257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317</v>
      </c>
      <c r="O94" s="3"/>
      <c r="P94" s="3"/>
      <c r="Q94" s="3">
        <v>0.58599999999999997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257</v>
      </c>
      <c r="D95" s="3"/>
      <c r="E95" s="3" t="s">
        <v>257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258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259</v>
      </c>
      <c r="D96" s="3"/>
      <c r="E96" s="3" t="s">
        <v>259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320</v>
      </c>
      <c r="O96" s="3"/>
      <c r="P96" s="3"/>
      <c r="Q96" s="3">
        <v>1.7270000000000001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259</v>
      </c>
      <c r="D97" s="3"/>
      <c r="E97" s="3" t="s">
        <v>259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93</v>
      </c>
      <c r="O97" s="3"/>
      <c r="P97" s="3"/>
      <c r="Q97" s="3">
        <v>138.684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259</v>
      </c>
      <c r="D98" s="3"/>
      <c r="E98" s="3" t="s">
        <v>259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16</v>
      </c>
      <c r="O98" s="3"/>
      <c r="P98" s="3"/>
      <c r="Q98" s="3">
        <v>37.338000000000001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259</v>
      </c>
      <c r="D99" s="3"/>
      <c r="E99" s="3" t="s">
        <v>259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318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259</v>
      </c>
      <c r="D100" s="3"/>
      <c r="E100" s="3" t="s">
        <v>259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102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259</v>
      </c>
      <c r="D101" s="3"/>
      <c r="E101" s="3" t="s">
        <v>259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315</v>
      </c>
      <c r="O101" s="3"/>
      <c r="P101" s="3"/>
      <c r="Q101" s="3">
        <v>5.5369999999999999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259</v>
      </c>
      <c r="D102" s="3"/>
      <c r="E102" s="3" t="s">
        <v>259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316</v>
      </c>
      <c r="O102" s="3"/>
      <c r="P102" s="3"/>
      <c r="Q102" s="3">
        <v>34.054000000000002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259</v>
      </c>
      <c r="D103" s="3"/>
      <c r="E103" s="3" t="s">
        <v>259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103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259</v>
      </c>
      <c r="D104" s="3"/>
      <c r="E104" s="3" t="s">
        <v>259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319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259</v>
      </c>
      <c r="D105" s="3"/>
      <c r="E105" s="3" t="s">
        <v>259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259</v>
      </c>
      <c r="D106" s="3"/>
      <c r="E106" s="3" t="s">
        <v>259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259</v>
      </c>
      <c r="D107" s="3"/>
      <c r="E107" s="3" t="s">
        <v>259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317</v>
      </c>
      <c r="O107" s="3"/>
      <c r="P107" s="3"/>
      <c r="Q107" s="3">
        <v>0.27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259</v>
      </c>
      <c r="D108" s="3"/>
      <c r="E108" s="3" t="s">
        <v>259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260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261</v>
      </c>
      <c r="D109" s="3"/>
      <c r="E109" s="3" t="s">
        <v>261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320</v>
      </c>
      <c r="O109" s="3"/>
      <c r="P109" s="3"/>
      <c r="Q109" s="3">
        <v>2.032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261</v>
      </c>
      <c r="D110" s="3"/>
      <c r="E110" s="3" t="s">
        <v>261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93</v>
      </c>
      <c r="O110" s="3"/>
      <c r="P110" s="3"/>
      <c r="Q110" s="3">
        <v>146.60900000000001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261</v>
      </c>
      <c r="D111" s="3"/>
      <c r="E111" s="3" t="s">
        <v>261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16</v>
      </c>
      <c r="O111" s="3"/>
      <c r="P111" s="3"/>
      <c r="Q111" s="3">
        <v>39.472000000000001</v>
      </c>
      <c r="R111" s="3" t="s">
        <v>14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261</v>
      </c>
      <c r="D112" s="3"/>
      <c r="E112" s="3" t="s">
        <v>261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318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261</v>
      </c>
      <c r="D113" s="3"/>
      <c r="E113" s="3" t="s">
        <v>261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102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261</v>
      </c>
      <c r="D114" s="3"/>
      <c r="E114" s="3" t="s">
        <v>261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315</v>
      </c>
      <c r="O114" s="3"/>
      <c r="P114" s="3"/>
      <c r="Q114" s="3">
        <v>5.8419999999999996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261</v>
      </c>
      <c r="D115" s="3"/>
      <c r="E115" s="3" t="s">
        <v>261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316</v>
      </c>
      <c r="O115" s="3"/>
      <c r="P115" s="3"/>
      <c r="Q115" s="3">
        <v>35.927999999999997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261</v>
      </c>
      <c r="D116" s="3"/>
      <c r="E116" s="3" t="s">
        <v>261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103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261</v>
      </c>
      <c r="D117" s="3"/>
      <c r="E117" s="3" t="s">
        <v>261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319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261</v>
      </c>
      <c r="D118" s="3"/>
      <c r="E118" s="3" t="s">
        <v>261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261</v>
      </c>
      <c r="D119" s="3"/>
      <c r="E119" s="3" t="s">
        <v>261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261</v>
      </c>
      <c r="D120" s="3"/>
      <c r="E120" s="3" t="s">
        <v>261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317</v>
      </c>
      <c r="O120" s="3"/>
      <c r="P120" s="3"/>
      <c r="Q120" s="3">
        <v>0.315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261</v>
      </c>
      <c r="D121" s="3"/>
      <c r="E121" s="3" t="s">
        <v>261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262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263</v>
      </c>
      <c r="D122" s="3"/>
      <c r="E122" s="3" t="s">
        <v>263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320</v>
      </c>
      <c r="O122" s="3"/>
      <c r="P122" s="3"/>
      <c r="Q122" s="3">
        <v>2.3370000000000002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263</v>
      </c>
      <c r="D123" s="3"/>
      <c r="E123" s="3" t="s">
        <v>263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93</v>
      </c>
      <c r="O123" s="3"/>
      <c r="P123" s="3"/>
      <c r="Q123" s="3">
        <v>154.53399999999999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263</v>
      </c>
      <c r="D124" s="3"/>
      <c r="E124" s="3" t="s">
        <v>263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16</v>
      </c>
      <c r="O124" s="3"/>
      <c r="P124" s="3"/>
      <c r="Q124" s="3">
        <v>41.604999999999997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263</v>
      </c>
      <c r="D125" s="3"/>
      <c r="E125" s="3" t="s">
        <v>263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318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263</v>
      </c>
      <c r="D126" s="3"/>
      <c r="E126" s="3" t="s">
        <v>263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102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263</v>
      </c>
      <c r="D127" s="3"/>
      <c r="E127" s="3" t="s">
        <v>263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315</v>
      </c>
      <c r="O127" s="3"/>
      <c r="P127" s="3"/>
      <c r="Q127" s="3">
        <v>6.1470000000000002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263</v>
      </c>
      <c r="D128" s="3"/>
      <c r="E128" s="3" t="s">
        <v>263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316</v>
      </c>
      <c r="O128" s="3"/>
      <c r="P128" s="3"/>
      <c r="Q128" s="3">
        <v>37.802999999999997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263</v>
      </c>
      <c r="D129" s="3"/>
      <c r="E129" s="3" t="s">
        <v>263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103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263</v>
      </c>
      <c r="D130" s="3"/>
      <c r="E130" s="3" t="s">
        <v>263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319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263</v>
      </c>
      <c r="D131" s="3"/>
      <c r="E131" s="3" t="s">
        <v>263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263</v>
      </c>
      <c r="D132" s="3"/>
      <c r="E132" s="3" t="s">
        <v>263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263</v>
      </c>
      <c r="D133" s="3"/>
      <c r="E133" s="3" t="s">
        <v>263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317</v>
      </c>
      <c r="O133" s="3"/>
      <c r="P133" s="3"/>
      <c r="Q133" s="3">
        <v>0.36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263</v>
      </c>
      <c r="D134" s="3"/>
      <c r="E134" s="3" t="s">
        <v>263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264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265</v>
      </c>
      <c r="D135" s="3"/>
      <c r="E135" s="3" t="s">
        <v>265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320</v>
      </c>
      <c r="O135" s="3"/>
      <c r="P135" s="3"/>
      <c r="Q135" s="3">
        <v>2.6419999999999999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265</v>
      </c>
      <c r="D136" s="3"/>
      <c r="E136" s="3" t="s">
        <v>265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93</v>
      </c>
      <c r="O136" s="3"/>
      <c r="P136" s="3"/>
      <c r="Q136" s="3">
        <v>162.458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265</v>
      </c>
      <c r="D137" s="3"/>
      <c r="E137" s="3" t="s">
        <v>265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16</v>
      </c>
      <c r="O137" s="3"/>
      <c r="P137" s="3"/>
      <c r="Q137" s="3">
        <v>43.738999999999997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265</v>
      </c>
      <c r="D138" s="3"/>
      <c r="E138" s="3" t="s">
        <v>265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318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265</v>
      </c>
      <c r="D139" s="3"/>
      <c r="E139" s="3" t="s">
        <v>265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102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265</v>
      </c>
      <c r="D140" s="3"/>
      <c r="E140" s="3" t="s">
        <v>265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315</v>
      </c>
      <c r="O140" s="3"/>
      <c r="P140" s="3"/>
      <c r="Q140" s="3">
        <v>6.452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265</v>
      </c>
      <c r="D141" s="3"/>
      <c r="E141" s="3" t="s">
        <v>265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316</v>
      </c>
      <c r="O141" s="3"/>
      <c r="P141" s="3"/>
      <c r="Q141" s="3">
        <v>39.677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265</v>
      </c>
      <c r="D142" s="3"/>
      <c r="E142" s="3" t="s">
        <v>265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103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265</v>
      </c>
      <c r="D143" s="3"/>
      <c r="E143" s="3" t="s">
        <v>265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319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265</v>
      </c>
      <c r="D144" s="3"/>
      <c r="E144" s="3" t="s">
        <v>265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265</v>
      </c>
      <c r="D145" s="3"/>
      <c r="E145" s="3" t="s">
        <v>265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265</v>
      </c>
      <c r="D146" s="3"/>
      <c r="E146" s="3" t="s">
        <v>265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317</v>
      </c>
      <c r="O146" s="3"/>
      <c r="P146" s="3"/>
      <c r="Q146" s="3">
        <v>0.40500000000000003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265</v>
      </c>
      <c r="D147" s="3"/>
      <c r="E147" s="3" t="s">
        <v>265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266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267</v>
      </c>
      <c r="D148" s="3"/>
      <c r="E148" s="3" t="s">
        <v>267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320</v>
      </c>
      <c r="O148" s="3"/>
      <c r="P148" s="3"/>
      <c r="Q148" s="3">
        <v>3.2509999999999999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267</v>
      </c>
      <c r="D149" s="3"/>
      <c r="E149" s="3" t="s">
        <v>267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93</v>
      </c>
      <c r="O149" s="3"/>
      <c r="P149" s="3"/>
      <c r="Q149" s="3">
        <v>178.30799999999999</v>
      </c>
      <c r="R149" s="3" t="s">
        <v>14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267</v>
      </c>
      <c r="D150" s="3"/>
      <c r="E150" s="3" t="s">
        <v>267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16</v>
      </c>
      <c r="O150" s="3"/>
      <c r="P150" s="3"/>
      <c r="Q150" s="3">
        <v>48.006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267</v>
      </c>
      <c r="D151" s="3"/>
      <c r="E151" s="3" t="s">
        <v>267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318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267</v>
      </c>
      <c r="D152" s="3"/>
      <c r="E152" s="3" t="s">
        <v>267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102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267</v>
      </c>
      <c r="D153" s="3"/>
      <c r="E153" s="3" t="s">
        <v>267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315</v>
      </c>
      <c r="O153" s="3"/>
      <c r="P153" s="3"/>
      <c r="Q153" s="3">
        <v>7.0609999999999999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267</v>
      </c>
      <c r="D154" s="3"/>
      <c r="E154" s="3" t="s">
        <v>267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316</v>
      </c>
      <c r="O154" s="3"/>
      <c r="P154" s="3"/>
      <c r="Q154" s="3">
        <v>43.426000000000002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267</v>
      </c>
      <c r="D155" s="3"/>
      <c r="E155" s="3" t="s">
        <v>267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103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267</v>
      </c>
      <c r="D156" s="3"/>
      <c r="E156" s="3" t="s">
        <v>267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319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267</v>
      </c>
      <c r="D157" s="3"/>
      <c r="E157" s="3" t="s">
        <v>267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267</v>
      </c>
      <c r="D158" s="3"/>
      <c r="E158" s="3" t="s">
        <v>267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267</v>
      </c>
      <c r="D159" s="3"/>
      <c r="E159" s="3" t="s">
        <v>267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317</v>
      </c>
      <c r="O159" s="3"/>
      <c r="P159" s="3"/>
      <c r="Q159" s="3">
        <v>0.495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267</v>
      </c>
      <c r="D160" s="3"/>
      <c r="E160" s="3" t="s">
        <v>267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268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269</v>
      </c>
      <c r="D161" s="3"/>
      <c r="E161" s="3" t="s">
        <v>269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320</v>
      </c>
      <c r="O161" s="3"/>
      <c r="P161" s="3"/>
      <c r="Q161" s="3">
        <v>3.556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269</v>
      </c>
      <c r="D162" s="3"/>
      <c r="E162" s="3" t="s">
        <v>269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93</v>
      </c>
      <c r="O162" s="3"/>
      <c r="P162" s="3"/>
      <c r="Q162" s="3">
        <v>186.233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269</v>
      </c>
      <c r="D163" s="3"/>
      <c r="E163" s="3" t="s">
        <v>269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16</v>
      </c>
      <c r="O163" s="3"/>
      <c r="P163" s="3"/>
      <c r="Q163" s="3">
        <v>50.14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269</v>
      </c>
      <c r="D164" s="3"/>
      <c r="E164" s="3" t="s">
        <v>269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318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269</v>
      </c>
      <c r="D165" s="3"/>
      <c r="E165" s="3" t="s">
        <v>269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269</v>
      </c>
      <c r="D166" s="3"/>
      <c r="E166" s="3" t="s">
        <v>269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315</v>
      </c>
      <c r="O166" s="3"/>
      <c r="P166" s="3"/>
      <c r="Q166" s="3">
        <v>7.3659999999999997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269</v>
      </c>
      <c r="D167" s="3"/>
      <c r="E167" s="3" t="s">
        <v>269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316</v>
      </c>
      <c r="O167" s="3"/>
      <c r="P167" s="3"/>
      <c r="Q167" s="3">
        <v>45.301000000000002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269</v>
      </c>
      <c r="D168" s="3"/>
      <c r="E168" s="3" t="s">
        <v>269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103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269</v>
      </c>
      <c r="D169" s="3"/>
      <c r="E169" s="3" t="s">
        <v>269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319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269</v>
      </c>
      <c r="D170" s="3"/>
      <c r="E170" s="3" t="s">
        <v>269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269</v>
      </c>
      <c r="D171" s="3"/>
      <c r="E171" s="3" t="s">
        <v>269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269</v>
      </c>
      <c r="D172" s="3"/>
      <c r="E172" s="3" t="s">
        <v>269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317</v>
      </c>
      <c r="O172" s="3"/>
      <c r="P172" s="3"/>
      <c r="Q172" s="3">
        <v>0.54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269</v>
      </c>
      <c r="D173" s="3"/>
      <c r="E173" s="3" t="s">
        <v>269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270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271</v>
      </c>
      <c r="D174" s="3"/>
      <c r="E174" s="3" t="s">
        <v>271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320</v>
      </c>
      <c r="O174" s="3"/>
      <c r="P174" s="3"/>
      <c r="Q174" s="3">
        <v>3.8610000000000002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271</v>
      </c>
      <c r="D175" s="3"/>
      <c r="E175" s="3" t="s">
        <v>271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93</v>
      </c>
      <c r="O175" s="3"/>
      <c r="P175" s="3"/>
      <c r="Q175" s="3">
        <v>194.15799999999999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271</v>
      </c>
      <c r="D176" s="3"/>
      <c r="E176" s="3" t="s">
        <v>271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16</v>
      </c>
      <c r="O176" s="3"/>
      <c r="P176" s="3"/>
      <c r="Q176" s="3">
        <v>52.273000000000003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271</v>
      </c>
      <c r="D177" s="3"/>
      <c r="E177" s="3" t="s">
        <v>271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318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271</v>
      </c>
      <c r="D178" s="3"/>
      <c r="E178" s="3" t="s">
        <v>271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102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271</v>
      </c>
      <c r="D179" s="3"/>
      <c r="E179" s="3" t="s">
        <v>271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315</v>
      </c>
      <c r="O179" s="3"/>
      <c r="P179" s="3"/>
      <c r="Q179" s="3">
        <v>7.6710000000000003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271</v>
      </c>
      <c r="D180" s="3"/>
      <c r="E180" s="3" t="s">
        <v>271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316</v>
      </c>
      <c r="O180" s="3"/>
      <c r="P180" s="3"/>
      <c r="Q180" s="3">
        <v>47.174999999999997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271</v>
      </c>
      <c r="D181" s="3"/>
      <c r="E181" s="3" t="s">
        <v>271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103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271</v>
      </c>
      <c r="D182" s="3"/>
      <c r="E182" s="3" t="s">
        <v>271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319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271</v>
      </c>
      <c r="D183" s="3"/>
      <c r="E183" s="3" t="s">
        <v>271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271</v>
      </c>
      <c r="D184" s="3"/>
      <c r="E184" s="3" t="s">
        <v>271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271</v>
      </c>
      <c r="D185" s="3"/>
      <c r="E185" s="3" t="s">
        <v>271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317</v>
      </c>
      <c r="O185" s="3"/>
      <c r="P185" s="3"/>
      <c r="Q185" s="3">
        <v>0.58599999999999997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271</v>
      </c>
      <c r="D186" s="3"/>
      <c r="E186" s="3" t="s">
        <v>271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272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273</v>
      </c>
      <c r="D187" s="3"/>
      <c r="E187" s="3" t="s">
        <v>273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320</v>
      </c>
      <c r="O187" s="3"/>
      <c r="P187" s="3"/>
      <c r="Q187" s="3">
        <v>1.7270000000000001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273</v>
      </c>
      <c r="D188" s="3"/>
      <c r="E188" s="3" t="s">
        <v>273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93</v>
      </c>
      <c r="O188" s="3"/>
      <c r="P188" s="3"/>
      <c r="Q188" s="3">
        <v>142.64599999999999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273</v>
      </c>
      <c r="D189" s="3"/>
      <c r="E189" s="3" t="s">
        <v>273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16</v>
      </c>
      <c r="O189" s="3"/>
      <c r="P189" s="3"/>
      <c r="Q189" s="3">
        <v>38.405000000000001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273</v>
      </c>
      <c r="D190" s="3"/>
      <c r="E190" s="3" t="s">
        <v>273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318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273</v>
      </c>
      <c r="D191" s="3"/>
      <c r="E191" s="3" t="s">
        <v>273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102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273</v>
      </c>
      <c r="D192" s="3"/>
      <c r="E192" s="3" t="s">
        <v>273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315</v>
      </c>
      <c r="O192" s="3"/>
      <c r="P192" s="3"/>
      <c r="Q192" s="3">
        <v>5.69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273</v>
      </c>
      <c r="D193" s="3"/>
      <c r="E193" s="3" t="s">
        <v>273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316</v>
      </c>
      <c r="O193" s="3"/>
      <c r="P193" s="3"/>
      <c r="Q193" s="3">
        <v>34.991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273</v>
      </c>
      <c r="D194" s="3"/>
      <c r="E194" s="3" t="s">
        <v>273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103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273</v>
      </c>
      <c r="D195" s="3"/>
      <c r="E195" s="3" t="s">
        <v>273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319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273</v>
      </c>
      <c r="D196" s="3"/>
      <c r="E196" s="3" t="s">
        <v>273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273</v>
      </c>
      <c r="D197" s="3"/>
      <c r="E197" s="3" t="s">
        <v>273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273</v>
      </c>
      <c r="D198" s="3"/>
      <c r="E198" s="3" t="s">
        <v>273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317</v>
      </c>
      <c r="O198" s="3"/>
      <c r="P198" s="3"/>
      <c r="Q198" s="3">
        <v>0.27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273</v>
      </c>
      <c r="D199" s="3"/>
      <c r="E199" s="3" t="s">
        <v>273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274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275</v>
      </c>
      <c r="D200" s="3"/>
      <c r="E200" s="3" t="s">
        <v>275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320</v>
      </c>
      <c r="O200" s="3"/>
      <c r="P200" s="3"/>
      <c r="Q200" s="3">
        <v>2.032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275</v>
      </c>
      <c r="D201" s="3"/>
      <c r="E201" s="3" t="s">
        <v>275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93</v>
      </c>
      <c r="O201" s="3"/>
      <c r="P201" s="3"/>
      <c r="Q201" s="3">
        <v>150.571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275</v>
      </c>
      <c r="D202" s="3"/>
      <c r="E202" s="3" t="s">
        <v>275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16</v>
      </c>
      <c r="O202" s="3"/>
      <c r="P202" s="3"/>
      <c r="Q202" s="3">
        <v>40.537999999999997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275</v>
      </c>
      <c r="D203" s="3"/>
      <c r="E203" s="3" t="s">
        <v>275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318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275</v>
      </c>
      <c r="D204" s="3"/>
      <c r="E204" s="3" t="s">
        <v>275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102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275</v>
      </c>
      <c r="D205" s="3"/>
      <c r="E205" s="3" t="s">
        <v>275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315</v>
      </c>
      <c r="O205" s="3"/>
      <c r="P205" s="3"/>
      <c r="Q205" s="3">
        <v>5.9939999999999998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275</v>
      </c>
      <c r="D206" s="3"/>
      <c r="E206" s="3" t="s">
        <v>275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316</v>
      </c>
      <c r="O206" s="3"/>
      <c r="P206" s="3"/>
      <c r="Q206" s="3">
        <v>36.866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275</v>
      </c>
      <c r="D207" s="3"/>
      <c r="E207" s="3" t="s">
        <v>275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103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275</v>
      </c>
      <c r="D208" s="3"/>
      <c r="E208" s="3" t="s">
        <v>275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319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275</v>
      </c>
      <c r="D209" s="3"/>
      <c r="E209" s="3" t="s">
        <v>275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275</v>
      </c>
      <c r="D210" s="3"/>
      <c r="E210" s="3" t="s">
        <v>275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275</v>
      </c>
      <c r="D211" s="3"/>
      <c r="E211" s="3" t="s">
        <v>275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317</v>
      </c>
      <c r="O211" s="3"/>
      <c r="P211" s="3"/>
      <c r="Q211" s="3">
        <v>0.315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275</v>
      </c>
      <c r="D212" s="3"/>
      <c r="E212" s="3" t="s">
        <v>275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276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277</v>
      </c>
      <c r="D213" s="3"/>
      <c r="E213" s="3" t="s">
        <v>277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320</v>
      </c>
      <c r="O213" s="3"/>
      <c r="P213" s="3"/>
      <c r="Q213" s="3">
        <v>2.3370000000000002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277</v>
      </c>
      <c r="D214" s="3"/>
      <c r="E214" s="3" t="s">
        <v>277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93</v>
      </c>
      <c r="O214" s="3"/>
      <c r="P214" s="3"/>
      <c r="Q214" s="3">
        <v>158.49600000000001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277</v>
      </c>
      <c r="D215" s="3"/>
      <c r="E215" s="3" t="s">
        <v>277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16</v>
      </c>
      <c r="O215" s="3"/>
      <c r="P215" s="3"/>
      <c r="Q215" s="3">
        <v>42.671999999999997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277</v>
      </c>
      <c r="D216" s="3"/>
      <c r="E216" s="3" t="s">
        <v>277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318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277</v>
      </c>
      <c r="D217" s="3"/>
      <c r="E217" s="3" t="s">
        <v>277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102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277</v>
      </c>
      <c r="D218" s="3"/>
      <c r="E218" s="3" t="s">
        <v>277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315</v>
      </c>
      <c r="O218" s="3"/>
      <c r="P218" s="3"/>
      <c r="Q218" s="3">
        <v>6.2990000000000004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277</v>
      </c>
      <c r="D219" s="3"/>
      <c r="E219" s="3" t="s">
        <v>277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316</v>
      </c>
      <c r="O219" s="3"/>
      <c r="P219" s="3"/>
      <c r="Q219" s="3">
        <v>38.74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277</v>
      </c>
      <c r="D220" s="3"/>
      <c r="E220" s="3" t="s">
        <v>277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103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277</v>
      </c>
      <c r="D221" s="3"/>
      <c r="E221" s="3" t="s">
        <v>277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319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277</v>
      </c>
      <c r="D222" s="3"/>
      <c r="E222" s="3" t="s">
        <v>277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277</v>
      </c>
      <c r="D223" s="3"/>
      <c r="E223" s="3" t="s">
        <v>277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277</v>
      </c>
      <c r="D224" s="3"/>
      <c r="E224" s="3" t="s">
        <v>277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317</v>
      </c>
      <c r="O224" s="3"/>
      <c r="P224" s="3"/>
      <c r="Q224" s="3">
        <v>0.36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277</v>
      </c>
      <c r="D225" s="3"/>
      <c r="E225" s="3" t="s">
        <v>277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278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279</v>
      </c>
      <c r="D226" s="3"/>
      <c r="E226" s="3" t="s">
        <v>279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320</v>
      </c>
      <c r="O226" s="3"/>
      <c r="P226" s="3"/>
      <c r="Q226" s="3">
        <v>2.6419999999999999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279</v>
      </c>
      <c r="D227" s="3"/>
      <c r="E227" s="3" t="s">
        <v>279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93</v>
      </c>
      <c r="O227" s="3"/>
      <c r="P227" s="3"/>
      <c r="Q227" s="3">
        <v>166.42099999999999</v>
      </c>
      <c r="R227" s="3" t="s">
        <v>14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279</v>
      </c>
      <c r="D228" s="3"/>
      <c r="E228" s="3" t="s">
        <v>279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16</v>
      </c>
      <c r="O228" s="3"/>
      <c r="P228" s="3"/>
      <c r="Q228" s="3">
        <v>44.805999999999997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279</v>
      </c>
      <c r="D229" s="3"/>
      <c r="E229" s="3" t="s">
        <v>279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318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279</v>
      </c>
      <c r="D230" s="3"/>
      <c r="E230" s="3" t="s">
        <v>279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102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279</v>
      </c>
      <c r="D231" s="3"/>
      <c r="E231" s="3" t="s">
        <v>279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315</v>
      </c>
      <c r="O231" s="3"/>
      <c r="P231" s="3"/>
      <c r="Q231" s="3">
        <v>6.6040000000000001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279</v>
      </c>
      <c r="D232" s="3"/>
      <c r="E232" s="3" t="s">
        <v>279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316</v>
      </c>
      <c r="O232" s="3"/>
      <c r="P232" s="3"/>
      <c r="Q232" s="3">
        <v>40.615000000000002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279</v>
      </c>
      <c r="D233" s="3"/>
      <c r="E233" s="3" t="s">
        <v>279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103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279</v>
      </c>
      <c r="D234" s="3"/>
      <c r="E234" s="3" t="s">
        <v>279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319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279</v>
      </c>
      <c r="D235" s="3"/>
      <c r="E235" s="3" t="s">
        <v>279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279</v>
      </c>
      <c r="D236" s="3"/>
      <c r="E236" s="3" t="s">
        <v>279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279</v>
      </c>
      <c r="D237" s="3"/>
      <c r="E237" s="3" t="s">
        <v>279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317</v>
      </c>
      <c r="O237" s="3"/>
      <c r="P237" s="3"/>
      <c r="Q237" s="3">
        <v>0.40500000000000003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279</v>
      </c>
      <c r="D238" s="3"/>
      <c r="E238" s="3" t="s">
        <v>279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281</v>
      </c>
      <c r="D239" s="3"/>
      <c r="E239" s="3" t="s">
        <v>281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320</v>
      </c>
      <c r="O239" s="3"/>
      <c r="P239" s="3"/>
      <c r="Q239" s="3">
        <v>3.2509999999999999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281</v>
      </c>
      <c r="D240" s="3"/>
      <c r="E240" s="3" t="s">
        <v>281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93</v>
      </c>
      <c r="O240" s="3"/>
      <c r="P240" s="3"/>
      <c r="Q240" s="3">
        <v>182.27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281</v>
      </c>
      <c r="D241" s="3"/>
      <c r="E241" s="3" t="s">
        <v>281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16</v>
      </c>
      <c r="O241" s="3"/>
      <c r="P241" s="3"/>
      <c r="Q241" s="3">
        <v>49.073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281</v>
      </c>
      <c r="D242" s="3"/>
      <c r="E242" s="3" t="s">
        <v>281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318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281</v>
      </c>
      <c r="D243" s="3"/>
      <c r="E243" s="3" t="s">
        <v>281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102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281</v>
      </c>
      <c r="D244" s="3"/>
      <c r="E244" s="3" t="s">
        <v>281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315</v>
      </c>
      <c r="O244" s="3"/>
      <c r="P244" s="3"/>
      <c r="Q244" s="3">
        <v>7.2140000000000004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281</v>
      </c>
      <c r="D245" s="3"/>
      <c r="E245" s="3" t="s">
        <v>281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316</v>
      </c>
      <c r="O245" s="3"/>
      <c r="P245" s="3"/>
      <c r="Q245" s="3">
        <v>44.363999999999997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281</v>
      </c>
      <c r="D246" s="3"/>
      <c r="E246" s="3" t="s">
        <v>281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103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281</v>
      </c>
      <c r="D247" s="3"/>
      <c r="E247" s="3" t="s">
        <v>281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319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281</v>
      </c>
      <c r="D248" s="3"/>
      <c r="E248" s="3" t="s">
        <v>281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281</v>
      </c>
      <c r="D249" s="3"/>
      <c r="E249" s="3" t="s">
        <v>281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281</v>
      </c>
      <c r="D250" s="3"/>
      <c r="E250" s="3" t="s">
        <v>281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317</v>
      </c>
      <c r="O250" s="3"/>
      <c r="P250" s="3"/>
      <c r="Q250" s="3">
        <v>0.495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281</v>
      </c>
      <c r="D251" s="3"/>
      <c r="E251" s="3" t="s">
        <v>281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282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283</v>
      </c>
      <c r="D252" s="3"/>
      <c r="E252" s="3" t="s">
        <v>283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320</v>
      </c>
      <c r="O252" s="3"/>
      <c r="P252" s="3"/>
      <c r="Q252" s="3">
        <v>3.556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283</v>
      </c>
      <c r="D253" s="3"/>
      <c r="E253" s="3" t="s">
        <v>283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93</v>
      </c>
      <c r="O253" s="3"/>
      <c r="P253" s="3"/>
      <c r="Q253" s="3">
        <v>190.19499999999999</v>
      </c>
      <c r="R253" s="3" t="s">
        <v>14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283</v>
      </c>
      <c r="D254" s="3"/>
      <c r="E254" s="3" t="s">
        <v>283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16</v>
      </c>
      <c r="O254" s="3"/>
      <c r="P254" s="3"/>
      <c r="Q254" s="3">
        <v>51.206000000000003</v>
      </c>
      <c r="R254" s="3" t="s">
        <v>14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283</v>
      </c>
      <c r="D255" s="3"/>
      <c r="E255" s="3" t="s">
        <v>283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318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283</v>
      </c>
      <c r="D256" s="3"/>
      <c r="E256" s="3" t="s">
        <v>283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102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283</v>
      </c>
      <c r="D257" s="3"/>
      <c r="E257" s="3" t="s">
        <v>283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315</v>
      </c>
      <c r="O257" s="3"/>
      <c r="P257" s="3"/>
      <c r="Q257" s="3">
        <v>7.5179999999999998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283</v>
      </c>
      <c r="D258" s="3"/>
      <c r="E258" s="3" t="s">
        <v>283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316</v>
      </c>
      <c r="O258" s="3"/>
      <c r="P258" s="3"/>
      <c r="Q258" s="3">
        <v>46.238</v>
      </c>
      <c r="R258" s="3" t="s">
        <v>14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283</v>
      </c>
      <c r="D259" s="3"/>
      <c r="E259" s="3" t="s">
        <v>283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103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283</v>
      </c>
      <c r="D260" s="3"/>
      <c r="E260" s="3" t="s">
        <v>283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319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283</v>
      </c>
      <c r="D261" s="3"/>
      <c r="E261" s="3" t="s">
        <v>283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283</v>
      </c>
      <c r="D262" s="3"/>
      <c r="E262" s="3" t="s">
        <v>283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283</v>
      </c>
      <c r="D263" s="3"/>
      <c r="E263" s="3" t="s">
        <v>283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317</v>
      </c>
      <c r="O263" s="3"/>
      <c r="P263" s="3"/>
      <c r="Q263" s="3">
        <v>0.54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283</v>
      </c>
      <c r="D264" s="3"/>
      <c r="E264" s="3" t="s">
        <v>283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284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285</v>
      </c>
      <c r="D265" s="3"/>
      <c r="E265" s="3" t="s">
        <v>285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320</v>
      </c>
      <c r="O265" s="3"/>
      <c r="P265" s="3"/>
      <c r="Q265" s="3">
        <v>3.8610000000000002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285</v>
      </c>
      <c r="D266" s="3"/>
      <c r="E266" s="3" t="s">
        <v>285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93</v>
      </c>
      <c r="O266" s="3"/>
      <c r="P266" s="3"/>
      <c r="Q266" s="3">
        <v>198.12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285</v>
      </c>
      <c r="D267" s="3"/>
      <c r="E267" s="3" t="s">
        <v>285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16</v>
      </c>
      <c r="O267" s="3"/>
      <c r="P267" s="3"/>
      <c r="Q267" s="3">
        <v>53.34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285</v>
      </c>
      <c r="D268" s="3"/>
      <c r="E268" s="3" t="s">
        <v>285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318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285</v>
      </c>
      <c r="D269" s="3"/>
      <c r="E269" s="3" t="s">
        <v>285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102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285</v>
      </c>
      <c r="D270" s="3"/>
      <c r="E270" s="3" t="s">
        <v>285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315</v>
      </c>
      <c r="O270" s="3"/>
      <c r="P270" s="3"/>
      <c r="Q270" s="3">
        <v>7.8230000000000004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285</v>
      </c>
      <c r="D271" s="3"/>
      <c r="E271" s="3" t="s">
        <v>285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316</v>
      </c>
      <c r="O271" s="3"/>
      <c r="P271" s="3"/>
      <c r="Q271" s="3">
        <v>48.113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285</v>
      </c>
      <c r="D272" s="3"/>
      <c r="E272" s="3" t="s">
        <v>285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103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285</v>
      </c>
      <c r="D273" s="3"/>
      <c r="E273" s="3" t="s">
        <v>285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319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285</v>
      </c>
      <c r="D274" s="3"/>
      <c r="E274" s="3" t="s">
        <v>285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285</v>
      </c>
      <c r="D275" s="3"/>
      <c r="E275" s="3" t="s">
        <v>285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285</v>
      </c>
      <c r="D276" s="3"/>
      <c r="E276" s="3" t="s">
        <v>285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317</v>
      </c>
      <c r="O276" s="3"/>
      <c r="P276" s="3"/>
      <c r="Q276" s="3">
        <v>0.58599999999999997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285</v>
      </c>
      <c r="D277" s="3"/>
      <c r="E277" s="3" t="s">
        <v>285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286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287</v>
      </c>
      <c r="D278" s="3"/>
      <c r="E278" s="3" t="s">
        <v>287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320</v>
      </c>
      <c r="O278" s="3"/>
      <c r="P278" s="3"/>
      <c r="Q278" s="3">
        <v>4.2670000000000003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287</v>
      </c>
      <c r="D279" s="3"/>
      <c r="E279" s="3" t="s">
        <v>287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93</v>
      </c>
      <c r="O279" s="3"/>
      <c r="P279" s="3"/>
      <c r="Q279" s="3">
        <v>145.28800000000001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287</v>
      </c>
      <c r="D280" s="3"/>
      <c r="E280" s="3" t="s">
        <v>287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16</v>
      </c>
      <c r="O280" s="3"/>
      <c r="P280" s="3"/>
      <c r="Q280" s="3">
        <v>39.116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287</v>
      </c>
      <c r="D281" s="3"/>
      <c r="E281" s="3" t="s">
        <v>287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318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287</v>
      </c>
      <c r="D282" s="3"/>
      <c r="E282" s="3" t="s">
        <v>287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102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287</v>
      </c>
      <c r="D283" s="3"/>
      <c r="E283" s="3" t="s">
        <v>287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315</v>
      </c>
      <c r="O283" s="3"/>
      <c r="P283" s="3"/>
      <c r="Q283" s="3">
        <v>5.7910000000000004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287</v>
      </c>
      <c r="D284" s="3"/>
      <c r="E284" s="3" t="s">
        <v>287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316</v>
      </c>
      <c r="O284" s="3"/>
      <c r="P284" s="3"/>
      <c r="Q284" s="3">
        <v>35.616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287</v>
      </c>
      <c r="D285" s="3"/>
      <c r="E285" s="3" t="s">
        <v>287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103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287</v>
      </c>
      <c r="D286" s="3"/>
      <c r="E286" s="3" t="s">
        <v>287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319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287</v>
      </c>
      <c r="D287" s="3"/>
      <c r="E287" s="3" t="s">
        <v>287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287</v>
      </c>
      <c r="D288" s="3"/>
      <c r="E288" s="3" t="s">
        <v>287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287</v>
      </c>
      <c r="D289" s="3"/>
      <c r="E289" s="3" t="s">
        <v>287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317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287</v>
      </c>
      <c r="D290" s="3"/>
      <c r="E290" s="3" t="s">
        <v>287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288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289</v>
      </c>
      <c r="D291" s="3"/>
      <c r="E291" s="3" t="s">
        <v>289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320</v>
      </c>
      <c r="O291" s="3"/>
      <c r="P291" s="3"/>
      <c r="Q291" s="3">
        <v>4.2670000000000003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289</v>
      </c>
      <c r="D292" s="3"/>
      <c r="E292" s="3" t="s">
        <v>289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93</v>
      </c>
      <c r="O292" s="3"/>
      <c r="P292" s="3"/>
      <c r="Q292" s="3">
        <v>153.21299999999999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289</v>
      </c>
      <c r="D293" s="3"/>
      <c r="E293" s="3" t="s">
        <v>289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16</v>
      </c>
      <c r="O293" s="3"/>
      <c r="P293" s="3"/>
      <c r="Q293" s="3">
        <v>41.25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289</v>
      </c>
      <c r="D294" s="3"/>
      <c r="E294" s="3" t="s">
        <v>289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318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289</v>
      </c>
      <c r="D295" s="3"/>
      <c r="E295" s="3" t="s">
        <v>289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102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289</v>
      </c>
      <c r="D296" s="3"/>
      <c r="E296" s="3" t="s">
        <v>289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315</v>
      </c>
      <c r="O296" s="3"/>
      <c r="P296" s="3"/>
      <c r="Q296" s="3">
        <v>6.0960000000000001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289</v>
      </c>
      <c r="D297" s="3"/>
      <c r="E297" s="3" t="s">
        <v>289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316</v>
      </c>
      <c r="O297" s="3"/>
      <c r="P297" s="3"/>
      <c r="Q297" s="3">
        <v>37.49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289</v>
      </c>
      <c r="D298" s="3"/>
      <c r="E298" s="3" t="s">
        <v>289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103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289</v>
      </c>
      <c r="D299" s="3"/>
      <c r="E299" s="3" t="s">
        <v>289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319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289</v>
      </c>
      <c r="D300" s="3"/>
      <c r="E300" s="3" t="s">
        <v>289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289</v>
      </c>
      <c r="D301" s="3"/>
      <c r="E301" s="3" t="s">
        <v>289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289</v>
      </c>
      <c r="D302" s="3"/>
      <c r="E302" s="3" t="s">
        <v>289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317</v>
      </c>
      <c r="O302" s="3"/>
      <c r="P302" s="3"/>
      <c r="Q302" s="3">
        <v>0.64600000000000002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289</v>
      </c>
      <c r="D303" s="3"/>
      <c r="E303" s="3" t="s">
        <v>289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290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291</v>
      </c>
      <c r="D304" s="3"/>
      <c r="E304" s="3" t="s">
        <v>291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320</v>
      </c>
      <c r="O304" s="3"/>
      <c r="P304" s="3"/>
      <c r="Q304" s="3">
        <v>4.2670000000000003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291</v>
      </c>
      <c r="D305" s="3"/>
      <c r="E305" s="3" t="s">
        <v>291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93</v>
      </c>
      <c r="O305" s="3"/>
      <c r="P305" s="3"/>
      <c r="Q305" s="3">
        <v>161.13800000000001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291</v>
      </c>
      <c r="D306" s="3"/>
      <c r="E306" s="3" t="s">
        <v>291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16</v>
      </c>
      <c r="O306" s="3"/>
      <c r="P306" s="3"/>
      <c r="Q306" s="3">
        <v>43.383000000000003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291</v>
      </c>
      <c r="D307" s="3"/>
      <c r="E307" s="3" t="s">
        <v>291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318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291</v>
      </c>
      <c r="D308" s="3"/>
      <c r="E308" s="3" t="s">
        <v>291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102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291</v>
      </c>
      <c r="D309" s="3"/>
      <c r="E309" s="3" t="s">
        <v>291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315</v>
      </c>
      <c r="O309" s="3"/>
      <c r="P309" s="3"/>
      <c r="Q309" s="3">
        <v>6.4009999999999998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291</v>
      </c>
      <c r="D310" s="3"/>
      <c r="E310" s="3" t="s">
        <v>291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316</v>
      </c>
      <c r="O310" s="3"/>
      <c r="P310" s="3"/>
      <c r="Q310" s="3">
        <v>39.365000000000002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291</v>
      </c>
      <c r="D311" s="3"/>
      <c r="E311" s="3" t="s">
        <v>291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103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291</v>
      </c>
      <c r="D312" s="3"/>
      <c r="E312" s="3" t="s">
        <v>291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319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291</v>
      </c>
      <c r="D313" s="3"/>
      <c r="E313" s="3" t="s">
        <v>291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291</v>
      </c>
      <c r="D314" s="3"/>
      <c r="E314" s="3" t="s">
        <v>291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291</v>
      </c>
      <c r="D315" s="3"/>
      <c r="E315" s="3" t="s">
        <v>291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317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291</v>
      </c>
      <c r="D316" s="3"/>
      <c r="E316" s="3" t="s">
        <v>291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292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293</v>
      </c>
      <c r="D317" s="3"/>
      <c r="E317" s="3" t="s">
        <v>293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320</v>
      </c>
      <c r="O317" s="3"/>
      <c r="P317" s="3"/>
      <c r="Q317" s="3">
        <v>4.2670000000000003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293</v>
      </c>
      <c r="D318" s="3"/>
      <c r="E318" s="3" t="s">
        <v>293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93</v>
      </c>
      <c r="O318" s="3"/>
      <c r="P318" s="3"/>
      <c r="Q318" s="3">
        <v>169.06200000000001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293</v>
      </c>
      <c r="D319" s="3"/>
      <c r="E319" s="3" t="s">
        <v>293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16</v>
      </c>
      <c r="O319" s="3"/>
      <c r="P319" s="3"/>
      <c r="Q319" s="3">
        <v>45.517000000000003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293</v>
      </c>
      <c r="D320" s="3"/>
      <c r="E320" s="3" t="s">
        <v>293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318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293</v>
      </c>
      <c r="D321" s="3"/>
      <c r="E321" s="3" t="s">
        <v>293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293</v>
      </c>
      <c r="D322" s="3"/>
      <c r="E322" s="3" t="s">
        <v>293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315</v>
      </c>
      <c r="O322" s="3"/>
      <c r="P322" s="3"/>
      <c r="Q322" s="3">
        <v>6.7060000000000004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293</v>
      </c>
      <c r="D323" s="3"/>
      <c r="E323" s="3" t="s">
        <v>293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316</v>
      </c>
      <c r="O323" s="3"/>
      <c r="P323" s="3"/>
      <c r="Q323" s="3">
        <v>41.238999999999997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293</v>
      </c>
      <c r="D324" s="3"/>
      <c r="E324" s="3" t="s">
        <v>293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103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293</v>
      </c>
      <c r="D325" s="3"/>
      <c r="E325" s="3" t="s">
        <v>293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319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293</v>
      </c>
      <c r="D326" s="3"/>
      <c r="E326" s="3" t="s">
        <v>293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293</v>
      </c>
      <c r="D327" s="3"/>
      <c r="E327" s="3" t="s">
        <v>293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293</v>
      </c>
      <c r="D328" s="3"/>
      <c r="E328" s="3" t="s">
        <v>293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317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293</v>
      </c>
      <c r="D329" s="3"/>
      <c r="E329" s="3" t="s">
        <v>293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294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295</v>
      </c>
      <c r="D330" s="3"/>
      <c r="E330" s="3" t="s">
        <v>295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320</v>
      </c>
      <c r="O330" s="3"/>
      <c r="P330" s="3"/>
      <c r="Q330" s="3">
        <v>4.2670000000000003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295</v>
      </c>
      <c r="D331" s="3"/>
      <c r="E331" s="3" t="s">
        <v>295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93</v>
      </c>
      <c r="O331" s="3"/>
      <c r="P331" s="3"/>
      <c r="Q331" s="3">
        <v>184.91200000000001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295</v>
      </c>
      <c r="D332" s="3"/>
      <c r="E332" s="3" t="s">
        <v>295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16</v>
      </c>
      <c r="O332" s="3"/>
      <c r="P332" s="3"/>
      <c r="Q332" s="3">
        <v>49.783999999999999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295</v>
      </c>
      <c r="D333" s="3"/>
      <c r="E333" s="3" t="s">
        <v>295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318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295</v>
      </c>
      <c r="D334" s="3"/>
      <c r="E334" s="3" t="s">
        <v>295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102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295</v>
      </c>
      <c r="D335" s="3"/>
      <c r="E335" s="3" t="s">
        <v>295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315</v>
      </c>
      <c r="O335" s="3"/>
      <c r="P335" s="3"/>
      <c r="Q335" s="3">
        <v>7.3150000000000004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295</v>
      </c>
      <c r="D336" s="3"/>
      <c r="E336" s="3" t="s">
        <v>295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316</v>
      </c>
      <c r="O336" s="3"/>
      <c r="P336" s="3"/>
      <c r="Q336" s="3">
        <v>44.988</v>
      </c>
      <c r="R336" s="3" t="s">
        <v>14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295</v>
      </c>
      <c r="D337" s="3"/>
      <c r="E337" s="3" t="s">
        <v>295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103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295</v>
      </c>
      <c r="D338" s="3"/>
      <c r="E338" s="3" t="s">
        <v>295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319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295</v>
      </c>
      <c r="D339" s="3"/>
      <c r="E339" s="3" t="s">
        <v>295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295</v>
      </c>
      <c r="D340" s="3"/>
      <c r="E340" s="3" t="s">
        <v>295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295</v>
      </c>
      <c r="D341" s="3"/>
      <c r="E341" s="3" t="s">
        <v>295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317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295</v>
      </c>
      <c r="D342" s="3"/>
      <c r="E342" s="3" t="s">
        <v>295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296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297</v>
      </c>
      <c r="D343" s="3"/>
      <c r="E343" s="3" t="s">
        <v>297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320</v>
      </c>
      <c r="O343" s="3"/>
      <c r="P343" s="3"/>
      <c r="Q343" s="3">
        <v>4.2670000000000003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297</v>
      </c>
      <c r="D344" s="3"/>
      <c r="E344" s="3" t="s">
        <v>297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93</v>
      </c>
      <c r="O344" s="3"/>
      <c r="P344" s="3"/>
      <c r="Q344" s="3">
        <v>192.83699999999999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297</v>
      </c>
      <c r="D345" s="3"/>
      <c r="E345" s="3" t="s">
        <v>297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16</v>
      </c>
      <c r="O345" s="3"/>
      <c r="P345" s="3"/>
      <c r="Q345" s="3">
        <v>51.917999999999999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297</v>
      </c>
      <c r="D346" s="3"/>
      <c r="E346" s="3" t="s">
        <v>297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318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297</v>
      </c>
      <c r="D347" s="3"/>
      <c r="E347" s="3" t="s">
        <v>297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102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297</v>
      </c>
      <c r="D348" s="3"/>
      <c r="E348" s="3" t="s">
        <v>297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315</v>
      </c>
      <c r="O348" s="3"/>
      <c r="P348" s="3"/>
      <c r="Q348" s="3">
        <v>7.62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297</v>
      </c>
      <c r="D349" s="3"/>
      <c r="E349" s="3" t="s">
        <v>297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316</v>
      </c>
      <c r="O349" s="3"/>
      <c r="P349" s="3"/>
      <c r="Q349" s="3">
        <v>46.863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297</v>
      </c>
      <c r="D350" s="3"/>
      <c r="E350" s="3" t="s">
        <v>297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103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297</v>
      </c>
      <c r="D351" s="3"/>
      <c r="E351" s="3" t="s">
        <v>297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319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297</v>
      </c>
      <c r="D352" s="3"/>
      <c r="E352" s="3" t="s">
        <v>297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297</v>
      </c>
      <c r="D353" s="3"/>
      <c r="E353" s="3" t="s">
        <v>297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297</v>
      </c>
      <c r="D354" s="3"/>
      <c r="E354" s="3" t="s">
        <v>297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317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297</v>
      </c>
      <c r="D355" s="3"/>
      <c r="E355" s="3" t="s">
        <v>297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298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299</v>
      </c>
      <c r="D356" s="3"/>
      <c r="E356" s="3" t="s">
        <v>299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320</v>
      </c>
      <c r="O356" s="3"/>
      <c r="P356" s="3"/>
      <c r="Q356" s="3">
        <v>4.2670000000000003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299</v>
      </c>
      <c r="D357" s="3"/>
      <c r="E357" s="3" t="s">
        <v>299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93</v>
      </c>
      <c r="O357" s="3"/>
      <c r="P357" s="3"/>
      <c r="Q357" s="3">
        <v>200.762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299</v>
      </c>
      <c r="D358" s="3"/>
      <c r="E358" s="3" t="s">
        <v>299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16</v>
      </c>
      <c r="O358" s="3"/>
      <c r="P358" s="3"/>
      <c r="Q358" s="3">
        <v>54.051000000000002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299</v>
      </c>
      <c r="D359" s="3"/>
      <c r="E359" s="3" t="s">
        <v>299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318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299</v>
      </c>
      <c r="D360" s="3"/>
      <c r="E360" s="3" t="s">
        <v>299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102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299</v>
      </c>
      <c r="D361" s="3"/>
      <c r="E361" s="3" t="s">
        <v>299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315</v>
      </c>
      <c r="O361" s="3"/>
      <c r="P361" s="3"/>
      <c r="Q361" s="3">
        <v>7.9249999999999998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299</v>
      </c>
      <c r="D362" s="3"/>
      <c r="E362" s="3" t="s">
        <v>299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316</v>
      </c>
      <c r="O362" s="3"/>
      <c r="P362" s="3"/>
      <c r="Q362" s="3">
        <v>48.738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299</v>
      </c>
      <c r="D363" s="3"/>
      <c r="E363" s="3" t="s">
        <v>299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103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299</v>
      </c>
      <c r="D364" s="3"/>
      <c r="E364" s="3" t="s">
        <v>299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319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299</v>
      </c>
      <c r="D365" s="3"/>
      <c r="E365" s="3" t="s">
        <v>299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299</v>
      </c>
      <c r="D366" s="3"/>
      <c r="E366" s="3" t="s">
        <v>299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299</v>
      </c>
      <c r="D367" s="3"/>
      <c r="E367" s="3" t="s">
        <v>299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317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299</v>
      </c>
      <c r="D368" s="3"/>
      <c r="E368" s="3" t="s">
        <v>299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300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301</v>
      </c>
      <c r="D369" s="3"/>
      <c r="E369" s="3" t="s">
        <v>301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320</v>
      </c>
      <c r="O369" s="3"/>
      <c r="P369" s="3"/>
      <c r="Q369" s="3">
        <v>4.47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301</v>
      </c>
      <c r="D370" s="3"/>
      <c r="E370" s="3" t="s">
        <v>301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93</v>
      </c>
      <c r="O370" s="3"/>
      <c r="P370" s="3"/>
      <c r="Q370" s="3">
        <v>150.571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301</v>
      </c>
      <c r="D371" s="3"/>
      <c r="E371" s="3" t="s">
        <v>301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16</v>
      </c>
      <c r="O371" s="3"/>
      <c r="P371" s="3"/>
      <c r="Q371" s="3">
        <v>40.537999999999997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301</v>
      </c>
      <c r="D372" s="3"/>
      <c r="E372" s="3" t="s">
        <v>301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318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301</v>
      </c>
      <c r="D373" s="3"/>
      <c r="E373" s="3" t="s">
        <v>301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102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301</v>
      </c>
      <c r="D374" s="3"/>
      <c r="E374" s="3" t="s">
        <v>301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315</v>
      </c>
      <c r="O374" s="3"/>
      <c r="P374" s="3"/>
      <c r="Q374" s="3">
        <v>5.9939999999999998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301</v>
      </c>
      <c r="D375" s="3"/>
      <c r="E375" s="3" t="s">
        <v>301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316</v>
      </c>
      <c r="O375" s="3"/>
      <c r="P375" s="3"/>
      <c r="Q375" s="3">
        <v>36.866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301</v>
      </c>
      <c r="D376" s="3"/>
      <c r="E376" s="3" t="s">
        <v>301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103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301</v>
      </c>
      <c r="D377" s="3"/>
      <c r="E377" s="3" t="s">
        <v>301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319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301</v>
      </c>
      <c r="D378" s="3"/>
      <c r="E378" s="3" t="s">
        <v>301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301</v>
      </c>
      <c r="D379" s="3"/>
      <c r="E379" s="3" t="s">
        <v>301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301</v>
      </c>
      <c r="D380" s="3"/>
      <c r="E380" s="3" t="s">
        <v>301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317</v>
      </c>
      <c r="O380" s="3"/>
      <c r="P380" s="3"/>
      <c r="Q380" s="3">
        <v>0.67600000000000005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301</v>
      </c>
      <c r="D381" s="3"/>
      <c r="E381" s="3" t="s">
        <v>301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302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303</v>
      </c>
      <c r="D382" s="3"/>
      <c r="E382" s="3" t="s">
        <v>303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320</v>
      </c>
      <c r="O382" s="3"/>
      <c r="P382" s="3"/>
      <c r="Q382" s="3">
        <v>4.47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303</v>
      </c>
      <c r="D383" s="3"/>
      <c r="E383" s="3" t="s">
        <v>303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93</v>
      </c>
      <c r="O383" s="3"/>
      <c r="P383" s="3"/>
      <c r="Q383" s="3">
        <v>158.49600000000001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303</v>
      </c>
      <c r="D384" s="3"/>
      <c r="E384" s="3" t="s">
        <v>303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16</v>
      </c>
      <c r="O384" s="3"/>
      <c r="P384" s="3"/>
      <c r="Q384" s="3">
        <v>42.671999999999997</v>
      </c>
      <c r="R384" s="3" t="s">
        <v>14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303</v>
      </c>
      <c r="D385" s="3"/>
      <c r="E385" s="3" t="s">
        <v>303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318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303</v>
      </c>
      <c r="D386" s="3"/>
      <c r="E386" s="3" t="s">
        <v>303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102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303</v>
      </c>
      <c r="D387" s="3"/>
      <c r="E387" s="3" t="s">
        <v>303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315</v>
      </c>
      <c r="O387" s="3"/>
      <c r="P387" s="3"/>
      <c r="Q387" s="3">
        <v>6.2990000000000004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303</v>
      </c>
      <c r="D388" s="3"/>
      <c r="E388" s="3" t="s">
        <v>303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316</v>
      </c>
      <c r="O388" s="3"/>
      <c r="P388" s="3"/>
      <c r="Q388" s="3">
        <v>38.74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303</v>
      </c>
      <c r="D389" s="3"/>
      <c r="E389" s="3" t="s">
        <v>303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103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303</v>
      </c>
      <c r="D390" s="3"/>
      <c r="E390" s="3" t="s">
        <v>303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319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303</v>
      </c>
      <c r="D391" s="3"/>
      <c r="E391" s="3" t="s">
        <v>303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303</v>
      </c>
      <c r="D392" s="3"/>
      <c r="E392" s="3" t="s">
        <v>303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303</v>
      </c>
      <c r="D393" s="3"/>
      <c r="E393" s="3" t="s">
        <v>303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317</v>
      </c>
      <c r="O393" s="3"/>
      <c r="P393" s="3"/>
      <c r="Q393" s="3">
        <v>0.67600000000000005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303</v>
      </c>
      <c r="D394" s="3"/>
      <c r="E394" s="3" t="s">
        <v>303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304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305</v>
      </c>
      <c r="D395" s="3"/>
      <c r="E395" s="3" t="s">
        <v>305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320</v>
      </c>
      <c r="O395" s="3"/>
      <c r="P395" s="3"/>
      <c r="Q395" s="3">
        <v>4.47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305</v>
      </c>
      <c r="D396" s="3"/>
      <c r="E396" s="3" t="s">
        <v>305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93</v>
      </c>
      <c r="O396" s="3"/>
      <c r="P396" s="3"/>
      <c r="Q396" s="3">
        <v>166.42099999999999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305</v>
      </c>
      <c r="D397" s="3"/>
      <c r="E397" s="3" t="s">
        <v>305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16</v>
      </c>
      <c r="O397" s="3"/>
      <c r="P397" s="3"/>
      <c r="Q397" s="3">
        <v>44.805999999999997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305</v>
      </c>
      <c r="D398" s="3"/>
      <c r="E398" s="3" t="s">
        <v>305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318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305</v>
      </c>
      <c r="D399" s="3"/>
      <c r="E399" s="3" t="s">
        <v>305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102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305</v>
      </c>
      <c r="D400" s="3"/>
      <c r="E400" s="3" t="s">
        <v>305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315</v>
      </c>
      <c r="O400" s="3"/>
      <c r="P400" s="3"/>
      <c r="Q400" s="3">
        <v>6.6040000000000001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305</v>
      </c>
      <c r="D401" s="3"/>
      <c r="E401" s="3" t="s">
        <v>305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316</v>
      </c>
      <c r="O401" s="3"/>
      <c r="P401" s="3"/>
      <c r="Q401" s="3">
        <v>40.615000000000002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305</v>
      </c>
      <c r="D402" s="3"/>
      <c r="E402" s="3" t="s">
        <v>305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103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305</v>
      </c>
      <c r="D403" s="3"/>
      <c r="E403" s="3" t="s">
        <v>305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319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305</v>
      </c>
      <c r="D404" s="3"/>
      <c r="E404" s="3" t="s">
        <v>305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305</v>
      </c>
      <c r="D405" s="3"/>
      <c r="E405" s="3" t="s">
        <v>305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305</v>
      </c>
      <c r="D406" s="3"/>
      <c r="E406" s="3" t="s">
        <v>305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317</v>
      </c>
      <c r="O406" s="3"/>
      <c r="P406" s="3"/>
      <c r="Q406" s="3">
        <v>0.67600000000000005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305</v>
      </c>
      <c r="D407" s="3"/>
      <c r="E407" s="3" t="s">
        <v>305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306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307</v>
      </c>
      <c r="D408" s="3"/>
      <c r="E408" s="3" t="s">
        <v>307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320</v>
      </c>
      <c r="O408" s="3"/>
      <c r="P408" s="3"/>
      <c r="Q408" s="3">
        <v>4.47</v>
      </c>
      <c r="R408" s="3" t="s">
        <v>14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307</v>
      </c>
      <c r="D409" s="3"/>
      <c r="E409" s="3" t="s">
        <v>307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93</v>
      </c>
      <c r="O409" s="3"/>
      <c r="P409" s="3"/>
      <c r="Q409" s="3">
        <v>174.346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307</v>
      </c>
      <c r="D410" s="3"/>
      <c r="E410" s="3" t="s">
        <v>307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16</v>
      </c>
      <c r="O410" s="3"/>
      <c r="P410" s="3"/>
      <c r="Q410" s="3">
        <v>46.939</v>
      </c>
      <c r="R410" s="3" t="s">
        <v>14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307</v>
      </c>
      <c r="D411" s="3"/>
      <c r="E411" s="3" t="s">
        <v>307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318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307</v>
      </c>
      <c r="D412" s="3"/>
      <c r="E412" s="3" t="s">
        <v>307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102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307</v>
      </c>
      <c r="D413" s="3"/>
      <c r="E413" s="3" t="s">
        <v>307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315</v>
      </c>
      <c r="O413" s="3"/>
      <c r="P413" s="3"/>
      <c r="Q413" s="3">
        <v>6.9089999999999998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307</v>
      </c>
      <c r="D414" s="3"/>
      <c r="E414" s="3" t="s">
        <v>307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316</v>
      </c>
      <c r="O414" s="3"/>
      <c r="P414" s="3"/>
      <c r="Q414" s="3">
        <v>42.488999999999997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307</v>
      </c>
      <c r="D415" s="3"/>
      <c r="E415" s="3" t="s">
        <v>307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103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307</v>
      </c>
      <c r="D416" s="3"/>
      <c r="E416" s="3" t="s">
        <v>307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319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307</v>
      </c>
      <c r="D417" s="3"/>
      <c r="E417" s="3" t="s">
        <v>307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307</v>
      </c>
      <c r="D418" s="3"/>
      <c r="E418" s="3" t="s">
        <v>307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307</v>
      </c>
      <c r="D419" s="3"/>
      <c r="E419" s="3" t="s">
        <v>307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317</v>
      </c>
      <c r="O419" s="3"/>
      <c r="P419" s="3"/>
      <c r="Q419" s="3">
        <v>0.67600000000000005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307</v>
      </c>
      <c r="D420" s="3"/>
      <c r="E420" s="3" t="s">
        <v>307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308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309</v>
      </c>
      <c r="D421" s="3"/>
      <c r="E421" s="3" t="s">
        <v>309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320</v>
      </c>
      <c r="O421" s="3"/>
      <c r="P421" s="3"/>
      <c r="Q421" s="3">
        <v>4.47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309</v>
      </c>
      <c r="D422" s="3"/>
      <c r="E422" s="3" t="s">
        <v>309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93</v>
      </c>
      <c r="O422" s="3"/>
      <c r="P422" s="3"/>
      <c r="Q422" s="3">
        <v>190.19499999999999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309</v>
      </c>
      <c r="D423" s="3"/>
      <c r="E423" s="3" t="s">
        <v>309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16</v>
      </c>
      <c r="O423" s="3"/>
      <c r="P423" s="3"/>
      <c r="Q423" s="3">
        <v>51.206000000000003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309</v>
      </c>
      <c r="D424" s="3"/>
      <c r="E424" s="3" t="s">
        <v>309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318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309</v>
      </c>
      <c r="D425" s="3"/>
      <c r="E425" s="3" t="s">
        <v>309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102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309</v>
      </c>
      <c r="D426" s="3"/>
      <c r="E426" s="3" t="s">
        <v>309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315</v>
      </c>
      <c r="O426" s="3"/>
      <c r="P426" s="3"/>
      <c r="Q426" s="3">
        <v>7.5179999999999998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309</v>
      </c>
      <c r="D427" s="3"/>
      <c r="E427" s="3" t="s">
        <v>309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316</v>
      </c>
      <c r="O427" s="3"/>
      <c r="P427" s="3"/>
      <c r="Q427" s="3">
        <v>46.238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309</v>
      </c>
      <c r="D428" s="3"/>
      <c r="E428" s="3" t="s">
        <v>309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103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309</v>
      </c>
      <c r="D429" s="3"/>
      <c r="E429" s="3" t="s">
        <v>309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319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309</v>
      </c>
      <c r="D430" s="3"/>
      <c r="E430" s="3" t="s">
        <v>309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309</v>
      </c>
      <c r="D431" s="3"/>
      <c r="E431" s="3" t="s">
        <v>309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309</v>
      </c>
      <c r="D432" s="3"/>
      <c r="E432" s="3" t="s">
        <v>309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317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309</v>
      </c>
      <c r="D433" s="3"/>
      <c r="E433" s="3" t="s">
        <v>309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310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311</v>
      </c>
      <c r="D434" s="3"/>
      <c r="E434" s="3" t="s">
        <v>311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320</v>
      </c>
      <c r="O434" s="3"/>
      <c r="P434" s="3"/>
      <c r="Q434" s="3">
        <v>4.47</v>
      </c>
      <c r="R434" s="3" t="s">
        <v>14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311</v>
      </c>
      <c r="D435" s="3"/>
      <c r="E435" s="3" t="s">
        <v>311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93</v>
      </c>
      <c r="O435" s="3"/>
      <c r="P435" s="3"/>
      <c r="Q435" s="3">
        <v>198.12</v>
      </c>
      <c r="R435" s="3" t="s">
        <v>14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311</v>
      </c>
      <c r="D436" s="3"/>
      <c r="E436" s="3" t="s">
        <v>311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16</v>
      </c>
      <c r="O436" s="3"/>
      <c r="P436" s="3"/>
      <c r="Q436" s="3">
        <v>53.34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311</v>
      </c>
      <c r="D437" s="3"/>
      <c r="E437" s="3" t="s">
        <v>311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318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311</v>
      </c>
      <c r="D438" s="3"/>
      <c r="E438" s="3" t="s">
        <v>311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102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311</v>
      </c>
      <c r="D439" s="3"/>
      <c r="E439" s="3" t="s">
        <v>311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315</v>
      </c>
      <c r="O439" s="3"/>
      <c r="P439" s="3"/>
      <c r="Q439" s="3">
        <v>7.8230000000000004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311</v>
      </c>
      <c r="D440" s="3"/>
      <c r="E440" s="3" t="s">
        <v>311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316</v>
      </c>
      <c r="O440" s="3"/>
      <c r="P440" s="3"/>
      <c r="Q440" s="3">
        <v>48.113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311</v>
      </c>
      <c r="D441" s="3"/>
      <c r="E441" s="3" t="s">
        <v>311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103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311</v>
      </c>
      <c r="D442" s="3"/>
      <c r="E442" s="3" t="s">
        <v>311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319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311</v>
      </c>
      <c r="D443" s="3"/>
      <c r="E443" s="3" t="s">
        <v>311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311</v>
      </c>
      <c r="D444" s="3"/>
      <c r="E444" s="3" t="s">
        <v>311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311</v>
      </c>
      <c r="D445" s="3"/>
      <c r="E445" s="3" t="s">
        <v>311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317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311</v>
      </c>
      <c r="D446" s="3"/>
      <c r="E446" s="3" t="s">
        <v>311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312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313</v>
      </c>
      <c r="D447" s="3"/>
      <c r="E447" s="3" t="s">
        <v>313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320</v>
      </c>
      <c r="O447" s="3"/>
      <c r="P447" s="3"/>
      <c r="Q447" s="3">
        <v>4.47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313</v>
      </c>
      <c r="D448" s="3"/>
      <c r="E448" s="3" t="s">
        <v>313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93</v>
      </c>
      <c r="O448" s="3"/>
      <c r="P448" s="3"/>
      <c r="Q448" s="3">
        <v>206.04499999999999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313</v>
      </c>
      <c r="D449" s="3"/>
      <c r="E449" s="3" t="s">
        <v>313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16</v>
      </c>
      <c r="O449" s="3"/>
      <c r="P449" s="3"/>
      <c r="Q449" s="3">
        <v>55.473999999999997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313</v>
      </c>
      <c r="D450" s="3"/>
      <c r="E450" s="3" t="s">
        <v>313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318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313</v>
      </c>
      <c r="D451" s="3"/>
      <c r="E451" s="3" t="s">
        <v>313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102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313</v>
      </c>
      <c r="D452" s="3"/>
      <c r="E452" s="3" t="s">
        <v>313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315</v>
      </c>
      <c r="O452" s="3"/>
      <c r="P452" s="3"/>
      <c r="Q452" s="3">
        <v>8.1280000000000001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313</v>
      </c>
      <c r="D453" s="3"/>
      <c r="E453" s="3" t="s">
        <v>313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316</v>
      </c>
      <c r="O453" s="3"/>
      <c r="P453" s="3"/>
      <c r="Q453" s="3">
        <v>49.987000000000002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313</v>
      </c>
      <c r="D454" s="3"/>
      <c r="E454" s="3" t="s">
        <v>313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103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313</v>
      </c>
      <c r="D455" s="3"/>
      <c r="E455" s="3" t="s">
        <v>313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319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313</v>
      </c>
      <c r="D456" s="3"/>
      <c r="E456" s="3" t="s">
        <v>313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313</v>
      </c>
      <c r="D457" s="3"/>
      <c r="E457" s="3" t="s">
        <v>313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313</v>
      </c>
      <c r="D458" s="3"/>
      <c r="E458" s="3" t="s">
        <v>313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317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313</v>
      </c>
      <c r="D459" s="3"/>
      <c r="E459" s="3" t="s">
        <v>313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314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105</v>
      </c>
      <c r="D460" s="3"/>
      <c r="E460" s="3" t="s">
        <v>105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320</v>
      </c>
      <c r="O460" s="3"/>
      <c r="P460" s="3"/>
      <c r="Q460" s="3">
        <v>1.778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105</v>
      </c>
      <c r="D461" s="3"/>
      <c r="E461" s="3" t="s">
        <v>105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93</v>
      </c>
      <c r="O461" s="3"/>
      <c r="P461" s="3"/>
      <c r="Q461" s="3">
        <v>134.72200000000001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105</v>
      </c>
      <c r="D462" s="3"/>
      <c r="E462" s="3" t="s">
        <v>105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16</v>
      </c>
      <c r="O462" s="3"/>
      <c r="P462" s="3"/>
      <c r="Q462" s="3">
        <v>36.271000000000001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105</v>
      </c>
      <c r="D463" s="3"/>
      <c r="E463" s="3" t="s">
        <v>105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318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105</v>
      </c>
      <c r="D464" s="3"/>
      <c r="E464" s="3" t="s">
        <v>105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102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105</v>
      </c>
      <c r="D465" s="3"/>
      <c r="E465" s="3" t="s">
        <v>105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315</v>
      </c>
      <c r="O465" s="3"/>
      <c r="P465" s="3"/>
      <c r="Q465" s="3">
        <v>5.3849999999999998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105</v>
      </c>
      <c r="D466" s="3"/>
      <c r="E466" s="3" t="s">
        <v>105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316</v>
      </c>
      <c r="O466" s="3"/>
      <c r="P466" s="3"/>
      <c r="Q466" s="3">
        <v>33.116999999999997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105</v>
      </c>
      <c r="D467" s="3"/>
      <c r="E467" s="3" t="s">
        <v>105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103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105</v>
      </c>
      <c r="D468" s="3"/>
      <c r="E468" s="3" t="s">
        <v>105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319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105</v>
      </c>
      <c r="D469" s="3"/>
      <c r="E469" s="3" t="s">
        <v>105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105</v>
      </c>
      <c r="D470" s="3"/>
      <c r="E470" s="3" t="s">
        <v>105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105</v>
      </c>
      <c r="D471" s="3"/>
      <c r="E471" s="3" t="s">
        <v>105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317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105</v>
      </c>
      <c r="D472" s="3"/>
      <c r="E472" s="3" t="s">
        <v>105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106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107</v>
      </c>
      <c r="D473" s="3"/>
      <c r="E473" s="3" t="s">
        <v>107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320</v>
      </c>
      <c r="O473" s="3"/>
      <c r="P473" s="3"/>
      <c r="Q473" s="3">
        <v>2.0830000000000002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107</v>
      </c>
      <c r="D474" s="3"/>
      <c r="E474" s="3" t="s">
        <v>107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93</v>
      </c>
      <c r="O474" s="3"/>
      <c r="P474" s="3"/>
      <c r="Q474" s="3">
        <v>142.64599999999999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107</v>
      </c>
      <c r="D475" s="3"/>
      <c r="E475" s="3" t="s">
        <v>107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16</v>
      </c>
      <c r="O475" s="3"/>
      <c r="P475" s="3"/>
      <c r="Q475" s="3">
        <v>38.405000000000001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107</v>
      </c>
      <c r="D476" s="3"/>
      <c r="E476" s="3" t="s">
        <v>107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318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107</v>
      </c>
      <c r="D477" s="3"/>
      <c r="E477" s="3" t="s">
        <v>107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107</v>
      </c>
      <c r="D478" s="3"/>
      <c r="E478" s="3" t="s">
        <v>107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315</v>
      </c>
      <c r="O478" s="3"/>
      <c r="P478" s="3"/>
      <c r="Q478" s="3">
        <v>5.69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107</v>
      </c>
      <c r="D479" s="3"/>
      <c r="E479" s="3" t="s">
        <v>107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316</v>
      </c>
      <c r="O479" s="3"/>
      <c r="P479" s="3"/>
      <c r="Q479" s="3">
        <v>34.991</v>
      </c>
      <c r="R479" s="3" t="s">
        <v>14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107</v>
      </c>
      <c r="D480" s="3"/>
      <c r="E480" s="3" t="s">
        <v>107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103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107</v>
      </c>
      <c r="D481" s="3"/>
      <c r="E481" s="3" t="s">
        <v>107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319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107</v>
      </c>
      <c r="D482" s="3"/>
      <c r="E482" s="3" t="s">
        <v>107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107</v>
      </c>
      <c r="D483" s="3"/>
      <c r="E483" s="3" t="s">
        <v>107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107</v>
      </c>
      <c r="D484" s="3"/>
      <c r="E484" s="3" t="s">
        <v>107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317</v>
      </c>
      <c r="O484" s="3"/>
      <c r="P484" s="3"/>
      <c r="Q484" s="3">
        <v>0.32300000000000001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107</v>
      </c>
      <c r="D485" s="3"/>
      <c r="E485" s="3" t="s">
        <v>107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108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109</v>
      </c>
      <c r="D486" s="3"/>
      <c r="E486" s="3" t="s">
        <v>109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320</v>
      </c>
      <c r="O486" s="3"/>
      <c r="P486" s="3"/>
      <c r="Q486" s="3">
        <v>2.3879999999999999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109</v>
      </c>
      <c r="D487" s="3"/>
      <c r="E487" s="3" t="s">
        <v>109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93</v>
      </c>
      <c r="O487" s="3"/>
      <c r="P487" s="3"/>
      <c r="Q487" s="3">
        <v>150.571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109</v>
      </c>
      <c r="D488" s="3"/>
      <c r="E488" s="3" t="s">
        <v>109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16</v>
      </c>
      <c r="O488" s="3"/>
      <c r="P488" s="3"/>
      <c r="Q488" s="3">
        <v>40.537999999999997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109</v>
      </c>
      <c r="D489" s="3"/>
      <c r="E489" s="3" t="s">
        <v>109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318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109</v>
      </c>
      <c r="D490" s="3"/>
      <c r="E490" s="3" t="s">
        <v>109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102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109</v>
      </c>
      <c r="D491" s="3"/>
      <c r="E491" s="3" t="s">
        <v>109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315</v>
      </c>
      <c r="O491" s="3"/>
      <c r="P491" s="3"/>
      <c r="Q491" s="3">
        <v>5.9939999999999998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109</v>
      </c>
      <c r="D492" s="3"/>
      <c r="E492" s="3" t="s">
        <v>109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316</v>
      </c>
      <c r="O492" s="3"/>
      <c r="P492" s="3"/>
      <c r="Q492" s="3">
        <v>36.866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109</v>
      </c>
      <c r="D493" s="3"/>
      <c r="E493" s="3" t="s">
        <v>109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103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109</v>
      </c>
      <c r="D494" s="3"/>
      <c r="E494" s="3" t="s">
        <v>109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319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109</v>
      </c>
      <c r="D495" s="3"/>
      <c r="E495" s="3" t="s">
        <v>109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109</v>
      </c>
      <c r="D496" s="3"/>
      <c r="E496" s="3" t="s">
        <v>109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109</v>
      </c>
      <c r="D497" s="3"/>
      <c r="E497" s="3" t="s">
        <v>109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317</v>
      </c>
      <c r="O497" s="3"/>
      <c r="P497" s="3"/>
      <c r="Q497" s="3">
        <v>0.36799999999999999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109</v>
      </c>
      <c r="D498" s="3"/>
      <c r="E498" s="3" t="s">
        <v>109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110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111</v>
      </c>
      <c r="D499" s="3"/>
      <c r="E499" s="3" t="s">
        <v>111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320</v>
      </c>
      <c r="O499" s="3"/>
      <c r="P499" s="3"/>
      <c r="Q499" s="3">
        <v>2.6920000000000002</v>
      </c>
      <c r="R499" s="3" t="s">
        <v>14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111</v>
      </c>
      <c r="D500" s="3"/>
      <c r="E500" s="3" t="s">
        <v>111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93</v>
      </c>
      <c r="O500" s="3"/>
      <c r="P500" s="3"/>
      <c r="Q500" s="3">
        <v>158.49600000000001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111</v>
      </c>
      <c r="D501" s="3"/>
      <c r="E501" s="3" t="s">
        <v>111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16</v>
      </c>
      <c r="O501" s="3"/>
      <c r="P501" s="3"/>
      <c r="Q501" s="3">
        <v>42.671999999999997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111</v>
      </c>
      <c r="D502" s="3"/>
      <c r="E502" s="3" t="s">
        <v>111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318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111</v>
      </c>
      <c r="D503" s="3"/>
      <c r="E503" s="3" t="s">
        <v>111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102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111</v>
      </c>
      <c r="D504" s="3"/>
      <c r="E504" s="3" t="s">
        <v>111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315</v>
      </c>
      <c r="O504" s="3"/>
      <c r="P504" s="3"/>
      <c r="Q504" s="3">
        <v>6.2990000000000004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111</v>
      </c>
      <c r="D505" s="3"/>
      <c r="E505" s="3" t="s">
        <v>111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316</v>
      </c>
      <c r="O505" s="3"/>
      <c r="P505" s="3"/>
      <c r="Q505" s="3">
        <v>38.74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111</v>
      </c>
      <c r="D506" s="3"/>
      <c r="E506" s="3" t="s">
        <v>111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103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111</v>
      </c>
      <c r="D507" s="3"/>
      <c r="E507" s="3" t="s">
        <v>111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319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111</v>
      </c>
      <c r="D508" s="3"/>
      <c r="E508" s="3" t="s">
        <v>111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111</v>
      </c>
      <c r="D509" s="3"/>
      <c r="E509" s="3" t="s">
        <v>111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111</v>
      </c>
      <c r="D510" s="3"/>
      <c r="E510" s="3" t="s">
        <v>111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317</v>
      </c>
      <c r="O510" s="3"/>
      <c r="P510" s="3"/>
      <c r="Q510" s="3">
        <v>0.41299999999999998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111</v>
      </c>
      <c r="D511" s="3"/>
      <c r="E511" s="3" t="s">
        <v>111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112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113</v>
      </c>
      <c r="D512" s="3"/>
      <c r="E512" s="3" t="s">
        <v>113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320</v>
      </c>
      <c r="O512" s="3"/>
      <c r="P512" s="3"/>
      <c r="Q512" s="3">
        <v>3.302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113</v>
      </c>
      <c r="D513" s="3"/>
      <c r="E513" s="3" t="s">
        <v>113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93</v>
      </c>
      <c r="O513" s="3"/>
      <c r="P513" s="3"/>
      <c r="Q513" s="3">
        <v>174.346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113</v>
      </c>
      <c r="D514" s="3"/>
      <c r="E514" s="3" t="s">
        <v>113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16</v>
      </c>
      <c r="O514" s="3"/>
      <c r="P514" s="3"/>
      <c r="Q514" s="3">
        <v>46.939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113</v>
      </c>
      <c r="D515" s="3"/>
      <c r="E515" s="3" t="s">
        <v>113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318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113</v>
      </c>
      <c r="D516" s="3"/>
      <c r="E516" s="3" t="s">
        <v>113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102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113</v>
      </c>
      <c r="D517" s="3"/>
      <c r="E517" s="3" t="s">
        <v>113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315</v>
      </c>
      <c r="O517" s="3"/>
      <c r="P517" s="3"/>
      <c r="Q517" s="3">
        <v>6.9089999999999998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113</v>
      </c>
      <c r="D518" s="3"/>
      <c r="E518" s="3" t="s">
        <v>113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316</v>
      </c>
      <c r="O518" s="3"/>
      <c r="P518" s="3"/>
      <c r="Q518" s="3">
        <v>42.488999999999997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113</v>
      </c>
      <c r="D519" s="3"/>
      <c r="E519" s="3" t="s">
        <v>113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103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113</v>
      </c>
      <c r="D520" s="3"/>
      <c r="E520" s="3" t="s">
        <v>113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319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113</v>
      </c>
      <c r="D521" s="3"/>
      <c r="E521" s="3" t="s">
        <v>113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113</v>
      </c>
      <c r="D522" s="3"/>
      <c r="E522" s="3" t="s">
        <v>113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113</v>
      </c>
      <c r="D523" s="3"/>
      <c r="E523" s="3" t="s">
        <v>113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317</v>
      </c>
      <c r="O523" s="3"/>
      <c r="P523" s="3"/>
      <c r="Q523" s="3">
        <v>0.503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113</v>
      </c>
      <c r="D524" s="3"/>
      <c r="E524" s="3" t="s">
        <v>113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114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115</v>
      </c>
      <c r="D525" s="3"/>
      <c r="E525" s="3" t="s">
        <v>115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320</v>
      </c>
      <c r="O525" s="3"/>
      <c r="P525" s="3"/>
      <c r="Q525" s="3">
        <v>3.6070000000000002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115</v>
      </c>
      <c r="D526" s="3"/>
      <c r="E526" s="3" t="s">
        <v>115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93</v>
      </c>
      <c r="O526" s="3"/>
      <c r="P526" s="3"/>
      <c r="Q526" s="3">
        <v>182.27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115</v>
      </c>
      <c r="D527" s="3"/>
      <c r="E527" s="3" t="s">
        <v>115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16</v>
      </c>
      <c r="O527" s="3"/>
      <c r="P527" s="3"/>
      <c r="Q527" s="3">
        <v>49.073</v>
      </c>
      <c r="R527" s="3" t="s">
        <v>14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115</v>
      </c>
      <c r="D528" s="3"/>
      <c r="E528" s="3" t="s">
        <v>115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318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115</v>
      </c>
      <c r="D529" s="3"/>
      <c r="E529" s="3" t="s">
        <v>115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102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115</v>
      </c>
      <c r="D530" s="3"/>
      <c r="E530" s="3" t="s">
        <v>115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315</v>
      </c>
      <c r="O530" s="3"/>
      <c r="P530" s="3"/>
      <c r="Q530" s="3">
        <v>7.2140000000000004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115</v>
      </c>
      <c r="D531" s="3"/>
      <c r="E531" s="3" t="s">
        <v>115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316</v>
      </c>
      <c r="O531" s="3"/>
      <c r="P531" s="3"/>
      <c r="Q531" s="3">
        <v>44.363999999999997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115</v>
      </c>
      <c r="D532" s="3"/>
      <c r="E532" s="3" t="s">
        <v>115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103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115</v>
      </c>
      <c r="D533" s="3"/>
      <c r="E533" s="3" t="s">
        <v>115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319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115</v>
      </c>
      <c r="D534" s="3"/>
      <c r="E534" s="3" t="s">
        <v>115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115</v>
      </c>
      <c r="D535" s="3"/>
      <c r="E535" s="3" t="s">
        <v>115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115</v>
      </c>
      <c r="D536" s="3"/>
      <c r="E536" s="3" t="s">
        <v>115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317</v>
      </c>
      <c r="O536" s="3"/>
      <c r="P536" s="3"/>
      <c r="Q536" s="3">
        <v>0.54800000000000004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115</v>
      </c>
      <c r="D537" s="3"/>
      <c r="E537" s="3" t="s">
        <v>115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116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117</v>
      </c>
      <c r="D538" s="3"/>
      <c r="E538" s="3" t="s">
        <v>117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320</v>
      </c>
      <c r="O538" s="3"/>
      <c r="P538" s="3"/>
      <c r="Q538" s="3">
        <v>3.9119999999999999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117</v>
      </c>
      <c r="D539" s="3"/>
      <c r="E539" s="3" t="s">
        <v>117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93</v>
      </c>
      <c r="O539" s="3"/>
      <c r="P539" s="3"/>
      <c r="Q539" s="3">
        <v>190.19499999999999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117</v>
      </c>
      <c r="D540" s="3"/>
      <c r="E540" s="3" t="s">
        <v>117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16</v>
      </c>
      <c r="O540" s="3"/>
      <c r="P540" s="3"/>
      <c r="Q540" s="3">
        <v>51.206000000000003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117</v>
      </c>
      <c r="D541" s="3"/>
      <c r="E541" s="3" t="s">
        <v>117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318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117</v>
      </c>
      <c r="D542" s="3"/>
      <c r="E542" s="3" t="s">
        <v>117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102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117</v>
      </c>
      <c r="D543" s="3"/>
      <c r="E543" s="3" t="s">
        <v>117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315</v>
      </c>
      <c r="O543" s="3"/>
      <c r="P543" s="3"/>
      <c r="Q543" s="3">
        <v>7.5179999999999998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117</v>
      </c>
      <c r="D544" s="3"/>
      <c r="E544" s="3" t="s">
        <v>117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316</v>
      </c>
      <c r="O544" s="3"/>
      <c r="P544" s="3"/>
      <c r="Q544" s="3">
        <v>46.238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117</v>
      </c>
      <c r="D545" s="3"/>
      <c r="E545" s="3" t="s">
        <v>117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103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117</v>
      </c>
      <c r="D546" s="3"/>
      <c r="E546" s="3" t="s">
        <v>117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319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117</v>
      </c>
      <c r="D547" s="3"/>
      <c r="E547" s="3" t="s">
        <v>117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117</v>
      </c>
      <c r="D548" s="3"/>
      <c r="E548" s="3" t="s">
        <v>117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117</v>
      </c>
      <c r="D549" s="3"/>
      <c r="E549" s="3" t="s">
        <v>117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317</v>
      </c>
      <c r="O549" s="3"/>
      <c r="P549" s="3"/>
      <c r="Q549" s="3">
        <v>0.59299999999999997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117</v>
      </c>
      <c r="D550" s="3"/>
      <c r="E550" s="3" t="s">
        <v>117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118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119</v>
      </c>
      <c r="D551" s="3"/>
      <c r="E551" s="3" t="s">
        <v>119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320</v>
      </c>
      <c r="O551" s="3"/>
      <c r="P551" s="3"/>
      <c r="Q551" s="3">
        <v>1.778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119</v>
      </c>
      <c r="D552" s="3"/>
      <c r="E552" s="3" t="s">
        <v>119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93</v>
      </c>
      <c r="O552" s="3"/>
      <c r="P552" s="3"/>
      <c r="Q552" s="3">
        <v>138.684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119</v>
      </c>
      <c r="D553" s="3"/>
      <c r="E553" s="3" t="s">
        <v>119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16</v>
      </c>
      <c r="O553" s="3"/>
      <c r="P553" s="3"/>
      <c r="Q553" s="3">
        <v>37.338000000000001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119</v>
      </c>
      <c r="D554" s="3"/>
      <c r="E554" s="3" t="s">
        <v>119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318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119</v>
      </c>
      <c r="D555" s="3"/>
      <c r="E555" s="3" t="s">
        <v>119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102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119</v>
      </c>
      <c r="D556" s="3"/>
      <c r="E556" s="3" t="s">
        <v>119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315</v>
      </c>
      <c r="O556" s="3"/>
      <c r="P556" s="3"/>
      <c r="Q556" s="3">
        <v>5.5369999999999999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119</v>
      </c>
      <c r="D557" s="3"/>
      <c r="E557" s="3" t="s">
        <v>119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316</v>
      </c>
      <c r="O557" s="3"/>
      <c r="P557" s="3"/>
      <c r="Q557" s="3">
        <v>34.054000000000002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119</v>
      </c>
      <c r="D558" s="3"/>
      <c r="E558" s="3" t="s">
        <v>119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103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119</v>
      </c>
      <c r="D559" s="3"/>
      <c r="E559" s="3" t="s">
        <v>119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319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119</v>
      </c>
      <c r="D560" s="3"/>
      <c r="E560" s="3" t="s">
        <v>119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119</v>
      </c>
      <c r="D561" s="3"/>
      <c r="E561" s="3" t="s">
        <v>119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119</v>
      </c>
      <c r="D562" s="3"/>
      <c r="E562" s="3" t="s">
        <v>119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317</v>
      </c>
      <c r="O562" s="3"/>
      <c r="P562" s="3"/>
      <c r="Q562" s="3">
        <v>0.27800000000000002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119</v>
      </c>
      <c r="D563" s="3"/>
      <c r="E563" s="3" t="s">
        <v>119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120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121</v>
      </c>
      <c r="D564" s="3"/>
      <c r="E564" s="3" t="s">
        <v>121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320</v>
      </c>
      <c r="O564" s="3"/>
      <c r="P564" s="3"/>
      <c r="Q564" s="3">
        <v>2.0830000000000002</v>
      </c>
      <c r="R564" s="3" t="s">
        <v>14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121</v>
      </c>
      <c r="D565" s="3"/>
      <c r="E565" s="3" t="s">
        <v>121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93</v>
      </c>
      <c r="O565" s="3"/>
      <c r="P565" s="3"/>
      <c r="Q565" s="3">
        <v>146.60900000000001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121</v>
      </c>
      <c r="D566" s="3"/>
      <c r="E566" s="3" t="s">
        <v>121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16</v>
      </c>
      <c r="O566" s="3"/>
      <c r="P566" s="3"/>
      <c r="Q566" s="3">
        <v>39.472000000000001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121</v>
      </c>
      <c r="D567" s="3"/>
      <c r="E567" s="3" t="s">
        <v>121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318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121</v>
      </c>
      <c r="D568" s="3"/>
      <c r="E568" s="3" t="s">
        <v>121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102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121</v>
      </c>
      <c r="D569" s="3"/>
      <c r="E569" s="3" t="s">
        <v>121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315</v>
      </c>
      <c r="O569" s="3"/>
      <c r="P569" s="3"/>
      <c r="Q569" s="3">
        <v>5.8419999999999996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121</v>
      </c>
      <c r="D570" s="3"/>
      <c r="E570" s="3" t="s">
        <v>121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316</v>
      </c>
      <c r="O570" s="3"/>
      <c r="P570" s="3"/>
      <c r="Q570" s="3">
        <v>35.927999999999997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121</v>
      </c>
      <c r="D571" s="3"/>
      <c r="E571" s="3" t="s">
        <v>121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103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121</v>
      </c>
      <c r="D572" s="3"/>
      <c r="E572" s="3" t="s">
        <v>121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319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121</v>
      </c>
      <c r="D573" s="3"/>
      <c r="E573" s="3" t="s">
        <v>121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121</v>
      </c>
      <c r="D574" s="3"/>
      <c r="E574" s="3" t="s">
        <v>121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121</v>
      </c>
      <c r="D575" s="3"/>
      <c r="E575" s="3" t="s">
        <v>121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317</v>
      </c>
      <c r="O575" s="3"/>
      <c r="P575" s="3"/>
      <c r="Q575" s="3">
        <v>0.32300000000000001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121</v>
      </c>
      <c r="D576" s="3"/>
      <c r="E576" s="3" t="s">
        <v>121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122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123</v>
      </c>
      <c r="D577" s="3"/>
      <c r="E577" s="3" t="s">
        <v>123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320</v>
      </c>
      <c r="O577" s="3"/>
      <c r="P577" s="3"/>
      <c r="Q577" s="3">
        <v>2.3879999999999999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123</v>
      </c>
      <c r="D578" s="3"/>
      <c r="E578" s="3" t="s">
        <v>123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93</v>
      </c>
      <c r="O578" s="3"/>
      <c r="P578" s="3"/>
      <c r="Q578" s="3">
        <v>154.53399999999999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123</v>
      </c>
      <c r="D579" s="3"/>
      <c r="E579" s="3" t="s">
        <v>123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16</v>
      </c>
      <c r="O579" s="3"/>
      <c r="P579" s="3"/>
      <c r="Q579" s="3">
        <v>41.604999999999997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123</v>
      </c>
      <c r="D580" s="3"/>
      <c r="E580" s="3" t="s">
        <v>123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318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123</v>
      </c>
      <c r="D581" s="3"/>
      <c r="E581" s="3" t="s">
        <v>123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102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123</v>
      </c>
      <c r="D582" s="3"/>
      <c r="E582" s="3" t="s">
        <v>123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315</v>
      </c>
      <c r="O582" s="3"/>
      <c r="P582" s="3"/>
      <c r="Q582" s="3">
        <v>6.1470000000000002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123</v>
      </c>
      <c r="D583" s="3"/>
      <c r="E583" s="3" t="s">
        <v>123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316</v>
      </c>
      <c r="O583" s="3"/>
      <c r="P583" s="3"/>
      <c r="Q583" s="3">
        <v>37.802999999999997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123</v>
      </c>
      <c r="D584" s="3"/>
      <c r="E584" s="3" t="s">
        <v>123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103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123</v>
      </c>
      <c r="D585" s="3"/>
      <c r="E585" s="3" t="s">
        <v>123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319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123</v>
      </c>
      <c r="D586" s="3"/>
      <c r="E586" s="3" t="s">
        <v>123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123</v>
      </c>
      <c r="D587" s="3"/>
      <c r="E587" s="3" t="s">
        <v>123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123</v>
      </c>
      <c r="D588" s="3"/>
      <c r="E588" s="3" t="s">
        <v>123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317</v>
      </c>
      <c r="O588" s="3"/>
      <c r="P588" s="3"/>
      <c r="Q588" s="3">
        <v>0.36799999999999999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123</v>
      </c>
      <c r="D589" s="3"/>
      <c r="E589" s="3" t="s">
        <v>123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124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125</v>
      </c>
      <c r="D590" s="3"/>
      <c r="E590" s="3" t="s">
        <v>125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320</v>
      </c>
      <c r="O590" s="3"/>
      <c r="P590" s="3"/>
      <c r="Q590" s="3">
        <v>2.6920000000000002</v>
      </c>
      <c r="R590" s="3" t="s">
        <v>14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125</v>
      </c>
      <c r="D591" s="3"/>
      <c r="E591" s="3" t="s">
        <v>125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93</v>
      </c>
      <c r="O591" s="3"/>
      <c r="P591" s="3"/>
      <c r="Q591" s="3">
        <v>162.458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125</v>
      </c>
      <c r="D592" s="3"/>
      <c r="E592" s="3" t="s">
        <v>125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16</v>
      </c>
      <c r="O592" s="3"/>
      <c r="P592" s="3"/>
      <c r="Q592" s="3">
        <v>43.738999999999997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125</v>
      </c>
      <c r="D593" s="3"/>
      <c r="E593" s="3" t="s">
        <v>125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318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125</v>
      </c>
      <c r="D594" s="3"/>
      <c r="E594" s="3" t="s">
        <v>125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102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125</v>
      </c>
      <c r="D595" s="3"/>
      <c r="E595" s="3" t="s">
        <v>125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315</v>
      </c>
      <c r="O595" s="3"/>
      <c r="P595" s="3"/>
      <c r="Q595" s="3">
        <v>6.452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125</v>
      </c>
      <c r="D596" s="3"/>
      <c r="E596" s="3" t="s">
        <v>125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316</v>
      </c>
      <c r="O596" s="3"/>
      <c r="P596" s="3"/>
      <c r="Q596" s="3">
        <v>39.677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125</v>
      </c>
      <c r="D597" s="3"/>
      <c r="E597" s="3" t="s">
        <v>125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103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125</v>
      </c>
      <c r="D598" s="3"/>
      <c r="E598" s="3" t="s">
        <v>125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319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125</v>
      </c>
      <c r="D599" s="3"/>
      <c r="E599" s="3" t="s">
        <v>125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125</v>
      </c>
      <c r="D600" s="3"/>
      <c r="E600" s="3" t="s">
        <v>125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125</v>
      </c>
      <c r="D601" s="3"/>
      <c r="E601" s="3" t="s">
        <v>125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317</v>
      </c>
      <c r="O601" s="3"/>
      <c r="P601" s="3"/>
      <c r="Q601" s="3">
        <v>0.41299999999999998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125</v>
      </c>
      <c r="D602" s="3"/>
      <c r="E602" s="3" t="s">
        <v>125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126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127</v>
      </c>
      <c r="D603" s="3"/>
      <c r="E603" s="3" t="s">
        <v>127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320</v>
      </c>
      <c r="O603" s="3"/>
      <c r="P603" s="3"/>
      <c r="Q603" s="3">
        <v>3.302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127</v>
      </c>
      <c r="D604" s="3"/>
      <c r="E604" s="3" t="s">
        <v>127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93</v>
      </c>
      <c r="O604" s="3"/>
      <c r="P604" s="3"/>
      <c r="Q604" s="3">
        <v>178.30799999999999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127</v>
      </c>
      <c r="D605" s="3"/>
      <c r="E605" s="3" t="s">
        <v>127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16</v>
      </c>
      <c r="O605" s="3"/>
      <c r="P605" s="3"/>
      <c r="Q605" s="3">
        <v>48.006</v>
      </c>
      <c r="R605" s="3" t="s">
        <v>14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127</v>
      </c>
      <c r="D606" s="3"/>
      <c r="E606" s="3" t="s">
        <v>127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318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127</v>
      </c>
      <c r="D607" s="3"/>
      <c r="E607" s="3" t="s">
        <v>127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102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127</v>
      </c>
      <c r="D608" s="3"/>
      <c r="E608" s="3" t="s">
        <v>127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315</v>
      </c>
      <c r="O608" s="3"/>
      <c r="P608" s="3"/>
      <c r="Q608" s="3">
        <v>7.0609999999999999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127</v>
      </c>
      <c r="D609" s="3"/>
      <c r="E609" s="3" t="s">
        <v>127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316</v>
      </c>
      <c r="O609" s="3"/>
      <c r="P609" s="3"/>
      <c r="Q609" s="3">
        <v>43.426000000000002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127</v>
      </c>
      <c r="D610" s="3"/>
      <c r="E610" s="3" t="s">
        <v>127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103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127</v>
      </c>
      <c r="D611" s="3"/>
      <c r="E611" s="3" t="s">
        <v>127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319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127</v>
      </c>
      <c r="D612" s="3"/>
      <c r="E612" s="3" t="s">
        <v>127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127</v>
      </c>
      <c r="D613" s="3"/>
      <c r="E613" s="3" t="s">
        <v>127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127</v>
      </c>
      <c r="D614" s="3"/>
      <c r="E614" s="3" t="s">
        <v>127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317</v>
      </c>
      <c r="O614" s="3"/>
      <c r="P614" s="3"/>
      <c r="Q614" s="3">
        <v>0.503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127</v>
      </c>
      <c r="D615" s="3"/>
      <c r="E615" s="3" t="s">
        <v>127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128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129</v>
      </c>
      <c r="D616" s="3"/>
      <c r="E616" s="3" t="s">
        <v>129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320</v>
      </c>
      <c r="O616" s="3"/>
      <c r="P616" s="3"/>
      <c r="Q616" s="3">
        <v>3.6070000000000002</v>
      </c>
      <c r="R616" s="3" t="s">
        <v>14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129</v>
      </c>
      <c r="D617" s="3"/>
      <c r="E617" s="3" t="s">
        <v>129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93</v>
      </c>
      <c r="O617" s="3"/>
      <c r="P617" s="3"/>
      <c r="Q617" s="3">
        <v>186.233</v>
      </c>
      <c r="R617" s="3" t="s">
        <v>14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129</v>
      </c>
      <c r="D618" s="3"/>
      <c r="E618" s="3" t="s">
        <v>129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16</v>
      </c>
      <c r="O618" s="3"/>
      <c r="P618" s="3"/>
      <c r="Q618" s="3">
        <v>50.14</v>
      </c>
      <c r="R618" s="3" t="s">
        <v>14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129</v>
      </c>
      <c r="D619" s="3"/>
      <c r="E619" s="3" t="s">
        <v>129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318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129</v>
      </c>
      <c r="D620" s="3"/>
      <c r="E620" s="3" t="s">
        <v>129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102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129</v>
      </c>
      <c r="D621" s="3"/>
      <c r="E621" s="3" t="s">
        <v>129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315</v>
      </c>
      <c r="O621" s="3"/>
      <c r="P621" s="3"/>
      <c r="Q621" s="3">
        <v>7.3659999999999997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129</v>
      </c>
      <c r="D622" s="3"/>
      <c r="E622" s="3" t="s">
        <v>129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316</v>
      </c>
      <c r="O622" s="3"/>
      <c r="P622" s="3"/>
      <c r="Q622" s="3">
        <v>45.301000000000002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129</v>
      </c>
      <c r="D623" s="3"/>
      <c r="E623" s="3" t="s">
        <v>129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103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129</v>
      </c>
      <c r="D624" s="3"/>
      <c r="E624" s="3" t="s">
        <v>129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319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129</v>
      </c>
      <c r="D625" s="3"/>
      <c r="E625" s="3" t="s">
        <v>129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129</v>
      </c>
      <c r="D626" s="3"/>
      <c r="E626" s="3" t="s">
        <v>129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129</v>
      </c>
      <c r="D627" s="3"/>
      <c r="E627" s="3" t="s">
        <v>129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317</v>
      </c>
      <c r="O627" s="3"/>
      <c r="P627" s="3"/>
      <c r="Q627" s="3">
        <v>0.54800000000000004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129</v>
      </c>
      <c r="D628" s="3"/>
      <c r="E628" s="3" t="s">
        <v>129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130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131</v>
      </c>
      <c r="D629" s="3"/>
      <c r="E629" s="3" t="s">
        <v>131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320</v>
      </c>
      <c r="O629" s="3"/>
      <c r="P629" s="3"/>
      <c r="Q629" s="3">
        <v>3.9119999999999999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131</v>
      </c>
      <c r="D630" s="3"/>
      <c r="E630" s="3" t="s">
        <v>131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93</v>
      </c>
      <c r="O630" s="3"/>
      <c r="P630" s="3"/>
      <c r="Q630" s="3">
        <v>194.15799999999999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131</v>
      </c>
      <c r="D631" s="3"/>
      <c r="E631" s="3" t="s">
        <v>131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16</v>
      </c>
      <c r="O631" s="3"/>
      <c r="P631" s="3"/>
      <c r="Q631" s="3">
        <v>52.273000000000003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131</v>
      </c>
      <c r="D632" s="3"/>
      <c r="E632" s="3" t="s">
        <v>131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318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131</v>
      </c>
      <c r="D633" s="3"/>
      <c r="E633" s="3" t="s">
        <v>131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131</v>
      </c>
      <c r="D634" s="3"/>
      <c r="E634" s="3" t="s">
        <v>131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315</v>
      </c>
      <c r="O634" s="3"/>
      <c r="P634" s="3"/>
      <c r="Q634" s="3">
        <v>7.6710000000000003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131</v>
      </c>
      <c r="D635" s="3"/>
      <c r="E635" s="3" t="s">
        <v>131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316</v>
      </c>
      <c r="O635" s="3"/>
      <c r="P635" s="3"/>
      <c r="Q635" s="3">
        <v>47.174999999999997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131</v>
      </c>
      <c r="D636" s="3"/>
      <c r="E636" s="3" t="s">
        <v>131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103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131</v>
      </c>
      <c r="D637" s="3"/>
      <c r="E637" s="3" t="s">
        <v>131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319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131</v>
      </c>
      <c r="D638" s="3"/>
      <c r="E638" s="3" t="s">
        <v>131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131</v>
      </c>
      <c r="D639" s="3"/>
      <c r="E639" s="3" t="s">
        <v>131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131</v>
      </c>
      <c r="D640" s="3"/>
      <c r="E640" s="3" t="s">
        <v>131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317</v>
      </c>
      <c r="O640" s="3"/>
      <c r="P640" s="3"/>
      <c r="Q640" s="3">
        <v>0.59299999999999997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131</v>
      </c>
      <c r="D641" s="3"/>
      <c r="E641" s="3" t="s">
        <v>131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132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133</v>
      </c>
      <c r="D642" s="3"/>
      <c r="E642" s="3" t="s">
        <v>133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320</v>
      </c>
      <c r="O642" s="3"/>
      <c r="P642" s="3"/>
      <c r="Q642" s="3">
        <v>2.286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133</v>
      </c>
      <c r="D643" s="3"/>
      <c r="E643" s="3" t="s">
        <v>133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93</v>
      </c>
      <c r="O643" s="3"/>
      <c r="P643" s="3"/>
      <c r="Q643" s="3">
        <v>142.64599999999999</v>
      </c>
      <c r="R643" s="3" t="s">
        <v>14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133</v>
      </c>
      <c r="D644" s="3"/>
      <c r="E644" s="3" t="s">
        <v>133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16</v>
      </c>
      <c r="O644" s="3"/>
      <c r="P644" s="3"/>
      <c r="Q644" s="3">
        <v>38.405000000000001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133</v>
      </c>
      <c r="D645" s="3"/>
      <c r="E645" s="3" t="s">
        <v>133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318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133</v>
      </c>
      <c r="D646" s="3"/>
      <c r="E646" s="3" t="s">
        <v>133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102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133</v>
      </c>
      <c r="D647" s="3"/>
      <c r="E647" s="3" t="s">
        <v>133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315</v>
      </c>
      <c r="O647" s="3"/>
      <c r="P647" s="3"/>
      <c r="Q647" s="3">
        <v>5.69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133</v>
      </c>
      <c r="D648" s="3"/>
      <c r="E648" s="3" t="s">
        <v>133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316</v>
      </c>
      <c r="O648" s="3"/>
      <c r="P648" s="3"/>
      <c r="Q648" s="3">
        <v>34.991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133</v>
      </c>
      <c r="D649" s="3"/>
      <c r="E649" s="3" t="s">
        <v>133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103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133</v>
      </c>
      <c r="D650" s="3"/>
      <c r="E650" s="3" t="s">
        <v>133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319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133</v>
      </c>
      <c r="D651" s="3"/>
      <c r="E651" s="3" t="s">
        <v>133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133</v>
      </c>
      <c r="D652" s="3"/>
      <c r="E652" s="3" t="s">
        <v>133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133</v>
      </c>
      <c r="D653" s="3"/>
      <c r="E653" s="3" t="s">
        <v>133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317</v>
      </c>
      <c r="O653" s="3"/>
      <c r="P653" s="3"/>
      <c r="Q653" s="3">
        <v>0.27800000000000002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133</v>
      </c>
      <c r="D654" s="3"/>
      <c r="E654" s="3" t="s">
        <v>133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134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135</v>
      </c>
      <c r="D655" s="3"/>
      <c r="E655" s="3" t="s">
        <v>135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320</v>
      </c>
      <c r="O655" s="3"/>
      <c r="P655" s="3"/>
      <c r="Q655" s="3">
        <v>2.286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135</v>
      </c>
      <c r="D656" s="3"/>
      <c r="E656" s="3" t="s">
        <v>135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93</v>
      </c>
      <c r="O656" s="3"/>
      <c r="P656" s="3"/>
      <c r="Q656" s="3">
        <v>150.571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135</v>
      </c>
      <c r="D657" s="3"/>
      <c r="E657" s="3" t="s">
        <v>135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16</v>
      </c>
      <c r="O657" s="3"/>
      <c r="P657" s="3"/>
      <c r="Q657" s="3">
        <v>40.537999999999997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135</v>
      </c>
      <c r="D658" s="3"/>
      <c r="E658" s="3" t="s">
        <v>135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318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135</v>
      </c>
      <c r="D659" s="3"/>
      <c r="E659" s="3" t="s">
        <v>135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102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135</v>
      </c>
      <c r="D660" s="3"/>
      <c r="E660" s="3" t="s">
        <v>135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315</v>
      </c>
      <c r="O660" s="3"/>
      <c r="P660" s="3"/>
      <c r="Q660" s="3">
        <v>5.9939999999999998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135</v>
      </c>
      <c r="D661" s="3"/>
      <c r="E661" s="3" t="s">
        <v>135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316</v>
      </c>
      <c r="O661" s="3"/>
      <c r="P661" s="3"/>
      <c r="Q661" s="3">
        <v>36.866</v>
      </c>
      <c r="R661" s="3" t="s">
        <v>14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135</v>
      </c>
      <c r="D662" s="3"/>
      <c r="E662" s="3" t="s">
        <v>135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103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135</v>
      </c>
      <c r="D663" s="3"/>
      <c r="E663" s="3" t="s">
        <v>135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319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135</v>
      </c>
      <c r="D664" s="3"/>
      <c r="E664" s="3" t="s">
        <v>135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135</v>
      </c>
      <c r="D665" s="3"/>
      <c r="E665" s="3" t="s">
        <v>135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135</v>
      </c>
      <c r="D666" s="3"/>
      <c r="E666" s="3" t="s">
        <v>135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317</v>
      </c>
      <c r="O666" s="3"/>
      <c r="P666" s="3"/>
      <c r="Q666" s="3">
        <v>0.32300000000000001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135</v>
      </c>
      <c r="D667" s="3"/>
      <c r="E667" s="3" t="s">
        <v>135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136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137</v>
      </c>
      <c r="D668" s="3"/>
      <c r="E668" s="3" t="s">
        <v>137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320</v>
      </c>
      <c r="O668" s="3"/>
      <c r="P668" s="3"/>
      <c r="Q668" s="3">
        <v>2.286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137</v>
      </c>
      <c r="D669" s="3"/>
      <c r="E669" s="3" t="s">
        <v>137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93</v>
      </c>
      <c r="O669" s="3"/>
      <c r="P669" s="3"/>
      <c r="Q669" s="3">
        <v>158.49600000000001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137</v>
      </c>
      <c r="D670" s="3"/>
      <c r="E670" s="3" t="s">
        <v>137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16</v>
      </c>
      <c r="O670" s="3"/>
      <c r="P670" s="3"/>
      <c r="Q670" s="3">
        <v>42.671999999999997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137</v>
      </c>
      <c r="D671" s="3"/>
      <c r="E671" s="3" t="s">
        <v>137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318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137</v>
      </c>
      <c r="D672" s="3"/>
      <c r="E672" s="3" t="s">
        <v>137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102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137</v>
      </c>
      <c r="D673" s="3"/>
      <c r="E673" s="3" t="s">
        <v>137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315</v>
      </c>
      <c r="O673" s="3"/>
      <c r="P673" s="3"/>
      <c r="Q673" s="3">
        <v>6.2990000000000004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137</v>
      </c>
      <c r="D674" s="3"/>
      <c r="E674" s="3" t="s">
        <v>137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316</v>
      </c>
      <c r="O674" s="3"/>
      <c r="P674" s="3"/>
      <c r="Q674" s="3">
        <v>38.74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137</v>
      </c>
      <c r="D675" s="3"/>
      <c r="E675" s="3" t="s">
        <v>137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103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137</v>
      </c>
      <c r="D676" s="3"/>
      <c r="E676" s="3" t="s">
        <v>137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319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137</v>
      </c>
      <c r="D677" s="3"/>
      <c r="E677" s="3" t="s">
        <v>137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137</v>
      </c>
      <c r="D678" s="3"/>
      <c r="E678" s="3" t="s">
        <v>137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137</v>
      </c>
      <c r="D679" s="3"/>
      <c r="E679" s="3" t="s">
        <v>137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317</v>
      </c>
      <c r="O679" s="3"/>
      <c r="P679" s="3"/>
      <c r="Q679" s="3">
        <v>0.36799999999999999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137</v>
      </c>
      <c r="D680" s="3"/>
      <c r="E680" s="3" t="s">
        <v>137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138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139</v>
      </c>
      <c r="D681" s="3"/>
      <c r="E681" s="3" t="s">
        <v>139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320</v>
      </c>
      <c r="O681" s="3"/>
      <c r="P681" s="3"/>
      <c r="Q681" s="3">
        <v>2.286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139</v>
      </c>
      <c r="D682" s="3"/>
      <c r="E682" s="3" t="s">
        <v>139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93</v>
      </c>
      <c r="O682" s="3"/>
      <c r="P682" s="3"/>
      <c r="Q682" s="3">
        <v>166.42099999999999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139</v>
      </c>
      <c r="D683" s="3"/>
      <c r="E683" s="3" t="s">
        <v>139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16</v>
      </c>
      <c r="O683" s="3"/>
      <c r="P683" s="3"/>
      <c r="Q683" s="3">
        <v>44.805999999999997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139</v>
      </c>
      <c r="D684" s="3"/>
      <c r="E684" s="3" t="s">
        <v>139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318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139</v>
      </c>
      <c r="D685" s="3"/>
      <c r="E685" s="3" t="s">
        <v>139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102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139</v>
      </c>
      <c r="D686" s="3"/>
      <c r="E686" s="3" t="s">
        <v>139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315</v>
      </c>
      <c r="O686" s="3"/>
      <c r="P686" s="3"/>
      <c r="Q686" s="3">
        <v>6.6040000000000001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139</v>
      </c>
      <c r="D687" s="3"/>
      <c r="E687" s="3" t="s">
        <v>139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316</v>
      </c>
      <c r="O687" s="3"/>
      <c r="P687" s="3"/>
      <c r="Q687" s="3">
        <v>40.615000000000002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139</v>
      </c>
      <c r="D688" s="3"/>
      <c r="E688" s="3" t="s">
        <v>139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103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139</v>
      </c>
      <c r="D689" s="3"/>
      <c r="E689" s="3" t="s">
        <v>139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319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139</v>
      </c>
      <c r="D690" s="3"/>
      <c r="E690" s="3" t="s">
        <v>139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139</v>
      </c>
      <c r="D691" s="3"/>
      <c r="E691" s="3" t="s">
        <v>139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139</v>
      </c>
      <c r="D692" s="3"/>
      <c r="E692" s="3" t="s">
        <v>139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317</v>
      </c>
      <c r="O692" s="3"/>
      <c r="P692" s="3"/>
      <c r="Q692" s="3">
        <v>0.41299999999999998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139</v>
      </c>
      <c r="D693" s="3"/>
      <c r="E693" s="3" t="s">
        <v>139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140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141</v>
      </c>
      <c r="D694" s="3"/>
      <c r="E694" s="3" t="s">
        <v>141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320</v>
      </c>
      <c r="O694" s="3"/>
      <c r="P694" s="3"/>
      <c r="Q694" s="3">
        <v>2.286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141</v>
      </c>
      <c r="D695" s="3"/>
      <c r="E695" s="3" t="s">
        <v>141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93</v>
      </c>
      <c r="O695" s="3"/>
      <c r="P695" s="3"/>
      <c r="Q695" s="3">
        <v>182.27</v>
      </c>
      <c r="R695" s="3" t="s">
        <v>14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141</v>
      </c>
      <c r="D696" s="3"/>
      <c r="E696" s="3" t="s">
        <v>141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16</v>
      </c>
      <c r="O696" s="3"/>
      <c r="P696" s="3"/>
      <c r="Q696" s="3">
        <v>49.073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141</v>
      </c>
      <c r="D697" s="3"/>
      <c r="E697" s="3" t="s">
        <v>141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318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141</v>
      </c>
      <c r="D698" s="3"/>
      <c r="E698" s="3" t="s">
        <v>141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102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141</v>
      </c>
      <c r="D699" s="3"/>
      <c r="E699" s="3" t="s">
        <v>141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315</v>
      </c>
      <c r="O699" s="3"/>
      <c r="P699" s="3"/>
      <c r="Q699" s="3">
        <v>7.2140000000000004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141</v>
      </c>
      <c r="D700" s="3"/>
      <c r="E700" s="3" t="s">
        <v>141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316</v>
      </c>
      <c r="O700" s="3"/>
      <c r="P700" s="3"/>
      <c r="Q700" s="3">
        <v>44.363999999999997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141</v>
      </c>
      <c r="D701" s="3"/>
      <c r="E701" s="3" t="s">
        <v>141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103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141</v>
      </c>
      <c r="D702" s="3"/>
      <c r="E702" s="3" t="s">
        <v>141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319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141</v>
      </c>
      <c r="D703" s="3"/>
      <c r="E703" s="3" t="s">
        <v>141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141</v>
      </c>
      <c r="D704" s="3"/>
      <c r="E704" s="3" t="s">
        <v>141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141</v>
      </c>
      <c r="D705" s="3"/>
      <c r="E705" s="3" t="s">
        <v>141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317</v>
      </c>
      <c r="O705" s="3"/>
      <c r="P705" s="3"/>
      <c r="Q705" s="3">
        <v>0.503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141</v>
      </c>
      <c r="D706" s="3"/>
      <c r="E706" s="3" t="s">
        <v>141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142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143</v>
      </c>
      <c r="D707" s="3"/>
      <c r="E707" s="3" t="s">
        <v>143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320</v>
      </c>
      <c r="O707" s="3"/>
      <c r="P707" s="3"/>
      <c r="Q707" s="3">
        <v>2.286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143</v>
      </c>
      <c r="D708" s="3"/>
      <c r="E708" s="3" t="s">
        <v>143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93</v>
      </c>
      <c r="O708" s="3"/>
      <c r="P708" s="3"/>
      <c r="Q708" s="3">
        <v>190.19499999999999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143</v>
      </c>
      <c r="D709" s="3"/>
      <c r="E709" s="3" t="s">
        <v>143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16</v>
      </c>
      <c r="O709" s="3"/>
      <c r="P709" s="3"/>
      <c r="Q709" s="3">
        <v>51.206000000000003</v>
      </c>
      <c r="R709" s="3" t="s">
        <v>14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143</v>
      </c>
      <c r="D710" s="3"/>
      <c r="E710" s="3" t="s">
        <v>143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318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143</v>
      </c>
      <c r="D711" s="3"/>
      <c r="E711" s="3" t="s">
        <v>143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102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143</v>
      </c>
      <c r="D712" s="3"/>
      <c r="E712" s="3" t="s">
        <v>143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315</v>
      </c>
      <c r="O712" s="3"/>
      <c r="P712" s="3"/>
      <c r="Q712" s="3">
        <v>7.5179999999999998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143</v>
      </c>
      <c r="D713" s="3"/>
      <c r="E713" s="3" t="s">
        <v>143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316</v>
      </c>
      <c r="O713" s="3"/>
      <c r="P713" s="3"/>
      <c r="Q713" s="3">
        <v>46.238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143</v>
      </c>
      <c r="D714" s="3"/>
      <c r="E714" s="3" t="s">
        <v>143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103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143</v>
      </c>
      <c r="D715" s="3"/>
      <c r="E715" s="3" t="s">
        <v>143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319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143</v>
      </c>
      <c r="D716" s="3"/>
      <c r="E716" s="3" t="s">
        <v>143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143</v>
      </c>
      <c r="D717" s="3"/>
      <c r="E717" s="3" t="s">
        <v>143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143</v>
      </c>
      <c r="D718" s="3"/>
      <c r="E718" s="3" t="s">
        <v>143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317</v>
      </c>
      <c r="O718" s="3"/>
      <c r="P718" s="3"/>
      <c r="Q718" s="3">
        <v>0.54800000000000004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143</v>
      </c>
      <c r="D719" s="3"/>
      <c r="E719" s="3" t="s">
        <v>143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144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145</v>
      </c>
      <c r="D720" s="3"/>
      <c r="E720" s="3" t="s">
        <v>145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320</v>
      </c>
      <c r="O720" s="3"/>
      <c r="P720" s="3"/>
      <c r="Q720" s="3">
        <v>2.286</v>
      </c>
      <c r="R720" s="3" t="s">
        <v>14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145</v>
      </c>
      <c r="D721" s="3"/>
      <c r="E721" s="3" t="s">
        <v>145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93</v>
      </c>
      <c r="O721" s="3"/>
      <c r="P721" s="3"/>
      <c r="Q721" s="3">
        <v>198.12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145</v>
      </c>
      <c r="D722" s="3"/>
      <c r="E722" s="3" t="s">
        <v>145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16</v>
      </c>
      <c r="O722" s="3"/>
      <c r="P722" s="3"/>
      <c r="Q722" s="3">
        <v>53.34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145</v>
      </c>
      <c r="D723" s="3"/>
      <c r="E723" s="3" t="s">
        <v>145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318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145</v>
      </c>
      <c r="D724" s="3"/>
      <c r="E724" s="3" t="s">
        <v>145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102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145</v>
      </c>
      <c r="D725" s="3"/>
      <c r="E725" s="3" t="s">
        <v>145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315</v>
      </c>
      <c r="O725" s="3"/>
      <c r="P725" s="3"/>
      <c r="Q725" s="3">
        <v>7.8230000000000004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145</v>
      </c>
      <c r="D726" s="3"/>
      <c r="E726" s="3" t="s">
        <v>145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316</v>
      </c>
      <c r="O726" s="3"/>
      <c r="P726" s="3"/>
      <c r="Q726" s="3">
        <v>48.113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145</v>
      </c>
      <c r="D727" s="3"/>
      <c r="E727" s="3" t="s">
        <v>145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103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145</v>
      </c>
      <c r="D728" s="3"/>
      <c r="E728" s="3" t="s">
        <v>145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319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145</v>
      </c>
      <c r="D729" s="3"/>
      <c r="E729" s="3" t="s">
        <v>145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145</v>
      </c>
      <c r="D730" s="3"/>
      <c r="E730" s="3" t="s">
        <v>145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145</v>
      </c>
      <c r="D731" s="3"/>
      <c r="E731" s="3" t="s">
        <v>145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317</v>
      </c>
      <c r="O731" s="3"/>
      <c r="P731" s="3"/>
      <c r="Q731" s="3">
        <v>0.59299999999999997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145</v>
      </c>
      <c r="D732" s="3"/>
      <c r="E732" s="3" t="s">
        <v>145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146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147</v>
      </c>
      <c r="D733" s="3"/>
      <c r="E733" s="3" t="s">
        <v>147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320</v>
      </c>
      <c r="O733" s="3"/>
      <c r="P733" s="3"/>
      <c r="Q733" s="3">
        <v>4.3179999999999996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147</v>
      </c>
      <c r="D734" s="3"/>
      <c r="E734" s="3" t="s">
        <v>147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93</v>
      </c>
      <c r="O734" s="3"/>
      <c r="P734" s="3"/>
      <c r="Q734" s="3">
        <v>145.28800000000001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147</v>
      </c>
      <c r="D735" s="3"/>
      <c r="E735" s="3" t="s">
        <v>147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16</v>
      </c>
      <c r="O735" s="3"/>
      <c r="P735" s="3"/>
      <c r="Q735" s="3">
        <v>39.116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147</v>
      </c>
      <c r="D736" s="3"/>
      <c r="E736" s="3" t="s">
        <v>147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318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147</v>
      </c>
      <c r="D737" s="3"/>
      <c r="E737" s="3" t="s">
        <v>147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102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147</v>
      </c>
      <c r="D738" s="3"/>
      <c r="E738" s="3" t="s">
        <v>147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315</v>
      </c>
      <c r="O738" s="3"/>
      <c r="P738" s="3"/>
      <c r="Q738" s="3">
        <v>5.7910000000000004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147</v>
      </c>
      <c r="D739" s="3"/>
      <c r="E739" s="3" t="s">
        <v>147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316</v>
      </c>
      <c r="O739" s="3"/>
      <c r="P739" s="3"/>
      <c r="Q739" s="3">
        <v>35.616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147</v>
      </c>
      <c r="D740" s="3"/>
      <c r="E740" s="3" t="s">
        <v>147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103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147</v>
      </c>
      <c r="D741" s="3"/>
      <c r="E741" s="3" t="s">
        <v>147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319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147</v>
      </c>
      <c r="D742" s="3"/>
      <c r="E742" s="3" t="s">
        <v>147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147</v>
      </c>
      <c r="D743" s="3"/>
      <c r="E743" s="3" t="s">
        <v>147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147</v>
      </c>
      <c r="D744" s="3"/>
      <c r="E744" s="3" t="s">
        <v>147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317</v>
      </c>
      <c r="O744" s="3"/>
      <c r="P744" s="3"/>
      <c r="Q744" s="3">
        <v>0.65300000000000002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147</v>
      </c>
      <c r="D745" s="3"/>
      <c r="E745" s="3" t="s">
        <v>147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148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149</v>
      </c>
      <c r="D746" s="3"/>
      <c r="E746" s="3" t="s">
        <v>149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320</v>
      </c>
      <c r="O746" s="3"/>
      <c r="P746" s="3"/>
      <c r="Q746" s="3">
        <v>4.3179999999999996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149</v>
      </c>
      <c r="D747" s="3"/>
      <c r="E747" s="3" t="s">
        <v>149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93</v>
      </c>
      <c r="O747" s="3"/>
      <c r="P747" s="3"/>
      <c r="Q747" s="3">
        <v>153.21299999999999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149</v>
      </c>
      <c r="D748" s="3"/>
      <c r="E748" s="3" t="s">
        <v>149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16</v>
      </c>
      <c r="O748" s="3"/>
      <c r="P748" s="3"/>
      <c r="Q748" s="3">
        <v>41.25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149</v>
      </c>
      <c r="D749" s="3"/>
      <c r="E749" s="3" t="s">
        <v>149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318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149</v>
      </c>
      <c r="D750" s="3"/>
      <c r="E750" s="3" t="s">
        <v>149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102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149</v>
      </c>
      <c r="D751" s="3"/>
      <c r="E751" s="3" t="s">
        <v>149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315</v>
      </c>
      <c r="O751" s="3"/>
      <c r="P751" s="3"/>
      <c r="Q751" s="3">
        <v>6.0960000000000001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149</v>
      </c>
      <c r="D752" s="3"/>
      <c r="E752" s="3" t="s">
        <v>149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316</v>
      </c>
      <c r="O752" s="3"/>
      <c r="P752" s="3"/>
      <c r="Q752" s="3">
        <v>37.49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149</v>
      </c>
      <c r="D753" s="3"/>
      <c r="E753" s="3" t="s">
        <v>149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103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149</v>
      </c>
      <c r="D754" s="3"/>
      <c r="E754" s="3" t="s">
        <v>149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319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149</v>
      </c>
      <c r="D755" s="3"/>
      <c r="E755" s="3" t="s">
        <v>149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149</v>
      </c>
      <c r="D756" s="3"/>
      <c r="E756" s="3" t="s">
        <v>149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149</v>
      </c>
      <c r="D757" s="3"/>
      <c r="E757" s="3" t="s">
        <v>149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317</v>
      </c>
      <c r="O757" s="3"/>
      <c r="P757" s="3"/>
      <c r="Q757" s="3">
        <v>0.65300000000000002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149</v>
      </c>
      <c r="D758" s="3"/>
      <c r="E758" s="3" t="s">
        <v>149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150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151</v>
      </c>
      <c r="D759" s="3"/>
      <c r="E759" s="3" t="s">
        <v>151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320</v>
      </c>
      <c r="O759" s="3"/>
      <c r="P759" s="3"/>
      <c r="Q759" s="3">
        <v>4.3179999999999996</v>
      </c>
      <c r="R759" s="3" t="s">
        <v>14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151</v>
      </c>
      <c r="D760" s="3"/>
      <c r="E760" s="3" t="s">
        <v>151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93</v>
      </c>
      <c r="O760" s="3"/>
      <c r="P760" s="3"/>
      <c r="Q760" s="3">
        <v>161.13800000000001</v>
      </c>
      <c r="R760" s="3" t="s">
        <v>14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151</v>
      </c>
      <c r="D761" s="3"/>
      <c r="E761" s="3" t="s">
        <v>151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16</v>
      </c>
      <c r="O761" s="3"/>
      <c r="P761" s="3"/>
      <c r="Q761" s="3">
        <v>43.383000000000003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151</v>
      </c>
      <c r="D762" s="3"/>
      <c r="E762" s="3" t="s">
        <v>151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318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151</v>
      </c>
      <c r="D763" s="3"/>
      <c r="E763" s="3" t="s">
        <v>151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102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151</v>
      </c>
      <c r="D764" s="3"/>
      <c r="E764" s="3" t="s">
        <v>151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315</v>
      </c>
      <c r="O764" s="3"/>
      <c r="P764" s="3"/>
      <c r="Q764" s="3">
        <v>6.4009999999999998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151</v>
      </c>
      <c r="D765" s="3"/>
      <c r="E765" s="3" t="s">
        <v>151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316</v>
      </c>
      <c r="O765" s="3"/>
      <c r="P765" s="3"/>
      <c r="Q765" s="3">
        <v>39.365000000000002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151</v>
      </c>
      <c r="D766" s="3"/>
      <c r="E766" s="3" t="s">
        <v>151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103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151</v>
      </c>
      <c r="D767" s="3"/>
      <c r="E767" s="3" t="s">
        <v>151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319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151</v>
      </c>
      <c r="D768" s="3"/>
      <c r="E768" s="3" t="s">
        <v>151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151</v>
      </c>
      <c r="D769" s="3"/>
      <c r="E769" s="3" t="s">
        <v>151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151</v>
      </c>
      <c r="D770" s="3"/>
      <c r="E770" s="3" t="s">
        <v>151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317</v>
      </c>
      <c r="O770" s="3"/>
      <c r="P770" s="3"/>
      <c r="Q770" s="3">
        <v>0.65300000000000002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151</v>
      </c>
      <c r="D771" s="3"/>
      <c r="E771" s="3" t="s">
        <v>151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152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153</v>
      </c>
      <c r="D772" s="3"/>
      <c r="E772" s="3" t="s">
        <v>153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320</v>
      </c>
      <c r="O772" s="3"/>
      <c r="P772" s="3"/>
      <c r="Q772" s="3">
        <v>4.3179999999999996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153</v>
      </c>
      <c r="D773" s="3"/>
      <c r="E773" s="3" t="s">
        <v>153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93</v>
      </c>
      <c r="O773" s="3"/>
      <c r="P773" s="3"/>
      <c r="Q773" s="3">
        <v>169.06200000000001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153</v>
      </c>
      <c r="D774" s="3"/>
      <c r="E774" s="3" t="s">
        <v>153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16</v>
      </c>
      <c r="O774" s="3"/>
      <c r="P774" s="3"/>
      <c r="Q774" s="3">
        <v>45.517000000000003</v>
      </c>
      <c r="R774" s="3" t="s">
        <v>14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153</v>
      </c>
      <c r="D775" s="3"/>
      <c r="E775" s="3" t="s">
        <v>153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318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153</v>
      </c>
      <c r="D776" s="3"/>
      <c r="E776" s="3" t="s">
        <v>153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102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153</v>
      </c>
      <c r="D777" s="3"/>
      <c r="E777" s="3" t="s">
        <v>153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315</v>
      </c>
      <c r="O777" s="3"/>
      <c r="P777" s="3"/>
      <c r="Q777" s="3">
        <v>6.7060000000000004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153</v>
      </c>
      <c r="D778" s="3"/>
      <c r="E778" s="3" t="s">
        <v>153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316</v>
      </c>
      <c r="O778" s="3"/>
      <c r="P778" s="3"/>
      <c r="Q778" s="3">
        <v>41.238999999999997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153</v>
      </c>
      <c r="D779" s="3"/>
      <c r="E779" s="3" t="s">
        <v>153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103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153</v>
      </c>
      <c r="D780" s="3"/>
      <c r="E780" s="3" t="s">
        <v>153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319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153</v>
      </c>
      <c r="D781" s="3"/>
      <c r="E781" s="3" t="s">
        <v>153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153</v>
      </c>
      <c r="D782" s="3"/>
      <c r="E782" s="3" t="s">
        <v>153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153</v>
      </c>
      <c r="D783" s="3"/>
      <c r="E783" s="3" t="s">
        <v>153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317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153</v>
      </c>
      <c r="D784" s="3"/>
      <c r="E784" s="3" t="s">
        <v>153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154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155</v>
      </c>
      <c r="D785" s="3"/>
      <c r="E785" s="3" t="s">
        <v>155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320</v>
      </c>
      <c r="O785" s="3"/>
      <c r="P785" s="3"/>
      <c r="Q785" s="3">
        <v>4.3179999999999996</v>
      </c>
      <c r="R785" s="3" t="s">
        <v>14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155</v>
      </c>
      <c r="D786" s="3"/>
      <c r="E786" s="3" t="s">
        <v>155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93</v>
      </c>
      <c r="O786" s="3"/>
      <c r="P786" s="3"/>
      <c r="Q786" s="3">
        <v>184.91200000000001</v>
      </c>
      <c r="R786" s="3" t="s">
        <v>14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155</v>
      </c>
      <c r="D787" s="3"/>
      <c r="E787" s="3" t="s">
        <v>155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16</v>
      </c>
      <c r="O787" s="3"/>
      <c r="P787" s="3"/>
      <c r="Q787" s="3">
        <v>49.783999999999999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155</v>
      </c>
      <c r="D788" s="3"/>
      <c r="E788" s="3" t="s">
        <v>155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318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155</v>
      </c>
      <c r="D789" s="3"/>
      <c r="E789" s="3" t="s">
        <v>155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155</v>
      </c>
      <c r="D790" s="3"/>
      <c r="E790" s="3" t="s">
        <v>155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315</v>
      </c>
      <c r="O790" s="3"/>
      <c r="P790" s="3"/>
      <c r="Q790" s="3">
        <v>7.3150000000000004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155</v>
      </c>
      <c r="D791" s="3"/>
      <c r="E791" s="3" t="s">
        <v>155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316</v>
      </c>
      <c r="O791" s="3"/>
      <c r="P791" s="3"/>
      <c r="Q791" s="3">
        <v>44.988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155</v>
      </c>
      <c r="D792" s="3"/>
      <c r="E792" s="3" t="s">
        <v>155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103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155</v>
      </c>
      <c r="D793" s="3"/>
      <c r="E793" s="3" t="s">
        <v>155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319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155</v>
      </c>
      <c r="D794" s="3"/>
      <c r="E794" s="3" t="s">
        <v>155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155</v>
      </c>
      <c r="D795" s="3"/>
      <c r="E795" s="3" t="s">
        <v>155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155</v>
      </c>
      <c r="D796" s="3"/>
      <c r="E796" s="3" t="s">
        <v>155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317</v>
      </c>
      <c r="O796" s="3"/>
      <c r="P796" s="3"/>
      <c r="Q796" s="3">
        <v>0.65300000000000002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155</v>
      </c>
      <c r="D797" s="3"/>
      <c r="E797" s="3" t="s">
        <v>155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156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157</v>
      </c>
      <c r="D798" s="3"/>
      <c r="E798" s="3" t="s">
        <v>157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320</v>
      </c>
      <c r="O798" s="3"/>
      <c r="P798" s="3"/>
      <c r="Q798" s="3">
        <v>4.3179999999999996</v>
      </c>
      <c r="R798" s="3" t="s">
        <v>14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157</v>
      </c>
      <c r="D799" s="3"/>
      <c r="E799" s="3" t="s">
        <v>157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93</v>
      </c>
      <c r="O799" s="3"/>
      <c r="P799" s="3"/>
      <c r="Q799" s="3">
        <v>192.83699999999999</v>
      </c>
      <c r="R799" s="3" t="s">
        <v>14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157</v>
      </c>
      <c r="D800" s="3"/>
      <c r="E800" s="3" t="s">
        <v>157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16</v>
      </c>
      <c r="O800" s="3"/>
      <c r="P800" s="3"/>
      <c r="Q800" s="3">
        <v>51.917999999999999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157</v>
      </c>
      <c r="D801" s="3"/>
      <c r="E801" s="3" t="s">
        <v>157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318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157</v>
      </c>
      <c r="D802" s="3"/>
      <c r="E802" s="3" t="s">
        <v>157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102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157</v>
      </c>
      <c r="D803" s="3"/>
      <c r="E803" s="3" t="s">
        <v>157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315</v>
      </c>
      <c r="O803" s="3"/>
      <c r="P803" s="3"/>
      <c r="Q803" s="3">
        <v>7.62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157</v>
      </c>
      <c r="D804" s="3"/>
      <c r="E804" s="3" t="s">
        <v>157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316</v>
      </c>
      <c r="O804" s="3"/>
      <c r="P804" s="3"/>
      <c r="Q804" s="3">
        <v>46.863</v>
      </c>
      <c r="R804" s="3" t="s">
        <v>14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157</v>
      </c>
      <c r="D805" s="3"/>
      <c r="E805" s="3" t="s">
        <v>157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103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157</v>
      </c>
      <c r="D806" s="3"/>
      <c r="E806" s="3" t="s">
        <v>157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319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157</v>
      </c>
      <c r="D807" s="3"/>
      <c r="E807" s="3" t="s">
        <v>157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157</v>
      </c>
      <c r="D808" s="3"/>
      <c r="E808" s="3" t="s">
        <v>157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157</v>
      </c>
      <c r="D809" s="3"/>
      <c r="E809" s="3" t="s">
        <v>157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317</v>
      </c>
      <c r="O809" s="3"/>
      <c r="P809" s="3"/>
      <c r="Q809" s="3">
        <v>0.65300000000000002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157</v>
      </c>
      <c r="D810" s="3"/>
      <c r="E810" s="3" t="s">
        <v>157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158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159</v>
      </c>
      <c r="D811" s="3"/>
      <c r="E811" s="3" t="s">
        <v>159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320</v>
      </c>
      <c r="O811" s="3"/>
      <c r="P811" s="3"/>
      <c r="Q811" s="3">
        <v>4.3179999999999996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159</v>
      </c>
      <c r="D812" s="3"/>
      <c r="E812" s="3" t="s">
        <v>159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93</v>
      </c>
      <c r="O812" s="3"/>
      <c r="P812" s="3"/>
      <c r="Q812" s="3">
        <v>200.762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159</v>
      </c>
      <c r="D813" s="3"/>
      <c r="E813" s="3" t="s">
        <v>159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16</v>
      </c>
      <c r="O813" s="3"/>
      <c r="P813" s="3"/>
      <c r="Q813" s="3">
        <v>54.051000000000002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159</v>
      </c>
      <c r="D814" s="3"/>
      <c r="E814" s="3" t="s">
        <v>159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318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159</v>
      </c>
      <c r="D815" s="3"/>
      <c r="E815" s="3" t="s">
        <v>159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102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159</v>
      </c>
      <c r="D816" s="3"/>
      <c r="E816" s="3" t="s">
        <v>159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315</v>
      </c>
      <c r="O816" s="3"/>
      <c r="P816" s="3"/>
      <c r="Q816" s="3">
        <v>7.9249999999999998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159</v>
      </c>
      <c r="D817" s="3"/>
      <c r="E817" s="3" t="s">
        <v>159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316</v>
      </c>
      <c r="O817" s="3"/>
      <c r="P817" s="3"/>
      <c r="Q817" s="3">
        <v>48.738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159</v>
      </c>
      <c r="D818" s="3"/>
      <c r="E818" s="3" t="s">
        <v>159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103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159</v>
      </c>
      <c r="D819" s="3"/>
      <c r="E819" s="3" t="s">
        <v>159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319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159</v>
      </c>
      <c r="D820" s="3"/>
      <c r="E820" s="3" t="s">
        <v>159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159</v>
      </c>
      <c r="D821" s="3"/>
      <c r="E821" s="3" t="s">
        <v>159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159</v>
      </c>
      <c r="D822" s="3"/>
      <c r="E822" s="3" t="s">
        <v>159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317</v>
      </c>
      <c r="O822" s="3"/>
      <c r="P822" s="3"/>
      <c r="Q822" s="3">
        <v>0.65300000000000002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159</v>
      </c>
      <c r="D823" s="3"/>
      <c r="E823" s="3" t="s">
        <v>159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160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161</v>
      </c>
      <c r="D824" s="3"/>
      <c r="E824" s="3" t="s">
        <v>161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320</v>
      </c>
      <c r="O824" s="3"/>
      <c r="P824" s="3"/>
      <c r="Q824" s="3">
        <v>4.5209999999999999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161</v>
      </c>
      <c r="D825" s="3"/>
      <c r="E825" s="3" t="s">
        <v>161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93</v>
      </c>
      <c r="O825" s="3"/>
      <c r="P825" s="3"/>
      <c r="Q825" s="3">
        <v>150.571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161</v>
      </c>
      <c r="D826" s="3"/>
      <c r="E826" s="3" t="s">
        <v>161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16</v>
      </c>
      <c r="O826" s="3"/>
      <c r="P826" s="3"/>
      <c r="Q826" s="3">
        <v>40.537999999999997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161</v>
      </c>
      <c r="D827" s="3"/>
      <c r="E827" s="3" t="s">
        <v>161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318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161</v>
      </c>
      <c r="D828" s="3"/>
      <c r="E828" s="3" t="s">
        <v>161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102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161</v>
      </c>
      <c r="D829" s="3"/>
      <c r="E829" s="3" t="s">
        <v>161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315</v>
      </c>
      <c r="O829" s="3"/>
      <c r="P829" s="3"/>
      <c r="Q829" s="3">
        <v>5.9939999999999998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161</v>
      </c>
      <c r="D830" s="3"/>
      <c r="E830" s="3" t="s">
        <v>161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316</v>
      </c>
      <c r="O830" s="3"/>
      <c r="P830" s="3"/>
      <c r="Q830" s="3">
        <v>36.866</v>
      </c>
      <c r="R830" s="3" t="s">
        <v>14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161</v>
      </c>
      <c r="D831" s="3"/>
      <c r="E831" s="3" t="s">
        <v>161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103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161</v>
      </c>
      <c r="D832" s="3"/>
      <c r="E832" s="3" t="s">
        <v>161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319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161</v>
      </c>
      <c r="D833" s="3"/>
      <c r="E833" s="3" t="s">
        <v>161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161</v>
      </c>
      <c r="D834" s="3"/>
      <c r="E834" s="3" t="s">
        <v>161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161</v>
      </c>
      <c r="D835" s="3"/>
      <c r="E835" s="3" t="s">
        <v>161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317</v>
      </c>
      <c r="O835" s="3"/>
      <c r="P835" s="3"/>
      <c r="Q835" s="3">
        <v>0.68300000000000005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161</v>
      </c>
      <c r="D836" s="3"/>
      <c r="E836" s="3" t="s">
        <v>161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162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163</v>
      </c>
      <c r="D837" s="3"/>
      <c r="E837" s="3" t="s">
        <v>163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320</v>
      </c>
      <c r="O837" s="3"/>
      <c r="P837" s="3"/>
      <c r="Q837" s="3">
        <v>4.5209999999999999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163</v>
      </c>
      <c r="D838" s="3"/>
      <c r="E838" s="3" t="s">
        <v>163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93</v>
      </c>
      <c r="O838" s="3"/>
      <c r="P838" s="3"/>
      <c r="Q838" s="3">
        <v>158.49600000000001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163</v>
      </c>
      <c r="D839" s="3"/>
      <c r="E839" s="3" t="s">
        <v>163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16</v>
      </c>
      <c r="O839" s="3"/>
      <c r="P839" s="3"/>
      <c r="Q839" s="3">
        <v>42.671999999999997</v>
      </c>
      <c r="R839" s="3" t="s">
        <v>14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163</v>
      </c>
      <c r="D840" s="3"/>
      <c r="E840" s="3" t="s">
        <v>163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318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163</v>
      </c>
      <c r="D841" s="3"/>
      <c r="E841" s="3" t="s">
        <v>163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102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163</v>
      </c>
      <c r="D842" s="3"/>
      <c r="E842" s="3" t="s">
        <v>163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315</v>
      </c>
      <c r="O842" s="3"/>
      <c r="P842" s="3"/>
      <c r="Q842" s="3">
        <v>6.2990000000000004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163</v>
      </c>
      <c r="D843" s="3"/>
      <c r="E843" s="3" t="s">
        <v>163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316</v>
      </c>
      <c r="O843" s="3"/>
      <c r="P843" s="3"/>
      <c r="Q843" s="3">
        <v>38.74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163</v>
      </c>
      <c r="D844" s="3"/>
      <c r="E844" s="3" t="s">
        <v>163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103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163</v>
      </c>
      <c r="D845" s="3"/>
      <c r="E845" s="3" t="s">
        <v>163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319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163</v>
      </c>
      <c r="D846" s="3"/>
      <c r="E846" s="3" t="s">
        <v>163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163</v>
      </c>
      <c r="D847" s="3"/>
      <c r="E847" s="3" t="s">
        <v>163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163</v>
      </c>
      <c r="D848" s="3"/>
      <c r="E848" s="3" t="s">
        <v>163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317</v>
      </c>
      <c r="O848" s="3"/>
      <c r="P848" s="3"/>
      <c r="Q848" s="3">
        <v>0.68300000000000005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163</v>
      </c>
      <c r="D849" s="3"/>
      <c r="E849" s="3" t="s">
        <v>163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164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165</v>
      </c>
      <c r="D850" s="3"/>
      <c r="E850" s="3" t="s">
        <v>165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320</v>
      </c>
      <c r="O850" s="3"/>
      <c r="P850" s="3"/>
      <c r="Q850" s="3">
        <v>4.5209999999999999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165</v>
      </c>
      <c r="D851" s="3"/>
      <c r="E851" s="3" t="s">
        <v>165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93</v>
      </c>
      <c r="O851" s="3"/>
      <c r="P851" s="3"/>
      <c r="Q851" s="3">
        <v>166.42099999999999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165</v>
      </c>
      <c r="D852" s="3"/>
      <c r="E852" s="3" t="s">
        <v>165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16</v>
      </c>
      <c r="O852" s="3"/>
      <c r="P852" s="3"/>
      <c r="Q852" s="3">
        <v>44.805999999999997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165</v>
      </c>
      <c r="D853" s="3"/>
      <c r="E853" s="3" t="s">
        <v>165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318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165</v>
      </c>
      <c r="D854" s="3"/>
      <c r="E854" s="3" t="s">
        <v>165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102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165</v>
      </c>
      <c r="D855" s="3"/>
      <c r="E855" s="3" t="s">
        <v>165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315</v>
      </c>
      <c r="O855" s="3"/>
      <c r="P855" s="3"/>
      <c r="Q855" s="3">
        <v>6.6040000000000001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165</v>
      </c>
      <c r="D856" s="3"/>
      <c r="E856" s="3" t="s">
        <v>165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316</v>
      </c>
      <c r="O856" s="3"/>
      <c r="P856" s="3"/>
      <c r="Q856" s="3">
        <v>40.615000000000002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165</v>
      </c>
      <c r="D857" s="3"/>
      <c r="E857" s="3" t="s">
        <v>165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103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165</v>
      </c>
      <c r="D858" s="3"/>
      <c r="E858" s="3" t="s">
        <v>165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319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165</v>
      </c>
      <c r="D859" s="3"/>
      <c r="E859" s="3" t="s">
        <v>165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165</v>
      </c>
      <c r="D860" s="3"/>
      <c r="E860" s="3" t="s">
        <v>165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165</v>
      </c>
      <c r="D861" s="3"/>
      <c r="E861" s="3" t="s">
        <v>165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317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165</v>
      </c>
      <c r="D862" s="3"/>
      <c r="E862" s="3" t="s">
        <v>165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166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167</v>
      </c>
      <c r="D863" s="3"/>
      <c r="E863" s="3" t="s">
        <v>167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320</v>
      </c>
      <c r="O863" s="3"/>
      <c r="P863" s="3"/>
      <c r="Q863" s="3">
        <v>4.5209999999999999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167</v>
      </c>
      <c r="D864" s="3"/>
      <c r="E864" s="3" t="s">
        <v>167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93</v>
      </c>
      <c r="O864" s="3"/>
      <c r="P864" s="3"/>
      <c r="Q864" s="3">
        <v>174.346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167</v>
      </c>
      <c r="D865" s="3"/>
      <c r="E865" s="3" t="s">
        <v>167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16</v>
      </c>
      <c r="O865" s="3"/>
      <c r="P865" s="3"/>
      <c r="Q865" s="3">
        <v>46.939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167</v>
      </c>
      <c r="D866" s="3"/>
      <c r="E866" s="3" t="s">
        <v>167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318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167</v>
      </c>
      <c r="D867" s="3"/>
      <c r="E867" s="3" t="s">
        <v>167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102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167</v>
      </c>
      <c r="D868" s="3"/>
      <c r="E868" s="3" t="s">
        <v>167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315</v>
      </c>
      <c r="O868" s="3"/>
      <c r="P868" s="3"/>
      <c r="Q868" s="3">
        <v>6.9089999999999998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167</v>
      </c>
      <c r="D869" s="3"/>
      <c r="E869" s="3" t="s">
        <v>167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316</v>
      </c>
      <c r="O869" s="3"/>
      <c r="P869" s="3"/>
      <c r="Q869" s="3">
        <v>42.488999999999997</v>
      </c>
      <c r="R869" s="3" t="s">
        <v>14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167</v>
      </c>
      <c r="D870" s="3"/>
      <c r="E870" s="3" t="s">
        <v>167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103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167</v>
      </c>
      <c r="D871" s="3"/>
      <c r="E871" s="3" t="s">
        <v>167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319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167</v>
      </c>
      <c r="D872" s="3"/>
      <c r="E872" s="3" t="s">
        <v>167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167</v>
      </c>
      <c r="D873" s="3"/>
      <c r="E873" s="3" t="s">
        <v>167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167</v>
      </c>
      <c r="D874" s="3"/>
      <c r="E874" s="3" t="s">
        <v>167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317</v>
      </c>
      <c r="O874" s="3"/>
      <c r="P874" s="3"/>
      <c r="Q874" s="3">
        <v>0.68300000000000005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167</v>
      </c>
      <c r="D875" s="3"/>
      <c r="E875" s="3" t="s">
        <v>167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168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169</v>
      </c>
      <c r="D876" s="3"/>
      <c r="E876" s="3" t="s">
        <v>169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320</v>
      </c>
      <c r="O876" s="3"/>
      <c r="P876" s="3"/>
      <c r="Q876" s="3">
        <v>4.5209999999999999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169</v>
      </c>
      <c r="D877" s="3"/>
      <c r="E877" s="3" t="s">
        <v>169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93</v>
      </c>
      <c r="O877" s="3"/>
      <c r="P877" s="3"/>
      <c r="Q877" s="3">
        <v>190.19499999999999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169</v>
      </c>
      <c r="D878" s="3"/>
      <c r="E878" s="3" t="s">
        <v>169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16</v>
      </c>
      <c r="O878" s="3"/>
      <c r="P878" s="3"/>
      <c r="Q878" s="3">
        <v>51.206000000000003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169</v>
      </c>
      <c r="D879" s="3"/>
      <c r="E879" s="3" t="s">
        <v>169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318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169</v>
      </c>
      <c r="D880" s="3"/>
      <c r="E880" s="3" t="s">
        <v>169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102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169</v>
      </c>
      <c r="D881" s="3"/>
      <c r="E881" s="3" t="s">
        <v>169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315</v>
      </c>
      <c r="O881" s="3"/>
      <c r="P881" s="3"/>
      <c r="Q881" s="3">
        <v>7.5179999999999998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169</v>
      </c>
      <c r="D882" s="3"/>
      <c r="E882" s="3" t="s">
        <v>169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316</v>
      </c>
      <c r="O882" s="3"/>
      <c r="P882" s="3"/>
      <c r="Q882" s="3">
        <v>46.238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169</v>
      </c>
      <c r="D883" s="3"/>
      <c r="E883" s="3" t="s">
        <v>169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103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169</v>
      </c>
      <c r="D884" s="3"/>
      <c r="E884" s="3" t="s">
        <v>169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319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169</v>
      </c>
      <c r="D885" s="3"/>
      <c r="E885" s="3" t="s">
        <v>169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169</v>
      </c>
      <c r="D886" s="3"/>
      <c r="E886" s="3" t="s">
        <v>169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169</v>
      </c>
      <c r="D887" s="3"/>
      <c r="E887" s="3" t="s">
        <v>169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317</v>
      </c>
      <c r="O887" s="3"/>
      <c r="P887" s="3"/>
      <c r="Q887" s="3">
        <v>0.68300000000000005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169</v>
      </c>
      <c r="D888" s="3"/>
      <c r="E888" s="3" t="s">
        <v>169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170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171</v>
      </c>
      <c r="D889" s="3"/>
      <c r="E889" s="3" t="s">
        <v>171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320</v>
      </c>
      <c r="O889" s="3"/>
      <c r="P889" s="3"/>
      <c r="Q889" s="3">
        <v>4.5209999999999999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171</v>
      </c>
      <c r="D890" s="3"/>
      <c r="E890" s="3" t="s">
        <v>171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93</v>
      </c>
      <c r="O890" s="3"/>
      <c r="P890" s="3"/>
      <c r="Q890" s="3">
        <v>198.12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171</v>
      </c>
      <c r="D891" s="3"/>
      <c r="E891" s="3" t="s">
        <v>171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16</v>
      </c>
      <c r="O891" s="3"/>
      <c r="P891" s="3"/>
      <c r="Q891" s="3">
        <v>53.34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171</v>
      </c>
      <c r="D892" s="3"/>
      <c r="E892" s="3" t="s">
        <v>171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318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171</v>
      </c>
      <c r="D893" s="3"/>
      <c r="E893" s="3" t="s">
        <v>171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102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171</v>
      </c>
      <c r="D894" s="3"/>
      <c r="E894" s="3" t="s">
        <v>171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315</v>
      </c>
      <c r="O894" s="3"/>
      <c r="P894" s="3"/>
      <c r="Q894" s="3">
        <v>7.8230000000000004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171</v>
      </c>
      <c r="D895" s="3"/>
      <c r="E895" s="3" t="s">
        <v>171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316</v>
      </c>
      <c r="O895" s="3"/>
      <c r="P895" s="3"/>
      <c r="Q895" s="3">
        <v>48.113</v>
      </c>
      <c r="R895" s="3" t="s">
        <v>14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171</v>
      </c>
      <c r="D896" s="3"/>
      <c r="E896" s="3" t="s">
        <v>171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103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171</v>
      </c>
      <c r="D897" s="3"/>
      <c r="E897" s="3" t="s">
        <v>171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319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171</v>
      </c>
      <c r="D898" s="3"/>
      <c r="E898" s="3" t="s">
        <v>171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171</v>
      </c>
      <c r="D899" s="3"/>
      <c r="E899" s="3" t="s">
        <v>171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171</v>
      </c>
      <c r="D900" s="3"/>
      <c r="E900" s="3" t="s">
        <v>171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317</v>
      </c>
      <c r="O900" s="3"/>
      <c r="P900" s="3"/>
      <c r="Q900" s="3">
        <v>0.68300000000000005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171</v>
      </c>
      <c r="D901" s="3"/>
      <c r="E901" s="3" t="s">
        <v>171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172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173</v>
      </c>
      <c r="D902" s="3"/>
      <c r="E902" s="3" t="s">
        <v>173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320</v>
      </c>
      <c r="O902" s="3"/>
      <c r="P902" s="3"/>
      <c r="Q902" s="3">
        <v>4.5209999999999999</v>
      </c>
      <c r="R902" s="3" t="s">
        <v>14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173</v>
      </c>
      <c r="D903" s="3"/>
      <c r="E903" s="3" t="s">
        <v>173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93</v>
      </c>
      <c r="O903" s="3"/>
      <c r="P903" s="3"/>
      <c r="Q903" s="3">
        <v>206.04499999999999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173</v>
      </c>
      <c r="D904" s="3"/>
      <c r="E904" s="3" t="s">
        <v>173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16</v>
      </c>
      <c r="O904" s="3"/>
      <c r="P904" s="3"/>
      <c r="Q904" s="3">
        <v>55.473999999999997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173</v>
      </c>
      <c r="D905" s="3"/>
      <c r="E905" s="3" t="s">
        <v>173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318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173</v>
      </c>
      <c r="D906" s="3"/>
      <c r="E906" s="3" t="s">
        <v>173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102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173</v>
      </c>
      <c r="D907" s="3"/>
      <c r="E907" s="3" t="s">
        <v>173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315</v>
      </c>
      <c r="O907" s="3"/>
      <c r="P907" s="3"/>
      <c r="Q907" s="3">
        <v>8.1280000000000001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173</v>
      </c>
      <c r="D908" s="3"/>
      <c r="E908" s="3" t="s">
        <v>173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316</v>
      </c>
      <c r="O908" s="3"/>
      <c r="P908" s="3"/>
      <c r="Q908" s="3">
        <v>49.987000000000002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173</v>
      </c>
      <c r="D909" s="3"/>
      <c r="E909" s="3" t="s">
        <v>173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103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173</v>
      </c>
      <c r="D910" s="3"/>
      <c r="E910" s="3" t="s">
        <v>173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319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173</v>
      </c>
      <c r="D911" s="3"/>
      <c r="E911" s="3" t="s">
        <v>173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173</v>
      </c>
      <c r="D912" s="3"/>
      <c r="E912" s="3" t="s">
        <v>173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173</v>
      </c>
      <c r="D913" s="3"/>
      <c r="E913" s="3" t="s">
        <v>173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317</v>
      </c>
      <c r="O913" s="3"/>
      <c r="P913" s="3"/>
      <c r="Q913" s="3">
        <v>0.68300000000000005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173</v>
      </c>
      <c r="D914" s="3"/>
      <c r="E914" s="3" t="s">
        <v>173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174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175</v>
      </c>
      <c r="D915" s="3"/>
      <c r="E915" s="3" t="s">
        <v>175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320</v>
      </c>
      <c r="O915" s="3"/>
      <c r="P915" s="3"/>
      <c r="Q915" s="3">
        <v>1.829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175</v>
      </c>
      <c r="D916" s="3"/>
      <c r="E916" s="3" t="s">
        <v>175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93</v>
      </c>
      <c r="O916" s="3"/>
      <c r="P916" s="3"/>
      <c r="Q916" s="3">
        <v>134.72200000000001</v>
      </c>
      <c r="R916" s="3" t="s">
        <v>14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175</v>
      </c>
      <c r="D917" s="3"/>
      <c r="E917" s="3" t="s">
        <v>175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16</v>
      </c>
      <c r="O917" s="3"/>
      <c r="P917" s="3"/>
      <c r="Q917" s="3">
        <v>36.271000000000001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175</v>
      </c>
      <c r="D918" s="3"/>
      <c r="E918" s="3" t="s">
        <v>175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318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175</v>
      </c>
      <c r="D919" s="3"/>
      <c r="E919" s="3" t="s">
        <v>175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102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175</v>
      </c>
      <c r="D920" s="3"/>
      <c r="E920" s="3" t="s">
        <v>175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315</v>
      </c>
      <c r="O920" s="3"/>
      <c r="P920" s="3"/>
      <c r="Q920" s="3">
        <v>5.3849999999999998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175</v>
      </c>
      <c r="D921" s="3"/>
      <c r="E921" s="3" t="s">
        <v>175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316</v>
      </c>
      <c r="O921" s="3"/>
      <c r="P921" s="3"/>
      <c r="Q921" s="3">
        <v>33.116999999999997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175</v>
      </c>
      <c r="D922" s="3"/>
      <c r="E922" s="3" t="s">
        <v>175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103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175</v>
      </c>
      <c r="D923" s="3"/>
      <c r="E923" s="3" t="s">
        <v>175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319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175</v>
      </c>
      <c r="D924" s="3"/>
      <c r="E924" s="3" t="s">
        <v>175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175</v>
      </c>
      <c r="D925" s="3"/>
      <c r="E925" s="3" t="s">
        <v>175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175</v>
      </c>
      <c r="D926" s="3"/>
      <c r="E926" s="3" t="s">
        <v>175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317</v>
      </c>
      <c r="O926" s="3"/>
      <c r="P926" s="3"/>
      <c r="Q926" s="3">
        <v>0.28499999999999998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175</v>
      </c>
      <c r="D927" s="3"/>
      <c r="E927" s="3" t="s">
        <v>175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176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177</v>
      </c>
      <c r="D928" s="3"/>
      <c r="E928" s="3" t="s">
        <v>177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320</v>
      </c>
      <c r="O928" s="3"/>
      <c r="P928" s="3"/>
      <c r="Q928" s="3">
        <v>2.1339999999999999</v>
      </c>
      <c r="R928" s="3" t="s">
        <v>14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177</v>
      </c>
      <c r="D929" s="3"/>
      <c r="E929" s="3" t="s">
        <v>177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93</v>
      </c>
      <c r="O929" s="3"/>
      <c r="P929" s="3"/>
      <c r="Q929" s="3">
        <v>142.64599999999999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177</v>
      </c>
      <c r="D930" s="3"/>
      <c r="E930" s="3" t="s">
        <v>177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16</v>
      </c>
      <c r="O930" s="3"/>
      <c r="P930" s="3"/>
      <c r="Q930" s="3">
        <v>38.405000000000001</v>
      </c>
      <c r="R930" s="3" t="s">
        <v>14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177</v>
      </c>
      <c r="D931" s="3"/>
      <c r="E931" s="3" t="s">
        <v>177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318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177</v>
      </c>
      <c r="D932" s="3"/>
      <c r="E932" s="3" t="s">
        <v>177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102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177</v>
      </c>
      <c r="D933" s="3"/>
      <c r="E933" s="3" t="s">
        <v>177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315</v>
      </c>
      <c r="O933" s="3"/>
      <c r="P933" s="3"/>
      <c r="Q933" s="3">
        <v>5.69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177</v>
      </c>
      <c r="D934" s="3"/>
      <c r="E934" s="3" t="s">
        <v>177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316</v>
      </c>
      <c r="O934" s="3"/>
      <c r="P934" s="3"/>
      <c r="Q934" s="3">
        <v>34.991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177</v>
      </c>
      <c r="D935" s="3"/>
      <c r="E935" s="3" t="s">
        <v>177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103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177</v>
      </c>
      <c r="D936" s="3"/>
      <c r="E936" s="3" t="s">
        <v>177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319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177</v>
      </c>
      <c r="D937" s="3"/>
      <c r="E937" s="3" t="s">
        <v>177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177</v>
      </c>
      <c r="D938" s="3"/>
      <c r="E938" s="3" t="s">
        <v>177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177</v>
      </c>
      <c r="D939" s="3"/>
      <c r="E939" s="3" t="s">
        <v>177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317</v>
      </c>
      <c r="O939" s="3"/>
      <c r="P939" s="3"/>
      <c r="Q939" s="3">
        <v>0.33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177</v>
      </c>
      <c r="D940" s="3"/>
      <c r="E940" s="3" t="s">
        <v>177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178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179</v>
      </c>
      <c r="D941" s="3"/>
      <c r="E941" s="3" t="s">
        <v>179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320</v>
      </c>
      <c r="O941" s="3"/>
      <c r="P941" s="3"/>
      <c r="Q941" s="3">
        <v>2.4380000000000002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179</v>
      </c>
      <c r="D942" s="3"/>
      <c r="E942" s="3" t="s">
        <v>179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93</v>
      </c>
      <c r="O942" s="3"/>
      <c r="P942" s="3"/>
      <c r="Q942" s="3">
        <v>150.571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179</v>
      </c>
      <c r="D943" s="3"/>
      <c r="E943" s="3" t="s">
        <v>179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16</v>
      </c>
      <c r="O943" s="3"/>
      <c r="P943" s="3"/>
      <c r="Q943" s="3">
        <v>40.537999999999997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179</v>
      </c>
      <c r="D944" s="3"/>
      <c r="E944" s="3" t="s">
        <v>179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318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179</v>
      </c>
      <c r="D945" s="3"/>
      <c r="E945" s="3" t="s">
        <v>179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179</v>
      </c>
      <c r="D946" s="3"/>
      <c r="E946" s="3" t="s">
        <v>179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315</v>
      </c>
      <c r="O946" s="3"/>
      <c r="P946" s="3"/>
      <c r="Q946" s="3">
        <v>5.9939999999999998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179</v>
      </c>
      <c r="D947" s="3"/>
      <c r="E947" s="3" t="s">
        <v>179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316</v>
      </c>
      <c r="O947" s="3"/>
      <c r="P947" s="3"/>
      <c r="Q947" s="3">
        <v>36.866</v>
      </c>
      <c r="R947" s="3" t="s">
        <v>14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179</v>
      </c>
      <c r="D948" s="3"/>
      <c r="E948" s="3" t="s">
        <v>179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103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179</v>
      </c>
      <c r="D949" s="3"/>
      <c r="E949" s="3" t="s">
        <v>179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319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179</v>
      </c>
      <c r="D950" s="3"/>
      <c r="E950" s="3" t="s">
        <v>179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179</v>
      </c>
      <c r="D951" s="3"/>
      <c r="E951" s="3" t="s">
        <v>179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179</v>
      </c>
      <c r="D952" s="3"/>
      <c r="E952" s="3" t="s">
        <v>179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317</v>
      </c>
      <c r="O952" s="3"/>
      <c r="P952" s="3"/>
      <c r="Q952" s="3">
        <v>0.375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179</v>
      </c>
      <c r="D953" s="3"/>
      <c r="E953" s="3" t="s">
        <v>179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180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181</v>
      </c>
      <c r="D954" s="3"/>
      <c r="E954" s="3" t="s">
        <v>181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320</v>
      </c>
      <c r="O954" s="3"/>
      <c r="P954" s="3"/>
      <c r="Q954" s="3">
        <v>2.7429999999999999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181</v>
      </c>
      <c r="D955" s="3"/>
      <c r="E955" s="3" t="s">
        <v>181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93</v>
      </c>
      <c r="O955" s="3"/>
      <c r="P955" s="3"/>
      <c r="Q955" s="3">
        <v>158.49600000000001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181</v>
      </c>
      <c r="D956" s="3"/>
      <c r="E956" s="3" t="s">
        <v>181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16</v>
      </c>
      <c r="O956" s="3"/>
      <c r="P956" s="3"/>
      <c r="Q956" s="3">
        <v>42.671999999999997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181</v>
      </c>
      <c r="D957" s="3"/>
      <c r="E957" s="3" t="s">
        <v>181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318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181</v>
      </c>
      <c r="D958" s="3"/>
      <c r="E958" s="3" t="s">
        <v>181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102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181</v>
      </c>
      <c r="D959" s="3"/>
      <c r="E959" s="3" t="s">
        <v>181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315</v>
      </c>
      <c r="O959" s="3"/>
      <c r="P959" s="3"/>
      <c r="Q959" s="3">
        <v>6.2990000000000004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181</v>
      </c>
      <c r="D960" s="3"/>
      <c r="E960" s="3" t="s">
        <v>181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316</v>
      </c>
      <c r="O960" s="3"/>
      <c r="P960" s="3"/>
      <c r="Q960" s="3">
        <v>38.74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181</v>
      </c>
      <c r="D961" s="3"/>
      <c r="E961" s="3" t="s">
        <v>181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103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181</v>
      </c>
      <c r="D962" s="3"/>
      <c r="E962" s="3" t="s">
        <v>181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319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181</v>
      </c>
      <c r="D963" s="3"/>
      <c r="E963" s="3" t="s">
        <v>181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181</v>
      </c>
      <c r="D964" s="3"/>
      <c r="E964" s="3" t="s">
        <v>181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181</v>
      </c>
      <c r="D965" s="3"/>
      <c r="E965" s="3" t="s">
        <v>181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317</v>
      </c>
      <c r="O965" s="3"/>
      <c r="P965" s="3"/>
      <c r="Q965" s="3">
        <v>0.42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181</v>
      </c>
      <c r="D966" s="3"/>
      <c r="E966" s="3" t="s">
        <v>181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182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183</v>
      </c>
      <c r="D967" s="3"/>
      <c r="E967" s="3" t="s">
        <v>183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320</v>
      </c>
      <c r="O967" s="3"/>
      <c r="P967" s="3"/>
      <c r="Q967" s="3">
        <v>3.3530000000000002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183</v>
      </c>
      <c r="D968" s="3"/>
      <c r="E968" s="3" t="s">
        <v>183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93</v>
      </c>
      <c r="O968" s="3"/>
      <c r="P968" s="3"/>
      <c r="Q968" s="3">
        <v>174.346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183</v>
      </c>
      <c r="D969" s="3"/>
      <c r="E969" s="3" t="s">
        <v>183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16</v>
      </c>
      <c r="O969" s="3"/>
      <c r="P969" s="3"/>
      <c r="Q969" s="3">
        <v>46.939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183</v>
      </c>
      <c r="D970" s="3"/>
      <c r="E970" s="3" t="s">
        <v>183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318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183</v>
      </c>
      <c r="D971" s="3"/>
      <c r="E971" s="3" t="s">
        <v>183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102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183</v>
      </c>
      <c r="D972" s="3"/>
      <c r="E972" s="3" t="s">
        <v>183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315</v>
      </c>
      <c r="O972" s="3"/>
      <c r="P972" s="3"/>
      <c r="Q972" s="3">
        <v>6.9089999999999998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183</v>
      </c>
      <c r="D973" s="3"/>
      <c r="E973" s="3" t="s">
        <v>183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316</v>
      </c>
      <c r="O973" s="3"/>
      <c r="P973" s="3"/>
      <c r="Q973" s="3">
        <v>42.488999999999997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183</v>
      </c>
      <c r="D974" s="3"/>
      <c r="E974" s="3" t="s">
        <v>183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103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183</v>
      </c>
      <c r="D975" s="3"/>
      <c r="E975" s="3" t="s">
        <v>183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319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183</v>
      </c>
      <c r="D976" s="3"/>
      <c r="E976" s="3" t="s">
        <v>183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183</v>
      </c>
      <c r="D977" s="3"/>
      <c r="E977" s="3" t="s">
        <v>183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183</v>
      </c>
      <c r="D978" s="3"/>
      <c r="E978" s="3" t="s">
        <v>183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317</v>
      </c>
      <c r="O978" s="3"/>
      <c r="P978" s="3"/>
      <c r="Q978" s="3">
        <v>0.51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183</v>
      </c>
      <c r="D979" s="3"/>
      <c r="E979" s="3" t="s">
        <v>183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184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185</v>
      </c>
      <c r="D980" s="3"/>
      <c r="E980" s="3" t="s">
        <v>185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320</v>
      </c>
      <c r="O980" s="3"/>
      <c r="P980" s="3"/>
      <c r="Q980" s="3">
        <v>3.6579999999999999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185</v>
      </c>
      <c r="D981" s="3"/>
      <c r="E981" s="3" t="s">
        <v>185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93</v>
      </c>
      <c r="O981" s="3"/>
      <c r="P981" s="3"/>
      <c r="Q981" s="3">
        <v>182.27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185</v>
      </c>
      <c r="D982" s="3"/>
      <c r="E982" s="3" t="s">
        <v>185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16</v>
      </c>
      <c r="O982" s="3"/>
      <c r="P982" s="3"/>
      <c r="Q982" s="3">
        <v>49.073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185</v>
      </c>
      <c r="D983" s="3"/>
      <c r="E983" s="3" t="s">
        <v>185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318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185</v>
      </c>
      <c r="D984" s="3"/>
      <c r="E984" s="3" t="s">
        <v>185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102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185</v>
      </c>
      <c r="D985" s="3"/>
      <c r="E985" s="3" t="s">
        <v>185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315</v>
      </c>
      <c r="O985" s="3"/>
      <c r="P985" s="3"/>
      <c r="Q985" s="3">
        <v>7.2140000000000004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185</v>
      </c>
      <c r="D986" s="3"/>
      <c r="E986" s="3" t="s">
        <v>185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316</v>
      </c>
      <c r="O986" s="3"/>
      <c r="P986" s="3"/>
      <c r="Q986" s="3">
        <v>44.363999999999997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185</v>
      </c>
      <c r="D987" s="3"/>
      <c r="E987" s="3" t="s">
        <v>185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103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185</v>
      </c>
      <c r="D988" s="3"/>
      <c r="E988" s="3" t="s">
        <v>185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319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185</v>
      </c>
      <c r="D989" s="3"/>
      <c r="E989" s="3" t="s">
        <v>185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185</v>
      </c>
      <c r="D990" s="3"/>
      <c r="E990" s="3" t="s">
        <v>185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185</v>
      </c>
      <c r="D991" s="3"/>
      <c r="E991" s="3" t="s">
        <v>185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317</v>
      </c>
      <c r="O991" s="3"/>
      <c r="P991" s="3"/>
      <c r="Q991" s="3">
        <v>0.55500000000000005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185</v>
      </c>
      <c r="D992" s="3"/>
      <c r="E992" s="3" t="s">
        <v>185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186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187</v>
      </c>
      <c r="D993" s="3"/>
      <c r="E993" s="3" t="s">
        <v>187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320</v>
      </c>
      <c r="O993" s="3"/>
      <c r="P993" s="3"/>
      <c r="Q993" s="3">
        <v>3.9620000000000002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187</v>
      </c>
      <c r="D994" s="3"/>
      <c r="E994" s="3" t="s">
        <v>187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93</v>
      </c>
      <c r="O994" s="3"/>
      <c r="P994" s="3"/>
      <c r="Q994" s="3">
        <v>190.19499999999999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187</v>
      </c>
      <c r="D995" s="3"/>
      <c r="E995" s="3" t="s">
        <v>187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16</v>
      </c>
      <c r="O995" s="3"/>
      <c r="P995" s="3"/>
      <c r="Q995" s="3">
        <v>51.206000000000003</v>
      </c>
      <c r="R995" s="3" t="s">
        <v>14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187</v>
      </c>
      <c r="D996" s="3"/>
      <c r="E996" s="3" t="s">
        <v>187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318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187</v>
      </c>
      <c r="D997" s="3"/>
      <c r="E997" s="3" t="s">
        <v>187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102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187</v>
      </c>
      <c r="D998" s="3"/>
      <c r="E998" s="3" t="s">
        <v>187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315</v>
      </c>
      <c r="O998" s="3"/>
      <c r="P998" s="3"/>
      <c r="Q998" s="3">
        <v>7.5179999999999998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187</v>
      </c>
      <c r="D999" s="3"/>
      <c r="E999" s="3" t="s">
        <v>187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316</v>
      </c>
      <c r="O999" s="3"/>
      <c r="P999" s="3"/>
      <c r="Q999" s="3">
        <v>46.238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187</v>
      </c>
      <c r="D1000" s="3"/>
      <c r="E1000" s="3" t="s">
        <v>187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103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187</v>
      </c>
      <c r="D1001" s="3"/>
      <c r="E1001" s="3" t="s">
        <v>187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319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187</v>
      </c>
      <c r="D1002" s="3"/>
      <c r="E1002" s="3" t="s">
        <v>187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187</v>
      </c>
      <c r="D1003" s="3"/>
      <c r="E1003" s="3" t="s">
        <v>187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187</v>
      </c>
      <c r="D1004" s="3"/>
      <c r="E1004" s="3" t="s">
        <v>187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317</v>
      </c>
      <c r="O1004" s="3"/>
      <c r="P1004" s="3"/>
      <c r="Q1004" s="3">
        <v>0.60099999999999998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187</v>
      </c>
      <c r="D1005" s="3"/>
      <c r="E1005" s="3" t="s">
        <v>187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188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189</v>
      </c>
      <c r="D1006" s="3"/>
      <c r="E1006" s="3" t="s">
        <v>189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320</v>
      </c>
      <c r="O1006" s="3"/>
      <c r="P1006" s="3"/>
      <c r="Q1006" s="3">
        <v>1.829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189</v>
      </c>
      <c r="D1007" s="3"/>
      <c r="E1007" s="3" t="s">
        <v>189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93</v>
      </c>
      <c r="O1007" s="3"/>
      <c r="P1007" s="3"/>
      <c r="Q1007" s="3">
        <v>138.684</v>
      </c>
      <c r="R1007" s="3" t="s">
        <v>14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189</v>
      </c>
      <c r="D1008" s="3"/>
      <c r="E1008" s="3" t="s">
        <v>189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16</v>
      </c>
      <c r="O1008" s="3"/>
      <c r="P1008" s="3"/>
      <c r="Q1008" s="3">
        <v>37.338000000000001</v>
      </c>
      <c r="R1008" s="3" t="s">
        <v>14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189</v>
      </c>
      <c r="D1009" s="3"/>
      <c r="E1009" s="3" t="s">
        <v>189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318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189</v>
      </c>
      <c r="D1010" s="3"/>
      <c r="E1010" s="3" t="s">
        <v>189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102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189</v>
      </c>
      <c r="D1011" s="3"/>
      <c r="E1011" s="3" t="s">
        <v>189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315</v>
      </c>
      <c r="O1011" s="3"/>
      <c r="P1011" s="3"/>
      <c r="Q1011" s="3">
        <v>5.5369999999999999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189</v>
      </c>
      <c r="D1012" s="3"/>
      <c r="E1012" s="3" t="s">
        <v>189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316</v>
      </c>
      <c r="O1012" s="3"/>
      <c r="P1012" s="3"/>
      <c r="Q1012" s="3">
        <v>34.054000000000002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189</v>
      </c>
      <c r="D1013" s="3"/>
      <c r="E1013" s="3" t="s">
        <v>189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103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189</v>
      </c>
      <c r="D1014" s="3"/>
      <c r="E1014" s="3" t="s">
        <v>189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319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189</v>
      </c>
      <c r="D1015" s="3"/>
      <c r="E1015" s="3" t="s">
        <v>189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189</v>
      </c>
      <c r="D1016" s="3"/>
      <c r="E1016" s="3" t="s">
        <v>189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189</v>
      </c>
      <c r="D1017" s="3"/>
      <c r="E1017" s="3" t="s">
        <v>189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317</v>
      </c>
      <c r="O1017" s="3"/>
      <c r="P1017" s="3"/>
      <c r="Q1017" s="3">
        <v>0.28499999999999998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189</v>
      </c>
      <c r="D1018" s="3"/>
      <c r="E1018" s="3" t="s">
        <v>189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190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191</v>
      </c>
      <c r="D1019" s="3"/>
      <c r="E1019" s="3" t="s">
        <v>191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320</v>
      </c>
      <c r="O1019" s="3"/>
      <c r="P1019" s="3"/>
      <c r="Q1019" s="3">
        <v>2.1339999999999999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191</v>
      </c>
      <c r="D1020" s="3"/>
      <c r="E1020" s="3" t="s">
        <v>191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93</v>
      </c>
      <c r="O1020" s="3"/>
      <c r="P1020" s="3"/>
      <c r="Q1020" s="3">
        <v>146.60900000000001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191</v>
      </c>
      <c r="D1021" s="3"/>
      <c r="E1021" s="3" t="s">
        <v>191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16</v>
      </c>
      <c r="O1021" s="3"/>
      <c r="P1021" s="3"/>
      <c r="Q1021" s="3">
        <v>39.472000000000001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191</v>
      </c>
      <c r="D1022" s="3"/>
      <c r="E1022" s="3" t="s">
        <v>191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318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191</v>
      </c>
      <c r="D1023" s="3"/>
      <c r="E1023" s="3" t="s">
        <v>191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102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191</v>
      </c>
      <c r="D1024" s="3"/>
      <c r="E1024" s="3" t="s">
        <v>191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315</v>
      </c>
      <c r="O1024" s="3"/>
      <c r="P1024" s="3"/>
      <c r="Q1024" s="3">
        <v>5.8419999999999996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191</v>
      </c>
      <c r="D1025" s="3"/>
      <c r="E1025" s="3" t="s">
        <v>191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316</v>
      </c>
      <c r="O1025" s="3"/>
      <c r="P1025" s="3"/>
      <c r="Q1025" s="3">
        <v>35.927999999999997</v>
      </c>
      <c r="R1025" s="3" t="s">
        <v>14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191</v>
      </c>
      <c r="D1026" s="3"/>
      <c r="E1026" s="3" t="s">
        <v>191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103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191</v>
      </c>
      <c r="D1027" s="3"/>
      <c r="E1027" s="3" t="s">
        <v>191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319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191</v>
      </c>
      <c r="D1028" s="3"/>
      <c r="E1028" s="3" t="s">
        <v>191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191</v>
      </c>
      <c r="D1029" s="3"/>
      <c r="E1029" s="3" t="s">
        <v>191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191</v>
      </c>
      <c r="D1030" s="3"/>
      <c r="E1030" s="3" t="s">
        <v>191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317</v>
      </c>
      <c r="O1030" s="3"/>
      <c r="P1030" s="3"/>
      <c r="Q1030" s="3">
        <v>0.33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191</v>
      </c>
      <c r="D1031" s="3"/>
      <c r="E1031" s="3" t="s">
        <v>191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192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193</v>
      </c>
      <c r="D1032" s="3"/>
      <c r="E1032" s="3" t="s">
        <v>193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320</v>
      </c>
      <c r="O1032" s="3"/>
      <c r="P1032" s="3"/>
      <c r="Q1032" s="3">
        <v>2.4380000000000002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193</v>
      </c>
      <c r="D1033" s="3"/>
      <c r="E1033" s="3" t="s">
        <v>193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93</v>
      </c>
      <c r="O1033" s="3"/>
      <c r="P1033" s="3"/>
      <c r="Q1033" s="3">
        <v>154.53399999999999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193</v>
      </c>
      <c r="D1034" s="3"/>
      <c r="E1034" s="3" t="s">
        <v>193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16</v>
      </c>
      <c r="O1034" s="3"/>
      <c r="P1034" s="3"/>
      <c r="Q1034" s="3">
        <v>41.604999999999997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193</v>
      </c>
      <c r="D1035" s="3"/>
      <c r="E1035" s="3" t="s">
        <v>193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318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193</v>
      </c>
      <c r="D1036" s="3"/>
      <c r="E1036" s="3" t="s">
        <v>193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102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193</v>
      </c>
      <c r="D1037" s="3"/>
      <c r="E1037" s="3" t="s">
        <v>193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315</v>
      </c>
      <c r="O1037" s="3"/>
      <c r="P1037" s="3"/>
      <c r="Q1037" s="3">
        <v>6.1470000000000002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193</v>
      </c>
      <c r="D1038" s="3"/>
      <c r="E1038" s="3" t="s">
        <v>193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316</v>
      </c>
      <c r="O1038" s="3"/>
      <c r="P1038" s="3"/>
      <c r="Q1038" s="3">
        <v>37.802999999999997</v>
      </c>
      <c r="R1038" s="3" t="s">
        <v>14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193</v>
      </c>
      <c r="D1039" s="3"/>
      <c r="E1039" s="3" t="s">
        <v>193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103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193</v>
      </c>
      <c r="D1040" s="3"/>
      <c r="E1040" s="3" t="s">
        <v>193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319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193</v>
      </c>
      <c r="D1041" s="3"/>
      <c r="E1041" s="3" t="s">
        <v>193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193</v>
      </c>
      <c r="D1042" s="3"/>
      <c r="E1042" s="3" t="s">
        <v>193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193</v>
      </c>
      <c r="D1043" s="3"/>
      <c r="E1043" s="3" t="s">
        <v>193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317</v>
      </c>
      <c r="O1043" s="3"/>
      <c r="P1043" s="3"/>
      <c r="Q1043" s="3">
        <v>0.375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193</v>
      </c>
      <c r="D1044" s="3"/>
      <c r="E1044" s="3" t="s">
        <v>193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194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195</v>
      </c>
      <c r="D1045" s="3"/>
      <c r="E1045" s="3" t="s">
        <v>195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320</v>
      </c>
      <c r="O1045" s="3"/>
      <c r="P1045" s="3"/>
      <c r="Q1045" s="3">
        <v>2.7429999999999999</v>
      </c>
      <c r="R1045" s="3" t="s">
        <v>14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195</v>
      </c>
      <c r="D1046" s="3"/>
      <c r="E1046" s="3" t="s">
        <v>195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93</v>
      </c>
      <c r="O1046" s="3"/>
      <c r="P1046" s="3"/>
      <c r="Q1046" s="3">
        <v>162.458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195</v>
      </c>
      <c r="D1047" s="3"/>
      <c r="E1047" s="3" t="s">
        <v>195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16</v>
      </c>
      <c r="O1047" s="3"/>
      <c r="P1047" s="3"/>
      <c r="Q1047" s="3">
        <v>43.738999999999997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195</v>
      </c>
      <c r="D1048" s="3"/>
      <c r="E1048" s="3" t="s">
        <v>195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318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195</v>
      </c>
      <c r="D1049" s="3"/>
      <c r="E1049" s="3" t="s">
        <v>195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102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195</v>
      </c>
      <c r="D1050" s="3"/>
      <c r="E1050" s="3" t="s">
        <v>195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315</v>
      </c>
      <c r="O1050" s="3"/>
      <c r="P1050" s="3"/>
      <c r="Q1050" s="3">
        <v>6.452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195</v>
      </c>
      <c r="D1051" s="3"/>
      <c r="E1051" s="3" t="s">
        <v>195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316</v>
      </c>
      <c r="O1051" s="3"/>
      <c r="P1051" s="3"/>
      <c r="Q1051" s="3">
        <v>39.677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195</v>
      </c>
      <c r="D1052" s="3"/>
      <c r="E1052" s="3" t="s">
        <v>195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103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195</v>
      </c>
      <c r="D1053" s="3"/>
      <c r="E1053" s="3" t="s">
        <v>195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319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195</v>
      </c>
      <c r="D1054" s="3"/>
      <c r="E1054" s="3" t="s">
        <v>195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195</v>
      </c>
      <c r="D1055" s="3"/>
      <c r="E1055" s="3" t="s">
        <v>195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195</v>
      </c>
      <c r="D1056" s="3"/>
      <c r="E1056" s="3" t="s">
        <v>195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317</v>
      </c>
      <c r="O1056" s="3"/>
      <c r="P1056" s="3"/>
      <c r="Q1056" s="3">
        <v>0.42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195</v>
      </c>
      <c r="D1057" s="3"/>
      <c r="E1057" s="3" t="s">
        <v>195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196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197</v>
      </c>
      <c r="D1058" s="3"/>
      <c r="E1058" s="3" t="s">
        <v>197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320</v>
      </c>
      <c r="O1058" s="3"/>
      <c r="P1058" s="3"/>
      <c r="Q1058" s="3">
        <v>3.3530000000000002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197</v>
      </c>
      <c r="D1059" s="3"/>
      <c r="E1059" s="3" t="s">
        <v>197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93</v>
      </c>
      <c r="O1059" s="3"/>
      <c r="P1059" s="3"/>
      <c r="Q1059" s="3">
        <v>178.30799999999999</v>
      </c>
      <c r="R1059" s="3" t="s">
        <v>14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197</v>
      </c>
      <c r="D1060" s="3"/>
      <c r="E1060" s="3" t="s">
        <v>197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16</v>
      </c>
      <c r="O1060" s="3"/>
      <c r="P1060" s="3"/>
      <c r="Q1060" s="3">
        <v>48.006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197</v>
      </c>
      <c r="D1061" s="3"/>
      <c r="E1061" s="3" t="s">
        <v>197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318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197</v>
      </c>
      <c r="D1062" s="3"/>
      <c r="E1062" s="3" t="s">
        <v>197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102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197</v>
      </c>
      <c r="D1063" s="3"/>
      <c r="E1063" s="3" t="s">
        <v>197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315</v>
      </c>
      <c r="O1063" s="3"/>
      <c r="P1063" s="3"/>
      <c r="Q1063" s="3">
        <v>7.0609999999999999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197</v>
      </c>
      <c r="D1064" s="3"/>
      <c r="E1064" s="3" t="s">
        <v>197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316</v>
      </c>
      <c r="O1064" s="3"/>
      <c r="P1064" s="3"/>
      <c r="Q1064" s="3">
        <v>43.426000000000002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197</v>
      </c>
      <c r="D1065" s="3"/>
      <c r="E1065" s="3" t="s">
        <v>197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103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197</v>
      </c>
      <c r="D1066" s="3"/>
      <c r="E1066" s="3" t="s">
        <v>197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319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197</v>
      </c>
      <c r="D1067" s="3"/>
      <c r="E1067" s="3" t="s">
        <v>197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197</v>
      </c>
      <c r="D1068" s="3"/>
      <c r="E1068" s="3" t="s">
        <v>197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197</v>
      </c>
      <c r="D1069" s="3"/>
      <c r="E1069" s="3" t="s">
        <v>197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317</v>
      </c>
      <c r="O1069" s="3"/>
      <c r="P1069" s="3"/>
      <c r="Q1069" s="3">
        <v>0.51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197</v>
      </c>
      <c r="D1070" s="3"/>
      <c r="E1070" s="3" t="s">
        <v>197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198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199</v>
      </c>
      <c r="D1071" s="3"/>
      <c r="E1071" s="3" t="s">
        <v>199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320</v>
      </c>
      <c r="O1071" s="3"/>
      <c r="P1071" s="3"/>
      <c r="Q1071" s="3">
        <v>3.6579999999999999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199</v>
      </c>
      <c r="D1072" s="3"/>
      <c r="E1072" s="3" t="s">
        <v>199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93</v>
      </c>
      <c r="O1072" s="3"/>
      <c r="P1072" s="3"/>
      <c r="Q1072" s="3">
        <v>186.233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199</v>
      </c>
      <c r="D1073" s="3"/>
      <c r="E1073" s="3" t="s">
        <v>199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16</v>
      </c>
      <c r="O1073" s="3"/>
      <c r="P1073" s="3"/>
      <c r="Q1073" s="3">
        <v>50.14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199</v>
      </c>
      <c r="D1074" s="3"/>
      <c r="E1074" s="3" t="s">
        <v>199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318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199</v>
      </c>
      <c r="D1075" s="3"/>
      <c r="E1075" s="3" t="s">
        <v>199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102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199</v>
      </c>
      <c r="D1076" s="3"/>
      <c r="E1076" s="3" t="s">
        <v>199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315</v>
      </c>
      <c r="O1076" s="3"/>
      <c r="P1076" s="3"/>
      <c r="Q1076" s="3">
        <v>7.3659999999999997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199</v>
      </c>
      <c r="D1077" s="3"/>
      <c r="E1077" s="3" t="s">
        <v>199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316</v>
      </c>
      <c r="O1077" s="3"/>
      <c r="P1077" s="3"/>
      <c r="Q1077" s="3">
        <v>45.301000000000002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199</v>
      </c>
      <c r="D1078" s="3"/>
      <c r="E1078" s="3" t="s">
        <v>199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103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199</v>
      </c>
      <c r="D1079" s="3"/>
      <c r="E1079" s="3" t="s">
        <v>199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319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199</v>
      </c>
      <c r="D1080" s="3"/>
      <c r="E1080" s="3" t="s">
        <v>199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199</v>
      </c>
      <c r="D1081" s="3"/>
      <c r="E1081" s="3" t="s">
        <v>199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199</v>
      </c>
      <c r="D1082" s="3"/>
      <c r="E1082" s="3" t="s">
        <v>199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317</v>
      </c>
      <c r="O1082" s="3"/>
      <c r="P1082" s="3"/>
      <c r="Q1082" s="3">
        <v>0.55500000000000005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199</v>
      </c>
      <c r="D1083" s="3"/>
      <c r="E1083" s="3" t="s">
        <v>199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200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201</v>
      </c>
      <c r="D1084" s="3"/>
      <c r="E1084" s="3" t="s">
        <v>201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320</v>
      </c>
      <c r="O1084" s="3"/>
      <c r="P1084" s="3"/>
      <c r="Q1084" s="3">
        <v>3.9620000000000002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201</v>
      </c>
      <c r="D1085" s="3"/>
      <c r="E1085" s="3" t="s">
        <v>201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93</v>
      </c>
      <c r="O1085" s="3"/>
      <c r="P1085" s="3"/>
      <c r="Q1085" s="3">
        <v>194.15799999999999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201</v>
      </c>
      <c r="D1086" s="3"/>
      <c r="E1086" s="3" t="s">
        <v>201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16</v>
      </c>
      <c r="O1086" s="3"/>
      <c r="P1086" s="3"/>
      <c r="Q1086" s="3">
        <v>52.273000000000003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201</v>
      </c>
      <c r="D1087" s="3"/>
      <c r="E1087" s="3" t="s">
        <v>201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318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201</v>
      </c>
      <c r="D1088" s="3"/>
      <c r="E1088" s="3" t="s">
        <v>201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102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201</v>
      </c>
      <c r="D1089" s="3"/>
      <c r="E1089" s="3" t="s">
        <v>201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315</v>
      </c>
      <c r="O1089" s="3"/>
      <c r="P1089" s="3"/>
      <c r="Q1089" s="3">
        <v>7.6710000000000003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201</v>
      </c>
      <c r="D1090" s="3"/>
      <c r="E1090" s="3" t="s">
        <v>201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316</v>
      </c>
      <c r="O1090" s="3"/>
      <c r="P1090" s="3"/>
      <c r="Q1090" s="3">
        <v>47.174999999999997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201</v>
      </c>
      <c r="D1091" s="3"/>
      <c r="E1091" s="3" t="s">
        <v>201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103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201</v>
      </c>
      <c r="D1092" s="3"/>
      <c r="E1092" s="3" t="s">
        <v>201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319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201</v>
      </c>
      <c r="D1093" s="3"/>
      <c r="E1093" s="3" t="s">
        <v>201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201</v>
      </c>
      <c r="D1094" s="3"/>
      <c r="E1094" s="3" t="s">
        <v>201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201</v>
      </c>
      <c r="D1095" s="3"/>
      <c r="E1095" s="3" t="s">
        <v>201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317</v>
      </c>
      <c r="O1095" s="3"/>
      <c r="P1095" s="3"/>
      <c r="Q1095" s="3">
        <v>0.60099999999999998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201</v>
      </c>
      <c r="D1096" s="3"/>
      <c r="E1096" s="3" t="s">
        <v>201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202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203</v>
      </c>
      <c r="D1097" s="3"/>
      <c r="E1097" s="3" t="s">
        <v>203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320</v>
      </c>
      <c r="O1097" s="3"/>
      <c r="P1097" s="3"/>
      <c r="Q1097" s="3">
        <v>2.3370000000000002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203</v>
      </c>
      <c r="D1098" s="3"/>
      <c r="E1098" s="3" t="s">
        <v>203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93</v>
      </c>
      <c r="O1098" s="3"/>
      <c r="P1098" s="3"/>
      <c r="Q1098" s="3">
        <v>142.64599999999999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203</v>
      </c>
      <c r="D1099" s="3"/>
      <c r="E1099" s="3" t="s">
        <v>203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16</v>
      </c>
      <c r="O1099" s="3"/>
      <c r="P1099" s="3"/>
      <c r="Q1099" s="3">
        <v>38.405000000000001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203</v>
      </c>
      <c r="D1100" s="3"/>
      <c r="E1100" s="3" t="s">
        <v>203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318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203</v>
      </c>
      <c r="D1101" s="3"/>
      <c r="E1101" s="3" t="s">
        <v>203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203</v>
      </c>
      <c r="D1102" s="3"/>
      <c r="E1102" s="3" t="s">
        <v>203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315</v>
      </c>
      <c r="O1102" s="3"/>
      <c r="P1102" s="3"/>
      <c r="Q1102" s="3">
        <v>5.69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203</v>
      </c>
      <c r="D1103" s="3"/>
      <c r="E1103" s="3" t="s">
        <v>203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316</v>
      </c>
      <c r="O1103" s="3"/>
      <c r="P1103" s="3"/>
      <c r="Q1103" s="3">
        <v>34.991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203</v>
      </c>
      <c r="D1104" s="3"/>
      <c r="E1104" s="3" t="s">
        <v>203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103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203</v>
      </c>
      <c r="D1105" s="3"/>
      <c r="E1105" s="3" t="s">
        <v>203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319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203</v>
      </c>
      <c r="D1106" s="3"/>
      <c r="E1106" s="3" t="s">
        <v>203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203</v>
      </c>
      <c r="D1107" s="3"/>
      <c r="E1107" s="3" t="s">
        <v>203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203</v>
      </c>
      <c r="D1108" s="3"/>
      <c r="E1108" s="3" t="s">
        <v>203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317</v>
      </c>
      <c r="O1108" s="3"/>
      <c r="P1108" s="3"/>
      <c r="Q1108" s="3">
        <v>0.28499999999999998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203</v>
      </c>
      <c r="D1109" s="3"/>
      <c r="E1109" s="3" t="s">
        <v>203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204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205</v>
      </c>
      <c r="D1110" s="3"/>
      <c r="E1110" s="3" t="s">
        <v>205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320</v>
      </c>
      <c r="O1110" s="3"/>
      <c r="P1110" s="3"/>
      <c r="Q1110" s="3">
        <v>2.3370000000000002</v>
      </c>
      <c r="R1110" s="3" t="s">
        <v>14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205</v>
      </c>
      <c r="D1111" s="3"/>
      <c r="E1111" s="3" t="s">
        <v>205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93</v>
      </c>
      <c r="O1111" s="3"/>
      <c r="P1111" s="3"/>
      <c r="Q1111" s="3">
        <v>150.571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205</v>
      </c>
      <c r="D1112" s="3"/>
      <c r="E1112" s="3" t="s">
        <v>205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16</v>
      </c>
      <c r="O1112" s="3"/>
      <c r="P1112" s="3"/>
      <c r="Q1112" s="3">
        <v>40.537999999999997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205</v>
      </c>
      <c r="D1113" s="3"/>
      <c r="E1113" s="3" t="s">
        <v>205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318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205</v>
      </c>
      <c r="D1114" s="3"/>
      <c r="E1114" s="3" t="s">
        <v>205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102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205</v>
      </c>
      <c r="D1115" s="3"/>
      <c r="E1115" s="3" t="s">
        <v>205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315</v>
      </c>
      <c r="O1115" s="3"/>
      <c r="P1115" s="3"/>
      <c r="Q1115" s="3">
        <v>5.9939999999999998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205</v>
      </c>
      <c r="D1116" s="3"/>
      <c r="E1116" s="3" t="s">
        <v>205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316</v>
      </c>
      <c r="O1116" s="3"/>
      <c r="P1116" s="3"/>
      <c r="Q1116" s="3">
        <v>36.866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205</v>
      </c>
      <c r="D1117" s="3"/>
      <c r="E1117" s="3" t="s">
        <v>205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103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205</v>
      </c>
      <c r="D1118" s="3"/>
      <c r="E1118" s="3" t="s">
        <v>205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319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205</v>
      </c>
      <c r="D1119" s="3"/>
      <c r="E1119" s="3" t="s">
        <v>205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205</v>
      </c>
      <c r="D1120" s="3"/>
      <c r="E1120" s="3" t="s">
        <v>205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205</v>
      </c>
      <c r="D1121" s="3"/>
      <c r="E1121" s="3" t="s">
        <v>205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317</v>
      </c>
      <c r="O1121" s="3"/>
      <c r="P1121" s="3"/>
      <c r="Q1121" s="3">
        <v>0.33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205</v>
      </c>
      <c r="D1122" s="3"/>
      <c r="E1122" s="3" t="s">
        <v>205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206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207</v>
      </c>
      <c r="D1123" s="3"/>
      <c r="E1123" s="3" t="s">
        <v>207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320</v>
      </c>
      <c r="O1123" s="3"/>
      <c r="P1123" s="3"/>
      <c r="Q1123" s="3">
        <v>2.3370000000000002</v>
      </c>
      <c r="R1123" s="3" t="s">
        <v>14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207</v>
      </c>
      <c r="D1124" s="3"/>
      <c r="E1124" s="3" t="s">
        <v>207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93</v>
      </c>
      <c r="O1124" s="3"/>
      <c r="P1124" s="3"/>
      <c r="Q1124" s="3">
        <v>158.49600000000001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207</v>
      </c>
      <c r="D1125" s="3"/>
      <c r="E1125" s="3" t="s">
        <v>207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16</v>
      </c>
      <c r="O1125" s="3"/>
      <c r="P1125" s="3"/>
      <c r="Q1125" s="3">
        <v>42.671999999999997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207</v>
      </c>
      <c r="D1126" s="3"/>
      <c r="E1126" s="3" t="s">
        <v>207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318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207</v>
      </c>
      <c r="D1127" s="3"/>
      <c r="E1127" s="3" t="s">
        <v>207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102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207</v>
      </c>
      <c r="D1128" s="3"/>
      <c r="E1128" s="3" t="s">
        <v>207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315</v>
      </c>
      <c r="O1128" s="3"/>
      <c r="P1128" s="3"/>
      <c r="Q1128" s="3">
        <v>6.2990000000000004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207</v>
      </c>
      <c r="D1129" s="3"/>
      <c r="E1129" s="3" t="s">
        <v>207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316</v>
      </c>
      <c r="O1129" s="3"/>
      <c r="P1129" s="3"/>
      <c r="Q1129" s="3">
        <v>38.74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207</v>
      </c>
      <c r="D1130" s="3"/>
      <c r="E1130" s="3" t="s">
        <v>207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103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207</v>
      </c>
      <c r="D1131" s="3"/>
      <c r="E1131" s="3" t="s">
        <v>207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319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207</v>
      </c>
      <c r="D1132" s="3"/>
      <c r="E1132" s="3" t="s">
        <v>207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207</v>
      </c>
      <c r="D1133" s="3"/>
      <c r="E1133" s="3" t="s">
        <v>207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207</v>
      </c>
      <c r="D1134" s="3"/>
      <c r="E1134" s="3" t="s">
        <v>207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317</v>
      </c>
      <c r="O1134" s="3"/>
      <c r="P1134" s="3"/>
      <c r="Q1134" s="3">
        <v>0.375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207</v>
      </c>
      <c r="D1135" s="3"/>
      <c r="E1135" s="3" t="s">
        <v>207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208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209</v>
      </c>
      <c r="D1136" s="3"/>
      <c r="E1136" s="3" t="s">
        <v>209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320</v>
      </c>
      <c r="O1136" s="3"/>
      <c r="P1136" s="3"/>
      <c r="Q1136" s="3">
        <v>2.3370000000000002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209</v>
      </c>
      <c r="D1137" s="3"/>
      <c r="E1137" s="3" t="s">
        <v>209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93</v>
      </c>
      <c r="O1137" s="3"/>
      <c r="P1137" s="3"/>
      <c r="Q1137" s="3">
        <v>166.42099999999999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209</v>
      </c>
      <c r="D1138" s="3"/>
      <c r="E1138" s="3" t="s">
        <v>209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16</v>
      </c>
      <c r="O1138" s="3"/>
      <c r="P1138" s="3"/>
      <c r="Q1138" s="3">
        <v>44.805999999999997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209</v>
      </c>
      <c r="D1139" s="3"/>
      <c r="E1139" s="3" t="s">
        <v>209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318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209</v>
      </c>
      <c r="D1140" s="3"/>
      <c r="E1140" s="3" t="s">
        <v>209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102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209</v>
      </c>
      <c r="D1141" s="3"/>
      <c r="E1141" s="3" t="s">
        <v>209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315</v>
      </c>
      <c r="O1141" s="3"/>
      <c r="P1141" s="3"/>
      <c r="Q1141" s="3">
        <v>6.6040000000000001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209</v>
      </c>
      <c r="D1142" s="3"/>
      <c r="E1142" s="3" t="s">
        <v>209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316</v>
      </c>
      <c r="O1142" s="3"/>
      <c r="P1142" s="3"/>
      <c r="Q1142" s="3">
        <v>40.615000000000002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209</v>
      </c>
      <c r="D1143" s="3"/>
      <c r="E1143" s="3" t="s">
        <v>209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103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209</v>
      </c>
      <c r="D1144" s="3"/>
      <c r="E1144" s="3" t="s">
        <v>209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319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209</v>
      </c>
      <c r="D1145" s="3"/>
      <c r="E1145" s="3" t="s">
        <v>209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209</v>
      </c>
      <c r="D1146" s="3"/>
      <c r="E1146" s="3" t="s">
        <v>209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209</v>
      </c>
      <c r="D1147" s="3"/>
      <c r="E1147" s="3" t="s">
        <v>209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317</v>
      </c>
      <c r="O1147" s="3"/>
      <c r="P1147" s="3"/>
      <c r="Q1147" s="3">
        <v>0.42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209</v>
      </c>
      <c r="D1148" s="3"/>
      <c r="E1148" s="3" t="s">
        <v>209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210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211</v>
      </c>
      <c r="D1149" s="3"/>
      <c r="E1149" s="3" t="s">
        <v>211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320</v>
      </c>
      <c r="O1149" s="3"/>
      <c r="P1149" s="3"/>
      <c r="Q1149" s="3">
        <v>2.3370000000000002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211</v>
      </c>
      <c r="D1150" s="3"/>
      <c r="E1150" s="3" t="s">
        <v>211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93</v>
      </c>
      <c r="O1150" s="3"/>
      <c r="P1150" s="3"/>
      <c r="Q1150" s="3">
        <v>182.27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211</v>
      </c>
      <c r="D1151" s="3"/>
      <c r="E1151" s="3" t="s">
        <v>211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16</v>
      </c>
      <c r="O1151" s="3"/>
      <c r="P1151" s="3"/>
      <c r="Q1151" s="3">
        <v>49.073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211</v>
      </c>
      <c r="D1152" s="3"/>
      <c r="E1152" s="3" t="s">
        <v>211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318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211</v>
      </c>
      <c r="D1153" s="3"/>
      <c r="E1153" s="3" t="s">
        <v>211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102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211</v>
      </c>
      <c r="D1154" s="3"/>
      <c r="E1154" s="3" t="s">
        <v>211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315</v>
      </c>
      <c r="O1154" s="3"/>
      <c r="P1154" s="3"/>
      <c r="Q1154" s="3">
        <v>7.2140000000000004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211</v>
      </c>
      <c r="D1155" s="3"/>
      <c r="E1155" s="3" t="s">
        <v>211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316</v>
      </c>
      <c r="O1155" s="3"/>
      <c r="P1155" s="3"/>
      <c r="Q1155" s="3">
        <v>44.363999999999997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211</v>
      </c>
      <c r="D1156" s="3"/>
      <c r="E1156" s="3" t="s">
        <v>211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103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211</v>
      </c>
      <c r="D1157" s="3"/>
      <c r="E1157" s="3" t="s">
        <v>211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319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211</v>
      </c>
      <c r="D1158" s="3"/>
      <c r="E1158" s="3" t="s">
        <v>211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211</v>
      </c>
      <c r="D1159" s="3"/>
      <c r="E1159" s="3" t="s">
        <v>211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211</v>
      </c>
      <c r="D1160" s="3"/>
      <c r="E1160" s="3" t="s">
        <v>211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317</v>
      </c>
      <c r="O1160" s="3"/>
      <c r="P1160" s="3"/>
      <c r="Q1160" s="3">
        <v>0.51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211</v>
      </c>
      <c r="D1161" s="3"/>
      <c r="E1161" s="3" t="s">
        <v>211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212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213</v>
      </c>
      <c r="D1162" s="3"/>
      <c r="E1162" s="3" t="s">
        <v>213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320</v>
      </c>
      <c r="O1162" s="3"/>
      <c r="P1162" s="3"/>
      <c r="Q1162" s="3">
        <v>2.3370000000000002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213</v>
      </c>
      <c r="D1163" s="3"/>
      <c r="E1163" s="3" t="s">
        <v>213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93</v>
      </c>
      <c r="O1163" s="3"/>
      <c r="P1163" s="3"/>
      <c r="Q1163" s="3">
        <v>190.19499999999999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213</v>
      </c>
      <c r="D1164" s="3"/>
      <c r="E1164" s="3" t="s">
        <v>213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16</v>
      </c>
      <c r="O1164" s="3"/>
      <c r="P1164" s="3"/>
      <c r="Q1164" s="3">
        <v>51.206000000000003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213</v>
      </c>
      <c r="D1165" s="3"/>
      <c r="E1165" s="3" t="s">
        <v>213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318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213</v>
      </c>
      <c r="D1166" s="3"/>
      <c r="E1166" s="3" t="s">
        <v>213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102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213</v>
      </c>
      <c r="D1167" s="3"/>
      <c r="E1167" s="3" t="s">
        <v>213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315</v>
      </c>
      <c r="O1167" s="3"/>
      <c r="P1167" s="3"/>
      <c r="Q1167" s="3">
        <v>7.5179999999999998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213</v>
      </c>
      <c r="D1168" s="3"/>
      <c r="E1168" s="3" t="s">
        <v>213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316</v>
      </c>
      <c r="O1168" s="3"/>
      <c r="P1168" s="3"/>
      <c r="Q1168" s="3">
        <v>46.238</v>
      </c>
      <c r="R1168" s="3" t="s">
        <v>14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213</v>
      </c>
      <c r="D1169" s="3"/>
      <c r="E1169" s="3" t="s">
        <v>213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103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213</v>
      </c>
      <c r="D1170" s="3"/>
      <c r="E1170" s="3" t="s">
        <v>213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319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213</v>
      </c>
      <c r="D1171" s="3"/>
      <c r="E1171" s="3" t="s">
        <v>213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213</v>
      </c>
      <c r="D1172" s="3"/>
      <c r="E1172" s="3" t="s">
        <v>213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213</v>
      </c>
      <c r="D1173" s="3"/>
      <c r="E1173" s="3" t="s">
        <v>213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317</v>
      </c>
      <c r="O1173" s="3"/>
      <c r="P1173" s="3"/>
      <c r="Q1173" s="3">
        <v>0.55500000000000005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213</v>
      </c>
      <c r="D1174" s="3"/>
      <c r="E1174" s="3" t="s">
        <v>213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214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215</v>
      </c>
      <c r="D1175" s="3"/>
      <c r="E1175" s="3" t="s">
        <v>215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320</v>
      </c>
      <c r="O1175" s="3"/>
      <c r="P1175" s="3"/>
      <c r="Q1175" s="3">
        <v>2.3370000000000002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215</v>
      </c>
      <c r="D1176" s="3"/>
      <c r="E1176" s="3" t="s">
        <v>215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93</v>
      </c>
      <c r="O1176" s="3"/>
      <c r="P1176" s="3"/>
      <c r="Q1176" s="3">
        <v>198.12</v>
      </c>
      <c r="R1176" s="3" t="s">
        <v>14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215</v>
      </c>
      <c r="D1177" s="3"/>
      <c r="E1177" s="3" t="s">
        <v>215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16</v>
      </c>
      <c r="O1177" s="3"/>
      <c r="P1177" s="3"/>
      <c r="Q1177" s="3">
        <v>53.34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215</v>
      </c>
      <c r="D1178" s="3"/>
      <c r="E1178" s="3" t="s">
        <v>215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318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215</v>
      </c>
      <c r="D1179" s="3"/>
      <c r="E1179" s="3" t="s">
        <v>215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102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215</v>
      </c>
      <c r="D1180" s="3"/>
      <c r="E1180" s="3" t="s">
        <v>215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315</v>
      </c>
      <c r="O1180" s="3"/>
      <c r="P1180" s="3"/>
      <c r="Q1180" s="3">
        <v>7.8230000000000004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215</v>
      </c>
      <c r="D1181" s="3"/>
      <c r="E1181" s="3" t="s">
        <v>215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316</v>
      </c>
      <c r="O1181" s="3"/>
      <c r="P1181" s="3"/>
      <c r="Q1181" s="3">
        <v>48.113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215</v>
      </c>
      <c r="D1182" s="3"/>
      <c r="E1182" s="3" t="s">
        <v>215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103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215</v>
      </c>
      <c r="D1183" s="3"/>
      <c r="E1183" s="3" t="s">
        <v>215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319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215</v>
      </c>
      <c r="D1184" s="3"/>
      <c r="E1184" s="3" t="s">
        <v>215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215</v>
      </c>
      <c r="D1185" s="3"/>
      <c r="E1185" s="3" t="s">
        <v>215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215</v>
      </c>
      <c r="D1186" s="3"/>
      <c r="E1186" s="3" t="s">
        <v>215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317</v>
      </c>
      <c r="O1186" s="3"/>
      <c r="P1186" s="3"/>
      <c r="Q1186" s="3">
        <v>0.60099999999999998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215</v>
      </c>
      <c r="D1187" s="3"/>
      <c r="E1187" s="3" t="s">
        <v>215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216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217</v>
      </c>
      <c r="D1188" s="3"/>
      <c r="E1188" s="3" t="s">
        <v>217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320</v>
      </c>
      <c r="O1188" s="3"/>
      <c r="P1188" s="3"/>
      <c r="Q1188" s="3">
        <v>4.3689999999999998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217</v>
      </c>
      <c r="D1189" s="3"/>
      <c r="E1189" s="3" t="s">
        <v>217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93</v>
      </c>
      <c r="O1189" s="3"/>
      <c r="P1189" s="3"/>
      <c r="Q1189" s="3">
        <v>145.28800000000001</v>
      </c>
      <c r="R1189" s="3" t="s">
        <v>14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217</v>
      </c>
      <c r="D1190" s="3"/>
      <c r="E1190" s="3" t="s">
        <v>217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16</v>
      </c>
      <c r="O1190" s="3"/>
      <c r="P1190" s="3"/>
      <c r="Q1190" s="3">
        <v>39.116</v>
      </c>
      <c r="R1190" s="3" t="s">
        <v>14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217</v>
      </c>
      <c r="D1191" s="3"/>
      <c r="E1191" s="3" t="s">
        <v>217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318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217</v>
      </c>
      <c r="D1192" s="3"/>
      <c r="E1192" s="3" t="s">
        <v>217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102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217</v>
      </c>
      <c r="D1193" s="3"/>
      <c r="E1193" s="3" t="s">
        <v>217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315</v>
      </c>
      <c r="O1193" s="3"/>
      <c r="P1193" s="3"/>
      <c r="Q1193" s="3">
        <v>5.7910000000000004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217</v>
      </c>
      <c r="D1194" s="3"/>
      <c r="E1194" s="3" t="s">
        <v>217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316</v>
      </c>
      <c r="O1194" s="3"/>
      <c r="P1194" s="3"/>
      <c r="Q1194" s="3">
        <v>35.616</v>
      </c>
      <c r="R1194" s="3" t="s">
        <v>14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217</v>
      </c>
      <c r="D1195" s="3"/>
      <c r="E1195" s="3" t="s">
        <v>217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103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217</v>
      </c>
      <c r="D1196" s="3"/>
      <c r="E1196" s="3" t="s">
        <v>217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319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217</v>
      </c>
      <c r="D1197" s="3"/>
      <c r="E1197" s="3" t="s">
        <v>217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217</v>
      </c>
      <c r="D1198" s="3"/>
      <c r="E1198" s="3" t="s">
        <v>217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217</v>
      </c>
      <c r="D1199" s="3"/>
      <c r="E1199" s="3" t="s">
        <v>217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317</v>
      </c>
      <c r="O1199" s="3"/>
      <c r="P1199" s="3"/>
      <c r="Q1199" s="3">
        <v>0.66100000000000003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217</v>
      </c>
      <c r="D1200" s="3"/>
      <c r="E1200" s="3" t="s">
        <v>217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218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219</v>
      </c>
      <c r="D1201" s="3"/>
      <c r="E1201" s="3" t="s">
        <v>219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320</v>
      </c>
      <c r="O1201" s="3"/>
      <c r="P1201" s="3"/>
      <c r="Q1201" s="3">
        <v>4.3689999999999998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219</v>
      </c>
      <c r="D1202" s="3"/>
      <c r="E1202" s="3" t="s">
        <v>219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93</v>
      </c>
      <c r="O1202" s="3"/>
      <c r="P1202" s="3"/>
      <c r="Q1202" s="3">
        <v>153.21299999999999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219</v>
      </c>
      <c r="D1203" s="3"/>
      <c r="E1203" s="3" t="s">
        <v>219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16</v>
      </c>
      <c r="O1203" s="3"/>
      <c r="P1203" s="3"/>
      <c r="Q1203" s="3">
        <v>41.25</v>
      </c>
      <c r="R1203" s="3" t="s">
        <v>14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219</v>
      </c>
      <c r="D1204" s="3"/>
      <c r="E1204" s="3" t="s">
        <v>219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318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219</v>
      </c>
      <c r="D1205" s="3"/>
      <c r="E1205" s="3" t="s">
        <v>219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102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219</v>
      </c>
      <c r="D1206" s="3"/>
      <c r="E1206" s="3" t="s">
        <v>219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315</v>
      </c>
      <c r="O1206" s="3"/>
      <c r="P1206" s="3"/>
      <c r="Q1206" s="3">
        <v>6.0960000000000001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219</v>
      </c>
      <c r="D1207" s="3"/>
      <c r="E1207" s="3" t="s">
        <v>219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316</v>
      </c>
      <c r="O1207" s="3"/>
      <c r="P1207" s="3"/>
      <c r="Q1207" s="3">
        <v>37.49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219</v>
      </c>
      <c r="D1208" s="3"/>
      <c r="E1208" s="3" t="s">
        <v>219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103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219</v>
      </c>
      <c r="D1209" s="3"/>
      <c r="E1209" s="3" t="s">
        <v>219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319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219</v>
      </c>
      <c r="D1210" s="3"/>
      <c r="E1210" s="3" t="s">
        <v>219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219</v>
      </c>
      <c r="D1211" s="3"/>
      <c r="E1211" s="3" t="s">
        <v>219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219</v>
      </c>
      <c r="D1212" s="3"/>
      <c r="E1212" s="3" t="s">
        <v>219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317</v>
      </c>
      <c r="O1212" s="3"/>
      <c r="P1212" s="3"/>
      <c r="Q1212" s="3">
        <v>0.66100000000000003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219</v>
      </c>
      <c r="D1213" s="3"/>
      <c r="E1213" s="3" t="s">
        <v>219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220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221</v>
      </c>
      <c r="D1214" s="3"/>
      <c r="E1214" s="3" t="s">
        <v>221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320</v>
      </c>
      <c r="O1214" s="3"/>
      <c r="P1214" s="3"/>
      <c r="Q1214" s="3">
        <v>4.3689999999999998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221</v>
      </c>
      <c r="D1215" s="3"/>
      <c r="E1215" s="3" t="s">
        <v>221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93</v>
      </c>
      <c r="O1215" s="3"/>
      <c r="P1215" s="3"/>
      <c r="Q1215" s="3">
        <v>161.13800000000001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221</v>
      </c>
      <c r="D1216" s="3"/>
      <c r="E1216" s="3" t="s">
        <v>221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16</v>
      </c>
      <c r="O1216" s="3"/>
      <c r="P1216" s="3"/>
      <c r="Q1216" s="3">
        <v>43.383000000000003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221</v>
      </c>
      <c r="D1217" s="3"/>
      <c r="E1217" s="3" t="s">
        <v>221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318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221</v>
      </c>
      <c r="D1218" s="3"/>
      <c r="E1218" s="3" t="s">
        <v>221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102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221</v>
      </c>
      <c r="D1219" s="3"/>
      <c r="E1219" s="3" t="s">
        <v>221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315</v>
      </c>
      <c r="O1219" s="3"/>
      <c r="P1219" s="3"/>
      <c r="Q1219" s="3">
        <v>6.4009999999999998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221</v>
      </c>
      <c r="D1220" s="3"/>
      <c r="E1220" s="3" t="s">
        <v>221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316</v>
      </c>
      <c r="O1220" s="3"/>
      <c r="P1220" s="3"/>
      <c r="Q1220" s="3">
        <v>39.365000000000002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221</v>
      </c>
      <c r="D1221" s="3"/>
      <c r="E1221" s="3" t="s">
        <v>221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103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221</v>
      </c>
      <c r="D1222" s="3"/>
      <c r="E1222" s="3" t="s">
        <v>221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319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221</v>
      </c>
      <c r="D1223" s="3"/>
      <c r="E1223" s="3" t="s">
        <v>221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221</v>
      </c>
      <c r="D1224" s="3"/>
      <c r="E1224" s="3" t="s">
        <v>221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221</v>
      </c>
      <c r="D1225" s="3"/>
      <c r="E1225" s="3" t="s">
        <v>221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317</v>
      </c>
      <c r="O1225" s="3"/>
      <c r="P1225" s="3"/>
      <c r="Q1225" s="3">
        <v>0.66100000000000003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221</v>
      </c>
      <c r="D1226" s="3"/>
      <c r="E1226" s="3" t="s">
        <v>221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222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223</v>
      </c>
      <c r="D1227" s="3"/>
      <c r="E1227" s="3" t="s">
        <v>223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320</v>
      </c>
      <c r="O1227" s="3"/>
      <c r="P1227" s="3"/>
      <c r="Q1227" s="3">
        <v>4.3689999999999998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223</v>
      </c>
      <c r="D1228" s="3"/>
      <c r="E1228" s="3" t="s">
        <v>223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93</v>
      </c>
      <c r="O1228" s="3"/>
      <c r="P1228" s="3"/>
      <c r="Q1228" s="3">
        <v>169.06200000000001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223</v>
      </c>
      <c r="D1229" s="3"/>
      <c r="E1229" s="3" t="s">
        <v>223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16</v>
      </c>
      <c r="O1229" s="3"/>
      <c r="P1229" s="3"/>
      <c r="Q1229" s="3">
        <v>45.517000000000003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223</v>
      </c>
      <c r="D1230" s="3"/>
      <c r="E1230" s="3" t="s">
        <v>223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318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223</v>
      </c>
      <c r="D1231" s="3"/>
      <c r="E1231" s="3" t="s">
        <v>223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102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223</v>
      </c>
      <c r="D1232" s="3"/>
      <c r="E1232" s="3" t="s">
        <v>223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315</v>
      </c>
      <c r="O1232" s="3"/>
      <c r="P1232" s="3"/>
      <c r="Q1232" s="3">
        <v>6.7060000000000004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223</v>
      </c>
      <c r="D1233" s="3"/>
      <c r="E1233" s="3" t="s">
        <v>223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316</v>
      </c>
      <c r="O1233" s="3"/>
      <c r="P1233" s="3"/>
      <c r="Q1233" s="3">
        <v>41.238999999999997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223</v>
      </c>
      <c r="D1234" s="3"/>
      <c r="E1234" s="3" t="s">
        <v>223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103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223</v>
      </c>
      <c r="D1235" s="3"/>
      <c r="E1235" s="3" t="s">
        <v>223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319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223</v>
      </c>
      <c r="D1236" s="3"/>
      <c r="E1236" s="3" t="s">
        <v>223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223</v>
      </c>
      <c r="D1237" s="3"/>
      <c r="E1237" s="3" t="s">
        <v>223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223</v>
      </c>
      <c r="D1238" s="3"/>
      <c r="E1238" s="3" t="s">
        <v>223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317</v>
      </c>
      <c r="O1238" s="3"/>
      <c r="P1238" s="3"/>
      <c r="Q1238" s="3">
        <v>0.66100000000000003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223</v>
      </c>
      <c r="D1239" s="3"/>
      <c r="E1239" s="3" t="s">
        <v>223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224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225</v>
      </c>
      <c r="D1240" s="3"/>
      <c r="E1240" s="3" t="s">
        <v>225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320</v>
      </c>
      <c r="O1240" s="3"/>
      <c r="P1240" s="3"/>
      <c r="Q1240" s="3">
        <v>4.3689999999999998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225</v>
      </c>
      <c r="D1241" s="3"/>
      <c r="E1241" s="3" t="s">
        <v>225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93</v>
      </c>
      <c r="O1241" s="3"/>
      <c r="P1241" s="3"/>
      <c r="Q1241" s="3">
        <v>184.91200000000001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225</v>
      </c>
      <c r="D1242" s="3"/>
      <c r="E1242" s="3" t="s">
        <v>225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16</v>
      </c>
      <c r="O1242" s="3"/>
      <c r="P1242" s="3"/>
      <c r="Q1242" s="3">
        <v>49.783999999999999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225</v>
      </c>
      <c r="D1243" s="3"/>
      <c r="E1243" s="3" t="s">
        <v>225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318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225</v>
      </c>
      <c r="D1244" s="3"/>
      <c r="E1244" s="3" t="s">
        <v>225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102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225</v>
      </c>
      <c r="D1245" s="3"/>
      <c r="E1245" s="3" t="s">
        <v>225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315</v>
      </c>
      <c r="O1245" s="3"/>
      <c r="P1245" s="3"/>
      <c r="Q1245" s="3">
        <v>7.3150000000000004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225</v>
      </c>
      <c r="D1246" s="3"/>
      <c r="E1246" s="3" t="s">
        <v>225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316</v>
      </c>
      <c r="O1246" s="3"/>
      <c r="P1246" s="3"/>
      <c r="Q1246" s="3">
        <v>44.988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225</v>
      </c>
      <c r="D1247" s="3"/>
      <c r="E1247" s="3" t="s">
        <v>225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103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225</v>
      </c>
      <c r="D1248" s="3"/>
      <c r="E1248" s="3" t="s">
        <v>225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319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225</v>
      </c>
      <c r="D1249" s="3"/>
      <c r="E1249" s="3" t="s">
        <v>225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225</v>
      </c>
      <c r="D1250" s="3"/>
      <c r="E1250" s="3" t="s">
        <v>225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225</v>
      </c>
      <c r="D1251" s="3"/>
      <c r="E1251" s="3" t="s">
        <v>225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317</v>
      </c>
      <c r="O1251" s="3"/>
      <c r="P1251" s="3"/>
      <c r="Q1251" s="3">
        <v>0.66100000000000003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225</v>
      </c>
      <c r="D1252" s="3"/>
      <c r="E1252" s="3" t="s">
        <v>225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226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227</v>
      </c>
      <c r="D1253" s="3"/>
      <c r="E1253" s="3" t="s">
        <v>227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320</v>
      </c>
      <c r="O1253" s="3"/>
      <c r="P1253" s="3"/>
      <c r="Q1253" s="3">
        <v>4.3689999999999998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227</v>
      </c>
      <c r="D1254" s="3"/>
      <c r="E1254" s="3" t="s">
        <v>227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93</v>
      </c>
      <c r="O1254" s="3"/>
      <c r="P1254" s="3"/>
      <c r="Q1254" s="3">
        <v>192.83699999999999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227</v>
      </c>
      <c r="D1255" s="3"/>
      <c r="E1255" s="3" t="s">
        <v>227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16</v>
      </c>
      <c r="O1255" s="3"/>
      <c r="P1255" s="3"/>
      <c r="Q1255" s="3">
        <v>51.917999999999999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227</v>
      </c>
      <c r="D1256" s="3"/>
      <c r="E1256" s="3" t="s">
        <v>227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318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227</v>
      </c>
      <c r="D1257" s="3"/>
      <c r="E1257" s="3" t="s">
        <v>227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227</v>
      </c>
      <c r="D1258" s="3"/>
      <c r="E1258" s="3" t="s">
        <v>227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315</v>
      </c>
      <c r="O1258" s="3"/>
      <c r="P1258" s="3"/>
      <c r="Q1258" s="3">
        <v>7.62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227</v>
      </c>
      <c r="D1259" s="3"/>
      <c r="E1259" s="3" t="s">
        <v>227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316</v>
      </c>
      <c r="O1259" s="3"/>
      <c r="P1259" s="3"/>
      <c r="Q1259" s="3">
        <v>46.863</v>
      </c>
      <c r="R1259" s="3" t="s">
        <v>14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227</v>
      </c>
      <c r="D1260" s="3"/>
      <c r="E1260" s="3" t="s">
        <v>227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103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227</v>
      </c>
      <c r="D1261" s="3"/>
      <c r="E1261" s="3" t="s">
        <v>227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319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227</v>
      </c>
      <c r="D1262" s="3"/>
      <c r="E1262" s="3" t="s">
        <v>227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227</v>
      </c>
      <c r="D1263" s="3"/>
      <c r="E1263" s="3" t="s">
        <v>227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227</v>
      </c>
      <c r="D1264" s="3"/>
      <c r="E1264" s="3" t="s">
        <v>227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317</v>
      </c>
      <c r="O1264" s="3"/>
      <c r="P1264" s="3"/>
      <c r="Q1264" s="3">
        <v>0.66100000000000003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227</v>
      </c>
      <c r="D1265" s="3"/>
      <c r="E1265" s="3" t="s">
        <v>227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228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229</v>
      </c>
      <c r="D1266" s="3"/>
      <c r="E1266" s="3" t="s">
        <v>229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320</v>
      </c>
      <c r="O1266" s="3"/>
      <c r="P1266" s="3"/>
      <c r="Q1266" s="3">
        <v>4.3689999999999998</v>
      </c>
      <c r="R1266" s="3" t="s">
        <v>14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229</v>
      </c>
      <c r="D1267" s="3"/>
      <c r="E1267" s="3" t="s">
        <v>229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93</v>
      </c>
      <c r="O1267" s="3"/>
      <c r="P1267" s="3"/>
      <c r="Q1267" s="3">
        <v>200.762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229</v>
      </c>
      <c r="D1268" s="3"/>
      <c r="E1268" s="3" t="s">
        <v>229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16</v>
      </c>
      <c r="O1268" s="3"/>
      <c r="P1268" s="3"/>
      <c r="Q1268" s="3">
        <v>54.051000000000002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229</v>
      </c>
      <c r="D1269" s="3"/>
      <c r="E1269" s="3" t="s">
        <v>229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318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229</v>
      </c>
      <c r="D1270" s="3"/>
      <c r="E1270" s="3" t="s">
        <v>229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102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229</v>
      </c>
      <c r="D1271" s="3"/>
      <c r="E1271" s="3" t="s">
        <v>229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315</v>
      </c>
      <c r="O1271" s="3"/>
      <c r="P1271" s="3"/>
      <c r="Q1271" s="3">
        <v>7.9249999999999998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229</v>
      </c>
      <c r="D1272" s="3"/>
      <c r="E1272" s="3" t="s">
        <v>229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316</v>
      </c>
      <c r="O1272" s="3"/>
      <c r="P1272" s="3"/>
      <c r="Q1272" s="3">
        <v>48.738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229</v>
      </c>
      <c r="D1273" s="3"/>
      <c r="E1273" s="3" t="s">
        <v>229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103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229</v>
      </c>
      <c r="D1274" s="3"/>
      <c r="E1274" s="3" t="s">
        <v>229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319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229</v>
      </c>
      <c r="D1275" s="3"/>
      <c r="E1275" s="3" t="s">
        <v>229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229</v>
      </c>
      <c r="D1276" s="3"/>
      <c r="E1276" s="3" t="s">
        <v>229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229</v>
      </c>
      <c r="D1277" s="3"/>
      <c r="E1277" s="3" t="s">
        <v>229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317</v>
      </c>
      <c r="O1277" s="3"/>
      <c r="P1277" s="3"/>
      <c r="Q1277" s="3">
        <v>0.66100000000000003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229</v>
      </c>
      <c r="D1278" s="3"/>
      <c r="E1278" s="3" t="s">
        <v>229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230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231</v>
      </c>
      <c r="D1279" s="3"/>
      <c r="E1279" s="3" t="s">
        <v>231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320</v>
      </c>
      <c r="O1279" s="3"/>
      <c r="P1279" s="3"/>
      <c r="Q1279" s="3">
        <v>4.5720000000000001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231</v>
      </c>
      <c r="D1280" s="3"/>
      <c r="E1280" s="3" t="s">
        <v>231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93</v>
      </c>
      <c r="O1280" s="3"/>
      <c r="P1280" s="3"/>
      <c r="Q1280" s="3">
        <v>150.571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231</v>
      </c>
      <c r="D1281" s="3"/>
      <c r="E1281" s="3" t="s">
        <v>231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16</v>
      </c>
      <c r="O1281" s="3"/>
      <c r="P1281" s="3"/>
      <c r="Q1281" s="3">
        <v>40.537999999999997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231</v>
      </c>
      <c r="D1282" s="3"/>
      <c r="E1282" s="3" t="s">
        <v>231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318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231</v>
      </c>
      <c r="D1283" s="3"/>
      <c r="E1283" s="3" t="s">
        <v>231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102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231</v>
      </c>
      <c r="D1284" s="3"/>
      <c r="E1284" s="3" t="s">
        <v>231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315</v>
      </c>
      <c r="O1284" s="3"/>
      <c r="P1284" s="3"/>
      <c r="Q1284" s="3">
        <v>5.9939999999999998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231</v>
      </c>
      <c r="D1285" s="3"/>
      <c r="E1285" s="3" t="s">
        <v>231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316</v>
      </c>
      <c r="O1285" s="3"/>
      <c r="P1285" s="3"/>
      <c r="Q1285" s="3">
        <v>36.866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231</v>
      </c>
      <c r="D1286" s="3"/>
      <c r="E1286" s="3" t="s">
        <v>231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103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231</v>
      </c>
      <c r="D1287" s="3"/>
      <c r="E1287" s="3" t="s">
        <v>231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319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231</v>
      </c>
      <c r="D1288" s="3"/>
      <c r="E1288" s="3" t="s">
        <v>231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231</v>
      </c>
      <c r="D1289" s="3"/>
      <c r="E1289" s="3" t="s">
        <v>231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231</v>
      </c>
      <c r="D1290" s="3"/>
      <c r="E1290" s="3" t="s">
        <v>231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317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231</v>
      </c>
      <c r="D1291" s="3"/>
      <c r="E1291" s="3" t="s">
        <v>231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232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233</v>
      </c>
      <c r="D1292" s="3"/>
      <c r="E1292" s="3" t="s">
        <v>233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320</v>
      </c>
      <c r="O1292" s="3"/>
      <c r="P1292" s="3"/>
      <c r="Q1292" s="3">
        <v>4.5720000000000001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233</v>
      </c>
      <c r="D1293" s="3"/>
      <c r="E1293" s="3" t="s">
        <v>233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93</v>
      </c>
      <c r="O1293" s="3"/>
      <c r="P1293" s="3"/>
      <c r="Q1293" s="3">
        <v>158.49600000000001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233</v>
      </c>
      <c r="D1294" s="3"/>
      <c r="E1294" s="3" t="s">
        <v>233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16</v>
      </c>
      <c r="O1294" s="3"/>
      <c r="P1294" s="3"/>
      <c r="Q1294" s="3">
        <v>42.671999999999997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233</v>
      </c>
      <c r="D1295" s="3"/>
      <c r="E1295" s="3" t="s">
        <v>233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318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233</v>
      </c>
      <c r="D1296" s="3"/>
      <c r="E1296" s="3" t="s">
        <v>233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102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233</v>
      </c>
      <c r="D1297" s="3"/>
      <c r="E1297" s="3" t="s">
        <v>233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315</v>
      </c>
      <c r="O1297" s="3"/>
      <c r="P1297" s="3"/>
      <c r="Q1297" s="3">
        <v>6.2990000000000004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233</v>
      </c>
      <c r="D1298" s="3"/>
      <c r="E1298" s="3" t="s">
        <v>233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316</v>
      </c>
      <c r="O1298" s="3"/>
      <c r="P1298" s="3"/>
      <c r="Q1298" s="3">
        <v>38.74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233</v>
      </c>
      <c r="D1299" s="3"/>
      <c r="E1299" s="3" t="s">
        <v>233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103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233</v>
      </c>
      <c r="D1300" s="3"/>
      <c r="E1300" s="3" t="s">
        <v>233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319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233</v>
      </c>
      <c r="D1301" s="3"/>
      <c r="E1301" s="3" t="s">
        <v>233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233</v>
      </c>
      <c r="D1302" s="3"/>
      <c r="E1302" s="3" t="s">
        <v>233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233</v>
      </c>
      <c r="D1303" s="3"/>
      <c r="E1303" s="3" t="s">
        <v>233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317</v>
      </c>
      <c r="O1303" s="3"/>
      <c r="P1303" s="3"/>
      <c r="Q1303" s="3">
        <v>0.69099999999999995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233</v>
      </c>
      <c r="D1304" s="3"/>
      <c r="E1304" s="3" t="s">
        <v>233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234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235</v>
      </c>
      <c r="D1305" s="3"/>
      <c r="E1305" s="3" t="s">
        <v>235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320</v>
      </c>
      <c r="O1305" s="3"/>
      <c r="P1305" s="3"/>
      <c r="Q1305" s="3">
        <v>4.5720000000000001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235</v>
      </c>
      <c r="D1306" s="3"/>
      <c r="E1306" s="3" t="s">
        <v>235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93</v>
      </c>
      <c r="O1306" s="3"/>
      <c r="P1306" s="3"/>
      <c r="Q1306" s="3">
        <v>166.42099999999999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235</v>
      </c>
      <c r="D1307" s="3"/>
      <c r="E1307" s="3" t="s">
        <v>235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16</v>
      </c>
      <c r="O1307" s="3"/>
      <c r="P1307" s="3"/>
      <c r="Q1307" s="3">
        <v>44.805999999999997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235</v>
      </c>
      <c r="D1308" s="3"/>
      <c r="E1308" s="3" t="s">
        <v>235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318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235</v>
      </c>
      <c r="D1309" s="3"/>
      <c r="E1309" s="3" t="s">
        <v>235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102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235</v>
      </c>
      <c r="D1310" s="3"/>
      <c r="E1310" s="3" t="s">
        <v>235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315</v>
      </c>
      <c r="O1310" s="3"/>
      <c r="P1310" s="3"/>
      <c r="Q1310" s="3">
        <v>6.6040000000000001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235</v>
      </c>
      <c r="D1311" s="3"/>
      <c r="E1311" s="3" t="s">
        <v>235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316</v>
      </c>
      <c r="O1311" s="3"/>
      <c r="P1311" s="3"/>
      <c r="Q1311" s="3">
        <v>40.615000000000002</v>
      </c>
      <c r="R1311" s="3" t="s">
        <v>14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235</v>
      </c>
      <c r="D1312" s="3"/>
      <c r="E1312" s="3" t="s">
        <v>235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103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235</v>
      </c>
      <c r="D1313" s="3"/>
      <c r="E1313" s="3" t="s">
        <v>235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319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235</v>
      </c>
      <c r="D1314" s="3"/>
      <c r="E1314" s="3" t="s">
        <v>235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235</v>
      </c>
      <c r="D1315" s="3"/>
      <c r="E1315" s="3" t="s">
        <v>235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235</v>
      </c>
      <c r="D1316" s="3"/>
      <c r="E1316" s="3" t="s">
        <v>235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317</v>
      </c>
      <c r="O1316" s="3"/>
      <c r="P1316" s="3"/>
      <c r="Q1316" s="3">
        <v>0.69099999999999995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235</v>
      </c>
      <c r="D1317" s="3"/>
      <c r="E1317" s="3" t="s">
        <v>235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236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237</v>
      </c>
      <c r="D1318" s="3"/>
      <c r="E1318" s="3" t="s">
        <v>237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320</v>
      </c>
      <c r="O1318" s="3"/>
      <c r="P1318" s="3"/>
      <c r="Q1318" s="3">
        <v>4.5720000000000001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237</v>
      </c>
      <c r="D1319" s="3"/>
      <c r="E1319" s="3" t="s">
        <v>237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93</v>
      </c>
      <c r="O1319" s="3"/>
      <c r="P1319" s="3"/>
      <c r="Q1319" s="3">
        <v>174.346</v>
      </c>
      <c r="R1319" s="3" t="s">
        <v>14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237</v>
      </c>
      <c r="D1320" s="3"/>
      <c r="E1320" s="3" t="s">
        <v>237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16</v>
      </c>
      <c r="O1320" s="3"/>
      <c r="P1320" s="3"/>
      <c r="Q1320" s="3">
        <v>46.939</v>
      </c>
      <c r="R1320" s="3" t="s">
        <v>14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237</v>
      </c>
      <c r="D1321" s="3"/>
      <c r="E1321" s="3" t="s">
        <v>237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318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237</v>
      </c>
      <c r="D1322" s="3"/>
      <c r="E1322" s="3" t="s">
        <v>237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102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237</v>
      </c>
      <c r="D1323" s="3"/>
      <c r="E1323" s="3" t="s">
        <v>237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315</v>
      </c>
      <c r="O1323" s="3"/>
      <c r="P1323" s="3"/>
      <c r="Q1323" s="3">
        <v>6.9089999999999998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237</v>
      </c>
      <c r="D1324" s="3"/>
      <c r="E1324" s="3" t="s">
        <v>237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316</v>
      </c>
      <c r="O1324" s="3"/>
      <c r="P1324" s="3"/>
      <c r="Q1324" s="3">
        <v>42.488999999999997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237</v>
      </c>
      <c r="D1325" s="3"/>
      <c r="E1325" s="3" t="s">
        <v>237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103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237</v>
      </c>
      <c r="D1326" s="3"/>
      <c r="E1326" s="3" t="s">
        <v>237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319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237</v>
      </c>
      <c r="D1327" s="3"/>
      <c r="E1327" s="3" t="s">
        <v>237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237</v>
      </c>
      <c r="D1328" s="3"/>
      <c r="E1328" s="3" t="s">
        <v>237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237</v>
      </c>
      <c r="D1329" s="3"/>
      <c r="E1329" s="3" t="s">
        <v>237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317</v>
      </c>
      <c r="O1329" s="3"/>
      <c r="P1329" s="3"/>
      <c r="Q1329" s="3">
        <v>0.69099999999999995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237</v>
      </c>
      <c r="D1330" s="3"/>
      <c r="E1330" s="3" t="s">
        <v>237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238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239</v>
      </c>
      <c r="D1331" s="3"/>
      <c r="E1331" s="3" t="s">
        <v>239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320</v>
      </c>
      <c r="O1331" s="3"/>
      <c r="P1331" s="3"/>
      <c r="Q1331" s="3">
        <v>4.5720000000000001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239</v>
      </c>
      <c r="D1332" s="3"/>
      <c r="E1332" s="3" t="s">
        <v>239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93</v>
      </c>
      <c r="O1332" s="3"/>
      <c r="P1332" s="3"/>
      <c r="Q1332" s="3">
        <v>190.19499999999999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239</v>
      </c>
      <c r="D1333" s="3"/>
      <c r="E1333" s="3" t="s">
        <v>239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16</v>
      </c>
      <c r="O1333" s="3"/>
      <c r="P1333" s="3"/>
      <c r="Q1333" s="3">
        <v>51.206000000000003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239</v>
      </c>
      <c r="D1334" s="3"/>
      <c r="E1334" s="3" t="s">
        <v>239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318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239</v>
      </c>
      <c r="D1335" s="3"/>
      <c r="E1335" s="3" t="s">
        <v>239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102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239</v>
      </c>
      <c r="D1336" s="3"/>
      <c r="E1336" s="3" t="s">
        <v>239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315</v>
      </c>
      <c r="O1336" s="3"/>
      <c r="P1336" s="3"/>
      <c r="Q1336" s="3">
        <v>7.5179999999999998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239</v>
      </c>
      <c r="D1337" s="3"/>
      <c r="E1337" s="3" t="s">
        <v>239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316</v>
      </c>
      <c r="O1337" s="3"/>
      <c r="P1337" s="3"/>
      <c r="Q1337" s="3">
        <v>46.238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239</v>
      </c>
      <c r="D1338" s="3"/>
      <c r="E1338" s="3" t="s">
        <v>239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103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239</v>
      </c>
      <c r="D1339" s="3"/>
      <c r="E1339" s="3" t="s">
        <v>239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319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239</v>
      </c>
      <c r="D1340" s="3"/>
      <c r="E1340" s="3" t="s">
        <v>239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239</v>
      </c>
      <c r="D1341" s="3"/>
      <c r="E1341" s="3" t="s">
        <v>239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239</v>
      </c>
      <c r="D1342" s="3"/>
      <c r="E1342" s="3" t="s">
        <v>239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317</v>
      </c>
      <c r="O1342" s="3"/>
      <c r="P1342" s="3"/>
      <c r="Q1342" s="3">
        <v>0.69099999999999995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239</v>
      </c>
      <c r="D1343" s="3"/>
      <c r="E1343" s="3" t="s">
        <v>239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240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241</v>
      </c>
      <c r="D1344" s="3"/>
      <c r="E1344" s="3" t="s">
        <v>241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320</v>
      </c>
      <c r="O1344" s="3"/>
      <c r="P1344" s="3"/>
      <c r="Q1344" s="3">
        <v>4.5720000000000001</v>
      </c>
      <c r="R1344" s="3" t="s">
        <v>14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241</v>
      </c>
      <c r="D1345" s="3"/>
      <c r="E1345" s="3" t="s">
        <v>241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93</v>
      </c>
      <c r="O1345" s="3"/>
      <c r="P1345" s="3"/>
      <c r="Q1345" s="3">
        <v>198.12</v>
      </c>
      <c r="R1345" s="3" t="s">
        <v>14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241</v>
      </c>
      <c r="D1346" s="3"/>
      <c r="E1346" s="3" t="s">
        <v>241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16</v>
      </c>
      <c r="O1346" s="3"/>
      <c r="P1346" s="3"/>
      <c r="Q1346" s="3">
        <v>53.34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241</v>
      </c>
      <c r="D1347" s="3"/>
      <c r="E1347" s="3" t="s">
        <v>241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318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241</v>
      </c>
      <c r="D1348" s="3"/>
      <c r="E1348" s="3" t="s">
        <v>241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102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241</v>
      </c>
      <c r="D1349" s="3"/>
      <c r="E1349" s="3" t="s">
        <v>241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315</v>
      </c>
      <c r="O1349" s="3"/>
      <c r="P1349" s="3"/>
      <c r="Q1349" s="3">
        <v>7.8230000000000004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241</v>
      </c>
      <c r="D1350" s="3"/>
      <c r="E1350" s="3" t="s">
        <v>241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316</v>
      </c>
      <c r="O1350" s="3"/>
      <c r="P1350" s="3"/>
      <c r="Q1350" s="3">
        <v>48.113</v>
      </c>
      <c r="R1350" s="3" t="s">
        <v>14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241</v>
      </c>
      <c r="D1351" s="3"/>
      <c r="E1351" s="3" t="s">
        <v>241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103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241</v>
      </c>
      <c r="D1352" s="3"/>
      <c r="E1352" s="3" t="s">
        <v>241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319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241</v>
      </c>
      <c r="D1353" s="3"/>
      <c r="E1353" s="3" t="s">
        <v>241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241</v>
      </c>
      <c r="D1354" s="3"/>
      <c r="E1354" s="3" t="s">
        <v>241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241</v>
      </c>
      <c r="D1355" s="3"/>
      <c r="E1355" s="3" t="s">
        <v>241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317</v>
      </c>
      <c r="O1355" s="3"/>
      <c r="P1355" s="3"/>
      <c r="Q1355" s="3">
        <v>0.69099999999999995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241</v>
      </c>
      <c r="D1356" s="3"/>
      <c r="E1356" s="3" t="s">
        <v>241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242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243</v>
      </c>
      <c r="D1357" s="3"/>
      <c r="E1357" s="3" t="s">
        <v>243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320</v>
      </c>
      <c r="O1357" s="3"/>
      <c r="P1357" s="3"/>
      <c r="Q1357" s="3">
        <v>4.5720000000000001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243</v>
      </c>
      <c r="D1358" s="3"/>
      <c r="E1358" s="3" t="s">
        <v>243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93</v>
      </c>
      <c r="O1358" s="3"/>
      <c r="P1358" s="3"/>
      <c r="Q1358" s="3">
        <v>206.04499999999999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243</v>
      </c>
      <c r="D1359" s="3"/>
      <c r="E1359" s="3" t="s">
        <v>243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16</v>
      </c>
      <c r="O1359" s="3"/>
      <c r="P1359" s="3"/>
      <c r="Q1359" s="3">
        <v>55.473999999999997</v>
      </c>
      <c r="R1359" s="3" t="s">
        <v>14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243</v>
      </c>
      <c r="D1360" s="3"/>
      <c r="E1360" s="3" t="s">
        <v>243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318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243</v>
      </c>
      <c r="D1361" s="3"/>
      <c r="E1361" s="3" t="s">
        <v>243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102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243</v>
      </c>
      <c r="D1362" s="3"/>
      <c r="E1362" s="3" t="s">
        <v>243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315</v>
      </c>
      <c r="O1362" s="3"/>
      <c r="P1362" s="3"/>
      <c r="Q1362" s="3">
        <v>8.1280000000000001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243</v>
      </c>
      <c r="D1363" s="3"/>
      <c r="E1363" s="3" t="s">
        <v>243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316</v>
      </c>
      <c r="O1363" s="3"/>
      <c r="P1363" s="3"/>
      <c r="Q1363" s="3">
        <v>49.987000000000002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243</v>
      </c>
      <c r="D1364" s="3"/>
      <c r="E1364" s="3" t="s">
        <v>243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103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243</v>
      </c>
      <c r="D1365" s="3"/>
      <c r="E1365" s="3" t="s">
        <v>243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319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243</v>
      </c>
      <c r="D1366" s="3"/>
      <c r="E1366" s="3" t="s">
        <v>243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243</v>
      </c>
      <c r="D1367" s="3"/>
      <c r="E1367" s="3" t="s">
        <v>243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243</v>
      </c>
      <c r="D1368" s="3"/>
      <c r="E1368" s="3" t="s">
        <v>243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317</v>
      </c>
      <c r="O1368" s="3"/>
      <c r="P1368" s="3"/>
      <c r="Q1368" s="3">
        <v>0.69099999999999995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243</v>
      </c>
      <c r="D1369" s="3"/>
      <c r="E1369" s="3" t="s">
        <v>243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244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2026-05-27T10:09:12Z</dcterms:modified>
</cp:coreProperties>
</file>