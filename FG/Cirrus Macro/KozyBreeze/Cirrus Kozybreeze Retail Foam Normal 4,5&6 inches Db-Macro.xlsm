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KozyBreez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E9" i="13" l="1"/>
  <c r="G12" i="13" l="1"/>
  <c r="G8" i="13" l="1"/>
  <c r="H9" i="13" l="1"/>
  <c r="G3" i="13"/>
  <c r="G2" i="13"/>
  <c r="H3" i="13" l="1"/>
  <c r="H13" i="13" l="1"/>
  <c r="H12" i="13"/>
  <c r="H11" i="13"/>
  <c r="H10" i="13"/>
  <c r="H8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<sst xmlns="http://schemas.openxmlformats.org/spreadsheetml/2006/main" count="30363" uniqueCount="566">
  <si>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</si>
  <si>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</si>
  <si>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</si>
  <si>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</si>
  <si>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</si>
  <si>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</si>
  <si>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</si>
  <si>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</si>
  <si>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</si>
  <si>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</si>
  <si>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</si>
  <si>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</si>
  <si>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</si>
  <si>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</si>
  <si>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</si>
  <si>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</si>
  <si>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</si>
  <si>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</si>
  <si>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</si>
  <si>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</si>
  <si>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</si>
  <si>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</si>
  <si>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</si>
  <si>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</si>
  <si>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</si>
  <si>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</si>
  <si>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</si>
  <si>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</si>
  <si>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</si>
  <si>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</si>
  <si>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</si>
  <si>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</si>
  <si>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</si>
  <si>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</si>
  <si>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</si>
  <si>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</si>
  <si>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</si>
  <si>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</si>
  <si>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</si>
  <si>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</si>
  <si>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</si>
  <si>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</si>
  <si>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</si>
  <si>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</si>
  <si>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</si>
  <si>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</si>
  <si>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</si>
  <si>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</si>
  <si>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</si>
  <si>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</si>
  <si>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</si>
  <si>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</si>
  <si>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</si>
  <si>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</si>
  <si>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</si>
  <si>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</si>
  <si>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</si>
  <si>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</si>
  <si>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</si>
  <si>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</si>
  <si>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</si>
  <si>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</si>
  <si>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</si>
  <si>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</si>
  <si>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</si>
  <si>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</si>
  <si>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</si>
  <si>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</si>
  <si>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</si>
  <si>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</si>
  <si>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</si>
  <si>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</si>
  <si>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</si>
  <si>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</si>
  <si>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</si>
  <si>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</si>
  <si>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</si>
  <si>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</si>
  <si>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</si>
  <si>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</si>
  <si>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</si>
  <si>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</si>
  <si>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</si>
  <si>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</si>
  <si>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</si>
  <si>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</si>
  <si>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</si>
  <si>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</si>
  <si>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</si>
  <si>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</si>
  <si>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</si>
  <si>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</si>
  <si>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</si>
  <si>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</si>
  <si>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</si>
  <si>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</si>
  <si>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</si>
  <si>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</si>
  <si>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</si>
  <si>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RML-POLY-GUM</t>
  </si>
  <si>
    <t>LTR</t>
  </si>
  <si>
    <t>RMI-PVC-50</t>
  </si>
  <si>
    <t>4,5,6</t>
  </si>
  <si>
    <t>Wh Code</t>
  </si>
  <si>
    <t>RML-CB-CIR</t>
  </si>
  <si>
    <t>RM-THRD-TKT40-BLACK</t>
  </si>
  <si>
    <t>RML-CIR-MRP-LBL</t>
  </si>
  <si>
    <t>SFG-KBZDB-QUILT</t>
  </si>
  <si>
    <t>RML-EDTAPE-BLUE</t>
  </si>
  <si>
    <t>DB</t>
  </si>
  <si>
    <t>HYPKBRZFMDB72X33X04</t>
  </si>
  <si>
    <t>RML-CS-CIR-4.5</t>
  </si>
  <si>
    <t>KOZY-BREEZE-FOAM-BLOCK-72X33X04</t>
  </si>
  <si>
    <t>HYPKBRZFMDB72X39X04</t>
  </si>
  <si>
    <t>KOZY-BREEZE-FOAM-BLOCK-72X39X04</t>
  </si>
  <si>
    <t>HYPKBRZFMDB72X45X04</t>
  </si>
  <si>
    <t>KOZY-BREEZE-FOAM-BLOCK-72X45X04</t>
  </si>
  <si>
    <t>HYPKBRZFMDB72X51X04</t>
  </si>
  <si>
    <t>KOZY-BREEZE-FOAM-BLOCK-72X51X04</t>
  </si>
  <si>
    <t>HYPKBRZFMDB72X54X04</t>
  </si>
  <si>
    <t>KOZY-BREEZE-FOAM-BLOCK-72X54X04</t>
  </si>
  <si>
    <t>HYPKBRZFMDB72X57X04</t>
  </si>
  <si>
    <t>KOZY-BREEZE-FOAM-BLOCK-72X57X04</t>
  </si>
  <si>
    <t>HYPKBRZFMDB72X63X04</t>
  </si>
  <si>
    <t>KOZY-BREEZE-FOAM-BLOCK-72X63X04</t>
  </si>
  <si>
    <t>HYPKBRZFMDB72X69X04</t>
  </si>
  <si>
    <t>KOZY-BREEZE-FOAM-BLOCK-72X69X04</t>
  </si>
  <si>
    <t>HYPKBRZFMDB75X33X04</t>
  </si>
  <si>
    <t>KOZY-BREEZE-FOAM-BLOCK-75X33X04</t>
  </si>
  <si>
    <t>HYPKBRZFMDB75X39X04</t>
  </si>
  <si>
    <t>KOZY-BREEZE-FOAM-BLOCK-75X39X04</t>
  </si>
  <si>
    <t>HYPKBRZFMDB75X45X04</t>
  </si>
  <si>
    <t>KOZY-BREEZE-FOAM-BLOCK-75X45X04</t>
  </si>
  <si>
    <t>HYPKBRZFMDB75X51X04</t>
  </si>
  <si>
    <t>KOZY-BREEZE-FOAM-BLOCK-75X51X04</t>
  </si>
  <si>
    <t>HYPKBRZFMDB75X54X04</t>
  </si>
  <si>
    <t>KOZY-BREEZE-FOAM-BLOCK-75X54X04</t>
  </si>
  <si>
    <t>HYPKBRZFMDB75X57X04</t>
  </si>
  <si>
    <t>KOZY-BREEZE-FOAM-BLOCK-75X57X04</t>
  </si>
  <si>
    <t>HYPKBRZFMDB75X63X04</t>
  </si>
  <si>
    <t>KOZY-BREEZE-FOAM-BLOCK-75X63X04</t>
  </si>
  <si>
    <t>HYPKBRZFMDB75X69X04</t>
  </si>
  <si>
    <t>KOZY-BREEZE-FOAM-BLOCK-75X69X04</t>
  </si>
  <si>
    <t>HYPKBRZFMDB78X33X04</t>
  </si>
  <si>
    <t>KOZY-BREEZE-FOAM-BLOCK-78X33X04</t>
  </si>
  <si>
    <t>HYPKBRZFMDB78X39X04</t>
  </si>
  <si>
    <t>KOZY-BREEZE-FOAM-BLOCK-78X39X04</t>
  </si>
  <si>
    <t>HYPKBRZFMDB78X45X04</t>
  </si>
  <si>
    <t>KOZY-BREEZE-FOAM-BLOCK-78X45X04</t>
  </si>
  <si>
    <t>HYPKBRZFMDB78X51X04</t>
  </si>
  <si>
    <t>KOZY-BREEZE-FOAM-BLOCK-78X51X04</t>
  </si>
  <si>
    <t>HYPKBRZFMDB78X54X04</t>
  </si>
  <si>
    <t>KOZY-BREEZE-FOAM-BLOCK-78X54X04</t>
  </si>
  <si>
    <t>HYPKBRZFMDB78X57X04</t>
  </si>
  <si>
    <t>KOZY-BREEZE-FOAM-BLOCK-78X57X04</t>
  </si>
  <si>
    <t>HYPKBRZFMDB78X63X04</t>
  </si>
  <si>
    <t>KOZY-BREEZE-FOAM-BLOCK-78X63X04</t>
  </si>
  <si>
    <t>HYPKBRZFMDB78X69X04</t>
  </si>
  <si>
    <t>KOZY-BREEZE-FOAM-BLOCK-78X69X04</t>
  </si>
  <si>
    <t>HYPKBRZFMDB80X33X04</t>
  </si>
  <si>
    <t>KOZY-BREEZE-FOAM-BLOCK-80X33X04</t>
  </si>
  <si>
    <t>HYPKBRZFMDB80X39X04</t>
  </si>
  <si>
    <t>KOZY-BREEZE-FOAM-BLOCK-80X39X04</t>
  </si>
  <si>
    <t>HYPKBRZFMDB80X45X04</t>
  </si>
  <si>
    <t>KOZY-BREEZE-FOAM-BLOCK-80X45X04</t>
  </si>
  <si>
    <t>HYPKBRZFMDB80X51X04</t>
  </si>
  <si>
    <t>KOZY-BREEZE-FOAM-BLOCK-80X51X04</t>
  </si>
  <si>
    <t>HYPKBRZFMDB80X54X04</t>
  </si>
  <si>
    <t>KOZY-BREEZE-FOAM-BLOCK-80X54X04</t>
  </si>
  <si>
    <t>HYPKBRZFMDB80X57X04</t>
  </si>
  <si>
    <t>KOZY-BREEZE-FOAM-BLOCK-80X57X04</t>
  </si>
  <si>
    <t>HYPKBRZFMDB80X63X04</t>
  </si>
  <si>
    <t>KOZY-BREEZE-FOAM-BLOCK-80X63X04</t>
  </si>
  <si>
    <t>HYPKBRZFMDB80X69X04</t>
  </si>
  <si>
    <t>KOZY-BREEZE-FOAM-BLOCK-80X69X04</t>
  </si>
  <si>
    <t>HYPKBRZFMDB84X33X04</t>
  </si>
  <si>
    <t>KOZY-BREEZE-FOAM-BLOCK-84X33X04</t>
  </si>
  <si>
    <t>HYPKBRZFMDB84X39X04</t>
  </si>
  <si>
    <t>KOZY-BREEZE-FOAM-BLOCK-84X39X04</t>
  </si>
  <si>
    <t>HYPKBRZFMDB84X45X04</t>
  </si>
  <si>
    <t>KOZY-BREEZE-FOAM-BLOCK-84X45X04</t>
  </si>
  <si>
    <t>HYPKBRZFMDB84X51X04</t>
  </si>
  <si>
    <t>KOZY-BREEZE-FOAM-BLOCK-84X51X04</t>
  </si>
  <si>
    <t>HYPKBRZFMDB84X54X04</t>
  </si>
  <si>
    <t>KOZY-BREEZE-FOAM-BLOCK-84X54X04</t>
  </si>
  <si>
    <t>HYPKBRZFMDB84X57X04</t>
  </si>
  <si>
    <t>KOZY-BREEZE-FOAM-BLOCK-84X57X04</t>
  </si>
  <si>
    <t>HYPKBRZFMDB84X63X04</t>
  </si>
  <si>
    <t>KOZY-BREEZE-FOAM-BLOCK-84X63X04</t>
  </si>
  <si>
    <t>HYPKBRZFMDB84X69X04</t>
  </si>
  <si>
    <t>KOZY-BREEZE-FOAM-BLOCK-84X69X04</t>
  </si>
  <si>
    <t>HYPKBRZFMDB72X33X05</t>
  </si>
  <si>
    <t>RML-CS-CIR-5.5</t>
  </si>
  <si>
    <t>KOZY-BREEZE-FOAM-BLOCK-72X33X05</t>
  </si>
  <si>
    <t>HYPKBRZFMDB72X39X05</t>
  </si>
  <si>
    <t>KOZY-BREEZE-FOAM-BLOCK-72X39X05</t>
  </si>
  <si>
    <t>HYPKBRZFMDB72X45X05</t>
  </si>
  <si>
    <t>KOZY-BREEZE-FOAM-BLOCK-72X45X05</t>
  </si>
  <si>
    <t>HYPKBRZFMDB72X51X05</t>
  </si>
  <si>
    <t>KOZY-BREEZE-FOAM-BLOCK-72X51X05</t>
  </si>
  <si>
    <t>HYPKBRZFMDB72X54X05</t>
  </si>
  <si>
    <t>KOZY-BREEZE-FOAM-BLOCK-72X54X05</t>
  </si>
  <si>
    <t>HYPKBRZFMDB72X57X05</t>
  </si>
  <si>
    <t>KOZY-BREEZE-FOAM-BLOCK-72X57X05</t>
  </si>
  <si>
    <t>HYPKBRZFMDB72X63X05</t>
  </si>
  <si>
    <t>KOZY-BREEZE-FOAM-BLOCK-72X63X05</t>
  </si>
  <si>
    <t>HYPKBRZFMDB72X69X05</t>
  </si>
  <si>
    <t>KOZY-BREEZE-FOAM-BLOCK-72X69X05</t>
  </si>
  <si>
    <t>HYPKBRZFMDB75X33X05</t>
  </si>
  <si>
    <t>KOZY-BREEZE-FOAM-BLOCK-75X33X05</t>
  </si>
  <si>
    <t>HYPKBRZFMDB75X39X05</t>
  </si>
  <si>
    <t>KOZY-BREEZE-FOAM-BLOCK-75X39X05</t>
  </si>
  <si>
    <t>HYPKBRZFMDB75X45X05</t>
  </si>
  <si>
    <t>KOZY-BREEZE-FOAM-BLOCK-75X45X05</t>
  </si>
  <si>
    <t>HYPKBRZFMDB75X51X05</t>
  </si>
  <si>
    <t>KOZY-BREEZE-FOAM-BLOCK-75X51X05</t>
  </si>
  <si>
    <t>HYPKBRZFMDB75X54X05</t>
  </si>
  <si>
    <t>KOZY-BREEZE-FOAM-BLOCK-75X54X05</t>
  </si>
  <si>
    <t>HYPKBRZFMDB75X57X05</t>
  </si>
  <si>
    <t>KOZY-BREEZE-FOAM-BLOCK-75X57X05</t>
  </si>
  <si>
    <t>HYPKBRZFMDB75X63X05</t>
  </si>
  <si>
    <t>KOZY-BREEZE-FOAM-BLOCK-75X63X05</t>
  </si>
  <si>
    <t>HYPKBRZFMDB75X69X05</t>
  </si>
  <si>
    <t>KOZY-BREEZE-FOAM-BLOCK-75X69X05</t>
  </si>
  <si>
    <t>HYPKBRZFMDB78X33X05</t>
  </si>
  <si>
    <t>KOZY-BREEZE-FOAM-BLOCK-78X33X05</t>
  </si>
  <si>
    <t>HYPKBRZFMDB78X39X05</t>
  </si>
  <si>
    <t>KOZY-BREEZE-FOAM-BLOCK-78X39X05</t>
  </si>
  <si>
    <t>HYPKBRZFMDB78X45X05</t>
  </si>
  <si>
    <t>KOZY-BREEZE-FOAM-BLOCK-78X45X05</t>
  </si>
  <si>
    <t>HYPKBRZFMDB78X51X05</t>
  </si>
  <si>
    <t>KOZY-BREEZE-FOAM-BLOCK-78X51X05</t>
  </si>
  <si>
    <t>HYPKBRZFMDB78X54X05</t>
  </si>
  <si>
    <t>KOZY-BREEZE-FOAM-BLOCK-78X54X05</t>
  </si>
  <si>
    <t>HYPKBRZFMDB78X57X05</t>
  </si>
  <si>
    <t>KOZY-BREEZE-FOAM-BLOCK-78X57X05</t>
  </si>
  <si>
    <t>HYPKBRZFMDB78X63X05</t>
  </si>
  <si>
    <t>KOZY-BREEZE-FOAM-BLOCK-78X63X05</t>
  </si>
  <si>
    <t>HYPKBRZFMDB78X69X05</t>
  </si>
  <si>
    <t>KOZY-BREEZE-FOAM-BLOCK-78X69X05</t>
  </si>
  <si>
    <t>HYPKBRZFMDB80X33X05</t>
  </si>
  <si>
    <t>KOZY-BREEZE-FOAM-BLOCK-80X33X05</t>
  </si>
  <si>
    <t>HYPKBRZFMDB80X39X05</t>
  </si>
  <si>
    <t>KOZY-BREEZE-FOAM-BLOCK-80X39X05</t>
  </si>
  <si>
    <t>HYPKBRZFMDB80X45X05</t>
  </si>
  <si>
    <t>KOZY-BREEZE-FOAM-BLOCK-80X45X05</t>
  </si>
  <si>
    <t>HYPKBRZFMDB80X51X05</t>
  </si>
  <si>
    <t>KOZY-BREEZE-FOAM-BLOCK-80X51X05</t>
  </si>
  <si>
    <t>HYPKBRZFMDB80X54X05</t>
  </si>
  <si>
    <t>KOZY-BREEZE-FOAM-BLOCK-80X54X05</t>
  </si>
  <si>
    <t>HYPKBRZFMDB80X57X05</t>
  </si>
  <si>
    <t>KOZY-BREEZE-FOAM-BLOCK-80X57X05</t>
  </si>
  <si>
    <t>HYPKBRZFMDB80X63X05</t>
  </si>
  <si>
    <t>KOZY-BREEZE-FOAM-BLOCK-80X63X05</t>
  </si>
  <si>
    <t>HYPKBRZFMDB80X69X05</t>
  </si>
  <si>
    <t>KOZY-BREEZE-FOAM-BLOCK-80X69X05</t>
  </si>
  <si>
    <t>HYPKBRZFMDB84X33X05</t>
  </si>
  <si>
    <t>KOZY-BREEZE-FOAM-BLOCK-84X33X05</t>
  </si>
  <si>
    <t>HYPKBRZFMDB84X39X05</t>
  </si>
  <si>
    <t>KOZY-BREEZE-FOAM-BLOCK-84X39X05</t>
  </si>
  <si>
    <t>HYPKBRZFMDB84X45X05</t>
  </si>
  <si>
    <t>KOZY-BREEZE-FOAM-BLOCK-84X45X05</t>
  </si>
  <si>
    <t>HYPKBRZFMDB84X51X05</t>
  </si>
  <si>
    <t>KOZY-BREEZE-FOAM-BLOCK-84X51X05</t>
  </si>
  <si>
    <t>HYPKBRZFMDB84X54X05</t>
  </si>
  <si>
    <t>KOZY-BREEZE-FOAM-BLOCK-84X54X05</t>
  </si>
  <si>
    <t>HYPKBRZFMDB84X57X05</t>
  </si>
  <si>
    <t>KOZY-BREEZE-FOAM-BLOCK-84X57X05</t>
  </si>
  <si>
    <t>HYPKBRZFMDB84X63X05</t>
  </si>
  <si>
    <t>KOZY-BREEZE-FOAM-BLOCK-84X63X05</t>
  </si>
  <si>
    <t>HYPKBRZFMDB84X69X05</t>
  </si>
  <si>
    <t>KOZY-BREEZE-FOAM-BLOCK-84X69X05</t>
  </si>
  <si>
    <t>HYPKBRZFMDB72X33X06</t>
  </si>
  <si>
    <t>RML-CS-CIR-6.5</t>
  </si>
  <si>
    <t>KOZY-BREEZE-FOAM-BLOCK-72X33X06</t>
  </si>
  <si>
    <t>HYPKBRZFMDB72X39X06</t>
  </si>
  <si>
    <t>KOZY-BREEZE-FOAM-BLOCK-72X39X06</t>
  </si>
  <si>
    <t>HYPKBRZFMDB72X45X06</t>
  </si>
  <si>
    <t>KOZY-BREEZE-FOAM-BLOCK-72X45X06</t>
  </si>
  <si>
    <t>HYPKBRZFMDB72X51X06</t>
  </si>
  <si>
    <t>KOZY-BREEZE-FOAM-BLOCK-72X51X06</t>
  </si>
  <si>
    <t>HYPKBRZFMDB72X54X06</t>
  </si>
  <si>
    <t>KOZY-BREEZE-FOAM-BLOCK-72X54X06</t>
  </si>
  <si>
    <t>HYPKBRZFMDB72X57X06</t>
  </si>
  <si>
    <t>KOZY-BREEZE-FOAM-BLOCK-72X57X06</t>
  </si>
  <si>
    <t>HYPKBRZFMDB72X63X06</t>
  </si>
  <si>
    <t>KOZY-BREEZE-FOAM-BLOCK-72X63X06</t>
  </si>
  <si>
    <t>HYPKBRZFMDB72X69X06</t>
  </si>
  <si>
    <t>KOZY-BREEZE-FOAM-BLOCK-72X69X06</t>
  </si>
  <si>
    <t>HYPKBRZFMDB75X33X06</t>
  </si>
  <si>
    <t>KOZY-BREEZE-FOAM-BLOCK-75X33X06</t>
  </si>
  <si>
    <t>HYPKBRZFMDB75X39X06</t>
  </si>
  <si>
    <t>KOZY-BREEZE-FOAM-BLOCK-75X39X06</t>
  </si>
  <si>
    <t>HYPKBRZFMDB75X45X06</t>
  </si>
  <si>
    <t>KOZY-BREEZE-FOAM-BLOCK-75X45X06</t>
  </si>
  <si>
    <t>HYPKBRZFMDB75X51X06</t>
  </si>
  <si>
    <t>KOZY-BREEZE-FOAM-BLOCK-75X51X06</t>
  </si>
  <si>
    <t>HYPKBRZFMDB75X54X06</t>
  </si>
  <si>
    <t>KOZY-BREEZE-FOAM-BLOCK-75X54X06</t>
  </si>
  <si>
    <t>HYPKBRZFMDB75X57X06</t>
  </si>
  <si>
    <t>KOZY-BREEZE-FOAM-BLOCK-75X57X06</t>
  </si>
  <si>
    <t>HYPKBRZFMDB75X63X06</t>
  </si>
  <si>
    <t>KOZY-BREEZE-FOAM-BLOCK-75X63X06</t>
  </si>
  <si>
    <t>HYPKBRZFMDB75X69X06</t>
  </si>
  <si>
    <t>KOZY-BREEZE-FOAM-BLOCK-75X69X06</t>
  </si>
  <si>
    <t>HYPKBRZFMDB78X33X06</t>
  </si>
  <si>
    <t>KOZY-BREEZE-FOAM-BLOCK-78X33X06</t>
  </si>
  <si>
    <t>HYPKBRZFMDB78X39X06</t>
  </si>
  <si>
    <t>KOZY-BREEZE-FOAM-BLOCK-78X39X06</t>
  </si>
  <si>
    <t>HYPKBRZFMDB78X45X06</t>
  </si>
  <si>
    <t>KOZY-BREEZE-FOAM-BLOCK-78X45X06</t>
  </si>
  <si>
    <t>HYPKBRZFMDB78X51X06</t>
  </si>
  <si>
    <t>KOZY-BREEZE-FOAM-BLOCK-78X51X06</t>
  </si>
  <si>
    <t>HYPKBRZFMDB78X54X06</t>
  </si>
  <si>
    <t>KOZY-BREEZE-FOAM-BLOCK-78X54X06</t>
  </si>
  <si>
    <t>HYPKBRZFMDB78X57X06</t>
  </si>
  <si>
    <t>KOZY-BREEZE-FOAM-BLOCK-78X57X06</t>
  </si>
  <si>
    <t>HYPKBRZFMDB78X63X06</t>
  </si>
  <si>
    <t>KOZY-BREEZE-FOAM-BLOCK-78X63X06</t>
  </si>
  <si>
    <t>HYPKBRZFMDB78X69X06</t>
  </si>
  <si>
    <t>KOZY-BREEZE-FOAM-BLOCK-78X69X06</t>
  </si>
  <si>
    <t>HYPKBRZFMDB80X33X06</t>
  </si>
  <si>
    <t>KOZY-BREEZE-FOAM-BLOCK-80X33X06</t>
  </si>
  <si>
    <t>HYPKBRZFMDB80X39X06</t>
  </si>
  <si>
    <t>KOZY-BREEZE-FOAM-BLOCK-80X39X06</t>
  </si>
  <si>
    <t>HYPKBRZFMDB80X45X06</t>
  </si>
  <si>
    <t>KOZY-BREEZE-FOAM-BLOCK-80X45X06</t>
  </si>
  <si>
    <t>HYPKBRZFMDB80X51X06</t>
  </si>
  <si>
    <t>KOZY-BREEZE-FOAM-BLOCK-80X51X06</t>
  </si>
  <si>
    <t>HYPKBRZFMDB80X54X06</t>
  </si>
  <si>
    <t>KOZY-BREEZE-FOAM-BLOCK-80X54X06</t>
  </si>
  <si>
    <t>HYPKBRZFMDB80X57X06</t>
  </si>
  <si>
    <t>KOZY-BREEZE-FOAM-BLOCK-80X57X06</t>
  </si>
  <si>
    <t>HYPKBRZFMDB80X63X06</t>
  </si>
  <si>
    <t>KOZY-BREEZE-FOAM-BLOCK-80X63X06</t>
  </si>
  <si>
    <t>HYPKBRZFMDB80X69X06</t>
  </si>
  <si>
    <t>KOZY-BREEZE-FOAM-BLOCK-80X69X06</t>
  </si>
  <si>
    <t>HYPKBRZFMDB84X33X06</t>
  </si>
  <si>
    <t>KOZY-BREEZE-FOAM-BLOCK-84X33X06</t>
  </si>
  <si>
    <t>HYPKBRZFMDB84X39X06</t>
  </si>
  <si>
    <t>KOZY-BREEZE-FOAM-BLOCK-84X39X06</t>
  </si>
  <si>
    <t>HYPKBRZFMDB84X45X06</t>
  </si>
  <si>
    <t>KOZY-BREEZE-FOAM-BLOCK-84X45X06</t>
  </si>
  <si>
    <t>HYPKBRZFMDB84X51X06</t>
  </si>
  <si>
    <t>KOZY-BREEZE-FOAM-BLOCK-84X51X06</t>
  </si>
  <si>
    <t>HYPKBRZFMDB84X54X06</t>
  </si>
  <si>
    <t>KOZY-BREEZE-FOAM-BLOCK-84X54X06</t>
  </si>
  <si>
    <t>HYPKBRZFMDB84X57X06</t>
  </si>
  <si>
    <t>KOZY-BREEZE-FOAM-BLOCK-84X57X06</t>
  </si>
  <si>
    <t>HYPKBRZFMDB84X63X06</t>
  </si>
  <si>
    <t>KOZY-BREEZE-FOAM-BLOCK-84X63X06</t>
  </si>
  <si>
    <t>HYPKBRZFMDB84X69X06</t>
  </si>
  <si>
    <t>KOZY-BREEZE-FOAM-BLOCK-84X69X06</t>
  </si>
  <si>
    <t>HYPKBRZFMDB72X30X04</t>
  </si>
  <si>
    <t>KOZY-BREEZE-FOAM-BLOCK-72X30X04</t>
  </si>
  <si>
    <t>HYPKBRZFMDB72X36X04</t>
  </si>
  <si>
    <t>KOZY-BREEZE-FOAM-BLOCK-72X36X04</t>
  </si>
  <si>
    <t>HYPKBRZFMDB72X42X04</t>
  </si>
  <si>
    <t>KOZY-BREEZE-FOAM-BLOCK-72X42X04</t>
  </si>
  <si>
    <t>HYPKBRZFMDB72X48X04</t>
  </si>
  <si>
    <t>KOZY-BREEZE-FOAM-BLOCK-72X48X04</t>
  </si>
  <si>
    <t>HYPKBRZFMDB72X60X04</t>
  </si>
  <si>
    <t>KOZY-BREEZE-FOAM-BLOCK-72X60X04</t>
  </si>
  <si>
    <t>HYPKBRZFMDB72X66X04</t>
  </si>
  <si>
    <t>KOZY-BREEZE-FOAM-BLOCK-72X66X04</t>
  </si>
  <si>
    <t>HYPKBRZFMDB72X72X04</t>
  </si>
  <si>
    <t>KOZY-BREEZE-FOAM-BLOCK-72X72X04</t>
  </si>
  <si>
    <t>HYPKBRZFMDB75X30X04</t>
  </si>
  <si>
    <t>KOZY-BREEZE-FOAM-BLOCK-75X30X04</t>
  </si>
  <si>
    <t>HYPKBRZFMDB75X36X04</t>
  </si>
  <si>
    <t>KOZY-BREEZE-FOAM-BLOCK-75X36X04</t>
  </si>
  <si>
    <t>HYPKBRZFMDB75X42X04</t>
  </si>
  <si>
    <t>KOZY-BREEZE-FOAM-BLOCK-75X42X04</t>
  </si>
  <si>
    <t>HYPKBRZFMDB75X48X04</t>
  </si>
  <si>
    <t>KOZY-BREEZE-FOAM-BLOCK-75X48X04</t>
  </si>
  <si>
    <t>HYPKBRZFMDB75X60X04</t>
  </si>
  <si>
    <t>KOZY-BREEZE-FOAM-BLOCK-75X60X04</t>
  </si>
  <si>
    <t>HYPKBRZFMDB75X66X04</t>
  </si>
  <si>
    <t>KOZY-BREEZE-FOAM-BLOCK-75X66X04</t>
  </si>
  <si>
    <t>HYPKBRZFMDB75X72X04</t>
  </si>
  <si>
    <t>KOZY-BREEZE-FOAM-BLOCK-75X72X04</t>
  </si>
  <si>
    <t>HYPKBRZFMDB78X30X04</t>
  </si>
  <si>
    <t>KOZY-BREEZE-FOAM-BLOCK-78X30X04</t>
  </si>
  <si>
    <t>HYPKBRZFMDB78X36X04</t>
  </si>
  <si>
    <t>KOZY-BREEZE-FOAM-BLOCK-78X36X04</t>
  </si>
  <si>
    <t>HYPKBRZFMDB78X42X04</t>
  </si>
  <si>
    <t>KOZY-BREEZE-FOAM-BLOCK-78X42X04</t>
  </si>
  <si>
    <t>HYPKBRZFMDB78X48X04</t>
  </si>
  <si>
    <t>KOZY-BREEZE-FOAM-BLOCK-78X48X04</t>
  </si>
  <si>
    <t>HYPKBRZFMDB78X60X04</t>
  </si>
  <si>
    <t>KOZY-BREEZE-FOAM-BLOCK-78X60X04</t>
  </si>
  <si>
    <t>HYPKBRZFMDB78X66X04</t>
  </si>
  <si>
    <t>KOZY-BREEZE-FOAM-BLOCK-78X66X04</t>
  </si>
  <si>
    <t>HYPKBRZFMDB78X72X04</t>
  </si>
  <si>
    <t>KOZY-BREEZE-FOAM-BLOCK-78X72X04</t>
  </si>
  <si>
    <t>HYPKBRZFMDB80X30X04</t>
  </si>
  <si>
    <t>KOZY-BREEZE-FOAM-BLOCK-80X30X04</t>
  </si>
  <si>
    <t>HYPKBRZFMDB80X36X04</t>
  </si>
  <si>
    <t>KOZY-BREEZE-FOAM-BLOCK-80X36X04</t>
  </si>
  <si>
    <t>HYPKBRZFMDB80X42X04</t>
  </si>
  <si>
    <t>KOZY-BREEZE-FOAM-BLOCK-80X42X04</t>
  </si>
  <si>
    <t>HYPKBRZFMDB80X48X04</t>
  </si>
  <si>
    <t>KOZY-BREEZE-FOAM-BLOCK-80X48X04</t>
  </si>
  <si>
    <t>HYPKBRZFMDB80X60X04</t>
  </si>
  <si>
    <t>KOZY-BREEZE-FOAM-BLOCK-80X60X04</t>
  </si>
  <si>
    <t>HYPKBRZFMDB80X66X04</t>
  </si>
  <si>
    <t>KOZY-BREEZE-FOAM-BLOCK-80X66X04</t>
  </si>
  <si>
    <t>HYPKBRZFMDB80X72X04</t>
  </si>
  <si>
    <t>KOZY-BREEZE-FOAM-BLOCK-80X72X04</t>
  </si>
  <si>
    <t>HYPKBRZFMDB84X30X04</t>
  </si>
  <si>
    <t>KOZY-BREEZE-FOAM-BLOCK-84X30X04</t>
  </si>
  <si>
    <t>HYPKBRZFMDB84X36X04</t>
  </si>
  <si>
    <t>KOZY-BREEZE-FOAM-BLOCK-84X36X04</t>
  </si>
  <si>
    <t>HYPKBRZFMDB84X42X04</t>
  </si>
  <si>
    <t>KOZY-BREEZE-FOAM-BLOCK-84X42X04</t>
  </si>
  <si>
    <t>HYPKBRZFMDB84X48X04</t>
  </si>
  <si>
    <t>KOZY-BREEZE-FOAM-BLOCK-84X48X04</t>
  </si>
  <si>
    <t>HYPKBRZFMDB84X60X04</t>
  </si>
  <si>
    <t>KOZY-BREEZE-FOAM-BLOCK-84X60X04</t>
  </si>
  <si>
    <t>HYPKBRZFMDB84X66X04</t>
  </si>
  <si>
    <t>KOZY-BREEZE-FOAM-BLOCK-84X66X04</t>
  </si>
  <si>
    <t>HYPKBRZFMDB84X72X04</t>
  </si>
  <si>
    <t>KOZY-BREEZE-FOAM-BLOCK-84X72X04</t>
  </si>
  <si>
    <t>HYPKBRZFMDB72X30X05</t>
  </si>
  <si>
    <t>KOZY-BREEZE-FOAM-BLOCK-72X30X05</t>
  </si>
  <si>
    <t>HYPKBRZFMDB72X36X05</t>
  </si>
  <si>
    <t>KOZY-BREEZE-FOAM-BLOCK-72X36X05</t>
  </si>
  <si>
    <t>HYPKBRZFMDB72X42X05</t>
  </si>
  <si>
    <t>KOZY-BREEZE-FOAM-BLOCK-72X42X05</t>
  </si>
  <si>
    <t>HYPKBRZFMDB72X48X05</t>
  </si>
  <si>
    <t>KOZY-BREEZE-FOAM-BLOCK-72X48X05</t>
  </si>
  <si>
    <t>HYPKBRZFMDB72X60X05</t>
  </si>
  <si>
    <t>KOZY-BREEZE-FOAM-BLOCK-72X60X05</t>
  </si>
  <si>
    <t>HYPKBRZFMDB72X66X05</t>
  </si>
  <si>
    <t>KOZY-BREEZE-FOAM-BLOCK-72X66X05</t>
  </si>
  <si>
    <t>HYPKBRZFMDB72X72X05</t>
  </si>
  <si>
    <t>KOZY-BREEZE-FOAM-BLOCK-72X72X05</t>
  </si>
  <si>
    <t>HYPKBRZFMDB75X30X05</t>
  </si>
  <si>
    <t>KOZY-BREEZE-FOAM-BLOCK-75X30X05</t>
  </si>
  <si>
    <t>HYPKBRZFMDB75X36X05</t>
  </si>
  <si>
    <t>KOZY-BREEZE-FOAM-BLOCK-75X36X05</t>
  </si>
  <si>
    <t>HYPKBRZFMDB75X42X05</t>
  </si>
  <si>
    <t>KOZY-BREEZE-FOAM-BLOCK-75X42X05</t>
  </si>
  <si>
    <t>HYPKBRZFMDB75X48X05</t>
  </si>
  <si>
    <t>KOZY-BREEZE-FOAM-BLOCK-75X48X05</t>
  </si>
  <si>
    <t>HYPKBRZFMDB75X60X05</t>
  </si>
  <si>
    <t>KOZY-BREEZE-FOAM-BLOCK-75X60X05</t>
  </si>
  <si>
    <t>HYPKBRZFMDB75X66X05</t>
  </si>
  <si>
    <t>KOZY-BREEZE-FOAM-BLOCK-75X66X05</t>
  </si>
  <si>
    <t>HYPKBRZFMDB75X72X05</t>
  </si>
  <si>
    <t>KOZY-BREEZE-FOAM-BLOCK-75X72X05</t>
  </si>
  <si>
    <t>HYPKBRZFMDB78X30X05</t>
  </si>
  <si>
    <t>KOZY-BREEZE-FOAM-BLOCK-78X30X05</t>
  </si>
  <si>
    <t>HYPKBRZFMDB78X36X05</t>
  </si>
  <si>
    <t>KOZY-BREEZE-FOAM-BLOCK-78X36X05</t>
  </si>
  <si>
    <t>HYPKBRZFMDB78X42X05</t>
  </si>
  <si>
    <t>KOZY-BREEZE-FOAM-BLOCK-78X42X05</t>
  </si>
  <si>
    <t>HYPKBRZFMDB78X48X05</t>
  </si>
  <si>
    <t>KOZY-BREEZE-FOAM-BLOCK-78X48X05</t>
  </si>
  <si>
    <t>HYPKBRZFMDB78X60X05</t>
  </si>
  <si>
    <t>KOZY-BREEZE-FOAM-BLOCK-78X60X05</t>
  </si>
  <si>
    <t>HYPKBRZFMDB78X66X05</t>
  </si>
  <si>
    <t>KOZY-BREEZE-FOAM-BLOCK-78X66X05</t>
  </si>
  <si>
    <t>HYPKBRZFMDB78X72X05</t>
  </si>
  <si>
    <t>KOZY-BREEZE-FOAM-BLOCK-78X72X05</t>
  </si>
  <si>
    <t>HYPKBRZFMDB80X30X05</t>
  </si>
  <si>
    <t>KOZY-BREEZE-FOAM-BLOCK-80X30X05</t>
  </si>
  <si>
    <t>HYPKBRZFMDB80X36X05</t>
  </si>
  <si>
    <t>KOZY-BREEZE-FOAM-BLOCK-80X36X05</t>
  </si>
  <si>
    <t>HYPKBRZFMDB80X42X05</t>
  </si>
  <si>
    <t>KOZY-BREEZE-FOAM-BLOCK-80X42X05</t>
  </si>
  <si>
    <t>HYPKBRZFMDB80X48X05</t>
  </si>
  <si>
    <t>KOZY-BREEZE-FOAM-BLOCK-80X48X05</t>
  </si>
  <si>
    <t>HYPKBRZFMDB80X60X05</t>
  </si>
  <si>
    <t>KOZY-BREEZE-FOAM-BLOCK-80X60X05</t>
  </si>
  <si>
    <t>HYPKBRZFMDB80X66X05</t>
  </si>
  <si>
    <t>KOZY-BREEZE-FOAM-BLOCK-80X66X05</t>
  </si>
  <si>
    <t>HYPKBRZFMDB80X72X05</t>
  </si>
  <si>
    <t>KOZY-BREEZE-FOAM-BLOCK-80X72X05</t>
  </si>
  <si>
    <t>HYPKBRZFMDB84X30X05</t>
  </si>
  <si>
    <t>KOZY-BREEZE-FOAM-BLOCK-84X30X05</t>
  </si>
  <si>
    <t>HYPKBRZFMDB84X36X05</t>
  </si>
  <si>
    <t>KOZY-BREEZE-FOAM-BLOCK-84X36X05</t>
  </si>
  <si>
    <t>HYPKBRZFMDB84X42X05</t>
  </si>
  <si>
    <t>KOZY-BREEZE-FOAM-BLOCK-84X42X05</t>
  </si>
  <si>
    <t>HYPKBRZFMDB84X48X05</t>
  </si>
  <si>
    <t>KOZY-BREEZE-FOAM-BLOCK-84X48X05</t>
  </si>
  <si>
    <t>HYPKBRZFMDB84X60X05</t>
  </si>
  <si>
    <t>KOZY-BREEZE-FOAM-BLOCK-84X60X05</t>
  </si>
  <si>
    <t>HYPKBRZFMDB84X66X05</t>
  </si>
  <si>
    <t>KOZY-BREEZE-FOAM-BLOCK-84X66X05</t>
  </si>
  <si>
    <t>HYPKBRZFMDB84X72X05</t>
  </si>
  <si>
    <t>KOZY-BREEZE-FOAM-BLOCK-84X72X05</t>
  </si>
  <si>
    <t>HYPKBRZFMDB72X30X06</t>
  </si>
  <si>
    <t>KOZY-BREEZE-FOAM-BLOCK-72X30X06</t>
  </si>
  <si>
    <t>HYPKBRZFMDB72X36X06</t>
  </si>
  <si>
    <t>KOZY-BREEZE-FOAM-BLOCK-72X36X06</t>
  </si>
  <si>
    <t>HYPKBRZFMDB72X42X06</t>
  </si>
  <si>
    <t>KOZY-BREEZE-FOAM-BLOCK-72X42X06</t>
  </si>
  <si>
    <t>HYPKBRZFMDB72X48X06</t>
  </si>
  <si>
    <t>KOZY-BREEZE-FOAM-BLOCK-72X48X06</t>
  </si>
  <si>
    <t>HYPKBRZFMDB72X60X06</t>
  </si>
  <si>
    <t>KOZY-BREEZE-FOAM-BLOCK-72X60X06</t>
  </si>
  <si>
    <t>HYPKBRZFMDB72X66X06</t>
  </si>
  <si>
    <t>KOZY-BREEZE-FOAM-BLOCK-72X66X06</t>
  </si>
  <si>
    <t>HYPKBRZFMDB72X72X06</t>
  </si>
  <si>
    <t>KOZY-BREEZE-FOAM-BLOCK-72X72X06</t>
  </si>
  <si>
    <t>HYPKBRZFMDB75X30X06</t>
  </si>
  <si>
    <t>KOZY-BREEZE-FOAM-BLOCK-75X30X06</t>
  </si>
  <si>
    <t>HYPKBRZFMDB75X36X06</t>
  </si>
  <si>
    <t>KOZY-BREEZE-FOAM-BLOCK-75X36X06</t>
  </si>
  <si>
    <t>HYPKBRZFMDB75X42X06</t>
  </si>
  <si>
    <t>KOZY-BREEZE-FOAM-BLOCK-75X42X06</t>
  </si>
  <si>
    <t>HYPKBRZFMDB75X48X06</t>
  </si>
  <si>
    <t>KOZY-BREEZE-FOAM-BLOCK-75X48X06</t>
  </si>
  <si>
    <t>HYPKBRZFMDB75X60X06</t>
  </si>
  <si>
    <t>KOZY-BREEZE-FOAM-BLOCK-75X60X06</t>
  </si>
  <si>
    <t>HYPKBRZFMDB75X66X06</t>
  </si>
  <si>
    <t>KOZY-BREEZE-FOAM-BLOCK-75X66X06</t>
  </si>
  <si>
    <t>HYPKBRZFMDB75X72X06</t>
  </si>
  <si>
    <t>KOZY-BREEZE-FOAM-BLOCK-75X72X06</t>
  </si>
  <si>
    <t>HYPKBRZFMDB78X30X06</t>
  </si>
  <si>
    <t>KOZY-BREEZE-FOAM-BLOCK-78X30X06</t>
  </si>
  <si>
    <t>HYPKBRZFMDB78X36X06</t>
  </si>
  <si>
    <t>KOZY-BREEZE-FOAM-BLOCK-78X36X06</t>
  </si>
  <si>
    <t>HYPKBRZFMDB78X42X06</t>
  </si>
  <si>
    <t>KOZY-BREEZE-FOAM-BLOCK-78X42X06</t>
  </si>
  <si>
    <t>HYPKBRZFMDB78X48X06</t>
  </si>
  <si>
    <t>KOZY-BREEZE-FOAM-BLOCK-78X48X06</t>
  </si>
  <si>
    <t>HYPKBRZFMDB78X60X06</t>
  </si>
  <si>
    <t>KOZY-BREEZE-FOAM-BLOCK-78X60X06</t>
  </si>
  <si>
    <t>HYPKBRZFMDB78X66X06</t>
  </si>
  <si>
    <t>KOZY-BREEZE-FOAM-BLOCK-78X66X06</t>
  </si>
  <si>
    <t>HYPKBRZFMDB78X72X06</t>
  </si>
  <si>
    <t>KOZY-BREEZE-FOAM-BLOCK-78X72X06</t>
  </si>
  <si>
    <t>HYPKBRZFMDB80X30X06</t>
  </si>
  <si>
    <t>KOZY-BREEZE-FOAM-BLOCK-80X30X06</t>
  </si>
  <si>
    <t>HYPKBRZFMDB80X36X06</t>
  </si>
  <si>
    <t>KOZY-BREEZE-FOAM-BLOCK-80X36X06</t>
  </si>
  <si>
    <t>HYPKBRZFMDB80X42X06</t>
  </si>
  <si>
    <t>KOZY-BREEZE-FOAM-BLOCK-80X42X06</t>
  </si>
  <si>
    <t>HYPKBRZFMDB80X48X06</t>
  </si>
  <si>
    <t>KOZY-BREEZE-FOAM-BLOCK-80X48X06</t>
  </si>
  <si>
    <t>HYPKBRZFMDB80X60X06</t>
  </si>
  <si>
    <t>KOZY-BREEZE-FOAM-BLOCK-80X60X06</t>
  </si>
  <si>
    <t>HYPKBRZFMDB80X66X06</t>
  </si>
  <si>
    <t>KOZY-BREEZE-FOAM-BLOCK-80X66X06</t>
  </si>
  <si>
    <t>HYPKBRZFMDB80X72X06</t>
  </si>
  <si>
    <t>KOZY-BREEZE-FOAM-BLOCK-80X72X06</t>
  </si>
  <si>
    <t>HYPKBRZFMDB84X30X06</t>
  </si>
  <si>
    <t>KOZY-BREEZE-FOAM-BLOCK-84X30X06</t>
  </si>
  <si>
    <t>HYPKBRZFMDB84X36X06</t>
  </si>
  <si>
    <t>KOZY-BREEZE-FOAM-BLOCK-84X36X06</t>
  </si>
  <si>
    <t>HYPKBRZFMDB84X42X06</t>
  </si>
  <si>
    <t>KOZY-BREEZE-FOAM-BLOCK-84X42X06</t>
  </si>
  <si>
    <t>HYPKBRZFMDB84X48X06</t>
  </si>
  <si>
    <t>KOZY-BREEZE-FOAM-BLOCK-84X48X06</t>
  </si>
  <si>
    <t>HYPKBRZFMDB84X60X06</t>
  </si>
  <si>
    <t>KOZY-BREEZE-FOAM-BLOCK-84X60X06</t>
  </si>
  <si>
    <t>HYPKBRZFMDB84X66X06</t>
  </si>
  <si>
    <t>KOZY-BREEZE-FOAM-BLOCK-84X66X06</t>
  </si>
  <si>
    <t>HYPKBRZFMDB84X72X06</t>
  </si>
  <si>
    <t>KOZY-BREEZE-FOAM-BLOCK-84X72X06</t>
  </si>
  <si>
    <t>Active</t>
  </si>
  <si>
    <t>MRP</t>
  </si>
  <si>
    <t>SFG-RTC-BNPK-BP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</si>
</sst>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2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103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98</v>
      </c>
      <c r="C2" s="7" t="s">
        <v>98</v>
      </c>
      <c r="D2" s="8" t="str">
        <f>"HYPKBRZFMDB"&amp;$K$2&amp;"X"&amp;$L$2&amp;"X0"&amp;$M$2</f>
        <v>HYPKBRZFMDB75X36X04</v>
      </c>
      <c r="E2" s="39" t="s">
        <v>107</v>
      </c>
      <c r="F2" s="9" t="s">
        <v>14</v>
      </c>
      <c r="G2" s="34">
        <f>IF(K2&lt;79,(L2+1),(K2+1))*0.0254</f>
        <v>0.93979999999999997</v>
      </c>
      <c r="H2" s="36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4</v>
      </c>
      <c r="N2" s="6" t="s">
        <v>109</v>
      </c>
      <c r="P2" s="4" t="s">
        <v>102</v>
      </c>
      <c r="R2" s="26" t="s">
        <v>85</v>
      </c>
      <c r="S2" s="26" t="s">
        <v>86</v>
      </c>
      <c r="T2" s="26">
        <v>4</v>
      </c>
      <c r="U2" s="27" t="s">
        <v>109</v>
      </c>
    </row>
    <row r="3" spans="1:21" s="14" customFormat="1" x14ac:dyDescent="0.25">
      <c r="A3" s="31">
        <v>2</v>
      </c>
      <c r="B3" s="7" t="s">
        <v>98</v>
      </c>
      <c r="C3" s="7" t="s">
        <v>98</v>
      </c>
      <c r="D3" s="8" t="str">
        <f t="shared" ref="D3:D13" si="0">"HYPKBRZFMDB"&amp;$K$2&amp;"X"&amp;$L$2&amp;"X0"&amp;$M$2</f>
        <v>HYPKBRZFMDB75X36X04</v>
      </c>
      <c r="E3" s="39" t="s">
        <v>565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 t="s">
        <v>85</v>
      </c>
      <c r="S3" s="26" t="s">
        <v>87</v>
      </c>
      <c r="T3" s="26">
        <v>4</v>
      </c>
      <c r="U3" s="27" t="s">
        <v>109</v>
      </c>
    </row>
    <row r="4" spans="1:21" x14ac:dyDescent="0.25">
      <c r="A4" s="31">
        <v>3</v>
      </c>
      <c r="B4" s="7" t="s">
        <v>16</v>
      </c>
      <c r="C4" s="7" t="s">
        <v>16</v>
      </c>
      <c r="D4" s="8" t="str">
        <f t="shared" si="0"/>
        <v>HYPKBRZFMDB75X36X04</v>
      </c>
      <c r="E4" s="7" t="s">
        <v>99</v>
      </c>
      <c r="F4" s="9" t="s">
        <v>100</v>
      </c>
      <c r="G4" s="34">
        <f>(K2*L2/144)*0.00729*2</f>
        <v>0.27337499999999998</v>
      </c>
      <c r="H4" s="36">
        <f t="shared" ref="H4:H13" si="2">ROUND(G4,3)</f>
        <v>0.27300000000000002</v>
      </c>
      <c r="I4" s="9" t="s">
        <v>13</v>
      </c>
      <c r="J4" s="10"/>
      <c r="O4" s="14"/>
      <c r="R4" s="26" t="s">
        <v>85</v>
      </c>
      <c r="S4" s="26" t="s">
        <v>88</v>
      </c>
      <c r="T4" s="26">
        <v>4</v>
      </c>
      <c r="U4" s="27" t="s">
        <v>109</v>
      </c>
    </row>
    <row r="5" spans="1:21" x14ac:dyDescent="0.25">
      <c r="A5" s="31">
        <v>4</v>
      </c>
      <c r="B5" s="7" t="s">
        <v>16</v>
      </c>
      <c r="C5" s="7" t="s">
        <v>16</v>
      </c>
      <c r="D5" s="8" t="str">
        <f t="shared" si="0"/>
        <v>HYPKBRZFMDB75X36X04</v>
      </c>
      <c r="E5" s="38" t="s">
        <v>108</v>
      </c>
      <c r="F5" s="9" t="s">
        <v>14</v>
      </c>
      <c r="G5" s="35">
        <f>(K2+L2+4)*2*0.0254*2</f>
        <v>11.683999999999999</v>
      </c>
      <c r="H5" s="36">
        <f t="shared" si="2"/>
        <v>11.683999999999999</v>
      </c>
      <c r="I5" s="9" t="s">
        <v>13</v>
      </c>
      <c r="J5" s="10"/>
      <c r="L5" s="16"/>
      <c r="O5" s="14"/>
      <c r="R5" s="26" t="s">
        <v>85</v>
      </c>
      <c r="S5" s="26" t="s">
        <v>89</v>
      </c>
      <c r="T5" s="26">
        <v>4</v>
      </c>
      <c r="U5" s="27" t="s">
        <v>109</v>
      </c>
    </row>
    <row r="6" spans="1:21" x14ac:dyDescent="0.25">
      <c r="A6" s="31">
        <v>5</v>
      </c>
      <c r="B6" s="7" t="s">
        <v>16</v>
      </c>
      <c r="C6" s="7" t="s">
        <v>16</v>
      </c>
      <c r="D6" s="8" t="str">
        <f t="shared" si="0"/>
        <v>HYPKBRZFMDB75X36X04</v>
      </c>
      <c r="E6" s="38" t="s">
        <v>105</v>
      </c>
      <c r="F6" s="9" t="s">
        <v>14</v>
      </c>
      <c r="G6" s="35">
        <f>(K2+L2+4)*2*0.0254*(4.73+1.42)*2</f>
        <v>71.8566</v>
      </c>
      <c r="H6" s="36">
        <f t="shared" si="2"/>
        <v>71.856999999999999</v>
      </c>
      <c r="I6" s="30" t="s">
        <v>13</v>
      </c>
      <c r="J6" s="10"/>
      <c r="R6" s="26" t="s">
        <v>85</v>
      </c>
      <c r="S6" s="26" t="s">
        <v>90</v>
      </c>
      <c r="T6" s="26">
        <v>4</v>
      </c>
      <c r="U6" s="27" t="s">
        <v>109</v>
      </c>
    </row>
    <row r="7" spans="1:21" x14ac:dyDescent="0.25">
      <c r="A7" s="31">
        <v>6</v>
      </c>
      <c r="B7" s="7" t="s">
        <v>16</v>
      </c>
      <c r="C7" s="7" t="s">
        <v>16</v>
      </c>
      <c r="D7" s="8" t="str">
        <f t="shared" si="0"/>
        <v>HYPKBRZFMDB75X36X04</v>
      </c>
      <c r="E7" s="9" t="s">
        <v>106</v>
      </c>
      <c r="F7" s="9" t="s">
        <v>11</v>
      </c>
      <c r="G7" s="35">
        <v>1</v>
      </c>
      <c r="H7" s="36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85</v>
      </c>
      <c r="S7" s="26" t="s">
        <v>91</v>
      </c>
      <c r="T7" s="26">
        <v>4</v>
      </c>
      <c r="U7" s="27" t="s">
        <v>109</v>
      </c>
    </row>
    <row r="8" spans="1:21" x14ac:dyDescent="0.25">
      <c r="A8" s="31">
        <v>7</v>
      </c>
      <c r="B8" s="7" t="s">
        <v>17</v>
      </c>
      <c r="C8" s="8" t="s">
        <v>17</v>
      </c>
      <c r="D8" s="8" t="str">
        <f t="shared" si="0"/>
        <v>HYPKBRZFMDB75X36X04</v>
      </c>
      <c r="E8" s="8" t="s">
        <v>104</v>
      </c>
      <c r="F8" s="9" t="s">
        <v>12</v>
      </c>
      <c r="G8" s="36">
        <f>(L2+M2+6)*2*0.0254*0.037</f>
        <v>8.6461599999999986E-2</v>
      </c>
      <c r="H8" s="36">
        <f t="shared" si="2"/>
        <v>8.5999999999999993E-2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85</v>
      </c>
      <c r="S8" s="26" t="s">
        <v>92</v>
      </c>
      <c r="T8" s="26">
        <v>4</v>
      </c>
      <c r="U8" s="27" t="s">
        <v>109</v>
      </c>
    </row>
    <row r="9" spans="1:21" x14ac:dyDescent="0.25">
      <c r="A9" s="31">
        <v>8</v>
      </c>
      <c r="B9" s="7" t="s">
        <v>17</v>
      </c>
      <c r="C9" s="8" t="s">
        <v>17</v>
      </c>
      <c r="D9" s="8" t="str">
        <f t="shared" si="0"/>
        <v>HYPKBRZFMDB75X36X04</v>
      </c>
      <c r="E9" s="37" t="str">
        <f>IF(M2=4,"RML-CS-CIR-4.5",IF(M2=5,"RML-CS-CIR-5.5",IF(M2=6,"RML-CS-CIR-6.5",0)))</f>
        <v>RML-CS-CIR-4.5</v>
      </c>
      <c r="F9" s="9" t="s">
        <v>11</v>
      </c>
      <c r="G9" s="35">
        <v>4</v>
      </c>
      <c r="H9" s="36">
        <f t="shared" si="2"/>
        <v>4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85</v>
      </c>
      <c r="S9" s="26" t="s">
        <v>93</v>
      </c>
      <c r="T9" s="26">
        <v>4</v>
      </c>
      <c r="U9" s="27" t="s">
        <v>109</v>
      </c>
    </row>
    <row r="10" spans="1:21" x14ac:dyDescent="0.25">
      <c r="A10" s="31">
        <v>9</v>
      </c>
      <c r="B10" s="7" t="s">
        <v>17</v>
      </c>
      <c r="C10" s="8" t="s">
        <v>17</v>
      </c>
      <c r="D10" s="8" t="str">
        <f t="shared" si="0"/>
        <v>HYPKBRZFMDB75X36X04</v>
      </c>
      <c r="E10" s="8" t="s">
        <v>18</v>
      </c>
      <c r="F10" s="9" t="s">
        <v>11</v>
      </c>
      <c r="G10" s="35">
        <v>1</v>
      </c>
      <c r="H10" s="36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94</v>
      </c>
      <c r="S10" s="26" t="s">
        <v>86</v>
      </c>
      <c r="T10" s="26">
        <v>4</v>
      </c>
      <c r="U10" s="27" t="s">
        <v>109</v>
      </c>
    </row>
    <row r="11" spans="1:21" x14ac:dyDescent="0.25">
      <c r="A11" s="31">
        <v>10</v>
      </c>
      <c r="B11" s="7" t="s">
        <v>17</v>
      </c>
      <c r="C11" s="8" t="s">
        <v>17</v>
      </c>
      <c r="D11" s="8" t="str">
        <f t="shared" si="0"/>
        <v>HYPKBRZFMDB75X36X04</v>
      </c>
      <c r="E11" s="8" t="s">
        <v>19</v>
      </c>
      <c r="F11" s="9" t="s">
        <v>11</v>
      </c>
      <c r="G11" s="35">
        <v>1</v>
      </c>
      <c r="H11" s="36">
        <f t="shared" si="2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94</v>
      </c>
      <c r="S11" s="26" t="s">
        <v>87</v>
      </c>
      <c r="T11" s="26">
        <v>4</v>
      </c>
      <c r="U11" s="27" t="s">
        <v>109</v>
      </c>
    </row>
    <row r="12" spans="1:21" x14ac:dyDescent="0.25">
      <c r="A12" s="31">
        <v>11</v>
      </c>
      <c r="B12" s="7" t="s">
        <v>17</v>
      </c>
      <c r="C12" s="8" t="s">
        <v>17</v>
      </c>
      <c r="D12" s="8" t="str">
        <f t="shared" si="0"/>
        <v>HYPKBRZFMDB75X36X04</v>
      </c>
      <c r="E12" s="15" t="s">
        <v>101</v>
      </c>
      <c r="F12" s="9" t="s">
        <v>12</v>
      </c>
      <c r="G12" s="35">
        <f>(IF(K2&lt;79,(L2*2)+(M2*2),(K2*2)+(M2*2))+4)*89.5*0.0254*0.0254*0.00005*1300</f>
        <v>0.31527033720000003</v>
      </c>
      <c r="H12" s="36">
        <f t="shared" si="2"/>
        <v>0.315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 t="s">
        <v>94</v>
      </c>
      <c r="S12" s="26" t="s">
        <v>88</v>
      </c>
      <c r="T12" s="26">
        <v>4</v>
      </c>
      <c r="U12" s="27" t="s">
        <v>109</v>
      </c>
    </row>
    <row r="13" spans="1:21" x14ac:dyDescent="0.25">
      <c r="A13" s="31">
        <v>12</v>
      </c>
      <c r="B13" s="7" t="s">
        <v>16</v>
      </c>
      <c r="C13" s="7" t="s">
        <v>16</v>
      </c>
      <c r="D13" s="8" t="str">
        <f t="shared" si="0"/>
        <v>HYPKBRZFMDB75X36X04</v>
      </c>
      <c r="E13" s="33" t="str">
        <f>"KOZY-BREEZE-FOAM-BLOCK-"&amp;K2&amp;"X"&amp;L2&amp;"X"&amp;IF(M2=4,"04",IF(M2=5,"05","06"))</f>
        <v>KOZY-BREEZE-FOAM-BLOCK-75X36X04</v>
      </c>
      <c r="F13" s="9" t="s">
        <v>11</v>
      </c>
      <c r="G13" s="36">
        <v>1</v>
      </c>
      <c r="H13" s="36">
        <f t="shared" si="2"/>
        <v>1</v>
      </c>
      <c r="I13" s="32" t="s">
        <v>15</v>
      </c>
      <c r="J13" s="10"/>
      <c r="K13" s="16"/>
      <c r="R13" s="26" t="s">
        <v>94</v>
      </c>
      <c r="S13" s="26" t="s">
        <v>89</v>
      </c>
      <c r="T13" s="26">
        <v>4</v>
      </c>
      <c r="U13" s="27" t="s">
        <v>109</v>
      </c>
    </row>
    <row r="14" spans="1:21" x14ac:dyDescent="0.25">
      <c r="J14" s="10"/>
      <c r="M14" s="16"/>
      <c r="O14" s="16"/>
      <c r="R14" s="26" t="s">
        <v>94</v>
      </c>
      <c r="S14" s="26" t="s">
        <v>90</v>
      </c>
      <c r="T14" s="26">
        <v>4</v>
      </c>
      <c r="U14" s="27" t="s">
        <v>109</v>
      </c>
    </row>
    <row r="15" spans="1:21" x14ac:dyDescent="0.25">
      <c r="J15" s="10"/>
      <c r="N15"/>
      <c r="O15"/>
      <c r="R15" s="26" t="s">
        <v>94</v>
      </c>
      <c r="S15" s="26" t="s">
        <v>91</v>
      </c>
      <c r="T15" s="26">
        <v>4</v>
      </c>
      <c r="U15" s="27" t="s">
        <v>109</v>
      </c>
    </row>
    <row r="16" spans="1:21" x14ac:dyDescent="0.25">
      <c r="J16" s="10"/>
      <c r="M16" s="16"/>
      <c r="N16"/>
      <c r="O16"/>
      <c r="R16" s="26" t="s">
        <v>94</v>
      </c>
      <c r="S16" s="26" t="s">
        <v>92</v>
      </c>
      <c r="T16" s="26">
        <v>4</v>
      </c>
      <c r="U16" s="27" t="s">
        <v>109</v>
      </c>
    </row>
    <row r="17" spans="5:21" x14ac:dyDescent="0.25">
      <c r="J17" s="10"/>
      <c r="N17"/>
      <c r="O17"/>
      <c r="R17" s="26" t="s">
        <v>94</v>
      </c>
      <c r="S17" s="26" t="s">
        <v>93</v>
      </c>
      <c r="T17" s="26">
        <v>4</v>
      </c>
      <c r="U17" s="27" t="s">
        <v>109</v>
      </c>
    </row>
    <row r="18" spans="5:21" x14ac:dyDescent="0.25">
      <c r="J18" s="10"/>
      <c r="N18"/>
      <c r="O18"/>
      <c r="R18" s="26" t="s">
        <v>95</v>
      </c>
      <c r="S18" s="26" t="s">
        <v>86</v>
      </c>
      <c r="T18" s="26">
        <v>4</v>
      </c>
      <c r="U18" s="27" t="s">
        <v>109</v>
      </c>
    </row>
    <row r="19" spans="5:21" x14ac:dyDescent="0.25">
      <c r="J19" s="10"/>
      <c r="N19"/>
      <c r="O19"/>
      <c r="R19" s="26" t="s">
        <v>95</v>
      </c>
      <c r="S19" s="26" t="s">
        <v>87</v>
      </c>
      <c r="T19" s="26">
        <v>4</v>
      </c>
      <c r="U19" s="27" t="s">
        <v>109</v>
      </c>
    </row>
    <row r="20" spans="5:21" x14ac:dyDescent="0.25">
      <c r="J20" s="10"/>
      <c r="N20" s="25"/>
      <c r="O20"/>
      <c r="R20" s="26" t="s">
        <v>95</v>
      </c>
      <c r="S20" s="26" t="s">
        <v>88</v>
      </c>
      <c r="T20" s="26">
        <v>4</v>
      </c>
      <c r="U20" s="27" t="s">
        <v>109</v>
      </c>
    </row>
    <row r="21" spans="5:21" x14ac:dyDescent="0.25">
      <c r="J21" s="10"/>
      <c r="N21"/>
      <c r="O21"/>
      <c r="R21" s="26" t="s">
        <v>95</v>
      </c>
      <c r="S21" s="26" t="s">
        <v>89</v>
      </c>
      <c r="T21" s="26">
        <v>4</v>
      </c>
      <c r="U21" s="27" t="s">
        <v>109</v>
      </c>
    </row>
    <row r="22" spans="5:21" x14ac:dyDescent="0.25">
      <c r="J22" s="10"/>
      <c r="N22"/>
      <c r="O22"/>
      <c r="R22" s="26" t="s">
        <v>95</v>
      </c>
      <c r="S22" s="26" t="s">
        <v>90</v>
      </c>
      <c r="T22" s="26">
        <v>4</v>
      </c>
      <c r="U22" s="27" t="s">
        <v>109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95</v>
      </c>
      <c r="S23" s="26" t="s">
        <v>91</v>
      </c>
      <c r="T23" s="26">
        <v>4</v>
      </c>
      <c r="U23" s="27" t="s">
        <v>109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95</v>
      </c>
      <c r="S24" s="26" t="s">
        <v>92</v>
      </c>
      <c r="T24" s="26">
        <v>4</v>
      </c>
      <c r="U24" s="27" t="s">
        <v>109</v>
      </c>
    </row>
    <row r="25" spans="5:21" x14ac:dyDescent="0.25">
      <c r="N25"/>
      <c r="O25"/>
      <c r="R25" s="26" t="s">
        <v>95</v>
      </c>
      <c r="S25" s="26" t="s">
        <v>93</v>
      </c>
      <c r="T25" s="26">
        <v>4</v>
      </c>
      <c r="U25" s="27" t="s">
        <v>109</v>
      </c>
    </row>
    <row r="26" spans="5:21" x14ac:dyDescent="0.25">
      <c r="N26"/>
      <c r="O26"/>
      <c r="R26" s="26" t="s">
        <v>96</v>
      </c>
      <c r="S26" s="26" t="s">
        <v>86</v>
      </c>
      <c r="T26" s="26">
        <v>4</v>
      </c>
      <c r="U26" s="27" t="s">
        <v>109</v>
      </c>
    </row>
    <row r="27" spans="5:21" x14ac:dyDescent="0.25">
      <c r="N27"/>
      <c r="O27"/>
      <c r="R27" s="26" t="s">
        <v>96</v>
      </c>
      <c r="S27" s="26" t="s">
        <v>87</v>
      </c>
      <c r="T27" s="26">
        <v>4</v>
      </c>
      <c r="U27" s="27" t="s">
        <v>109</v>
      </c>
    </row>
    <row r="28" spans="5:21" x14ac:dyDescent="0.25">
      <c r="M28" s="16"/>
      <c r="N28"/>
      <c r="O28"/>
      <c r="R28" s="26" t="s">
        <v>96</v>
      </c>
      <c r="S28" s="26" t="s">
        <v>88</v>
      </c>
      <c r="T28" s="26">
        <v>4</v>
      </c>
      <c r="U28" s="27" t="s">
        <v>109</v>
      </c>
    </row>
    <row r="29" spans="5:21" x14ac:dyDescent="0.25">
      <c r="E29" s="16"/>
      <c r="N29"/>
      <c r="O29"/>
      <c r="R29" s="26" t="s">
        <v>96</v>
      </c>
      <c r="S29" s="26" t="s">
        <v>89</v>
      </c>
      <c r="T29" s="26">
        <v>4</v>
      </c>
      <c r="U29" s="27" t="s">
        <v>109</v>
      </c>
    </row>
    <row r="30" spans="5:21" x14ac:dyDescent="0.25">
      <c r="H30" s="16"/>
      <c r="N30"/>
      <c r="O30"/>
      <c r="R30" s="26" t="s">
        <v>96</v>
      </c>
      <c r="S30" s="26" t="s">
        <v>90</v>
      </c>
      <c r="T30" s="26">
        <v>4</v>
      </c>
      <c r="U30" s="27" t="s">
        <v>109</v>
      </c>
    </row>
    <row r="31" spans="5:21" x14ac:dyDescent="0.25">
      <c r="N31"/>
      <c r="O31"/>
      <c r="R31" s="26" t="s">
        <v>96</v>
      </c>
      <c r="S31" s="26" t="s">
        <v>91</v>
      </c>
      <c r="T31" s="26">
        <v>4</v>
      </c>
      <c r="U31" s="27" t="s">
        <v>109</v>
      </c>
    </row>
    <row r="32" spans="5:21" x14ac:dyDescent="0.25">
      <c r="N32"/>
      <c r="O32"/>
      <c r="R32" s="26" t="s">
        <v>96</v>
      </c>
      <c r="S32" s="26" t="s">
        <v>92</v>
      </c>
      <c r="T32" s="26">
        <v>4</v>
      </c>
      <c r="U32" s="27" t="s">
        <v>109</v>
      </c>
    </row>
    <row r="33" spans="14:21" x14ac:dyDescent="0.25">
      <c r="N33"/>
      <c r="O33"/>
      <c r="R33" s="26" t="s">
        <v>96</v>
      </c>
      <c r="S33" s="26" t="s">
        <v>93</v>
      </c>
      <c r="T33" s="26">
        <v>4</v>
      </c>
      <c r="U33" s="27" t="s">
        <v>109</v>
      </c>
    </row>
    <row r="34" spans="14:21" x14ac:dyDescent="0.25">
      <c r="N34"/>
      <c r="O34"/>
      <c r="R34" s="26" t="s">
        <v>97</v>
      </c>
      <c r="S34" s="26" t="s">
        <v>86</v>
      </c>
      <c r="T34" s="26">
        <v>4</v>
      </c>
      <c r="U34" s="27" t="s">
        <v>109</v>
      </c>
    </row>
    <row r="35" spans="14:21" x14ac:dyDescent="0.25">
      <c r="N35"/>
      <c r="O35"/>
      <c r="R35" s="26" t="s">
        <v>97</v>
      </c>
      <c r="S35" s="26" t="s">
        <v>87</v>
      </c>
      <c r="T35" s="26">
        <v>4</v>
      </c>
      <c r="U35" s="27" t="s">
        <v>109</v>
      </c>
    </row>
    <row r="36" spans="14:21" x14ac:dyDescent="0.25">
      <c r="N36"/>
      <c r="O36"/>
      <c r="R36" s="26" t="s">
        <v>97</v>
      </c>
      <c r="S36" s="26" t="s">
        <v>88</v>
      </c>
      <c r="T36" s="26">
        <v>4</v>
      </c>
      <c r="U36" s="27" t="s">
        <v>109</v>
      </c>
    </row>
    <row r="37" spans="14:21" x14ac:dyDescent="0.25">
      <c r="N37"/>
      <c r="O37"/>
      <c r="R37" s="26" t="s">
        <v>97</v>
      </c>
      <c r="S37" s="26" t="s">
        <v>89</v>
      </c>
      <c r="T37" s="26">
        <v>4</v>
      </c>
      <c r="U37" s="27" t="s">
        <v>109</v>
      </c>
    </row>
    <row r="38" spans="14:21" x14ac:dyDescent="0.25">
      <c r="N38"/>
      <c r="O38"/>
      <c r="R38" s="26" t="s">
        <v>97</v>
      </c>
      <c r="S38" s="26" t="s">
        <v>90</v>
      </c>
      <c r="T38" s="26">
        <v>4</v>
      </c>
      <c r="U38" s="27" t="s">
        <v>109</v>
      </c>
    </row>
    <row r="39" spans="14:21" x14ac:dyDescent="0.25">
      <c r="N39"/>
      <c r="O39"/>
      <c r="R39" s="26" t="s">
        <v>97</v>
      </c>
      <c r="S39" s="26" t="s">
        <v>91</v>
      </c>
      <c r="T39" s="26">
        <v>4</v>
      </c>
      <c r="U39" s="27" t="s">
        <v>109</v>
      </c>
    </row>
    <row r="40" spans="14:21" x14ac:dyDescent="0.25">
      <c r="N40"/>
      <c r="O40"/>
      <c r="R40" s="26" t="s">
        <v>97</v>
      </c>
      <c r="S40" s="26" t="s">
        <v>92</v>
      </c>
      <c r="T40" s="26">
        <v>4</v>
      </c>
      <c r="U40" s="27" t="s">
        <v>109</v>
      </c>
    </row>
    <row r="41" spans="14:21" x14ac:dyDescent="0.25">
      <c r="N41"/>
      <c r="O41"/>
      <c r="R41" s="26" t="s">
        <v>97</v>
      </c>
      <c r="S41" s="26" t="s">
        <v>93</v>
      </c>
      <c r="T41" s="26">
        <v>4</v>
      </c>
      <c r="U41" s="27" t="s">
        <v>109</v>
      </c>
    </row>
    <row r="42" spans="14:21" x14ac:dyDescent="0.25">
      <c r="N42"/>
      <c r="O42"/>
      <c r="R42" s="26" t="s">
        <v>85</v>
      </c>
      <c r="S42" s="26" t="s">
        <v>86</v>
      </c>
      <c r="T42" s="26">
        <v>5</v>
      </c>
      <c r="U42" s="27" t="s">
        <v>109</v>
      </c>
    </row>
    <row r="43" spans="14:21" x14ac:dyDescent="0.25">
      <c r="N43"/>
      <c r="O43"/>
      <c r="R43" s="26" t="s">
        <v>85</v>
      </c>
      <c r="S43" s="26" t="s">
        <v>87</v>
      </c>
      <c r="T43" s="26">
        <v>5</v>
      </c>
      <c r="U43" s="27" t="s">
        <v>109</v>
      </c>
    </row>
    <row r="44" spans="14:21" x14ac:dyDescent="0.25">
      <c r="N44"/>
      <c r="O44"/>
      <c r="R44" s="26" t="s">
        <v>85</v>
      </c>
      <c r="S44" s="26" t="s">
        <v>88</v>
      </c>
      <c r="T44" s="26">
        <v>5</v>
      </c>
      <c r="U44" s="27" t="s">
        <v>109</v>
      </c>
    </row>
    <row r="45" spans="14:21" x14ac:dyDescent="0.25">
      <c r="N45"/>
      <c r="O45"/>
      <c r="R45" s="26" t="s">
        <v>85</v>
      </c>
      <c r="S45" s="26" t="s">
        <v>89</v>
      </c>
      <c r="T45" s="26">
        <v>5</v>
      </c>
      <c r="U45" s="27" t="s">
        <v>109</v>
      </c>
    </row>
    <row r="46" spans="14:21" x14ac:dyDescent="0.25">
      <c r="N46"/>
      <c r="O46"/>
      <c r="R46" s="26" t="s">
        <v>85</v>
      </c>
      <c r="S46" s="26" t="s">
        <v>90</v>
      </c>
      <c r="T46" s="26">
        <v>5</v>
      </c>
      <c r="U46" s="27" t="s">
        <v>109</v>
      </c>
    </row>
    <row r="47" spans="14:21" x14ac:dyDescent="0.25">
      <c r="N47"/>
      <c r="O47"/>
      <c r="R47" s="26" t="s">
        <v>85</v>
      </c>
      <c r="S47" s="26" t="s">
        <v>91</v>
      </c>
      <c r="T47" s="26">
        <v>5</v>
      </c>
      <c r="U47" s="27" t="s">
        <v>109</v>
      </c>
    </row>
    <row r="48" spans="14:21" x14ac:dyDescent="0.25">
      <c r="N48"/>
      <c r="O48"/>
      <c r="R48" s="26" t="s">
        <v>85</v>
      </c>
      <c r="S48" s="26" t="s">
        <v>92</v>
      </c>
      <c r="T48" s="26">
        <v>5</v>
      </c>
      <c r="U48" s="27" t="s">
        <v>109</v>
      </c>
    </row>
    <row r="49" spans="14:21" x14ac:dyDescent="0.25">
      <c r="N49"/>
      <c r="O49"/>
      <c r="R49" s="26" t="s">
        <v>85</v>
      </c>
      <c r="S49" s="26" t="s">
        <v>93</v>
      </c>
      <c r="T49" s="26">
        <v>5</v>
      </c>
      <c r="U49" s="27" t="s">
        <v>109</v>
      </c>
    </row>
    <row r="50" spans="14:21" x14ac:dyDescent="0.25">
      <c r="R50" s="26" t="s">
        <v>94</v>
      </c>
      <c r="S50" s="26" t="s">
        <v>86</v>
      </c>
      <c r="T50" s="26">
        <v>5</v>
      </c>
      <c r="U50" s="27" t="s">
        <v>109</v>
      </c>
    </row>
    <row r="51" spans="14:21" x14ac:dyDescent="0.25">
      <c r="R51" s="26" t="s">
        <v>94</v>
      </c>
      <c r="S51" s="26" t="s">
        <v>87</v>
      </c>
      <c r="T51" s="26">
        <v>5</v>
      </c>
      <c r="U51" s="27" t="s">
        <v>109</v>
      </c>
    </row>
    <row r="52" spans="14:21" x14ac:dyDescent="0.25">
      <c r="R52" s="26" t="s">
        <v>94</v>
      </c>
      <c r="S52" s="26" t="s">
        <v>88</v>
      </c>
      <c r="T52" s="26">
        <v>5</v>
      </c>
      <c r="U52" s="27" t="s">
        <v>109</v>
      </c>
    </row>
    <row r="53" spans="14:21" x14ac:dyDescent="0.25">
      <c r="R53" s="26" t="s">
        <v>94</v>
      </c>
      <c r="S53" s="26" t="s">
        <v>89</v>
      </c>
      <c r="T53" s="26">
        <v>5</v>
      </c>
      <c r="U53" s="27" t="s">
        <v>109</v>
      </c>
    </row>
    <row r="54" spans="14:21" x14ac:dyDescent="0.25">
      <c r="R54" s="26" t="s">
        <v>94</v>
      </c>
      <c r="S54" s="26" t="s">
        <v>90</v>
      </c>
      <c r="T54" s="26">
        <v>5</v>
      </c>
      <c r="U54" s="27" t="s">
        <v>109</v>
      </c>
    </row>
    <row r="55" spans="14:21" x14ac:dyDescent="0.25">
      <c r="R55" s="26" t="s">
        <v>94</v>
      </c>
      <c r="S55" s="26" t="s">
        <v>91</v>
      </c>
      <c r="T55" s="26">
        <v>5</v>
      </c>
      <c r="U55" s="27" t="s">
        <v>109</v>
      </c>
    </row>
    <row r="56" spans="14:21" x14ac:dyDescent="0.25">
      <c r="R56" s="26" t="s">
        <v>94</v>
      </c>
      <c r="S56" s="26" t="s">
        <v>92</v>
      </c>
      <c r="T56" s="26">
        <v>5</v>
      </c>
      <c r="U56" s="27" t="s">
        <v>109</v>
      </c>
    </row>
    <row r="57" spans="14:21" x14ac:dyDescent="0.25">
      <c r="R57" s="26" t="s">
        <v>94</v>
      </c>
      <c r="S57" s="26" t="s">
        <v>93</v>
      </c>
      <c r="T57" s="26">
        <v>5</v>
      </c>
      <c r="U57" s="27" t="s">
        <v>109</v>
      </c>
    </row>
    <row r="58" spans="14:21" x14ac:dyDescent="0.25">
      <c r="R58" s="26" t="s">
        <v>95</v>
      </c>
      <c r="S58" s="26" t="s">
        <v>86</v>
      </c>
      <c r="T58" s="26">
        <v>5</v>
      </c>
      <c r="U58" s="27" t="s">
        <v>109</v>
      </c>
    </row>
    <row r="59" spans="14:21" x14ac:dyDescent="0.25">
      <c r="R59" s="26" t="s">
        <v>95</v>
      </c>
      <c r="S59" s="26" t="s">
        <v>87</v>
      </c>
      <c r="T59" s="26">
        <v>5</v>
      </c>
      <c r="U59" s="27" t="s">
        <v>109</v>
      </c>
    </row>
    <row r="60" spans="14:21" x14ac:dyDescent="0.25">
      <c r="R60" s="26" t="s">
        <v>95</v>
      </c>
      <c r="S60" s="26" t="s">
        <v>88</v>
      </c>
      <c r="T60" s="26">
        <v>5</v>
      </c>
      <c r="U60" s="27" t="s">
        <v>109</v>
      </c>
    </row>
    <row r="61" spans="14:21" x14ac:dyDescent="0.25">
      <c r="R61" s="26" t="s">
        <v>95</v>
      </c>
      <c r="S61" s="26" t="s">
        <v>89</v>
      </c>
      <c r="T61" s="26">
        <v>5</v>
      </c>
      <c r="U61" s="27" t="s">
        <v>109</v>
      </c>
    </row>
    <row r="62" spans="14:21" x14ac:dyDescent="0.25">
      <c r="R62" s="26" t="s">
        <v>95</v>
      </c>
      <c r="S62" s="26" t="s">
        <v>90</v>
      </c>
      <c r="T62" s="26">
        <v>5</v>
      </c>
      <c r="U62" s="27" t="s">
        <v>109</v>
      </c>
    </row>
    <row r="63" spans="14:21" x14ac:dyDescent="0.25">
      <c r="R63" s="26" t="s">
        <v>95</v>
      </c>
      <c r="S63" s="26" t="s">
        <v>91</v>
      </c>
      <c r="T63" s="26">
        <v>5</v>
      </c>
      <c r="U63" s="27" t="s">
        <v>109</v>
      </c>
    </row>
    <row r="64" spans="14:21" x14ac:dyDescent="0.25">
      <c r="R64" s="26" t="s">
        <v>95</v>
      </c>
      <c r="S64" s="26" t="s">
        <v>92</v>
      </c>
      <c r="T64" s="26">
        <v>5</v>
      </c>
      <c r="U64" s="27" t="s">
        <v>109</v>
      </c>
    </row>
    <row r="65" spans="18:21" x14ac:dyDescent="0.25">
      <c r="R65" s="26" t="s">
        <v>95</v>
      </c>
      <c r="S65" s="26" t="s">
        <v>93</v>
      </c>
      <c r="T65" s="26">
        <v>5</v>
      </c>
      <c r="U65" s="27" t="s">
        <v>109</v>
      </c>
    </row>
    <row r="66" spans="18:21" x14ac:dyDescent="0.25">
      <c r="R66" s="26" t="s">
        <v>96</v>
      </c>
      <c r="S66" s="26" t="s">
        <v>86</v>
      </c>
      <c r="T66" s="26">
        <v>5</v>
      </c>
      <c r="U66" s="27" t="s">
        <v>109</v>
      </c>
    </row>
    <row r="67" spans="18:21" x14ac:dyDescent="0.25">
      <c r="R67" s="26" t="s">
        <v>96</v>
      </c>
      <c r="S67" s="26" t="s">
        <v>87</v>
      </c>
      <c r="T67" s="26">
        <v>5</v>
      </c>
      <c r="U67" s="27" t="s">
        <v>109</v>
      </c>
    </row>
    <row r="68" spans="18:21" x14ac:dyDescent="0.25">
      <c r="R68" s="26" t="s">
        <v>96</v>
      </c>
      <c r="S68" s="26" t="s">
        <v>88</v>
      </c>
      <c r="T68" s="26">
        <v>5</v>
      </c>
      <c r="U68" s="27" t="s">
        <v>109</v>
      </c>
    </row>
    <row r="69" spans="18:21" x14ac:dyDescent="0.25">
      <c r="R69" s="26" t="s">
        <v>96</v>
      </c>
      <c r="S69" s="26" t="s">
        <v>89</v>
      </c>
      <c r="T69" s="26">
        <v>5</v>
      </c>
      <c r="U69" s="27" t="s">
        <v>109</v>
      </c>
    </row>
    <row r="70" spans="18:21" x14ac:dyDescent="0.25">
      <c r="R70" s="26" t="s">
        <v>96</v>
      </c>
      <c r="S70" s="26" t="s">
        <v>90</v>
      </c>
      <c r="T70" s="26">
        <v>5</v>
      </c>
      <c r="U70" s="27" t="s">
        <v>109</v>
      </c>
    </row>
    <row r="71" spans="18:21" x14ac:dyDescent="0.25">
      <c r="R71" s="26" t="s">
        <v>96</v>
      </c>
      <c r="S71" s="26" t="s">
        <v>91</v>
      </c>
      <c r="T71" s="26">
        <v>5</v>
      </c>
      <c r="U71" s="27" t="s">
        <v>109</v>
      </c>
    </row>
    <row r="72" spans="18:21" x14ac:dyDescent="0.25">
      <c r="R72" s="26" t="s">
        <v>96</v>
      </c>
      <c r="S72" s="26" t="s">
        <v>92</v>
      </c>
      <c r="T72" s="26">
        <v>5</v>
      </c>
      <c r="U72" s="27" t="s">
        <v>109</v>
      </c>
    </row>
    <row r="73" spans="18:21" x14ac:dyDescent="0.25">
      <c r="R73" s="26" t="s">
        <v>96</v>
      </c>
      <c r="S73" s="26" t="s">
        <v>93</v>
      </c>
      <c r="T73" s="26">
        <v>5</v>
      </c>
      <c r="U73" s="27" t="s">
        <v>109</v>
      </c>
    </row>
    <row r="74" spans="18:21" x14ac:dyDescent="0.25">
      <c r="R74" s="26" t="s">
        <v>97</v>
      </c>
      <c r="S74" s="26" t="s">
        <v>86</v>
      </c>
      <c r="T74" s="26">
        <v>5</v>
      </c>
      <c r="U74" s="27" t="s">
        <v>109</v>
      </c>
    </row>
    <row r="75" spans="18:21" x14ac:dyDescent="0.25">
      <c r="R75" s="26" t="s">
        <v>97</v>
      </c>
      <c r="S75" s="26" t="s">
        <v>87</v>
      </c>
      <c r="T75" s="26">
        <v>5</v>
      </c>
      <c r="U75" s="27" t="s">
        <v>109</v>
      </c>
    </row>
    <row r="76" spans="18:21" x14ac:dyDescent="0.25">
      <c r="R76" s="26" t="s">
        <v>97</v>
      </c>
      <c r="S76" s="26" t="s">
        <v>88</v>
      </c>
      <c r="T76" s="26">
        <v>5</v>
      </c>
      <c r="U76" s="27" t="s">
        <v>109</v>
      </c>
    </row>
    <row r="77" spans="18:21" x14ac:dyDescent="0.25">
      <c r="R77" s="26" t="s">
        <v>97</v>
      </c>
      <c r="S77" s="26" t="s">
        <v>89</v>
      </c>
      <c r="T77" s="26">
        <v>5</v>
      </c>
      <c r="U77" s="27" t="s">
        <v>109</v>
      </c>
    </row>
    <row r="78" spans="18:21" x14ac:dyDescent="0.25">
      <c r="R78" s="26" t="s">
        <v>97</v>
      </c>
      <c r="S78" s="26" t="s">
        <v>90</v>
      </c>
      <c r="T78" s="26">
        <v>5</v>
      </c>
      <c r="U78" s="27" t="s">
        <v>109</v>
      </c>
    </row>
    <row r="79" spans="18:21" x14ac:dyDescent="0.25">
      <c r="R79" s="26" t="s">
        <v>97</v>
      </c>
      <c r="S79" s="26" t="s">
        <v>91</v>
      </c>
      <c r="T79" s="26">
        <v>5</v>
      </c>
      <c r="U79" s="27" t="s">
        <v>109</v>
      </c>
    </row>
    <row r="80" spans="18:21" x14ac:dyDescent="0.25">
      <c r="R80" s="26" t="s">
        <v>97</v>
      </c>
      <c r="S80" s="26" t="s">
        <v>92</v>
      </c>
      <c r="T80" s="26">
        <v>5</v>
      </c>
      <c r="U80" s="27" t="s">
        <v>109</v>
      </c>
    </row>
    <row r="81" spans="18:21" x14ac:dyDescent="0.25">
      <c r="R81" s="26" t="s">
        <v>97</v>
      </c>
      <c r="S81" s="26" t="s">
        <v>93</v>
      </c>
      <c r="T81" s="26">
        <v>5</v>
      </c>
      <c r="U81" s="27" t="s">
        <v>109</v>
      </c>
    </row>
    <row r="82" spans="18:21" x14ac:dyDescent="0.25">
      <c r="R82" s="26" t="s">
        <v>85</v>
      </c>
      <c r="S82" s="26" t="s">
        <v>86</v>
      </c>
      <c r="T82" s="26">
        <v>6</v>
      </c>
      <c r="U82" s="27" t="s">
        <v>109</v>
      </c>
    </row>
    <row r="83" spans="18:21" x14ac:dyDescent="0.25">
      <c r="R83" s="26" t="s">
        <v>85</v>
      </c>
      <c r="S83" s="26" t="s">
        <v>87</v>
      </c>
      <c r="T83" s="26">
        <v>6</v>
      </c>
      <c r="U83" s="27" t="s">
        <v>109</v>
      </c>
    </row>
    <row r="84" spans="18:21" x14ac:dyDescent="0.25">
      <c r="R84" s="26" t="s">
        <v>85</v>
      </c>
      <c r="S84" s="26" t="s">
        <v>88</v>
      </c>
      <c r="T84" s="26">
        <v>6</v>
      </c>
      <c r="U84" s="27" t="s">
        <v>109</v>
      </c>
    </row>
    <row r="85" spans="18:21" x14ac:dyDescent="0.25">
      <c r="R85" s="26" t="s">
        <v>85</v>
      </c>
      <c r="S85" s="26" t="s">
        <v>89</v>
      </c>
      <c r="T85" s="26">
        <v>6</v>
      </c>
      <c r="U85" s="27" t="s">
        <v>109</v>
      </c>
    </row>
    <row r="86" spans="18:21" x14ac:dyDescent="0.25">
      <c r="R86" s="26" t="s">
        <v>85</v>
      </c>
      <c r="S86" s="26" t="s">
        <v>90</v>
      </c>
      <c r="T86" s="26">
        <v>6</v>
      </c>
      <c r="U86" s="27" t="s">
        <v>109</v>
      </c>
    </row>
    <row r="87" spans="18:21" x14ac:dyDescent="0.25">
      <c r="R87" s="26" t="s">
        <v>85</v>
      </c>
      <c r="S87" s="26" t="s">
        <v>91</v>
      </c>
      <c r="T87" s="26">
        <v>6</v>
      </c>
      <c r="U87" s="27" t="s">
        <v>109</v>
      </c>
    </row>
    <row r="88" spans="18:21" x14ac:dyDescent="0.25">
      <c r="R88" s="26" t="s">
        <v>85</v>
      </c>
      <c r="S88" s="26" t="s">
        <v>92</v>
      </c>
      <c r="T88" s="26">
        <v>6</v>
      </c>
      <c r="U88" s="27" t="s">
        <v>109</v>
      </c>
    </row>
    <row r="89" spans="18:21" x14ac:dyDescent="0.25">
      <c r="R89" s="26" t="s">
        <v>85</v>
      </c>
      <c r="S89" s="26" t="s">
        <v>93</v>
      </c>
      <c r="T89" s="26">
        <v>6</v>
      </c>
      <c r="U89" s="27" t="s">
        <v>109</v>
      </c>
    </row>
    <row r="90" spans="18:21" x14ac:dyDescent="0.25">
      <c r="R90" s="26" t="s">
        <v>94</v>
      </c>
      <c r="S90" s="26" t="s">
        <v>86</v>
      </c>
      <c r="T90" s="26">
        <v>6</v>
      </c>
      <c r="U90" s="27" t="s">
        <v>109</v>
      </c>
    </row>
    <row r="91" spans="18:21" x14ac:dyDescent="0.25">
      <c r="R91" s="26" t="s">
        <v>94</v>
      </c>
      <c r="S91" s="26" t="s">
        <v>87</v>
      </c>
      <c r="T91" s="26">
        <v>6</v>
      </c>
      <c r="U91" s="27" t="s">
        <v>109</v>
      </c>
    </row>
    <row r="92" spans="18:21" x14ac:dyDescent="0.25">
      <c r="R92" s="26" t="s">
        <v>94</v>
      </c>
      <c r="S92" s="26" t="s">
        <v>88</v>
      </c>
      <c r="T92" s="26">
        <v>6</v>
      </c>
      <c r="U92" s="27" t="s">
        <v>109</v>
      </c>
    </row>
    <row r="93" spans="18:21" x14ac:dyDescent="0.25">
      <c r="R93" s="26" t="s">
        <v>94</v>
      </c>
      <c r="S93" s="26" t="s">
        <v>89</v>
      </c>
      <c r="T93" s="26">
        <v>6</v>
      </c>
      <c r="U93" s="27" t="s">
        <v>109</v>
      </c>
    </row>
    <row r="94" spans="18:21" x14ac:dyDescent="0.25">
      <c r="R94" s="26" t="s">
        <v>94</v>
      </c>
      <c r="S94" s="26" t="s">
        <v>90</v>
      </c>
      <c r="T94" s="26">
        <v>6</v>
      </c>
      <c r="U94" s="27" t="s">
        <v>109</v>
      </c>
    </row>
    <row r="95" spans="18:21" x14ac:dyDescent="0.25">
      <c r="R95" s="26" t="s">
        <v>94</v>
      </c>
      <c r="S95" s="26" t="s">
        <v>91</v>
      </c>
      <c r="T95" s="26">
        <v>6</v>
      </c>
      <c r="U95" s="27" t="s">
        <v>109</v>
      </c>
    </row>
    <row r="96" spans="18:21" x14ac:dyDescent="0.25">
      <c r="R96" s="26" t="s">
        <v>94</v>
      </c>
      <c r="S96" s="26" t="s">
        <v>92</v>
      </c>
      <c r="T96" s="26">
        <v>6</v>
      </c>
      <c r="U96" s="27" t="s">
        <v>109</v>
      </c>
    </row>
    <row r="97" spans="18:21" x14ac:dyDescent="0.25">
      <c r="R97" s="26" t="s">
        <v>94</v>
      </c>
      <c r="S97" s="26" t="s">
        <v>93</v>
      </c>
      <c r="T97" s="26">
        <v>6</v>
      </c>
      <c r="U97" s="27" t="s">
        <v>109</v>
      </c>
    </row>
    <row r="98" spans="18:21" x14ac:dyDescent="0.25">
      <c r="R98" s="26" t="s">
        <v>95</v>
      </c>
      <c r="S98" s="26" t="s">
        <v>86</v>
      </c>
      <c r="T98" s="26">
        <v>6</v>
      </c>
      <c r="U98" s="27" t="s">
        <v>109</v>
      </c>
    </row>
    <row r="99" spans="18:21" x14ac:dyDescent="0.25">
      <c r="R99" s="26" t="s">
        <v>95</v>
      </c>
      <c r="S99" s="26" t="s">
        <v>87</v>
      </c>
      <c r="T99" s="26">
        <v>6</v>
      </c>
      <c r="U99" s="27" t="s">
        <v>109</v>
      </c>
    </row>
    <row r="100" spans="18:21" x14ac:dyDescent="0.25">
      <c r="R100" s="26" t="s">
        <v>95</v>
      </c>
      <c r="S100" s="26" t="s">
        <v>88</v>
      </c>
      <c r="T100" s="26">
        <v>6</v>
      </c>
      <c r="U100" s="27" t="s">
        <v>109</v>
      </c>
    </row>
    <row r="101" spans="18:21" x14ac:dyDescent="0.25">
      <c r="R101" s="26" t="s">
        <v>95</v>
      </c>
      <c r="S101" s="26" t="s">
        <v>89</v>
      </c>
      <c r="T101" s="26">
        <v>6</v>
      </c>
      <c r="U101" s="27" t="s">
        <v>109</v>
      </c>
    </row>
    <row r="102" spans="18:21" x14ac:dyDescent="0.25">
      <c r="R102" s="26" t="s">
        <v>95</v>
      </c>
      <c r="S102" s="26" t="s">
        <v>90</v>
      </c>
      <c r="T102" s="26">
        <v>6</v>
      </c>
      <c r="U102" s="27" t="s">
        <v>109</v>
      </c>
    </row>
    <row r="103" spans="18:21" x14ac:dyDescent="0.25">
      <c r="R103" s="26" t="s">
        <v>95</v>
      </c>
      <c r="S103" s="26" t="s">
        <v>91</v>
      </c>
      <c r="T103" s="26">
        <v>6</v>
      </c>
      <c r="U103" s="27" t="s">
        <v>109</v>
      </c>
    </row>
    <row r="104" spans="18:21" x14ac:dyDescent="0.25">
      <c r="R104" s="26" t="s">
        <v>95</v>
      </c>
      <c r="S104" s="26" t="s">
        <v>92</v>
      </c>
      <c r="T104" s="26">
        <v>6</v>
      </c>
      <c r="U104" s="27" t="s">
        <v>109</v>
      </c>
    </row>
    <row r="105" spans="18:21" x14ac:dyDescent="0.25">
      <c r="R105" s="26" t="s">
        <v>95</v>
      </c>
      <c r="S105" s="26" t="s">
        <v>93</v>
      </c>
      <c r="T105" s="26">
        <v>6</v>
      </c>
      <c r="U105" s="27" t="s">
        <v>109</v>
      </c>
    </row>
    <row r="106" spans="18:21" x14ac:dyDescent="0.25">
      <c r="R106" s="26" t="s">
        <v>96</v>
      </c>
      <c r="S106" s="26" t="s">
        <v>86</v>
      </c>
      <c r="T106" s="26">
        <v>6</v>
      </c>
      <c r="U106" s="27" t="s">
        <v>109</v>
      </c>
    </row>
    <row r="107" spans="18:21" x14ac:dyDescent="0.25">
      <c r="R107" s="26" t="s">
        <v>96</v>
      </c>
      <c r="S107" s="26" t="s">
        <v>87</v>
      </c>
      <c r="T107" s="26">
        <v>6</v>
      </c>
      <c r="U107" s="27" t="s">
        <v>109</v>
      </c>
    </row>
    <row r="108" spans="18:21" x14ac:dyDescent="0.25">
      <c r="R108" s="26" t="s">
        <v>96</v>
      </c>
      <c r="S108" s="26" t="s">
        <v>88</v>
      </c>
      <c r="T108" s="26">
        <v>6</v>
      </c>
      <c r="U108" s="27" t="s">
        <v>109</v>
      </c>
    </row>
    <row r="109" spans="18:21" x14ac:dyDescent="0.25">
      <c r="R109" s="26" t="s">
        <v>96</v>
      </c>
      <c r="S109" s="26" t="s">
        <v>89</v>
      </c>
      <c r="T109" s="26">
        <v>6</v>
      </c>
      <c r="U109" s="27" t="s">
        <v>109</v>
      </c>
    </row>
    <row r="110" spans="18:21" x14ac:dyDescent="0.25">
      <c r="R110" s="26" t="s">
        <v>96</v>
      </c>
      <c r="S110" s="26" t="s">
        <v>90</v>
      </c>
      <c r="T110" s="26">
        <v>6</v>
      </c>
      <c r="U110" s="27" t="s">
        <v>109</v>
      </c>
    </row>
    <row r="111" spans="18:21" x14ac:dyDescent="0.25">
      <c r="R111" s="26" t="s">
        <v>96</v>
      </c>
      <c r="S111" s="26" t="s">
        <v>91</v>
      </c>
      <c r="T111" s="26">
        <v>6</v>
      </c>
      <c r="U111" s="27" t="s">
        <v>109</v>
      </c>
    </row>
    <row r="112" spans="18:21" x14ac:dyDescent="0.25">
      <c r="R112" s="26" t="s">
        <v>96</v>
      </c>
      <c r="S112" s="26" t="s">
        <v>92</v>
      </c>
      <c r="T112" s="26">
        <v>6</v>
      </c>
      <c r="U112" s="27" t="s">
        <v>109</v>
      </c>
    </row>
    <row r="113" spans="18:21" x14ac:dyDescent="0.25">
      <c r="R113" s="26" t="s">
        <v>96</v>
      </c>
      <c r="S113" s="26" t="s">
        <v>93</v>
      </c>
      <c r="T113" s="26">
        <v>6</v>
      </c>
      <c r="U113" s="27" t="s">
        <v>109</v>
      </c>
    </row>
    <row r="114" spans="18:21" x14ac:dyDescent="0.25">
      <c r="R114" s="26" t="s">
        <v>97</v>
      </c>
      <c r="S114" s="26" t="s">
        <v>86</v>
      </c>
      <c r="T114" s="26">
        <v>6</v>
      </c>
      <c r="U114" s="27" t="s">
        <v>109</v>
      </c>
    </row>
    <row r="115" spans="18:21" x14ac:dyDescent="0.25">
      <c r="R115" s="26" t="s">
        <v>97</v>
      </c>
      <c r="S115" s="26" t="s">
        <v>87</v>
      </c>
      <c r="T115" s="26">
        <v>6</v>
      </c>
      <c r="U115" s="27" t="s">
        <v>109</v>
      </c>
    </row>
    <row r="116" spans="18:21" x14ac:dyDescent="0.25">
      <c r="R116" s="26" t="s">
        <v>97</v>
      </c>
      <c r="S116" s="26" t="s">
        <v>88</v>
      </c>
      <c r="T116" s="26">
        <v>6</v>
      </c>
      <c r="U116" s="27" t="s">
        <v>109</v>
      </c>
    </row>
    <row r="117" spans="18:21" x14ac:dyDescent="0.25">
      <c r="R117" s="26" t="s">
        <v>97</v>
      </c>
      <c r="S117" s="26" t="s">
        <v>89</v>
      </c>
      <c r="T117" s="26">
        <v>6</v>
      </c>
      <c r="U117" s="27" t="s">
        <v>109</v>
      </c>
    </row>
    <row r="118" spans="18:21" x14ac:dyDescent="0.25">
      <c r="R118" s="26" t="s">
        <v>97</v>
      </c>
      <c r="S118" s="26" t="s">
        <v>90</v>
      </c>
      <c r="T118" s="26">
        <v>6</v>
      </c>
      <c r="U118" s="27" t="s">
        <v>109</v>
      </c>
    </row>
    <row r="119" spans="18:21" x14ac:dyDescent="0.25">
      <c r="R119" s="26" t="s">
        <v>97</v>
      </c>
      <c r="S119" s="26" t="s">
        <v>91</v>
      </c>
      <c r="T119" s="26">
        <v>6</v>
      </c>
      <c r="U119" s="27" t="s">
        <v>109</v>
      </c>
    </row>
    <row r="120" spans="18:21" x14ac:dyDescent="0.25">
      <c r="R120" s="26" t="s">
        <v>97</v>
      </c>
      <c r="S120" s="26" t="s">
        <v>92</v>
      </c>
      <c r="T120" s="26">
        <v>6</v>
      </c>
      <c r="U120" s="27" t="s">
        <v>109</v>
      </c>
    </row>
    <row r="121" spans="18:21" x14ac:dyDescent="0.25">
      <c r="R121" s="26" t="s">
        <v>97</v>
      </c>
      <c r="S121" s="26" t="s">
        <v>93</v>
      </c>
      <c r="T121" s="26">
        <v>6</v>
      </c>
      <c r="U121" s="27" t="s">
        <v>109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109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109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109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109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109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109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109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109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109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109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109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109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109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109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109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109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109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109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109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109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109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109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109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109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109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109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109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109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109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109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109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109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109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109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109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109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109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109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109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109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109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109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109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109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109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109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109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109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109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109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109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109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109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109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109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109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109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109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109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109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109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109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109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109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109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109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109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109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109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109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109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109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109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109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109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109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109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109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109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109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109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109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109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109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109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109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109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109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109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109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109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109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109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109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109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109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109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109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109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109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109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109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109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109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109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42" spans="18:21" x14ac:dyDescent="0.25">
      <c r="R242" s="26"/>
      <c r="S242" s="26"/>
      <c r="T242" s="26"/>
    </row>
    <row r="243" spans="18:21" x14ac:dyDescent="0.25">
      <c r="R243" s="26"/>
      <c r="S243" s="26"/>
      <c r="T243" s="26"/>
    </row>
    <row r="244" spans="18:21" x14ac:dyDescent="0.25">
      <c r="R244" s="26"/>
      <c r="S244" s="26"/>
      <c r="T244" s="26"/>
    </row>
    <row r="245" spans="18:21" x14ac:dyDescent="0.25">
      <c r="R245" s="26"/>
      <c r="S245" s="26"/>
      <c r="T245" s="26"/>
    </row>
    <row r="246" spans="18:21" x14ac:dyDescent="0.25">
      <c r="R246" s="26"/>
      <c r="S246" s="26"/>
      <c r="T246" s="26"/>
    </row>
    <row r="247" spans="18:21" x14ac:dyDescent="0.25">
      <c r="R247" s="26"/>
      <c r="S247" s="26"/>
      <c r="T247" s="26"/>
    </row>
    <row r="248" spans="18:21" x14ac:dyDescent="0.25">
      <c r="R248" s="26"/>
      <c r="S248" s="26"/>
      <c r="T248" s="26"/>
    </row>
    <row r="249" spans="18:21" x14ac:dyDescent="0.25">
      <c r="R249" s="26"/>
      <c r="S249" s="26"/>
      <c r="T249" s="26"/>
    </row>
    <row r="250" spans="18:21" x14ac:dyDescent="0.25">
      <c r="R250" s="26"/>
      <c r="S250" s="26"/>
      <c r="T250" s="26"/>
    </row>
    <row r="251" spans="18:21" x14ac:dyDescent="0.25">
      <c r="R251" s="26"/>
      <c r="S251" s="26"/>
      <c r="T251" s="26"/>
    </row>
    <row r="252" spans="18:21" x14ac:dyDescent="0.25">
      <c r="R252" s="26"/>
      <c r="S252" s="26"/>
      <c r="T252" s="26"/>
    </row>
    <row r="253" spans="18:21" x14ac:dyDescent="0.25">
      <c r="R253" s="26"/>
      <c r="S253" s="26"/>
      <c r="T253" s="26"/>
    </row>
    <row r="254" spans="18:21" x14ac:dyDescent="0.25">
      <c r="R254" s="26"/>
      <c r="S254" s="26"/>
      <c r="T254" s="26"/>
    </row>
    <row r="255" spans="18:21" x14ac:dyDescent="0.25">
      <c r="R255" s="26"/>
      <c r="S255" s="26"/>
      <c r="T255" s="26"/>
    </row>
    <row r="256" spans="18:21" x14ac:dyDescent="0.25">
      <c r="R256" s="26"/>
      <c r="S256" s="26"/>
      <c r="T256" s="26"/>
    </row>
    <row r="257" spans="18:20" x14ac:dyDescent="0.25">
      <c r="R257" s="26"/>
      <c r="S257" s="26"/>
      <c r="T257" s="26"/>
    </row>
    <row r="258" spans="18:20" x14ac:dyDescent="0.25">
      <c r="R258" s="26"/>
      <c r="S258" s="26"/>
      <c r="T258" s="26"/>
    </row>
    <row r="259" spans="18:20" x14ac:dyDescent="0.25">
      <c r="R259" s="26"/>
      <c r="S259" s="26"/>
      <c r="T259" s="26"/>
    </row>
    <row r="260" spans="18:20" x14ac:dyDescent="0.25">
      <c r="R260" s="26"/>
      <c r="S260" s="26"/>
      <c r="T260" s="26"/>
    </row>
    <row r="261" spans="18:20" x14ac:dyDescent="0.25">
      <c r="R261" s="26"/>
      <c r="S261" s="26"/>
      <c r="T261" s="26"/>
    </row>
    <row r="262" spans="18:20" x14ac:dyDescent="0.25">
      <c r="R262" s="26"/>
      <c r="S262" s="26"/>
      <c r="T262" s="26"/>
    </row>
    <row r="263" spans="18:20" x14ac:dyDescent="0.25">
      <c r="R263" s="26"/>
      <c r="S263" s="26"/>
      <c r="T263" s="26"/>
    </row>
    <row r="264" spans="18:20" x14ac:dyDescent="0.25">
      <c r="R264" s="26"/>
      <c r="S264" s="26"/>
      <c r="T264" s="26"/>
    </row>
    <row r="265" spans="18:20" x14ac:dyDescent="0.25">
      <c r="R265" s="26"/>
      <c r="S265" s="26"/>
      <c r="T265" s="26"/>
    </row>
    <row r="266" spans="18:20" x14ac:dyDescent="0.25">
      <c r="R266" s="26"/>
      <c r="S266" s="26"/>
      <c r="T266" s="26"/>
    </row>
    <row r="267" spans="18:20" x14ac:dyDescent="0.25">
      <c r="R267" s="26"/>
      <c r="S267" s="26"/>
      <c r="T267" s="26"/>
    </row>
    <row r="268" spans="18:20" x14ac:dyDescent="0.25">
      <c r="R268" s="26"/>
      <c r="S268" s="26"/>
      <c r="T268" s="26"/>
    </row>
    <row r="269" spans="18:20" x14ac:dyDescent="0.25">
      <c r="R269" s="26"/>
      <c r="S269" s="26"/>
      <c r="T269" s="26"/>
    </row>
    <row r="270" spans="18:20" x14ac:dyDescent="0.25">
      <c r="R270" s="26"/>
      <c r="S270" s="26"/>
      <c r="T270" s="26"/>
    </row>
    <row r="271" spans="18:20" x14ac:dyDescent="0.25">
      <c r="R271" s="26"/>
      <c r="S271" s="26"/>
      <c r="T271" s="26"/>
    </row>
    <row r="272" spans="18:20" x14ac:dyDescent="0.25">
      <c r="R272" s="26"/>
      <c r="S272" s="26"/>
      <c r="T272" s="26"/>
    </row>
    <row r="273" spans="18:20" x14ac:dyDescent="0.25">
      <c r="R273" s="26"/>
      <c r="S273" s="26"/>
      <c r="T273" s="26"/>
    </row>
    <row r="274" spans="18:20" x14ac:dyDescent="0.25">
      <c r="R274" s="26"/>
      <c r="S274" s="26"/>
      <c r="T274" s="26"/>
    </row>
    <row r="275" spans="18:20" x14ac:dyDescent="0.25">
      <c r="R275" s="26"/>
      <c r="S275" s="26"/>
      <c r="T275" s="26"/>
    </row>
    <row r="276" spans="18:20" x14ac:dyDescent="0.25">
      <c r="R276" s="26"/>
      <c r="S276" s="26"/>
      <c r="T276" s="26"/>
    </row>
    <row r="277" spans="18:20" x14ac:dyDescent="0.25">
      <c r="R277" s="26"/>
      <c r="S277" s="26"/>
      <c r="T277" s="26"/>
    </row>
    <row r="278" spans="18:20" x14ac:dyDescent="0.25">
      <c r="R278" s="26"/>
      <c r="S278" s="26"/>
      <c r="T278" s="26"/>
    </row>
    <row r="279" spans="18:20" x14ac:dyDescent="0.25">
      <c r="R279" s="26"/>
      <c r="S279" s="26"/>
      <c r="T279" s="26"/>
    </row>
    <row r="280" spans="18:20" x14ac:dyDescent="0.25">
      <c r="R280" s="26"/>
      <c r="S280" s="26"/>
      <c r="T280" s="26"/>
    </row>
    <row r="281" spans="18:20" x14ac:dyDescent="0.25">
      <c r="R281" s="26"/>
      <c r="S281" s="26"/>
      <c r="T281" s="26"/>
    </row>
    <row r="282" spans="18:20" x14ac:dyDescent="0.25">
      <c r="R282" s="26"/>
      <c r="S282" s="26"/>
      <c r="T282" s="26"/>
    </row>
    <row r="283" spans="18:20" x14ac:dyDescent="0.25">
      <c r="R283" s="26"/>
      <c r="S283" s="26"/>
      <c r="T283" s="26"/>
    </row>
    <row r="284" spans="18:20" x14ac:dyDescent="0.25">
      <c r="R284" s="26"/>
      <c r="S284" s="26"/>
      <c r="T284" s="26"/>
    </row>
    <row r="285" spans="18:20" x14ac:dyDescent="0.25">
      <c r="R285" s="26"/>
      <c r="S285" s="26"/>
      <c r="T285" s="26"/>
    </row>
    <row r="286" spans="18:20" x14ac:dyDescent="0.25">
      <c r="R286" s="26"/>
      <c r="S286" s="26"/>
      <c r="T286" s="26"/>
    </row>
    <row r="287" spans="18:20" x14ac:dyDescent="0.25">
      <c r="R287" s="26"/>
      <c r="S287" s="26"/>
      <c r="T287" s="26"/>
    </row>
    <row r="288" spans="18:20" x14ac:dyDescent="0.25">
      <c r="R288" s="26"/>
      <c r="S288" s="26"/>
      <c r="T288" s="26"/>
    </row>
    <row r="289" spans="18:20" x14ac:dyDescent="0.25">
      <c r="R289" s="26"/>
      <c r="S289" s="26"/>
      <c r="T289" s="26"/>
    </row>
    <row r="290" spans="18:20" x14ac:dyDescent="0.25">
      <c r="R290" s="26"/>
      <c r="S290" s="26"/>
      <c r="T290" s="26"/>
    </row>
    <row r="291" spans="18:20" x14ac:dyDescent="0.25">
      <c r="R291" s="26"/>
      <c r="S291" s="26"/>
      <c r="T291" s="26"/>
    </row>
    <row r="292" spans="18:20" x14ac:dyDescent="0.25">
      <c r="R292" s="26"/>
      <c r="S292" s="26"/>
      <c r="T292" s="26"/>
    </row>
    <row r="293" spans="18:20" x14ac:dyDescent="0.25">
      <c r="R293" s="26"/>
      <c r="S293" s="26"/>
      <c r="T293" s="26"/>
    </row>
    <row r="294" spans="18:20" x14ac:dyDescent="0.25">
      <c r="R294" s="26"/>
      <c r="S294" s="26"/>
      <c r="T294" s="26"/>
    </row>
    <row r="295" spans="18:20" x14ac:dyDescent="0.25">
      <c r="R295" s="26"/>
      <c r="S295" s="26"/>
      <c r="T295" s="26"/>
    </row>
    <row r="296" spans="18:20" x14ac:dyDescent="0.25">
      <c r="R296" s="26"/>
      <c r="S296" s="26"/>
      <c r="T296" s="26"/>
    </row>
    <row r="297" spans="18:20" x14ac:dyDescent="0.25">
      <c r="R297" s="26"/>
      <c r="S297" s="26"/>
      <c r="T297" s="26"/>
    </row>
    <row r="298" spans="18:20" x14ac:dyDescent="0.25">
      <c r="R298" s="26"/>
      <c r="S298" s="26"/>
      <c r="T298" s="26"/>
    </row>
    <row r="299" spans="18:20" x14ac:dyDescent="0.25">
      <c r="R299" s="26"/>
      <c r="S299" s="26"/>
      <c r="T299" s="26"/>
    </row>
    <row r="300" spans="18:20" x14ac:dyDescent="0.25">
      <c r="R300" s="26"/>
      <c r="S300" s="26"/>
      <c r="T300" s="26"/>
    </row>
    <row r="301" spans="18:20" x14ac:dyDescent="0.25">
      <c r="R301" s="26"/>
      <c r="S301" s="26"/>
      <c r="T301" s="26"/>
    </row>
    <row r="302" spans="18:20" x14ac:dyDescent="0.25">
      <c r="R302" s="26"/>
      <c r="S302" s="26"/>
      <c r="T302" s="26"/>
    </row>
    <row r="303" spans="18:20" x14ac:dyDescent="0.25">
      <c r="R303" s="26"/>
      <c r="S303" s="26"/>
      <c r="T303" s="26"/>
    </row>
    <row r="304" spans="18:20" x14ac:dyDescent="0.25">
      <c r="R304" s="26"/>
      <c r="S304" s="26"/>
      <c r="T304" s="26"/>
    </row>
    <row r="305" spans="18:20" x14ac:dyDescent="0.25">
      <c r="R305" s="26"/>
      <c r="S305" s="26"/>
      <c r="T305" s="26"/>
    </row>
    <row r="306" spans="18:20" x14ac:dyDescent="0.25">
      <c r="R306" s="26"/>
      <c r="S306" s="26"/>
      <c r="T306" s="26"/>
    </row>
    <row r="307" spans="18:20" x14ac:dyDescent="0.25">
      <c r="R307" s="26"/>
      <c r="S307" s="26"/>
      <c r="T307" s="26"/>
    </row>
    <row r="308" spans="18:20" x14ac:dyDescent="0.25">
      <c r="R308" s="26"/>
      <c r="S308" s="26"/>
      <c r="T308" s="26"/>
    </row>
    <row r="309" spans="18:20" x14ac:dyDescent="0.25">
      <c r="R309" s="26"/>
      <c r="S309" s="26"/>
      <c r="T309" s="26"/>
    </row>
    <row r="310" spans="18:20" x14ac:dyDescent="0.25">
      <c r="R310" s="26"/>
      <c r="S310" s="26"/>
      <c r="T310" s="26"/>
    </row>
    <row r="311" spans="18:20" x14ac:dyDescent="0.25">
      <c r="R311" s="26"/>
      <c r="S311" s="26"/>
      <c r="T311" s="26"/>
    </row>
    <row r="312" spans="18:20" x14ac:dyDescent="0.25">
      <c r="R312" s="26"/>
      <c r="S312" s="26"/>
      <c r="T312" s="26"/>
    </row>
    <row r="313" spans="18:20" x14ac:dyDescent="0.25">
      <c r="R313" s="26"/>
      <c r="S313" s="26"/>
      <c r="T313" s="26"/>
    </row>
    <row r="314" spans="18:20" x14ac:dyDescent="0.25">
      <c r="R314" s="26"/>
      <c r="S314" s="26"/>
      <c r="T314" s="26"/>
    </row>
    <row r="315" spans="18:20" x14ac:dyDescent="0.25">
      <c r="R315" s="26"/>
      <c r="S315" s="26"/>
      <c r="T315" s="26"/>
    </row>
    <row r="316" spans="18:20" x14ac:dyDescent="0.25">
      <c r="R316" s="26"/>
      <c r="S316" s="26"/>
      <c r="T316" s="26"/>
    </row>
    <row r="317" spans="18:20" x14ac:dyDescent="0.25">
      <c r="R317" s="26"/>
      <c r="S317" s="26"/>
      <c r="T317" s="26"/>
    </row>
    <row r="318" spans="18:20" x14ac:dyDescent="0.25">
      <c r="R318" s="26"/>
      <c r="S318" s="26"/>
      <c r="T318" s="26"/>
    </row>
    <row r="319" spans="18:20" x14ac:dyDescent="0.25">
      <c r="R319" s="26"/>
      <c r="S319" s="26"/>
      <c r="T319" s="26"/>
    </row>
    <row r="320" spans="18:20" x14ac:dyDescent="0.25">
      <c r="R320" s="26"/>
      <c r="S320" s="26"/>
      <c r="T320" s="26"/>
    </row>
    <row r="321" spans="18:20" x14ac:dyDescent="0.25">
      <c r="R321" s="26"/>
      <c r="S321" s="26"/>
      <c r="T321" s="26"/>
    </row>
    <row r="322" spans="18:20" x14ac:dyDescent="0.25">
      <c r="R322" s="26"/>
      <c r="S322" s="26"/>
      <c r="T322" s="26"/>
    </row>
    <row r="323" spans="18:20" x14ac:dyDescent="0.25">
      <c r="R323" s="26"/>
      <c r="S323" s="26"/>
      <c r="T323" s="26"/>
    </row>
    <row r="324" spans="18:20" x14ac:dyDescent="0.25">
      <c r="R324" s="26"/>
      <c r="S324" s="26"/>
      <c r="T324" s="26"/>
    </row>
    <row r="325" spans="18:20" x14ac:dyDescent="0.25">
      <c r="R325" s="26"/>
      <c r="S325" s="26"/>
      <c r="T325" s="26"/>
    </row>
    <row r="326" spans="18:20" x14ac:dyDescent="0.25">
      <c r="R326" s="26"/>
      <c r="S326" s="26"/>
      <c r="T326" s="26"/>
    </row>
    <row r="327" spans="18:20" x14ac:dyDescent="0.25">
      <c r="R327" s="26"/>
      <c r="S327" s="26"/>
      <c r="T327" s="26"/>
    </row>
    <row r="328" spans="18:20" x14ac:dyDescent="0.25">
      <c r="R328" s="26"/>
      <c r="S328" s="26"/>
      <c r="T328" s="26"/>
    </row>
    <row r="329" spans="18:20" x14ac:dyDescent="0.25">
      <c r="R329" s="26"/>
      <c r="S329" s="26"/>
      <c r="T329" s="26"/>
    </row>
    <row r="330" spans="18:20" x14ac:dyDescent="0.25">
      <c r="R330" s="26"/>
      <c r="S330" s="26"/>
      <c r="T330" s="26"/>
    </row>
    <row r="331" spans="18:20" x14ac:dyDescent="0.25">
      <c r="R331" s="26"/>
      <c r="S331" s="26"/>
      <c r="T331" s="26"/>
    </row>
    <row r="332" spans="18:20" x14ac:dyDescent="0.25">
      <c r="R332" s="26"/>
      <c r="S332" s="26"/>
      <c r="T332" s="26"/>
    </row>
    <row r="333" spans="18:20" x14ac:dyDescent="0.25">
      <c r="R333" s="26"/>
      <c r="S333" s="26"/>
      <c r="T333" s="26"/>
    </row>
    <row r="334" spans="18:20" x14ac:dyDescent="0.25">
      <c r="R334" s="26"/>
      <c r="S334" s="26"/>
      <c r="T334" s="26"/>
    </row>
    <row r="335" spans="18:20" x14ac:dyDescent="0.25">
      <c r="R335" s="26"/>
      <c r="S335" s="26"/>
      <c r="T335" s="26"/>
    </row>
    <row r="336" spans="18:20" x14ac:dyDescent="0.25">
      <c r="R336" s="26"/>
      <c r="S336" s="26"/>
      <c r="T336" s="26"/>
    </row>
    <row r="337" spans="18:20" x14ac:dyDescent="0.25">
      <c r="R337" s="26"/>
      <c r="S337" s="26"/>
      <c r="T337" s="26"/>
    </row>
    <row r="338" spans="18:20" x14ac:dyDescent="0.25">
      <c r="R338" s="26"/>
      <c r="S338" s="26"/>
      <c r="T338" s="26"/>
    </row>
    <row r="339" spans="18:20" x14ac:dyDescent="0.25">
      <c r="R339" s="26"/>
      <c r="S339" s="26"/>
      <c r="T339" s="26"/>
    </row>
    <row r="340" spans="18:20" x14ac:dyDescent="0.25">
      <c r="R340" s="26"/>
      <c r="S340" s="26"/>
      <c r="T340" s="26"/>
    </row>
    <row r="341" spans="18:20" x14ac:dyDescent="0.25">
      <c r="R341" s="26"/>
      <c r="S341" s="26"/>
      <c r="T341" s="26"/>
    </row>
    <row r="342" spans="18:20" x14ac:dyDescent="0.25">
      <c r="R342" s="26"/>
      <c r="S342" s="26"/>
      <c r="T342" s="26"/>
    </row>
    <row r="343" spans="18:20" x14ac:dyDescent="0.25">
      <c r="R343" s="26"/>
      <c r="S343" s="26"/>
      <c r="T343" s="26"/>
    </row>
    <row r="344" spans="18:20" x14ac:dyDescent="0.25">
      <c r="R344" s="26"/>
      <c r="S344" s="26"/>
      <c r="T344" s="26"/>
    </row>
    <row r="345" spans="18:20" x14ac:dyDescent="0.25">
      <c r="R345" s="26"/>
      <c r="S345" s="26"/>
      <c r="T345" s="26"/>
    </row>
    <row r="346" spans="18:20" x14ac:dyDescent="0.25">
      <c r="R346" s="26"/>
      <c r="S346" s="26"/>
      <c r="T346" s="26"/>
    </row>
    <row r="347" spans="18:20" x14ac:dyDescent="0.25">
      <c r="R347" s="26"/>
      <c r="S347" s="26"/>
      <c r="T347" s="26"/>
    </row>
    <row r="348" spans="18:20" x14ac:dyDescent="0.25">
      <c r="R348" s="26"/>
      <c r="S348" s="26"/>
      <c r="T348" s="26"/>
    </row>
    <row r="349" spans="18:20" x14ac:dyDescent="0.25">
      <c r="R349" s="26"/>
      <c r="S349" s="26"/>
      <c r="T349" s="26"/>
    </row>
    <row r="350" spans="18:20" x14ac:dyDescent="0.25">
      <c r="R350" s="26"/>
      <c r="S350" s="26"/>
      <c r="T350" s="26"/>
    </row>
    <row r="351" spans="18:20" x14ac:dyDescent="0.25">
      <c r="R351" s="26"/>
      <c r="S351" s="26"/>
      <c r="T351" s="26"/>
    </row>
    <row r="352" spans="18:20" x14ac:dyDescent="0.25">
      <c r="R352" s="26"/>
      <c r="S352" s="26"/>
      <c r="T352" s="26"/>
    </row>
    <row r="353" spans="18:20" x14ac:dyDescent="0.25">
      <c r="R353" s="26"/>
      <c r="S353" s="26"/>
      <c r="T353" s="26"/>
    </row>
    <row r="354" spans="18:20" x14ac:dyDescent="0.25">
      <c r="R354" s="26"/>
      <c r="S354" s="26"/>
      <c r="T354" s="26"/>
    </row>
    <row r="355" spans="18:20" x14ac:dyDescent="0.25">
      <c r="R355" s="26"/>
      <c r="S355" s="26"/>
      <c r="T355" s="26"/>
    </row>
    <row r="356" spans="18:20" x14ac:dyDescent="0.25">
      <c r="R356" s="26"/>
      <c r="S356" s="26"/>
      <c r="T356" s="26"/>
    </row>
    <row r="357" spans="18:20" x14ac:dyDescent="0.25">
      <c r="R357" s="26"/>
      <c r="S357" s="26"/>
      <c r="T357" s="26"/>
    </row>
    <row r="358" spans="18:20" x14ac:dyDescent="0.25">
      <c r="R358" s="26"/>
      <c r="S358" s="26"/>
      <c r="T358" s="26"/>
    </row>
    <row r="359" spans="18:20" x14ac:dyDescent="0.25">
      <c r="R359" s="26"/>
      <c r="S359" s="26"/>
      <c r="T359" s="26"/>
    </row>
    <row r="360" spans="18:20" x14ac:dyDescent="0.25">
      <c r="R360" s="26"/>
      <c r="S360" s="26"/>
      <c r="T360" s="26"/>
    </row>
    <row r="361" spans="18:20" x14ac:dyDescent="0.25">
      <c r="R361" s="26"/>
      <c r="S361" s="26"/>
      <c r="T361" s="26"/>
    </row>
    <row r="362" spans="18:20" x14ac:dyDescent="0.25">
      <c r="R362" s="26"/>
      <c r="S362" s="26"/>
      <c r="T362" s="26"/>
    </row>
    <row r="363" spans="18:20" x14ac:dyDescent="0.25">
      <c r="R363" s="26"/>
      <c r="S363" s="26"/>
      <c r="T363" s="26"/>
    </row>
    <row r="364" spans="18:20" x14ac:dyDescent="0.25">
      <c r="R364" s="26"/>
      <c r="S364" s="26"/>
      <c r="T364" s="26"/>
    </row>
    <row r="365" spans="18:20" x14ac:dyDescent="0.25">
      <c r="R365" s="26"/>
      <c r="S365" s="26"/>
      <c r="T365" s="26"/>
    </row>
    <row r="366" spans="18:20" x14ac:dyDescent="0.25">
      <c r="R366" s="26"/>
      <c r="S366" s="26"/>
      <c r="T366" s="26"/>
    </row>
    <row r="367" spans="18:20" x14ac:dyDescent="0.25">
      <c r="R367" s="26"/>
      <c r="S367" s="26"/>
      <c r="T367" s="26"/>
    </row>
    <row r="368" spans="18:20" x14ac:dyDescent="0.25">
      <c r="R368" s="26"/>
      <c r="S368" s="26"/>
      <c r="T368" s="26"/>
    </row>
    <row r="369" spans="18:20" x14ac:dyDescent="0.25">
      <c r="R369" s="26"/>
      <c r="S369" s="26"/>
      <c r="T369" s="26"/>
    </row>
    <row r="370" spans="18:20" x14ac:dyDescent="0.25">
      <c r="R370" s="26"/>
      <c r="S370" s="26"/>
      <c r="T370" s="26"/>
    </row>
    <row r="371" spans="18:20" x14ac:dyDescent="0.25">
      <c r="R371" s="26"/>
      <c r="S371" s="26"/>
      <c r="T371" s="26"/>
    </row>
    <row r="372" spans="18:20" x14ac:dyDescent="0.25">
      <c r="R372" s="26"/>
      <c r="S372" s="26"/>
      <c r="T372" s="26"/>
    </row>
    <row r="373" spans="18:20" x14ac:dyDescent="0.25">
      <c r="R373" s="26"/>
      <c r="S373" s="26"/>
      <c r="T373" s="26"/>
    </row>
    <row r="374" spans="18:20" x14ac:dyDescent="0.25">
      <c r="R374" s="26"/>
      <c r="S374" s="26"/>
      <c r="T374" s="26"/>
    </row>
    <row r="375" spans="18:20" x14ac:dyDescent="0.25">
      <c r="R375" s="26"/>
      <c r="S375" s="26"/>
      <c r="T375" s="26"/>
    </row>
    <row r="376" spans="18:20" x14ac:dyDescent="0.25">
      <c r="R376" s="26"/>
      <c r="S376" s="26"/>
      <c r="T376" s="26"/>
    </row>
    <row r="377" spans="18:20" x14ac:dyDescent="0.25">
      <c r="R377" s="26"/>
      <c r="S377" s="26"/>
      <c r="T377" s="26"/>
    </row>
    <row r="378" spans="18:20" x14ac:dyDescent="0.25">
      <c r="R378" s="26"/>
      <c r="S378" s="26"/>
      <c r="T378" s="26"/>
    </row>
    <row r="379" spans="18:20" x14ac:dyDescent="0.25">
      <c r="R379" s="26"/>
      <c r="S379" s="26"/>
      <c r="T379" s="26"/>
    </row>
    <row r="380" spans="18:20" x14ac:dyDescent="0.25">
      <c r="R380" s="26"/>
      <c r="S380" s="26"/>
      <c r="T380" s="26"/>
    </row>
    <row r="381" spans="18:20" x14ac:dyDescent="0.25">
      <c r="R381" s="26"/>
      <c r="S381" s="26"/>
      <c r="T381" s="26"/>
    </row>
    <row r="382" spans="18:20" x14ac:dyDescent="0.25">
      <c r="R382" s="26"/>
      <c r="S382" s="26"/>
      <c r="T382" s="26"/>
    </row>
    <row r="383" spans="18:20" x14ac:dyDescent="0.25">
      <c r="R383" s="26"/>
      <c r="S383" s="26"/>
      <c r="T383" s="26"/>
    </row>
    <row r="384" spans="18:20" x14ac:dyDescent="0.25">
      <c r="R384" s="26"/>
      <c r="S384" s="26"/>
      <c r="T384" s="26"/>
    </row>
    <row r="385" spans="18:20" x14ac:dyDescent="0.25">
      <c r="R385" s="26"/>
      <c r="S385" s="26"/>
      <c r="T385" s="26"/>
    </row>
    <row r="386" spans="18:20" x14ac:dyDescent="0.25">
      <c r="R386" s="26"/>
      <c r="S386" s="26"/>
      <c r="T386" s="26"/>
    </row>
    <row r="387" spans="18:20" x14ac:dyDescent="0.25">
      <c r="R387" s="26"/>
      <c r="S387" s="26"/>
      <c r="T387" s="26"/>
    </row>
    <row r="388" spans="18:20" x14ac:dyDescent="0.25">
      <c r="R388" s="26"/>
      <c r="S388" s="26"/>
      <c r="T388" s="26"/>
    </row>
    <row r="389" spans="18:20" x14ac:dyDescent="0.25">
      <c r="R389" s="26"/>
      <c r="S389" s="26"/>
      <c r="T389" s="26"/>
    </row>
    <row r="390" spans="18:20" x14ac:dyDescent="0.25">
      <c r="R390" s="26"/>
      <c r="S390" s="26"/>
      <c r="T390" s="26"/>
    </row>
    <row r="391" spans="18:20" x14ac:dyDescent="0.25">
      <c r="R391" s="26"/>
      <c r="S391" s="26"/>
      <c r="T391" s="26"/>
    </row>
    <row r="392" spans="18:20" x14ac:dyDescent="0.25">
      <c r="R392" s="26"/>
      <c r="S392" s="26"/>
      <c r="T392" s="26"/>
    </row>
    <row r="393" spans="18:20" x14ac:dyDescent="0.25">
      <c r="R393" s="26"/>
      <c r="S393" s="26"/>
      <c r="T393" s="26"/>
    </row>
    <row r="394" spans="18:20" x14ac:dyDescent="0.25">
      <c r="R394" s="26"/>
      <c r="S394" s="26"/>
      <c r="T394" s="26"/>
    </row>
    <row r="395" spans="18:20" x14ac:dyDescent="0.25">
      <c r="R395" s="26"/>
      <c r="S395" s="26"/>
      <c r="T395" s="26"/>
    </row>
    <row r="396" spans="18:20" x14ac:dyDescent="0.25">
      <c r="R396" s="26"/>
      <c r="S396" s="26"/>
      <c r="T396" s="26"/>
    </row>
    <row r="397" spans="18:20" x14ac:dyDescent="0.25">
      <c r="R397" s="26"/>
      <c r="S397" s="26"/>
      <c r="T397" s="26"/>
    </row>
    <row r="398" spans="18:20" x14ac:dyDescent="0.25">
      <c r="R398" s="26"/>
      <c r="S398" s="26"/>
      <c r="T398" s="26"/>
    </row>
    <row r="399" spans="18:20" x14ac:dyDescent="0.25">
      <c r="R399" s="26"/>
      <c r="S399" s="26"/>
      <c r="T399" s="26"/>
    </row>
    <row r="400" spans="18:20" x14ac:dyDescent="0.25">
      <c r="R400" s="26"/>
      <c r="S400" s="26"/>
      <c r="T400" s="26"/>
    </row>
    <row r="401" spans="18:20" x14ac:dyDescent="0.25">
      <c r="R401" s="26"/>
      <c r="S401" s="26"/>
      <c r="T401" s="26"/>
    </row>
    <row r="402" spans="18:20" x14ac:dyDescent="0.25">
      <c r="R402" s="26"/>
      <c r="S402" s="26"/>
      <c r="T402" s="26"/>
    </row>
    <row r="403" spans="18:20" x14ac:dyDescent="0.25">
      <c r="R403" s="26"/>
      <c r="S403" s="26"/>
      <c r="T403" s="26"/>
    </row>
    <row r="404" spans="18:20" x14ac:dyDescent="0.25">
      <c r="R404" s="26"/>
      <c r="S404" s="26"/>
      <c r="T404" s="26"/>
    </row>
    <row r="405" spans="18:20" x14ac:dyDescent="0.25">
      <c r="R405" s="26"/>
      <c r="S405" s="26"/>
      <c r="T405" s="26"/>
    </row>
    <row r="406" spans="18:20" x14ac:dyDescent="0.25">
      <c r="R406" s="26"/>
      <c r="S406" s="26"/>
      <c r="T406" s="26"/>
    </row>
    <row r="407" spans="18:20" x14ac:dyDescent="0.25">
      <c r="R407" s="26"/>
      <c r="S407" s="26"/>
      <c r="T407" s="26"/>
    </row>
    <row r="408" spans="18:20" x14ac:dyDescent="0.25">
      <c r="R408" s="26"/>
      <c r="S408" s="26"/>
      <c r="T408" s="26"/>
    </row>
    <row r="409" spans="18:20" x14ac:dyDescent="0.25">
      <c r="R409" s="26"/>
      <c r="S409" s="26"/>
      <c r="T409" s="26"/>
    </row>
    <row r="410" spans="18:20" x14ac:dyDescent="0.25">
      <c r="R410" s="26"/>
      <c r="S410" s="26"/>
      <c r="T410" s="26"/>
    </row>
    <row r="411" spans="18:20" x14ac:dyDescent="0.25">
      <c r="R411" s="26"/>
      <c r="S411" s="26"/>
      <c r="T411" s="26"/>
    </row>
    <row r="412" spans="18:20" x14ac:dyDescent="0.25">
      <c r="R412" s="26"/>
      <c r="S412" s="26"/>
      <c r="T412" s="26"/>
    </row>
    <row r="413" spans="18:20" x14ac:dyDescent="0.25">
      <c r="R413" s="26"/>
      <c r="S413" s="26"/>
      <c r="T413" s="26"/>
    </row>
    <row r="414" spans="18:20" x14ac:dyDescent="0.25">
      <c r="R414" s="26"/>
      <c r="S414" s="26"/>
      <c r="T414" s="26"/>
    </row>
    <row r="415" spans="18:20" x14ac:dyDescent="0.25">
      <c r="R415" s="26"/>
      <c r="S415" s="26"/>
      <c r="T415" s="26"/>
    </row>
    <row r="416" spans="18:20" x14ac:dyDescent="0.25">
      <c r="R416" s="26"/>
      <c r="S416" s="26"/>
      <c r="T416" s="26"/>
    </row>
    <row r="417" spans="18:20" x14ac:dyDescent="0.25">
      <c r="R417" s="26"/>
      <c r="S417" s="26"/>
      <c r="T417" s="26"/>
    </row>
    <row r="418" spans="18:20" x14ac:dyDescent="0.25">
      <c r="R418" s="26"/>
      <c r="S418" s="26"/>
      <c r="T418" s="26"/>
    </row>
    <row r="419" spans="18:20" x14ac:dyDescent="0.25">
      <c r="R419" s="26"/>
      <c r="S419" s="26"/>
      <c r="T419" s="26"/>
    </row>
    <row r="420" spans="18:20" x14ac:dyDescent="0.25">
      <c r="R420" s="26"/>
      <c r="S420" s="26"/>
      <c r="T420" s="26"/>
    </row>
    <row r="421" spans="18:20" x14ac:dyDescent="0.25">
      <c r="R421" s="26"/>
      <c r="S421" s="26"/>
      <c r="T421" s="26"/>
    </row>
    <row r="422" spans="18:20" x14ac:dyDescent="0.25">
      <c r="R422" s="26"/>
      <c r="S422" s="26"/>
      <c r="T422" s="26"/>
    </row>
    <row r="423" spans="18:20" x14ac:dyDescent="0.25">
      <c r="R423" s="26"/>
      <c r="S423" s="26"/>
      <c r="T423" s="26"/>
    </row>
    <row r="424" spans="18:20" x14ac:dyDescent="0.25">
      <c r="R424" s="26"/>
      <c r="S424" s="26"/>
      <c r="T424" s="26"/>
    </row>
    <row r="425" spans="18:20" x14ac:dyDescent="0.25">
      <c r="R425" s="26"/>
      <c r="S425" s="26"/>
      <c r="T425" s="26"/>
    </row>
    <row r="426" spans="18:20" x14ac:dyDescent="0.25">
      <c r="R426" s="26"/>
      <c r="S426" s="26"/>
      <c r="T426" s="26"/>
    </row>
    <row r="427" spans="18:20" x14ac:dyDescent="0.25">
      <c r="R427" s="26"/>
      <c r="S427" s="26"/>
      <c r="T427" s="26"/>
    </row>
    <row r="428" spans="18:20" x14ac:dyDescent="0.25">
      <c r="R428" s="26"/>
      <c r="S428" s="26"/>
      <c r="T428" s="26"/>
    </row>
    <row r="429" spans="18:20" x14ac:dyDescent="0.25">
      <c r="R429" s="26"/>
      <c r="S429" s="26"/>
      <c r="T429" s="26"/>
    </row>
    <row r="430" spans="18:20" x14ac:dyDescent="0.25">
      <c r="R430" s="26"/>
      <c r="S430" s="26"/>
      <c r="T430" s="26"/>
    </row>
    <row r="431" spans="18:20" x14ac:dyDescent="0.25">
      <c r="R431" s="26"/>
      <c r="S431" s="26"/>
      <c r="T431" s="26"/>
    </row>
    <row r="432" spans="18:20" x14ac:dyDescent="0.25">
      <c r="R432" s="26"/>
      <c r="S432" s="26"/>
      <c r="T432" s="26"/>
    </row>
    <row r="433" spans="18:20" x14ac:dyDescent="0.25">
      <c r="R433" s="26"/>
      <c r="S433" s="26"/>
      <c r="T433" s="26"/>
    </row>
    <row r="434" spans="18:20" x14ac:dyDescent="0.25">
      <c r="R434" s="26"/>
      <c r="S434" s="26"/>
      <c r="T434" s="26"/>
    </row>
    <row r="435" spans="18:20" x14ac:dyDescent="0.25">
      <c r="R435" s="26"/>
      <c r="S435" s="26"/>
      <c r="T435" s="26"/>
    </row>
    <row r="436" spans="18:20" x14ac:dyDescent="0.25">
      <c r="R436" s="26"/>
      <c r="S436" s="26"/>
      <c r="T436" s="26"/>
    </row>
    <row r="437" spans="18:20" x14ac:dyDescent="0.25">
      <c r="R437" s="26"/>
      <c r="S437" s="26"/>
      <c r="T437" s="26"/>
    </row>
    <row r="438" spans="18:20" x14ac:dyDescent="0.25">
      <c r="R438" s="26"/>
      <c r="S438" s="26"/>
      <c r="T438" s="26"/>
    </row>
    <row r="439" spans="18:20" x14ac:dyDescent="0.25">
      <c r="R439" s="26"/>
      <c r="S439" s="26"/>
      <c r="T439" s="26"/>
    </row>
    <row r="440" spans="18:20" x14ac:dyDescent="0.25">
      <c r="R440" s="26"/>
      <c r="S440" s="26"/>
      <c r="T440" s="26"/>
    </row>
    <row r="441" spans="18:20" x14ac:dyDescent="0.25">
      <c r="R441" s="26"/>
      <c r="S441" s="26"/>
      <c r="T441" s="26"/>
    </row>
    <row r="442" spans="18:20" x14ac:dyDescent="0.25">
      <c r="R442" s="26"/>
      <c r="S442" s="26"/>
      <c r="T442" s="26"/>
    </row>
    <row r="443" spans="18:20" x14ac:dyDescent="0.25">
      <c r="R443" s="26"/>
      <c r="S443" s="26"/>
      <c r="T443" s="26"/>
    </row>
    <row r="444" spans="18:20" x14ac:dyDescent="0.25">
      <c r="R444" s="26"/>
      <c r="S444" s="26"/>
      <c r="T444" s="26"/>
    </row>
    <row r="445" spans="18:20" x14ac:dyDescent="0.25">
      <c r="R445" s="26"/>
      <c r="S445" s="26"/>
      <c r="T445" s="26"/>
    </row>
    <row r="446" spans="18:20" x14ac:dyDescent="0.25">
      <c r="R446" s="26"/>
      <c r="S446" s="26"/>
      <c r="T446" s="26"/>
    </row>
    <row r="447" spans="18:20" x14ac:dyDescent="0.25">
      <c r="R447" s="26"/>
      <c r="S447" s="26"/>
      <c r="T447" s="26"/>
    </row>
    <row r="448" spans="18:20" x14ac:dyDescent="0.25">
      <c r="R448" s="26"/>
      <c r="S448" s="26"/>
      <c r="T448" s="26"/>
    </row>
    <row r="449" spans="18:20" x14ac:dyDescent="0.25">
      <c r="R449" s="26"/>
      <c r="S449" s="26"/>
      <c r="T449" s="26"/>
    </row>
    <row r="450" spans="18:20" x14ac:dyDescent="0.25">
      <c r="R450" s="26"/>
      <c r="S450" s="26"/>
      <c r="T450" s="26"/>
    </row>
    <row r="451" spans="18:20" x14ac:dyDescent="0.25">
      <c r="R451" s="26"/>
      <c r="S451" s="26"/>
      <c r="T451" s="26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110</v>
      </c>
      <c r="C2">
        <v>10</v>
      </c>
      <c r="D2" t="s">
        <v>107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110</v>
      </c>
      <c r="C3">
        <v>20</v>
      </c>
      <c r="D3" t="s">
        <v>565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110</v>
      </c>
      <c r="C4">
        <v>30</v>
      </c>
      <c r="D4" t="s">
        <v>99</v>
      </c>
      <c r="E4" t="s">
        <v>100</v>
      </c>
      <c r="F4">
        <v>0.24099999999999999</v>
      </c>
      <c r="G4" t="s">
        <v>13</v>
      </c>
    </row>
    <row r="5" spans="1:7" x14ac:dyDescent="0.25">
      <c r="A5">
        <v>1</v>
      </c>
      <c r="B5" t="s">
        <v>110</v>
      </c>
      <c r="C5">
        <v>40</v>
      </c>
      <c r="D5" t="s">
        <v>108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105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106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104</v>
      </c>
      <c r="E8" t="s">
        <v>12</v>
      </c>
      <c r="F8">
        <v>8.1000000000000003E-2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111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18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110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110</v>
      </c>
      <c r="C12">
        <v>110</v>
      </c>
      <c r="D12" t="s">
        <v>101</v>
      </c>
      <c r="E12" t="s">
        <v>12</v>
      </c>
      <c r="F12">
        <v>0.29299999999999998</v>
      </c>
      <c r="G12" t="s">
        <v>13</v>
      </c>
    </row>
    <row r="13" spans="1:7" x14ac:dyDescent="0.25">
      <c r="A13">
        <v>1</v>
      </c>
      <c r="B13" t="s">
        <v>110</v>
      </c>
      <c r="C13">
        <v>120</v>
      </c>
      <c r="D13" t="s">
        <v>112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113</v>
      </c>
      <c r="C14">
        <v>10</v>
      </c>
      <c r="D14" t="s">
        <v>107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113</v>
      </c>
      <c r="C15">
        <v>20</v>
      </c>
      <c r="D15" t="s">
        <v>565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113</v>
      </c>
      <c r="C16">
        <v>30</v>
      </c>
      <c r="D16" t="s">
        <v>99</v>
      </c>
      <c r="E16" t="s">
        <v>100</v>
      </c>
      <c r="F16">
        <v>0.28399999999999997</v>
      </c>
      <c r="G16" t="s">
        <v>13</v>
      </c>
    </row>
    <row r="17" spans="1:7" x14ac:dyDescent="0.25">
      <c r="A17">
        <v>2</v>
      </c>
      <c r="B17" t="s">
        <v>113</v>
      </c>
      <c r="C17">
        <v>40</v>
      </c>
      <c r="D17" t="s">
        <v>108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113</v>
      </c>
      <c r="C18">
        <v>50</v>
      </c>
      <c r="D18" t="s">
        <v>105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113</v>
      </c>
      <c r="C19">
        <v>60</v>
      </c>
      <c r="D19" t="s">
        <v>106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113</v>
      </c>
      <c r="C20">
        <v>70</v>
      </c>
      <c r="D20" t="s">
        <v>104</v>
      </c>
      <c r="E20" t="s">
        <v>12</v>
      </c>
      <c r="F20">
        <v>9.1999999999999998E-2</v>
      </c>
      <c r="G20" t="s">
        <v>13</v>
      </c>
    </row>
    <row r="21" spans="1:7" x14ac:dyDescent="0.25">
      <c r="A21">
        <v>2</v>
      </c>
      <c r="B21" t="s">
        <v>113</v>
      </c>
      <c r="C21">
        <v>80</v>
      </c>
      <c r="D21" t="s">
        <v>111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113</v>
      </c>
      <c r="C22">
        <v>90</v>
      </c>
      <c r="D22" t="s">
        <v>18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113</v>
      </c>
      <c r="C23">
        <v>100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113</v>
      </c>
      <c r="C24">
        <v>110</v>
      </c>
      <c r="D24" t="s">
        <v>101</v>
      </c>
      <c r="E24" t="s">
        <v>12</v>
      </c>
      <c r="F24">
        <v>0.33800000000000002</v>
      </c>
      <c r="G24" t="s">
        <v>13</v>
      </c>
    </row>
    <row r="25" spans="1:7" x14ac:dyDescent="0.25">
      <c r="A25">
        <v>2</v>
      </c>
      <c r="B25" t="s">
        <v>113</v>
      </c>
      <c r="C25">
        <v>120</v>
      </c>
      <c r="D25" t="s">
        <v>114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115</v>
      </c>
      <c r="C26">
        <v>10</v>
      </c>
      <c r="D26" t="s">
        <v>107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115</v>
      </c>
      <c r="C27">
        <v>20</v>
      </c>
      <c r="D27" t="s">
        <v>565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115</v>
      </c>
      <c r="C28">
        <v>30</v>
      </c>
      <c r="D28" t="s">
        <v>99</v>
      </c>
      <c r="E28" t="s">
        <v>100</v>
      </c>
      <c r="F28">
        <v>0.32800000000000001</v>
      </c>
      <c r="G28" t="s">
        <v>13</v>
      </c>
    </row>
    <row r="29" spans="1:7" x14ac:dyDescent="0.25">
      <c r="A29">
        <v>3</v>
      </c>
      <c r="B29" t="s">
        <v>115</v>
      </c>
      <c r="C29">
        <v>40</v>
      </c>
      <c r="D29" t="s">
        <v>108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115</v>
      </c>
      <c r="C30">
        <v>50</v>
      </c>
      <c r="D30" t="s">
        <v>105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115</v>
      </c>
      <c r="C31">
        <v>60</v>
      </c>
      <c r="D31" t="s">
        <v>106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115</v>
      </c>
      <c r="C32">
        <v>70</v>
      </c>
      <c r="D32" t="s">
        <v>104</v>
      </c>
      <c r="E32" t="s">
        <v>12</v>
      </c>
      <c r="F32">
        <v>0.10299999999999999</v>
      </c>
      <c r="G32" t="s">
        <v>13</v>
      </c>
    </row>
    <row r="33" spans="1:7" x14ac:dyDescent="0.25">
      <c r="A33">
        <v>3</v>
      </c>
      <c r="B33" t="s">
        <v>115</v>
      </c>
      <c r="C33">
        <v>80</v>
      </c>
      <c r="D33" t="s">
        <v>111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115</v>
      </c>
      <c r="C34">
        <v>90</v>
      </c>
      <c r="D34" t="s">
        <v>18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115</v>
      </c>
      <c r="C35">
        <v>100</v>
      </c>
      <c r="D35" t="s">
        <v>19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115</v>
      </c>
      <c r="C36">
        <v>110</v>
      </c>
      <c r="D36" t="s">
        <v>101</v>
      </c>
      <c r="E36" t="s">
        <v>12</v>
      </c>
      <c r="F36">
        <v>0.38300000000000001</v>
      </c>
      <c r="G36" t="s">
        <v>13</v>
      </c>
    </row>
    <row r="37" spans="1:7" x14ac:dyDescent="0.25">
      <c r="A37">
        <v>3</v>
      </c>
      <c r="B37" t="s">
        <v>115</v>
      </c>
      <c r="C37">
        <v>120</v>
      </c>
      <c r="D37" t="s">
        <v>116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117</v>
      </c>
      <c r="C38">
        <v>10</v>
      </c>
      <c r="D38" t="s">
        <v>107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117</v>
      </c>
      <c r="C39">
        <v>20</v>
      </c>
      <c r="D39" t="s">
        <v>565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117</v>
      </c>
      <c r="C40">
        <v>30</v>
      </c>
      <c r="D40" t="s">
        <v>99</v>
      </c>
      <c r="E40" t="s">
        <v>100</v>
      </c>
      <c r="F40">
        <v>0.372</v>
      </c>
      <c r="G40" t="s">
        <v>13</v>
      </c>
    </row>
    <row r="41" spans="1:7" x14ac:dyDescent="0.25">
      <c r="A41">
        <v>4</v>
      </c>
      <c r="B41" t="s">
        <v>117</v>
      </c>
      <c r="C41">
        <v>40</v>
      </c>
      <c r="D41" t="s">
        <v>108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117</v>
      </c>
      <c r="C42">
        <v>50</v>
      </c>
      <c r="D42" t="s">
        <v>105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117</v>
      </c>
      <c r="C43">
        <v>60</v>
      </c>
      <c r="D43" t="s">
        <v>106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117</v>
      </c>
      <c r="C44">
        <v>70</v>
      </c>
      <c r="D44" t="s">
        <v>104</v>
      </c>
      <c r="E44" t="s">
        <v>12</v>
      </c>
      <c r="F44">
        <v>0.115</v>
      </c>
      <c r="G44" t="s">
        <v>13</v>
      </c>
    </row>
    <row r="45" spans="1:7" x14ac:dyDescent="0.25">
      <c r="A45">
        <v>4</v>
      </c>
      <c r="B45" t="s">
        <v>117</v>
      </c>
      <c r="C45">
        <v>80</v>
      </c>
      <c r="D45" t="s">
        <v>111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117</v>
      </c>
      <c r="C46">
        <v>90</v>
      </c>
      <c r="D46" t="s">
        <v>18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117</v>
      </c>
      <c r="C47">
        <v>100</v>
      </c>
      <c r="D47" t="s">
        <v>19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117</v>
      </c>
      <c r="C48">
        <v>110</v>
      </c>
      <c r="D48" t="s">
        <v>101</v>
      </c>
      <c r="E48" t="s">
        <v>12</v>
      </c>
      <c r="F48">
        <v>0.42799999999999999</v>
      </c>
      <c r="G48" t="s">
        <v>13</v>
      </c>
    </row>
    <row r="49" spans="1:7" x14ac:dyDescent="0.25">
      <c r="A49">
        <v>4</v>
      </c>
      <c r="B49" t="s">
        <v>117</v>
      </c>
      <c r="C49">
        <v>120</v>
      </c>
      <c r="D49" t="s">
        <v>118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119</v>
      </c>
      <c r="C50">
        <v>10</v>
      </c>
      <c r="D50" t="s">
        <v>107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119</v>
      </c>
      <c r="C51">
        <v>20</v>
      </c>
      <c r="D51" t="s">
        <v>565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119</v>
      </c>
      <c r="C52">
        <v>30</v>
      </c>
      <c r="D52" t="s">
        <v>99</v>
      </c>
      <c r="E52" t="s">
        <v>100</v>
      </c>
      <c r="F52">
        <v>0.39400000000000002</v>
      </c>
      <c r="G52" t="s">
        <v>13</v>
      </c>
    </row>
    <row r="53" spans="1:7" x14ac:dyDescent="0.25">
      <c r="A53">
        <v>5</v>
      </c>
      <c r="B53" t="s">
        <v>119</v>
      </c>
      <c r="C53">
        <v>40</v>
      </c>
      <c r="D53" t="s">
        <v>108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119</v>
      </c>
      <c r="C54">
        <v>50</v>
      </c>
      <c r="D54" t="s">
        <v>105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119</v>
      </c>
      <c r="C55">
        <v>60</v>
      </c>
      <c r="D55" t="s">
        <v>106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119</v>
      </c>
      <c r="C56">
        <v>70</v>
      </c>
      <c r="D56" t="s">
        <v>104</v>
      </c>
      <c r="E56" t="s">
        <v>12</v>
      </c>
      <c r="F56">
        <v>0.12</v>
      </c>
      <c r="G56" t="s">
        <v>13</v>
      </c>
    </row>
    <row r="57" spans="1:7" x14ac:dyDescent="0.25">
      <c r="A57">
        <v>5</v>
      </c>
      <c r="B57" t="s">
        <v>119</v>
      </c>
      <c r="C57">
        <v>80</v>
      </c>
      <c r="D57" t="s">
        <v>111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119</v>
      </c>
      <c r="C58">
        <v>90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119</v>
      </c>
      <c r="C59">
        <v>100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119</v>
      </c>
      <c r="C60">
        <v>110</v>
      </c>
      <c r="D60" t="s">
        <v>101</v>
      </c>
      <c r="E60" t="s">
        <v>12</v>
      </c>
      <c r="F60">
        <v>0.45</v>
      </c>
      <c r="G60" t="s">
        <v>13</v>
      </c>
    </row>
    <row r="61" spans="1:7" x14ac:dyDescent="0.25">
      <c r="A61">
        <v>5</v>
      </c>
      <c r="B61" t="s">
        <v>119</v>
      </c>
      <c r="C61">
        <v>120</v>
      </c>
      <c r="D61" t="s">
        <v>120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121</v>
      </c>
      <c r="C62">
        <v>10</v>
      </c>
      <c r="D62" t="s">
        <v>107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121</v>
      </c>
      <c r="C63">
        <v>20</v>
      </c>
      <c r="D63" t="s">
        <v>565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121</v>
      </c>
      <c r="C64">
        <v>30</v>
      </c>
      <c r="D64" t="s">
        <v>99</v>
      </c>
      <c r="E64" t="s">
        <v>100</v>
      </c>
      <c r="F64">
        <v>0.41599999999999998</v>
      </c>
      <c r="G64" t="s">
        <v>13</v>
      </c>
    </row>
    <row r="65" spans="1:7" x14ac:dyDescent="0.25">
      <c r="A65">
        <v>6</v>
      </c>
      <c r="B65" t="s">
        <v>121</v>
      </c>
      <c r="C65">
        <v>40</v>
      </c>
      <c r="D65" t="s">
        <v>108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121</v>
      </c>
      <c r="C66">
        <v>50</v>
      </c>
      <c r="D66" t="s">
        <v>105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121</v>
      </c>
      <c r="C67">
        <v>60</v>
      </c>
      <c r="D67" t="s">
        <v>106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121</v>
      </c>
      <c r="C68">
        <v>70</v>
      </c>
      <c r="D68" t="s">
        <v>104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121</v>
      </c>
      <c r="C69">
        <v>80</v>
      </c>
      <c r="D69" t="s">
        <v>111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121</v>
      </c>
      <c r="C70">
        <v>90</v>
      </c>
      <c r="D70" t="s">
        <v>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121</v>
      </c>
      <c r="C71">
        <v>100</v>
      </c>
      <c r="D71" t="s">
        <v>19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121</v>
      </c>
      <c r="C72">
        <v>110</v>
      </c>
      <c r="D72" t="s">
        <v>101</v>
      </c>
      <c r="E72" t="s">
        <v>12</v>
      </c>
      <c r="F72">
        <v>0.47299999999999998</v>
      </c>
      <c r="G72" t="s">
        <v>13</v>
      </c>
    </row>
    <row r="73" spans="1:7" x14ac:dyDescent="0.25">
      <c r="A73">
        <v>6</v>
      </c>
      <c r="B73" t="s">
        <v>121</v>
      </c>
      <c r="C73">
        <v>120</v>
      </c>
      <c r="D73" t="s">
        <v>122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123</v>
      </c>
      <c r="C74">
        <v>10</v>
      </c>
      <c r="D74" t="s">
        <v>107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123</v>
      </c>
      <c r="C75">
        <v>20</v>
      </c>
      <c r="D75" t="s">
        <v>565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123</v>
      </c>
      <c r="C76">
        <v>30</v>
      </c>
      <c r="D76" t="s">
        <v>99</v>
      </c>
      <c r="E76" t="s">
        <v>100</v>
      </c>
      <c r="F76">
        <v>0.45900000000000002</v>
      </c>
      <c r="G76" t="s">
        <v>13</v>
      </c>
    </row>
    <row r="77" spans="1:7" x14ac:dyDescent="0.25">
      <c r="A77">
        <v>7</v>
      </c>
      <c r="B77" t="s">
        <v>123</v>
      </c>
      <c r="C77">
        <v>40</v>
      </c>
      <c r="D77" t="s">
        <v>108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123</v>
      </c>
      <c r="C78">
        <v>50</v>
      </c>
      <c r="D78" t="s">
        <v>105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123</v>
      </c>
      <c r="C79">
        <v>60</v>
      </c>
      <c r="D79" t="s">
        <v>106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123</v>
      </c>
      <c r="C80">
        <v>70</v>
      </c>
      <c r="D80" t="s">
        <v>104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123</v>
      </c>
      <c r="C81">
        <v>80</v>
      </c>
      <c r="D81" t="s">
        <v>111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123</v>
      </c>
      <c r="C82">
        <v>90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123</v>
      </c>
      <c r="C83">
        <v>100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123</v>
      </c>
      <c r="C84">
        <v>110</v>
      </c>
      <c r="D84" t="s">
        <v>101</v>
      </c>
      <c r="E84" t="s">
        <v>12</v>
      </c>
      <c r="F84">
        <v>0.51800000000000002</v>
      </c>
      <c r="G84" t="s">
        <v>13</v>
      </c>
    </row>
    <row r="85" spans="1:7" x14ac:dyDescent="0.25">
      <c r="A85">
        <v>7</v>
      </c>
      <c r="B85" t="s">
        <v>123</v>
      </c>
      <c r="C85">
        <v>120</v>
      </c>
      <c r="D85" t="s">
        <v>124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125</v>
      </c>
      <c r="C86">
        <v>10</v>
      </c>
      <c r="D86" t="s">
        <v>107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125</v>
      </c>
      <c r="C87">
        <v>20</v>
      </c>
      <c r="D87" t="s">
        <v>565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125</v>
      </c>
      <c r="C88">
        <v>30</v>
      </c>
      <c r="D88" t="s">
        <v>99</v>
      </c>
      <c r="E88" t="s">
        <v>100</v>
      </c>
      <c r="F88">
        <v>0.503</v>
      </c>
      <c r="G88" t="s">
        <v>13</v>
      </c>
    </row>
    <row r="89" spans="1:7" x14ac:dyDescent="0.25">
      <c r="A89">
        <v>8</v>
      </c>
      <c r="B89" t="s">
        <v>125</v>
      </c>
      <c r="C89">
        <v>40</v>
      </c>
      <c r="D89" t="s">
        <v>108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125</v>
      </c>
      <c r="C90">
        <v>50</v>
      </c>
      <c r="D90" t="s">
        <v>105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125</v>
      </c>
      <c r="C91">
        <v>60</v>
      </c>
      <c r="D91" t="s">
        <v>106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125</v>
      </c>
      <c r="C92">
        <v>70</v>
      </c>
      <c r="D92" t="s">
        <v>104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125</v>
      </c>
      <c r="C93">
        <v>80</v>
      </c>
      <c r="D93" t="s">
        <v>111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125</v>
      </c>
      <c r="C94">
        <v>90</v>
      </c>
      <c r="D94" t="s">
        <v>18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125</v>
      </c>
      <c r="C95">
        <v>100</v>
      </c>
      <c r="D95" t="s">
        <v>19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125</v>
      </c>
      <c r="C96">
        <v>110</v>
      </c>
      <c r="D96" t="s">
        <v>101</v>
      </c>
      <c r="E96" t="s">
        <v>12</v>
      </c>
      <c r="F96">
        <v>0.56299999999999994</v>
      </c>
      <c r="G96" t="s">
        <v>13</v>
      </c>
    </row>
    <row r="97" spans="1:7" x14ac:dyDescent="0.25">
      <c r="A97">
        <v>8</v>
      </c>
      <c r="B97" t="s">
        <v>125</v>
      </c>
      <c r="C97">
        <v>120</v>
      </c>
      <c r="D97" t="s">
        <v>126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127</v>
      </c>
      <c r="C98">
        <v>10</v>
      </c>
      <c r="D98" t="s">
        <v>107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127</v>
      </c>
      <c r="C99">
        <v>20</v>
      </c>
      <c r="D99" t="s">
        <v>565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127</v>
      </c>
      <c r="C100">
        <v>30</v>
      </c>
      <c r="D100" t="s">
        <v>99</v>
      </c>
      <c r="E100" t="s">
        <v>100</v>
      </c>
      <c r="F100">
        <v>0.251</v>
      </c>
      <c r="G100" t="s">
        <v>13</v>
      </c>
    </row>
    <row r="101" spans="1:7" x14ac:dyDescent="0.25">
      <c r="A101">
        <v>9</v>
      </c>
      <c r="B101" t="s">
        <v>127</v>
      </c>
      <c r="C101">
        <v>40</v>
      </c>
      <c r="D101" t="s">
        <v>108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127</v>
      </c>
      <c r="C102">
        <v>50</v>
      </c>
      <c r="D102" t="s">
        <v>105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127</v>
      </c>
      <c r="C103">
        <v>60</v>
      </c>
      <c r="D103" t="s">
        <v>106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127</v>
      </c>
      <c r="C104">
        <v>70</v>
      </c>
      <c r="D104" t="s">
        <v>104</v>
      </c>
      <c r="E104" t="s">
        <v>12</v>
      </c>
      <c r="F104">
        <v>8.1000000000000003E-2</v>
      </c>
      <c r="G104" t="s">
        <v>13</v>
      </c>
    </row>
    <row r="105" spans="1:7" x14ac:dyDescent="0.25">
      <c r="A105">
        <v>9</v>
      </c>
      <c r="B105" t="s">
        <v>127</v>
      </c>
      <c r="C105">
        <v>80</v>
      </c>
      <c r="D105" t="s">
        <v>111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127</v>
      </c>
      <c r="C106">
        <v>90</v>
      </c>
      <c r="D106" t="s">
        <v>18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127</v>
      </c>
      <c r="C107">
        <v>100</v>
      </c>
      <c r="D107" t="s">
        <v>19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127</v>
      </c>
      <c r="C108">
        <v>110</v>
      </c>
      <c r="D108" t="s">
        <v>101</v>
      </c>
      <c r="E108" t="s">
        <v>12</v>
      </c>
      <c r="F108">
        <v>0.29299999999999998</v>
      </c>
      <c r="G108" t="s">
        <v>13</v>
      </c>
    </row>
    <row r="109" spans="1:7" x14ac:dyDescent="0.25">
      <c r="A109">
        <v>9</v>
      </c>
      <c r="B109" t="s">
        <v>127</v>
      </c>
      <c r="C109">
        <v>120</v>
      </c>
      <c r="D109" t="s">
        <v>128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129</v>
      </c>
      <c r="C110">
        <v>10</v>
      </c>
      <c r="D110" t="s">
        <v>107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129</v>
      </c>
      <c r="C111">
        <v>20</v>
      </c>
      <c r="D111" t="s">
        <v>565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129</v>
      </c>
      <c r="C112">
        <v>30</v>
      </c>
      <c r="D112" t="s">
        <v>99</v>
      </c>
      <c r="E112" t="s">
        <v>100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129</v>
      </c>
      <c r="C113">
        <v>40</v>
      </c>
      <c r="D113" t="s">
        <v>108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129</v>
      </c>
      <c r="C114">
        <v>50</v>
      </c>
      <c r="D114" t="s">
        <v>105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129</v>
      </c>
      <c r="C115">
        <v>60</v>
      </c>
      <c r="D115" t="s">
        <v>106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129</v>
      </c>
      <c r="C116">
        <v>70</v>
      </c>
      <c r="D116" t="s">
        <v>104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129</v>
      </c>
      <c r="C117">
        <v>80</v>
      </c>
      <c r="D117" t="s">
        <v>111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129</v>
      </c>
      <c r="C118">
        <v>90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129</v>
      </c>
      <c r="C119">
        <v>100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129</v>
      </c>
      <c r="C120">
        <v>110</v>
      </c>
      <c r="D120" t="s">
        <v>101</v>
      </c>
      <c r="E120" t="s">
        <v>12</v>
      </c>
      <c r="F120">
        <v>0.33800000000000002</v>
      </c>
      <c r="G120" t="s">
        <v>13</v>
      </c>
    </row>
    <row r="121" spans="1:7" x14ac:dyDescent="0.25">
      <c r="A121">
        <v>10</v>
      </c>
      <c r="B121" t="s">
        <v>129</v>
      </c>
      <c r="C121">
        <v>120</v>
      </c>
      <c r="D121" t="s">
        <v>130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131</v>
      </c>
      <c r="C122">
        <v>10</v>
      </c>
      <c r="D122" t="s">
        <v>107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131</v>
      </c>
      <c r="C123">
        <v>20</v>
      </c>
      <c r="D123" t="s">
        <v>565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131</v>
      </c>
      <c r="C124">
        <v>30</v>
      </c>
      <c r="D124" t="s">
        <v>99</v>
      </c>
      <c r="E124" t="s">
        <v>100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131</v>
      </c>
      <c r="C125">
        <v>40</v>
      </c>
      <c r="D125" t="s">
        <v>108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131</v>
      </c>
      <c r="C126">
        <v>50</v>
      </c>
      <c r="D126" t="s">
        <v>105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131</v>
      </c>
      <c r="C127">
        <v>60</v>
      </c>
      <c r="D127" t="s">
        <v>106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131</v>
      </c>
      <c r="C128">
        <v>70</v>
      </c>
      <c r="D128" t="s">
        <v>104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131</v>
      </c>
      <c r="C129">
        <v>80</v>
      </c>
      <c r="D129" t="s">
        <v>111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131</v>
      </c>
      <c r="C130">
        <v>90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131</v>
      </c>
      <c r="C131">
        <v>100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131</v>
      </c>
      <c r="C132">
        <v>110</v>
      </c>
      <c r="D132" t="s">
        <v>101</v>
      </c>
      <c r="E132" t="s">
        <v>12</v>
      </c>
      <c r="F132">
        <v>0.38300000000000001</v>
      </c>
      <c r="G132" t="s">
        <v>13</v>
      </c>
    </row>
    <row r="133" spans="1:7" x14ac:dyDescent="0.25">
      <c r="A133">
        <v>11</v>
      </c>
      <c r="B133" t="s">
        <v>131</v>
      </c>
      <c r="C133">
        <v>120</v>
      </c>
      <c r="D133" t="s">
        <v>132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133</v>
      </c>
      <c r="C134">
        <v>10</v>
      </c>
      <c r="D134" t="s">
        <v>107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133</v>
      </c>
      <c r="C135">
        <v>20</v>
      </c>
      <c r="D135" t="s">
        <v>565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133</v>
      </c>
      <c r="C136">
        <v>30</v>
      </c>
      <c r="D136" t="s">
        <v>99</v>
      </c>
      <c r="E136" t="s">
        <v>100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133</v>
      </c>
      <c r="C137">
        <v>40</v>
      </c>
      <c r="D137" t="s">
        <v>108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133</v>
      </c>
      <c r="C138">
        <v>50</v>
      </c>
      <c r="D138" t="s">
        <v>105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133</v>
      </c>
      <c r="C139">
        <v>60</v>
      </c>
      <c r="D139" t="s">
        <v>106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133</v>
      </c>
      <c r="C140">
        <v>70</v>
      </c>
      <c r="D140" t="s">
        <v>104</v>
      </c>
      <c r="E140" t="s">
        <v>12</v>
      </c>
      <c r="F140">
        <v>0.115</v>
      </c>
      <c r="G140" t="s">
        <v>13</v>
      </c>
    </row>
    <row r="141" spans="1:7" x14ac:dyDescent="0.25">
      <c r="A141">
        <v>12</v>
      </c>
      <c r="B141" t="s">
        <v>133</v>
      </c>
      <c r="C141">
        <v>80</v>
      </c>
      <c r="D141" t="s">
        <v>111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133</v>
      </c>
      <c r="C142">
        <v>90</v>
      </c>
      <c r="D142" t="s">
        <v>18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133</v>
      </c>
      <c r="C143">
        <v>100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133</v>
      </c>
      <c r="C144">
        <v>110</v>
      </c>
      <c r="D144" t="s">
        <v>101</v>
      </c>
      <c r="E144" t="s">
        <v>12</v>
      </c>
      <c r="F144">
        <v>0.42799999999999999</v>
      </c>
      <c r="G144" t="s">
        <v>13</v>
      </c>
    </row>
    <row r="145" spans="1:7" x14ac:dyDescent="0.25">
      <c r="A145">
        <v>12</v>
      </c>
      <c r="B145" t="s">
        <v>133</v>
      </c>
      <c r="C145">
        <v>120</v>
      </c>
      <c r="D145" t="s">
        <v>134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135</v>
      </c>
      <c r="C146">
        <v>10</v>
      </c>
      <c r="D146" t="s">
        <v>107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135</v>
      </c>
      <c r="C147">
        <v>20</v>
      </c>
      <c r="D147" t="s">
        <v>565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135</v>
      </c>
      <c r="C148">
        <v>30</v>
      </c>
      <c r="D148" t="s">
        <v>99</v>
      </c>
      <c r="E148" t="s">
        <v>100</v>
      </c>
      <c r="F148">
        <v>0.41</v>
      </c>
      <c r="G148" t="s">
        <v>13</v>
      </c>
    </row>
    <row r="149" spans="1:7" x14ac:dyDescent="0.25">
      <c r="A149">
        <v>13</v>
      </c>
      <c r="B149" t="s">
        <v>135</v>
      </c>
      <c r="C149">
        <v>40</v>
      </c>
      <c r="D149" t="s">
        <v>108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135</v>
      </c>
      <c r="C150">
        <v>50</v>
      </c>
      <c r="D150" t="s">
        <v>105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135</v>
      </c>
      <c r="C151">
        <v>60</v>
      </c>
      <c r="D151" t="s">
        <v>106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135</v>
      </c>
      <c r="C152">
        <v>70</v>
      </c>
      <c r="D152" t="s">
        <v>104</v>
      </c>
      <c r="E152" t="s">
        <v>12</v>
      </c>
      <c r="F152">
        <v>0.12</v>
      </c>
      <c r="G152" t="s">
        <v>13</v>
      </c>
    </row>
    <row r="153" spans="1:7" x14ac:dyDescent="0.25">
      <c r="A153">
        <v>13</v>
      </c>
      <c r="B153" t="s">
        <v>135</v>
      </c>
      <c r="C153">
        <v>80</v>
      </c>
      <c r="D153" t="s">
        <v>111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135</v>
      </c>
      <c r="C154">
        <v>90</v>
      </c>
      <c r="D154" t="s">
        <v>18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135</v>
      </c>
      <c r="C155">
        <v>100</v>
      </c>
      <c r="D155" t="s">
        <v>19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135</v>
      </c>
      <c r="C156">
        <v>110</v>
      </c>
      <c r="D156" t="s">
        <v>101</v>
      </c>
      <c r="E156" t="s">
        <v>12</v>
      </c>
      <c r="F156">
        <v>0.45</v>
      </c>
      <c r="G156" t="s">
        <v>13</v>
      </c>
    </row>
    <row r="157" spans="1:7" x14ac:dyDescent="0.25">
      <c r="A157">
        <v>13</v>
      </c>
      <c r="B157" t="s">
        <v>135</v>
      </c>
      <c r="C157">
        <v>120</v>
      </c>
      <c r="D157" t="s">
        <v>136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137</v>
      </c>
      <c r="C158">
        <v>10</v>
      </c>
      <c r="D158" t="s">
        <v>107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137</v>
      </c>
      <c r="C159">
        <v>20</v>
      </c>
      <c r="D159" t="s">
        <v>565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137</v>
      </c>
      <c r="C160">
        <v>30</v>
      </c>
      <c r="D160" t="s">
        <v>99</v>
      </c>
      <c r="E160" t="s">
        <v>100</v>
      </c>
      <c r="F160">
        <v>0.433</v>
      </c>
      <c r="G160" t="s">
        <v>13</v>
      </c>
    </row>
    <row r="161" spans="1:7" x14ac:dyDescent="0.25">
      <c r="A161">
        <v>14</v>
      </c>
      <c r="B161" t="s">
        <v>137</v>
      </c>
      <c r="C161">
        <v>40</v>
      </c>
      <c r="D161" t="s">
        <v>108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137</v>
      </c>
      <c r="C162">
        <v>50</v>
      </c>
      <c r="D162" t="s">
        <v>105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137</v>
      </c>
      <c r="C163">
        <v>60</v>
      </c>
      <c r="D163" t="s">
        <v>106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137</v>
      </c>
      <c r="C164">
        <v>70</v>
      </c>
      <c r="D164" t="s">
        <v>104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137</v>
      </c>
      <c r="C165">
        <v>80</v>
      </c>
      <c r="D165" t="s">
        <v>111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137</v>
      </c>
      <c r="C166">
        <v>90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137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137</v>
      </c>
      <c r="C168">
        <v>110</v>
      </c>
      <c r="D168" t="s">
        <v>101</v>
      </c>
      <c r="E168" t="s">
        <v>12</v>
      </c>
      <c r="F168">
        <v>0.47299999999999998</v>
      </c>
      <c r="G168" t="s">
        <v>13</v>
      </c>
    </row>
    <row r="169" spans="1:7" x14ac:dyDescent="0.25">
      <c r="A169">
        <v>14</v>
      </c>
      <c r="B169" t="s">
        <v>137</v>
      </c>
      <c r="C169">
        <v>120</v>
      </c>
      <c r="D169" t="s">
        <v>138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139</v>
      </c>
      <c r="C170">
        <v>10</v>
      </c>
      <c r="D170" t="s">
        <v>107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139</v>
      </c>
      <c r="C171">
        <v>20</v>
      </c>
      <c r="D171" t="s">
        <v>565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139</v>
      </c>
      <c r="C172">
        <v>30</v>
      </c>
      <c r="D172" t="s">
        <v>99</v>
      </c>
      <c r="E172" t="s">
        <v>100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139</v>
      </c>
      <c r="C173">
        <v>40</v>
      </c>
      <c r="D173" t="s">
        <v>108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139</v>
      </c>
      <c r="C174">
        <v>50</v>
      </c>
      <c r="D174" t="s">
        <v>105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139</v>
      </c>
      <c r="C175">
        <v>60</v>
      </c>
      <c r="D175" t="s">
        <v>106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139</v>
      </c>
      <c r="C176">
        <v>70</v>
      </c>
      <c r="D176" t="s">
        <v>104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139</v>
      </c>
      <c r="C177">
        <v>80</v>
      </c>
      <c r="D177" t="s">
        <v>111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139</v>
      </c>
      <c r="C178">
        <v>90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139</v>
      </c>
      <c r="C179">
        <v>100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139</v>
      </c>
      <c r="C180">
        <v>110</v>
      </c>
      <c r="D180" t="s">
        <v>101</v>
      </c>
      <c r="E180" t="s">
        <v>12</v>
      </c>
      <c r="F180">
        <v>0.51800000000000002</v>
      </c>
      <c r="G180" t="s">
        <v>13</v>
      </c>
    </row>
    <row r="181" spans="1:7" x14ac:dyDescent="0.25">
      <c r="A181">
        <v>15</v>
      </c>
      <c r="B181" t="s">
        <v>139</v>
      </c>
      <c r="C181">
        <v>120</v>
      </c>
      <c r="D181" t="s">
        <v>140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141</v>
      </c>
      <c r="C182">
        <v>10</v>
      </c>
      <c r="D182" t="s">
        <v>107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141</v>
      </c>
      <c r="C183">
        <v>20</v>
      </c>
      <c r="D183" t="s">
        <v>565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141</v>
      </c>
      <c r="C184">
        <v>30</v>
      </c>
      <c r="D184" t="s">
        <v>99</v>
      </c>
      <c r="E184" t="s">
        <v>100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141</v>
      </c>
      <c r="C185">
        <v>40</v>
      </c>
      <c r="D185" t="s">
        <v>108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141</v>
      </c>
      <c r="C186">
        <v>50</v>
      </c>
      <c r="D186" t="s">
        <v>105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141</v>
      </c>
      <c r="C187">
        <v>60</v>
      </c>
      <c r="D187" t="s">
        <v>106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141</v>
      </c>
      <c r="C188">
        <v>70</v>
      </c>
      <c r="D188" t="s">
        <v>104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141</v>
      </c>
      <c r="C189">
        <v>80</v>
      </c>
      <c r="D189" t="s">
        <v>111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141</v>
      </c>
      <c r="C190">
        <v>90</v>
      </c>
      <c r="D190" t="s">
        <v>18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141</v>
      </c>
      <c r="C191">
        <v>100</v>
      </c>
      <c r="D191" t="s">
        <v>19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141</v>
      </c>
      <c r="C192">
        <v>110</v>
      </c>
      <c r="D192" t="s">
        <v>101</v>
      </c>
      <c r="E192" t="s">
        <v>12</v>
      </c>
      <c r="F192">
        <v>0.56299999999999994</v>
      </c>
      <c r="G192" t="s">
        <v>13</v>
      </c>
    </row>
    <row r="193" spans="1:7" x14ac:dyDescent="0.25">
      <c r="A193">
        <v>16</v>
      </c>
      <c r="B193" t="s">
        <v>141</v>
      </c>
      <c r="C193">
        <v>120</v>
      </c>
      <c r="D193" t="s">
        <v>142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143</v>
      </c>
      <c r="C194">
        <v>10</v>
      </c>
      <c r="D194" t="s">
        <v>107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143</v>
      </c>
      <c r="C195">
        <v>20</v>
      </c>
      <c r="D195" t="s">
        <v>565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143</v>
      </c>
      <c r="C196">
        <v>30</v>
      </c>
      <c r="D196" t="s">
        <v>99</v>
      </c>
      <c r="E196" t="s">
        <v>100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143</v>
      </c>
      <c r="C197">
        <v>40</v>
      </c>
      <c r="D197" t="s">
        <v>108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143</v>
      </c>
      <c r="C198">
        <v>50</v>
      </c>
      <c r="D198" t="s">
        <v>105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143</v>
      </c>
      <c r="C199">
        <v>60</v>
      </c>
      <c r="D199" t="s">
        <v>106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143</v>
      </c>
      <c r="C200">
        <v>70</v>
      </c>
      <c r="D200" t="s">
        <v>104</v>
      </c>
      <c r="E200" t="s">
        <v>12</v>
      </c>
      <c r="F200">
        <v>8.1000000000000003E-2</v>
      </c>
      <c r="G200" t="s">
        <v>13</v>
      </c>
    </row>
    <row r="201" spans="1:7" x14ac:dyDescent="0.25">
      <c r="A201">
        <v>17</v>
      </c>
      <c r="B201" t="s">
        <v>143</v>
      </c>
      <c r="C201">
        <v>80</v>
      </c>
      <c r="D201" t="s">
        <v>111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143</v>
      </c>
      <c r="C202">
        <v>90</v>
      </c>
      <c r="D202" t="s">
        <v>18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143</v>
      </c>
      <c r="C203">
        <v>100</v>
      </c>
      <c r="D203" t="s">
        <v>19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143</v>
      </c>
      <c r="C204">
        <v>110</v>
      </c>
      <c r="D204" t="s">
        <v>101</v>
      </c>
      <c r="E204" t="s">
        <v>12</v>
      </c>
      <c r="F204">
        <v>0.29299999999999998</v>
      </c>
      <c r="G204" t="s">
        <v>13</v>
      </c>
    </row>
    <row r="205" spans="1:7" x14ac:dyDescent="0.25">
      <c r="A205">
        <v>17</v>
      </c>
      <c r="B205" t="s">
        <v>143</v>
      </c>
      <c r="C205">
        <v>120</v>
      </c>
      <c r="D205" t="s">
        <v>144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145</v>
      </c>
      <c r="C206">
        <v>10</v>
      </c>
      <c r="D206" t="s">
        <v>107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145</v>
      </c>
      <c r="C207">
        <v>20</v>
      </c>
      <c r="D207" t="s">
        <v>565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145</v>
      </c>
      <c r="C208">
        <v>30</v>
      </c>
      <c r="D208" t="s">
        <v>99</v>
      </c>
      <c r="E208" t="s">
        <v>100</v>
      </c>
      <c r="F208">
        <v>0.308</v>
      </c>
      <c r="G208" t="s">
        <v>13</v>
      </c>
    </row>
    <row r="209" spans="1:7" x14ac:dyDescent="0.25">
      <c r="A209">
        <v>18</v>
      </c>
      <c r="B209" t="s">
        <v>145</v>
      </c>
      <c r="C209">
        <v>40</v>
      </c>
      <c r="D209" t="s">
        <v>108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145</v>
      </c>
      <c r="C210">
        <v>50</v>
      </c>
      <c r="D210" t="s">
        <v>105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145</v>
      </c>
      <c r="C211">
        <v>60</v>
      </c>
      <c r="D211" t="s">
        <v>106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145</v>
      </c>
      <c r="C212">
        <v>70</v>
      </c>
      <c r="D212" t="s">
        <v>104</v>
      </c>
      <c r="E212" t="s">
        <v>12</v>
      </c>
      <c r="F212">
        <v>9.1999999999999998E-2</v>
      </c>
      <c r="G212" t="s">
        <v>13</v>
      </c>
    </row>
    <row r="213" spans="1:7" x14ac:dyDescent="0.25">
      <c r="A213">
        <v>18</v>
      </c>
      <c r="B213" t="s">
        <v>145</v>
      </c>
      <c r="C213">
        <v>80</v>
      </c>
      <c r="D213" t="s">
        <v>111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145</v>
      </c>
      <c r="C214">
        <v>90</v>
      </c>
      <c r="D214" t="s">
        <v>18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145</v>
      </c>
      <c r="C215">
        <v>100</v>
      </c>
      <c r="D215" t="s">
        <v>19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145</v>
      </c>
      <c r="C216">
        <v>110</v>
      </c>
      <c r="D216" t="s">
        <v>101</v>
      </c>
      <c r="E216" t="s">
        <v>12</v>
      </c>
      <c r="F216">
        <v>0.33800000000000002</v>
      </c>
      <c r="G216" t="s">
        <v>13</v>
      </c>
    </row>
    <row r="217" spans="1:7" x14ac:dyDescent="0.25">
      <c r="A217">
        <v>18</v>
      </c>
      <c r="B217" t="s">
        <v>145</v>
      </c>
      <c r="C217">
        <v>120</v>
      </c>
      <c r="D217" t="s">
        <v>146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147</v>
      </c>
      <c r="C218">
        <v>10</v>
      </c>
      <c r="D218" t="s">
        <v>107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147</v>
      </c>
      <c r="C219">
        <v>20</v>
      </c>
      <c r="D219" t="s">
        <v>565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147</v>
      </c>
      <c r="C220">
        <v>30</v>
      </c>
      <c r="D220" t="s">
        <v>99</v>
      </c>
      <c r="E220" t="s">
        <v>100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147</v>
      </c>
      <c r="C221">
        <v>40</v>
      </c>
      <c r="D221" t="s">
        <v>108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147</v>
      </c>
      <c r="C222">
        <v>50</v>
      </c>
      <c r="D222" t="s">
        <v>105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147</v>
      </c>
      <c r="C223">
        <v>60</v>
      </c>
      <c r="D223" t="s">
        <v>106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147</v>
      </c>
      <c r="C224">
        <v>70</v>
      </c>
      <c r="D224" t="s">
        <v>104</v>
      </c>
      <c r="E224" t="s">
        <v>12</v>
      </c>
      <c r="F224">
        <v>0.10299999999999999</v>
      </c>
      <c r="G224" t="s">
        <v>13</v>
      </c>
    </row>
    <row r="225" spans="1:7" x14ac:dyDescent="0.25">
      <c r="A225">
        <v>19</v>
      </c>
      <c r="B225" t="s">
        <v>147</v>
      </c>
      <c r="C225">
        <v>80</v>
      </c>
      <c r="D225" t="s">
        <v>111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147</v>
      </c>
      <c r="C226">
        <v>90</v>
      </c>
      <c r="D226" t="s">
        <v>18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147</v>
      </c>
      <c r="C227">
        <v>100</v>
      </c>
      <c r="D227" t="s">
        <v>19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147</v>
      </c>
      <c r="C228">
        <v>110</v>
      </c>
      <c r="D228" t="s">
        <v>101</v>
      </c>
      <c r="E228" t="s">
        <v>12</v>
      </c>
      <c r="F228">
        <v>0.38300000000000001</v>
      </c>
      <c r="G228" t="s">
        <v>13</v>
      </c>
    </row>
    <row r="229" spans="1:7" x14ac:dyDescent="0.25">
      <c r="A229">
        <v>19</v>
      </c>
      <c r="B229" t="s">
        <v>147</v>
      </c>
      <c r="C229">
        <v>120</v>
      </c>
      <c r="D229" t="s">
        <v>148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149</v>
      </c>
      <c r="C230">
        <v>10</v>
      </c>
      <c r="D230" t="s">
        <v>107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149</v>
      </c>
      <c r="C231">
        <v>20</v>
      </c>
      <c r="D231" t="s">
        <v>565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149</v>
      </c>
      <c r="C232">
        <v>30</v>
      </c>
      <c r="D232" t="s">
        <v>99</v>
      </c>
      <c r="E232" t="s">
        <v>100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149</v>
      </c>
      <c r="C233">
        <v>40</v>
      </c>
      <c r="D233" t="s">
        <v>108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149</v>
      </c>
      <c r="C234">
        <v>50</v>
      </c>
      <c r="D234" t="s">
        <v>105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149</v>
      </c>
      <c r="C235">
        <v>60</v>
      </c>
      <c r="D235" t="s">
        <v>106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149</v>
      </c>
      <c r="C236">
        <v>70</v>
      </c>
      <c r="D236" t="s">
        <v>104</v>
      </c>
      <c r="E236" t="s">
        <v>12</v>
      </c>
      <c r="F236">
        <v>0.115</v>
      </c>
      <c r="G236" t="s">
        <v>13</v>
      </c>
    </row>
    <row r="237" spans="1:7" x14ac:dyDescent="0.25">
      <c r="A237">
        <v>20</v>
      </c>
      <c r="B237" t="s">
        <v>149</v>
      </c>
      <c r="C237">
        <v>80</v>
      </c>
      <c r="D237" t="s">
        <v>111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149</v>
      </c>
      <c r="C238">
        <v>90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149</v>
      </c>
      <c r="C239">
        <v>100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149</v>
      </c>
      <c r="C240">
        <v>110</v>
      </c>
      <c r="D240" t="s">
        <v>101</v>
      </c>
      <c r="E240" t="s">
        <v>12</v>
      </c>
      <c r="F240">
        <v>0.42799999999999999</v>
      </c>
      <c r="G240" t="s">
        <v>13</v>
      </c>
    </row>
    <row r="241" spans="1:7" x14ac:dyDescent="0.25">
      <c r="A241">
        <v>20</v>
      </c>
      <c r="B241" t="s">
        <v>149</v>
      </c>
      <c r="C241">
        <v>120</v>
      </c>
      <c r="D241" t="s">
        <v>150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151</v>
      </c>
      <c r="C242">
        <v>10</v>
      </c>
      <c r="D242" t="s">
        <v>107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151</v>
      </c>
      <c r="C243">
        <v>20</v>
      </c>
      <c r="D243" t="s">
        <v>565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151</v>
      </c>
      <c r="C244">
        <v>30</v>
      </c>
      <c r="D244" t="s">
        <v>99</v>
      </c>
      <c r="E244" t="s">
        <v>100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151</v>
      </c>
      <c r="C245">
        <v>40</v>
      </c>
      <c r="D245" t="s">
        <v>108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151</v>
      </c>
      <c r="C246">
        <v>50</v>
      </c>
      <c r="D246" t="s">
        <v>105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151</v>
      </c>
      <c r="C247">
        <v>60</v>
      </c>
      <c r="D247" t="s">
        <v>106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151</v>
      </c>
      <c r="C248">
        <v>70</v>
      </c>
      <c r="D248" t="s">
        <v>104</v>
      </c>
      <c r="E248" t="s">
        <v>12</v>
      </c>
      <c r="F248">
        <v>0.12</v>
      </c>
      <c r="G248" t="s">
        <v>13</v>
      </c>
    </row>
    <row r="249" spans="1:7" x14ac:dyDescent="0.25">
      <c r="A249">
        <v>21</v>
      </c>
      <c r="B249" t="s">
        <v>151</v>
      </c>
      <c r="C249">
        <v>80</v>
      </c>
      <c r="D249" t="s">
        <v>111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151</v>
      </c>
      <c r="C250">
        <v>90</v>
      </c>
      <c r="D250" t="s">
        <v>18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151</v>
      </c>
      <c r="C251">
        <v>100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151</v>
      </c>
      <c r="C252">
        <v>110</v>
      </c>
      <c r="D252" t="s">
        <v>101</v>
      </c>
      <c r="E252" t="s">
        <v>12</v>
      </c>
      <c r="F252">
        <v>0.45</v>
      </c>
      <c r="G252" t="s">
        <v>13</v>
      </c>
    </row>
    <row r="253" spans="1:7" x14ac:dyDescent="0.25">
      <c r="A253">
        <v>21</v>
      </c>
      <c r="B253" t="s">
        <v>151</v>
      </c>
      <c r="C253">
        <v>120</v>
      </c>
      <c r="D253" t="s">
        <v>152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153</v>
      </c>
      <c r="C254">
        <v>10</v>
      </c>
      <c r="D254" t="s">
        <v>107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153</v>
      </c>
      <c r="C255">
        <v>20</v>
      </c>
      <c r="D255" t="s">
        <v>565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153</v>
      </c>
      <c r="C256">
        <v>30</v>
      </c>
      <c r="D256" t="s">
        <v>99</v>
      </c>
      <c r="E256" t="s">
        <v>100</v>
      </c>
      <c r="F256">
        <v>0.45</v>
      </c>
      <c r="G256" t="s">
        <v>13</v>
      </c>
    </row>
    <row r="257" spans="1:7" x14ac:dyDescent="0.25">
      <c r="A257">
        <v>22</v>
      </c>
      <c r="B257" t="s">
        <v>153</v>
      </c>
      <c r="C257">
        <v>40</v>
      </c>
      <c r="D257" t="s">
        <v>108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153</v>
      </c>
      <c r="C258">
        <v>50</v>
      </c>
      <c r="D258" t="s">
        <v>105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153</v>
      </c>
      <c r="C259">
        <v>60</v>
      </c>
      <c r="D259" t="s">
        <v>106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153</v>
      </c>
      <c r="C260">
        <v>70</v>
      </c>
      <c r="D260" t="s">
        <v>104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153</v>
      </c>
      <c r="C261">
        <v>80</v>
      </c>
      <c r="D261" t="s">
        <v>111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153</v>
      </c>
      <c r="C262">
        <v>90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153</v>
      </c>
      <c r="C263">
        <v>100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153</v>
      </c>
      <c r="C264">
        <v>110</v>
      </c>
      <c r="D264" t="s">
        <v>101</v>
      </c>
      <c r="E264" t="s">
        <v>12</v>
      </c>
      <c r="F264">
        <v>0.47299999999999998</v>
      </c>
      <c r="G264" t="s">
        <v>13</v>
      </c>
    </row>
    <row r="265" spans="1:7" x14ac:dyDescent="0.25">
      <c r="A265">
        <v>22</v>
      </c>
      <c r="B265" t="s">
        <v>153</v>
      </c>
      <c r="C265">
        <v>120</v>
      </c>
      <c r="D265" t="s">
        <v>154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155</v>
      </c>
      <c r="C266">
        <v>10</v>
      </c>
      <c r="D266" t="s">
        <v>107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155</v>
      </c>
      <c r="C267">
        <v>20</v>
      </c>
      <c r="D267" t="s">
        <v>565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155</v>
      </c>
      <c r="C268">
        <v>30</v>
      </c>
      <c r="D268" t="s">
        <v>99</v>
      </c>
      <c r="E268" t="s">
        <v>100</v>
      </c>
      <c r="F268">
        <v>0.498</v>
      </c>
      <c r="G268" t="s">
        <v>13</v>
      </c>
    </row>
    <row r="269" spans="1:7" x14ac:dyDescent="0.25">
      <c r="A269">
        <v>23</v>
      </c>
      <c r="B269" t="s">
        <v>155</v>
      </c>
      <c r="C269">
        <v>40</v>
      </c>
      <c r="D269" t="s">
        <v>108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155</v>
      </c>
      <c r="C270">
        <v>50</v>
      </c>
      <c r="D270" t="s">
        <v>105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155</v>
      </c>
      <c r="C271">
        <v>60</v>
      </c>
      <c r="D271" t="s">
        <v>106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155</v>
      </c>
      <c r="C272">
        <v>70</v>
      </c>
      <c r="D272" t="s">
        <v>104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155</v>
      </c>
      <c r="C273">
        <v>80</v>
      </c>
      <c r="D273" t="s">
        <v>111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155</v>
      </c>
      <c r="C274">
        <v>90</v>
      </c>
      <c r="D274" t="s">
        <v>18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155</v>
      </c>
      <c r="C275">
        <v>100</v>
      </c>
      <c r="D275" t="s">
        <v>19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155</v>
      </c>
      <c r="C276">
        <v>110</v>
      </c>
      <c r="D276" t="s">
        <v>101</v>
      </c>
      <c r="E276" t="s">
        <v>12</v>
      </c>
      <c r="F276">
        <v>0.51800000000000002</v>
      </c>
      <c r="G276" t="s">
        <v>13</v>
      </c>
    </row>
    <row r="277" spans="1:7" x14ac:dyDescent="0.25">
      <c r="A277">
        <v>23</v>
      </c>
      <c r="B277" t="s">
        <v>155</v>
      </c>
      <c r="C277">
        <v>120</v>
      </c>
      <c r="D277" t="s">
        <v>156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157</v>
      </c>
      <c r="C278">
        <v>10</v>
      </c>
      <c r="D278" t="s">
        <v>107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157</v>
      </c>
      <c r="C279">
        <v>20</v>
      </c>
      <c r="D279" t="s">
        <v>565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157</v>
      </c>
      <c r="C280">
        <v>30</v>
      </c>
      <c r="D280" t="s">
        <v>99</v>
      </c>
      <c r="E280" t="s">
        <v>100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157</v>
      </c>
      <c r="C281">
        <v>40</v>
      </c>
      <c r="D281" t="s">
        <v>108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157</v>
      </c>
      <c r="C282">
        <v>50</v>
      </c>
      <c r="D282" t="s">
        <v>105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157</v>
      </c>
      <c r="C283">
        <v>60</v>
      </c>
      <c r="D283" t="s">
        <v>106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157</v>
      </c>
      <c r="C284">
        <v>70</v>
      </c>
      <c r="D284" t="s">
        <v>104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157</v>
      </c>
      <c r="C285">
        <v>80</v>
      </c>
      <c r="D285" t="s">
        <v>111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157</v>
      </c>
      <c r="C286">
        <v>90</v>
      </c>
      <c r="D286" t="s">
        <v>18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157</v>
      </c>
      <c r="C287">
        <v>100</v>
      </c>
      <c r="D287" t="s">
        <v>19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157</v>
      </c>
      <c r="C288">
        <v>110</v>
      </c>
      <c r="D288" t="s">
        <v>101</v>
      </c>
      <c r="E288" t="s">
        <v>12</v>
      </c>
      <c r="F288">
        <v>0.56299999999999994</v>
      </c>
      <c r="G288" t="s">
        <v>13</v>
      </c>
    </row>
    <row r="289" spans="1:7" x14ac:dyDescent="0.25">
      <c r="A289">
        <v>24</v>
      </c>
      <c r="B289" t="s">
        <v>157</v>
      </c>
      <c r="C289">
        <v>120</v>
      </c>
      <c r="D289" t="s">
        <v>158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159</v>
      </c>
      <c r="C290">
        <v>10</v>
      </c>
      <c r="D290" t="s">
        <v>107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159</v>
      </c>
      <c r="C291">
        <v>20</v>
      </c>
      <c r="D291" t="s">
        <v>565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159</v>
      </c>
      <c r="C292">
        <v>30</v>
      </c>
      <c r="D292" t="s">
        <v>99</v>
      </c>
      <c r="E292" t="s">
        <v>100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159</v>
      </c>
      <c r="C293">
        <v>40</v>
      </c>
      <c r="D293" t="s">
        <v>108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159</v>
      </c>
      <c r="C294">
        <v>50</v>
      </c>
      <c r="D294" t="s">
        <v>105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159</v>
      </c>
      <c r="C295">
        <v>60</v>
      </c>
      <c r="D295" t="s">
        <v>106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159</v>
      </c>
      <c r="C296">
        <v>70</v>
      </c>
      <c r="D296" t="s">
        <v>104</v>
      </c>
      <c r="E296" t="s">
        <v>12</v>
      </c>
      <c r="F296">
        <v>8.1000000000000003E-2</v>
      </c>
      <c r="G296" t="s">
        <v>13</v>
      </c>
    </row>
    <row r="297" spans="1:7" x14ac:dyDescent="0.25">
      <c r="A297">
        <v>25</v>
      </c>
      <c r="B297" t="s">
        <v>159</v>
      </c>
      <c r="C297">
        <v>80</v>
      </c>
      <c r="D297" t="s">
        <v>111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159</v>
      </c>
      <c r="C298">
        <v>90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159</v>
      </c>
      <c r="C299">
        <v>100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159</v>
      </c>
      <c r="C300">
        <v>110</v>
      </c>
      <c r="D300" t="s">
        <v>101</v>
      </c>
      <c r="E300" t="s">
        <v>12</v>
      </c>
      <c r="F300">
        <v>0.64600000000000002</v>
      </c>
      <c r="G300" t="s">
        <v>13</v>
      </c>
    </row>
    <row r="301" spans="1:7" x14ac:dyDescent="0.25">
      <c r="A301">
        <v>25</v>
      </c>
      <c r="B301" t="s">
        <v>159</v>
      </c>
      <c r="C301">
        <v>120</v>
      </c>
      <c r="D301" t="s">
        <v>160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161</v>
      </c>
      <c r="C302">
        <v>10</v>
      </c>
      <c r="D302" t="s">
        <v>107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161</v>
      </c>
      <c r="C303">
        <v>20</v>
      </c>
      <c r="D303" t="s">
        <v>565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161</v>
      </c>
      <c r="C304">
        <v>30</v>
      </c>
      <c r="D304" t="s">
        <v>99</v>
      </c>
      <c r="E304" t="s">
        <v>100</v>
      </c>
      <c r="F304">
        <v>0.316</v>
      </c>
      <c r="G304" t="s">
        <v>13</v>
      </c>
    </row>
    <row r="305" spans="1:7" x14ac:dyDescent="0.25">
      <c r="A305">
        <v>26</v>
      </c>
      <c r="B305" t="s">
        <v>161</v>
      </c>
      <c r="C305">
        <v>40</v>
      </c>
      <c r="D305" t="s">
        <v>108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161</v>
      </c>
      <c r="C306">
        <v>50</v>
      </c>
      <c r="D306" t="s">
        <v>105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161</v>
      </c>
      <c r="C307">
        <v>60</v>
      </c>
      <c r="D307" t="s">
        <v>106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161</v>
      </c>
      <c r="C308">
        <v>70</v>
      </c>
      <c r="D308" t="s">
        <v>104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26</v>
      </c>
      <c r="B309" t="s">
        <v>161</v>
      </c>
      <c r="C309">
        <v>80</v>
      </c>
      <c r="D309" t="s">
        <v>111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161</v>
      </c>
      <c r="C310">
        <v>90</v>
      </c>
      <c r="D310" t="s">
        <v>18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161</v>
      </c>
      <c r="C311">
        <v>100</v>
      </c>
      <c r="D311" t="s">
        <v>19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161</v>
      </c>
      <c r="C312">
        <v>110</v>
      </c>
      <c r="D312" t="s">
        <v>101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26</v>
      </c>
      <c r="B313" t="s">
        <v>161</v>
      </c>
      <c r="C313">
        <v>120</v>
      </c>
      <c r="D313" t="s">
        <v>162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163</v>
      </c>
      <c r="C314">
        <v>10</v>
      </c>
      <c r="D314" t="s">
        <v>107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163</v>
      </c>
      <c r="C315">
        <v>20</v>
      </c>
      <c r="D315" t="s">
        <v>565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163</v>
      </c>
      <c r="C316">
        <v>30</v>
      </c>
      <c r="D316" t="s">
        <v>99</v>
      </c>
      <c r="E316" t="s">
        <v>100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163</v>
      </c>
      <c r="C317">
        <v>40</v>
      </c>
      <c r="D317" t="s">
        <v>108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163</v>
      </c>
      <c r="C318">
        <v>50</v>
      </c>
      <c r="D318" t="s">
        <v>105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163</v>
      </c>
      <c r="C319">
        <v>60</v>
      </c>
      <c r="D319" t="s">
        <v>106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163</v>
      </c>
      <c r="C320">
        <v>70</v>
      </c>
      <c r="D320" t="s">
        <v>104</v>
      </c>
      <c r="E320" t="s">
        <v>12</v>
      </c>
      <c r="F320">
        <v>0.10299999999999999</v>
      </c>
      <c r="G320" t="s">
        <v>13</v>
      </c>
    </row>
    <row r="321" spans="1:7" x14ac:dyDescent="0.25">
      <c r="A321">
        <v>27</v>
      </c>
      <c r="B321" t="s">
        <v>163</v>
      </c>
      <c r="C321">
        <v>80</v>
      </c>
      <c r="D321" t="s">
        <v>111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163</v>
      </c>
      <c r="C322">
        <v>90</v>
      </c>
      <c r="D322" t="s">
        <v>18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163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163</v>
      </c>
      <c r="C324">
        <v>110</v>
      </c>
      <c r="D324" t="s">
        <v>101</v>
      </c>
      <c r="E324" t="s">
        <v>12</v>
      </c>
      <c r="F324">
        <v>0.64600000000000002</v>
      </c>
      <c r="G324" t="s">
        <v>13</v>
      </c>
    </row>
    <row r="325" spans="1:7" x14ac:dyDescent="0.25">
      <c r="A325">
        <v>27</v>
      </c>
      <c r="B325" t="s">
        <v>163</v>
      </c>
      <c r="C325">
        <v>120</v>
      </c>
      <c r="D325" t="s">
        <v>164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165</v>
      </c>
      <c r="C326">
        <v>10</v>
      </c>
      <c r="D326" t="s">
        <v>107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165</v>
      </c>
      <c r="C327">
        <v>20</v>
      </c>
      <c r="D327" t="s">
        <v>565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165</v>
      </c>
      <c r="C328">
        <v>30</v>
      </c>
      <c r="D328" t="s">
        <v>99</v>
      </c>
      <c r="E328" t="s">
        <v>100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165</v>
      </c>
      <c r="C329">
        <v>40</v>
      </c>
      <c r="D329" t="s">
        <v>108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165</v>
      </c>
      <c r="C330">
        <v>50</v>
      </c>
      <c r="D330" t="s">
        <v>105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165</v>
      </c>
      <c r="C331">
        <v>60</v>
      </c>
      <c r="D331" t="s">
        <v>106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165</v>
      </c>
      <c r="C332">
        <v>70</v>
      </c>
      <c r="D332" t="s">
        <v>104</v>
      </c>
      <c r="E332" t="s">
        <v>12</v>
      </c>
      <c r="F332">
        <v>0.115</v>
      </c>
      <c r="G332" t="s">
        <v>13</v>
      </c>
    </row>
    <row r="333" spans="1:7" x14ac:dyDescent="0.25">
      <c r="A333">
        <v>28</v>
      </c>
      <c r="B333" t="s">
        <v>165</v>
      </c>
      <c r="C333">
        <v>80</v>
      </c>
      <c r="D333" t="s">
        <v>111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165</v>
      </c>
      <c r="C334">
        <v>90</v>
      </c>
      <c r="D334" t="s">
        <v>18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165</v>
      </c>
      <c r="C335">
        <v>100</v>
      </c>
      <c r="D335" t="s">
        <v>19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165</v>
      </c>
      <c r="C336">
        <v>110</v>
      </c>
      <c r="D336" t="s">
        <v>101</v>
      </c>
      <c r="E336" t="s">
        <v>12</v>
      </c>
      <c r="F336">
        <v>0.64600000000000002</v>
      </c>
      <c r="G336" t="s">
        <v>13</v>
      </c>
    </row>
    <row r="337" spans="1:7" x14ac:dyDescent="0.25">
      <c r="A337">
        <v>28</v>
      </c>
      <c r="B337" t="s">
        <v>165</v>
      </c>
      <c r="C337">
        <v>120</v>
      </c>
      <c r="D337" t="s">
        <v>166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167</v>
      </c>
      <c r="C338">
        <v>10</v>
      </c>
      <c r="D338" t="s">
        <v>107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167</v>
      </c>
      <c r="C339">
        <v>20</v>
      </c>
      <c r="D339" t="s">
        <v>565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167</v>
      </c>
      <c r="C340">
        <v>30</v>
      </c>
      <c r="D340" t="s">
        <v>99</v>
      </c>
      <c r="E340" t="s">
        <v>100</v>
      </c>
      <c r="F340">
        <v>0.437</v>
      </c>
      <c r="G340" t="s">
        <v>13</v>
      </c>
    </row>
    <row r="341" spans="1:7" x14ac:dyDescent="0.25">
      <c r="A341">
        <v>29</v>
      </c>
      <c r="B341" t="s">
        <v>167</v>
      </c>
      <c r="C341">
        <v>40</v>
      </c>
      <c r="D341" t="s">
        <v>108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167</v>
      </c>
      <c r="C342">
        <v>50</v>
      </c>
      <c r="D342" t="s">
        <v>105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167</v>
      </c>
      <c r="C343">
        <v>60</v>
      </c>
      <c r="D343" t="s">
        <v>106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167</v>
      </c>
      <c r="C344">
        <v>70</v>
      </c>
      <c r="D344" t="s">
        <v>104</v>
      </c>
      <c r="E344" t="s">
        <v>12</v>
      </c>
      <c r="F344">
        <v>0.12</v>
      </c>
      <c r="G344" t="s">
        <v>13</v>
      </c>
    </row>
    <row r="345" spans="1:7" x14ac:dyDescent="0.25">
      <c r="A345">
        <v>29</v>
      </c>
      <c r="B345" t="s">
        <v>167</v>
      </c>
      <c r="C345">
        <v>80</v>
      </c>
      <c r="D345" t="s">
        <v>111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167</v>
      </c>
      <c r="C346">
        <v>90</v>
      </c>
      <c r="D346" t="s">
        <v>18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167</v>
      </c>
      <c r="C347">
        <v>100</v>
      </c>
      <c r="D347" t="s">
        <v>19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167</v>
      </c>
      <c r="C348">
        <v>110</v>
      </c>
      <c r="D348" t="s">
        <v>101</v>
      </c>
      <c r="E348" t="s">
        <v>12</v>
      </c>
      <c r="F348">
        <v>0.64600000000000002</v>
      </c>
      <c r="G348" t="s">
        <v>13</v>
      </c>
    </row>
    <row r="349" spans="1:7" x14ac:dyDescent="0.25">
      <c r="A349">
        <v>29</v>
      </c>
      <c r="B349" t="s">
        <v>167</v>
      </c>
      <c r="C349">
        <v>120</v>
      </c>
      <c r="D349" t="s">
        <v>168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169</v>
      </c>
      <c r="C350">
        <v>10</v>
      </c>
      <c r="D350" t="s">
        <v>107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169</v>
      </c>
      <c r="C351">
        <v>20</v>
      </c>
      <c r="D351" t="s">
        <v>565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169</v>
      </c>
      <c r="C352">
        <v>30</v>
      </c>
      <c r="D352" t="s">
        <v>99</v>
      </c>
      <c r="E352" t="s">
        <v>100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169</v>
      </c>
      <c r="C353">
        <v>40</v>
      </c>
      <c r="D353" t="s">
        <v>108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169</v>
      </c>
      <c r="C354">
        <v>50</v>
      </c>
      <c r="D354" t="s">
        <v>105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169</v>
      </c>
      <c r="C355">
        <v>60</v>
      </c>
      <c r="D355" t="s">
        <v>106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169</v>
      </c>
      <c r="C356">
        <v>70</v>
      </c>
      <c r="D356" t="s">
        <v>104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169</v>
      </c>
      <c r="C357">
        <v>80</v>
      </c>
      <c r="D357" t="s">
        <v>111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169</v>
      </c>
      <c r="C358">
        <v>90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169</v>
      </c>
      <c r="C359">
        <v>100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169</v>
      </c>
      <c r="C360">
        <v>110</v>
      </c>
      <c r="D360" t="s">
        <v>101</v>
      </c>
      <c r="E360" t="s">
        <v>12</v>
      </c>
      <c r="F360">
        <v>0.64600000000000002</v>
      </c>
      <c r="G360" t="s">
        <v>13</v>
      </c>
    </row>
    <row r="361" spans="1:7" x14ac:dyDescent="0.25">
      <c r="A361">
        <v>30</v>
      </c>
      <c r="B361" t="s">
        <v>169</v>
      </c>
      <c r="C361">
        <v>120</v>
      </c>
      <c r="D361" t="s">
        <v>170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171</v>
      </c>
      <c r="C362">
        <v>10</v>
      </c>
      <c r="D362" t="s">
        <v>107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171</v>
      </c>
      <c r="C363">
        <v>20</v>
      </c>
      <c r="D363" t="s">
        <v>565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171</v>
      </c>
      <c r="C364">
        <v>30</v>
      </c>
      <c r="D364" t="s">
        <v>99</v>
      </c>
      <c r="E364" t="s">
        <v>100</v>
      </c>
      <c r="F364">
        <v>0.51</v>
      </c>
      <c r="G364" t="s">
        <v>13</v>
      </c>
    </row>
    <row r="365" spans="1:7" x14ac:dyDescent="0.25">
      <c r="A365">
        <v>31</v>
      </c>
      <c r="B365" t="s">
        <v>171</v>
      </c>
      <c r="C365">
        <v>40</v>
      </c>
      <c r="D365" t="s">
        <v>108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171</v>
      </c>
      <c r="C366">
        <v>50</v>
      </c>
      <c r="D366" t="s">
        <v>105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171</v>
      </c>
      <c r="C367">
        <v>60</v>
      </c>
      <c r="D367" t="s">
        <v>106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171</v>
      </c>
      <c r="C368">
        <v>70</v>
      </c>
      <c r="D368" t="s">
        <v>104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171</v>
      </c>
      <c r="C369">
        <v>80</v>
      </c>
      <c r="D369" t="s">
        <v>111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171</v>
      </c>
      <c r="C370">
        <v>90</v>
      </c>
      <c r="D370" t="s">
        <v>18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171</v>
      </c>
      <c r="C371">
        <v>100</v>
      </c>
      <c r="D371" t="s">
        <v>19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171</v>
      </c>
      <c r="C372">
        <v>110</v>
      </c>
      <c r="D372" t="s">
        <v>101</v>
      </c>
      <c r="E372" t="s">
        <v>12</v>
      </c>
      <c r="F372">
        <v>0.64600000000000002</v>
      </c>
      <c r="G372" t="s">
        <v>13</v>
      </c>
    </row>
    <row r="373" spans="1:7" x14ac:dyDescent="0.25">
      <c r="A373">
        <v>31</v>
      </c>
      <c r="B373" t="s">
        <v>171</v>
      </c>
      <c r="C373">
        <v>120</v>
      </c>
      <c r="D373" t="s">
        <v>172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173</v>
      </c>
      <c r="C374">
        <v>10</v>
      </c>
      <c r="D374" t="s">
        <v>107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173</v>
      </c>
      <c r="C375">
        <v>20</v>
      </c>
      <c r="D375" t="s">
        <v>565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173</v>
      </c>
      <c r="C376">
        <v>30</v>
      </c>
      <c r="D376" t="s">
        <v>99</v>
      </c>
      <c r="E376" t="s">
        <v>100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173</v>
      </c>
      <c r="C377">
        <v>40</v>
      </c>
      <c r="D377" t="s">
        <v>108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173</v>
      </c>
      <c r="C378">
        <v>50</v>
      </c>
      <c r="D378" t="s">
        <v>105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173</v>
      </c>
      <c r="C379">
        <v>60</v>
      </c>
      <c r="D379" t="s">
        <v>106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173</v>
      </c>
      <c r="C380">
        <v>70</v>
      </c>
      <c r="D380" t="s">
        <v>104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173</v>
      </c>
      <c r="C381">
        <v>80</v>
      </c>
      <c r="D381" t="s">
        <v>111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173</v>
      </c>
      <c r="C382">
        <v>90</v>
      </c>
      <c r="D382" t="s">
        <v>18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173</v>
      </c>
      <c r="C383">
        <v>100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173</v>
      </c>
      <c r="C384">
        <v>110</v>
      </c>
      <c r="D384" t="s">
        <v>101</v>
      </c>
      <c r="E384" t="s">
        <v>12</v>
      </c>
      <c r="F384">
        <v>0.64600000000000002</v>
      </c>
      <c r="G384" t="s">
        <v>13</v>
      </c>
    </row>
    <row r="385" spans="1:7" x14ac:dyDescent="0.25">
      <c r="A385">
        <v>32</v>
      </c>
      <c r="B385" t="s">
        <v>173</v>
      </c>
      <c r="C385">
        <v>120</v>
      </c>
      <c r="D385" t="s">
        <v>174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175</v>
      </c>
      <c r="C386">
        <v>10</v>
      </c>
      <c r="D386" t="s">
        <v>107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175</v>
      </c>
      <c r="C387">
        <v>20</v>
      </c>
      <c r="D387" t="s">
        <v>565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175</v>
      </c>
      <c r="C388">
        <v>30</v>
      </c>
      <c r="D388" t="s">
        <v>99</v>
      </c>
      <c r="E388" t="s">
        <v>100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175</v>
      </c>
      <c r="C389">
        <v>40</v>
      </c>
      <c r="D389" t="s">
        <v>108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175</v>
      </c>
      <c r="C390">
        <v>50</v>
      </c>
      <c r="D390" t="s">
        <v>105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175</v>
      </c>
      <c r="C391">
        <v>60</v>
      </c>
      <c r="D391" t="s">
        <v>106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175</v>
      </c>
      <c r="C392">
        <v>70</v>
      </c>
      <c r="D392" t="s">
        <v>104</v>
      </c>
      <c r="E392" t="s">
        <v>12</v>
      </c>
      <c r="F392">
        <v>8.1000000000000003E-2</v>
      </c>
      <c r="G392" t="s">
        <v>13</v>
      </c>
    </row>
    <row r="393" spans="1:7" x14ac:dyDescent="0.25">
      <c r="A393">
        <v>33</v>
      </c>
      <c r="B393" t="s">
        <v>175</v>
      </c>
      <c r="C393">
        <v>80</v>
      </c>
      <c r="D393" t="s">
        <v>111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175</v>
      </c>
      <c r="C394">
        <v>90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175</v>
      </c>
      <c r="C395">
        <v>100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175</v>
      </c>
      <c r="C396">
        <v>110</v>
      </c>
      <c r="D396" t="s">
        <v>101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33</v>
      </c>
      <c r="B397" t="s">
        <v>175</v>
      </c>
      <c r="C397">
        <v>120</v>
      </c>
      <c r="D397" t="s">
        <v>176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177</v>
      </c>
      <c r="C398">
        <v>10</v>
      </c>
      <c r="D398" t="s">
        <v>107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177</v>
      </c>
      <c r="C399">
        <v>20</v>
      </c>
      <c r="D399" t="s">
        <v>565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177</v>
      </c>
      <c r="C400">
        <v>30</v>
      </c>
      <c r="D400" t="s">
        <v>99</v>
      </c>
      <c r="E400" t="s">
        <v>100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177</v>
      </c>
      <c r="C401">
        <v>40</v>
      </c>
      <c r="D401" t="s">
        <v>108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177</v>
      </c>
      <c r="C402">
        <v>50</v>
      </c>
      <c r="D402" t="s">
        <v>105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177</v>
      </c>
      <c r="C403">
        <v>60</v>
      </c>
      <c r="D403" t="s">
        <v>106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177</v>
      </c>
      <c r="C404">
        <v>70</v>
      </c>
      <c r="D404" t="s">
        <v>104</v>
      </c>
      <c r="E404" t="s">
        <v>12</v>
      </c>
      <c r="F404">
        <v>9.1999999999999998E-2</v>
      </c>
      <c r="G404" t="s">
        <v>13</v>
      </c>
    </row>
    <row r="405" spans="1:7" x14ac:dyDescent="0.25">
      <c r="A405">
        <v>34</v>
      </c>
      <c r="B405" t="s">
        <v>177</v>
      </c>
      <c r="C405">
        <v>80</v>
      </c>
      <c r="D405" t="s">
        <v>111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177</v>
      </c>
      <c r="C406">
        <v>90</v>
      </c>
      <c r="D406" t="s">
        <v>18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177</v>
      </c>
      <c r="C407">
        <v>100</v>
      </c>
      <c r="D407" t="s">
        <v>19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177</v>
      </c>
      <c r="C408">
        <v>110</v>
      </c>
      <c r="D408" t="s">
        <v>101</v>
      </c>
      <c r="E408" t="s">
        <v>12</v>
      </c>
      <c r="F408">
        <v>0.67600000000000005</v>
      </c>
      <c r="G408" t="s">
        <v>13</v>
      </c>
    </row>
    <row r="409" spans="1:7" x14ac:dyDescent="0.25">
      <c r="A409">
        <v>34</v>
      </c>
      <c r="B409" t="s">
        <v>177</v>
      </c>
      <c r="C409">
        <v>120</v>
      </c>
      <c r="D409" t="s">
        <v>178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179</v>
      </c>
      <c r="C410">
        <v>10</v>
      </c>
      <c r="D410" t="s">
        <v>107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179</v>
      </c>
      <c r="C411">
        <v>20</v>
      </c>
      <c r="D411" t="s">
        <v>565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179</v>
      </c>
      <c r="C412">
        <v>30</v>
      </c>
      <c r="D412" t="s">
        <v>99</v>
      </c>
      <c r="E412" t="s">
        <v>100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179</v>
      </c>
      <c r="C413">
        <v>40</v>
      </c>
      <c r="D413" t="s">
        <v>108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179</v>
      </c>
      <c r="C414">
        <v>50</v>
      </c>
      <c r="D414" t="s">
        <v>105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179</v>
      </c>
      <c r="C415">
        <v>60</v>
      </c>
      <c r="D415" t="s">
        <v>106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179</v>
      </c>
      <c r="C416">
        <v>70</v>
      </c>
      <c r="D416" t="s">
        <v>104</v>
      </c>
      <c r="E416" t="s">
        <v>12</v>
      </c>
      <c r="F416">
        <v>0.10299999999999999</v>
      </c>
      <c r="G416" t="s">
        <v>13</v>
      </c>
    </row>
    <row r="417" spans="1:7" x14ac:dyDescent="0.25">
      <c r="A417">
        <v>35</v>
      </c>
      <c r="B417" t="s">
        <v>179</v>
      </c>
      <c r="C417">
        <v>80</v>
      </c>
      <c r="D417" t="s">
        <v>111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179</v>
      </c>
      <c r="C418">
        <v>90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179</v>
      </c>
      <c r="C419">
        <v>100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179</v>
      </c>
      <c r="C420">
        <v>110</v>
      </c>
      <c r="D420" t="s">
        <v>101</v>
      </c>
      <c r="E420" t="s">
        <v>12</v>
      </c>
      <c r="F420">
        <v>0.67600000000000005</v>
      </c>
      <c r="G420" t="s">
        <v>13</v>
      </c>
    </row>
    <row r="421" spans="1:7" x14ac:dyDescent="0.25">
      <c r="A421">
        <v>35</v>
      </c>
      <c r="B421" t="s">
        <v>179</v>
      </c>
      <c r="C421">
        <v>120</v>
      </c>
      <c r="D421" t="s">
        <v>180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181</v>
      </c>
      <c r="C422">
        <v>10</v>
      </c>
      <c r="D422" t="s">
        <v>107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181</v>
      </c>
      <c r="C423">
        <v>20</v>
      </c>
      <c r="D423" t="s">
        <v>565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181</v>
      </c>
      <c r="C424">
        <v>30</v>
      </c>
      <c r="D424" t="s">
        <v>99</v>
      </c>
      <c r="E424" t="s">
        <v>100</v>
      </c>
      <c r="F424">
        <v>0.434</v>
      </c>
      <c r="G424" t="s">
        <v>13</v>
      </c>
    </row>
    <row r="425" spans="1:7" x14ac:dyDescent="0.25">
      <c r="A425">
        <v>36</v>
      </c>
      <c r="B425" t="s">
        <v>181</v>
      </c>
      <c r="C425">
        <v>40</v>
      </c>
      <c r="D425" t="s">
        <v>108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181</v>
      </c>
      <c r="C426">
        <v>50</v>
      </c>
      <c r="D426" t="s">
        <v>105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181</v>
      </c>
      <c r="C427">
        <v>60</v>
      </c>
      <c r="D427" t="s">
        <v>106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181</v>
      </c>
      <c r="C428">
        <v>70</v>
      </c>
      <c r="D428" t="s">
        <v>104</v>
      </c>
      <c r="E428" t="s">
        <v>12</v>
      </c>
      <c r="F428">
        <v>0.115</v>
      </c>
      <c r="G428" t="s">
        <v>13</v>
      </c>
    </row>
    <row r="429" spans="1:7" x14ac:dyDescent="0.25">
      <c r="A429">
        <v>36</v>
      </c>
      <c r="B429" t="s">
        <v>181</v>
      </c>
      <c r="C429">
        <v>80</v>
      </c>
      <c r="D429" t="s">
        <v>111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181</v>
      </c>
      <c r="C430">
        <v>90</v>
      </c>
      <c r="D430" t="s">
        <v>18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181</v>
      </c>
      <c r="C431">
        <v>100</v>
      </c>
      <c r="D431" t="s">
        <v>19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181</v>
      </c>
      <c r="C432">
        <v>110</v>
      </c>
      <c r="D432" t="s">
        <v>101</v>
      </c>
      <c r="E432" t="s">
        <v>12</v>
      </c>
      <c r="F432">
        <v>0.67600000000000005</v>
      </c>
      <c r="G432" t="s">
        <v>13</v>
      </c>
    </row>
    <row r="433" spans="1:7" x14ac:dyDescent="0.25">
      <c r="A433">
        <v>36</v>
      </c>
      <c r="B433" t="s">
        <v>181</v>
      </c>
      <c r="C433">
        <v>120</v>
      </c>
      <c r="D433" t="s">
        <v>182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183</v>
      </c>
      <c r="C434">
        <v>10</v>
      </c>
      <c r="D434" t="s">
        <v>107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183</v>
      </c>
      <c r="C435">
        <v>20</v>
      </c>
      <c r="D435" t="s">
        <v>565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183</v>
      </c>
      <c r="C436">
        <v>30</v>
      </c>
      <c r="D436" t="s">
        <v>99</v>
      </c>
      <c r="E436" t="s">
        <v>100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183</v>
      </c>
      <c r="C437">
        <v>40</v>
      </c>
      <c r="D437" t="s">
        <v>108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183</v>
      </c>
      <c r="C438">
        <v>50</v>
      </c>
      <c r="D438" t="s">
        <v>105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183</v>
      </c>
      <c r="C439">
        <v>60</v>
      </c>
      <c r="D439" t="s">
        <v>106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183</v>
      </c>
      <c r="C440">
        <v>70</v>
      </c>
      <c r="D440" t="s">
        <v>104</v>
      </c>
      <c r="E440" t="s">
        <v>12</v>
      </c>
      <c r="F440">
        <v>0.12</v>
      </c>
      <c r="G440" t="s">
        <v>13</v>
      </c>
    </row>
    <row r="441" spans="1:7" x14ac:dyDescent="0.25">
      <c r="A441">
        <v>37</v>
      </c>
      <c r="B441" t="s">
        <v>183</v>
      </c>
      <c r="C441">
        <v>80</v>
      </c>
      <c r="D441" t="s">
        <v>111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183</v>
      </c>
      <c r="C442">
        <v>90</v>
      </c>
      <c r="D442" t="s">
        <v>18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183</v>
      </c>
      <c r="C443">
        <v>100</v>
      </c>
      <c r="D443" t="s">
        <v>19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183</v>
      </c>
      <c r="C444">
        <v>110</v>
      </c>
      <c r="D444" t="s">
        <v>101</v>
      </c>
      <c r="E444" t="s">
        <v>12</v>
      </c>
      <c r="F444">
        <v>0.67600000000000005</v>
      </c>
      <c r="G444" t="s">
        <v>13</v>
      </c>
    </row>
    <row r="445" spans="1:7" x14ac:dyDescent="0.25">
      <c r="A445">
        <v>37</v>
      </c>
      <c r="B445" t="s">
        <v>183</v>
      </c>
      <c r="C445">
        <v>120</v>
      </c>
      <c r="D445" t="s">
        <v>184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185</v>
      </c>
      <c r="C446">
        <v>10</v>
      </c>
      <c r="D446" t="s">
        <v>107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185</v>
      </c>
      <c r="C447">
        <v>20</v>
      </c>
      <c r="D447" t="s">
        <v>565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185</v>
      </c>
      <c r="C448">
        <v>30</v>
      </c>
      <c r="D448" t="s">
        <v>99</v>
      </c>
      <c r="E448" t="s">
        <v>100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185</v>
      </c>
      <c r="C449">
        <v>40</v>
      </c>
      <c r="D449" t="s">
        <v>108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185</v>
      </c>
      <c r="C450">
        <v>50</v>
      </c>
      <c r="D450" t="s">
        <v>105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185</v>
      </c>
      <c r="C451">
        <v>60</v>
      </c>
      <c r="D451" t="s">
        <v>106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185</v>
      </c>
      <c r="C452">
        <v>70</v>
      </c>
      <c r="D452" t="s">
        <v>104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185</v>
      </c>
      <c r="C453">
        <v>80</v>
      </c>
      <c r="D453" t="s">
        <v>111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185</v>
      </c>
      <c r="C454">
        <v>90</v>
      </c>
      <c r="D454" t="s">
        <v>18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185</v>
      </c>
      <c r="C455">
        <v>100</v>
      </c>
      <c r="D455" t="s">
        <v>19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185</v>
      </c>
      <c r="C456">
        <v>110</v>
      </c>
      <c r="D456" t="s">
        <v>101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185</v>
      </c>
      <c r="C457">
        <v>120</v>
      </c>
      <c r="D457" t="s">
        <v>186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187</v>
      </c>
      <c r="C458">
        <v>10</v>
      </c>
      <c r="D458" t="s">
        <v>107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187</v>
      </c>
      <c r="C459">
        <v>20</v>
      </c>
      <c r="D459" t="s">
        <v>565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187</v>
      </c>
      <c r="C460">
        <v>30</v>
      </c>
      <c r="D460" t="s">
        <v>99</v>
      </c>
      <c r="E460" t="s">
        <v>100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187</v>
      </c>
      <c r="C461">
        <v>40</v>
      </c>
      <c r="D461" t="s">
        <v>108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187</v>
      </c>
      <c r="C462">
        <v>50</v>
      </c>
      <c r="D462" t="s">
        <v>105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187</v>
      </c>
      <c r="C463">
        <v>60</v>
      </c>
      <c r="D463" t="s">
        <v>106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187</v>
      </c>
      <c r="C464">
        <v>70</v>
      </c>
      <c r="D464" t="s">
        <v>104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187</v>
      </c>
      <c r="C465">
        <v>80</v>
      </c>
      <c r="D465" t="s">
        <v>111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187</v>
      </c>
      <c r="C466">
        <v>90</v>
      </c>
      <c r="D466" t="s">
        <v>18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187</v>
      </c>
      <c r="C467">
        <v>100</v>
      </c>
      <c r="D467" t="s">
        <v>19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187</v>
      </c>
      <c r="C468">
        <v>110</v>
      </c>
      <c r="D468" t="s">
        <v>101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39</v>
      </c>
      <c r="B469" t="s">
        <v>187</v>
      </c>
      <c r="C469">
        <v>120</v>
      </c>
      <c r="D469" t="s">
        <v>188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189</v>
      </c>
      <c r="C470">
        <v>10</v>
      </c>
      <c r="D470" t="s">
        <v>107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189</v>
      </c>
      <c r="C471">
        <v>20</v>
      </c>
      <c r="D471" t="s">
        <v>565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189</v>
      </c>
      <c r="C472">
        <v>30</v>
      </c>
      <c r="D472" t="s">
        <v>99</v>
      </c>
      <c r="E472" t="s">
        <v>100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189</v>
      </c>
      <c r="C473">
        <v>40</v>
      </c>
      <c r="D473" t="s">
        <v>108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189</v>
      </c>
      <c r="C474">
        <v>50</v>
      </c>
      <c r="D474" t="s">
        <v>105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189</v>
      </c>
      <c r="C475">
        <v>60</v>
      </c>
      <c r="D475" t="s">
        <v>106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189</v>
      </c>
      <c r="C476">
        <v>70</v>
      </c>
      <c r="D476" t="s">
        <v>104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189</v>
      </c>
      <c r="C477">
        <v>80</v>
      </c>
      <c r="D477" t="s">
        <v>111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189</v>
      </c>
      <c r="C478">
        <v>90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189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189</v>
      </c>
      <c r="C480">
        <v>110</v>
      </c>
      <c r="D480" t="s">
        <v>101</v>
      </c>
      <c r="E480" t="s">
        <v>12</v>
      </c>
      <c r="F480">
        <v>0.67600000000000005</v>
      </c>
      <c r="G480" t="s">
        <v>13</v>
      </c>
    </row>
    <row r="481" spans="1:7" x14ac:dyDescent="0.25">
      <c r="A481">
        <v>40</v>
      </c>
      <c r="B481" t="s">
        <v>189</v>
      </c>
      <c r="C481">
        <v>120</v>
      </c>
      <c r="D481" t="s">
        <v>190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191</v>
      </c>
      <c r="C482">
        <v>10</v>
      </c>
      <c r="D482" t="s">
        <v>107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191</v>
      </c>
      <c r="C483">
        <v>20</v>
      </c>
      <c r="D483" t="s">
        <v>565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191</v>
      </c>
      <c r="C484">
        <v>30</v>
      </c>
      <c r="D484" t="s">
        <v>99</v>
      </c>
      <c r="E484" t="s">
        <v>100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191</v>
      </c>
      <c r="C485">
        <v>40</v>
      </c>
      <c r="D485" t="s">
        <v>108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191</v>
      </c>
      <c r="C486">
        <v>50</v>
      </c>
      <c r="D486" t="s">
        <v>105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191</v>
      </c>
      <c r="C487">
        <v>60</v>
      </c>
      <c r="D487" t="s">
        <v>106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191</v>
      </c>
      <c r="C488">
        <v>70</v>
      </c>
      <c r="D488" t="s">
        <v>104</v>
      </c>
      <c r="E488" t="s">
        <v>12</v>
      </c>
      <c r="F488">
        <v>8.3000000000000004E-2</v>
      </c>
      <c r="G488" t="s">
        <v>13</v>
      </c>
    </row>
    <row r="489" spans="1:7" x14ac:dyDescent="0.25">
      <c r="A489">
        <v>41</v>
      </c>
      <c r="B489" t="s">
        <v>191</v>
      </c>
      <c r="C489">
        <v>80</v>
      </c>
      <c r="D489" t="s">
        <v>192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191</v>
      </c>
      <c r="C490">
        <v>90</v>
      </c>
      <c r="D490" t="s">
        <v>18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191</v>
      </c>
      <c r="C491">
        <v>100</v>
      </c>
      <c r="D491" t="s">
        <v>19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191</v>
      </c>
      <c r="C492">
        <v>110</v>
      </c>
      <c r="D492" t="s">
        <v>101</v>
      </c>
      <c r="E492" t="s">
        <v>12</v>
      </c>
      <c r="F492">
        <v>0.3</v>
      </c>
      <c r="G492" t="s">
        <v>13</v>
      </c>
    </row>
    <row r="493" spans="1:7" x14ac:dyDescent="0.25">
      <c r="A493">
        <v>41</v>
      </c>
      <c r="B493" t="s">
        <v>191</v>
      </c>
      <c r="C493">
        <v>120</v>
      </c>
      <c r="D493" t="s">
        <v>193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194</v>
      </c>
      <c r="C494">
        <v>10</v>
      </c>
      <c r="D494" t="s">
        <v>107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194</v>
      </c>
      <c r="C495">
        <v>20</v>
      </c>
      <c r="D495" t="s">
        <v>565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194</v>
      </c>
      <c r="C496">
        <v>30</v>
      </c>
      <c r="D496" t="s">
        <v>99</v>
      </c>
      <c r="E496" t="s">
        <v>100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194</v>
      </c>
      <c r="C497">
        <v>40</v>
      </c>
      <c r="D497" t="s">
        <v>108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194</v>
      </c>
      <c r="C498">
        <v>50</v>
      </c>
      <c r="D498" t="s">
        <v>105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194</v>
      </c>
      <c r="C499">
        <v>60</v>
      </c>
      <c r="D499" t="s">
        <v>106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194</v>
      </c>
      <c r="C500">
        <v>70</v>
      </c>
      <c r="D500" t="s">
        <v>104</v>
      </c>
      <c r="E500" t="s">
        <v>12</v>
      </c>
      <c r="F500">
        <v>9.4E-2</v>
      </c>
      <c r="G500" t="s">
        <v>13</v>
      </c>
    </row>
    <row r="501" spans="1:7" x14ac:dyDescent="0.25">
      <c r="A501">
        <v>42</v>
      </c>
      <c r="B501" t="s">
        <v>194</v>
      </c>
      <c r="C501">
        <v>80</v>
      </c>
      <c r="D501" t="s">
        <v>192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194</v>
      </c>
      <c r="C502">
        <v>90</v>
      </c>
      <c r="D502" t="s">
        <v>18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194</v>
      </c>
      <c r="C503">
        <v>100</v>
      </c>
      <c r="D503" t="s">
        <v>19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194</v>
      </c>
      <c r="C504">
        <v>110</v>
      </c>
      <c r="D504" t="s">
        <v>101</v>
      </c>
      <c r="E504" t="s">
        <v>12</v>
      </c>
      <c r="F504">
        <v>0.34499999999999997</v>
      </c>
      <c r="G504" t="s">
        <v>13</v>
      </c>
    </row>
    <row r="505" spans="1:7" x14ac:dyDescent="0.25">
      <c r="A505">
        <v>42</v>
      </c>
      <c r="B505" t="s">
        <v>194</v>
      </c>
      <c r="C505">
        <v>120</v>
      </c>
      <c r="D505" t="s">
        <v>195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196</v>
      </c>
      <c r="C506">
        <v>10</v>
      </c>
      <c r="D506" t="s">
        <v>107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196</v>
      </c>
      <c r="C507">
        <v>20</v>
      </c>
      <c r="D507" t="s">
        <v>565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196</v>
      </c>
      <c r="C508">
        <v>30</v>
      </c>
      <c r="D508" t="s">
        <v>99</v>
      </c>
      <c r="E508" t="s">
        <v>100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196</v>
      </c>
      <c r="C509">
        <v>40</v>
      </c>
      <c r="D509" t="s">
        <v>108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196</v>
      </c>
      <c r="C510">
        <v>50</v>
      </c>
      <c r="D510" t="s">
        <v>105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196</v>
      </c>
      <c r="C511">
        <v>60</v>
      </c>
      <c r="D511" t="s">
        <v>106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196</v>
      </c>
      <c r="C512">
        <v>70</v>
      </c>
      <c r="D512" t="s">
        <v>104</v>
      </c>
      <c r="E512" t="s">
        <v>12</v>
      </c>
      <c r="F512">
        <v>0.105</v>
      </c>
      <c r="G512" t="s">
        <v>13</v>
      </c>
    </row>
    <row r="513" spans="1:7" x14ac:dyDescent="0.25">
      <c r="A513">
        <v>43</v>
      </c>
      <c r="B513" t="s">
        <v>196</v>
      </c>
      <c r="C513">
        <v>80</v>
      </c>
      <c r="D513" t="s">
        <v>192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196</v>
      </c>
      <c r="C514">
        <v>90</v>
      </c>
      <c r="D514" t="s">
        <v>18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196</v>
      </c>
      <c r="C515">
        <v>100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196</v>
      </c>
      <c r="C516">
        <v>110</v>
      </c>
      <c r="D516" t="s">
        <v>101</v>
      </c>
      <c r="E516" t="s">
        <v>12</v>
      </c>
      <c r="F516">
        <v>0.39</v>
      </c>
      <c r="G516" t="s">
        <v>13</v>
      </c>
    </row>
    <row r="517" spans="1:7" x14ac:dyDescent="0.25">
      <c r="A517">
        <v>43</v>
      </c>
      <c r="B517" t="s">
        <v>196</v>
      </c>
      <c r="C517">
        <v>120</v>
      </c>
      <c r="D517" t="s">
        <v>197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198</v>
      </c>
      <c r="C518">
        <v>10</v>
      </c>
      <c r="D518" t="s">
        <v>107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198</v>
      </c>
      <c r="C519">
        <v>20</v>
      </c>
      <c r="D519" t="s">
        <v>565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198</v>
      </c>
      <c r="C520">
        <v>30</v>
      </c>
      <c r="D520" t="s">
        <v>99</v>
      </c>
      <c r="E520" t="s">
        <v>100</v>
      </c>
      <c r="F520">
        <v>0.372</v>
      </c>
      <c r="G520" t="s">
        <v>13</v>
      </c>
    </row>
    <row r="521" spans="1:7" x14ac:dyDescent="0.25">
      <c r="A521">
        <v>44</v>
      </c>
      <c r="B521" t="s">
        <v>198</v>
      </c>
      <c r="C521">
        <v>40</v>
      </c>
      <c r="D521" t="s">
        <v>108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198</v>
      </c>
      <c r="C522">
        <v>50</v>
      </c>
      <c r="D522" t="s">
        <v>105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198</v>
      </c>
      <c r="C523">
        <v>60</v>
      </c>
      <c r="D523" t="s">
        <v>106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198</v>
      </c>
      <c r="C524">
        <v>70</v>
      </c>
      <c r="D524" t="s">
        <v>104</v>
      </c>
      <c r="E524" t="s">
        <v>12</v>
      </c>
      <c r="F524">
        <v>0.11700000000000001</v>
      </c>
      <c r="G524" t="s">
        <v>13</v>
      </c>
    </row>
    <row r="525" spans="1:7" x14ac:dyDescent="0.25">
      <c r="A525">
        <v>44</v>
      </c>
      <c r="B525" t="s">
        <v>198</v>
      </c>
      <c r="C525">
        <v>80</v>
      </c>
      <c r="D525" t="s">
        <v>192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198</v>
      </c>
      <c r="C526">
        <v>90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198</v>
      </c>
      <c r="C527">
        <v>100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198</v>
      </c>
      <c r="C528">
        <v>110</v>
      </c>
      <c r="D528" t="s">
        <v>101</v>
      </c>
      <c r="E528" t="s">
        <v>12</v>
      </c>
      <c r="F528">
        <v>0.435</v>
      </c>
      <c r="G528" t="s">
        <v>13</v>
      </c>
    </row>
    <row r="529" spans="1:7" x14ac:dyDescent="0.25">
      <c r="A529">
        <v>44</v>
      </c>
      <c r="B529" t="s">
        <v>198</v>
      </c>
      <c r="C529">
        <v>120</v>
      </c>
      <c r="D529" t="s">
        <v>199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200</v>
      </c>
      <c r="C530">
        <v>10</v>
      </c>
      <c r="D530" t="s">
        <v>107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200</v>
      </c>
      <c r="C531">
        <v>20</v>
      </c>
      <c r="D531" t="s">
        <v>565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200</v>
      </c>
      <c r="C532">
        <v>30</v>
      </c>
      <c r="D532" t="s">
        <v>99</v>
      </c>
      <c r="E532" t="s">
        <v>100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200</v>
      </c>
      <c r="C533">
        <v>40</v>
      </c>
      <c r="D533" t="s">
        <v>108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200</v>
      </c>
      <c r="C534">
        <v>50</v>
      </c>
      <c r="D534" t="s">
        <v>105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200</v>
      </c>
      <c r="C535">
        <v>60</v>
      </c>
      <c r="D535" t="s">
        <v>106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200</v>
      </c>
      <c r="C536">
        <v>70</v>
      </c>
      <c r="D536" t="s">
        <v>104</v>
      </c>
      <c r="E536" t="s">
        <v>12</v>
      </c>
      <c r="F536">
        <v>0.122</v>
      </c>
      <c r="G536" t="s">
        <v>13</v>
      </c>
    </row>
    <row r="537" spans="1:7" x14ac:dyDescent="0.25">
      <c r="A537">
        <v>45</v>
      </c>
      <c r="B537" t="s">
        <v>200</v>
      </c>
      <c r="C537">
        <v>80</v>
      </c>
      <c r="D537" t="s">
        <v>192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200</v>
      </c>
      <c r="C538">
        <v>90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200</v>
      </c>
      <c r="C539">
        <v>100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200</v>
      </c>
      <c r="C540">
        <v>110</v>
      </c>
      <c r="D540" t="s">
        <v>101</v>
      </c>
      <c r="E540" t="s">
        <v>12</v>
      </c>
      <c r="F540">
        <v>0.45800000000000002</v>
      </c>
      <c r="G540" t="s">
        <v>13</v>
      </c>
    </row>
    <row r="541" spans="1:7" x14ac:dyDescent="0.25">
      <c r="A541">
        <v>45</v>
      </c>
      <c r="B541" t="s">
        <v>200</v>
      </c>
      <c r="C541">
        <v>120</v>
      </c>
      <c r="D541" t="s">
        <v>201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202</v>
      </c>
      <c r="C542">
        <v>10</v>
      </c>
      <c r="D542" t="s">
        <v>107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202</v>
      </c>
      <c r="C543">
        <v>20</v>
      </c>
      <c r="D543" t="s">
        <v>565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202</v>
      </c>
      <c r="C544">
        <v>30</v>
      </c>
      <c r="D544" t="s">
        <v>99</v>
      </c>
      <c r="E544" t="s">
        <v>100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202</v>
      </c>
      <c r="C545">
        <v>40</v>
      </c>
      <c r="D545" t="s">
        <v>108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202</v>
      </c>
      <c r="C546">
        <v>50</v>
      </c>
      <c r="D546" t="s">
        <v>105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202</v>
      </c>
      <c r="C547">
        <v>60</v>
      </c>
      <c r="D547" t="s">
        <v>106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202</v>
      </c>
      <c r="C548">
        <v>70</v>
      </c>
      <c r="D548" t="s">
        <v>104</v>
      </c>
      <c r="E548" t="s">
        <v>12</v>
      </c>
      <c r="F548">
        <v>0.128</v>
      </c>
      <c r="G548" t="s">
        <v>13</v>
      </c>
    </row>
    <row r="549" spans="1:7" x14ac:dyDescent="0.25">
      <c r="A549">
        <v>46</v>
      </c>
      <c r="B549" t="s">
        <v>202</v>
      </c>
      <c r="C549">
        <v>80</v>
      </c>
      <c r="D549" t="s">
        <v>192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202</v>
      </c>
      <c r="C550">
        <v>90</v>
      </c>
      <c r="D550" t="s">
        <v>18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202</v>
      </c>
      <c r="C551">
        <v>100</v>
      </c>
      <c r="D551" t="s">
        <v>19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202</v>
      </c>
      <c r="C552">
        <v>110</v>
      </c>
      <c r="D552" t="s">
        <v>101</v>
      </c>
      <c r="E552" t="s">
        <v>12</v>
      </c>
      <c r="F552">
        <v>0.48</v>
      </c>
      <c r="G552" t="s">
        <v>13</v>
      </c>
    </row>
    <row r="553" spans="1:7" x14ac:dyDescent="0.25">
      <c r="A553">
        <v>46</v>
      </c>
      <c r="B553" t="s">
        <v>202</v>
      </c>
      <c r="C553">
        <v>120</v>
      </c>
      <c r="D553" t="s">
        <v>203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204</v>
      </c>
      <c r="C554">
        <v>10</v>
      </c>
      <c r="D554" t="s">
        <v>107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204</v>
      </c>
      <c r="C555">
        <v>20</v>
      </c>
      <c r="D555" t="s">
        <v>565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204</v>
      </c>
      <c r="C556">
        <v>30</v>
      </c>
      <c r="D556" t="s">
        <v>99</v>
      </c>
      <c r="E556" t="s">
        <v>100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204</v>
      </c>
      <c r="C557">
        <v>40</v>
      </c>
      <c r="D557" t="s">
        <v>108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204</v>
      </c>
      <c r="C558">
        <v>50</v>
      </c>
      <c r="D558" t="s">
        <v>105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204</v>
      </c>
      <c r="C559">
        <v>60</v>
      </c>
      <c r="D559" t="s">
        <v>106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204</v>
      </c>
      <c r="C560">
        <v>70</v>
      </c>
      <c r="D560" t="s">
        <v>104</v>
      </c>
      <c r="E560" t="s">
        <v>12</v>
      </c>
      <c r="F560">
        <v>0.13900000000000001</v>
      </c>
      <c r="G560" t="s">
        <v>13</v>
      </c>
    </row>
    <row r="561" spans="1:7" x14ac:dyDescent="0.25">
      <c r="A561">
        <v>47</v>
      </c>
      <c r="B561" t="s">
        <v>204</v>
      </c>
      <c r="C561">
        <v>80</v>
      </c>
      <c r="D561" t="s">
        <v>192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204</v>
      </c>
      <c r="C562">
        <v>90</v>
      </c>
      <c r="D562" t="s">
        <v>18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204</v>
      </c>
      <c r="C563">
        <v>100</v>
      </c>
      <c r="D563" t="s">
        <v>19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204</v>
      </c>
      <c r="C564">
        <v>110</v>
      </c>
      <c r="D564" t="s">
        <v>101</v>
      </c>
      <c r="E564" t="s">
        <v>12</v>
      </c>
      <c r="F564">
        <v>0.52500000000000002</v>
      </c>
      <c r="G564" t="s">
        <v>13</v>
      </c>
    </row>
    <row r="565" spans="1:7" x14ac:dyDescent="0.25">
      <c r="A565">
        <v>47</v>
      </c>
      <c r="B565" t="s">
        <v>204</v>
      </c>
      <c r="C565">
        <v>120</v>
      </c>
      <c r="D565" t="s">
        <v>205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206</v>
      </c>
      <c r="C566">
        <v>10</v>
      </c>
      <c r="D566" t="s">
        <v>107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206</v>
      </c>
      <c r="C567">
        <v>20</v>
      </c>
      <c r="D567" t="s">
        <v>565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206</v>
      </c>
      <c r="C568">
        <v>30</v>
      </c>
      <c r="D568" t="s">
        <v>99</v>
      </c>
      <c r="E568" t="s">
        <v>100</v>
      </c>
      <c r="F568">
        <v>0.503</v>
      </c>
      <c r="G568" t="s">
        <v>13</v>
      </c>
    </row>
    <row r="569" spans="1:7" x14ac:dyDescent="0.25">
      <c r="A569">
        <v>48</v>
      </c>
      <c r="B569" t="s">
        <v>206</v>
      </c>
      <c r="C569">
        <v>40</v>
      </c>
      <c r="D569" t="s">
        <v>108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206</v>
      </c>
      <c r="C570">
        <v>50</v>
      </c>
      <c r="D570" t="s">
        <v>105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206</v>
      </c>
      <c r="C571">
        <v>60</v>
      </c>
      <c r="D571" t="s">
        <v>106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206</v>
      </c>
      <c r="C572">
        <v>70</v>
      </c>
      <c r="D572" t="s">
        <v>104</v>
      </c>
      <c r="E572" t="s">
        <v>12</v>
      </c>
      <c r="F572">
        <v>0.15</v>
      </c>
      <c r="G572" t="s">
        <v>13</v>
      </c>
    </row>
    <row r="573" spans="1:7" x14ac:dyDescent="0.25">
      <c r="A573">
        <v>48</v>
      </c>
      <c r="B573" t="s">
        <v>206</v>
      </c>
      <c r="C573">
        <v>80</v>
      </c>
      <c r="D573" t="s">
        <v>192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206</v>
      </c>
      <c r="C574">
        <v>90</v>
      </c>
      <c r="D574" t="s">
        <v>18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206</v>
      </c>
      <c r="C575">
        <v>100</v>
      </c>
      <c r="D575" t="s">
        <v>19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206</v>
      </c>
      <c r="C576">
        <v>110</v>
      </c>
      <c r="D576" t="s">
        <v>101</v>
      </c>
      <c r="E576" t="s">
        <v>12</v>
      </c>
      <c r="F576">
        <v>0.56999999999999995</v>
      </c>
      <c r="G576" t="s">
        <v>13</v>
      </c>
    </row>
    <row r="577" spans="1:7" x14ac:dyDescent="0.25">
      <c r="A577">
        <v>48</v>
      </c>
      <c r="B577" t="s">
        <v>206</v>
      </c>
      <c r="C577">
        <v>120</v>
      </c>
      <c r="D577" t="s">
        <v>207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208</v>
      </c>
      <c r="C578">
        <v>10</v>
      </c>
      <c r="D578" t="s">
        <v>107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208</v>
      </c>
      <c r="C579">
        <v>20</v>
      </c>
      <c r="D579" t="s">
        <v>565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208</v>
      </c>
      <c r="C580">
        <v>30</v>
      </c>
      <c r="D580" t="s">
        <v>99</v>
      </c>
      <c r="E580" t="s">
        <v>100</v>
      </c>
      <c r="F580">
        <v>0.251</v>
      </c>
      <c r="G580" t="s">
        <v>13</v>
      </c>
    </row>
    <row r="581" spans="1:7" x14ac:dyDescent="0.25">
      <c r="A581">
        <v>49</v>
      </c>
      <c r="B581" t="s">
        <v>208</v>
      </c>
      <c r="C581">
        <v>40</v>
      </c>
      <c r="D581" t="s">
        <v>108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208</v>
      </c>
      <c r="C582">
        <v>50</v>
      </c>
      <c r="D582" t="s">
        <v>105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208</v>
      </c>
      <c r="C583">
        <v>60</v>
      </c>
      <c r="D583" t="s">
        <v>106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208</v>
      </c>
      <c r="C584">
        <v>70</v>
      </c>
      <c r="D584" t="s">
        <v>104</v>
      </c>
      <c r="E584" t="s">
        <v>12</v>
      </c>
      <c r="F584">
        <v>8.3000000000000004E-2</v>
      </c>
      <c r="G584" t="s">
        <v>13</v>
      </c>
    </row>
    <row r="585" spans="1:7" x14ac:dyDescent="0.25">
      <c r="A585">
        <v>49</v>
      </c>
      <c r="B585" t="s">
        <v>208</v>
      </c>
      <c r="C585">
        <v>80</v>
      </c>
      <c r="D585" t="s">
        <v>192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208</v>
      </c>
      <c r="C586">
        <v>90</v>
      </c>
      <c r="D586" t="s">
        <v>18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208</v>
      </c>
      <c r="C587">
        <v>100</v>
      </c>
      <c r="D587" t="s">
        <v>19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208</v>
      </c>
      <c r="C588">
        <v>110</v>
      </c>
      <c r="D588" t="s">
        <v>101</v>
      </c>
      <c r="E588" t="s">
        <v>12</v>
      </c>
      <c r="F588">
        <v>0.3</v>
      </c>
      <c r="G588" t="s">
        <v>13</v>
      </c>
    </row>
    <row r="589" spans="1:7" x14ac:dyDescent="0.25">
      <c r="A589">
        <v>49</v>
      </c>
      <c r="B589" t="s">
        <v>208</v>
      </c>
      <c r="C589">
        <v>120</v>
      </c>
      <c r="D589" t="s">
        <v>209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210</v>
      </c>
      <c r="C590">
        <v>10</v>
      </c>
      <c r="D590" t="s">
        <v>107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210</v>
      </c>
      <c r="C591">
        <v>20</v>
      </c>
      <c r="D591" t="s">
        <v>565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210</v>
      </c>
      <c r="C592">
        <v>30</v>
      </c>
      <c r="D592" t="s">
        <v>99</v>
      </c>
      <c r="E592" t="s">
        <v>100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210</v>
      </c>
      <c r="C593">
        <v>40</v>
      </c>
      <c r="D593" t="s">
        <v>108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210</v>
      </c>
      <c r="C594">
        <v>50</v>
      </c>
      <c r="D594" t="s">
        <v>105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210</v>
      </c>
      <c r="C595">
        <v>60</v>
      </c>
      <c r="D595" t="s">
        <v>106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210</v>
      </c>
      <c r="C596">
        <v>70</v>
      </c>
      <c r="D596" t="s">
        <v>104</v>
      </c>
      <c r="E596" t="s">
        <v>12</v>
      </c>
      <c r="F596">
        <v>9.4E-2</v>
      </c>
      <c r="G596" t="s">
        <v>13</v>
      </c>
    </row>
    <row r="597" spans="1:7" x14ac:dyDescent="0.25">
      <c r="A597">
        <v>50</v>
      </c>
      <c r="B597" t="s">
        <v>210</v>
      </c>
      <c r="C597">
        <v>80</v>
      </c>
      <c r="D597" t="s">
        <v>192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210</v>
      </c>
      <c r="C598">
        <v>90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210</v>
      </c>
      <c r="C599">
        <v>100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210</v>
      </c>
      <c r="C600">
        <v>110</v>
      </c>
      <c r="D600" t="s">
        <v>101</v>
      </c>
      <c r="E600" t="s">
        <v>12</v>
      </c>
      <c r="F600">
        <v>0.34499999999999997</v>
      </c>
      <c r="G600" t="s">
        <v>13</v>
      </c>
    </row>
    <row r="601" spans="1:7" x14ac:dyDescent="0.25">
      <c r="A601">
        <v>50</v>
      </c>
      <c r="B601" t="s">
        <v>210</v>
      </c>
      <c r="C601">
        <v>120</v>
      </c>
      <c r="D601" t="s">
        <v>211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212</v>
      </c>
      <c r="C602">
        <v>10</v>
      </c>
      <c r="D602" t="s">
        <v>107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212</v>
      </c>
      <c r="C603">
        <v>20</v>
      </c>
      <c r="D603" t="s">
        <v>565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212</v>
      </c>
      <c r="C604">
        <v>30</v>
      </c>
      <c r="D604" t="s">
        <v>99</v>
      </c>
      <c r="E604" t="s">
        <v>100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212</v>
      </c>
      <c r="C605">
        <v>40</v>
      </c>
      <c r="D605" t="s">
        <v>108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212</v>
      </c>
      <c r="C606">
        <v>50</v>
      </c>
      <c r="D606" t="s">
        <v>105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212</v>
      </c>
      <c r="C607">
        <v>60</v>
      </c>
      <c r="D607" t="s">
        <v>106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212</v>
      </c>
      <c r="C608">
        <v>70</v>
      </c>
      <c r="D608" t="s">
        <v>104</v>
      </c>
      <c r="E608" t="s">
        <v>12</v>
      </c>
      <c r="F608">
        <v>0.105</v>
      </c>
      <c r="G608" t="s">
        <v>13</v>
      </c>
    </row>
    <row r="609" spans="1:7" x14ac:dyDescent="0.25">
      <c r="A609">
        <v>51</v>
      </c>
      <c r="B609" t="s">
        <v>212</v>
      </c>
      <c r="C609">
        <v>80</v>
      </c>
      <c r="D609" t="s">
        <v>192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212</v>
      </c>
      <c r="C610">
        <v>90</v>
      </c>
      <c r="D610" t="s">
        <v>18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212</v>
      </c>
      <c r="C611">
        <v>100</v>
      </c>
      <c r="D611" t="s">
        <v>19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212</v>
      </c>
      <c r="C612">
        <v>110</v>
      </c>
      <c r="D612" t="s">
        <v>101</v>
      </c>
      <c r="E612" t="s">
        <v>12</v>
      </c>
      <c r="F612">
        <v>0.39</v>
      </c>
      <c r="G612" t="s">
        <v>13</v>
      </c>
    </row>
    <row r="613" spans="1:7" x14ac:dyDescent="0.25">
      <c r="A613">
        <v>51</v>
      </c>
      <c r="B613" t="s">
        <v>212</v>
      </c>
      <c r="C613">
        <v>120</v>
      </c>
      <c r="D613" t="s">
        <v>213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214</v>
      </c>
      <c r="C614">
        <v>10</v>
      </c>
      <c r="D614" t="s">
        <v>107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214</v>
      </c>
      <c r="C615">
        <v>20</v>
      </c>
      <c r="D615" t="s">
        <v>565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214</v>
      </c>
      <c r="C616">
        <v>30</v>
      </c>
      <c r="D616" t="s">
        <v>99</v>
      </c>
      <c r="E616" t="s">
        <v>100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214</v>
      </c>
      <c r="C617">
        <v>40</v>
      </c>
      <c r="D617" t="s">
        <v>108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214</v>
      </c>
      <c r="C618">
        <v>50</v>
      </c>
      <c r="D618" t="s">
        <v>105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214</v>
      </c>
      <c r="C619">
        <v>60</v>
      </c>
      <c r="D619" t="s">
        <v>106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214</v>
      </c>
      <c r="C620">
        <v>70</v>
      </c>
      <c r="D620" t="s">
        <v>104</v>
      </c>
      <c r="E620" t="s">
        <v>12</v>
      </c>
      <c r="F620">
        <v>0.11700000000000001</v>
      </c>
      <c r="G620" t="s">
        <v>13</v>
      </c>
    </row>
    <row r="621" spans="1:7" x14ac:dyDescent="0.25">
      <c r="A621">
        <v>52</v>
      </c>
      <c r="B621" t="s">
        <v>214</v>
      </c>
      <c r="C621">
        <v>80</v>
      </c>
      <c r="D621" t="s">
        <v>192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214</v>
      </c>
      <c r="C622">
        <v>90</v>
      </c>
      <c r="D622" t="s">
        <v>18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214</v>
      </c>
      <c r="C623">
        <v>100</v>
      </c>
      <c r="D623" t="s">
        <v>19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214</v>
      </c>
      <c r="C624">
        <v>110</v>
      </c>
      <c r="D624" t="s">
        <v>101</v>
      </c>
      <c r="E624" t="s">
        <v>12</v>
      </c>
      <c r="F624">
        <v>0.435</v>
      </c>
      <c r="G624" t="s">
        <v>13</v>
      </c>
    </row>
    <row r="625" spans="1:7" x14ac:dyDescent="0.25">
      <c r="A625">
        <v>52</v>
      </c>
      <c r="B625" t="s">
        <v>214</v>
      </c>
      <c r="C625">
        <v>120</v>
      </c>
      <c r="D625" t="s">
        <v>215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216</v>
      </c>
      <c r="C626">
        <v>10</v>
      </c>
      <c r="D626" t="s">
        <v>107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216</v>
      </c>
      <c r="C627">
        <v>20</v>
      </c>
      <c r="D627" t="s">
        <v>565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216</v>
      </c>
      <c r="C628">
        <v>30</v>
      </c>
      <c r="D628" t="s">
        <v>99</v>
      </c>
      <c r="E628" t="s">
        <v>100</v>
      </c>
      <c r="F628">
        <v>0.41</v>
      </c>
      <c r="G628" t="s">
        <v>13</v>
      </c>
    </row>
    <row r="629" spans="1:7" x14ac:dyDescent="0.25">
      <c r="A629">
        <v>53</v>
      </c>
      <c r="B629" t="s">
        <v>216</v>
      </c>
      <c r="C629">
        <v>40</v>
      </c>
      <c r="D629" t="s">
        <v>108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216</v>
      </c>
      <c r="C630">
        <v>50</v>
      </c>
      <c r="D630" t="s">
        <v>105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216</v>
      </c>
      <c r="C631">
        <v>60</v>
      </c>
      <c r="D631" t="s">
        <v>106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216</v>
      </c>
      <c r="C632">
        <v>70</v>
      </c>
      <c r="D632" t="s">
        <v>104</v>
      </c>
      <c r="E632" t="s">
        <v>12</v>
      </c>
      <c r="F632">
        <v>0.122</v>
      </c>
      <c r="G632" t="s">
        <v>13</v>
      </c>
    </row>
    <row r="633" spans="1:7" x14ac:dyDescent="0.25">
      <c r="A633">
        <v>53</v>
      </c>
      <c r="B633" t="s">
        <v>216</v>
      </c>
      <c r="C633">
        <v>80</v>
      </c>
      <c r="D633" t="s">
        <v>192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216</v>
      </c>
      <c r="C634">
        <v>90</v>
      </c>
      <c r="D634" t="s">
        <v>18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216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216</v>
      </c>
      <c r="C636">
        <v>110</v>
      </c>
      <c r="D636" t="s">
        <v>101</v>
      </c>
      <c r="E636" t="s">
        <v>12</v>
      </c>
      <c r="F636">
        <v>0.45800000000000002</v>
      </c>
      <c r="G636" t="s">
        <v>13</v>
      </c>
    </row>
    <row r="637" spans="1:7" x14ac:dyDescent="0.25">
      <c r="A637">
        <v>53</v>
      </c>
      <c r="B637" t="s">
        <v>216</v>
      </c>
      <c r="C637">
        <v>120</v>
      </c>
      <c r="D637" t="s">
        <v>217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218</v>
      </c>
      <c r="C638">
        <v>10</v>
      </c>
      <c r="D638" t="s">
        <v>107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218</v>
      </c>
      <c r="C639">
        <v>20</v>
      </c>
      <c r="D639" t="s">
        <v>565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218</v>
      </c>
      <c r="C640">
        <v>30</v>
      </c>
      <c r="D640" t="s">
        <v>99</v>
      </c>
      <c r="E640" t="s">
        <v>100</v>
      </c>
      <c r="F640">
        <v>0.433</v>
      </c>
      <c r="G640" t="s">
        <v>13</v>
      </c>
    </row>
    <row r="641" spans="1:7" x14ac:dyDescent="0.25">
      <c r="A641">
        <v>54</v>
      </c>
      <c r="B641" t="s">
        <v>218</v>
      </c>
      <c r="C641">
        <v>40</v>
      </c>
      <c r="D641" t="s">
        <v>108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218</v>
      </c>
      <c r="C642">
        <v>50</v>
      </c>
      <c r="D642" t="s">
        <v>105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218</v>
      </c>
      <c r="C643">
        <v>60</v>
      </c>
      <c r="D643" t="s">
        <v>106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218</v>
      </c>
      <c r="C644">
        <v>70</v>
      </c>
      <c r="D644" t="s">
        <v>104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218</v>
      </c>
      <c r="C645">
        <v>80</v>
      </c>
      <c r="D645" t="s">
        <v>192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218</v>
      </c>
      <c r="C646">
        <v>90</v>
      </c>
      <c r="D646" t="s">
        <v>18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218</v>
      </c>
      <c r="C647">
        <v>100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218</v>
      </c>
      <c r="C648">
        <v>110</v>
      </c>
      <c r="D648" t="s">
        <v>101</v>
      </c>
      <c r="E648" t="s">
        <v>12</v>
      </c>
      <c r="F648">
        <v>0.48</v>
      </c>
      <c r="G648" t="s">
        <v>13</v>
      </c>
    </row>
    <row r="649" spans="1:7" x14ac:dyDescent="0.25">
      <c r="A649">
        <v>54</v>
      </c>
      <c r="B649" t="s">
        <v>218</v>
      </c>
      <c r="C649">
        <v>120</v>
      </c>
      <c r="D649" t="s">
        <v>219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220</v>
      </c>
      <c r="C650">
        <v>10</v>
      </c>
      <c r="D650" t="s">
        <v>107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220</v>
      </c>
      <c r="C651">
        <v>20</v>
      </c>
      <c r="D651" t="s">
        <v>565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220</v>
      </c>
      <c r="C652">
        <v>30</v>
      </c>
      <c r="D652" t="s">
        <v>99</v>
      </c>
      <c r="E652" t="s">
        <v>100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220</v>
      </c>
      <c r="C653">
        <v>40</v>
      </c>
      <c r="D653" t="s">
        <v>108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220</v>
      </c>
      <c r="C654">
        <v>50</v>
      </c>
      <c r="D654" t="s">
        <v>105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220</v>
      </c>
      <c r="C655">
        <v>60</v>
      </c>
      <c r="D655" t="s">
        <v>106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220</v>
      </c>
      <c r="C656">
        <v>70</v>
      </c>
      <c r="D656" t="s">
        <v>104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220</v>
      </c>
      <c r="C657">
        <v>80</v>
      </c>
      <c r="D657" t="s">
        <v>192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220</v>
      </c>
      <c r="C658">
        <v>90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220</v>
      </c>
      <c r="C659">
        <v>100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220</v>
      </c>
      <c r="C660">
        <v>110</v>
      </c>
      <c r="D660" t="s">
        <v>101</v>
      </c>
      <c r="E660" t="s">
        <v>12</v>
      </c>
      <c r="F660">
        <v>0.52500000000000002</v>
      </c>
      <c r="G660" t="s">
        <v>13</v>
      </c>
    </row>
    <row r="661" spans="1:7" x14ac:dyDescent="0.25">
      <c r="A661">
        <v>55</v>
      </c>
      <c r="B661" t="s">
        <v>220</v>
      </c>
      <c r="C661">
        <v>120</v>
      </c>
      <c r="D661" t="s">
        <v>221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222</v>
      </c>
      <c r="C662">
        <v>10</v>
      </c>
      <c r="D662" t="s">
        <v>107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222</v>
      </c>
      <c r="C663">
        <v>20</v>
      </c>
      <c r="D663" t="s">
        <v>565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222</v>
      </c>
      <c r="C664">
        <v>30</v>
      </c>
      <c r="D664" t="s">
        <v>99</v>
      </c>
      <c r="E664" t="s">
        <v>100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222</v>
      </c>
      <c r="C665">
        <v>40</v>
      </c>
      <c r="D665" t="s">
        <v>108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222</v>
      </c>
      <c r="C666">
        <v>50</v>
      </c>
      <c r="D666" t="s">
        <v>105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222</v>
      </c>
      <c r="C667">
        <v>60</v>
      </c>
      <c r="D667" t="s">
        <v>106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222</v>
      </c>
      <c r="C668">
        <v>70</v>
      </c>
      <c r="D668" t="s">
        <v>104</v>
      </c>
      <c r="E668" t="s">
        <v>12</v>
      </c>
      <c r="F668">
        <v>0.15</v>
      </c>
      <c r="G668" t="s">
        <v>13</v>
      </c>
    </row>
    <row r="669" spans="1:7" x14ac:dyDescent="0.25">
      <c r="A669">
        <v>56</v>
      </c>
      <c r="B669" t="s">
        <v>222</v>
      </c>
      <c r="C669">
        <v>80</v>
      </c>
      <c r="D669" t="s">
        <v>192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222</v>
      </c>
      <c r="C670">
        <v>90</v>
      </c>
      <c r="D670" t="s">
        <v>18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222</v>
      </c>
      <c r="C671">
        <v>100</v>
      </c>
      <c r="D671" t="s">
        <v>19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222</v>
      </c>
      <c r="C672">
        <v>110</v>
      </c>
      <c r="D672" t="s">
        <v>101</v>
      </c>
      <c r="E672" t="s">
        <v>12</v>
      </c>
      <c r="F672">
        <v>0.56999999999999995</v>
      </c>
      <c r="G672" t="s">
        <v>13</v>
      </c>
    </row>
    <row r="673" spans="1:7" x14ac:dyDescent="0.25">
      <c r="A673">
        <v>56</v>
      </c>
      <c r="B673" t="s">
        <v>222</v>
      </c>
      <c r="C673">
        <v>120</v>
      </c>
      <c r="D673" t="s">
        <v>223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224</v>
      </c>
      <c r="C674">
        <v>10</v>
      </c>
      <c r="D674" t="s">
        <v>107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224</v>
      </c>
      <c r="C675">
        <v>20</v>
      </c>
      <c r="D675" t="s">
        <v>565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224</v>
      </c>
      <c r="C676">
        <v>30</v>
      </c>
      <c r="D676" t="s">
        <v>99</v>
      </c>
      <c r="E676" t="s">
        <v>100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224</v>
      </c>
      <c r="C677">
        <v>40</v>
      </c>
      <c r="D677" t="s">
        <v>108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224</v>
      </c>
      <c r="C678">
        <v>50</v>
      </c>
      <c r="D678" t="s">
        <v>105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224</v>
      </c>
      <c r="C679">
        <v>60</v>
      </c>
      <c r="D679" t="s">
        <v>106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224</v>
      </c>
      <c r="C680">
        <v>70</v>
      </c>
      <c r="D680" t="s">
        <v>104</v>
      </c>
      <c r="E680" t="s">
        <v>12</v>
      </c>
      <c r="F680">
        <v>8.3000000000000004E-2</v>
      </c>
      <c r="G680" t="s">
        <v>13</v>
      </c>
    </row>
    <row r="681" spans="1:7" x14ac:dyDescent="0.25">
      <c r="A681">
        <v>57</v>
      </c>
      <c r="B681" t="s">
        <v>224</v>
      </c>
      <c r="C681">
        <v>80</v>
      </c>
      <c r="D681" t="s">
        <v>192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224</v>
      </c>
      <c r="C682">
        <v>90</v>
      </c>
      <c r="D682" t="s">
        <v>18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224</v>
      </c>
      <c r="C683">
        <v>100</v>
      </c>
      <c r="D683" t="s">
        <v>19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224</v>
      </c>
      <c r="C684">
        <v>110</v>
      </c>
      <c r="D684" t="s">
        <v>101</v>
      </c>
      <c r="E684" t="s">
        <v>12</v>
      </c>
      <c r="F684">
        <v>0.3</v>
      </c>
      <c r="G684" t="s">
        <v>13</v>
      </c>
    </row>
    <row r="685" spans="1:7" x14ac:dyDescent="0.25">
      <c r="A685">
        <v>57</v>
      </c>
      <c r="B685" t="s">
        <v>224</v>
      </c>
      <c r="C685">
        <v>120</v>
      </c>
      <c r="D685" t="s">
        <v>225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226</v>
      </c>
      <c r="C686">
        <v>10</v>
      </c>
      <c r="D686" t="s">
        <v>107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226</v>
      </c>
      <c r="C687">
        <v>20</v>
      </c>
      <c r="D687" t="s">
        <v>565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226</v>
      </c>
      <c r="C688">
        <v>30</v>
      </c>
      <c r="D688" t="s">
        <v>99</v>
      </c>
      <c r="E688" t="s">
        <v>100</v>
      </c>
      <c r="F688">
        <v>0.308</v>
      </c>
      <c r="G688" t="s">
        <v>13</v>
      </c>
    </row>
    <row r="689" spans="1:7" x14ac:dyDescent="0.25">
      <c r="A689">
        <v>58</v>
      </c>
      <c r="B689" t="s">
        <v>226</v>
      </c>
      <c r="C689">
        <v>40</v>
      </c>
      <c r="D689" t="s">
        <v>108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226</v>
      </c>
      <c r="C690">
        <v>50</v>
      </c>
      <c r="D690" t="s">
        <v>105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226</v>
      </c>
      <c r="C691">
        <v>60</v>
      </c>
      <c r="D691" t="s">
        <v>106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226</v>
      </c>
      <c r="C692">
        <v>70</v>
      </c>
      <c r="D692" t="s">
        <v>104</v>
      </c>
      <c r="E692" t="s">
        <v>12</v>
      </c>
      <c r="F692">
        <v>9.4E-2</v>
      </c>
      <c r="G692" t="s">
        <v>13</v>
      </c>
    </row>
    <row r="693" spans="1:7" x14ac:dyDescent="0.25">
      <c r="A693">
        <v>58</v>
      </c>
      <c r="B693" t="s">
        <v>226</v>
      </c>
      <c r="C693">
        <v>80</v>
      </c>
      <c r="D693" t="s">
        <v>192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226</v>
      </c>
      <c r="C694">
        <v>90</v>
      </c>
      <c r="D694" t="s">
        <v>18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226</v>
      </c>
      <c r="C695">
        <v>100</v>
      </c>
      <c r="D695" t="s">
        <v>19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226</v>
      </c>
      <c r="C696">
        <v>110</v>
      </c>
      <c r="D696" t="s">
        <v>101</v>
      </c>
      <c r="E696" t="s">
        <v>12</v>
      </c>
      <c r="F696">
        <v>0.34499999999999997</v>
      </c>
      <c r="G696" t="s">
        <v>13</v>
      </c>
    </row>
    <row r="697" spans="1:7" x14ac:dyDescent="0.25">
      <c r="A697">
        <v>58</v>
      </c>
      <c r="B697" t="s">
        <v>226</v>
      </c>
      <c r="C697">
        <v>120</v>
      </c>
      <c r="D697" t="s">
        <v>227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228</v>
      </c>
      <c r="C698">
        <v>10</v>
      </c>
      <c r="D698" t="s">
        <v>107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228</v>
      </c>
      <c r="C699">
        <v>20</v>
      </c>
      <c r="D699" t="s">
        <v>565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228</v>
      </c>
      <c r="C700">
        <v>30</v>
      </c>
      <c r="D700" t="s">
        <v>99</v>
      </c>
      <c r="E700" t="s">
        <v>100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228</v>
      </c>
      <c r="C701">
        <v>40</v>
      </c>
      <c r="D701" t="s">
        <v>108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228</v>
      </c>
      <c r="C702">
        <v>50</v>
      </c>
      <c r="D702" t="s">
        <v>105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228</v>
      </c>
      <c r="C703">
        <v>60</v>
      </c>
      <c r="D703" t="s">
        <v>106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228</v>
      </c>
      <c r="C704">
        <v>70</v>
      </c>
      <c r="D704" t="s">
        <v>104</v>
      </c>
      <c r="E704" t="s">
        <v>12</v>
      </c>
      <c r="F704">
        <v>0.105</v>
      </c>
      <c r="G704" t="s">
        <v>13</v>
      </c>
    </row>
    <row r="705" spans="1:7" x14ac:dyDescent="0.25">
      <c r="A705">
        <v>59</v>
      </c>
      <c r="B705" t="s">
        <v>228</v>
      </c>
      <c r="C705">
        <v>80</v>
      </c>
      <c r="D705" t="s">
        <v>192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228</v>
      </c>
      <c r="C706">
        <v>90</v>
      </c>
      <c r="D706" t="s">
        <v>18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228</v>
      </c>
      <c r="C707">
        <v>100</v>
      </c>
      <c r="D707" t="s">
        <v>19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228</v>
      </c>
      <c r="C708">
        <v>110</v>
      </c>
      <c r="D708" t="s">
        <v>101</v>
      </c>
      <c r="E708" t="s">
        <v>12</v>
      </c>
      <c r="F708">
        <v>0.39</v>
      </c>
      <c r="G708" t="s">
        <v>13</v>
      </c>
    </row>
    <row r="709" spans="1:7" x14ac:dyDescent="0.25">
      <c r="A709">
        <v>59</v>
      </c>
      <c r="B709" t="s">
        <v>228</v>
      </c>
      <c r="C709">
        <v>120</v>
      </c>
      <c r="D709" t="s">
        <v>229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230</v>
      </c>
      <c r="C710">
        <v>10</v>
      </c>
      <c r="D710" t="s">
        <v>107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230</v>
      </c>
      <c r="C711">
        <v>20</v>
      </c>
      <c r="D711" t="s">
        <v>565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230</v>
      </c>
      <c r="C712">
        <v>30</v>
      </c>
      <c r="D712" t="s">
        <v>99</v>
      </c>
      <c r="E712" t="s">
        <v>100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230</v>
      </c>
      <c r="C713">
        <v>40</v>
      </c>
      <c r="D713" t="s">
        <v>108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230</v>
      </c>
      <c r="C714">
        <v>50</v>
      </c>
      <c r="D714" t="s">
        <v>105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230</v>
      </c>
      <c r="C715">
        <v>60</v>
      </c>
      <c r="D715" t="s">
        <v>106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230</v>
      </c>
      <c r="C716">
        <v>70</v>
      </c>
      <c r="D716" t="s">
        <v>104</v>
      </c>
      <c r="E716" t="s">
        <v>12</v>
      </c>
      <c r="F716">
        <v>0.11700000000000001</v>
      </c>
      <c r="G716" t="s">
        <v>13</v>
      </c>
    </row>
    <row r="717" spans="1:7" x14ac:dyDescent="0.25">
      <c r="A717">
        <v>60</v>
      </c>
      <c r="B717" t="s">
        <v>230</v>
      </c>
      <c r="C717">
        <v>80</v>
      </c>
      <c r="D717" t="s">
        <v>192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230</v>
      </c>
      <c r="C718">
        <v>90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230</v>
      </c>
      <c r="C719">
        <v>100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230</v>
      </c>
      <c r="C720">
        <v>110</v>
      </c>
      <c r="D720" t="s">
        <v>101</v>
      </c>
      <c r="E720" t="s">
        <v>12</v>
      </c>
      <c r="F720">
        <v>0.435</v>
      </c>
      <c r="G720" t="s">
        <v>13</v>
      </c>
    </row>
    <row r="721" spans="1:7" x14ac:dyDescent="0.25">
      <c r="A721">
        <v>60</v>
      </c>
      <c r="B721" t="s">
        <v>230</v>
      </c>
      <c r="C721">
        <v>120</v>
      </c>
      <c r="D721" t="s">
        <v>231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232</v>
      </c>
      <c r="C722">
        <v>10</v>
      </c>
      <c r="D722" t="s">
        <v>107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232</v>
      </c>
      <c r="C723">
        <v>20</v>
      </c>
      <c r="D723" t="s">
        <v>565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232</v>
      </c>
      <c r="C724">
        <v>30</v>
      </c>
      <c r="D724" t="s">
        <v>99</v>
      </c>
      <c r="E724" t="s">
        <v>100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232</v>
      </c>
      <c r="C725">
        <v>40</v>
      </c>
      <c r="D725" t="s">
        <v>108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232</v>
      </c>
      <c r="C726">
        <v>50</v>
      </c>
      <c r="D726" t="s">
        <v>105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232</v>
      </c>
      <c r="C727">
        <v>60</v>
      </c>
      <c r="D727" t="s">
        <v>106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232</v>
      </c>
      <c r="C728">
        <v>70</v>
      </c>
      <c r="D728" t="s">
        <v>104</v>
      </c>
      <c r="E728" t="s">
        <v>12</v>
      </c>
      <c r="F728">
        <v>0.122</v>
      </c>
      <c r="G728" t="s">
        <v>13</v>
      </c>
    </row>
    <row r="729" spans="1:7" x14ac:dyDescent="0.25">
      <c r="A729">
        <v>61</v>
      </c>
      <c r="B729" t="s">
        <v>232</v>
      </c>
      <c r="C729">
        <v>80</v>
      </c>
      <c r="D729" t="s">
        <v>192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232</v>
      </c>
      <c r="C730">
        <v>90</v>
      </c>
      <c r="D730" t="s">
        <v>18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232</v>
      </c>
      <c r="C731">
        <v>100</v>
      </c>
      <c r="D731" t="s">
        <v>19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232</v>
      </c>
      <c r="C732">
        <v>110</v>
      </c>
      <c r="D732" t="s">
        <v>101</v>
      </c>
      <c r="E732" t="s">
        <v>12</v>
      </c>
      <c r="F732">
        <v>0.45800000000000002</v>
      </c>
      <c r="G732" t="s">
        <v>13</v>
      </c>
    </row>
    <row r="733" spans="1:7" x14ac:dyDescent="0.25">
      <c r="A733">
        <v>61</v>
      </c>
      <c r="B733" t="s">
        <v>232</v>
      </c>
      <c r="C733">
        <v>120</v>
      </c>
      <c r="D733" t="s">
        <v>233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234</v>
      </c>
      <c r="C734">
        <v>10</v>
      </c>
      <c r="D734" t="s">
        <v>107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234</v>
      </c>
      <c r="C735">
        <v>20</v>
      </c>
      <c r="D735" t="s">
        <v>565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234</v>
      </c>
      <c r="C736">
        <v>30</v>
      </c>
      <c r="D736" t="s">
        <v>99</v>
      </c>
      <c r="E736" t="s">
        <v>100</v>
      </c>
      <c r="F736">
        <v>0.45</v>
      </c>
      <c r="G736" t="s">
        <v>13</v>
      </c>
    </row>
    <row r="737" spans="1:7" x14ac:dyDescent="0.25">
      <c r="A737">
        <v>62</v>
      </c>
      <c r="B737" t="s">
        <v>234</v>
      </c>
      <c r="C737">
        <v>40</v>
      </c>
      <c r="D737" t="s">
        <v>108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234</v>
      </c>
      <c r="C738">
        <v>50</v>
      </c>
      <c r="D738" t="s">
        <v>105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234</v>
      </c>
      <c r="C739">
        <v>60</v>
      </c>
      <c r="D739" t="s">
        <v>106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234</v>
      </c>
      <c r="C740">
        <v>70</v>
      </c>
      <c r="D740" t="s">
        <v>104</v>
      </c>
      <c r="E740" t="s">
        <v>12</v>
      </c>
      <c r="F740">
        <v>0.128</v>
      </c>
      <c r="G740" t="s">
        <v>13</v>
      </c>
    </row>
    <row r="741" spans="1:7" x14ac:dyDescent="0.25">
      <c r="A741">
        <v>62</v>
      </c>
      <c r="B741" t="s">
        <v>234</v>
      </c>
      <c r="C741">
        <v>80</v>
      </c>
      <c r="D741" t="s">
        <v>192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234</v>
      </c>
      <c r="C742">
        <v>90</v>
      </c>
      <c r="D742" t="s">
        <v>18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234</v>
      </c>
      <c r="C743">
        <v>100</v>
      </c>
      <c r="D743" t="s">
        <v>19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234</v>
      </c>
      <c r="C744">
        <v>110</v>
      </c>
      <c r="D744" t="s">
        <v>101</v>
      </c>
      <c r="E744" t="s">
        <v>12</v>
      </c>
      <c r="F744">
        <v>0.48</v>
      </c>
      <c r="G744" t="s">
        <v>13</v>
      </c>
    </row>
    <row r="745" spans="1:7" x14ac:dyDescent="0.25">
      <c r="A745">
        <v>62</v>
      </c>
      <c r="B745" t="s">
        <v>234</v>
      </c>
      <c r="C745">
        <v>120</v>
      </c>
      <c r="D745" t="s">
        <v>235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236</v>
      </c>
      <c r="C746">
        <v>10</v>
      </c>
      <c r="D746" t="s">
        <v>107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236</v>
      </c>
      <c r="C747">
        <v>20</v>
      </c>
      <c r="D747" t="s">
        <v>565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236</v>
      </c>
      <c r="C748">
        <v>30</v>
      </c>
      <c r="D748" t="s">
        <v>99</v>
      </c>
      <c r="E748" t="s">
        <v>100</v>
      </c>
      <c r="F748">
        <v>0.498</v>
      </c>
      <c r="G748" t="s">
        <v>13</v>
      </c>
    </row>
    <row r="749" spans="1:7" x14ac:dyDescent="0.25">
      <c r="A749">
        <v>63</v>
      </c>
      <c r="B749" t="s">
        <v>236</v>
      </c>
      <c r="C749">
        <v>40</v>
      </c>
      <c r="D749" t="s">
        <v>108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236</v>
      </c>
      <c r="C750">
        <v>50</v>
      </c>
      <c r="D750" t="s">
        <v>105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236</v>
      </c>
      <c r="C751">
        <v>60</v>
      </c>
      <c r="D751" t="s">
        <v>106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236</v>
      </c>
      <c r="C752">
        <v>70</v>
      </c>
      <c r="D752" t="s">
        <v>104</v>
      </c>
      <c r="E752" t="s">
        <v>12</v>
      </c>
      <c r="F752">
        <v>0.13900000000000001</v>
      </c>
      <c r="G752" t="s">
        <v>13</v>
      </c>
    </row>
    <row r="753" spans="1:7" x14ac:dyDescent="0.25">
      <c r="A753">
        <v>63</v>
      </c>
      <c r="B753" t="s">
        <v>236</v>
      </c>
      <c r="C753">
        <v>80</v>
      </c>
      <c r="D753" t="s">
        <v>192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236</v>
      </c>
      <c r="C754">
        <v>90</v>
      </c>
      <c r="D754" t="s">
        <v>18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236</v>
      </c>
      <c r="C755">
        <v>100</v>
      </c>
      <c r="D755" t="s">
        <v>19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236</v>
      </c>
      <c r="C756">
        <v>110</v>
      </c>
      <c r="D756" t="s">
        <v>101</v>
      </c>
      <c r="E756" t="s">
        <v>12</v>
      </c>
      <c r="F756">
        <v>0.52500000000000002</v>
      </c>
      <c r="G756" t="s">
        <v>13</v>
      </c>
    </row>
    <row r="757" spans="1:7" x14ac:dyDescent="0.25">
      <c r="A757">
        <v>63</v>
      </c>
      <c r="B757" t="s">
        <v>236</v>
      </c>
      <c r="C757">
        <v>120</v>
      </c>
      <c r="D757" t="s">
        <v>237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238</v>
      </c>
      <c r="C758">
        <v>10</v>
      </c>
      <c r="D758" t="s">
        <v>107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238</v>
      </c>
      <c r="C759">
        <v>20</v>
      </c>
      <c r="D759" t="s">
        <v>565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238</v>
      </c>
      <c r="C760">
        <v>30</v>
      </c>
      <c r="D760" t="s">
        <v>99</v>
      </c>
      <c r="E760" t="s">
        <v>100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238</v>
      </c>
      <c r="C761">
        <v>40</v>
      </c>
      <c r="D761" t="s">
        <v>108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238</v>
      </c>
      <c r="C762">
        <v>50</v>
      </c>
      <c r="D762" t="s">
        <v>105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238</v>
      </c>
      <c r="C763">
        <v>60</v>
      </c>
      <c r="D763" t="s">
        <v>106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238</v>
      </c>
      <c r="C764">
        <v>70</v>
      </c>
      <c r="D764" t="s">
        <v>104</v>
      </c>
      <c r="E764" t="s">
        <v>12</v>
      </c>
      <c r="F764">
        <v>0.15</v>
      </c>
      <c r="G764" t="s">
        <v>13</v>
      </c>
    </row>
    <row r="765" spans="1:7" x14ac:dyDescent="0.25">
      <c r="A765">
        <v>64</v>
      </c>
      <c r="B765" t="s">
        <v>238</v>
      </c>
      <c r="C765">
        <v>80</v>
      </c>
      <c r="D765" t="s">
        <v>192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238</v>
      </c>
      <c r="C766">
        <v>90</v>
      </c>
      <c r="D766" t="s">
        <v>18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238</v>
      </c>
      <c r="C767">
        <v>100</v>
      </c>
      <c r="D767" t="s">
        <v>19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238</v>
      </c>
      <c r="C768">
        <v>110</v>
      </c>
      <c r="D768" t="s">
        <v>101</v>
      </c>
      <c r="E768" t="s">
        <v>12</v>
      </c>
      <c r="F768">
        <v>0.56999999999999995</v>
      </c>
      <c r="G768" t="s">
        <v>13</v>
      </c>
    </row>
    <row r="769" spans="1:7" x14ac:dyDescent="0.25">
      <c r="A769">
        <v>64</v>
      </c>
      <c r="B769" t="s">
        <v>238</v>
      </c>
      <c r="C769">
        <v>120</v>
      </c>
      <c r="D769" t="s">
        <v>239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240</v>
      </c>
      <c r="C770">
        <v>10</v>
      </c>
      <c r="D770" t="s">
        <v>107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240</v>
      </c>
      <c r="C771">
        <v>20</v>
      </c>
      <c r="D771" t="s">
        <v>565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240</v>
      </c>
      <c r="C772">
        <v>30</v>
      </c>
      <c r="D772" t="s">
        <v>99</v>
      </c>
      <c r="E772" t="s">
        <v>100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240</v>
      </c>
      <c r="C773">
        <v>40</v>
      </c>
      <c r="D773" t="s">
        <v>108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240</v>
      </c>
      <c r="C774">
        <v>50</v>
      </c>
      <c r="D774" t="s">
        <v>105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240</v>
      </c>
      <c r="C775">
        <v>60</v>
      </c>
      <c r="D775" t="s">
        <v>106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240</v>
      </c>
      <c r="C776">
        <v>70</v>
      </c>
      <c r="D776" t="s">
        <v>104</v>
      </c>
      <c r="E776" t="s">
        <v>12</v>
      </c>
      <c r="F776">
        <v>8.3000000000000004E-2</v>
      </c>
      <c r="G776" t="s">
        <v>13</v>
      </c>
    </row>
    <row r="777" spans="1:7" x14ac:dyDescent="0.25">
      <c r="A777">
        <v>65</v>
      </c>
      <c r="B777" t="s">
        <v>240</v>
      </c>
      <c r="C777">
        <v>80</v>
      </c>
      <c r="D777" t="s">
        <v>192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240</v>
      </c>
      <c r="C778">
        <v>90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240</v>
      </c>
      <c r="C779">
        <v>100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240</v>
      </c>
      <c r="C780">
        <v>110</v>
      </c>
      <c r="D780" t="s">
        <v>101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65</v>
      </c>
      <c r="B781" t="s">
        <v>240</v>
      </c>
      <c r="C781">
        <v>120</v>
      </c>
      <c r="D781" t="s">
        <v>241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242</v>
      </c>
      <c r="C782">
        <v>10</v>
      </c>
      <c r="D782" t="s">
        <v>107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242</v>
      </c>
      <c r="C783">
        <v>20</v>
      </c>
      <c r="D783" t="s">
        <v>565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242</v>
      </c>
      <c r="C784">
        <v>30</v>
      </c>
      <c r="D784" t="s">
        <v>99</v>
      </c>
      <c r="E784" t="s">
        <v>100</v>
      </c>
      <c r="F784">
        <v>0.316</v>
      </c>
      <c r="G784" t="s">
        <v>13</v>
      </c>
    </row>
    <row r="785" spans="1:7" x14ac:dyDescent="0.25">
      <c r="A785">
        <v>66</v>
      </c>
      <c r="B785" t="s">
        <v>242</v>
      </c>
      <c r="C785">
        <v>40</v>
      </c>
      <c r="D785" t="s">
        <v>108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242</v>
      </c>
      <c r="C786">
        <v>50</v>
      </c>
      <c r="D786" t="s">
        <v>105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242</v>
      </c>
      <c r="C787">
        <v>60</v>
      </c>
      <c r="D787" t="s">
        <v>106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242</v>
      </c>
      <c r="C788">
        <v>70</v>
      </c>
      <c r="D788" t="s">
        <v>104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242</v>
      </c>
      <c r="C789">
        <v>80</v>
      </c>
      <c r="D789" t="s">
        <v>192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242</v>
      </c>
      <c r="C790">
        <v>90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242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242</v>
      </c>
      <c r="C792">
        <v>110</v>
      </c>
      <c r="D792" t="s">
        <v>101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66</v>
      </c>
      <c r="B793" t="s">
        <v>242</v>
      </c>
      <c r="C793">
        <v>120</v>
      </c>
      <c r="D793" t="s">
        <v>243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244</v>
      </c>
      <c r="C794">
        <v>10</v>
      </c>
      <c r="D794" t="s">
        <v>107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244</v>
      </c>
      <c r="C795">
        <v>20</v>
      </c>
      <c r="D795" t="s">
        <v>565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244</v>
      </c>
      <c r="C796">
        <v>30</v>
      </c>
      <c r="D796" t="s">
        <v>99</v>
      </c>
      <c r="E796" t="s">
        <v>100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244</v>
      </c>
      <c r="C797">
        <v>40</v>
      </c>
      <c r="D797" t="s">
        <v>108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244</v>
      </c>
      <c r="C798">
        <v>50</v>
      </c>
      <c r="D798" t="s">
        <v>105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244</v>
      </c>
      <c r="C799">
        <v>60</v>
      </c>
      <c r="D799" t="s">
        <v>106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244</v>
      </c>
      <c r="C800">
        <v>70</v>
      </c>
      <c r="D800" t="s">
        <v>104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244</v>
      </c>
      <c r="C801">
        <v>80</v>
      </c>
      <c r="D801" t="s">
        <v>192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244</v>
      </c>
      <c r="C802">
        <v>90</v>
      </c>
      <c r="D802" t="s">
        <v>18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244</v>
      </c>
      <c r="C803">
        <v>100</v>
      </c>
      <c r="D803" t="s">
        <v>19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244</v>
      </c>
      <c r="C804">
        <v>110</v>
      </c>
      <c r="D804" t="s">
        <v>101</v>
      </c>
      <c r="E804" t="s">
        <v>12</v>
      </c>
      <c r="F804">
        <v>0.65300000000000002</v>
      </c>
      <c r="G804" t="s">
        <v>13</v>
      </c>
    </row>
    <row r="805" spans="1:7" x14ac:dyDescent="0.25">
      <c r="A805">
        <v>67</v>
      </c>
      <c r="B805" t="s">
        <v>244</v>
      </c>
      <c r="C805">
        <v>120</v>
      </c>
      <c r="D805" t="s">
        <v>245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246</v>
      </c>
      <c r="C806">
        <v>10</v>
      </c>
      <c r="D806" t="s">
        <v>107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246</v>
      </c>
      <c r="C807">
        <v>20</v>
      </c>
      <c r="D807" t="s">
        <v>565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246</v>
      </c>
      <c r="C808">
        <v>30</v>
      </c>
      <c r="D808" t="s">
        <v>99</v>
      </c>
      <c r="E808" t="s">
        <v>100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246</v>
      </c>
      <c r="C809">
        <v>40</v>
      </c>
      <c r="D809" t="s">
        <v>108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246</v>
      </c>
      <c r="C810">
        <v>50</v>
      </c>
      <c r="D810" t="s">
        <v>105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246</v>
      </c>
      <c r="C811">
        <v>60</v>
      </c>
      <c r="D811" t="s">
        <v>106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246</v>
      </c>
      <c r="C812">
        <v>70</v>
      </c>
      <c r="D812" t="s">
        <v>104</v>
      </c>
      <c r="E812" t="s">
        <v>12</v>
      </c>
      <c r="F812">
        <v>0.11700000000000001</v>
      </c>
      <c r="G812" t="s">
        <v>13</v>
      </c>
    </row>
    <row r="813" spans="1:7" x14ac:dyDescent="0.25">
      <c r="A813">
        <v>68</v>
      </c>
      <c r="B813" t="s">
        <v>246</v>
      </c>
      <c r="C813">
        <v>80</v>
      </c>
      <c r="D813" t="s">
        <v>192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246</v>
      </c>
      <c r="C814">
        <v>90</v>
      </c>
      <c r="D814" t="s">
        <v>18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246</v>
      </c>
      <c r="C815">
        <v>100</v>
      </c>
      <c r="D815" t="s">
        <v>19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246</v>
      </c>
      <c r="C816">
        <v>110</v>
      </c>
      <c r="D816" t="s">
        <v>101</v>
      </c>
      <c r="E816" t="s">
        <v>12</v>
      </c>
      <c r="F816">
        <v>0.65300000000000002</v>
      </c>
      <c r="G816" t="s">
        <v>13</v>
      </c>
    </row>
    <row r="817" spans="1:7" x14ac:dyDescent="0.25">
      <c r="A817">
        <v>68</v>
      </c>
      <c r="B817" t="s">
        <v>246</v>
      </c>
      <c r="C817">
        <v>120</v>
      </c>
      <c r="D817" t="s">
        <v>247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248</v>
      </c>
      <c r="C818">
        <v>10</v>
      </c>
      <c r="D818" t="s">
        <v>107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248</v>
      </c>
      <c r="C819">
        <v>20</v>
      </c>
      <c r="D819" t="s">
        <v>565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248</v>
      </c>
      <c r="C820">
        <v>30</v>
      </c>
      <c r="D820" t="s">
        <v>99</v>
      </c>
      <c r="E820" t="s">
        <v>100</v>
      </c>
      <c r="F820">
        <v>0.437</v>
      </c>
      <c r="G820" t="s">
        <v>13</v>
      </c>
    </row>
    <row r="821" spans="1:7" x14ac:dyDescent="0.25">
      <c r="A821">
        <v>69</v>
      </c>
      <c r="B821" t="s">
        <v>248</v>
      </c>
      <c r="C821">
        <v>40</v>
      </c>
      <c r="D821" t="s">
        <v>108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248</v>
      </c>
      <c r="C822">
        <v>50</v>
      </c>
      <c r="D822" t="s">
        <v>105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248</v>
      </c>
      <c r="C823">
        <v>60</v>
      </c>
      <c r="D823" t="s">
        <v>106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248</v>
      </c>
      <c r="C824">
        <v>70</v>
      </c>
      <c r="D824" t="s">
        <v>104</v>
      </c>
      <c r="E824" t="s">
        <v>12</v>
      </c>
      <c r="F824">
        <v>0.122</v>
      </c>
      <c r="G824" t="s">
        <v>13</v>
      </c>
    </row>
    <row r="825" spans="1:7" x14ac:dyDescent="0.25">
      <c r="A825">
        <v>69</v>
      </c>
      <c r="B825" t="s">
        <v>248</v>
      </c>
      <c r="C825">
        <v>80</v>
      </c>
      <c r="D825" t="s">
        <v>192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248</v>
      </c>
      <c r="C826">
        <v>90</v>
      </c>
      <c r="D826" t="s">
        <v>18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248</v>
      </c>
      <c r="C827">
        <v>100</v>
      </c>
      <c r="D827" t="s">
        <v>19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248</v>
      </c>
      <c r="C828">
        <v>110</v>
      </c>
      <c r="D828" t="s">
        <v>101</v>
      </c>
      <c r="E828" t="s">
        <v>12</v>
      </c>
      <c r="F828">
        <v>0.65300000000000002</v>
      </c>
      <c r="G828" t="s">
        <v>13</v>
      </c>
    </row>
    <row r="829" spans="1:7" x14ac:dyDescent="0.25">
      <c r="A829">
        <v>69</v>
      </c>
      <c r="B829" t="s">
        <v>248</v>
      </c>
      <c r="C829">
        <v>120</v>
      </c>
      <c r="D829" t="s">
        <v>249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250</v>
      </c>
      <c r="C830">
        <v>10</v>
      </c>
      <c r="D830" t="s">
        <v>107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250</v>
      </c>
      <c r="C831">
        <v>20</v>
      </c>
      <c r="D831" t="s">
        <v>565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250</v>
      </c>
      <c r="C832">
        <v>30</v>
      </c>
      <c r="D832" t="s">
        <v>99</v>
      </c>
      <c r="E832" t="s">
        <v>100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250</v>
      </c>
      <c r="C833">
        <v>40</v>
      </c>
      <c r="D833" t="s">
        <v>108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250</v>
      </c>
      <c r="C834">
        <v>50</v>
      </c>
      <c r="D834" t="s">
        <v>105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250</v>
      </c>
      <c r="C835">
        <v>60</v>
      </c>
      <c r="D835" t="s">
        <v>106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250</v>
      </c>
      <c r="C836">
        <v>70</v>
      </c>
      <c r="D836" t="s">
        <v>104</v>
      </c>
      <c r="E836" t="s">
        <v>12</v>
      </c>
      <c r="F836">
        <v>0.128</v>
      </c>
      <c r="G836" t="s">
        <v>13</v>
      </c>
    </row>
    <row r="837" spans="1:7" x14ac:dyDescent="0.25">
      <c r="A837">
        <v>70</v>
      </c>
      <c r="B837" t="s">
        <v>250</v>
      </c>
      <c r="C837">
        <v>80</v>
      </c>
      <c r="D837" t="s">
        <v>192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250</v>
      </c>
      <c r="C838">
        <v>90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250</v>
      </c>
      <c r="C839">
        <v>100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250</v>
      </c>
      <c r="C840">
        <v>110</v>
      </c>
      <c r="D840" t="s">
        <v>101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70</v>
      </c>
      <c r="B841" t="s">
        <v>250</v>
      </c>
      <c r="C841">
        <v>120</v>
      </c>
      <c r="D841" t="s">
        <v>251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252</v>
      </c>
      <c r="C842">
        <v>10</v>
      </c>
      <c r="D842" t="s">
        <v>107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252</v>
      </c>
      <c r="C843">
        <v>20</v>
      </c>
      <c r="D843" t="s">
        <v>565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252</v>
      </c>
      <c r="C844">
        <v>30</v>
      </c>
      <c r="D844" t="s">
        <v>99</v>
      </c>
      <c r="E844" t="s">
        <v>100</v>
      </c>
      <c r="F844">
        <v>0.51</v>
      </c>
      <c r="G844" t="s">
        <v>13</v>
      </c>
    </row>
    <row r="845" spans="1:7" x14ac:dyDescent="0.25">
      <c r="A845">
        <v>71</v>
      </c>
      <c r="B845" t="s">
        <v>252</v>
      </c>
      <c r="C845">
        <v>40</v>
      </c>
      <c r="D845" t="s">
        <v>108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252</v>
      </c>
      <c r="C846">
        <v>50</v>
      </c>
      <c r="D846" t="s">
        <v>105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252</v>
      </c>
      <c r="C847">
        <v>60</v>
      </c>
      <c r="D847" t="s">
        <v>106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252</v>
      </c>
      <c r="C848">
        <v>70</v>
      </c>
      <c r="D848" t="s">
        <v>104</v>
      </c>
      <c r="E848" t="s">
        <v>12</v>
      </c>
      <c r="F848">
        <v>0.13900000000000001</v>
      </c>
      <c r="G848" t="s">
        <v>13</v>
      </c>
    </row>
    <row r="849" spans="1:7" x14ac:dyDescent="0.25">
      <c r="A849">
        <v>71</v>
      </c>
      <c r="B849" t="s">
        <v>252</v>
      </c>
      <c r="C849">
        <v>80</v>
      </c>
      <c r="D849" t="s">
        <v>192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252</v>
      </c>
      <c r="C850">
        <v>90</v>
      </c>
      <c r="D850" t="s">
        <v>18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252</v>
      </c>
      <c r="C851">
        <v>100</v>
      </c>
      <c r="D851" t="s">
        <v>19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252</v>
      </c>
      <c r="C852">
        <v>110</v>
      </c>
      <c r="D852" t="s">
        <v>101</v>
      </c>
      <c r="E852" t="s">
        <v>12</v>
      </c>
      <c r="F852">
        <v>0.65300000000000002</v>
      </c>
      <c r="G852" t="s">
        <v>13</v>
      </c>
    </row>
    <row r="853" spans="1:7" x14ac:dyDescent="0.25">
      <c r="A853">
        <v>71</v>
      </c>
      <c r="B853" t="s">
        <v>252</v>
      </c>
      <c r="C853">
        <v>120</v>
      </c>
      <c r="D853" t="s">
        <v>253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254</v>
      </c>
      <c r="C854">
        <v>10</v>
      </c>
      <c r="D854" t="s">
        <v>107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254</v>
      </c>
      <c r="C855">
        <v>20</v>
      </c>
      <c r="D855" t="s">
        <v>565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254</v>
      </c>
      <c r="C856">
        <v>30</v>
      </c>
      <c r="D856" t="s">
        <v>99</v>
      </c>
      <c r="E856" t="s">
        <v>100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254</v>
      </c>
      <c r="C857">
        <v>40</v>
      </c>
      <c r="D857" t="s">
        <v>108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254</v>
      </c>
      <c r="C858">
        <v>50</v>
      </c>
      <c r="D858" t="s">
        <v>105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254</v>
      </c>
      <c r="C859">
        <v>60</v>
      </c>
      <c r="D859" t="s">
        <v>106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254</v>
      </c>
      <c r="C860">
        <v>70</v>
      </c>
      <c r="D860" t="s">
        <v>104</v>
      </c>
      <c r="E860" t="s">
        <v>12</v>
      </c>
      <c r="F860">
        <v>0.15</v>
      </c>
      <c r="G860" t="s">
        <v>13</v>
      </c>
    </row>
    <row r="861" spans="1:7" x14ac:dyDescent="0.25">
      <c r="A861">
        <v>72</v>
      </c>
      <c r="B861" t="s">
        <v>254</v>
      </c>
      <c r="C861">
        <v>80</v>
      </c>
      <c r="D861" t="s">
        <v>192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254</v>
      </c>
      <c r="C862">
        <v>90</v>
      </c>
      <c r="D862" t="s">
        <v>18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254</v>
      </c>
      <c r="C863">
        <v>100</v>
      </c>
      <c r="D863" t="s">
        <v>19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254</v>
      </c>
      <c r="C864">
        <v>110</v>
      </c>
      <c r="D864" t="s">
        <v>101</v>
      </c>
      <c r="E864" t="s">
        <v>12</v>
      </c>
      <c r="F864">
        <v>0.65300000000000002</v>
      </c>
      <c r="G864" t="s">
        <v>13</v>
      </c>
    </row>
    <row r="865" spans="1:7" x14ac:dyDescent="0.25">
      <c r="A865">
        <v>72</v>
      </c>
      <c r="B865" t="s">
        <v>254</v>
      </c>
      <c r="C865">
        <v>120</v>
      </c>
      <c r="D865" t="s">
        <v>255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256</v>
      </c>
      <c r="C866">
        <v>10</v>
      </c>
      <c r="D866" t="s">
        <v>107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256</v>
      </c>
      <c r="C867">
        <v>20</v>
      </c>
      <c r="D867" t="s">
        <v>565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256</v>
      </c>
      <c r="C868">
        <v>30</v>
      </c>
      <c r="D868" t="s">
        <v>99</v>
      </c>
      <c r="E868" t="s">
        <v>100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256</v>
      </c>
      <c r="C869">
        <v>40</v>
      </c>
      <c r="D869" t="s">
        <v>108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256</v>
      </c>
      <c r="C870">
        <v>50</v>
      </c>
      <c r="D870" t="s">
        <v>105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256</v>
      </c>
      <c r="C871">
        <v>60</v>
      </c>
      <c r="D871" t="s">
        <v>106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256</v>
      </c>
      <c r="C872">
        <v>70</v>
      </c>
      <c r="D872" t="s">
        <v>104</v>
      </c>
      <c r="E872" t="s">
        <v>12</v>
      </c>
      <c r="F872">
        <v>8.3000000000000004E-2</v>
      </c>
      <c r="G872" t="s">
        <v>13</v>
      </c>
    </row>
    <row r="873" spans="1:7" x14ac:dyDescent="0.25">
      <c r="A873">
        <v>73</v>
      </c>
      <c r="B873" t="s">
        <v>256</v>
      </c>
      <c r="C873">
        <v>80</v>
      </c>
      <c r="D873" t="s">
        <v>192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256</v>
      </c>
      <c r="C874">
        <v>90</v>
      </c>
      <c r="D874" t="s">
        <v>18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256</v>
      </c>
      <c r="C875">
        <v>100</v>
      </c>
      <c r="D875" t="s">
        <v>19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256</v>
      </c>
      <c r="C876">
        <v>110</v>
      </c>
      <c r="D876" t="s">
        <v>101</v>
      </c>
      <c r="E876" t="s">
        <v>12</v>
      </c>
      <c r="F876">
        <v>0.68300000000000005</v>
      </c>
      <c r="G876" t="s">
        <v>13</v>
      </c>
    </row>
    <row r="877" spans="1:7" x14ac:dyDescent="0.25">
      <c r="A877">
        <v>73</v>
      </c>
      <c r="B877" t="s">
        <v>256</v>
      </c>
      <c r="C877">
        <v>120</v>
      </c>
      <c r="D877" t="s">
        <v>257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258</v>
      </c>
      <c r="C878">
        <v>10</v>
      </c>
      <c r="D878" t="s">
        <v>107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258</v>
      </c>
      <c r="C879">
        <v>20</v>
      </c>
      <c r="D879" t="s">
        <v>565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258</v>
      </c>
      <c r="C880">
        <v>30</v>
      </c>
      <c r="D880" t="s">
        <v>99</v>
      </c>
      <c r="E880" t="s">
        <v>100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258</v>
      </c>
      <c r="C881">
        <v>40</v>
      </c>
      <c r="D881" t="s">
        <v>108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258</v>
      </c>
      <c r="C882">
        <v>50</v>
      </c>
      <c r="D882" t="s">
        <v>105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258</v>
      </c>
      <c r="C883">
        <v>60</v>
      </c>
      <c r="D883" t="s">
        <v>106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258</v>
      </c>
      <c r="C884">
        <v>70</v>
      </c>
      <c r="D884" t="s">
        <v>104</v>
      </c>
      <c r="E884" t="s">
        <v>12</v>
      </c>
      <c r="F884">
        <v>9.4E-2</v>
      </c>
      <c r="G884" t="s">
        <v>13</v>
      </c>
    </row>
    <row r="885" spans="1:7" x14ac:dyDescent="0.25">
      <c r="A885">
        <v>74</v>
      </c>
      <c r="B885" t="s">
        <v>258</v>
      </c>
      <c r="C885">
        <v>80</v>
      </c>
      <c r="D885" t="s">
        <v>192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258</v>
      </c>
      <c r="C886">
        <v>90</v>
      </c>
      <c r="D886" t="s">
        <v>18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258</v>
      </c>
      <c r="C887">
        <v>100</v>
      </c>
      <c r="D887" t="s">
        <v>19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258</v>
      </c>
      <c r="C888">
        <v>110</v>
      </c>
      <c r="D888" t="s">
        <v>101</v>
      </c>
      <c r="E888" t="s">
        <v>12</v>
      </c>
      <c r="F888">
        <v>0.68300000000000005</v>
      </c>
      <c r="G888" t="s">
        <v>13</v>
      </c>
    </row>
    <row r="889" spans="1:7" x14ac:dyDescent="0.25">
      <c r="A889">
        <v>74</v>
      </c>
      <c r="B889" t="s">
        <v>258</v>
      </c>
      <c r="C889">
        <v>120</v>
      </c>
      <c r="D889" t="s">
        <v>259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260</v>
      </c>
      <c r="C890">
        <v>10</v>
      </c>
      <c r="D890" t="s">
        <v>107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260</v>
      </c>
      <c r="C891">
        <v>20</v>
      </c>
      <c r="D891" t="s">
        <v>565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260</v>
      </c>
      <c r="C892">
        <v>30</v>
      </c>
      <c r="D892" t="s">
        <v>99</v>
      </c>
      <c r="E892" t="s">
        <v>100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260</v>
      </c>
      <c r="C893">
        <v>40</v>
      </c>
      <c r="D893" t="s">
        <v>108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260</v>
      </c>
      <c r="C894">
        <v>50</v>
      </c>
      <c r="D894" t="s">
        <v>105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260</v>
      </c>
      <c r="C895">
        <v>60</v>
      </c>
      <c r="D895" t="s">
        <v>106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260</v>
      </c>
      <c r="C896">
        <v>70</v>
      </c>
      <c r="D896" t="s">
        <v>104</v>
      </c>
      <c r="E896" t="s">
        <v>12</v>
      </c>
      <c r="F896">
        <v>0.105</v>
      </c>
      <c r="G896" t="s">
        <v>13</v>
      </c>
    </row>
    <row r="897" spans="1:7" x14ac:dyDescent="0.25">
      <c r="A897">
        <v>75</v>
      </c>
      <c r="B897" t="s">
        <v>260</v>
      </c>
      <c r="C897">
        <v>80</v>
      </c>
      <c r="D897" t="s">
        <v>192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260</v>
      </c>
      <c r="C898">
        <v>90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260</v>
      </c>
      <c r="C899">
        <v>100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260</v>
      </c>
      <c r="C900">
        <v>110</v>
      </c>
      <c r="D900" t="s">
        <v>101</v>
      </c>
      <c r="E900" t="s">
        <v>12</v>
      </c>
      <c r="F900">
        <v>0.68300000000000005</v>
      </c>
      <c r="G900" t="s">
        <v>13</v>
      </c>
    </row>
    <row r="901" spans="1:7" x14ac:dyDescent="0.25">
      <c r="A901">
        <v>75</v>
      </c>
      <c r="B901" t="s">
        <v>260</v>
      </c>
      <c r="C901">
        <v>120</v>
      </c>
      <c r="D901" t="s">
        <v>261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262</v>
      </c>
      <c r="C902">
        <v>10</v>
      </c>
      <c r="D902" t="s">
        <v>107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262</v>
      </c>
      <c r="C903">
        <v>20</v>
      </c>
      <c r="D903" t="s">
        <v>565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262</v>
      </c>
      <c r="C904">
        <v>30</v>
      </c>
      <c r="D904" t="s">
        <v>99</v>
      </c>
      <c r="E904" t="s">
        <v>100</v>
      </c>
      <c r="F904">
        <v>0.434</v>
      </c>
      <c r="G904" t="s">
        <v>13</v>
      </c>
    </row>
    <row r="905" spans="1:7" x14ac:dyDescent="0.25">
      <c r="A905">
        <v>76</v>
      </c>
      <c r="B905" t="s">
        <v>262</v>
      </c>
      <c r="C905">
        <v>40</v>
      </c>
      <c r="D905" t="s">
        <v>108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262</v>
      </c>
      <c r="C906">
        <v>50</v>
      </c>
      <c r="D906" t="s">
        <v>105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262</v>
      </c>
      <c r="C907">
        <v>60</v>
      </c>
      <c r="D907" t="s">
        <v>106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262</v>
      </c>
      <c r="C908">
        <v>70</v>
      </c>
      <c r="D908" t="s">
        <v>104</v>
      </c>
      <c r="E908" t="s">
        <v>12</v>
      </c>
      <c r="F908">
        <v>0.11700000000000001</v>
      </c>
      <c r="G908" t="s">
        <v>13</v>
      </c>
    </row>
    <row r="909" spans="1:7" x14ac:dyDescent="0.25">
      <c r="A909">
        <v>76</v>
      </c>
      <c r="B909" t="s">
        <v>262</v>
      </c>
      <c r="C909">
        <v>80</v>
      </c>
      <c r="D909" t="s">
        <v>192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262</v>
      </c>
      <c r="C910">
        <v>90</v>
      </c>
      <c r="D910" t="s">
        <v>18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262</v>
      </c>
      <c r="C911">
        <v>100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262</v>
      </c>
      <c r="C912">
        <v>110</v>
      </c>
      <c r="D912" t="s">
        <v>101</v>
      </c>
      <c r="E912" t="s">
        <v>12</v>
      </c>
      <c r="F912">
        <v>0.68300000000000005</v>
      </c>
      <c r="G912" t="s">
        <v>13</v>
      </c>
    </row>
    <row r="913" spans="1:7" x14ac:dyDescent="0.25">
      <c r="A913">
        <v>76</v>
      </c>
      <c r="B913" t="s">
        <v>262</v>
      </c>
      <c r="C913">
        <v>120</v>
      </c>
      <c r="D913" t="s">
        <v>263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264</v>
      </c>
      <c r="C914">
        <v>10</v>
      </c>
      <c r="D914" t="s">
        <v>107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264</v>
      </c>
      <c r="C915">
        <v>20</v>
      </c>
      <c r="D915" t="s">
        <v>565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264</v>
      </c>
      <c r="C916">
        <v>30</v>
      </c>
      <c r="D916" t="s">
        <v>99</v>
      </c>
      <c r="E916" t="s">
        <v>100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264</v>
      </c>
      <c r="C917">
        <v>40</v>
      </c>
      <c r="D917" t="s">
        <v>108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264</v>
      </c>
      <c r="C918">
        <v>50</v>
      </c>
      <c r="D918" t="s">
        <v>105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264</v>
      </c>
      <c r="C919">
        <v>60</v>
      </c>
      <c r="D919" t="s">
        <v>106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264</v>
      </c>
      <c r="C920">
        <v>70</v>
      </c>
      <c r="D920" t="s">
        <v>104</v>
      </c>
      <c r="E920" t="s">
        <v>12</v>
      </c>
      <c r="F920">
        <v>0.122</v>
      </c>
      <c r="G920" t="s">
        <v>13</v>
      </c>
    </row>
    <row r="921" spans="1:7" x14ac:dyDescent="0.25">
      <c r="A921">
        <v>77</v>
      </c>
      <c r="B921" t="s">
        <v>264</v>
      </c>
      <c r="C921">
        <v>80</v>
      </c>
      <c r="D921" t="s">
        <v>192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264</v>
      </c>
      <c r="C922">
        <v>90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264</v>
      </c>
      <c r="C923">
        <v>100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264</v>
      </c>
      <c r="C924">
        <v>110</v>
      </c>
      <c r="D924" t="s">
        <v>101</v>
      </c>
      <c r="E924" t="s">
        <v>12</v>
      </c>
      <c r="F924">
        <v>0.68300000000000005</v>
      </c>
      <c r="G924" t="s">
        <v>13</v>
      </c>
    </row>
    <row r="925" spans="1:7" x14ac:dyDescent="0.25">
      <c r="A925">
        <v>77</v>
      </c>
      <c r="B925" t="s">
        <v>264</v>
      </c>
      <c r="C925">
        <v>120</v>
      </c>
      <c r="D925" t="s">
        <v>265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266</v>
      </c>
      <c r="C926">
        <v>10</v>
      </c>
      <c r="D926" t="s">
        <v>107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266</v>
      </c>
      <c r="C927">
        <v>20</v>
      </c>
      <c r="D927" t="s">
        <v>565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266</v>
      </c>
      <c r="C928">
        <v>30</v>
      </c>
      <c r="D928" t="s">
        <v>99</v>
      </c>
      <c r="E928" t="s">
        <v>100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266</v>
      </c>
      <c r="C929">
        <v>40</v>
      </c>
      <c r="D929" t="s">
        <v>108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266</v>
      </c>
      <c r="C930">
        <v>50</v>
      </c>
      <c r="D930" t="s">
        <v>105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266</v>
      </c>
      <c r="C931">
        <v>60</v>
      </c>
      <c r="D931" t="s">
        <v>106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266</v>
      </c>
      <c r="C932">
        <v>70</v>
      </c>
      <c r="D932" t="s">
        <v>104</v>
      </c>
      <c r="E932" t="s">
        <v>12</v>
      </c>
      <c r="F932">
        <v>0.128</v>
      </c>
      <c r="G932" t="s">
        <v>13</v>
      </c>
    </row>
    <row r="933" spans="1:7" x14ac:dyDescent="0.25">
      <c r="A933">
        <v>78</v>
      </c>
      <c r="B933" t="s">
        <v>266</v>
      </c>
      <c r="C933">
        <v>80</v>
      </c>
      <c r="D933" t="s">
        <v>192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266</v>
      </c>
      <c r="C934">
        <v>90</v>
      </c>
      <c r="D934" t="s">
        <v>18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266</v>
      </c>
      <c r="C935">
        <v>100</v>
      </c>
      <c r="D935" t="s">
        <v>19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266</v>
      </c>
      <c r="C936">
        <v>110</v>
      </c>
      <c r="D936" t="s">
        <v>101</v>
      </c>
      <c r="E936" t="s">
        <v>12</v>
      </c>
      <c r="F936">
        <v>0.68300000000000005</v>
      </c>
      <c r="G936" t="s">
        <v>13</v>
      </c>
    </row>
    <row r="937" spans="1:7" x14ac:dyDescent="0.25">
      <c r="A937">
        <v>78</v>
      </c>
      <c r="B937" t="s">
        <v>266</v>
      </c>
      <c r="C937">
        <v>120</v>
      </c>
      <c r="D937" t="s">
        <v>267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268</v>
      </c>
      <c r="C938">
        <v>10</v>
      </c>
      <c r="D938" t="s">
        <v>107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268</v>
      </c>
      <c r="C939">
        <v>20</v>
      </c>
      <c r="D939" t="s">
        <v>565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268</v>
      </c>
      <c r="C940">
        <v>30</v>
      </c>
      <c r="D940" t="s">
        <v>99</v>
      </c>
      <c r="E940" t="s">
        <v>100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268</v>
      </c>
      <c r="C941">
        <v>40</v>
      </c>
      <c r="D941" t="s">
        <v>108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268</v>
      </c>
      <c r="C942">
        <v>50</v>
      </c>
      <c r="D942" t="s">
        <v>105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268</v>
      </c>
      <c r="C943">
        <v>60</v>
      </c>
      <c r="D943" t="s">
        <v>106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268</v>
      </c>
      <c r="C944">
        <v>70</v>
      </c>
      <c r="D944" t="s">
        <v>104</v>
      </c>
      <c r="E944" t="s">
        <v>12</v>
      </c>
      <c r="F944">
        <v>0.13900000000000001</v>
      </c>
      <c r="G944" t="s">
        <v>13</v>
      </c>
    </row>
    <row r="945" spans="1:7" x14ac:dyDescent="0.25">
      <c r="A945">
        <v>79</v>
      </c>
      <c r="B945" t="s">
        <v>268</v>
      </c>
      <c r="C945">
        <v>80</v>
      </c>
      <c r="D945" t="s">
        <v>192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268</v>
      </c>
      <c r="C946">
        <v>90</v>
      </c>
      <c r="D946" t="s">
        <v>18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268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268</v>
      </c>
      <c r="C948">
        <v>110</v>
      </c>
      <c r="D948" t="s">
        <v>101</v>
      </c>
      <c r="E948" t="s">
        <v>12</v>
      </c>
      <c r="F948">
        <v>0.68300000000000005</v>
      </c>
      <c r="G948" t="s">
        <v>13</v>
      </c>
    </row>
    <row r="949" spans="1:7" x14ac:dyDescent="0.25">
      <c r="A949">
        <v>79</v>
      </c>
      <c r="B949" t="s">
        <v>268</v>
      </c>
      <c r="C949">
        <v>120</v>
      </c>
      <c r="D949" t="s">
        <v>269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270</v>
      </c>
      <c r="C950">
        <v>10</v>
      </c>
      <c r="D950" t="s">
        <v>107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270</v>
      </c>
      <c r="C951">
        <v>20</v>
      </c>
      <c r="D951" t="s">
        <v>565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270</v>
      </c>
      <c r="C952">
        <v>30</v>
      </c>
      <c r="D952" t="s">
        <v>99</v>
      </c>
      <c r="E952" t="s">
        <v>100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270</v>
      </c>
      <c r="C953">
        <v>40</v>
      </c>
      <c r="D953" t="s">
        <v>108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270</v>
      </c>
      <c r="C954">
        <v>50</v>
      </c>
      <c r="D954" t="s">
        <v>105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270</v>
      </c>
      <c r="C955">
        <v>60</v>
      </c>
      <c r="D955" t="s">
        <v>106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270</v>
      </c>
      <c r="C956">
        <v>70</v>
      </c>
      <c r="D956" t="s">
        <v>104</v>
      </c>
      <c r="E956" t="s">
        <v>12</v>
      </c>
      <c r="F956">
        <v>0.15</v>
      </c>
      <c r="G956" t="s">
        <v>13</v>
      </c>
    </row>
    <row r="957" spans="1:7" x14ac:dyDescent="0.25">
      <c r="A957">
        <v>80</v>
      </c>
      <c r="B957" t="s">
        <v>270</v>
      </c>
      <c r="C957">
        <v>80</v>
      </c>
      <c r="D957" t="s">
        <v>192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270</v>
      </c>
      <c r="C958">
        <v>90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270</v>
      </c>
      <c r="C959">
        <v>100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270</v>
      </c>
      <c r="C960">
        <v>110</v>
      </c>
      <c r="D960" t="s">
        <v>101</v>
      </c>
      <c r="E960" t="s">
        <v>12</v>
      </c>
      <c r="F960">
        <v>0.68300000000000005</v>
      </c>
      <c r="G960" t="s">
        <v>13</v>
      </c>
    </row>
    <row r="961" spans="1:7" x14ac:dyDescent="0.25">
      <c r="A961">
        <v>80</v>
      </c>
      <c r="B961" t="s">
        <v>270</v>
      </c>
      <c r="C961">
        <v>120</v>
      </c>
      <c r="D961" t="s">
        <v>271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272</v>
      </c>
      <c r="C962">
        <v>10</v>
      </c>
      <c r="D962" t="s">
        <v>107</v>
      </c>
      <c r="E962" t="s">
        <v>14</v>
      </c>
      <c r="F962">
        <v>0.86399999999999999</v>
      </c>
      <c r="G962" t="s">
        <v>15</v>
      </c>
    </row>
    <row r="963" spans="1:7" x14ac:dyDescent="0.25">
      <c r="A963">
        <v>81</v>
      </c>
      <c r="B963" t="s">
        <v>272</v>
      </c>
      <c r="C963">
        <v>20</v>
      </c>
      <c r="D963" t="s">
        <v>565</v>
      </c>
      <c r="E963" t="s">
        <v>14</v>
      </c>
      <c r="F963">
        <v>0.86399999999999999</v>
      </c>
      <c r="G963" t="s">
        <v>15</v>
      </c>
    </row>
    <row r="964" spans="1:7" x14ac:dyDescent="0.25">
      <c r="A964">
        <v>81</v>
      </c>
      <c r="B964" t="s">
        <v>272</v>
      </c>
      <c r="C964">
        <v>30</v>
      </c>
      <c r="D964" t="s">
        <v>99</v>
      </c>
      <c r="E964" t="s">
        <v>100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272</v>
      </c>
      <c r="C965">
        <v>40</v>
      </c>
      <c r="D965" t="s">
        <v>108</v>
      </c>
      <c r="E965" t="s">
        <v>14</v>
      </c>
      <c r="F965">
        <v>11.074</v>
      </c>
      <c r="G965" t="s">
        <v>13</v>
      </c>
    </row>
    <row r="966" spans="1:7" x14ac:dyDescent="0.25">
      <c r="A966">
        <v>81</v>
      </c>
      <c r="B966" t="s">
        <v>272</v>
      </c>
      <c r="C966">
        <v>50</v>
      </c>
      <c r="D966" t="s">
        <v>105</v>
      </c>
      <c r="E966" t="s">
        <v>14</v>
      </c>
      <c r="F966">
        <v>68.108000000000004</v>
      </c>
      <c r="G966" t="s">
        <v>13</v>
      </c>
    </row>
    <row r="967" spans="1:7" x14ac:dyDescent="0.25">
      <c r="A967">
        <v>81</v>
      </c>
      <c r="B967" t="s">
        <v>272</v>
      </c>
      <c r="C967">
        <v>60</v>
      </c>
      <c r="D967" t="s">
        <v>106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272</v>
      </c>
      <c r="C968">
        <v>70</v>
      </c>
      <c r="D968" t="s">
        <v>104</v>
      </c>
      <c r="E968" t="s">
        <v>12</v>
      </c>
      <c r="F968">
        <v>8.5000000000000006E-2</v>
      </c>
      <c r="G968" t="s">
        <v>13</v>
      </c>
    </row>
    <row r="969" spans="1:7" x14ac:dyDescent="0.25">
      <c r="A969">
        <v>81</v>
      </c>
      <c r="B969" t="s">
        <v>272</v>
      </c>
      <c r="C969">
        <v>80</v>
      </c>
      <c r="D969" t="s">
        <v>273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272</v>
      </c>
      <c r="C970">
        <v>90</v>
      </c>
      <c r="D970" t="s">
        <v>18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272</v>
      </c>
      <c r="C971">
        <v>100</v>
      </c>
      <c r="D971" t="s">
        <v>19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272</v>
      </c>
      <c r="C972">
        <v>110</v>
      </c>
      <c r="D972" t="s">
        <v>101</v>
      </c>
      <c r="E972" t="s">
        <v>12</v>
      </c>
      <c r="F972">
        <v>0.308</v>
      </c>
      <c r="G972" t="s">
        <v>13</v>
      </c>
    </row>
    <row r="973" spans="1:7" x14ac:dyDescent="0.25">
      <c r="A973">
        <v>81</v>
      </c>
      <c r="B973" t="s">
        <v>272</v>
      </c>
      <c r="C973">
        <v>120</v>
      </c>
      <c r="D973" t="s">
        <v>274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275</v>
      </c>
      <c r="C974">
        <v>10</v>
      </c>
      <c r="D974" t="s">
        <v>107</v>
      </c>
      <c r="E974" t="s">
        <v>14</v>
      </c>
      <c r="F974">
        <v>1.016</v>
      </c>
      <c r="G974" t="s">
        <v>15</v>
      </c>
    </row>
    <row r="975" spans="1:7" x14ac:dyDescent="0.25">
      <c r="A975">
        <v>82</v>
      </c>
      <c r="B975" t="s">
        <v>275</v>
      </c>
      <c r="C975">
        <v>20</v>
      </c>
      <c r="D975" t="s">
        <v>565</v>
      </c>
      <c r="E975" t="s">
        <v>14</v>
      </c>
      <c r="F975">
        <v>1.016</v>
      </c>
      <c r="G975" t="s">
        <v>15</v>
      </c>
    </row>
    <row r="976" spans="1:7" x14ac:dyDescent="0.25">
      <c r="A976">
        <v>82</v>
      </c>
      <c r="B976" t="s">
        <v>275</v>
      </c>
      <c r="C976">
        <v>30</v>
      </c>
      <c r="D976" t="s">
        <v>99</v>
      </c>
      <c r="E976" t="s">
        <v>100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275</v>
      </c>
      <c r="C977">
        <v>40</v>
      </c>
      <c r="D977" t="s">
        <v>108</v>
      </c>
      <c r="E977" t="s">
        <v>14</v>
      </c>
      <c r="F977">
        <v>11.683999999999999</v>
      </c>
      <c r="G977" t="s">
        <v>13</v>
      </c>
    </row>
    <row r="978" spans="1:7" x14ac:dyDescent="0.25">
      <c r="A978">
        <v>82</v>
      </c>
      <c r="B978" t="s">
        <v>275</v>
      </c>
      <c r="C978">
        <v>50</v>
      </c>
      <c r="D978" t="s">
        <v>105</v>
      </c>
      <c r="E978" t="s">
        <v>14</v>
      </c>
      <c r="F978">
        <v>71.856999999999999</v>
      </c>
      <c r="G978" t="s">
        <v>13</v>
      </c>
    </row>
    <row r="979" spans="1:7" x14ac:dyDescent="0.25">
      <c r="A979">
        <v>82</v>
      </c>
      <c r="B979" t="s">
        <v>275</v>
      </c>
      <c r="C979">
        <v>60</v>
      </c>
      <c r="D979" t="s">
        <v>106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275</v>
      </c>
      <c r="C980">
        <v>70</v>
      </c>
      <c r="D980" t="s">
        <v>104</v>
      </c>
      <c r="E980" t="s">
        <v>12</v>
      </c>
      <c r="F980">
        <v>9.6000000000000002E-2</v>
      </c>
      <c r="G980" t="s">
        <v>13</v>
      </c>
    </row>
    <row r="981" spans="1:7" x14ac:dyDescent="0.25">
      <c r="A981">
        <v>82</v>
      </c>
      <c r="B981" t="s">
        <v>275</v>
      </c>
      <c r="C981">
        <v>80</v>
      </c>
      <c r="D981" t="s">
        <v>273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275</v>
      </c>
      <c r="C982">
        <v>90</v>
      </c>
      <c r="D982" t="s">
        <v>18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275</v>
      </c>
      <c r="C983">
        <v>100</v>
      </c>
      <c r="D983" t="s">
        <v>19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275</v>
      </c>
      <c r="C984">
        <v>110</v>
      </c>
      <c r="D984" t="s">
        <v>101</v>
      </c>
      <c r="E984" t="s">
        <v>12</v>
      </c>
      <c r="F984">
        <v>0.35299999999999998</v>
      </c>
      <c r="G984" t="s">
        <v>13</v>
      </c>
    </row>
    <row r="985" spans="1:7" x14ac:dyDescent="0.25">
      <c r="A985">
        <v>82</v>
      </c>
      <c r="B985" t="s">
        <v>275</v>
      </c>
      <c r="C985">
        <v>120</v>
      </c>
      <c r="D985" t="s">
        <v>276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277</v>
      </c>
      <c r="C986">
        <v>10</v>
      </c>
      <c r="D986" t="s">
        <v>107</v>
      </c>
      <c r="E986" t="s">
        <v>14</v>
      </c>
      <c r="F986">
        <v>1.1679999999999999</v>
      </c>
      <c r="G986" t="s">
        <v>15</v>
      </c>
    </row>
    <row r="987" spans="1:7" x14ac:dyDescent="0.25">
      <c r="A987">
        <v>83</v>
      </c>
      <c r="B987" t="s">
        <v>277</v>
      </c>
      <c r="C987">
        <v>20</v>
      </c>
      <c r="D987" t="s">
        <v>565</v>
      </c>
      <c r="E987" t="s">
        <v>14</v>
      </c>
      <c r="F987">
        <v>1.1679999999999999</v>
      </c>
      <c r="G987" t="s">
        <v>15</v>
      </c>
    </row>
    <row r="988" spans="1:7" x14ac:dyDescent="0.25">
      <c r="A988">
        <v>83</v>
      </c>
      <c r="B988" t="s">
        <v>277</v>
      </c>
      <c r="C988">
        <v>30</v>
      </c>
      <c r="D988" t="s">
        <v>99</v>
      </c>
      <c r="E988" t="s">
        <v>100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277</v>
      </c>
      <c r="C989">
        <v>40</v>
      </c>
      <c r="D989" t="s">
        <v>108</v>
      </c>
      <c r="E989" t="s">
        <v>14</v>
      </c>
      <c r="F989">
        <v>12.294</v>
      </c>
      <c r="G989" t="s">
        <v>13</v>
      </c>
    </row>
    <row r="990" spans="1:7" x14ac:dyDescent="0.25">
      <c r="A990">
        <v>83</v>
      </c>
      <c r="B990" t="s">
        <v>277</v>
      </c>
      <c r="C990">
        <v>50</v>
      </c>
      <c r="D990" t="s">
        <v>105</v>
      </c>
      <c r="E990" t="s">
        <v>14</v>
      </c>
      <c r="F990">
        <v>75.605999999999995</v>
      </c>
      <c r="G990" t="s">
        <v>13</v>
      </c>
    </row>
    <row r="991" spans="1:7" x14ac:dyDescent="0.25">
      <c r="A991">
        <v>83</v>
      </c>
      <c r="B991" t="s">
        <v>277</v>
      </c>
      <c r="C991">
        <v>60</v>
      </c>
      <c r="D991" t="s">
        <v>106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277</v>
      </c>
      <c r="C992">
        <v>70</v>
      </c>
      <c r="D992" t="s">
        <v>104</v>
      </c>
      <c r="E992" t="s">
        <v>12</v>
      </c>
      <c r="F992">
        <v>0.107</v>
      </c>
      <c r="G992" t="s">
        <v>13</v>
      </c>
    </row>
    <row r="993" spans="1:7" x14ac:dyDescent="0.25">
      <c r="A993">
        <v>83</v>
      </c>
      <c r="B993" t="s">
        <v>277</v>
      </c>
      <c r="C993">
        <v>80</v>
      </c>
      <c r="D993" t="s">
        <v>273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277</v>
      </c>
      <c r="C994">
        <v>90</v>
      </c>
      <c r="D994" t="s">
        <v>18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277</v>
      </c>
      <c r="C995">
        <v>100</v>
      </c>
      <c r="D995" t="s">
        <v>19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277</v>
      </c>
      <c r="C996">
        <v>110</v>
      </c>
      <c r="D996" t="s">
        <v>101</v>
      </c>
      <c r="E996" t="s">
        <v>12</v>
      </c>
      <c r="F996">
        <v>0.39800000000000002</v>
      </c>
      <c r="G996" t="s">
        <v>13</v>
      </c>
    </row>
    <row r="997" spans="1:7" x14ac:dyDescent="0.25">
      <c r="A997">
        <v>83</v>
      </c>
      <c r="B997" t="s">
        <v>277</v>
      </c>
      <c r="C997">
        <v>120</v>
      </c>
      <c r="D997" t="s">
        <v>278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279</v>
      </c>
      <c r="C998">
        <v>10</v>
      </c>
      <c r="D998" t="s">
        <v>107</v>
      </c>
      <c r="E998" t="s">
        <v>14</v>
      </c>
      <c r="F998">
        <v>1.321</v>
      </c>
      <c r="G998" t="s">
        <v>15</v>
      </c>
    </row>
    <row r="999" spans="1:7" x14ac:dyDescent="0.25">
      <c r="A999">
        <v>84</v>
      </c>
      <c r="B999" t="s">
        <v>279</v>
      </c>
      <c r="C999">
        <v>20</v>
      </c>
      <c r="D999" t="s">
        <v>565</v>
      </c>
      <c r="E999" t="s">
        <v>14</v>
      </c>
      <c r="F999">
        <v>1.321</v>
      </c>
      <c r="G999" t="s">
        <v>15</v>
      </c>
    </row>
    <row r="1000" spans="1:7" x14ac:dyDescent="0.25">
      <c r="A1000">
        <v>84</v>
      </c>
      <c r="B1000" t="s">
        <v>279</v>
      </c>
      <c r="C1000">
        <v>30</v>
      </c>
      <c r="D1000" t="s">
        <v>99</v>
      </c>
      <c r="E1000" t="s">
        <v>100</v>
      </c>
      <c r="F1000">
        <v>0.372</v>
      </c>
      <c r="G1000" t="s">
        <v>13</v>
      </c>
    </row>
    <row r="1001" spans="1:7" x14ac:dyDescent="0.25">
      <c r="A1001">
        <v>84</v>
      </c>
      <c r="B1001" t="s">
        <v>279</v>
      </c>
      <c r="C1001">
        <v>40</v>
      </c>
      <c r="D1001" t="s">
        <v>108</v>
      </c>
      <c r="E1001" t="s">
        <v>14</v>
      </c>
      <c r="F1001">
        <v>12.903</v>
      </c>
      <c r="G1001" t="s">
        <v>13</v>
      </c>
    </row>
    <row r="1002" spans="1:7" x14ac:dyDescent="0.25">
      <c r="A1002">
        <v>84</v>
      </c>
      <c r="B1002" t="s">
        <v>279</v>
      </c>
      <c r="C1002">
        <v>50</v>
      </c>
      <c r="D1002" t="s">
        <v>105</v>
      </c>
      <c r="E1002" t="s">
        <v>14</v>
      </c>
      <c r="F1002">
        <v>79.355000000000004</v>
      </c>
      <c r="G1002" t="s">
        <v>13</v>
      </c>
    </row>
    <row r="1003" spans="1:7" x14ac:dyDescent="0.25">
      <c r="A1003">
        <v>84</v>
      </c>
      <c r="B1003" t="s">
        <v>279</v>
      </c>
      <c r="C1003">
        <v>60</v>
      </c>
      <c r="D1003" t="s">
        <v>106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279</v>
      </c>
      <c r="C1004">
        <v>70</v>
      </c>
      <c r="D1004" t="s">
        <v>104</v>
      </c>
      <c r="E1004" t="s">
        <v>12</v>
      </c>
      <c r="F1004">
        <v>0.11799999999999999</v>
      </c>
      <c r="G1004" t="s">
        <v>13</v>
      </c>
    </row>
    <row r="1005" spans="1:7" x14ac:dyDescent="0.25">
      <c r="A1005">
        <v>84</v>
      </c>
      <c r="B1005" t="s">
        <v>279</v>
      </c>
      <c r="C1005">
        <v>80</v>
      </c>
      <c r="D1005" t="s">
        <v>273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279</v>
      </c>
      <c r="C1006">
        <v>90</v>
      </c>
      <c r="D1006" t="s">
        <v>18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279</v>
      </c>
      <c r="C1007">
        <v>100</v>
      </c>
      <c r="D1007" t="s">
        <v>19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279</v>
      </c>
      <c r="C1008">
        <v>110</v>
      </c>
      <c r="D1008" t="s">
        <v>101</v>
      </c>
      <c r="E1008" t="s">
        <v>12</v>
      </c>
      <c r="F1008">
        <v>0.443</v>
      </c>
      <c r="G1008" t="s">
        <v>13</v>
      </c>
    </row>
    <row r="1009" spans="1:7" x14ac:dyDescent="0.25">
      <c r="A1009">
        <v>84</v>
      </c>
      <c r="B1009" t="s">
        <v>279</v>
      </c>
      <c r="C1009">
        <v>120</v>
      </c>
      <c r="D1009" t="s">
        <v>280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281</v>
      </c>
      <c r="C1010">
        <v>10</v>
      </c>
      <c r="D1010" t="s">
        <v>107</v>
      </c>
      <c r="E1010" t="s">
        <v>14</v>
      </c>
      <c r="F1010">
        <v>1.397</v>
      </c>
      <c r="G1010" t="s">
        <v>15</v>
      </c>
    </row>
    <row r="1011" spans="1:7" x14ac:dyDescent="0.25">
      <c r="A1011">
        <v>85</v>
      </c>
      <c r="B1011" t="s">
        <v>281</v>
      </c>
      <c r="C1011">
        <v>20</v>
      </c>
      <c r="D1011" t="s">
        <v>565</v>
      </c>
      <c r="E1011" t="s">
        <v>14</v>
      </c>
      <c r="F1011">
        <v>1.397</v>
      </c>
      <c r="G1011" t="s">
        <v>15</v>
      </c>
    </row>
    <row r="1012" spans="1:7" x14ac:dyDescent="0.25">
      <c r="A1012">
        <v>85</v>
      </c>
      <c r="B1012" t="s">
        <v>281</v>
      </c>
      <c r="C1012">
        <v>30</v>
      </c>
      <c r="D1012" t="s">
        <v>99</v>
      </c>
      <c r="E1012" t="s">
        <v>100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281</v>
      </c>
      <c r="C1013">
        <v>40</v>
      </c>
      <c r="D1013" t="s">
        <v>108</v>
      </c>
      <c r="E1013" t="s">
        <v>14</v>
      </c>
      <c r="F1013">
        <v>13.208</v>
      </c>
      <c r="G1013" t="s">
        <v>13</v>
      </c>
    </row>
    <row r="1014" spans="1:7" x14ac:dyDescent="0.25">
      <c r="A1014">
        <v>85</v>
      </c>
      <c r="B1014" t="s">
        <v>281</v>
      </c>
      <c r="C1014">
        <v>50</v>
      </c>
      <c r="D1014" t="s">
        <v>105</v>
      </c>
      <c r="E1014" t="s">
        <v>14</v>
      </c>
      <c r="F1014">
        <v>81.228999999999999</v>
      </c>
      <c r="G1014" t="s">
        <v>13</v>
      </c>
    </row>
    <row r="1015" spans="1:7" x14ac:dyDescent="0.25">
      <c r="A1015">
        <v>85</v>
      </c>
      <c r="B1015" t="s">
        <v>281</v>
      </c>
      <c r="C1015">
        <v>60</v>
      </c>
      <c r="D1015" t="s">
        <v>106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281</v>
      </c>
      <c r="C1016">
        <v>70</v>
      </c>
      <c r="D1016" t="s">
        <v>104</v>
      </c>
      <c r="E1016" t="s">
        <v>12</v>
      </c>
      <c r="F1016">
        <v>0.124</v>
      </c>
      <c r="G1016" t="s">
        <v>13</v>
      </c>
    </row>
    <row r="1017" spans="1:7" x14ac:dyDescent="0.25">
      <c r="A1017">
        <v>85</v>
      </c>
      <c r="B1017" t="s">
        <v>281</v>
      </c>
      <c r="C1017">
        <v>80</v>
      </c>
      <c r="D1017" t="s">
        <v>273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281</v>
      </c>
      <c r="C1018">
        <v>90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281</v>
      </c>
      <c r="C1019">
        <v>100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281</v>
      </c>
      <c r="C1020">
        <v>110</v>
      </c>
      <c r="D1020" t="s">
        <v>101</v>
      </c>
      <c r="E1020" t="s">
        <v>12</v>
      </c>
      <c r="F1020">
        <v>0.46500000000000002</v>
      </c>
      <c r="G1020" t="s">
        <v>13</v>
      </c>
    </row>
    <row r="1021" spans="1:7" x14ac:dyDescent="0.25">
      <c r="A1021">
        <v>85</v>
      </c>
      <c r="B1021" t="s">
        <v>281</v>
      </c>
      <c r="C1021">
        <v>120</v>
      </c>
      <c r="D1021" t="s">
        <v>282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283</v>
      </c>
      <c r="C1022">
        <v>10</v>
      </c>
      <c r="D1022" t="s">
        <v>107</v>
      </c>
      <c r="E1022" t="s">
        <v>14</v>
      </c>
      <c r="F1022">
        <v>1.4730000000000001</v>
      </c>
      <c r="G1022" t="s">
        <v>15</v>
      </c>
    </row>
    <row r="1023" spans="1:7" x14ac:dyDescent="0.25">
      <c r="A1023">
        <v>86</v>
      </c>
      <c r="B1023" t="s">
        <v>283</v>
      </c>
      <c r="C1023">
        <v>20</v>
      </c>
      <c r="D1023" t="s">
        <v>565</v>
      </c>
      <c r="E1023" t="s">
        <v>14</v>
      </c>
      <c r="F1023">
        <v>1.4730000000000001</v>
      </c>
      <c r="G1023" t="s">
        <v>15</v>
      </c>
    </row>
    <row r="1024" spans="1:7" x14ac:dyDescent="0.25">
      <c r="A1024">
        <v>86</v>
      </c>
      <c r="B1024" t="s">
        <v>283</v>
      </c>
      <c r="C1024">
        <v>30</v>
      </c>
      <c r="D1024" t="s">
        <v>99</v>
      </c>
      <c r="E1024" t="s">
        <v>100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283</v>
      </c>
      <c r="C1025">
        <v>40</v>
      </c>
      <c r="D1025" t="s">
        <v>108</v>
      </c>
      <c r="E1025" t="s">
        <v>14</v>
      </c>
      <c r="F1025">
        <v>13.513</v>
      </c>
      <c r="G1025" t="s">
        <v>13</v>
      </c>
    </row>
    <row r="1026" spans="1:7" x14ac:dyDescent="0.25">
      <c r="A1026">
        <v>86</v>
      </c>
      <c r="B1026" t="s">
        <v>283</v>
      </c>
      <c r="C1026">
        <v>50</v>
      </c>
      <c r="D1026" t="s">
        <v>105</v>
      </c>
      <c r="E1026" t="s">
        <v>14</v>
      </c>
      <c r="F1026">
        <v>83.103999999999999</v>
      </c>
      <c r="G1026" t="s">
        <v>13</v>
      </c>
    </row>
    <row r="1027" spans="1:7" x14ac:dyDescent="0.25">
      <c r="A1027">
        <v>86</v>
      </c>
      <c r="B1027" t="s">
        <v>283</v>
      </c>
      <c r="C1027">
        <v>60</v>
      </c>
      <c r="D1027" t="s">
        <v>106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283</v>
      </c>
      <c r="C1028">
        <v>70</v>
      </c>
      <c r="D1028" t="s">
        <v>104</v>
      </c>
      <c r="E1028" t="s">
        <v>12</v>
      </c>
      <c r="F1028">
        <v>0.13</v>
      </c>
      <c r="G1028" t="s">
        <v>13</v>
      </c>
    </row>
    <row r="1029" spans="1:7" x14ac:dyDescent="0.25">
      <c r="A1029">
        <v>86</v>
      </c>
      <c r="B1029" t="s">
        <v>283</v>
      </c>
      <c r="C1029">
        <v>80</v>
      </c>
      <c r="D1029" t="s">
        <v>273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283</v>
      </c>
      <c r="C1030">
        <v>90</v>
      </c>
      <c r="D1030" t="s">
        <v>18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283</v>
      </c>
      <c r="C1031">
        <v>100</v>
      </c>
      <c r="D1031" t="s">
        <v>19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283</v>
      </c>
      <c r="C1032">
        <v>110</v>
      </c>
      <c r="D1032" t="s">
        <v>101</v>
      </c>
      <c r="E1032" t="s">
        <v>12</v>
      </c>
      <c r="F1032">
        <v>0.48799999999999999</v>
      </c>
      <c r="G1032" t="s">
        <v>13</v>
      </c>
    </row>
    <row r="1033" spans="1:7" x14ac:dyDescent="0.25">
      <c r="A1033">
        <v>86</v>
      </c>
      <c r="B1033" t="s">
        <v>283</v>
      </c>
      <c r="C1033">
        <v>120</v>
      </c>
      <c r="D1033" t="s">
        <v>284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285</v>
      </c>
      <c r="C1034">
        <v>10</v>
      </c>
      <c r="D1034" t="s">
        <v>107</v>
      </c>
      <c r="E1034" t="s">
        <v>14</v>
      </c>
      <c r="F1034">
        <v>1.6259999999999999</v>
      </c>
      <c r="G1034" t="s">
        <v>15</v>
      </c>
    </row>
    <row r="1035" spans="1:7" x14ac:dyDescent="0.25">
      <c r="A1035">
        <v>87</v>
      </c>
      <c r="B1035" t="s">
        <v>285</v>
      </c>
      <c r="C1035">
        <v>20</v>
      </c>
      <c r="D1035" t="s">
        <v>565</v>
      </c>
      <c r="E1035" t="s">
        <v>14</v>
      </c>
      <c r="F1035">
        <v>1.6259999999999999</v>
      </c>
      <c r="G1035" t="s">
        <v>15</v>
      </c>
    </row>
    <row r="1036" spans="1:7" x14ac:dyDescent="0.25">
      <c r="A1036">
        <v>87</v>
      </c>
      <c r="B1036" t="s">
        <v>285</v>
      </c>
      <c r="C1036">
        <v>30</v>
      </c>
      <c r="D1036" t="s">
        <v>99</v>
      </c>
      <c r="E1036" t="s">
        <v>100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285</v>
      </c>
      <c r="C1037">
        <v>40</v>
      </c>
      <c r="D1037" t="s">
        <v>108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285</v>
      </c>
      <c r="C1038">
        <v>50</v>
      </c>
      <c r="D1038" t="s">
        <v>105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285</v>
      </c>
      <c r="C1039">
        <v>60</v>
      </c>
      <c r="D1039" t="s">
        <v>106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285</v>
      </c>
      <c r="C1040">
        <v>70</v>
      </c>
      <c r="D1040" t="s">
        <v>104</v>
      </c>
      <c r="E1040" t="s">
        <v>12</v>
      </c>
      <c r="F1040">
        <v>0.14099999999999999</v>
      </c>
      <c r="G1040" t="s">
        <v>13</v>
      </c>
    </row>
    <row r="1041" spans="1:7" x14ac:dyDescent="0.25">
      <c r="A1041">
        <v>87</v>
      </c>
      <c r="B1041" t="s">
        <v>285</v>
      </c>
      <c r="C1041">
        <v>80</v>
      </c>
      <c r="D1041" t="s">
        <v>273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285</v>
      </c>
      <c r="C1042">
        <v>90</v>
      </c>
      <c r="D1042" t="s">
        <v>18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285</v>
      </c>
      <c r="C1043">
        <v>100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285</v>
      </c>
      <c r="C1044">
        <v>110</v>
      </c>
      <c r="D1044" t="s">
        <v>101</v>
      </c>
      <c r="E1044" t="s">
        <v>12</v>
      </c>
      <c r="F1044">
        <v>0.53300000000000003</v>
      </c>
      <c r="G1044" t="s">
        <v>13</v>
      </c>
    </row>
    <row r="1045" spans="1:7" x14ac:dyDescent="0.25">
      <c r="A1045">
        <v>87</v>
      </c>
      <c r="B1045" t="s">
        <v>285</v>
      </c>
      <c r="C1045">
        <v>120</v>
      </c>
      <c r="D1045" t="s">
        <v>286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287</v>
      </c>
      <c r="C1046">
        <v>10</v>
      </c>
      <c r="D1046" t="s">
        <v>107</v>
      </c>
      <c r="E1046" t="s">
        <v>14</v>
      </c>
      <c r="F1046">
        <v>1.778</v>
      </c>
      <c r="G1046" t="s">
        <v>15</v>
      </c>
    </row>
    <row r="1047" spans="1:7" x14ac:dyDescent="0.25">
      <c r="A1047">
        <v>88</v>
      </c>
      <c r="B1047" t="s">
        <v>287</v>
      </c>
      <c r="C1047">
        <v>20</v>
      </c>
      <c r="D1047" t="s">
        <v>565</v>
      </c>
      <c r="E1047" t="s">
        <v>14</v>
      </c>
      <c r="F1047">
        <v>1.778</v>
      </c>
      <c r="G1047" t="s">
        <v>15</v>
      </c>
    </row>
    <row r="1048" spans="1:7" x14ac:dyDescent="0.25">
      <c r="A1048">
        <v>88</v>
      </c>
      <c r="B1048" t="s">
        <v>287</v>
      </c>
      <c r="C1048">
        <v>30</v>
      </c>
      <c r="D1048" t="s">
        <v>99</v>
      </c>
      <c r="E1048" t="s">
        <v>100</v>
      </c>
      <c r="F1048">
        <v>0.503</v>
      </c>
      <c r="G1048" t="s">
        <v>13</v>
      </c>
    </row>
    <row r="1049" spans="1:7" x14ac:dyDescent="0.25">
      <c r="A1049">
        <v>88</v>
      </c>
      <c r="B1049" t="s">
        <v>287</v>
      </c>
      <c r="C1049">
        <v>40</v>
      </c>
      <c r="D1049" t="s">
        <v>108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287</v>
      </c>
      <c r="C1050">
        <v>50</v>
      </c>
      <c r="D1050" t="s">
        <v>105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287</v>
      </c>
      <c r="C1051">
        <v>60</v>
      </c>
      <c r="D1051" t="s">
        <v>106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287</v>
      </c>
      <c r="C1052">
        <v>70</v>
      </c>
      <c r="D1052" t="s">
        <v>104</v>
      </c>
      <c r="E1052" t="s">
        <v>12</v>
      </c>
      <c r="F1052">
        <v>0.152</v>
      </c>
      <c r="G1052" t="s">
        <v>13</v>
      </c>
    </row>
    <row r="1053" spans="1:7" x14ac:dyDescent="0.25">
      <c r="A1053">
        <v>88</v>
      </c>
      <c r="B1053" t="s">
        <v>287</v>
      </c>
      <c r="C1053">
        <v>80</v>
      </c>
      <c r="D1053" t="s">
        <v>273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287</v>
      </c>
      <c r="C1054">
        <v>90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287</v>
      </c>
      <c r="C1055">
        <v>100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287</v>
      </c>
      <c r="C1056">
        <v>110</v>
      </c>
      <c r="D1056" t="s">
        <v>101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88</v>
      </c>
      <c r="B1057" t="s">
        <v>287</v>
      </c>
      <c r="C1057">
        <v>120</v>
      </c>
      <c r="D1057" t="s">
        <v>288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289</v>
      </c>
      <c r="C1058">
        <v>10</v>
      </c>
      <c r="D1058" t="s">
        <v>107</v>
      </c>
      <c r="E1058" t="s">
        <v>14</v>
      </c>
      <c r="F1058">
        <v>0.86399999999999999</v>
      </c>
      <c r="G1058" t="s">
        <v>15</v>
      </c>
    </row>
    <row r="1059" spans="1:7" x14ac:dyDescent="0.25">
      <c r="A1059">
        <v>89</v>
      </c>
      <c r="B1059" t="s">
        <v>289</v>
      </c>
      <c r="C1059">
        <v>20</v>
      </c>
      <c r="D1059" t="s">
        <v>565</v>
      </c>
      <c r="E1059" t="s">
        <v>14</v>
      </c>
      <c r="F1059">
        <v>0.86399999999999999</v>
      </c>
      <c r="G1059" t="s">
        <v>15</v>
      </c>
    </row>
    <row r="1060" spans="1:7" x14ac:dyDescent="0.25">
      <c r="A1060">
        <v>89</v>
      </c>
      <c r="B1060" t="s">
        <v>289</v>
      </c>
      <c r="C1060">
        <v>30</v>
      </c>
      <c r="D1060" t="s">
        <v>99</v>
      </c>
      <c r="E1060" t="s">
        <v>100</v>
      </c>
      <c r="F1060">
        <v>0.251</v>
      </c>
      <c r="G1060" t="s">
        <v>13</v>
      </c>
    </row>
    <row r="1061" spans="1:7" x14ac:dyDescent="0.25">
      <c r="A1061">
        <v>89</v>
      </c>
      <c r="B1061" t="s">
        <v>289</v>
      </c>
      <c r="C1061">
        <v>40</v>
      </c>
      <c r="D1061" t="s">
        <v>108</v>
      </c>
      <c r="E1061" t="s">
        <v>14</v>
      </c>
      <c r="F1061">
        <v>11.379</v>
      </c>
      <c r="G1061" t="s">
        <v>13</v>
      </c>
    </row>
    <row r="1062" spans="1:7" x14ac:dyDescent="0.25">
      <c r="A1062">
        <v>89</v>
      </c>
      <c r="B1062" t="s">
        <v>289</v>
      </c>
      <c r="C1062">
        <v>50</v>
      </c>
      <c r="D1062" t="s">
        <v>105</v>
      </c>
      <c r="E1062" t="s">
        <v>14</v>
      </c>
      <c r="F1062">
        <v>69.981999999999999</v>
      </c>
      <c r="G1062" t="s">
        <v>13</v>
      </c>
    </row>
    <row r="1063" spans="1:7" x14ac:dyDescent="0.25">
      <c r="A1063">
        <v>89</v>
      </c>
      <c r="B1063" t="s">
        <v>289</v>
      </c>
      <c r="C1063">
        <v>60</v>
      </c>
      <c r="D1063" t="s">
        <v>106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289</v>
      </c>
      <c r="C1064">
        <v>70</v>
      </c>
      <c r="D1064" t="s">
        <v>104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289</v>
      </c>
      <c r="C1065">
        <v>80</v>
      </c>
      <c r="D1065" t="s">
        <v>273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289</v>
      </c>
      <c r="C1066">
        <v>90</v>
      </c>
      <c r="D1066" t="s">
        <v>18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289</v>
      </c>
      <c r="C1067">
        <v>100</v>
      </c>
      <c r="D1067" t="s">
        <v>19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289</v>
      </c>
      <c r="C1068">
        <v>110</v>
      </c>
      <c r="D1068" t="s">
        <v>101</v>
      </c>
      <c r="E1068" t="s">
        <v>12</v>
      </c>
      <c r="F1068">
        <v>0.308</v>
      </c>
      <c r="G1068" t="s">
        <v>13</v>
      </c>
    </row>
    <row r="1069" spans="1:7" x14ac:dyDescent="0.25">
      <c r="A1069">
        <v>89</v>
      </c>
      <c r="B1069" t="s">
        <v>289</v>
      </c>
      <c r="C1069">
        <v>120</v>
      </c>
      <c r="D1069" t="s">
        <v>290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291</v>
      </c>
      <c r="C1070">
        <v>10</v>
      </c>
      <c r="D1070" t="s">
        <v>107</v>
      </c>
      <c r="E1070" t="s">
        <v>14</v>
      </c>
      <c r="F1070">
        <v>1.016</v>
      </c>
      <c r="G1070" t="s">
        <v>15</v>
      </c>
    </row>
    <row r="1071" spans="1:7" x14ac:dyDescent="0.25">
      <c r="A1071">
        <v>90</v>
      </c>
      <c r="B1071" t="s">
        <v>291</v>
      </c>
      <c r="C1071">
        <v>20</v>
      </c>
      <c r="D1071" t="s">
        <v>565</v>
      </c>
      <c r="E1071" t="s">
        <v>14</v>
      </c>
      <c r="F1071">
        <v>1.016</v>
      </c>
      <c r="G1071" t="s">
        <v>15</v>
      </c>
    </row>
    <row r="1072" spans="1:7" x14ac:dyDescent="0.25">
      <c r="A1072">
        <v>90</v>
      </c>
      <c r="B1072" t="s">
        <v>291</v>
      </c>
      <c r="C1072">
        <v>30</v>
      </c>
      <c r="D1072" t="s">
        <v>99</v>
      </c>
      <c r="E1072" t="s">
        <v>100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291</v>
      </c>
      <c r="C1073">
        <v>40</v>
      </c>
      <c r="D1073" t="s">
        <v>108</v>
      </c>
      <c r="E1073" t="s">
        <v>14</v>
      </c>
      <c r="F1073">
        <v>11.989000000000001</v>
      </c>
      <c r="G1073" t="s">
        <v>13</v>
      </c>
    </row>
    <row r="1074" spans="1:7" x14ac:dyDescent="0.25">
      <c r="A1074">
        <v>90</v>
      </c>
      <c r="B1074" t="s">
        <v>291</v>
      </c>
      <c r="C1074">
        <v>50</v>
      </c>
      <c r="D1074" t="s">
        <v>105</v>
      </c>
      <c r="E1074" t="s">
        <v>14</v>
      </c>
      <c r="F1074">
        <v>73.730999999999995</v>
      </c>
      <c r="G1074" t="s">
        <v>13</v>
      </c>
    </row>
    <row r="1075" spans="1:7" x14ac:dyDescent="0.25">
      <c r="A1075">
        <v>90</v>
      </c>
      <c r="B1075" t="s">
        <v>291</v>
      </c>
      <c r="C1075">
        <v>60</v>
      </c>
      <c r="D1075" t="s">
        <v>106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291</v>
      </c>
      <c r="C1076">
        <v>70</v>
      </c>
      <c r="D1076" t="s">
        <v>104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291</v>
      </c>
      <c r="C1077">
        <v>80</v>
      </c>
      <c r="D1077" t="s">
        <v>273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291</v>
      </c>
      <c r="C1078">
        <v>90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291</v>
      </c>
      <c r="C1079">
        <v>100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291</v>
      </c>
      <c r="C1080">
        <v>110</v>
      </c>
      <c r="D1080" t="s">
        <v>101</v>
      </c>
      <c r="E1080" t="s">
        <v>12</v>
      </c>
      <c r="F1080">
        <v>0.35299999999999998</v>
      </c>
      <c r="G1080" t="s">
        <v>13</v>
      </c>
    </row>
    <row r="1081" spans="1:7" x14ac:dyDescent="0.25">
      <c r="A1081">
        <v>90</v>
      </c>
      <c r="B1081" t="s">
        <v>291</v>
      </c>
      <c r="C1081">
        <v>120</v>
      </c>
      <c r="D1081" t="s">
        <v>292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293</v>
      </c>
      <c r="C1082">
        <v>10</v>
      </c>
      <c r="D1082" t="s">
        <v>107</v>
      </c>
      <c r="E1082" t="s">
        <v>14</v>
      </c>
      <c r="F1082">
        <v>1.1679999999999999</v>
      </c>
      <c r="G1082" t="s">
        <v>15</v>
      </c>
    </row>
    <row r="1083" spans="1:7" x14ac:dyDescent="0.25">
      <c r="A1083">
        <v>91</v>
      </c>
      <c r="B1083" t="s">
        <v>293</v>
      </c>
      <c r="C1083">
        <v>20</v>
      </c>
      <c r="D1083" t="s">
        <v>565</v>
      </c>
      <c r="E1083" t="s">
        <v>14</v>
      </c>
      <c r="F1083">
        <v>1.1679999999999999</v>
      </c>
      <c r="G1083" t="s">
        <v>15</v>
      </c>
    </row>
    <row r="1084" spans="1:7" x14ac:dyDescent="0.25">
      <c r="A1084">
        <v>91</v>
      </c>
      <c r="B1084" t="s">
        <v>293</v>
      </c>
      <c r="C1084">
        <v>30</v>
      </c>
      <c r="D1084" t="s">
        <v>99</v>
      </c>
      <c r="E1084" t="s">
        <v>100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293</v>
      </c>
      <c r="C1085">
        <v>40</v>
      </c>
      <c r="D1085" t="s">
        <v>108</v>
      </c>
      <c r="E1085" t="s">
        <v>14</v>
      </c>
      <c r="F1085">
        <v>12.598000000000001</v>
      </c>
      <c r="G1085" t="s">
        <v>13</v>
      </c>
    </row>
    <row r="1086" spans="1:7" x14ac:dyDescent="0.25">
      <c r="A1086">
        <v>91</v>
      </c>
      <c r="B1086" t="s">
        <v>293</v>
      </c>
      <c r="C1086">
        <v>50</v>
      </c>
      <c r="D1086" t="s">
        <v>105</v>
      </c>
      <c r="E1086" t="s">
        <v>14</v>
      </c>
      <c r="F1086">
        <v>77.48</v>
      </c>
      <c r="G1086" t="s">
        <v>13</v>
      </c>
    </row>
    <row r="1087" spans="1:7" x14ac:dyDescent="0.25">
      <c r="A1087">
        <v>91</v>
      </c>
      <c r="B1087" t="s">
        <v>293</v>
      </c>
      <c r="C1087">
        <v>60</v>
      </c>
      <c r="D1087" t="s">
        <v>106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293</v>
      </c>
      <c r="C1088">
        <v>70</v>
      </c>
      <c r="D1088" t="s">
        <v>104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293</v>
      </c>
      <c r="C1089">
        <v>80</v>
      </c>
      <c r="D1089" t="s">
        <v>273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293</v>
      </c>
      <c r="C1090">
        <v>90</v>
      </c>
      <c r="D1090" t="s">
        <v>18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293</v>
      </c>
      <c r="C1091">
        <v>100</v>
      </c>
      <c r="D1091" t="s">
        <v>19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293</v>
      </c>
      <c r="C1092">
        <v>110</v>
      </c>
      <c r="D1092" t="s">
        <v>101</v>
      </c>
      <c r="E1092" t="s">
        <v>12</v>
      </c>
      <c r="F1092">
        <v>0.39800000000000002</v>
      </c>
      <c r="G1092" t="s">
        <v>13</v>
      </c>
    </row>
    <row r="1093" spans="1:7" x14ac:dyDescent="0.25">
      <c r="A1093">
        <v>91</v>
      </c>
      <c r="B1093" t="s">
        <v>293</v>
      </c>
      <c r="C1093">
        <v>120</v>
      </c>
      <c r="D1093" t="s">
        <v>294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295</v>
      </c>
      <c r="C1094">
        <v>10</v>
      </c>
      <c r="D1094" t="s">
        <v>107</v>
      </c>
      <c r="E1094" t="s">
        <v>14</v>
      </c>
      <c r="F1094">
        <v>1.321</v>
      </c>
      <c r="G1094" t="s">
        <v>15</v>
      </c>
    </row>
    <row r="1095" spans="1:7" x14ac:dyDescent="0.25">
      <c r="A1095">
        <v>92</v>
      </c>
      <c r="B1095" t="s">
        <v>295</v>
      </c>
      <c r="C1095">
        <v>20</v>
      </c>
      <c r="D1095" t="s">
        <v>565</v>
      </c>
      <c r="E1095" t="s">
        <v>14</v>
      </c>
      <c r="F1095">
        <v>1.321</v>
      </c>
      <c r="G1095" t="s">
        <v>15</v>
      </c>
    </row>
    <row r="1096" spans="1:7" x14ac:dyDescent="0.25">
      <c r="A1096">
        <v>92</v>
      </c>
      <c r="B1096" t="s">
        <v>295</v>
      </c>
      <c r="C1096">
        <v>30</v>
      </c>
      <c r="D1096" t="s">
        <v>99</v>
      </c>
      <c r="E1096" t="s">
        <v>100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295</v>
      </c>
      <c r="C1097">
        <v>40</v>
      </c>
      <c r="D1097" t="s">
        <v>108</v>
      </c>
      <c r="E1097" t="s">
        <v>14</v>
      </c>
      <c r="F1097">
        <v>13.208</v>
      </c>
      <c r="G1097" t="s">
        <v>13</v>
      </c>
    </row>
    <row r="1098" spans="1:7" x14ac:dyDescent="0.25">
      <c r="A1098">
        <v>92</v>
      </c>
      <c r="B1098" t="s">
        <v>295</v>
      </c>
      <c r="C1098">
        <v>50</v>
      </c>
      <c r="D1098" t="s">
        <v>105</v>
      </c>
      <c r="E1098" t="s">
        <v>14</v>
      </c>
      <c r="F1098">
        <v>81.228999999999999</v>
      </c>
      <c r="G1098" t="s">
        <v>13</v>
      </c>
    </row>
    <row r="1099" spans="1:7" x14ac:dyDescent="0.25">
      <c r="A1099">
        <v>92</v>
      </c>
      <c r="B1099" t="s">
        <v>295</v>
      </c>
      <c r="C1099">
        <v>60</v>
      </c>
      <c r="D1099" t="s">
        <v>106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295</v>
      </c>
      <c r="C1100">
        <v>70</v>
      </c>
      <c r="D1100" t="s">
        <v>104</v>
      </c>
      <c r="E1100" t="s">
        <v>12</v>
      </c>
      <c r="F1100">
        <v>0.11799999999999999</v>
      </c>
      <c r="G1100" t="s">
        <v>13</v>
      </c>
    </row>
    <row r="1101" spans="1:7" x14ac:dyDescent="0.25">
      <c r="A1101">
        <v>92</v>
      </c>
      <c r="B1101" t="s">
        <v>295</v>
      </c>
      <c r="C1101">
        <v>80</v>
      </c>
      <c r="D1101" t="s">
        <v>273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295</v>
      </c>
      <c r="C1102">
        <v>90</v>
      </c>
      <c r="D1102" t="s">
        <v>18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295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295</v>
      </c>
      <c r="C1104">
        <v>110</v>
      </c>
      <c r="D1104" t="s">
        <v>101</v>
      </c>
      <c r="E1104" t="s">
        <v>12</v>
      </c>
      <c r="F1104">
        <v>0.443</v>
      </c>
      <c r="G1104" t="s">
        <v>13</v>
      </c>
    </row>
    <row r="1105" spans="1:7" x14ac:dyDescent="0.25">
      <c r="A1105">
        <v>92</v>
      </c>
      <c r="B1105" t="s">
        <v>295</v>
      </c>
      <c r="C1105">
        <v>120</v>
      </c>
      <c r="D1105" t="s">
        <v>296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297</v>
      </c>
      <c r="C1106">
        <v>10</v>
      </c>
      <c r="D1106" t="s">
        <v>107</v>
      </c>
      <c r="E1106" t="s">
        <v>14</v>
      </c>
      <c r="F1106">
        <v>1.397</v>
      </c>
      <c r="G1106" t="s">
        <v>15</v>
      </c>
    </row>
    <row r="1107" spans="1:7" x14ac:dyDescent="0.25">
      <c r="A1107">
        <v>93</v>
      </c>
      <c r="B1107" t="s">
        <v>297</v>
      </c>
      <c r="C1107">
        <v>20</v>
      </c>
      <c r="D1107" t="s">
        <v>565</v>
      </c>
      <c r="E1107" t="s">
        <v>14</v>
      </c>
      <c r="F1107">
        <v>1.397</v>
      </c>
      <c r="G1107" t="s">
        <v>15</v>
      </c>
    </row>
    <row r="1108" spans="1:7" x14ac:dyDescent="0.25">
      <c r="A1108">
        <v>93</v>
      </c>
      <c r="B1108" t="s">
        <v>297</v>
      </c>
      <c r="C1108">
        <v>30</v>
      </c>
      <c r="D1108" t="s">
        <v>99</v>
      </c>
      <c r="E1108" t="s">
        <v>100</v>
      </c>
      <c r="F1108">
        <v>0.41</v>
      </c>
      <c r="G1108" t="s">
        <v>13</v>
      </c>
    </row>
    <row r="1109" spans="1:7" x14ac:dyDescent="0.25">
      <c r="A1109">
        <v>93</v>
      </c>
      <c r="B1109" t="s">
        <v>297</v>
      </c>
      <c r="C1109">
        <v>40</v>
      </c>
      <c r="D1109" t="s">
        <v>108</v>
      </c>
      <c r="E1109" t="s">
        <v>14</v>
      </c>
      <c r="F1109">
        <v>13.513</v>
      </c>
      <c r="G1109" t="s">
        <v>13</v>
      </c>
    </row>
    <row r="1110" spans="1:7" x14ac:dyDescent="0.25">
      <c r="A1110">
        <v>93</v>
      </c>
      <c r="B1110" t="s">
        <v>297</v>
      </c>
      <c r="C1110">
        <v>50</v>
      </c>
      <c r="D1110" t="s">
        <v>105</v>
      </c>
      <c r="E1110" t="s">
        <v>14</v>
      </c>
      <c r="F1110">
        <v>83.103999999999999</v>
      </c>
      <c r="G1110" t="s">
        <v>13</v>
      </c>
    </row>
    <row r="1111" spans="1:7" x14ac:dyDescent="0.25">
      <c r="A1111">
        <v>93</v>
      </c>
      <c r="B1111" t="s">
        <v>297</v>
      </c>
      <c r="C1111">
        <v>60</v>
      </c>
      <c r="D1111" t="s">
        <v>106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297</v>
      </c>
      <c r="C1112">
        <v>70</v>
      </c>
      <c r="D1112" t="s">
        <v>104</v>
      </c>
      <c r="E1112" t="s">
        <v>12</v>
      </c>
      <c r="F1112">
        <v>0.124</v>
      </c>
      <c r="G1112" t="s">
        <v>13</v>
      </c>
    </row>
    <row r="1113" spans="1:7" x14ac:dyDescent="0.25">
      <c r="A1113">
        <v>93</v>
      </c>
      <c r="B1113" t="s">
        <v>297</v>
      </c>
      <c r="C1113">
        <v>80</v>
      </c>
      <c r="D1113" t="s">
        <v>273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297</v>
      </c>
      <c r="C1114">
        <v>90</v>
      </c>
      <c r="D1114" t="s">
        <v>18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297</v>
      </c>
      <c r="C1115">
        <v>100</v>
      </c>
      <c r="D1115" t="s">
        <v>19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297</v>
      </c>
      <c r="C1116">
        <v>110</v>
      </c>
      <c r="D1116" t="s">
        <v>101</v>
      </c>
      <c r="E1116" t="s">
        <v>12</v>
      </c>
      <c r="F1116">
        <v>0.46500000000000002</v>
      </c>
      <c r="G1116" t="s">
        <v>13</v>
      </c>
    </row>
    <row r="1117" spans="1:7" x14ac:dyDescent="0.25">
      <c r="A1117">
        <v>93</v>
      </c>
      <c r="B1117" t="s">
        <v>297</v>
      </c>
      <c r="C1117">
        <v>120</v>
      </c>
      <c r="D1117" t="s">
        <v>298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299</v>
      </c>
      <c r="C1118">
        <v>10</v>
      </c>
      <c r="D1118" t="s">
        <v>107</v>
      </c>
      <c r="E1118" t="s">
        <v>14</v>
      </c>
      <c r="F1118">
        <v>1.4730000000000001</v>
      </c>
      <c r="G1118" t="s">
        <v>15</v>
      </c>
    </row>
    <row r="1119" spans="1:7" x14ac:dyDescent="0.25">
      <c r="A1119">
        <v>94</v>
      </c>
      <c r="B1119" t="s">
        <v>299</v>
      </c>
      <c r="C1119">
        <v>20</v>
      </c>
      <c r="D1119" t="s">
        <v>565</v>
      </c>
      <c r="E1119" t="s">
        <v>14</v>
      </c>
      <c r="F1119">
        <v>1.4730000000000001</v>
      </c>
      <c r="G1119" t="s">
        <v>15</v>
      </c>
    </row>
    <row r="1120" spans="1:7" x14ac:dyDescent="0.25">
      <c r="A1120">
        <v>94</v>
      </c>
      <c r="B1120" t="s">
        <v>299</v>
      </c>
      <c r="C1120">
        <v>30</v>
      </c>
      <c r="D1120" t="s">
        <v>99</v>
      </c>
      <c r="E1120" t="s">
        <v>100</v>
      </c>
      <c r="F1120">
        <v>0.433</v>
      </c>
      <c r="G1120" t="s">
        <v>13</v>
      </c>
    </row>
    <row r="1121" spans="1:7" x14ac:dyDescent="0.25">
      <c r="A1121">
        <v>94</v>
      </c>
      <c r="B1121" t="s">
        <v>299</v>
      </c>
      <c r="C1121">
        <v>40</v>
      </c>
      <c r="D1121" t="s">
        <v>108</v>
      </c>
      <c r="E1121" t="s">
        <v>14</v>
      </c>
      <c r="F1121">
        <v>13.818</v>
      </c>
      <c r="G1121" t="s">
        <v>13</v>
      </c>
    </row>
    <row r="1122" spans="1:7" x14ac:dyDescent="0.25">
      <c r="A1122">
        <v>94</v>
      </c>
      <c r="B1122" t="s">
        <v>299</v>
      </c>
      <c r="C1122">
        <v>50</v>
      </c>
      <c r="D1122" t="s">
        <v>105</v>
      </c>
      <c r="E1122" t="s">
        <v>14</v>
      </c>
      <c r="F1122">
        <v>84.977999999999994</v>
      </c>
      <c r="G1122" t="s">
        <v>13</v>
      </c>
    </row>
    <row r="1123" spans="1:7" x14ac:dyDescent="0.25">
      <c r="A1123">
        <v>94</v>
      </c>
      <c r="B1123" t="s">
        <v>299</v>
      </c>
      <c r="C1123">
        <v>60</v>
      </c>
      <c r="D1123" t="s">
        <v>106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299</v>
      </c>
      <c r="C1124">
        <v>70</v>
      </c>
      <c r="D1124" t="s">
        <v>104</v>
      </c>
      <c r="E1124" t="s">
        <v>12</v>
      </c>
      <c r="F1124">
        <v>0.13</v>
      </c>
      <c r="G1124" t="s">
        <v>13</v>
      </c>
    </row>
    <row r="1125" spans="1:7" x14ac:dyDescent="0.25">
      <c r="A1125">
        <v>94</v>
      </c>
      <c r="B1125" t="s">
        <v>299</v>
      </c>
      <c r="C1125">
        <v>80</v>
      </c>
      <c r="D1125" t="s">
        <v>273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299</v>
      </c>
      <c r="C1126">
        <v>90</v>
      </c>
      <c r="D1126" t="s">
        <v>18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299</v>
      </c>
      <c r="C1127">
        <v>100</v>
      </c>
      <c r="D1127" t="s">
        <v>19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299</v>
      </c>
      <c r="C1128">
        <v>110</v>
      </c>
      <c r="D1128" t="s">
        <v>101</v>
      </c>
      <c r="E1128" t="s">
        <v>12</v>
      </c>
      <c r="F1128">
        <v>0.48799999999999999</v>
      </c>
      <c r="G1128" t="s">
        <v>13</v>
      </c>
    </row>
    <row r="1129" spans="1:7" x14ac:dyDescent="0.25">
      <c r="A1129">
        <v>94</v>
      </c>
      <c r="B1129" t="s">
        <v>299</v>
      </c>
      <c r="C1129">
        <v>120</v>
      </c>
      <c r="D1129" t="s">
        <v>300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301</v>
      </c>
      <c r="C1130">
        <v>10</v>
      </c>
      <c r="D1130" t="s">
        <v>107</v>
      </c>
      <c r="E1130" t="s">
        <v>14</v>
      </c>
      <c r="F1130">
        <v>1.6259999999999999</v>
      </c>
      <c r="G1130" t="s">
        <v>15</v>
      </c>
    </row>
    <row r="1131" spans="1:7" x14ac:dyDescent="0.25">
      <c r="A1131">
        <v>95</v>
      </c>
      <c r="B1131" t="s">
        <v>301</v>
      </c>
      <c r="C1131">
        <v>20</v>
      </c>
      <c r="D1131" t="s">
        <v>565</v>
      </c>
      <c r="E1131" t="s">
        <v>14</v>
      </c>
      <c r="F1131">
        <v>1.6259999999999999</v>
      </c>
      <c r="G1131" t="s">
        <v>15</v>
      </c>
    </row>
    <row r="1132" spans="1:7" x14ac:dyDescent="0.25">
      <c r="A1132">
        <v>95</v>
      </c>
      <c r="B1132" t="s">
        <v>301</v>
      </c>
      <c r="C1132">
        <v>30</v>
      </c>
      <c r="D1132" t="s">
        <v>99</v>
      </c>
      <c r="E1132" t="s">
        <v>100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301</v>
      </c>
      <c r="C1133">
        <v>40</v>
      </c>
      <c r="D1133" t="s">
        <v>108</v>
      </c>
      <c r="E1133" t="s">
        <v>14</v>
      </c>
      <c r="F1133">
        <v>14.427</v>
      </c>
      <c r="G1133" t="s">
        <v>13</v>
      </c>
    </row>
    <row r="1134" spans="1:7" x14ac:dyDescent="0.25">
      <c r="A1134">
        <v>95</v>
      </c>
      <c r="B1134" t="s">
        <v>301</v>
      </c>
      <c r="C1134">
        <v>50</v>
      </c>
      <c r="D1134" t="s">
        <v>105</v>
      </c>
      <c r="E1134" t="s">
        <v>14</v>
      </c>
      <c r="F1134">
        <v>88.727000000000004</v>
      </c>
      <c r="G1134" t="s">
        <v>13</v>
      </c>
    </row>
    <row r="1135" spans="1:7" x14ac:dyDescent="0.25">
      <c r="A1135">
        <v>95</v>
      </c>
      <c r="B1135" t="s">
        <v>301</v>
      </c>
      <c r="C1135">
        <v>60</v>
      </c>
      <c r="D1135" t="s">
        <v>106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301</v>
      </c>
      <c r="C1136">
        <v>70</v>
      </c>
      <c r="D1136" t="s">
        <v>104</v>
      </c>
      <c r="E1136" t="s">
        <v>12</v>
      </c>
      <c r="F1136">
        <v>0.14099999999999999</v>
      </c>
      <c r="G1136" t="s">
        <v>13</v>
      </c>
    </row>
    <row r="1137" spans="1:7" x14ac:dyDescent="0.25">
      <c r="A1137">
        <v>95</v>
      </c>
      <c r="B1137" t="s">
        <v>301</v>
      </c>
      <c r="C1137">
        <v>80</v>
      </c>
      <c r="D1137" t="s">
        <v>273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301</v>
      </c>
      <c r="C1138">
        <v>90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301</v>
      </c>
      <c r="C1139">
        <v>100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301</v>
      </c>
      <c r="C1140">
        <v>110</v>
      </c>
      <c r="D1140" t="s">
        <v>101</v>
      </c>
      <c r="E1140" t="s">
        <v>12</v>
      </c>
      <c r="F1140">
        <v>0.53300000000000003</v>
      </c>
      <c r="G1140" t="s">
        <v>13</v>
      </c>
    </row>
    <row r="1141" spans="1:7" x14ac:dyDescent="0.25">
      <c r="A1141">
        <v>95</v>
      </c>
      <c r="B1141" t="s">
        <v>301</v>
      </c>
      <c r="C1141">
        <v>120</v>
      </c>
      <c r="D1141" t="s">
        <v>302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303</v>
      </c>
      <c r="C1142">
        <v>10</v>
      </c>
      <c r="D1142" t="s">
        <v>107</v>
      </c>
      <c r="E1142" t="s">
        <v>14</v>
      </c>
      <c r="F1142">
        <v>1.778</v>
      </c>
      <c r="G1142" t="s">
        <v>15</v>
      </c>
    </row>
    <row r="1143" spans="1:7" x14ac:dyDescent="0.25">
      <c r="A1143">
        <v>96</v>
      </c>
      <c r="B1143" t="s">
        <v>303</v>
      </c>
      <c r="C1143">
        <v>20</v>
      </c>
      <c r="D1143" t="s">
        <v>565</v>
      </c>
      <c r="E1143" t="s">
        <v>14</v>
      </c>
      <c r="F1143">
        <v>1.778</v>
      </c>
      <c r="G1143" t="s">
        <v>15</v>
      </c>
    </row>
    <row r="1144" spans="1:7" x14ac:dyDescent="0.25">
      <c r="A1144">
        <v>96</v>
      </c>
      <c r="B1144" t="s">
        <v>303</v>
      </c>
      <c r="C1144">
        <v>30</v>
      </c>
      <c r="D1144" t="s">
        <v>99</v>
      </c>
      <c r="E1144" t="s">
        <v>100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303</v>
      </c>
      <c r="C1145">
        <v>40</v>
      </c>
      <c r="D1145" t="s">
        <v>108</v>
      </c>
      <c r="E1145" t="s">
        <v>14</v>
      </c>
      <c r="F1145">
        <v>15.037000000000001</v>
      </c>
      <c r="G1145" t="s">
        <v>13</v>
      </c>
    </row>
    <row r="1146" spans="1:7" x14ac:dyDescent="0.25">
      <c r="A1146">
        <v>96</v>
      </c>
      <c r="B1146" t="s">
        <v>303</v>
      </c>
      <c r="C1146">
        <v>50</v>
      </c>
      <c r="D1146" t="s">
        <v>105</v>
      </c>
      <c r="E1146" t="s">
        <v>14</v>
      </c>
      <c r="F1146">
        <v>92.475999999999999</v>
      </c>
      <c r="G1146" t="s">
        <v>13</v>
      </c>
    </row>
    <row r="1147" spans="1:7" x14ac:dyDescent="0.25">
      <c r="A1147">
        <v>96</v>
      </c>
      <c r="B1147" t="s">
        <v>303</v>
      </c>
      <c r="C1147">
        <v>60</v>
      </c>
      <c r="D1147" t="s">
        <v>106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303</v>
      </c>
      <c r="C1148">
        <v>70</v>
      </c>
      <c r="D1148" t="s">
        <v>104</v>
      </c>
      <c r="E1148" t="s">
        <v>12</v>
      </c>
      <c r="F1148">
        <v>0.152</v>
      </c>
      <c r="G1148" t="s">
        <v>13</v>
      </c>
    </row>
    <row r="1149" spans="1:7" x14ac:dyDescent="0.25">
      <c r="A1149">
        <v>96</v>
      </c>
      <c r="B1149" t="s">
        <v>303</v>
      </c>
      <c r="C1149">
        <v>80</v>
      </c>
      <c r="D1149" t="s">
        <v>273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303</v>
      </c>
      <c r="C1150">
        <v>90</v>
      </c>
      <c r="D1150" t="s">
        <v>18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303</v>
      </c>
      <c r="C1151">
        <v>100</v>
      </c>
      <c r="D1151" t="s">
        <v>19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303</v>
      </c>
      <c r="C1152">
        <v>110</v>
      </c>
      <c r="D1152" t="s">
        <v>101</v>
      </c>
      <c r="E1152" t="s">
        <v>12</v>
      </c>
      <c r="F1152">
        <v>0.57799999999999996</v>
      </c>
      <c r="G1152" t="s">
        <v>13</v>
      </c>
    </row>
    <row r="1153" spans="1:7" x14ac:dyDescent="0.25">
      <c r="A1153">
        <v>96</v>
      </c>
      <c r="B1153" t="s">
        <v>303</v>
      </c>
      <c r="C1153">
        <v>120</v>
      </c>
      <c r="D1153" t="s">
        <v>304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305</v>
      </c>
      <c r="C1154">
        <v>10</v>
      </c>
      <c r="D1154" t="s">
        <v>107</v>
      </c>
      <c r="E1154" t="s">
        <v>14</v>
      </c>
      <c r="F1154">
        <v>0.86399999999999999</v>
      </c>
      <c r="G1154" t="s">
        <v>15</v>
      </c>
    </row>
    <row r="1155" spans="1:7" x14ac:dyDescent="0.25">
      <c r="A1155">
        <v>97</v>
      </c>
      <c r="B1155" t="s">
        <v>305</v>
      </c>
      <c r="C1155">
        <v>20</v>
      </c>
      <c r="D1155" t="s">
        <v>565</v>
      </c>
      <c r="E1155" t="s">
        <v>14</v>
      </c>
      <c r="F1155">
        <v>0.86399999999999999</v>
      </c>
      <c r="G1155" t="s">
        <v>15</v>
      </c>
    </row>
    <row r="1156" spans="1:7" x14ac:dyDescent="0.25">
      <c r="A1156">
        <v>97</v>
      </c>
      <c r="B1156" t="s">
        <v>305</v>
      </c>
      <c r="C1156">
        <v>30</v>
      </c>
      <c r="D1156" t="s">
        <v>99</v>
      </c>
      <c r="E1156" t="s">
        <v>100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305</v>
      </c>
      <c r="C1157">
        <v>40</v>
      </c>
      <c r="D1157" t="s">
        <v>108</v>
      </c>
      <c r="E1157" t="s">
        <v>14</v>
      </c>
      <c r="F1157">
        <v>11.683999999999999</v>
      </c>
      <c r="G1157" t="s">
        <v>13</v>
      </c>
    </row>
    <row r="1158" spans="1:7" x14ac:dyDescent="0.25">
      <c r="A1158">
        <v>97</v>
      </c>
      <c r="B1158" t="s">
        <v>305</v>
      </c>
      <c r="C1158">
        <v>50</v>
      </c>
      <c r="D1158" t="s">
        <v>105</v>
      </c>
      <c r="E1158" t="s">
        <v>14</v>
      </c>
      <c r="F1158">
        <v>71.856999999999999</v>
      </c>
      <c r="G1158" t="s">
        <v>13</v>
      </c>
    </row>
    <row r="1159" spans="1:7" x14ac:dyDescent="0.25">
      <c r="A1159">
        <v>97</v>
      </c>
      <c r="B1159" t="s">
        <v>305</v>
      </c>
      <c r="C1159">
        <v>60</v>
      </c>
      <c r="D1159" t="s">
        <v>106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305</v>
      </c>
      <c r="C1160">
        <v>70</v>
      </c>
      <c r="D1160" t="s">
        <v>104</v>
      </c>
      <c r="E1160" t="s">
        <v>12</v>
      </c>
      <c r="F1160">
        <v>8.5000000000000006E-2</v>
      </c>
      <c r="G1160" t="s">
        <v>13</v>
      </c>
    </row>
    <row r="1161" spans="1:7" x14ac:dyDescent="0.25">
      <c r="A1161">
        <v>97</v>
      </c>
      <c r="B1161" t="s">
        <v>305</v>
      </c>
      <c r="C1161">
        <v>80</v>
      </c>
      <c r="D1161" t="s">
        <v>273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305</v>
      </c>
      <c r="C1162">
        <v>90</v>
      </c>
      <c r="D1162" t="s">
        <v>18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305</v>
      </c>
      <c r="C1163">
        <v>100</v>
      </c>
      <c r="D1163" t="s">
        <v>19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305</v>
      </c>
      <c r="C1164">
        <v>110</v>
      </c>
      <c r="D1164" t="s">
        <v>101</v>
      </c>
      <c r="E1164" t="s">
        <v>12</v>
      </c>
      <c r="F1164">
        <v>0.308</v>
      </c>
      <c r="G1164" t="s">
        <v>13</v>
      </c>
    </row>
    <row r="1165" spans="1:7" x14ac:dyDescent="0.25">
      <c r="A1165">
        <v>97</v>
      </c>
      <c r="B1165" t="s">
        <v>305</v>
      </c>
      <c r="C1165">
        <v>120</v>
      </c>
      <c r="D1165" t="s">
        <v>306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307</v>
      </c>
      <c r="C1166">
        <v>10</v>
      </c>
      <c r="D1166" t="s">
        <v>107</v>
      </c>
      <c r="E1166" t="s">
        <v>14</v>
      </c>
      <c r="F1166">
        <v>1.016</v>
      </c>
      <c r="G1166" t="s">
        <v>15</v>
      </c>
    </row>
    <row r="1167" spans="1:7" x14ac:dyDescent="0.25">
      <c r="A1167">
        <v>98</v>
      </c>
      <c r="B1167" t="s">
        <v>307</v>
      </c>
      <c r="C1167">
        <v>20</v>
      </c>
      <c r="D1167" t="s">
        <v>565</v>
      </c>
      <c r="E1167" t="s">
        <v>14</v>
      </c>
      <c r="F1167">
        <v>1.016</v>
      </c>
      <c r="G1167" t="s">
        <v>15</v>
      </c>
    </row>
    <row r="1168" spans="1:7" x14ac:dyDescent="0.25">
      <c r="A1168">
        <v>98</v>
      </c>
      <c r="B1168" t="s">
        <v>307</v>
      </c>
      <c r="C1168">
        <v>30</v>
      </c>
      <c r="D1168" t="s">
        <v>99</v>
      </c>
      <c r="E1168" t="s">
        <v>100</v>
      </c>
      <c r="F1168">
        <v>0.308</v>
      </c>
      <c r="G1168" t="s">
        <v>13</v>
      </c>
    </row>
    <row r="1169" spans="1:7" x14ac:dyDescent="0.25">
      <c r="A1169">
        <v>98</v>
      </c>
      <c r="B1169" t="s">
        <v>307</v>
      </c>
      <c r="C1169">
        <v>40</v>
      </c>
      <c r="D1169" t="s">
        <v>108</v>
      </c>
      <c r="E1169" t="s">
        <v>14</v>
      </c>
      <c r="F1169">
        <v>12.294</v>
      </c>
      <c r="G1169" t="s">
        <v>13</v>
      </c>
    </row>
    <row r="1170" spans="1:7" x14ac:dyDescent="0.25">
      <c r="A1170">
        <v>98</v>
      </c>
      <c r="B1170" t="s">
        <v>307</v>
      </c>
      <c r="C1170">
        <v>50</v>
      </c>
      <c r="D1170" t="s">
        <v>105</v>
      </c>
      <c r="E1170" t="s">
        <v>14</v>
      </c>
      <c r="F1170">
        <v>75.605999999999995</v>
      </c>
      <c r="G1170" t="s">
        <v>13</v>
      </c>
    </row>
    <row r="1171" spans="1:7" x14ac:dyDescent="0.25">
      <c r="A1171">
        <v>98</v>
      </c>
      <c r="B1171" t="s">
        <v>307</v>
      </c>
      <c r="C1171">
        <v>60</v>
      </c>
      <c r="D1171" t="s">
        <v>106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307</v>
      </c>
      <c r="C1172">
        <v>70</v>
      </c>
      <c r="D1172" t="s">
        <v>104</v>
      </c>
      <c r="E1172" t="s">
        <v>12</v>
      </c>
      <c r="F1172">
        <v>9.6000000000000002E-2</v>
      </c>
      <c r="G1172" t="s">
        <v>13</v>
      </c>
    </row>
    <row r="1173" spans="1:7" x14ac:dyDescent="0.25">
      <c r="A1173">
        <v>98</v>
      </c>
      <c r="B1173" t="s">
        <v>307</v>
      </c>
      <c r="C1173">
        <v>80</v>
      </c>
      <c r="D1173" t="s">
        <v>273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307</v>
      </c>
      <c r="C1174">
        <v>90</v>
      </c>
      <c r="D1174" t="s">
        <v>18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307</v>
      </c>
      <c r="C1175">
        <v>100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307</v>
      </c>
      <c r="C1176">
        <v>110</v>
      </c>
      <c r="D1176" t="s">
        <v>101</v>
      </c>
      <c r="E1176" t="s">
        <v>12</v>
      </c>
      <c r="F1176">
        <v>0.35299999999999998</v>
      </c>
      <c r="G1176" t="s">
        <v>13</v>
      </c>
    </row>
    <row r="1177" spans="1:7" x14ac:dyDescent="0.25">
      <c r="A1177">
        <v>98</v>
      </c>
      <c r="B1177" t="s">
        <v>307</v>
      </c>
      <c r="C1177">
        <v>120</v>
      </c>
      <c r="D1177" t="s">
        <v>308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309</v>
      </c>
      <c r="C1178">
        <v>10</v>
      </c>
      <c r="D1178" t="s">
        <v>107</v>
      </c>
      <c r="E1178" t="s">
        <v>14</v>
      </c>
      <c r="F1178">
        <v>1.1679999999999999</v>
      </c>
      <c r="G1178" t="s">
        <v>15</v>
      </c>
    </row>
    <row r="1179" spans="1:7" x14ac:dyDescent="0.25">
      <c r="A1179">
        <v>99</v>
      </c>
      <c r="B1179" t="s">
        <v>309</v>
      </c>
      <c r="C1179">
        <v>20</v>
      </c>
      <c r="D1179" t="s">
        <v>565</v>
      </c>
      <c r="E1179" t="s">
        <v>14</v>
      </c>
      <c r="F1179">
        <v>1.1679999999999999</v>
      </c>
      <c r="G1179" t="s">
        <v>15</v>
      </c>
    </row>
    <row r="1180" spans="1:7" x14ac:dyDescent="0.25">
      <c r="A1180">
        <v>99</v>
      </c>
      <c r="B1180" t="s">
        <v>309</v>
      </c>
      <c r="C1180">
        <v>30</v>
      </c>
      <c r="D1180" t="s">
        <v>99</v>
      </c>
      <c r="E1180" t="s">
        <v>100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309</v>
      </c>
      <c r="C1181">
        <v>40</v>
      </c>
      <c r="D1181" t="s">
        <v>108</v>
      </c>
      <c r="E1181" t="s">
        <v>14</v>
      </c>
      <c r="F1181">
        <v>12.903</v>
      </c>
      <c r="G1181" t="s">
        <v>13</v>
      </c>
    </row>
    <row r="1182" spans="1:7" x14ac:dyDescent="0.25">
      <c r="A1182">
        <v>99</v>
      </c>
      <c r="B1182" t="s">
        <v>309</v>
      </c>
      <c r="C1182">
        <v>50</v>
      </c>
      <c r="D1182" t="s">
        <v>105</v>
      </c>
      <c r="E1182" t="s">
        <v>14</v>
      </c>
      <c r="F1182">
        <v>79.355000000000004</v>
      </c>
      <c r="G1182" t="s">
        <v>13</v>
      </c>
    </row>
    <row r="1183" spans="1:7" x14ac:dyDescent="0.25">
      <c r="A1183">
        <v>99</v>
      </c>
      <c r="B1183" t="s">
        <v>309</v>
      </c>
      <c r="C1183">
        <v>60</v>
      </c>
      <c r="D1183" t="s">
        <v>106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309</v>
      </c>
      <c r="C1184">
        <v>70</v>
      </c>
      <c r="D1184" t="s">
        <v>104</v>
      </c>
      <c r="E1184" t="s">
        <v>12</v>
      </c>
      <c r="F1184">
        <v>0.107</v>
      </c>
      <c r="G1184" t="s">
        <v>13</v>
      </c>
    </row>
    <row r="1185" spans="1:7" x14ac:dyDescent="0.25">
      <c r="A1185">
        <v>99</v>
      </c>
      <c r="B1185" t="s">
        <v>309</v>
      </c>
      <c r="C1185">
        <v>80</v>
      </c>
      <c r="D1185" t="s">
        <v>273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309</v>
      </c>
      <c r="C1186">
        <v>90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309</v>
      </c>
      <c r="C1187">
        <v>100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309</v>
      </c>
      <c r="C1188">
        <v>110</v>
      </c>
      <c r="D1188" t="s">
        <v>101</v>
      </c>
      <c r="E1188" t="s">
        <v>12</v>
      </c>
      <c r="F1188">
        <v>0.39800000000000002</v>
      </c>
      <c r="G1188" t="s">
        <v>13</v>
      </c>
    </row>
    <row r="1189" spans="1:7" x14ac:dyDescent="0.25">
      <c r="A1189">
        <v>99</v>
      </c>
      <c r="B1189" t="s">
        <v>309</v>
      </c>
      <c r="C1189">
        <v>120</v>
      </c>
      <c r="D1189" t="s">
        <v>310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311</v>
      </c>
      <c r="C1190">
        <v>10</v>
      </c>
      <c r="D1190" t="s">
        <v>107</v>
      </c>
      <c r="E1190" t="s">
        <v>14</v>
      </c>
      <c r="F1190">
        <v>1.321</v>
      </c>
      <c r="G1190" t="s">
        <v>15</v>
      </c>
    </row>
    <row r="1191" spans="1:7" x14ac:dyDescent="0.25">
      <c r="A1191">
        <v>100</v>
      </c>
      <c r="B1191" t="s">
        <v>311</v>
      </c>
      <c r="C1191">
        <v>20</v>
      </c>
      <c r="D1191" t="s">
        <v>565</v>
      </c>
      <c r="E1191" t="s">
        <v>14</v>
      </c>
      <c r="F1191">
        <v>1.321</v>
      </c>
      <c r="G1191" t="s">
        <v>15</v>
      </c>
    </row>
    <row r="1192" spans="1:7" x14ac:dyDescent="0.25">
      <c r="A1192">
        <v>100</v>
      </c>
      <c r="B1192" t="s">
        <v>311</v>
      </c>
      <c r="C1192">
        <v>30</v>
      </c>
      <c r="D1192" t="s">
        <v>99</v>
      </c>
      <c r="E1192" t="s">
        <v>100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311</v>
      </c>
      <c r="C1193">
        <v>40</v>
      </c>
      <c r="D1193" t="s">
        <v>108</v>
      </c>
      <c r="E1193" t="s">
        <v>14</v>
      </c>
      <c r="F1193">
        <v>13.513</v>
      </c>
      <c r="G1193" t="s">
        <v>13</v>
      </c>
    </row>
    <row r="1194" spans="1:7" x14ac:dyDescent="0.25">
      <c r="A1194">
        <v>100</v>
      </c>
      <c r="B1194" t="s">
        <v>311</v>
      </c>
      <c r="C1194">
        <v>50</v>
      </c>
      <c r="D1194" t="s">
        <v>105</v>
      </c>
      <c r="E1194" t="s">
        <v>14</v>
      </c>
      <c r="F1194">
        <v>83.103999999999999</v>
      </c>
      <c r="G1194" t="s">
        <v>13</v>
      </c>
    </row>
    <row r="1195" spans="1:7" x14ac:dyDescent="0.25">
      <c r="A1195">
        <v>100</v>
      </c>
      <c r="B1195" t="s">
        <v>311</v>
      </c>
      <c r="C1195">
        <v>60</v>
      </c>
      <c r="D1195" t="s">
        <v>106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311</v>
      </c>
      <c r="C1196">
        <v>70</v>
      </c>
      <c r="D1196" t="s">
        <v>104</v>
      </c>
      <c r="E1196" t="s">
        <v>12</v>
      </c>
      <c r="F1196">
        <v>0.11799999999999999</v>
      </c>
      <c r="G1196" t="s">
        <v>13</v>
      </c>
    </row>
    <row r="1197" spans="1:7" x14ac:dyDescent="0.25">
      <c r="A1197">
        <v>100</v>
      </c>
      <c r="B1197" t="s">
        <v>311</v>
      </c>
      <c r="C1197">
        <v>80</v>
      </c>
      <c r="D1197" t="s">
        <v>273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311</v>
      </c>
      <c r="C1198">
        <v>90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311</v>
      </c>
      <c r="C1199">
        <v>100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311</v>
      </c>
      <c r="C1200">
        <v>110</v>
      </c>
      <c r="D1200" t="s">
        <v>101</v>
      </c>
      <c r="E1200" t="s">
        <v>12</v>
      </c>
      <c r="F1200">
        <v>0.443</v>
      </c>
      <c r="G1200" t="s">
        <v>13</v>
      </c>
    </row>
    <row r="1201" spans="1:7" x14ac:dyDescent="0.25">
      <c r="A1201">
        <v>100</v>
      </c>
      <c r="B1201" t="s">
        <v>311</v>
      </c>
      <c r="C1201">
        <v>120</v>
      </c>
      <c r="D1201" t="s">
        <v>312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313</v>
      </c>
      <c r="C1202">
        <v>10</v>
      </c>
      <c r="D1202" t="s">
        <v>107</v>
      </c>
      <c r="E1202" t="s">
        <v>14</v>
      </c>
      <c r="F1202">
        <v>1.397</v>
      </c>
      <c r="G1202" t="s">
        <v>15</v>
      </c>
    </row>
    <row r="1203" spans="1:7" x14ac:dyDescent="0.25">
      <c r="A1203">
        <v>101</v>
      </c>
      <c r="B1203" t="s">
        <v>313</v>
      </c>
      <c r="C1203">
        <v>20</v>
      </c>
      <c r="D1203" t="s">
        <v>565</v>
      </c>
      <c r="E1203" t="s">
        <v>14</v>
      </c>
      <c r="F1203">
        <v>1.397</v>
      </c>
      <c r="G1203" t="s">
        <v>15</v>
      </c>
    </row>
    <row r="1204" spans="1:7" x14ac:dyDescent="0.25">
      <c r="A1204">
        <v>101</v>
      </c>
      <c r="B1204" t="s">
        <v>313</v>
      </c>
      <c r="C1204">
        <v>30</v>
      </c>
      <c r="D1204" t="s">
        <v>99</v>
      </c>
      <c r="E1204" t="s">
        <v>100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313</v>
      </c>
      <c r="C1205">
        <v>40</v>
      </c>
      <c r="D1205" t="s">
        <v>108</v>
      </c>
      <c r="E1205" t="s">
        <v>14</v>
      </c>
      <c r="F1205">
        <v>13.818</v>
      </c>
      <c r="G1205" t="s">
        <v>13</v>
      </c>
    </row>
    <row r="1206" spans="1:7" x14ac:dyDescent="0.25">
      <c r="A1206">
        <v>101</v>
      </c>
      <c r="B1206" t="s">
        <v>313</v>
      </c>
      <c r="C1206">
        <v>50</v>
      </c>
      <c r="D1206" t="s">
        <v>105</v>
      </c>
      <c r="E1206" t="s">
        <v>14</v>
      </c>
      <c r="F1206">
        <v>84.977999999999994</v>
      </c>
      <c r="G1206" t="s">
        <v>13</v>
      </c>
    </row>
    <row r="1207" spans="1:7" x14ac:dyDescent="0.25">
      <c r="A1207">
        <v>101</v>
      </c>
      <c r="B1207" t="s">
        <v>313</v>
      </c>
      <c r="C1207">
        <v>60</v>
      </c>
      <c r="D1207" t="s">
        <v>106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313</v>
      </c>
      <c r="C1208">
        <v>70</v>
      </c>
      <c r="D1208" t="s">
        <v>104</v>
      </c>
      <c r="E1208" t="s">
        <v>12</v>
      </c>
      <c r="F1208">
        <v>0.124</v>
      </c>
      <c r="G1208" t="s">
        <v>13</v>
      </c>
    </row>
    <row r="1209" spans="1:7" x14ac:dyDescent="0.25">
      <c r="A1209">
        <v>101</v>
      </c>
      <c r="B1209" t="s">
        <v>313</v>
      </c>
      <c r="C1209">
        <v>80</v>
      </c>
      <c r="D1209" t="s">
        <v>273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313</v>
      </c>
      <c r="C1210">
        <v>90</v>
      </c>
      <c r="D1210" t="s">
        <v>18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313</v>
      </c>
      <c r="C1211">
        <v>100</v>
      </c>
      <c r="D1211" t="s">
        <v>19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313</v>
      </c>
      <c r="C1212">
        <v>110</v>
      </c>
      <c r="D1212" t="s">
        <v>101</v>
      </c>
      <c r="E1212" t="s">
        <v>12</v>
      </c>
      <c r="F1212">
        <v>0.46500000000000002</v>
      </c>
      <c r="G1212" t="s">
        <v>13</v>
      </c>
    </row>
    <row r="1213" spans="1:7" x14ac:dyDescent="0.25">
      <c r="A1213">
        <v>101</v>
      </c>
      <c r="B1213" t="s">
        <v>313</v>
      </c>
      <c r="C1213">
        <v>120</v>
      </c>
      <c r="D1213" t="s">
        <v>314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315</v>
      </c>
      <c r="C1214">
        <v>10</v>
      </c>
      <c r="D1214" t="s">
        <v>107</v>
      </c>
      <c r="E1214" t="s">
        <v>14</v>
      </c>
      <c r="F1214">
        <v>1.4730000000000001</v>
      </c>
      <c r="G1214" t="s">
        <v>15</v>
      </c>
    </row>
    <row r="1215" spans="1:7" x14ac:dyDescent="0.25">
      <c r="A1215">
        <v>102</v>
      </c>
      <c r="B1215" t="s">
        <v>315</v>
      </c>
      <c r="C1215">
        <v>20</v>
      </c>
      <c r="D1215" t="s">
        <v>565</v>
      </c>
      <c r="E1215" t="s">
        <v>14</v>
      </c>
      <c r="F1215">
        <v>1.4730000000000001</v>
      </c>
      <c r="G1215" t="s">
        <v>15</v>
      </c>
    </row>
    <row r="1216" spans="1:7" x14ac:dyDescent="0.25">
      <c r="A1216">
        <v>102</v>
      </c>
      <c r="B1216" t="s">
        <v>315</v>
      </c>
      <c r="C1216">
        <v>30</v>
      </c>
      <c r="D1216" t="s">
        <v>99</v>
      </c>
      <c r="E1216" t="s">
        <v>100</v>
      </c>
      <c r="F1216">
        <v>0.45</v>
      </c>
      <c r="G1216" t="s">
        <v>13</v>
      </c>
    </row>
    <row r="1217" spans="1:7" x14ac:dyDescent="0.25">
      <c r="A1217">
        <v>102</v>
      </c>
      <c r="B1217" t="s">
        <v>315</v>
      </c>
      <c r="C1217">
        <v>40</v>
      </c>
      <c r="D1217" t="s">
        <v>108</v>
      </c>
      <c r="E1217" t="s">
        <v>14</v>
      </c>
      <c r="F1217">
        <v>14.122</v>
      </c>
      <c r="G1217" t="s">
        <v>13</v>
      </c>
    </row>
    <row r="1218" spans="1:7" x14ac:dyDescent="0.25">
      <c r="A1218">
        <v>102</v>
      </c>
      <c r="B1218" t="s">
        <v>315</v>
      </c>
      <c r="C1218">
        <v>50</v>
      </c>
      <c r="D1218" t="s">
        <v>105</v>
      </c>
      <c r="E1218" t="s">
        <v>14</v>
      </c>
      <c r="F1218">
        <v>86.852999999999994</v>
      </c>
      <c r="G1218" t="s">
        <v>13</v>
      </c>
    </row>
    <row r="1219" spans="1:7" x14ac:dyDescent="0.25">
      <c r="A1219">
        <v>102</v>
      </c>
      <c r="B1219" t="s">
        <v>315</v>
      </c>
      <c r="C1219">
        <v>60</v>
      </c>
      <c r="D1219" t="s">
        <v>106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315</v>
      </c>
      <c r="C1220">
        <v>70</v>
      </c>
      <c r="D1220" t="s">
        <v>104</v>
      </c>
      <c r="E1220" t="s">
        <v>12</v>
      </c>
      <c r="F1220">
        <v>0.13</v>
      </c>
      <c r="G1220" t="s">
        <v>13</v>
      </c>
    </row>
    <row r="1221" spans="1:7" x14ac:dyDescent="0.25">
      <c r="A1221">
        <v>102</v>
      </c>
      <c r="B1221" t="s">
        <v>315</v>
      </c>
      <c r="C1221">
        <v>80</v>
      </c>
      <c r="D1221" t="s">
        <v>273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315</v>
      </c>
      <c r="C1222">
        <v>90</v>
      </c>
      <c r="D1222" t="s">
        <v>18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315</v>
      </c>
      <c r="C1223">
        <v>100</v>
      </c>
      <c r="D1223" t="s">
        <v>19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315</v>
      </c>
      <c r="C1224">
        <v>110</v>
      </c>
      <c r="D1224" t="s">
        <v>101</v>
      </c>
      <c r="E1224" t="s">
        <v>12</v>
      </c>
      <c r="F1224">
        <v>0.48799999999999999</v>
      </c>
      <c r="G1224" t="s">
        <v>13</v>
      </c>
    </row>
    <row r="1225" spans="1:7" x14ac:dyDescent="0.25">
      <c r="A1225">
        <v>102</v>
      </c>
      <c r="B1225" t="s">
        <v>315</v>
      </c>
      <c r="C1225">
        <v>120</v>
      </c>
      <c r="D1225" t="s">
        <v>316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317</v>
      </c>
      <c r="C1226">
        <v>10</v>
      </c>
      <c r="D1226" t="s">
        <v>107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103</v>
      </c>
      <c r="B1227" t="s">
        <v>317</v>
      </c>
      <c r="C1227">
        <v>20</v>
      </c>
      <c r="D1227" t="s">
        <v>565</v>
      </c>
      <c r="E1227" t="s">
        <v>14</v>
      </c>
      <c r="F1227">
        <v>1.6259999999999999</v>
      </c>
      <c r="G1227" t="s">
        <v>15</v>
      </c>
    </row>
    <row r="1228" spans="1:7" x14ac:dyDescent="0.25">
      <c r="A1228">
        <v>103</v>
      </c>
      <c r="B1228" t="s">
        <v>317</v>
      </c>
      <c r="C1228">
        <v>30</v>
      </c>
      <c r="D1228" t="s">
        <v>99</v>
      </c>
      <c r="E1228" t="s">
        <v>100</v>
      </c>
      <c r="F1228">
        <v>0.498</v>
      </c>
      <c r="G1228" t="s">
        <v>13</v>
      </c>
    </row>
    <row r="1229" spans="1:7" x14ac:dyDescent="0.25">
      <c r="A1229">
        <v>103</v>
      </c>
      <c r="B1229" t="s">
        <v>317</v>
      </c>
      <c r="C1229">
        <v>40</v>
      </c>
      <c r="D1229" t="s">
        <v>108</v>
      </c>
      <c r="E1229" t="s">
        <v>14</v>
      </c>
      <c r="F1229">
        <v>14.731999999999999</v>
      </c>
      <c r="G1229" t="s">
        <v>13</v>
      </c>
    </row>
    <row r="1230" spans="1:7" x14ac:dyDescent="0.25">
      <c r="A1230">
        <v>103</v>
      </c>
      <c r="B1230" t="s">
        <v>317</v>
      </c>
      <c r="C1230">
        <v>50</v>
      </c>
      <c r="D1230" t="s">
        <v>105</v>
      </c>
      <c r="E1230" t="s">
        <v>14</v>
      </c>
      <c r="F1230">
        <v>90.602000000000004</v>
      </c>
      <c r="G1230" t="s">
        <v>13</v>
      </c>
    </row>
    <row r="1231" spans="1:7" x14ac:dyDescent="0.25">
      <c r="A1231">
        <v>103</v>
      </c>
      <c r="B1231" t="s">
        <v>317</v>
      </c>
      <c r="C1231">
        <v>60</v>
      </c>
      <c r="D1231" t="s">
        <v>106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317</v>
      </c>
      <c r="C1232">
        <v>70</v>
      </c>
      <c r="D1232" t="s">
        <v>104</v>
      </c>
      <c r="E1232" t="s">
        <v>12</v>
      </c>
      <c r="F1232">
        <v>0.14099999999999999</v>
      </c>
      <c r="G1232" t="s">
        <v>13</v>
      </c>
    </row>
    <row r="1233" spans="1:7" x14ac:dyDescent="0.25">
      <c r="A1233">
        <v>103</v>
      </c>
      <c r="B1233" t="s">
        <v>317</v>
      </c>
      <c r="C1233">
        <v>80</v>
      </c>
      <c r="D1233" t="s">
        <v>273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317</v>
      </c>
      <c r="C1234">
        <v>90</v>
      </c>
      <c r="D1234" t="s">
        <v>18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317</v>
      </c>
      <c r="C1235">
        <v>100</v>
      </c>
      <c r="D1235" t="s">
        <v>19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317</v>
      </c>
      <c r="C1236">
        <v>110</v>
      </c>
      <c r="D1236" t="s">
        <v>101</v>
      </c>
      <c r="E1236" t="s">
        <v>12</v>
      </c>
      <c r="F1236">
        <v>0.53300000000000003</v>
      </c>
      <c r="G1236" t="s">
        <v>13</v>
      </c>
    </row>
    <row r="1237" spans="1:7" x14ac:dyDescent="0.25">
      <c r="A1237">
        <v>103</v>
      </c>
      <c r="B1237" t="s">
        <v>317</v>
      </c>
      <c r="C1237">
        <v>120</v>
      </c>
      <c r="D1237" t="s">
        <v>318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319</v>
      </c>
      <c r="C1238">
        <v>10</v>
      </c>
      <c r="D1238" t="s">
        <v>107</v>
      </c>
      <c r="E1238" t="s">
        <v>14</v>
      </c>
      <c r="F1238">
        <v>1.778</v>
      </c>
      <c r="G1238" t="s">
        <v>15</v>
      </c>
    </row>
    <row r="1239" spans="1:7" x14ac:dyDescent="0.25">
      <c r="A1239">
        <v>104</v>
      </c>
      <c r="B1239" t="s">
        <v>319</v>
      </c>
      <c r="C1239">
        <v>20</v>
      </c>
      <c r="D1239" t="s">
        <v>565</v>
      </c>
      <c r="E1239" t="s">
        <v>14</v>
      </c>
      <c r="F1239">
        <v>1.778</v>
      </c>
      <c r="G1239" t="s">
        <v>15</v>
      </c>
    </row>
    <row r="1240" spans="1:7" x14ac:dyDescent="0.25">
      <c r="A1240">
        <v>104</v>
      </c>
      <c r="B1240" t="s">
        <v>319</v>
      </c>
      <c r="C1240">
        <v>30</v>
      </c>
      <c r="D1240" t="s">
        <v>99</v>
      </c>
      <c r="E1240" t="s">
        <v>100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319</v>
      </c>
      <c r="C1241">
        <v>40</v>
      </c>
      <c r="D1241" t="s">
        <v>108</v>
      </c>
      <c r="E1241" t="s">
        <v>14</v>
      </c>
      <c r="F1241">
        <v>15.342000000000001</v>
      </c>
      <c r="G1241" t="s">
        <v>13</v>
      </c>
    </row>
    <row r="1242" spans="1:7" x14ac:dyDescent="0.25">
      <c r="A1242">
        <v>104</v>
      </c>
      <c r="B1242" t="s">
        <v>319</v>
      </c>
      <c r="C1242">
        <v>50</v>
      </c>
      <c r="D1242" t="s">
        <v>105</v>
      </c>
      <c r="E1242" t="s">
        <v>14</v>
      </c>
      <c r="F1242">
        <v>94.350999999999999</v>
      </c>
      <c r="G1242" t="s">
        <v>13</v>
      </c>
    </row>
    <row r="1243" spans="1:7" x14ac:dyDescent="0.25">
      <c r="A1243">
        <v>104</v>
      </c>
      <c r="B1243" t="s">
        <v>319</v>
      </c>
      <c r="C1243">
        <v>60</v>
      </c>
      <c r="D1243" t="s">
        <v>106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319</v>
      </c>
      <c r="C1244">
        <v>70</v>
      </c>
      <c r="D1244" t="s">
        <v>104</v>
      </c>
      <c r="E1244" t="s">
        <v>12</v>
      </c>
      <c r="F1244">
        <v>0.152</v>
      </c>
      <c r="G1244" t="s">
        <v>13</v>
      </c>
    </row>
    <row r="1245" spans="1:7" x14ac:dyDescent="0.25">
      <c r="A1245">
        <v>104</v>
      </c>
      <c r="B1245" t="s">
        <v>319</v>
      </c>
      <c r="C1245">
        <v>80</v>
      </c>
      <c r="D1245" t="s">
        <v>273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319</v>
      </c>
      <c r="C1246">
        <v>90</v>
      </c>
      <c r="D1246" t="s">
        <v>18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319</v>
      </c>
      <c r="C1247">
        <v>100</v>
      </c>
      <c r="D1247" t="s">
        <v>19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319</v>
      </c>
      <c r="C1248">
        <v>110</v>
      </c>
      <c r="D1248" t="s">
        <v>101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104</v>
      </c>
      <c r="B1249" t="s">
        <v>319</v>
      </c>
      <c r="C1249">
        <v>120</v>
      </c>
      <c r="D1249" t="s">
        <v>320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321</v>
      </c>
      <c r="C1250">
        <v>10</v>
      </c>
      <c r="D1250" t="s">
        <v>107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321</v>
      </c>
      <c r="C1251">
        <v>20</v>
      </c>
      <c r="D1251" t="s">
        <v>565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321</v>
      </c>
      <c r="C1252">
        <v>30</v>
      </c>
      <c r="D1252" t="s">
        <v>99</v>
      </c>
      <c r="E1252" t="s">
        <v>100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321</v>
      </c>
      <c r="C1253">
        <v>40</v>
      </c>
      <c r="D1253" t="s">
        <v>108</v>
      </c>
      <c r="E1253" t="s">
        <v>14</v>
      </c>
      <c r="F1253">
        <v>11.887</v>
      </c>
      <c r="G1253" t="s">
        <v>13</v>
      </c>
    </row>
    <row r="1254" spans="1:7" x14ac:dyDescent="0.25">
      <c r="A1254">
        <v>105</v>
      </c>
      <c r="B1254" t="s">
        <v>321</v>
      </c>
      <c r="C1254">
        <v>50</v>
      </c>
      <c r="D1254" t="s">
        <v>105</v>
      </c>
      <c r="E1254" t="s">
        <v>14</v>
      </c>
      <c r="F1254">
        <v>73.105999999999995</v>
      </c>
      <c r="G1254" t="s">
        <v>13</v>
      </c>
    </row>
    <row r="1255" spans="1:7" x14ac:dyDescent="0.25">
      <c r="A1255">
        <v>105</v>
      </c>
      <c r="B1255" t="s">
        <v>321</v>
      </c>
      <c r="C1255">
        <v>60</v>
      </c>
      <c r="D1255" t="s">
        <v>106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321</v>
      </c>
      <c r="C1256">
        <v>70</v>
      </c>
      <c r="D1256" t="s">
        <v>104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321</v>
      </c>
      <c r="C1257">
        <v>80</v>
      </c>
      <c r="D1257" t="s">
        <v>273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321</v>
      </c>
      <c r="C1258">
        <v>90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321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321</v>
      </c>
      <c r="C1260">
        <v>110</v>
      </c>
      <c r="D1260" t="s">
        <v>101</v>
      </c>
      <c r="E1260" t="s">
        <v>12</v>
      </c>
      <c r="F1260">
        <v>0.66100000000000003</v>
      </c>
      <c r="G1260" t="s">
        <v>13</v>
      </c>
    </row>
    <row r="1261" spans="1:7" x14ac:dyDescent="0.25">
      <c r="A1261">
        <v>105</v>
      </c>
      <c r="B1261" t="s">
        <v>321</v>
      </c>
      <c r="C1261">
        <v>120</v>
      </c>
      <c r="D1261" t="s">
        <v>322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323</v>
      </c>
      <c r="C1262">
        <v>10</v>
      </c>
      <c r="D1262" t="s">
        <v>107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323</v>
      </c>
      <c r="C1263">
        <v>20</v>
      </c>
      <c r="D1263" t="s">
        <v>565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323</v>
      </c>
      <c r="C1264">
        <v>30</v>
      </c>
      <c r="D1264" t="s">
        <v>99</v>
      </c>
      <c r="E1264" t="s">
        <v>100</v>
      </c>
      <c r="F1264">
        <v>0.316</v>
      </c>
      <c r="G1264" t="s">
        <v>13</v>
      </c>
    </row>
    <row r="1265" spans="1:7" x14ac:dyDescent="0.25">
      <c r="A1265">
        <v>106</v>
      </c>
      <c r="B1265" t="s">
        <v>323</v>
      </c>
      <c r="C1265">
        <v>40</v>
      </c>
      <c r="D1265" t="s">
        <v>108</v>
      </c>
      <c r="E1265" t="s">
        <v>14</v>
      </c>
      <c r="F1265">
        <v>12.497</v>
      </c>
      <c r="G1265" t="s">
        <v>13</v>
      </c>
    </row>
    <row r="1266" spans="1:7" x14ac:dyDescent="0.25">
      <c r="A1266">
        <v>106</v>
      </c>
      <c r="B1266" t="s">
        <v>323</v>
      </c>
      <c r="C1266">
        <v>50</v>
      </c>
      <c r="D1266" t="s">
        <v>105</v>
      </c>
      <c r="E1266" t="s">
        <v>14</v>
      </c>
      <c r="F1266">
        <v>76.855000000000004</v>
      </c>
      <c r="G1266" t="s">
        <v>13</v>
      </c>
    </row>
    <row r="1267" spans="1:7" x14ac:dyDescent="0.25">
      <c r="A1267">
        <v>106</v>
      </c>
      <c r="B1267" t="s">
        <v>323</v>
      </c>
      <c r="C1267">
        <v>60</v>
      </c>
      <c r="D1267" t="s">
        <v>106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323</v>
      </c>
      <c r="C1268">
        <v>70</v>
      </c>
      <c r="D1268" t="s">
        <v>104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323</v>
      </c>
      <c r="C1269">
        <v>80</v>
      </c>
      <c r="D1269" t="s">
        <v>273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323</v>
      </c>
      <c r="C1270">
        <v>90</v>
      </c>
      <c r="D1270" t="s">
        <v>18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323</v>
      </c>
      <c r="C1271">
        <v>100</v>
      </c>
      <c r="D1271" t="s">
        <v>19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323</v>
      </c>
      <c r="C1272">
        <v>110</v>
      </c>
      <c r="D1272" t="s">
        <v>101</v>
      </c>
      <c r="E1272" t="s">
        <v>12</v>
      </c>
      <c r="F1272">
        <v>0.66100000000000003</v>
      </c>
      <c r="G1272" t="s">
        <v>13</v>
      </c>
    </row>
    <row r="1273" spans="1:7" x14ac:dyDescent="0.25">
      <c r="A1273">
        <v>106</v>
      </c>
      <c r="B1273" t="s">
        <v>323</v>
      </c>
      <c r="C1273">
        <v>120</v>
      </c>
      <c r="D1273" t="s">
        <v>324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325</v>
      </c>
      <c r="C1274">
        <v>10</v>
      </c>
      <c r="D1274" t="s">
        <v>107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325</v>
      </c>
      <c r="C1275">
        <v>20</v>
      </c>
      <c r="D1275" t="s">
        <v>565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325</v>
      </c>
      <c r="C1276">
        <v>30</v>
      </c>
      <c r="D1276" t="s">
        <v>99</v>
      </c>
      <c r="E1276" t="s">
        <v>100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325</v>
      </c>
      <c r="C1277">
        <v>40</v>
      </c>
      <c r="D1277" t="s">
        <v>108</v>
      </c>
      <c r="E1277" t="s">
        <v>14</v>
      </c>
      <c r="F1277">
        <v>13.106</v>
      </c>
      <c r="G1277" t="s">
        <v>13</v>
      </c>
    </row>
    <row r="1278" spans="1:7" x14ac:dyDescent="0.25">
      <c r="A1278">
        <v>107</v>
      </c>
      <c r="B1278" t="s">
        <v>325</v>
      </c>
      <c r="C1278">
        <v>50</v>
      </c>
      <c r="D1278" t="s">
        <v>105</v>
      </c>
      <c r="E1278" t="s">
        <v>14</v>
      </c>
      <c r="F1278">
        <v>80.603999999999999</v>
      </c>
      <c r="G1278" t="s">
        <v>13</v>
      </c>
    </row>
    <row r="1279" spans="1:7" x14ac:dyDescent="0.25">
      <c r="A1279">
        <v>107</v>
      </c>
      <c r="B1279" t="s">
        <v>325</v>
      </c>
      <c r="C1279">
        <v>60</v>
      </c>
      <c r="D1279" t="s">
        <v>106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325</v>
      </c>
      <c r="C1280">
        <v>70</v>
      </c>
      <c r="D1280" t="s">
        <v>104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325</v>
      </c>
      <c r="C1281">
        <v>80</v>
      </c>
      <c r="D1281" t="s">
        <v>273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325</v>
      </c>
      <c r="C1282">
        <v>90</v>
      </c>
      <c r="D1282" t="s">
        <v>18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325</v>
      </c>
      <c r="C1283">
        <v>100</v>
      </c>
      <c r="D1283" t="s">
        <v>19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325</v>
      </c>
      <c r="C1284">
        <v>110</v>
      </c>
      <c r="D1284" t="s">
        <v>101</v>
      </c>
      <c r="E1284" t="s">
        <v>12</v>
      </c>
      <c r="F1284">
        <v>0.66100000000000003</v>
      </c>
      <c r="G1284" t="s">
        <v>13</v>
      </c>
    </row>
    <row r="1285" spans="1:7" x14ac:dyDescent="0.25">
      <c r="A1285">
        <v>107</v>
      </c>
      <c r="B1285" t="s">
        <v>325</v>
      </c>
      <c r="C1285">
        <v>120</v>
      </c>
      <c r="D1285" t="s">
        <v>326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327</v>
      </c>
      <c r="C1286">
        <v>10</v>
      </c>
      <c r="D1286" t="s">
        <v>107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327</v>
      </c>
      <c r="C1287">
        <v>20</v>
      </c>
      <c r="D1287" t="s">
        <v>565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327</v>
      </c>
      <c r="C1288">
        <v>30</v>
      </c>
      <c r="D1288" t="s">
        <v>99</v>
      </c>
      <c r="E1288" t="s">
        <v>100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327</v>
      </c>
      <c r="C1289">
        <v>40</v>
      </c>
      <c r="D1289" t="s">
        <v>108</v>
      </c>
      <c r="E1289" t="s">
        <v>14</v>
      </c>
      <c r="F1289">
        <v>13.715999999999999</v>
      </c>
      <c r="G1289" t="s">
        <v>13</v>
      </c>
    </row>
    <row r="1290" spans="1:7" x14ac:dyDescent="0.25">
      <c r="A1290">
        <v>108</v>
      </c>
      <c r="B1290" t="s">
        <v>327</v>
      </c>
      <c r="C1290">
        <v>50</v>
      </c>
      <c r="D1290" t="s">
        <v>105</v>
      </c>
      <c r="E1290" t="s">
        <v>14</v>
      </c>
      <c r="F1290">
        <v>84.352999999999994</v>
      </c>
      <c r="G1290" t="s">
        <v>13</v>
      </c>
    </row>
    <row r="1291" spans="1:7" x14ac:dyDescent="0.25">
      <c r="A1291">
        <v>108</v>
      </c>
      <c r="B1291" t="s">
        <v>327</v>
      </c>
      <c r="C1291">
        <v>60</v>
      </c>
      <c r="D1291" t="s">
        <v>106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327</v>
      </c>
      <c r="C1292">
        <v>70</v>
      </c>
      <c r="D1292" t="s">
        <v>104</v>
      </c>
      <c r="E1292" t="s">
        <v>12</v>
      </c>
      <c r="F1292">
        <v>0.11799999999999999</v>
      </c>
      <c r="G1292" t="s">
        <v>13</v>
      </c>
    </row>
    <row r="1293" spans="1:7" x14ac:dyDescent="0.25">
      <c r="A1293">
        <v>108</v>
      </c>
      <c r="B1293" t="s">
        <v>327</v>
      </c>
      <c r="C1293">
        <v>80</v>
      </c>
      <c r="D1293" t="s">
        <v>273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327</v>
      </c>
      <c r="C1294">
        <v>90</v>
      </c>
      <c r="D1294" t="s">
        <v>18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327</v>
      </c>
      <c r="C1295">
        <v>100</v>
      </c>
      <c r="D1295" t="s">
        <v>19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327</v>
      </c>
      <c r="C1296">
        <v>110</v>
      </c>
      <c r="D1296" t="s">
        <v>101</v>
      </c>
      <c r="E1296" t="s">
        <v>12</v>
      </c>
      <c r="F1296">
        <v>0.66100000000000003</v>
      </c>
      <c r="G1296" t="s">
        <v>13</v>
      </c>
    </row>
    <row r="1297" spans="1:7" x14ac:dyDescent="0.25">
      <c r="A1297">
        <v>108</v>
      </c>
      <c r="B1297" t="s">
        <v>327</v>
      </c>
      <c r="C1297">
        <v>120</v>
      </c>
      <c r="D1297" t="s">
        <v>328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329</v>
      </c>
      <c r="C1298">
        <v>10</v>
      </c>
      <c r="D1298" t="s">
        <v>107</v>
      </c>
      <c r="E1298" t="s">
        <v>14</v>
      </c>
      <c r="F1298">
        <v>2.0569999999999999</v>
      </c>
      <c r="G1298" t="s">
        <v>15</v>
      </c>
    </row>
    <row r="1299" spans="1:7" x14ac:dyDescent="0.25">
      <c r="A1299">
        <v>109</v>
      </c>
      <c r="B1299" t="s">
        <v>329</v>
      </c>
      <c r="C1299">
        <v>20</v>
      </c>
      <c r="D1299" t="s">
        <v>565</v>
      </c>
      <c r="E1299" t="s">
        <v>14</v>
      </c>
      <c r="F1299">
        <v>2.0569999999999999</v>
      </c>
      <c r="G1299" t="s">
        <v>15</v>
      </c>
    </row>
    <row r="1300" spans="1:7" x14ac:dyDescent="0.25">
      <c r="A1300">
        <v>109</v>
      </c>
      <c r="B1300" t="s">
        <v>329</v>
      </c>
      <c r="C1300">
        <v>30</v>
      </c>
      <c r="D1300" t="s">
        <v>99</v>
      </c>
      <c r="E1300" t="s">
        <v>100</v>
      </c>
      <c r="F1300">
        <v>0.437</v>
      </c>
      <c r="G1300" t="s">
        <v>13</v>
      </c>
    </row>
    <row r="1301" spans="1:7" x14ac:dyDescent="0.25">
      <c r="A1301">
        <v>109</v>
      </c>
      <c r="B1301" t="s">
        <v>329</v>
      </c>
      <c r="C1301">
        <v>40</v>
      </c>
      <c r="D1301" t="s">
        <v>108</v>
      </c>
      <c r="E1301" t="s">
        <v>14</v>
      </c>
      <c r="F1301">
        <v>14.021000000000001</v>
      </c>
      <c r="G1301" t="s">
        <v>13</v>
      </c>
    </row>
    <row r="1302" spans="1:7" x14ac:dyDescent="0.25">
      <c r="A1302">
        <v>109</v>
      </c>
      <c r="B1302" t="s">
        <v>329</v>
      </c>
      <c r="C1302">
        <v>50</v>
      </c>
      <c r="D1302" t="s">
        <v>105</v>
      </c>
      <c r="E1302" t="s">
        <v>14</v>
      </c>
      <c r="F1302">
        <v>86.227999999999994</v>
      </c>
      <c r="G1302" t="s">
        <v>13</v>
      </c>
    </row>
    <row r="1303" spans="1:7" x14ac:dyDescent="0.25">
      <c r="A1303">
        <v>109</v>
      </c>
      <c r="B1303" t="s">
        <v>329</v>
      </c>
      <c r="C1303">
        <v>60</v>
      </c>
      <c r="D1303" t="s">
        <v>106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329</v>
      </c>
      <c r="C1304">
        <v>70</v>
      </c>
      <c r="D1304" t="s">
        <v>104</v>
      </c>
      <c r="E1304" t="s">
        <v>12</v>
      </c>
      <c r="F1304">
        <v>0.124</v>
      </c>
      <c r="G1304" t="s">
        <v>13</v>
      </c>
    </row>
    <row r="1305" spans="1:7" x14ac:dyDescent="0.25">
      <c r="A1305">
        <v>109</v>
      </c>
      <c r="B1305" t="s">
        <v>329</v>
      </c>
      <c r="C1305">
        <v>80</v>
      </c>
      <c r="D1305" t="s">
        <v>273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329</v>
      </c>
      <c r="C1306">
        <v>90</v>
      </c>
      <c r="D1306" t="s">
        <v>18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329</v>
      </c>
      <c r="C1307">
        <v>100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329</v>
      </c>
      <c r="C1308">
        <v>110</v>
      </c>
      <c r="D1308" t="s">
        <v>101</v>
      </c>
      <c r="E1308" t="s">
        <v>12</v>
      </c>
      <c r="F1308">
        <v>0.66100000000000003</v>
      </c>
      <c r="G1308" t="s">
        <v>13</v>
      </c>
    </row>
    <row r="1309" spans="1:7" x14ac:dyDescent="0.25">
      <c r="A1309">
        <v>109</v>
      </c>
      <c r="B1309" t="s">
        <v>329</v>
      </c>
      <c r="C1309">
        <v>120</v>
      </c>
      <c r="D1309" t="s">
        <v>330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331</v>
      </c>
      <c r="C1310">
        <v>10</v>
      </c>
      <c r="D1310" t="s">
        <v>107</v>
      </c>
      <c r="E1310" t="s">
        <v>14</v>
      </c>
      <c r="F1310">
        <v>2.0569999999999999</v>
      </c>
      <c r="G1310" t="s">
        <v>15</v>
      </c>
    </row>
    <row r="1311" spans="1:7" x14ac:dyDescent="0.25">
      <c r="A1311">
        <v>110</v>
      </c>
      <c r="B1311" t="s">
        <v>331</v>
      </c>
      <c r="C1311">
        <v>20</v>
      </c>
      <c r="D1311" t="s">
        <v>565</v>
      </c>
      <c r="E1311" t="s">
        <v>14</v>
      </c>
      <c r="F1311">
        <v>2.0569999999999999</v>
      </c>
      <c r="G1311" t="s">
        <v>15</v>
      </c>
    </row>
    <row r="1312" spans="1:7" x14ac:dyDescent="0.25">
      <c r="A1312">
        <v>110</v>
      </c>
      <c r="B1312" t="s">
        <v>331</v>
      </c>
      <c r="C1312">
        <v>30</v>
      </c>
      <c r="D1312" t="s">
        <v>99</v>
      </c>
      <c r="E1312" t="s">
        <v>100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331</v>
      </c>
      <c r="C1313">
        <v>40</v>
      </c>
      <c r="D1313" t="s">
        <v>108</v>
      </c>
      <c r="E1313" t="s">
        <v>14</v>
      </c>
      <c r="F1313">
        <v>14.326000000000001</v>
      </c>
      <c r="G1313" t="s">
        <v>13</v>
      </c>
    </row>
    <row r="1314" spans="1:7" x14ac:dyDescent="0.25">
      <c r="A1314">
        <v>110</v>
      </c>
      <c r="B1314" t="s">
        <v>331</v>
      </c>
      <c r="C1314">
        <v>50</v>
      </c>
      <c r="D1314" t="s">
        <v>105</v>
      </c>
      <c r="E1314" t="s">
        <v>14</v>
      </c>
      <c r="F1314">
        <v>88.102000000000004</v>
      </c>
      <c r="G1314" t="s">
        <v>13</v>
      </c>
    </row>
    <row r="1315" spans="1:7" x14ac:dyDescent="0.25">
      <c r="A1315">
        <v>110</v>
      </c>
      <c r="B1315" t="s">
        <v>331</v>
      </c>
      <c r="C1315">
        <v>60</v>
      </c>
      <c r="D1315" t="s">
        <v>106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331</v>
      </c>
      <c r="C1316">
        <v>70</v>
      </c>
      <c r="D1316" t="s">
        <v>104</v>
      </c>
      <c r="E1316" t="s">
        <v>12</v>
      </c>
      <c r="F1316">
        <v>0.13</v>
      </c>
      <c r="G1316" t="s">
        <v>13</v>
      </c>
    </row>
    <row r="1317" spans="1:7" x14ac:dyDescent="0.25">
      <c r="A1317">
        <v>110</v>
      </c>
      <c r="B1317" t="s">
        <v>331</v>
      </c>
      <c r="C1317">
        <v>80</v>
      </c>
      <c r="D1317" t="s">
        <v>273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331</v>
      </c>
      <c r="C1318">
        <v>90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331</v>
      </c>
      <c r="C1319">
        <v>100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331</v>
      </c>
      <c r="C1320">
        <v>110</v>
      </c>
      <c r="D1320" t="s">
        <v>101</v>
      </c>
      <c r="E1320" t="s">
        <v>12</v>
      </c>
      <c r="F1320">
        <v>0.66100000000000003</v>
      </c>
      <c r="G1320" t="s">
        <v>13</v>
      </c>
    </row>
    <row r="1321" spans="1:7" x14ac:dyDescent="0.25">
      <c r="A1321">
        <v>110</v>
      </c>
      <c r="B1321" t="s">
        <v>331</v>
      </c>
      <c r="C1321">
        <v>120</v>
      </c>
      <c r="D1321" t="s">
        <v>332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333</v>
      </c>
      <c r="C1322">
        <v>10</v>
      </c>
      <c r="D1322" t="s">
        <v>107</v>
      </c>
      <c r="E1322" t="s">
        <v>14</v>
      </c>
      <c r="F1322">
        <v>2.0569999999999999</v>
      </c>
      <c r="G1322" t="s">
        <v>15</v>
      </c>
    </row>
    <row r="1323" spans="1:7" x14ac:dyDescent="0.25">
      <c r="A1323">
        <v>111</v>
      </c>
      <c r="B1323" t="s">
        <v>333</v>
      </c>
      <c r="C1323">
        <v>20</v>
      </c>
      <c r="D1323" t="s">
        <v>565</v>
      </c>
      <c r="E1323" t="s">
        <v>14</v>
      </c>
      <c r="F1323">
        <v>2.0569999999999999</v>
      </c>
      <c r="G1323" t="s">
        <v>15</v>
      </c>
    </row>
    <row r="1324" spans="1:7" x14ac:dyDescent="0.25">
      <c r="A1324">
        <v>111</v>
      </c>
      <c r="B1324" t="s">
        <v>333</v>
      </c>
      <c r="C1324">
        <v>30</v>
      </c>
      <c r="D1324" t="s">
        <v>99</v>
      </c>
      <c r="E1324" t="s">
        <v>100</v>
      </c>
      <c r="F1324">
        <v>0.51</v>
      </c>
      <c r="G1324" t="s">
        <v>13</v>
      </c>
    </row>
    <row r="1325" spans="1:7" x14ac:dyDescent="0.25">
      <c r="A1325">
        <v>111</v>
      </c>
      <c r="B1325" t="s">
        <v>333</v>
      </c>
      <c r="C1325">
        <v>40</v>
      </c>
      <c r="D1325" t="s">
        <v>108</v>
      </c>
      <c r="E1325" t="s">
        <v>14</v>
      </c>
      <c r="F1325">
        <v>14.935</v>
      </c>
      <c r="G1325" t="s">
        <v>13</v>
      </c>
    </row>
    <row r="1326" spans="1:7" x14ac:dyDescent="0.25">
      <c r="A1326">
        <v>111</v>
      </c>
      <c r="B1326" t="s">
        <v>333</v>
      </c>
      <c r="C1326">
        <v>50</v>
      </c>
      <c r="D1326" t="s">
        <v>105</v>
      </c>
      <c r="E1326" t="s">
        <v>14</v>
      </c>
      <c r="F1326">
        <v>91.850999999999999</v>
      </c>
      <c r="G1326" t="s">
        <v>13</v>
      </c>
    </row>
    <row r="1327" spans="1:7" x14ac:dyDescent="0.25">
      <c r="A1327">
        <v>111</v>
      </c>
      <c r="B1327" t="s">
        <v>333</v>
      </c>
      <c r="C1327">
        <v>60</v>
      </c>
      <c r="D1327" t="s">
        <v>106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333</v>
      </c>
      <c r="C1328">
        <v>70</v>
      </c>
      <c r="D1328" t="s">
        <v>104</v>
      </c>
      <c r="E1328" t="s">
        <v>12</v>
      </c>
      <c r="F1328">
        <v>0.14099999999999999</v>
      </c>
      <c r="G1328" t="s">
        <v>13</v>
      </c>
    </row>
    <row r="1329" spans="1:7" x14ac:dyDescent="0.25">
      <c r="A1329">
        <v>111</v>
      </c>
      <c r="B1329" t="s">
        <v>333</v>
      </c>
      <c r="C1329">
        <v>80</v>
      </c>
      <c r="D1329" t="s">
        <v>273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333</v>
      </c>
      <c r="C1330">
        <v>90</v>
      </c>
      <c r="D1330" t="s">
        <v>18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333</v>
      </c>
      <c r="C1331">
        <v>100</v>
      </c>
      <c r="D1331" t="s">
        <v>19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333</v>
      </c>
      <c r="C1332">
        <v>110</v>
      </c>
      <c r="D1332" t="s">
        <v>101</v>
      </c>
      <c r="E1332" t="s">
        <v>12</v>
      </c>
      <c r="F1332">
        <v>0.66100000000000003</v>
      </c>
      <c r="G1332" t="s">
        <v>13</v>
      </c>
    </row>
    <row r="1333" spans="1:7" x14ac:dyDescent="0.25">
      <c r="A1333">
        <v>111</v>
      </c>
      <c r="B1333" t="s">
        <v>333</v>
      </c>
      <c r="C1333">
        <v>120</v>
      </c>
      <c r="D1333" t="s">
        <v>334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335</v>
      </c>
      <c r="C1334">
        <v>10</v>
      </c>
      <c r="D1334" t="s">
        <v>107</v>
      </c>
      <c r="E1334" t="s">
        <v>14</v>
      </c>
      <c r="F1334">
        <v>2.0569999999999999</v>
      </c>
      <c r="G1334" t="s">
        <v>15</v>
      </c>
    </row>
    <row r="1335" spans="1:7" x14ac:dyDescent="0.25">
      <c r="A1335">
        <v>112</v>
      </c>
      <c r="B1335" t="s">
        <v>335</v>
      </c>
      <c r="C1335">
        <v>20</v>
      </c>
      <c r="D1335" t="s">
        <v>565</v>
      </c>
      <c r="E1335" t="s">
        <v>14</v>
      </c>
      <c r="F1335">
        <v>2.0569999999999999</v>
      </c>
      <c r="G1335" t="s">
        <v>15</v>
      </c>
    </row>
    <row r="1336" spans="1:7" x14ac:dyDescent="0.25">
      <c r="A1336">
        <v>112</v>
      </c>
      <c r="B1336" t="s">
        <v>335</v>
      </c>
      <c r="C1336">
        <v>30</v>
      </c>
      <c r="D1336" t="s">
        <v>99</v>
      </c>
      <c r="E1336" t="s">
        <v>100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335</v>
      </c>
      <c r="C1337">
        <v>40</v>
      </c>
      <c r="D1337" t="s">
        <v>108</v>
      </c>
      <c r="E1337" t="s">
        <v>14</v>
      </c>
      <c r="F1337">
        <v>15.545</v>
      </c>
      <c r="G1337" t="s">
        <v>13</v>
      </c>
    </row>
    <row r="1338" spans="1:7" x14ac:dyDescent="0.25">
      <c r="A1338">
        <v>112</v>
      </c>
      <c r="B1338" t="s">
        <v>335</v>
      </c>
      <c r="C1338">
        <v>50</v>
      </c>
      <c r="D1338" t="s">
        <v>105</v>
      </c>
      <c r="E1338" t="s">
        <v>14</v>
      </c>
      <c r="F1338">
        <v>95.600999999999999</v>
      </c>
      <c r="G1338" t="s">
        <v>13</v>
      </c>
    </row>
    <row r="1339" spans="1:7" x14ac:dyDescent="0.25">
      <c r="A1339">
        <v>112</v>
      </c>
      <c r="B1339" t="s">
        <v>335</v>
      </c>
      <c r="C1339">
        <v>60</v>
      </c>
      <c r="D1339" t="s">
        <v>106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335</v>
      </c>
      <c r="C1340">
        <v>70</v>
      </c>
      <c r="D1340" t="s">
        <v>104</v>
      </c>
      <c r="E1340" t="s">
        <v>12</v>
      </c>
      <c r="F1340">
        <v>0.152</v>
      </c>
      <c r="G1340" t="s">
        <v>13</v>
      </c>
    </row>
    <row r="1341" spans="1:7" x14ac:dyDescent="0.25">
      <c r="A1341">
        <v>112</v>
      </c>
      <c r="B1341" t="s">
        <v>335</v>
      </c>
      <c r="C1341">
        <v>80</v>
      </c>
      <c r="D1341" t="s">
        <v>273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335</v>
      </c>
      <c r="C1342">
        <v>90</v>
      </c>
      <c r="D1342" t="s">
        <v>18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335</v>
      </c>
      <c r="C1343">
        <v>100</v>
      </c>
      <c r="D1343" t="s">
        <v>19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335</v>
      </c>
      <c r="C1344">
        <v>110</v>
      </c>
      <c r="D1344" t="s">
        <v>101</v>
      </c>
      <c r="E1344" t="s">
        <v>12</v>
      </c>
      <c r="F1344">
        <v>0.66100000000000003</v>
      </c>
      <c r="G1344" t="s">
        <v>13</v>
      </c>
    </row>
    <row r="1345" spans="1:7" x14ac:dyDescent="0.25">
      <c r="A1345">
        <v>112</v>
      </c>
      <c r="B1345" t="s">
        <v>335</v>
      </c>
      <c r="C1345">
        <v>120</v>
      </c>
      <c r="D1345" t="s">
        <v>336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337</v>
      </c>
      <c r="C1346">
        <v>10</v>
      </c>
      <c r="D1346" t="s">
        <v>107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337</v>
      </c>
      <c r="C1347">
        <v>20</v>
      </c>
      <c r="D1347" t="s">
        <v>565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337</v>
      </c>
      <c r="C1348">
        <v>30</v>
      </c>
      <c r="D1348" t="s">
        <v>99</v>
      </c>
      <c r="E1348" t="s">
        <v>100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337</v>
      </c>
      <c r="C1349">
        <v>40</v>
      </c>
      <c r="D1349" t="s">
        <v>108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337</v>
      </c>
      <c r="C1350">
        <v>50</v>
      </c>
      <c r="D1350" t="s">
        <v>105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337</v>
      </c>
      <c r="C1351">
        <v>60</v>
      </c>
      <c r="D1351" t="s">
        <v>106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337</v>
      </c>
      <c r="C1352">
        <v>70</v>
      </c>
      <c r="D1352" t="s">
        <v>104</v>
      </c>
      <c r="E1352" t="s">
        <v>12</v>
      </c>
      <c r="F1352">
        <v>8.5000000000000006E-2</v>
      </c>
      <c r="G1352" t="s">
        <v>13</v>
      </c>
    </row>
    <row r="1353" spans="1:7" x14ac:dyDescent="0.25">
      <c r="A1353">
        <v>113</v>
      </c>
      <c r="B1353" t="s">
        <v>337</v>
      </c>
      <c r="C1353">
        <v>80</v>
      </c>
      <c r="D1353" t="s">
        <v>273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337</v>
      </c>
      <c r="C1354">
        <v>90</v>
      </c>
      <c r="D1354" t="s">
        <v>18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337</v>
      </c>
      <c r="C1355">
        <v>100</v>
      </c>
      <c r="D1355" t="s">
        <v>19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337</v>
      </c>
      <c r="C1356">
        <v>110</v>
      </c>
      <c r="D1356" t="s">
        <v>101</v>
      </c>
      <c r="E1356" t="s">
        <v>12</v>
      </c>
      <c r="F1356">
        <v>0.69099999999999995</v>
      </c>
      <c r="G1356" t="s">
        <v>13</v>
      </c>
    </row>
    <row r="1357" spans="1:7" x14ac:dyDescent="0.25">
      <c r="A1357">
        <v>113</v>
      </c>
      <c r="B1357" t="s">
        <v>337</v>
      </c>
      <c r="C1357">
        <v>120</v>
      </c>
      <c r="D1357" t="s">
        <v>338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339</v>
      </c>
      <c r="C1358">
        <v>10</v>
      </c>
      <c r="D1358" t="s">
        <v>107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339</v>
      </c>
      <c r="C1359">
        <v>20</v>
      </c>
      <c r="D1359" t="s">
        <v>565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339</v>
      </c>
      <c r="C1360">
        <v>30</v>
      </c>
      <c r="D1360" t="s">
        <v>99</v>
      </c>
      <c r="E1360" t="s">
        <v>100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339</v>
      </c>
      <c r="C1361">
        <v>40</v>
      </c>
      <c r="D1361" t="s">
        <v>108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339</v>
      </c>
      <c r="C1362">
        <v>50</v>
      </c>
      <c r="D1362" t="s">
        <v>105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339</v>
      </c>
      <c r="C1363">
        <v>60</v>
      </c>
      <c r="D1363" t="s">
        <v>106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339</v>
      </c>
      <c r="C1364">
        <v>70</v>
      </c>
      <c r="D1364" t="s">
        <v>104</v>
      </c>
      <c r="E1364" t="s">
        <v>12</v>
      </c>
      <c r="F1364">
        <v>9.6000000000000002E-2</v>
      </c>
      <c r="G1364" t="s">
        <v>13</v>
      </c>
    </row>
    <row r="1365" spans="1:7" x14ac:dyDescent="0.25">
      <c r="A1365">
        <v>114</v>
      </c>
      <c r="B1365" t="s">
        <v>339</v>
      </c>
      <c r="C1365">
        <v>80</v>
      </c>
      <c r="D1365" t="s">
        <v>273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339</v>
      </c>
      <c r="C1366">
        <v>90</v>
      </c>
      <c r="D1366" t="s">
        <v>18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339</v>
      </c>
      <c r="C1367">
        <v>100</v>
      </c>
      <c r="D1367" t="s">
        <v>19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339</v>
      </c>
      <c r="C1368">
        <v>110</v>
      </c>
      <c r="D1368" t="s">
        <v>101</v>
      </c>
      <c r="E1368" t="s">
        <v>12</v>
      </c>
      <c r="F1368">
        <v>0.69099999999999995</v>
      </c>
      <c r="G1368" t="s">
        <v>13</v>
      </c>
    </row>
    <row r="1369" spans="1:7" x14ac:dyDescent="0.25">
      <c r="A1369">
        <v>114</v>
      </c>
      <c r="B1369" t="s">
        <v>339</v>
      </c>
      <c r="C1369">
        <v>120</v>
      </c>
      <c r="D1369" t="s">
        <v>340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341</v>
      </c>
      <c r="C1370">
        <v>10</v>
      </c>
      <c r="D1370" t="s">
        <v>107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341</v>
      </c>
      <c r="C1371">
        <v>20</v>
      </c>
      <c r="D1371" t="s">
        <v>565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341</v>
      </c>
      <c r="C1372">
        <v>30</v>
      </c>
      <c r="D1372" t="s">
        <v>99</v>
      </c>
      <c r="E1372" t="s">
        <v>100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341</v>
      </c>
      <c r="C1373">
        <v>40</v>
      </c>
      <c r="D1373" t="s">
        <v>108</v>
      </c>
      <c r="E1373" t="s">
        <v>14</v>
      </c>
      <c r="F1373">
        <v>13.513</v>
      </c>
      <c r="G1373" t="s">
        <v>13</v>
      </c>
    </row>
    <row r="1374" spans="1:7" x14ac:dyDescent="0.25">
      <c r="A1374">
        <v>115</v>
      </c>
      <c r="B1374" t="s">
        <v>341</v>
      </c>
      <c r="C1374">
        <v>50</v>
      </c>
      <c r="D1374" t="s">
        <v>105</v>
      </c>
      <c r="E1374" t="s">
        <v>14</v>
      </c>
      <c r="F1374">
        <v>83.103999999999999</v>
      </c>
      <c r="G1374" t="s">
        <v>13</v>
      </c>
    </row>
    <row r="1375" spans="1:7" x14ac:dyDescent="0.25">
      <c r="A1375">
        <v>115</v>
      </c>
      <c r="B1375" t="s">
        <v>341</v>
      </c>
      <c r="C1375">
        <v>60</v>
      </c>
      <c r="D1375" t="s">
        <v>106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341</v>
      </c>
      <c r="C1376">
        <v>70</v>
      </c>
      <c r="D1376" t="s">
        <v>104</v>
      </c>
      <c r="E1376" t="s">
        <v>12</v>
      </c>
      <c r="F1376">
        <v>0.107</v>
      </c>
      <c r="G1376" t="s">
        <v>13</v>
      </c>
    </row>
    <row r="1377" spans="1:7" x14ac:dyDescent="0.25">
      <c r="A1377">
        <v>115</v>
      </c>
      <c r="B1377" t="s">
        <v>341</v>
      </c>
      <c r="C1377">
        <v>80</v>
      </c>
      <c r="D1377" t="s">
        <v>273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341</v>
      </c>
      <c r="C1378">
        <v>90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341</v>
      </c>
      <c r="C1379">
        <v>100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341</v>
      </c>
      <c r="C1380">
        <v>110</v>
      </c>
      <c r="D1380" t="s">
        <v>101</v>
      </c>
      <c r="E1380" t="s">
        <v>12</v>
      </c>
      <c r="F1380">
        <v>0.69099999999999995</v>
      </c>
      <c r="G1380" t="s">
        <v>13</v>
      </c>
    </row>
    <row r="1381" spans="1:7" x14ac:dyDescent="0.25">
      <c r="A1381">
        <v>115</v>
      </c>
      <c r="B1381" t="s">
        <v>341</v>
      </c>
      <c r="C1381">
        <v>120</v>
      </c>
      <c r="D1381" t="s">
        <v>342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343</v>
      </c>
      <c r="C1382">
        <v>10</v>
      </c>
      <c r="D1382" t="s">
        <v>107</v>
      </c>
      <c r="E1382" t="s">
        <v>14</v>
      </c>
      <c r="F1382">
        <v>2.1589999999999998</v>
      </c>
      <c r="G1382" t="s">
        <v>15</v>
      </c>
    </row>
    <row r="1383" spans="1:7" x14ac:dyDescent="0.25">
      <c r="A1383">
        <v>116</v>
      </c>
      <c r="B1383" t="s">
        <v>343</v>
      </c>
      <c r="C1383">
        <v>20</v>
      </c>
      <c r="D1383" t="s">
        <v>565</v>
      </c>
      <c r="E1383" t="s">
        <v>14</v>
      </c>
      <c r="F1383">
        <v>2.1589999999999998</v>
      </c>
      <c r="G1383" t="s">
        <v>15</v>
      </c>
    </row>
    <row r="1384" spans="1:7" x14ac:dyDescent="0.25">
      <c r="A1384">
        <v>116</v>
      </c>
      <c r="B1384" t="s">
        <v>343</v>
      </c>
      <c r="C1384">
        <v>30</v>
      </c>
      <c r="D1384" t="s">
        <v>99</v>
      </c>
      <c r="E1384" t="s">
        <v>100</v>
      </c>
      <c r="F1384">
        <v>0.434</v>
      </c>
      <c r="G1384" t="s">
        <v>13</v>
      </c>
    </row>
    <row r="1385" spans="1:7" x14ac:dyDescent="0.25">
      <c r="A1385">
        <v>116</v>
      </c>
      <c r="B1385" t="s">
        <v>343</v>
      </c>
      <c r="C1385">
        <v>40</v>
      </c>
      <c r="D1385" t="s">
        <v>108</v>
      </c>
      <c r="E1385" t="s">
        <v>14</v>
      </c>
      <c r="F1385">
        <v>14.122</v>
      </c>
      <c r="G1385" t="s">
        <v>13</v>
      </c>
    </row>
    <row r="1386" spans="1:7" x14ac:dyDescent="0.25">
      <c r="A1386">
        <v>116</v>
      </c>
      <c r="B1386" t="s">
        <v>343</v>
      </c>
      <c r="C1386">
        <v>50</v>
      </c>
      <c r="D1386" t="s">
        <v>105</v>
      </c>
      <c r="E1386" t="s">
        <v>14</v>
      </c>
      <c r="F1386">
        <v>86.852999999999994</v>
      </c>
      <c r="G1386" t="s">
        <v>13</v>
      </c>
    </row>
    <row r="1387" spans="1:7" x14ac:dyDescent="0.25">
      <c r="A1387">
        <v>116</v>
      </c>
      <c r="B1387" t="s">
        <v>343</v>
      </c>
      <c r="C1387">
        <v>60</v>
      </c>
      <c r="D1387" t="s">
        <v>106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343</v>
      </c>
      <c r="C1388">
        <v>70</v>
      </c>
      <c r="D1388" t="s">
        <v>104</v>
      </c>
      <c r="E1388" t="s">
        <v>12</v>
      </c>
      <c r="F1388">
        <v>0.11799999999999999</v>
      </c>
      <c r="G1388" t="s">
        <v>13</v>
      </c>
    </row>
    <row r="1389" spans="1:7" x14ac:dyDescent="0.25">
      <c r="A1389">
        <v>116</v>
      </c>
      <c r="B1389" t="s">
        <v>343</v>
      </c>
      <c r="C1389">
        <v>80</v>
      </c>
      <c r="D1389" t="s">
        <v>273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343</v>
      </c>
      <c r="C1390">
        <v>90</v>
      </c>
      <c r="D1390" t="s">
        <v>18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343</v>
      </c>
      <c r="C1391">
        <v>100</v>
      </c>
      <c r="D1391" t="s">
        <v>19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343</v>
      </c>
      <c r="C1392">
        <v>110</v>
      </c>
      <c r="D1392" t="s">
        <v>101</v>
      </c>
      <c r="E1392" t="s">
        <v>12</v>
      </c>
      <c r="F1392">
        <v>0.69099999999999995</v>
      </c>
      <c r="G1392" t="s">
        <v>13</v>
      </c>
    </row>
    <row r="1393" spans="1:7" x14ac:dyDescent="0.25">
      <c r="A1393">
        <v>116</v>
      </c>
      <c r="B1393" t="s">
        <v>343</v>
      </c>
      <c r="C1393">
        <v>120</v>
      </c>
      <c r="D1393" t="s">
        <v>344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345</v>
      </c>
      <c r="C1394">
        <v>10</v>
      </c>
      <c r="D1394" t="s">
        <v>107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117</v>
      </c>
      <c r="B1395" t="s">
        <v>345</v>
      </c>
      <c r="C1395">
        <v>20</v>
      </c>
      <c r="D1395" t="s">
        <v>565</v>
      </c>
      <c r="E1395" t="s">
        <v>14</v>
      </c>
      <c r="F1395">
        <v>2.1589999999999998</v>
      </c>
      <c r="G1395" t="s">
        <v>15</v>
      </c>
    </row>
    <row r="1396" spans="1:7" x14ac:dyDescent="0.25">
      <c r="A1396">
        <v>117</v>
      </c>
      <c r="B1396" t="s">
        <v>345</v>
      </c>
      <c r="C1396">
        <v>30</v>
      </c>
      <c r="D1396" t="s">
        <v>99</v>
      </c>
      <c r="E1396" t="s">
        <v>100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345</v>
      </c>
      <c r="C1397">
        <v>40</v>
      </c>
      <c r="D1397" t="s">
        <v>108</v>
      </c>
      <c r="E1397" t="s">
        <v>14</v>
      </c>
      <c r="F1397">
        <v>14.427</v>
      </c>
      <c r="G1397" t="s">
        <v>13</v>
      </c>
    </row>
    <row r="1398" spans="1:7" x14ac:dyDescent="0.25">
      <c r="A1398">
        <v>117</v>
      </c>
      <c r="B1398" t="s">
        <v>345</v>
      </c>
      <c r="C1398">
        <v>50</v>
      </c>
      <c r="D1398" t="s">
        <v>105</v>
      </c>
      <c r="E1398" t="s">
        <v>14</v>
      </c>
      <c r="F1398">
        <v>88.727000000000004</v>
      </c>
      <c r="G1398" t="s">
        <v>13</v>
      </c>
    </row>
    <row r="1399" spans="1:7" x14ac:dyDescent="0.25">
      <c r="A1399">
        <v>117</v>
      </c>
      <c r="B1399" t="s">
        <v>345</v>
      </c>
      <c r="C1399">
        <v>60</v>
      </c>
      <c r="D1399" t="s">
        <v>106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345</v>
      </c>
      <c r="C1400">
        <v>70</v>
      </c>
      <c r="D1400" t="s">
        <v>104</v>
      </c>
      <c r="E1400" t="s">
        <v>12</v>
      </c>
      <c r="F1400">
        <v>0.124</v>
      </c>
      <c r="G1400" t="s">
        <v>13</v>
      </c>
    </row>
    <row r="1401" spans="1:7" x14ac:dyDescent="0.25">
      <c r="A1401">
        <v>117</v>
      </c>
      <c r="B1401" t="s">
        <v>345</v>
      </c>
      <c r="C1401">
        <v>80</v>
      </c>
      <c r="D1401" t="s">
        <v>273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345</v>
      </c>
      <c r="C1402">
        <v>90</v>
      </c>
      <c r="D1402" t="s">
        <v>18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345</v>
      </c>
      <c r="C1403">
        <v>100</v>
      </c>
      <c r="D1403" t="s">
        <v>19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345</v>
      </c>
      <c r="C1404">
        <v>110</v>
      </c>
      <c r="D1404" t="s">
        <v>101</v>
      </c>
      <c r="E1404" t="s">
        <v>12</v>
      </c>
      <c r="F1404">
        <v>0.69099999999999995</v>
      </c>
      <c r="G1404" t="s">
        <v>13</v>
      </c>
    </row>
    <row r="1405" spans="1:7" x14ac:dyDescent="0.25">
      <c r="A1405">
        <v>117</v>
      </c>
      <c r="B1405" t="s">
        <v>345</v>
      </c>
      <c r="C1405">
        <v>120</v>
      </c>
      <c r="D1405" t="s">
        <v>346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347</v>
      </c>
      <c r="C1406">
        <v>10</v>
      </c>
      <c r="D1406" t="s">
        <v>107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118</v>
      </c>
      <c r="B1407" t="s">
        <v>347</v>
      </c>
      <c r="C1407">
        <v>20</v>
      </c>
      <c r="D1407" t="s">
        <v>565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118</v>
      </c>
      <c r="B1408" t="s">
        <v>347</v>
      </c>
      <c r="C1408">
        <v>30</v>
      </c>
      <c r="D1408" t="s">
        <v>99</v>
      </c>
      <c r="E1408" t="s">
        <v>100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347</v>
      </c>
      <c r="C1409">
        <v>40</v>
      </c>
      <c r="D1409" t="s">
        <v>108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347</v>
      </c>
      <c r="C1410">
        <v>50</v>
      </c>
      <c r="D1410" t="s">
        <v>105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347</v>
      </c>
      <c r="C1411">
        <v>60</v>
      </c>
      <c r="D1411" t="s">
        <v>106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347</v>
      </c>
      <c r="C1412">
        <v>70</v>
      </c>
      <c r="D1412" t="s">
        <v>104</v>
      </c>
      <c r="E1412" t="s">
        <v>12</v>
      </c>
      <c r="F1412">
        <v>0.13</v>
      </c>
      <c r="G1412" t="s">
        <v>13</v>
      </c>
    </row>
    <row r="1413" spans="1:7" x14ac:dyDescent="0.25">
      <c r="A1413">
        <v>118</v>
      </c>
      <c r="B1413" t="s">
        <v>347</v>
      </c>
      <c r="C1413">
        <v>80</v>
      </c>
      <c r="D1413" t="s">
        <v>273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347</v>
      </c>
      <c r="C1414">
        <v>90</v>
      </c>
      <c r="D1414" t="s">
        <v>18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347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347</v>
      </c>
      <c r="C1416">
        <v>110</v>
      </c>
      <c r="D1416" t="s">
        <v>101</v>
      </c>
      <c r="E1416" t="s">
        <v>12</v>
      </c>
      <c r="F1416">
        <v>0.69099999999999995</v>
      </c>
      <c r="G1416" t="s">
        <v>13</v>
      </c>
    </row>
    <row r="1417" spans="1:7" x14ac:dyDescent="0.25">
      <c r="A1417">
        <v>118</v>
      </c>
      <c r="B1417" t="s">
        <v>347</v>
      </c>
      <c r="C1417">
        <v>120</v>
      </c>
      <c r="D1417" t="s">
        <v>348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349</v>
      </c>
      <c r="C1418">
        <v>10</v>
      </c>
      <c r="D1418" t="s">
        <v>107</v>
      </c>
      <c r="E1418" t="s">
        <v>14</v>
      </c>
      <c r="F1418">
        <v>2.1589999999999998</v>
      </c>
      <c r="G1418" t="s">
        <v>15</v>
      </c>
    </row>
    <row r="1419" spans="1:7" x14ac:dyDescent="0.25">
      <c r="A1419">
        <v>119</v>
      </c>
      <c r="B1419" t="s">
        <v>349</v>
      </c>
      <c r="C1419">
        <v>20</v>
      </c>
      <c r="D1419" t="s">
        <v>565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119</v>
      </c>
      <c r="B1420" t="s">
        <v>349</v>
      </c>
      <c r="C1420">
        <v>30</v>
      </c>
      <c r="D1420" t="s">
        <v>99</v>
      </c>
      <c r="E1420" t="s">
        <v>100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349</v>
      </c>
      <c r="C1421">
        <v>40</v>
      </c>
      <c r="D1421" t="s">
        <v>108</v>
      </c>
      <c r="E1421" t="s">
        <v>14</v>
      </c>
      <c r="F1421">
        <v>15.342000000000001</v>
      </c>
      <c r="G1421" t="s">
        <v>13</v>
      </c>
    </row>
    <row r="1422" spans="1:7" x14ac:dyDescent="0.25">
      <c r="A1422">
        <v>119</v>
      </c>
      <c r="B1422" t="s">
        <v>349</v>
      </c>
      <c r="C1422">
        <v>50</v>
      </c>
      <c r="D1422" t="s">
        <v>105</v>
      </c>
      <c r="E1422" t="s">
        <v>14</v>
      </c>
      <c r="F1422">
        <v>94.350999999999999</v>
      </c>
      <c r="G1422" t="s">
        <v>13</v>
      </c>
    </row>
    <row r="1423" spans="1:7" x14ac:dyDescent="0.25">
      <c r="A1423">
        <v>119</v>
      </c>
      <c r="B1423" t="s">
        <v>349</v>
      </c>
      <c r="C1423">
        <v>60</v>
      </c>
      <c r="D1423" t="s">
        <v>106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349</v>
      </c>
      <c r="C1424">
        <v>70</v>
      </c>
      <c r="D1424" t="s">
        <v>104</v>
      </c>
      <c r="E1424" t="s">
        <v>12</v>
      </c>
      <c r="F1424">
        <v>0.14099999999999999</v>
      </c>
      <c r="G1424" t="s">
        <v>13</v>
      </c>
    </row>
    <row r="1425" spans="1:7" x14ac:dyDescent="0.25">
      <c r="A1425">
        <v>119</v>
      </c>
      <c r="B1425" t="s">
        <v>349</v>
      </c>
      <c r="C1425">
        <v>80</v>
      </c>
      <c r="D1425" t="s">
        <v>273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349</v>
      </c>
      <c r="C1426">
        <v>90</v>
      </c>
      <c r="D1426" t="s">
        <v>18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349</v>
      </c>
      <c r="C1427">
        <v>100</v>
      </c>
      <c r="D1427" t="s">
        <v>19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349</v>
      </c>
      <c r="C1428">
        <v>110</v>
      </c>
      <c r="D1428" t="s">
        <v>101</v>
      </c>
      <c r="E1428" t="s">
        <v>12</v>
      </c>
      <c r="F1428">
        <v>0.69099999999999995</v>
      </c>
      <c r="G1428" t="s">
        <v>13</v>
      </c>
    </row>
    <row r="1429" spans="1:7" x14ac:dyDescent="0.25">
      <c r="A1429">
        <v>119</v>
      </c>
      <c r="B1429" t="s">
        <v>349</v>
      </c>
      <c r="C1429">
        <v>120</v>
      </c>
      <c r="D1429" t="s">
        <v>350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351</v>
      </c>
      <c r="C1430">
        <v>10</v>
      </c>
      <c r="D1430" t="s">
        <v>107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120</v>
      </c>
      <c r="B1431" t="s">
        <v>351</v>
      </c>
      <c r="C1431">
        <v>20</v>
      </c>
      <c r="D1431" t="s">
        <v>565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120</v>
      </c>
      <c r="B1432" t="s">
        <v>351</v>
      </c>
      <c r="C1432">
        <v>30</v>
      </c>
      <c r="D1432" t="s">
        <v>99</v>
      </c>
      <c r="E1432" t="s">
        <v>100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351</v>
      </c>
      <c r="C1433">
        <v>40</v>
      </c>
      <c r="D1433" t="s">
        <v>108</v>
      </c>
      <c r="E1433" t="s">
        <v>14</v>
      </c>
      <c r="F1433">
        <v>15.951000000000001</v>
      </c>
      <c r="G1433" t="s">
        <v>13</v>
      </c>
    </row>
    <row r="1434" spans="1:7" x14ac:dyDescent="0.25">
      <c r="A1434">
        <v>120</v>
      </c>
      <c r="B1434" t="s">
        <v>351</v>
      </c>
      <c r="C1434">
        <v>50</v>
      </c>
      <c r="D1434" t="s">
        <v>105</v>
      </c>
      <c r="E1434" t="s">
        <v>14</v>
      </c>
      <c r="F1434">
        <v>98.1</v>
      </c>
      <c r="G1434" t="s">
        <v>13</v>
      </c>
    </row>
    <row r="1435" spans="1:7" x14ac:dyDescent="0.25">
      <c r="A1435">
        <v>120</v>
      </c>
      <c r="B1435" t="s">
        <v>351</v>
      </c>
      <c r="C1435">
        <v>60</v>
      </c>
      <c r="D1435" t="s">
        <v>106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351</v>
      </c>
      <c r="C1436">
        <v>70</v>
      </c>
      <c r="D1436" t="s">
        <v>104</v>
      </c>
      <c r="E1436" t="s">
        <v>12</v>
      </c>
      <c r="F1436">
        <v>0.152</v>
      </c>
      <c r="G1436" t="s">
        <v>13</v>
      </c>
    </row>
    <row r="1437" spans="1:7" x14ac:dyDescent="0.25">
      <c r="A1437">
        <v>120</v>
      </c>
      <c r="B1437" t="s">
        <v>351</v>
      </c>
      <c r="C1437">
        <v>80</v>
      </c>
      <c r="D1437" t="s">
        <v>273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351</v>
      </c>
      <c r="C1438">
        <v>90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351</v>
      </c>
      <c r="C1439">
        <v>100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351</v>
      </c>
      <c r="C1440">
        <v>110</v>
      </c>
      <c r="D1440" t="s">
        <v>101</v>
      </c>
      <c r="E1440" t="s">
        <v>12</v>
      </c>
      <c r="F1440">
        <v>0.69099999999999995</v>
      </c>
      <c r="G1440" t="s">
        <v>13</v>
      </c>
    </row>
    <row r="1441" spans="1:7" x14ac:dyDescent="0.25">
      <c r="A1441">
        <v>120</v>
      </c>
      <c r="B1441" t="s">
        <v>351</v>
      </c>
      <c r="C1441">
        <v>120</v>
      </c>
      <c r="D1441" t="s">
        <v>352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353</v>
      </c>
      <c r="C1442">
        <v>10</v>
      </c>
      <c r="D1442" t="s">
        <v>107</v>
      </c>
      <c r="E1442" t="s">
        <v>14</v>
      </c>
      <c r="F1442">
        <v>0.78700000000000003</v>
      </c>
      <c r="G1442" t="s">
        <v>15</v>
      </c>
    </row>
    <row r="1443" spans="1:7" x14ac:dyDescent="0.25">
      <c r="A1443">
        <v>121</v>
      </c>
      <c r="B1443" t="s">
        <v>353</v>
      </c>
      <c r="C1443">
        <v>20</v>
      </c>
      <c r="D1443" t="s">
        <v>565</v>
      </c>
      <c r="E1443" t="s">
        <v>14</v>
      </c>
      <c r="F1443">
        <v>0.78700000000000003</v>
      </c>
      <c r="G1443" t="s">
        <v>15</v>
      </c>
    </row>
    <row r="1444" spans="1:7" x14ac:dyDescent="0.25">
      <c r="A1444">
        <v>121</v>
      </c>
      <c r="B1444" t="s">
        <v>353</v>
      </c>
      <c r="C1444">
        <v>30</v>
      </c>
      <c r="D1444" t="s">
        <v>99</v>
      </c>
      <c r="E1444" t="s">
        <v>100</v>
      </c>
      <c r="F1444">
        <v>0.219</v>
      </c>
      <c r="G1444" t="s">
        <v>13</v>
      </c>
    </row>
    <row r="1445" spans="1:7" x14ac:dyDescent="0.25">
      <c r="A1445">
        <v>121</v>
      </c>
      <c r="B1445" t="s">
        <v>353</v>
      </c>
      <c r="C1445">
        <v>40</v>
      </c>
      <c r="D1445" t="s">
        <v>108</v>
      </c>
      <c r="E1445" t="s">
        <v>14</v>
      </c>
      <c r="F1445">
        <v>10.77</v>
      </c>
      <c r="G1445" t="s">
        <v>13</v>
      </c>
    </row>
    <row r="1446" spans="1:7" x14ac:dyDescent="0.25">
      <c r="A1446">
        <v>121</v>
      </c>
      <c r="B1446" t="s">
        <v>353</v>
      </c>
      <c r="C1446">
        <v>50</v>
      </c>
      <c r="D1446" t="s">
        <v>105</v>
      </c>
      <c r="E1446" t="s">
        <v>14</v>
      </c>
      <c r="F1446">
        <v>66.233000000000004</v>
      </c>
      <c r="G1446" t="s">
        <v>13</v>
      </c>
    </row>
    <row r="1447" spans="1:7" x14ac:dyDescent="0.25">
      <c r="A1447">
        <v>121</v>
      </c>
      <c r="B1447" t="s">
        <v>353</v>
      </c>
      <c r="C1447">
        <v>60</v>
      </c>
      <c r="D1447" t="s">
        <v>106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353</v>
      </c>
      <c r="C1448">
        <v>70</v>
      </c>
      <c r="D1448" t="s">
        <v>104</v>
      </c>
      <c r="E1448" t="s">
        <v>12</v>
      </c>
      <c r="F1448">
        <v>7.4999999999999997E-2</v>
      </c>
      <c r="G1448" t="s">
        <v>13</v>
      </c>
    </row>
    <row r="1449" spans="1:7" x14ac:dyDescent="0.25">
      <c r="A1449">
        <v>121</v>
      </c>
      <c r="B1449" t="s">
        <v>353</v>
      </c>
      <c r="C1449">
        <v>80</v>
      </c>
      <c r="D1449" t="s">
        <v>111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353</v>
      </c>
      <c r="C1450">
        <v>90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353</v>
      </c>
      <c r="C1451">
        <v>100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353</v>
      </c>
      <c r="C1452">
        <v>110</v>
      </c>
      <c r="D1452" t="s">
        <v>101</v>
      </c>
      <c r="E1452" t="s">
        <v>12</v>
      </c>
      <c r="F1452">
        <v>0.27</v>
      </c>
      <c r="G1452" t="s">
        <v>13</v>
      </c>
    </row>
    <row r="1453" spans="1:7" x14ac:dyDescent="0.25">
      <c r="A1453">
        <v>121</v>
      </c>
      <c r="B1453" t="s">
        <v>353</v>
      </c>
      <c r="C1453">
        <v>120</v>
      </c>
      <c r="D1453" t="s">
        <v>354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355</v>
      </c>
      <c r="C1454">
        <v>10</v>
      </c>
      <c r="D1454" t="s">
        <v>107</v>
      </c>
      <c r="E1454" t="s">
        <v>14</v>
      </c>
      <c r="F1454">
        <v>0.94</v>
      </c>
      <c r="G1454" t="s">
        <v>15</v>
      </c>
    </row>
    <row r="1455" spans="1:7" x14ac:dyDescent="0.25">
      <c r="A1455">
        <v>122</v>
      </c>
      <c r="B1455" t="s">
        <v>355</v>
      </c>
      <c r="C1455">
        <v>20</v>
      </c>
      <c r="D1455" t="s">
        <v>565</v>
      </c>
      <c r="E1455" t="s">
        <v>14</v>
      </c>
      <c r="F1455">
        <v>0.94</v>
      </c>
      <c r="G1455" t="s">
        <v>15</v>
      </c>
    </row>
    <row r="1456" spans="1:7" x14ac:dyDescent="0.25">
      <c r="A1456">
        <v>122</v>
      </c>
      <c r="B1456" t="s">
        <v>355</v>
      </c>
      <c r="C1456">
        <v>30</v>
      </c>
      <c r="D1456" t="s">
        <v>99</v>
      </c>
      <c r="E1456" t="s">
        <v>100</v>
      </c>
      <c r="F1456">
        <v>0.26200000000000001</v>
      </c>
      <c r="G1456" t="s">
        <v>13</v>
      </c>
    </row>
    <row r="1457" spans="1:7" x14ac:dyDescent="0.25">
      <c r="A1457">
        <v>122</v>
      </c>
      <c r="B1457" t="s">
        <v>355</v>
      </c>
      <c r="C1457">
        <v>40</v>
      </c>
      <c r="D1457" t="s">
        <v>108</v>
      </c>
      <c r="E1457" t="s">
        <v>14</v>
      </c>
      <c r="F1457">
        <v>11.379</v>
      </c>
      <c r="G1457" t="s">
        <v>13</v>
      </c>
    </row>
    <row r="1458" spans="1:7" x14ac:dyDescent="0.25">
      <c r="A1458">
        <v>122</v>
      </c>
      <c r="B1458" t="s">
        <v>355</v>
      </c>
      <c r="C1458">
        <v>50</v>
      </c>
      <c r="D1458" t="s">
        <v>105</v>
      </c>
      <c r="E1458" t="s">
        <v>14</v>
      </c>
      <c r="F1458">
        <v>69.981999999999999</v>
      </c>
      <c r="G1458" t="s">
        <v>13</v>
      </c>
    </row>
    <row r="1459" spans="1:7" x14ac:dyDescent="0.25">
      <c r="A1459">
        <v>122</v>
      </c>
      <c r="B1459" t="s">
        <v>355</v>
      </c>
      <c r="C1459">
        <v>60</v>
      </c>
      <c r="D1459" t="s">
        <v>106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355</v>
      </c>
      <c r="C1460">
        <v>70</v>
      </c>
      <c r="D1460" t="s">
        <v>104</v>
      </c>
      <c r="E1460" t="s">
        <v>12</v>
      </c>
      <c r="F1460">
        <v>8.5999999999999993E-2</v>
      </c>
      <c r="G1460" t="s">
        <v>13</v>
      </c>
    </row>
    <row r="1461" spans="1:7" x14ac:dyDescent="0.25">
      <c r="A1461">
        <v>122</v>
      </c>
      <c r="B1461" t="s">
        <v>355</v>
      </c>
      <c r="C1461">
        <v>80</v>
      </c>
      <c r="D1461" t="s">
        <v>111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355</v>
      </c>
      <c r="C1462">
        <v>90</v>
      </c>
      <c r="D1462" t="s">
        <v>18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355</v>
      </c>
      <c r="C1463">
        <v>100</v>
      </c>
      <c r="D1463" t="s">
        <v>19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355</v>
      </c>
      <c r="C1464">
        <v>110</v>
      </c>
      <c r="D1464" t="s">
        <v>101</v>
      </c>
      <c r="E1464" t="s">
        <v>12</v>
      </c>
      <c r="F1464">
        <v>0.315</v>
      </c>
      <c r="G1464" t="s">
        <v>13</v>
      </c>
    </row>
    <row r="1465" spans="1:7" x14ac:dyDescent="0.25">
      <c r="A1465">
        <v>122</v>
      </c>
      <c r="B1465" t="s">
        <v>355</v>
      </c>
      <c r="C1465">
        <v>120</v>
      </c>
      <c r="D1465" t="s">
        <v>356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357</v>
      </c>
      <c r="C1466">
        <v>10</v>
      </c>
      <c r="D1466" t="s">
        <v>107</v>
      </c>
      <c r="E1466" t="s">
        <v>14</v>
      </c>
      <c r="F1466">
        <v>1.0920000000000001</v>
      </c>
      <c r="G1466" t="s">
        <v>15</v>
      </c>
    </row>
    <row r="1467" spans="1:7" x14ac:dyDescent="0.25">
      <c r="A1467">
        <v>123</v>
      </c>
      <c r="B1467" t="s">
        <v>357</v>
      </c>
      <c r="C1467">
        <v>20</v>
      </c>
      <c r="D1467" t="s">
        <v>565</v>
      </c>
      <c r="E1467" t="s">
        <v>14</v>
      </c>
      <c r="F1467">
        <v>1.0920000000000001</v>
      </c>
      <c r="G1467" t="s">
        <v>15</v>
      </c>
    </row>
    <row r="1468" spans="1:7" x14ac:dyDescent="0.25">
      <c r="A1468">
        <v>123</v>
      </c>
      <c r="B1468" t="s">
        <v>357</v>
      </c>
      <c r="C1468">
        <v>30</v>
      </c>
      <c r="D1468" t="s">
        <v>99</v>
      </c>
      <c r="E1468" t="s">
        <v>100</v>
      </c>
      <c r="F1468">
        <v>0.30599999999999999</v>
      </c>
      <c r="G1468" t="s">
        <v>13</v>
      </c>
    </row>
    <row r="1469" spans="1:7" x14ac:dyDescent="0.25">
      <c r="A1469">
        <v>123</v>
      </c>
      <c r="B1469" t="s">
        <v>357</v>
      </c>
      <c r="C1469">
        <v>40</v>
      </c>
      <c r="D1469" t="s">
        <v>108</v>
      </c>
      <c r="E1469" t="s">
        <v>14</v>
      </c>
      <c r="F1469">
        <v>11.989000000000001</v>
      </c>
      <c r="G1469" t="s">
        <v>13</v>
      </c>
    </row>
    <row r="1470" spans="1:7" x14ac:dyDescent="0.25">
      <c r="A1470">
        <v>123</v>
      </c>
      <c r="B1470" t="s">
        <v>357</v>
      </c>
      <c r="C1470">
        <v>50</v>
      </c>
      <c r="D1470" t="s">
        <v>105</v>
      </c>
      <c r="E1470" t="s">
        <v>14</v>
      </c>
      <c r="F1470">
        <v>73.730999999999995</v>
      </c>
      <c r="G1470" t="s">
        <v>13</v>
      </c>
    </row>
    <row r="1471" spans="1:7" x14ac:dyDescent="0.25">
      <c r="A1471">
        <v>123</v>
      </c>
      <c r="B1471" t="s">
        <v>357</v>
      </c>
      <c r="C1471">
        <v>60</v>
      </c>
      <c r="D1471" t="s">
        <v>106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357</v>
      </c>
      <c r="C1472">
        <v>70</v>
      </c>
      <c r="D1472" t="s">
        <v>104</v>
      </c>
      <c r="E1472" t="s">
        <v>12</v>
      </c>
      <c r="F1472">
        <v>9.8000000000000004E-2</v>
      </c>
      <c r="G1472" t="s">
        <v>13</v>
      </c>
    </row>
    <row r="1473" spans="1:7" x14ac:dyDescent="0.25">
      <c r="A1473">
        <v>123</v>
      </c>
      <c r="B1473" t="s">
        <v>357</v>
      </c>
      <c r="C1473">
        <v>80</v>
      </c>
      <c r="D1473" t="s">
        <v>111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357</v>
      </c>
      <c r="C1474">
        <v>90</v>
      </c>
      <c r="D1474" t="s">
        <v>18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357</v>
      </c>
      <c r="C1475">
        <v>100</v>
      </c>
      <c r="D1475" t="s">
        <v>19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357</v>
      </c>
      <c r="C1476">
        <v>110</v>
      </c>
      <c r="D1476" t="s">
        <v>101</v>
      </c>
      <c r="E1476" t="s">
        <v>12</v>
      </c>
      <c r="F1476">
        <v>0.36</v>
      </c>
      <c r="G1476" t="s">
        <v>13</v>
      </c>
    </row>
    <row r="1477" spans="1:7" x14ac:dyDescent="0.25">
      <c r="A1477">
        <v>123</v>
      </c>
      <c r="B1477" t="s">
        <v>357</v>
      </c>
      <c r="C1477">
        <v>120</v>
      </c>
      <c r="D1477" t="s">
        <v>358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359</v>
      </c>
      <c r="C1478">
        <v>10</v>
      </c>
      <c r="D1478" t="s">
        <v>107</v>
      </c>
      <c r="E1478" t="s">
        <v>14</v>
      </c>
      <c r="F1478">
        <v>1.2450000000000001</v>
      </c>
      <c r="G1478" t="s">
        <v>15</v>
      </c>
    </row>
    <row r="1479" spans="1:7" x14ac:dyDescent="0.25">
      <c r="A1479">
        <v>124</v>
      </c>
      <c r="B1479" t="s">
        <v>359</v>
      </c>
      <c r="C1479">
        <v>20</v>
      </c>
      <c r="D1479" t="s">
        <v>565</v>
      </c>
      <c r="E1479" t="s">
        <v>14</v>
      </c>
      <c r="F1479">
        <v>1.2450000000000001</v>
      </c>
      <c r="G1479" t="s">
        <v>15</v>
      </c>
    </row>
    <row r="1480" spans="1:7" x14ac:dyDescent="0.25">
      <c r="A1480">
        <v>124</v>
      </c>
      <c r="B1480" t="s">
        <v>359</v>
      </c>
      <c r="C1480">
        <v>30</v>
      </c>
      <c r="D1480" t="s">
        <v>99</v>
      </c>
      <c r="E1480" t="s">
        <v>100</v>
      </c>
      <c r="F1480">
        <v>0.35</v>
      </c>
      <c r="G1480" t="s">
        <v>13</v>
      </c>
    </row>
    <row r="1481" spans="1:7" x14ac:dyDescent="0.25">
      <c r="A1481">
        <v>124</v>
      </c>
      <c r="B1481" t="s">
        <v>359</v>
      </c>
      <c r="C1481">
        <v>40</v>
      </c>
      <c r="D1481" t="s">
        <v>108</v>
      </c>
      <c r="E1481" t="s">
        <v>14</v>
      </c>
      <c r="F1481">
        <v>12.598000000000001</v>
      </c>
      <c r="G1481" t="s">
        <v>13</v>
      </c>
    </row>
    <row r="1482" spans="1:7" x14ac:dyDescent="0.25">
      <c r="A1482">
        <v>124</v>
      </c>
      <c r="B1482" t="s">
        <v>359</v>
      </c>
      <c r="C1482">
        <v>50</v>
      </c>
      <c r="D1482" t="s">
        <v>105</v>
      </c>
      <c r="E1482" t="s">
        <v>14</v>
      </c>
      <c r="F1482">
        <v>77.48</v>
      </c>
      <c r="G1482" t="s">
        <v>13</v>
      </c>
    </row>
    <row r="1483" spans="1:7" x14ac:dyDescent="0.25">
      <c r="A1483">
        <v>124</v>
      </c>
      <c r="B1483" t="s">
        <v>359</v>
      </c>
      <c r="C1483">
        <v>60</v>
      </c>
      <c r="D1483" t="s">
        <v>106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359</v>
      </c>
      <c r="C1484">
        <v>70</v>
      </c>
      <c r="D1484" t="s">
        <v>104</v>
      </c>
      <c r="E1484" t="s">
        <v>12</v>
      </c>
      <c r="F1484">
        <v>0.109</v>
      </c>
      <c r="G1484" t="s">
        <v>13</v>
      </c>
    </row>
    <row r="1485" spans="1:7" x14ac:dyDescent="0.25">
      <c r="A1485">
        <v>124</v>
      </c>
      <c r="B1485" t="s">
        <v>359</v>
      </c>
      <c r="C1485">
        <v>80</v>
      </c>
      <c r="D1485" t="s">
        <v>111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359</v>
      </c>
      <c r="C1486">
        <v>90</v>
      </c>
      <c r="D1486" t="s">
        <v>18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359</v>
      </c>
      <c r="C1487">
        <v>100</v>
      </c>
      <c r="D1487" t="s">
        <v>19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359</v>
      </c>
      <c r="C1488">
        <v>110</v>
      </c>
      <c r="D1488" t="s">
        <v>101</v>
      </c>
      <c r="E1488" t="s">
        <v>12</v>
      </c>
      <c r="F1488">
        <v>0.40500000000000003</v>
      </c>
      <c r="G1488" t="s">
        <v>13</v>
      </c>
    </row>
    <row r="1489" spans="1:7" x14ac:dyDescent="0.25">
      <c r="A1489">
        <v>124</v>
      </c>
      <c r="B1489" t="s">
        <v>359</v>
      </c>
      <c r="C1489">
        <v>120</v>
      </c>
      <c r="D1489" t="s">
        <v>360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361</v>
      </c>
      <c r="C1490">
        <v>10</v>
      </c>
      <c r="D1490" t="s">
        <v>107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125</v>
      </c>
      <c r="B1491" t="s">
        <v>361</v>
      </c>
      <c r="C1491">
        <v>20</v>
      </c>
      <c r="D1491" t="s">
        <v>565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125</v>
      </c>
      <c r="B1492" t="s">
        <v>361</v>
      </c>
      <c r="C1492">
        <v>30</v>
      </c>
      <c r="D1492" t="s">
        <v>99</v>
      </c>
      <c r="E1492" t="s">
        <v>100</v>
      </c>
      <c r="F1492">
        <v>0.437</v>
      </c>
      <c r="G1492" t="s">
        <v>13</v>
      </c>
    </row>
    <row r="1493" spans="1:7" x14ac:dyDescent="0.25">
      <c r="A1493">
        <v>125</v>
      </c>
      <c r="B1493" t="s">
        <v>361</v>
      </c>
      <c r="C1493">
        <v>40</v>
      </c>
      <c r="D1493" t="s">
        <v>108</v>
      </c>
      <c r="E1493" t="s">
        <v>14</v>
      </c>
      <c r="F1493">
        <v>13.818</v>
      </c>
      <c r="G1493" t="s">
        <v>13</v>
      </c>
    </row>
    <row r="1494" spans="1:7" x14ac:dyDescent="0.25">
      <c r="A1494">
        <v>125</v>
      </c>
      <c r="B1494" t="s">
        <v>361</v>
      </c>
      <c r="C1494">
        <v>50</v>
      </c>
      <c r="D1494" t="s">
        <v>105</v>
      </c>
      <c r="E1494" t="s">
        <v>14</v>
      </c>
      <c r="F1494">
        <v>84.977999999999994</v>
      </c>
      <c r="G1494" t="s">
        <v>13</v>
      </c>
    </row>
    <row r="1495" spans="1:7" x14ac:dyDescent="0.25">
      <c r="A1495">
        <v>125</v>
      </c>
      <c r="B1495" t="s">
        <v>361</v>
      </c>
      <c r="C1495">
        <v>60</v>
      </c>
      <c r="D1495" t="s">
        <v>106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361</v>
      </c>
      <c r="C1496">
        <v>70</v>
      </c>
      <c r="D1496" t="s">
        <v>104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361</v>
      </c>
      <c r="C1497">
        <v>80</v>
      </c>
      <c r="D1497" t="s">
        <v>111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361</v>
      </c>
      <c r="C1498">
        <v>90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361</v>
      </c>
      <c r="C1499">
        <v>100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361</v>
      </c>
      <c r="C1500">
        <v>110</v>
      </c>
      <c r="D1500" t="s">
        <v>101</v>
      </c>
      <c r="E1500" t="s">
        <v>12</v>
      </c>
      <c r="F1500">
        <v>0.495</v>
      </c>
      <c r="G1500" t="s">
        <v>13</v>
      </c>
    </row>
    <row r="1501" spans="1:7" x14ac:dyDescent="0.25">
      <c r="A1501">
        <v>125</v>
      </c>
      <c r="B1501" t="s">
        <v>361</v>
      </c>
      <c r="C1501">
        <v>120</v>
      </c>
      <c r="D1501" t="s">
        <v>362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363</v>
      </c>
      <c r="C1502">
        <v>10</v>
      </c>
      <c r="D1502" t="s">
        <v>107</v>
      </c>
      <c r="E1502" t="s">
        <v>14</v>
      </c>
      <c r="F1502">
        <v>1.702</v>
      </c>
      <c r="G1502" t="s">
        <v>15</v>
      </c>
    </row>
    <row r="1503" spans="1:7" x14ac:dyDescent="0.25">
      <c r="A1503">
        <v>126</v>
      </c>
      <c r="B1503" t="s">
        <v>363</v>
      </c>
      <c r="C1503">
        <v>20</v>
      </c>
      <c r="D1503" t="s">
        <v>565</v>
      </c>
      <c r="E1503" t="s">
        <v>14</v>
      </c>
      <c r="F1503">
        <v>1.702</v>
      </c>
      <c r="G1503" t="s">
        <v>15</v>
      </c>
    </row>
    <row r="1504" spans="1:7" x14ac:dyDescent="0.25">
      <c r="A1504">
        <v>126</v>
      </c>
      <c r="B1504" t="s">
        <v>363</v>
      </c>
      <c r="C1504">
        <v>30</v>
      </c>
      <c r="D1504" t="s">
        <v>99</v>
      </c>
      <c r="E1504" t="s">
        <v>100</v>
      </c>
      <c r="F1504">
        <v>0.48099999999999998</v>
      </c>
      <c r="G1504" t="s">
        <v>13</v>
      </c>
    </row>
    <row r="1505" spans="1:7" x14ac:dyDescent="0.25">
      <c r="A1505">
        <v>126</v>
      </c>
      <c r="B1505" t="s">
        <v>363</v>
      </c>
      <c r="C1505">
        <v>40</v>
      </c>
      <c r="D1505" t="s">
        <v>108</v>
      </c>
      <c r="E1505" t="s">
        <v>14</v>
      </c>
      <c r="F1505">
        <v>14.427</v>
      </c>
      <c r="G1505" t="s">
        <v>13</v>
      </c>
    </row>
    <row r="1506" spans="1:7" x14ac:dyDescent="0.25">
      <c r="A1506">
        <v>126</v>
      </c>
      <c r="B1506" t="s">
        <v>363</v>
      </c>
      <c r="C1506">
        <v>50</v>
      </c>
      <c r="D1506" t="s">
        <v>105</v>
      </c>
      <c r="E1506" t="s">
        <v>14</v>
      </c>
      <c r="F1506">
        <v>88.727000000000004</v>
      </c>
      <c r="G1506" t="s">
        <v>13</v>
      </c>
    </row>
    <row r="1507" spans="1:7" x14ac:dyDescent="0.25">
      <c r="A1507">
        <v>126</v>
      </c>
      <c r="B1507" t="s">
        <v>363</v>
      </c>
      <c r="C1507">
        <v>60</v>
      </c>
      <c r="D1507" t="s">
        <v>106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363</v>
      </c>
      <c r="C1508">
        <v>70</v>
      </c>
      <c r="D1508" t="s">
        <v>104</v>
      </c>
      <c r="E1508" t="s">
        <v>12</v>
      </c>
      <c r="F1508">
        <v>0.14299999999999999</v>
      </c>
      <c r="G1508" t="s">
        <v>13</v>
      </c>
    </row>
    <row r="1509" spans="1:7" x14ac:dyDescent="0.25">
      <c r="A1509">
        <v>126</v>
      </c>
      <c r="B1509" t="s">
        <v>363</v>
      </c>
      <c r="C1509">
        <v>80</v>
      </c>
      <c r="D1509" t="s">
        <v>111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363</v>
      </c>
      <c r="C1510">
        <v>90</v>
      </c>
      <c r="D1510" t="s">
        <v>18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363</v>
      </c>
      <c r="C1511">
        <v>100</v>
      </c>
      <c r="D1511" t="s">
        <v>19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363</v>
      </c>
      <c r="C1512">
        <v>110</v>
      </c>
      <c r="D1512" t="s">
        <v>101</v>
      </c>
      <c r="E1512" t="s">
        <v>12</v>
      </c>
      <c r="F1512">
        <v>0.54</v>
      </c>
      <c r="G1512" t="s">
        <v>13</v>
      </c>
    </row>
    <row r="1513" spans="1:7" x14ac:dyDescent="0.25">
      <c r="A1513">
        <v>126</v>
      </c>
      <c r="B1513" t="s">
        <v>363</v>
      </c>
      <c r="C1513">
        <v>120</v>
      </c>
      <c r="D1513" t="s">
        <v>364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365</v>
      </c>
      <c r="C1514">
        <v>10</v>
      </c>
      <c r="D1514" t="s">
        <v>107</v>
      </c>
      <c r="E1514" t="s">
        <v>14</v>
      </c>
      <c r="F1514">
        <v>1.8540000000000001</v>
      </c>
      <c r="G1514" t="s">
        <v>15</v>
      </c>
    </row>
    <row r="1515" spans="1:7" x14ac:dyDescent="0.25">
      <c r="A1515">
        <v>127</v>
      </c>
      <c r="B1515" t="s">
        <v>365</v>
      </c>
      <c r="C1515">
        <v>20</v>
      </c>
      <c r="D1515" t="s">
        <v>565</v>
      </c>
      <c r="E1515" t="s">
        <v>14</v>
      </c>
      <c r="F1515">
        <v>1.8540000000000001</v>
      </c>
      <c r="G1515" t="s">
        <v>15</v>
      </c>
    </row>
    <row r="1516" spans="1:7" x14ac:dyDescent="0.25">
      <c r="A1516">
        <v>127</v>
      </c>
      <c r="B1516" t="s">
        <v>365</v>
      </c>
      <c r="C1516">
        <v>30</v>
      </c>
      <c r="D1516" t="s">
        <v>99</v>
      </c>
      <c r="E1516" t="s">
        <v>100</v>
      </c>
      <c r="F1516">
        <v>0.52500000000000002</v>
      </c>
      <c r="G1516" t="s">
        <v>13</v>
      </c>
    </row>
    <row r="1517" spans="1:7" x14ac:dyDescent="0.25">
      <c r="A1517">
        <v>127</v>
      </c>
      <c r="B1517" t="s">
        <v>365</v>
      </c>
      <c r="C1517">
        <v>40</v>
      </c>
      <c r="D1517" t="s">
        <v>108</v>
      </c>
      <c r="E1517" t="s">
        <v>14</v>
      </c>
      <c r="F1517">
        <v>15.037000000000001</v>
      </c>
      <c r="G1517" t="s">
        <v>13</v>
      </c>
    </row>
    <row r="1518" spans="1:7" x14ac:dyDescent="0.25">
      <c r="A1518">
        <v>127</v>
      </c>
      <c r="B1518" t="s">
        <v>365</v>
      </c>
      <c r="C1518">
        <v>50</v>
      </c>
      <c r="D1518" t="s">
        <v>105</v>
      </c>
      <c r="E1518" t="s">
        <v>14</v>
      </c>
      <c r="F1518">
        <v>92.475999999999999</v>
      </c>
      <c r="G1518" t="s">
        <v>13</v>
      </c>
    </row>
    <row r="1519" spans="1:7" x14ac:dyDescent="0.25">
      <c r="A1519">
        <v>127</v>
      </c>
      <c r="B1519" t="s">
        <v>365</v>
      </c>
      <c r="C1519">
        <v>60</v>
      </c>
      <c r="D1519" t="s">
        <v>106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365</v>
      </c>
      <c r="C1520">
        <v>70</v>
      </c>
      <c r="D1520" t="s">
        <v>104</v>
      </c>
      <c r="E1520" t="s">
        <v>12</v>
      </c>
      <c r="F1520">
        <v>0.154</v>
      </c>
      <c r="G1520" t="s">
        <v>13</v>
      </c>
    </row>
    <row r="1521" spans="1:7" x14ac:dyDescent="0.25">
      <c r="A1521">
        <v>127</v>
      </c>
      <c r="B1521" t="s">
        <v>365</v>
      </c>
      <c r="C1521">
        <v>80</v>
      </c>
      <c r="D1521" t="s">
        <v>111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365</v>
      </c>
      <c r="C1522">
        <v>90</v>
      </c>
      <c r="D1522" t="s">
        <v>18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365</v>
      </c>
      <c r="C1523">
        <v>100</v>
      </c>
      <c r="D1523" t="s">
        <v>19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365</v>
      </c>
      <c r="C1524">
        <v>110</v>
      </c>
      <c r="D1524" t="s">
        <v>101</v>
      </c>
      <c r="E1524" t="s">
        <v>12</v>
      </c>
      <c r="F1524">
        <v>0.58599999999999997</v>
      </c>
      <c r="G1524" t="s">
        <v>13</v>
      </c>
    </row>
    <row r="1525" spans="1:7" x14ac:dyDescent="0.25">
      <c r="A1525">
        <v>127</v>
      </c>
      <c r="B1525" t="s">
        <v>365</v>
      </c>
      <c r="C1525">
        <v>120</v>
      </c>
      <c r="D1525" t="s">
        <v>366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367</v>
      </c>
      <c r="C1526">
        <v>10</v>
      </c>
      <c r="D1526" t="s">
        <v>107</v>
      </c>
      <c r="E1526" t="s">
        <v>14</v>
      </c>
      <c r="F1526">
        <v>0.78700000000000003</v>
      </c>
      <c r="G1526" t="s">
        <v>15</v>
      </c>
    </row>
    <row r="1527" spans="1:7" x14ac:dyDescent="0.25">
      <c r="A1527">
        <v>128</v>
      </c>
      <c r="B1527" t="s">
        <v>367</v>
      </c>
      <c r="C1527">
        <v>20</v>
      </c>
      <c r="D1527" t="s">
        <v>565</v>
      </c>
      <c r="E1527" t="s">
        <v>14</v>
      </c>
      <c r="F1527">
        <v>0.78700000000000003</v>
      </c>
      <c r="G1527" t="s">
        <v>15</v>
      </c>
    </row>
    <row r="1528" spans="1:7" x14ac:dyDescent="0.25">
      <c r="A1528">
        <v>128</v>
      </c>
      <c r="B1528" t="s">
        <v>367</v>
      </c>
      <c r="C1528">
        <v>30</v>
      </c>
      <c r="D1528" t="s">
        <v>99</v>
      </c>
      <c r="E1528" t="s">
        <v>100</v>
      </c>
      <c r="F1528">
        <v>0.22800000000000001</v>
      </c>
      <c r="G1528" t="s">
        <v>13</v>
      </c>
    </row>
    <row r="1529" spans="1:7" x14ac:dyDescent="0.25">
      <c r="A1529">
        <v>128</v>
      </c>
      <c r="B1529" t="s">
        <v>367</v>
      </c>
      <c r="C1529">
        <v>40</v>
      </c>
      <c r="D1529" t="s">
        <v>108</v>
      </c>
      <c r="E1529" t="s">
        <v>14</v>
      </c>
      <c r="F1529">
        <v>11.074</v>
      </c>
      <c r="G1529" t="s">
        <v>13</v>
      </c>
    </row>
    <row r="1530" spans="1:7" x14ac:dyDescent="0.25">
      <c r="A1530">
        <v>128</v>
      </c>
      <c r="B1530" t="s">
        <v>367</v>
      </c>
      <c r="C1530">
        <v>50</v>
      </c>
      <c r="D1530" t="s">
        <v>105</v>
      </c>
      <c r="E1530" t="s">
        <v>14</v>
      </c>
      <c r="F1530">
        <v>68.108000000000004</v>
      </c>
      <c r="G1530" t="s">
        <v>13</v>
      </c>
    </row>
    <row r="1531" spans="1:7" x14ac:dyDescent="0.25">
      <c r="A1531">
        <v>128</v>
      </c>
      <c r="B1531" t="s">
        <v>367</v>
      </c>
      <c r="C1531">
        <v>60</v>
      </c>
      <c r="D1531" t="s">
        <v>106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367</v>
      </c>
      <c r="C1532">
        <v>70</v>
      </c>
      <c r="D1532" t="s">
        <v>104</v>
      </c>
      <c r="E1532" t="s">
        <v>12</v>
      </c>
      <c r="F1532">
        <v>7.4999999999999997E-2</v>
      </c>
      <c r="G1532" t="s">
        <v>13</v>
      </c>
    </row>
    <row r="1533" spans="1:7" x14ac:dyDescent="0.25">
      <c r="A1533">
        <v>128</v>
      </c>
      <c r="B1533" t="s">
        <v>367</v>
      </c>
      <c r="C1533">
        <v>80</v>
      </c>
      <c r="D1533" t="s">
        <v>111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367</v>
      </c>
      <c r="C1534">
        <v>90</v>
      </c>
      <c r="D1534" t="s">
        <v>18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367</v>
      </c>
      <c r="C1535">
        <v>100</v>
      </c>
      <c r="D1535" t="s">
        <v>19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367</v>
      </c>
      <c r="C1536">
        <v>110</v>
      </c>
      <c r="D1536" t="s">
        <v>101</v>
      </c>
      <c r="E1536" t="s">
        <v>12</v>
      </c>
      <c r="F1536">
        <v>0.27</v>
      </c>
      <c r="G1536" t="s">
        <v>13</v>
      </c>
    </row>
    <row r="1537" spans="1:7" x14ac:dyDescent="0.25">
      <c r="A1537">
        <v>128</v>
      </c>
      <c r="B1537" t="s">
        <v>367</v>
      </c>
      <c r="C1537">
        <v>120</v>
      </c>
      <c r="D1537" t="s">
        <v>368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369</v>
      </c>
      <c r="C1538">
        <v>10</v>
      </c>
      <c r="D1538" t="s">
        <v>107</v>
      </c>
      <c r="E1538" t="s">
        <v>14</v>
      </c>
      <c r="F1538">
        <v>0.94</v>
      </c>
      <c r="G1538" t="s">
        <v>15</v>
      </c>
    </row>
    <row r="1539" spans="1:7" x14ac:dyDescent="0.25">
      <c r="A1539">
        <v>129</v>
      </c>
      <c r="B1539" t="s">
        <v>369</v>
      </c>
      <c r="C1539">
        <v>20</v>
      </c>
      <c r="D1539" t="s">
        <v>565</v>
      </c>
      <c r="E1539" t="s">
        <v>14</v>
      </c>
      <c r="F1539">
        <v>0.94</v>
      </c>
      <c r="G1539" t="s">
        <v>15</v>
      </c>
    </row>
    <row r="1540" spans="1:7" x14ac:dyDescent="0.25">
      <c r="A1540">
        <v>129</v>
      </c>
      <c r="B1540" t="s">
        <v>369</v>
      </c>
      <c r="C1540">
        <v>30</v>
      </c>
      <c r="D1540" t="s">
        <v>99</v>
      </c>
      <c r="E1540" t="s">
        <v>100</v>
      </c>
      <c r="F1540">
        <v>0.27300000000000002</v>
      </c>
      <c r="G1540" t="s">
        <v>13</v>
      </c>
    </row>
    <row r="1541" spans="1:7" x14ac:dyDescent="0.25">
      <c r="A1541">
        <v>129</v>
      </c>
      <c r="B1541" t="s">
        <v>369</v>
      </c>
      <c r="C1541">
        <v>40</v>
      </c>
      <c r="D1541" t="s">
        <v>108</v>
      </c>
      <c r="E1541" t="s">
        <v>14</v>
      </c>
      <c r="F1541">
        <v>11.683999999999999</v>
      </c>
      <c r="G1541" t="s">
        <v>13</v>
      </c>
    </row>
    <row r="1542" spans="1:7" x14ac:dyDescent="0.25">
      <c r="A1542">
        <v>129</v>
      </c>
      <c r="B1542" t="s">
        <v>369</v>
      </c>
      <c r="C1542">
        <v>50</v>
      </c>
      <c r="D1542" t="s">
        <v>105</v>
      </c>
      <c r="E1542" t="s">
        <v>14</v>
      </c>
      <c r="F1542">
        <v>71.856999999999999</v>
      </c>
      <c r="G1542" t="s">
        <v>13</v>
      </c>
    </row>
    <row r="1543" spans="1:7" x14ac:dyDescent="0.25">
      <c r="A1543">
        <v>129</v>
      </c>
      <c r="B1543" t="s">
        <v>369</v>
      </c>
      <c r="C1543">
        <v>60</v>
      </c>
      <c r="D1543" t="s">
        <v>106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369</v>
      </c>
      <c r="C1544">
        <v>70</v>
      </c>
      <c r="D1544" t="s">
        <v>104</v>
      </c>
      <c r="E1544" t="s">
        <v>12</v>
      </c>
      <c r="F1544">
        <v>8.5999999999999993E-2</v>
      </c>
      <c r="G1544" t="s">
        <v>13</v>
      </c>
    </row>
    <row r="1545" spans="1:7" x14ac:dyDescent="0.25">
      <c r="A1545">
        <v>129</v>
      </c>
      <c r="B1545" t="s">
        <v>369</v>
      </c>
      <c r="C1545">
        <v>80</v>
      </c>
      <c r="D1545" t="s">
        <v>111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369</v>
      </c>
      <c r="C1546">
        <v>90</v>
      </c>
      <c r="D1546" t="s">
        <v>18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369</v>
      </c>
      <c r="C1547">
        <v>100</v>
      </c>
      <c r="D1547" t="s">
        <v>19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369</v>
      </c>
      <c r="C1548">
        <v>110</v>
      </c>
      <c r="D1548" t="s">
        <v>101</v>
      </c>
      <c r="E1548" t="s">
        <v>12</v>
      </c>
      <c r="F1548">
        <v>0.315</v>
      </c>
      <c r="G1548" t="s">
        <v>13</v>
      </c>
    </row>
    <row r="1549" spans="1:7" x14ac:dyDescent="0.25">
      <c r="A1549">
        <v>129</v>
      </c>
      <c r="B1549" t="s">
        <v>369</v>
      </c>
      <c r="C1549">
        <v>120</v>
      </c>
      <c r="D1549" t="s">
        <v>370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371</v>
      </c>
      <c r="C1550">
        <v>10</v>
      </c>
      <c r="D1550" t="s">
        <v>107</v>
      </c>
      <c r="E1550" t="s">
        <v>14</v>
      </c>
      <c r="F1550">
        <v>1.0920000000000001</v>
      </c>
      <c r="G1550" t="s">
        <v>15</v>
      </c>
    </row>
    <row r="1551" spans="1:7" x14ac:dyDescent="0.25">
      <c r="A1551">
        <v>130</v>
      </c>
      <c r="B1551" t="s">
        <v>371</v>
      </c>
      <c r="C1551">
        <v>20</v>
      </c>
      <c r="D1551" t="s">
        <v>565</v>
      </c>
      <c r="E1551" t="s">
        <v>14</v>
      </c>
      <c r="F1551">
        <v>1.0920000000000001</v>
      </c>
      <c r="G1551" t="s">
        <v>15</v>
      </c>
    </row>
    <row r="1552" spans="1:7" x14ac:dyDescent="0.25">
      <c r="A1552">
        <v>130</v>
      </c>
      <c r="B1552" t="s">
        <v>371</v>
      </c>
      <c r="C1552">
        <v>30</v>
      </c>
      <c r="D1552" t="s">
        <v>99</v>
      </c>
      <c r="E1552" t="s">
        <v>100</v>
      </c>
      <c r="F1552">
        <v>0.31900000000000001</v>
      </c>
      <c r="G1552" t="s">
        <v>13</v>
      </c>
    </row>
    <row r="1553" spans="1:7" x14ac:dyDescent="0.25">
      <c r="A1553">
        <v>130</v>
      </c>
      <c r="B1553" t="s">
        <v>371</v>
      </c>
      <c r="C1553">
        <v>40</v>
      </c>
      <c r="D1553" t="s">
        <v>108</v>
      </c>
      <c r="E1553" t="s">
        <v>14</v>
      </c>
      <c r="F1553">
        <v>12.294</v>
      </c>
      <c r="G1553" t="s">
        <v>13</v>
      </c>
    </row>
    <row r="1554" spans="1:7" x14ac:dyDescent="0.25">
      <c r="A1554">
        <v>130</v>
      </c>
      <c r="B1554" t="s">
        <v>371</v>
      </c>
      <c r="C1554">
        <v>50</v>
      </c>
      <c r="D1554" t="s">
        <v>105</v>
      </c>
      <c r="E1554" t="s">
        <v>14</v>
      </c>
      <c r="F1554">
        <v>75.605999999999995</v>
      </c>
      <c r="G1554" t="s">
        <v>13</v>
      </c>
    </row>
    <row r="1555" spans="1:7" x14ac:dyDescent="0.25">
      <c r="A1555">
        <v>130</v>
      </c>
      <c r="B1555" t="s">
        <v>371</v>
      </c>
      <c r="C1555">
        <v>60</v>
      </c>
      <c r="D1555" t="s">
        <v>106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371</v>
      </c>
      <c r="C1556">
        <v>70</v>
      </c>
      <c r="D1556" t="s">
        <v>104</v>
      </c>
      <c r="E1556" t="s">
        <v>12</v>
      </c>
      <c r="F1556">
        <v>9.8000000000000004E-2</v>
      </c>
      <c r="G1556" t="s">
        <v>13</v>
      </c>
    </row>
    <row r="1557" spans="1:7" x14ac:dyDescent="0.25">
      <c r="A1557">
        <v>130</v>
      </c>
      <c r="B1557" t="s">
        <v>371</v>
      </c>
      <c r="C1557">
        <v>80</v>
      </c>
      <c r="D1557" t="s">
        <v>111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371</v>
      </c>
      <c r="C1558">
        <v>90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371</v>
      </c>
      <c r="C1559">
        <v>100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371</v>
      </c>
      <c r="C1560">
        <v>110</v>
      </c>
      <c r="D1560" t="s">
        <v>101</v>
      </c>
      <c r="E1560" t="s">
        <v>12</v>
      </c>
      <c r="F1560">
        <v>0.36</v>
      </c>
      <c r="G1560" t="s">
        <v>13</v>
      </c>
    </row>
    <row r="1561" spans="1:7" x14ac:dyDescent="0.25">
      <c r="A1561">
        <v>130</v>
      </c>
      <c r="B1561" t="s">
        <v>371</v>
      </c>
      <c r="C1561">
        <v>120</v>
      </c>
      <c r="D1561" t="s">
        <v>372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373</v>
      </c>
      <c r="C1562">
        <v>10</v>
      </c>
      <c r="D1562" t="s">
        <v>107</v>
      </c>
      <c r="E1562" t="s">
        <v>14</v>
      </c>
      <c r="F1562">
        <v>1.2450000000000001</v>
      </c>
      <c r="G1562" t="s">
        <v>15</v>
      </c>
    </row>
    <row r="1563" spans="1:7" x14ac:dyDescent="0.25">
      <c r="A1563">
        <v>131</v>
      </c>
      <c r="B1563" t="s">
        <v>373</v>
      </c>
      <c r="C1563">
        <v>20</v>
      </c>
      <c r="D1563" t="s">
        <v>565</v>
      </c>
      <c r="E1563" t="s">
        <v>14</v>
      </c>
      <c r="F1563">
        <v>1.2450000000000001</v>
      </c>
      <c r="G1563" t="s">
        <v>15</v>
      </c>
    </row>
    <row r="1564" spans="1:7" x14ac:dyDescent="0.25">
      <c r="A1564">
        <v>131</v>
      </c>
      <c r="B1564" t="s">
        <v>373</v>
      </c>
      <c r="C1564">
        <v>30</v>
      </c>
      <c r="D1564" t="s">
        <v>99</v>
      </c>
      <c r="E1564" t="s">
        <v>100</v>
      </c>
      <c r="F1564">
        <v>0.36499999999999999</v>
      </c>
      <c r="G1564" t="s">
        <v>13</v>
      </c>
    </row>
    <row r="1565" spans="1:7" x14ac:dyDescent="0.25">
      <c r="A1565">
        <v>131</v>
      </c>
      <c r="B1565" t="s">
        <v>373</v>
      </c>
      <c r="C1565">
        <v>40</v>
      </c>
      <c r="D1565" t="s">
        <v>108</v>
      </c>
      <c r="E1565" t="s">
        <v>14</v>
      </c>
      <c r="F1565">
        <v>12.903</v>
      </c>
      <c r="G1565" t="s">
        <v>13</v>
      </c>
    </row>
    <row r="1566" spans="1:7" x14ac:dyDescent="0.25">
      <c r="A1566">
        <v>131</v>
      </c>
      <c r="B1566" t="s">
        <v>373</v>
      </c>
      <c r="C1566">
        <v>50</v>
      </c>
      <c r="D1566" t="s">
        <v>105</v>
      </c>
      <c r="E1566" t="s">
        <v>14</v>
      </c>
      <c r="F1566">
        <v>79.355000000000004</v>
      </c>
      <c r="G1566" t="s">
        <v>13</v>
      </c>
    </row>
    <row r="1567" spans="1:7" x14ac:dyDescent="0.25">
      <c r="A1567">
        <v>131</v>
      </c>
      <c r="B1567" t="s">
        <v>373</v>
      </c>
      <c r="C1567">
        <v>60</v>
      </c>
      <c r="D1567" t="s">
        <v>106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373</v>
      </c>
      <c r="C1568">
        <v>70</v>
      </c>
      <c r="D1568" t="s">
        <v>104</v>
      </c>
      <c r="E1568" t="s">
        <v>12</v>
      </c>
      <c r="F1568">
        <v>0.109</v>
      </c>
      <c r="G1568" t="s">
        <v>13</v>
      </c>
    </row>
    <row r="1569" spans="1:7" x14ac:dyDescent="0.25">
      <c r="A1569">
        <v>131</v>
      </c>
      <c r="B1569" t="s">
        <v>373</v>
      </c>
      <c r="C1569">
        <v>80</v>
      </c>
      <c r="D1569" t="s">
        <v>111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373</v>
      </c>
      <c r="C1570">
        <v>90</v>
      </c>
      <c r="D1570" t="s">
        <v>18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373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373</v>
      </c>
      <c r="C1572">
        <v>110</v>
      </c>
      <c r="D1572" t="s">
        <v>101</v>
      </c>
      <c r="E1572" t="s">
        <v>12</v>
      </c>
      <c r="F1572">
        <v>0.40500000000000003</v>
      </c>
      <c r="G1572" t="s">
        <v>13</v>
      </c>
    </row>
    <row r="1573" spans="1:7" x14ac:dyDescent="0.25">
      <c r="A1573">
        <v>131</v>
      </c>
      <c r="B1573" t="s">
        <v>373</v>
      </c>
      <c r="C1573">
        <v>120</v>
      </c>
      <c r="D1573" t="s">
        <v>374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375</v>
      </c>
      <c r="C1574">
        <v>10</v>
      </c>
      <c r="D1574" t="s">
        <v>107</v>
      </c>
      <c r="E1574" t="s">
        <v>14</v>
      </c>
      <c r="F1574">
        <v>1.5489999999999999</v>
      </c>
      <c r="G1574" t="s">
        <v>15</v>
      </c>
    </row>
    <row r="1575" spans="1:7" x14ac:dyDescent="0.25">
      <c r="A1575">
        <v>132</v>
      </c>
      <c r="B1575" t="s">
        <v>375</v>
      </c>
      <c r="C1575">
        <v>20</v>
      </c>
      <c r="D1575" t="s">
        <v>565</v>
      </c>
      <c r="E1575" t="s">
        <v>14</v>
      </c>
      <c r="F1575">
        <v>1.5489999999999999</v>
      </c>
      <c r="G1575" t="s">
        <v>15</v>
      </c>
    </row>
    <row r="1576" spans="1:7" x14ac:dyDescent="0.25">
      <c r="A1576">
        <v>132</v>
      </c>
      <c r="B1576" t="s">
        <v>375</v>
      </c>
      <c r="C1576">
        <v>30</v>
      </c>
      <c r="D1576" t="s">
        <v>99</v>
      </c>
      <c r="E1576" t="s">
        <v>100</v>
      </c>
      <c r="F1576">
        <v>0.45600000000000002</v>
      </c>
      <c r="G1576" t="s">
        <v>13</v>
      </c>
    </row>
    <row r="1577" spans="1:7" x14ac:dyDescent="0.25">
      <c r="A1577">
        <v>132</v>
      </c>
      <c r="B1577" t="s">
        <v>375</v>
      </c>
      <c r="C1577">
        <v>40</v>
      </c>
      <c r="D1577" t="s">
        <v>108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375</v>
      </c>
      <c r="C1578">
        <v>50</v>
      </c>
      <c r="D1578" t="s">
        <v>105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375</v>
      </c>
      <c r="C1579">
        <v>60</v>
      </c>
      <c r="D1579" t="s">
        <v>106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375</v>
      </c>
      <c r="C1580">
        <v>70</v>
      </c>
      <c r="D1580" t="s">
        <v>104</v>
      </c>
      <c r="E1580" t="s">
        <v>12</v>
      </c>
      <c r="F1580">
        <v>0.13200000000000001</v>
      </c>
      <c r="G1580" t="s">
        <v>13</v>
      </c>
    </row>
    <row r="1581" spans="1:7" x14ac:dyDescent="0.25">
      <c r="A1581">
        <v>132</v>
      </c>
      <c r="B1581" t="s">
        <v>375</v>
      </c>
      <c r="C1581">
        <v>80</v>
      </c>
      <c r="D1581" t="s">
        <v>111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375</v>
      </c>
      <c r="C1582">
        <v>90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375</v>
      </c>
      <c r="C1583">
        <v>100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375</v>
      </c>
      <c r="C1584">
        <v>110</v>
      </c>
      <c r="D1584" t="s">
        <v>101</v>
      </c>
      <c r="E1584" t="s">
        <v>12</v>
      </c>
      <c r="F1584">
        <v>0.495</v>
      </c>
      <c r="G1584" t="s">
        <v>13</v>
      </c>
    </row>
    <row r="1585" spans="1:7" x14ac:dyDescent="0.25">
      <c r="A1585">
        <v>132</v>
      </c>
      <c r="B1585" t="s">
        <v>375</v>
      </c>
      <c r="C1585">
        <v>120</v>
      </c>
      <c r="D1585" t="s">
        <v>376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377</v>
      </c>
      <c r="C1586">
        <v>10</v>
      </c>
      <c r="D1586" t="s">
        <v>107</v>
      </c>
      <c r="E1586" t="s">
        <v>14</v>
      </c>
      <c r="F1586">
        <v>1.702</v>
      </c>
      <c r="G1586" t="s">
        <v>15</v>
      </c>
    </row>
    <row r="1587" spans="1:7" x14ac:dyDescent="0.25">
      <c r="A1587">
        <v>133</v>
      </c>
      <c r="B1587" t="s">
        <v>377</v>
      </c>
      <c r="C1587">
        <v>20</v>
      </c>
      <c r="D1587" t="s">
        <v>565</v>
      </c>
      <c r="E1587" t="s">
        <v>14</v>
      </c>
      <c r="F1587">
        <v>1.702</v>
      </c>
      <c r="G1587" t="s">
        <v>15</v>
      </c>
    </row>
    <row r="1588" spans="1:7" x14ac:dyDescent="0.25">
      <c r="A1588">
        <v>133</v>
      </c>
      <c r="B1588" t="s">
        <v>377</v>
      </c>
      <c r="C1588">
        <v>30</v>
      </c>
      <c r="D1588" t="s">
        <v>99</v>
      </c>
      <c r="E1588" t="s">
        <v>100</v>
      </c>
      <c r="F1588">
        <v>0.501</v>
      </c>
      <c r="G1588" t="s">
        <v>13</v>
      </c>
    </row>
    <row r="1589" spans="1:7" x14ac:dyDescent="0.25">
      <c r="A1589">
        <v>133</v>
      </c>
      <c r="B1589" t="s">
        <v>377</v>
      </c>
      <c r="C1589">
        <v>40</v>
      </c>
      <c r="D1589" t="s">
        <v>108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377</v>
      </c>
      <c r="C1590">
        <v>50</v>
      </c>
      <c r="D1590" t="s">
        <v>105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377</v>
      </c>
      <c r="C1591">
        <v>60</v>
      </c>
      <c r="D1591" t="s">
        <v>106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377</v>
      </c>
      <c r="C1592">
        <v>70</v>
      </c>
      <c r="D1592" t="s">
        <v>104</v>
      </c>
      <c r="E1592" t="s">
        <v>12</v>
      </c>
      <c r="F1592">
        <v>0.14299999999999999</v>
      </c>
      <c r="G1592" t="s">
        <v>13</v>
      </c>
    </row>
    <row r="1593" spans="1:7" x14ac:dyDescent="0.25">
      <c r="A1593">
        <v>133</v>
      </c>
      <c r="B1593" t="s">
        <v>377</v>
      </c>
      <c r="C1593">
        <v>80</v>
      </c>
      <c r="D1593" t="s">
        <v>111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377</v>
      </c>
      <c r="C1594">
        <v>90</v>
      </c>
      <c r="D1594" t="s">
        <v>18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377</v>
      </c>
      <c r="C1595">
        <v>100</v>
      </c>
      <c r="D1595" t="s">
        <v>19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377</v>
      </c>
      <c r="C1596">
        <v>110</v>
      </c>
      <c r="D1596" t="s">
        <v>101</v>
      </c>
      <c r="E1596" t="s">
        <v>12</v>
      </c>
      <c r="F1596">
        <v>0.54</v>
      </c>
      <c r="G1596" t="s">
        <v>13</v>
      </c>
    </row>
    <row r="1597" spans="1:7" x14ac:dyDescent="0.25">
      <c r="A1597">
        <v>133</v>
      </c>
      <c r="B1597" t="s">
        <v>377</v>
      </c>
      <c r="C1597">
        <v>120</v>
      </c>
      <c r="D1597" t="s">
        <v>378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379</v>
      </c>
      <c r="C1598">
        <v>10</v>
      </c>
      <c r="D1598" t="s">
        <v>107</v>
      </c>
      <c r="E1598" t="s">
        <v>14</v>
      </c>
      <c r="F1598">
        <v>1.8540000000000001</v>
      </c>
      <c r="G1598" t="s">
        <v>15</v>
      </c>
    </row>
    <row r="1599" spans="1:7" x14ac:dyDescent="0.25">
      <c r="A1599">
        <v>134</v>
      </c>
      <c r="B1599" t="s">
        <v>379</v>
      </c>
      <c r="C1599">
        <v>20</v>
      </c>
      <c r="D1599" t="s">
        <v>565</v>
      </c>
      <c r="E1599" t="s">
        <v>14</v>
      </c>
      <c r="F1599">
        <v>1.8540000000000001</v>
      </c>
      <c r="G1599" t="s">
        <v>15</v>
      </c>
    </row>
    <row r="1600" spans="1:7" x14ac:dyDescent="0.25">
      <c r="A1600">
        <v>134</v>
      </c>
      <c r="B1600" t="s">
        <v>379</v>
      </c>
      <c r="C1600">
        <v>30</v>
      </c>
      <c r="D1600" t="s">
        <v>99</v>
      </c>
      <c r="E1600" t="s">
        <v>100</v>
      </c>
      <c r="F1600">
        <v>0.54700000000000004</v>
      </c>
      <c r="G1600" t="s">
        <v>13</v>
      </c>
    </row>
    <row r="1601" spans="1:7" x14ac:dyDescent="0.25">
      <c r="A1601">
        <v>134</v>
      </c>
      <c r="B1601" t="s">
        <v>379</v>
      </c>
      <c r="C1601">
        <v>40</v>
      </c>
      <c r="D1601" t="s">
        <v>108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379</v>
      </c>
      <c r="C1602">
        <v>50</v>
      </c>
      <c r="D1602" t="s">
        <v>105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379</v>
      </c>
      <c r="C1603">
        <v>60</v>
      </c>
      <c r="D1603" t="s">
        <v>106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379</v>
      </c>
      <c r="C1604">
        <v>70</v>
      </c>
      <c r="D1604" t="s">
        <v>104</v>
      </c>
      <c r="E1604" t="s">
        <v>12</v>
      </c>
      <c r="F1604">
        <v>0.154</v>
      </c>
      <c r="G1604" t="s">
        <v>13</v>
      </c>
    </row>
    <row r="1605" spans="1:7" x14ac:dyDescent="0.25">
      <c r="A1605">
        <v>134</v>
      </c>
      <c r="B1605" t="s">
        <v>379</v>
      </c>
      <c r="C1605">
        <v>80</v>
      </c>
      <c r="D1605" t="s">
        <v>111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379</v>
      </c>
      <c r="C1606">
        <v>90</v>
      </c>
      <c r="D1606" t="s">
        <v>18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379</v>
      </c>
      <c r="C1607">
        <v>100</v>
      </c>
      <c r="D1607" t="s">
        <v>19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379</v>
      </c>
      <c r="C1608">
        <v>110</v>
      </c>
      <c r="D1608" t="s">
        <v>101</v>
      </c>
      <c r="E1608" t="s">
        <v>12</v>
      </c>
      <c r="F1608">
        <v>0.58599999999999997</v>
      </c>
      <c r="G1608" t="s">
        <v>13</v>
      </c>
    </row>
    <row r="1609" spans="1:7" x14ac:dyDescent="0.25">
      <c r="A1609">
        <v>134</v>
      </c>
      <c r="B1609" t="s">
        <v>379</v>
      </c>
      <c r="C1609">
        <v>120</v>
      </c>
      <c r="D1609" t="s">
        <v>380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381</v>
      </c>
      <c r="C1610">
        <v>10</v>
      </c>
      <c r="D1610" t="s">
        <v>107</v>
      </c>
      <c r="E1610" t="s">
        <v>14</v>
      </c>
      <c r="F1610">
        <v>0.78700000000000003</v>
      </c>
      <c r="G1610" t="s">
        <v>15</v>
      </c>
    </row>
    <row r="1611" spans="1:7" x14ac:dyDescent="0.25">
      <c r="A1611">
        <v>135</v>
      </c>
      <c r="B1611" t="s">
        <v>381</v>
      </c>
      <c r="C1611">
        <v>20</v>
      </c>
      <c r="D1611" t="s">
        <v>565</v>
      </c>
      <c r="E1611" t="s">
        <v>14</v>
      </c>
      <c r="F1611">
        <v>0.78700000000000003</v>
      </c>
      <c r="G1611" t="s">
        <v>15</v>
      </c>
    </row>
    <row r="1612" spans="1:7" x14ac:dyDescent="0.25">
      <c r="A1612">
        <v>135</v>
      </c>
      <c r="B1612" t="s">
        <v>381</v>
      </c>
      <c r="C1612">
        <v>30</v>
      </c>
      <c r="D1612" t="s">
        <v>99</v>
      </c>
      <c r="E1612" t="s">
        <v>100</v>
      </c>
      <c r="F1612">
        <v>0.23699999999999999</v>
      </c>
      <c r="G1612" t="s">
        <v>13</v>
      </c>
    </row>
    <row r="1613" spans="1:7" x14ac:dyDescent="0.25">
      <c r="A1613">
        <v>135</v>
      </c>
      <c r="B1613" t="s">
        <v>381</v>
      </c>
      <c r="C1613">
        <v>40</v>
      </c>
      <c r="D1613" t="s">
        <v>108</v>
      </c>
      <c r="E1613" t="s">
        <v>14</v>
      </c>
      <c r="F1613">
        <v>11.379</v>
      </c>
      <c r="G1613" t="s">
        <v>13</v>
      </c>
    </row>
    <row r="1614" spans="1:7" x14ac:dyDescent="0.25">
      <c r="A1614">
        <v>135</v>
      </c>
      <c r="B1614" t="s">
        <v>381</v>
      </c>
      <c r="C1614">
        <v>50</v>
      </c>
      <c r="D1614" t="s">
        <v>105</v>
      </c>
      <c r="E1614" t="s">
        <v>14</v>
      </c>
      <c r="F1614">
        <v>69.981999999999999</v>
      </c>
      <c r="G1614" t="s">
        <v>13</v>
      </c>
    </row>
    <row r="1615" spans="1:7" x14ac:dyDescent="0.25">
      <c r="A1615">
        <v>135</v>
      </c>
      <c r="B1615" t="s">
        <v>381</v>
      </c>
      <c r="C1615">
        <v>60</v>
      </c>
      <c r="D1615" t="s">
        <v>106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381</v>
      </c>
      <c r="C1616">
        <v>70</v>
      </c>
      <c r="D1616" t="s">
        <v>104</v>
      </c>
      <c r="E1616" t="s">
        <v>12</v>
      </c>
      <c r="F1616">
        <v>7.4999999999999997E-2</v>
      </c>
      <c r="G1616" t="s">
        <v>13</v>
      </c>
    </row>
    <row r="1617" spans="1:7" x14ac:dyDescent="0.25">
      <c r="A1617">
        <v>135</v>
      </c>
      <c r="B1617" t="s">
        <v>381</v>
      </c>
      <c r="C1617">
        <v>80</v>
      </c>
      <c r="D1617" t="s">
        <v>111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381</v>
      </c>
      <c r="C1618">
        <v>90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381</v>
      </c>
      <c r="C1619">
        <v>100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381</v>
      </c>
      <c r="C1620">
        <v>110</v>
      </c>
      <c r="D1620" t="s">
        <v>101</v>
      </c>
      <c r="E1620" t="s">
        <v>12</v>
      </c>
      <c r="F1620">
        <v>0.27</v>
      </c>
      <c r="G1620" t="s">
        <v>13</v>
      </c>
    </row>
    <row r="1621" spans="1:7" x14ac:dyDescent="0.25">
      <c r="A1621">
        <v>135</v>
      </c>
      <c r="B1621" t="s">
        <v>381</v>
      </c>
      <c r="C1621">
        <v>120</v>
      </c>
      <c r="D1621" t="s">
        <v>382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383</v>
      </c>
      <c r="C1622">
        <v>10</v>
      </c>
      <c r="D1622" t="s">
        <v>107</v>
      </c>
      <c r="E1622" t="s">
        <v>14</v>
      </c>
      <c r="F1622">
        <v>0.94</v>
      </c>
      <c r="G1622" t="s">
        <v>15</v>
      </c>
    </row>
    <row r="1623" spans="1:7" x14ac:dyDescent="0.25">
      <c r="A1623">
        <v>136</v>
      </c>
      <c r="B1623" t="s">
        <v>383</v>
      </c>
      <c r="C1623">
        <v>20</v>
      </c>
      <c r="D1623" t="s">
        <v>565</v>
      </c>
      <c r="E1623" t="s">
        <v>14</v>
      </c>
      <c r="F1623">
        <v>0.94</v>
      </c>
      <c r="G1623" t="s">
        <v>15</v>
      </c>
    </row>
    <row r="1624" spans="1:7" x14ac:dyDescent="0.25">
      <c r="A1624">
        <v>136</v>
      </c>
      <c r="B1624" t="s">
        <v>383</v>
      </c>
      <c r="C1624">
        <v>30</v>
      </c>
      <c r="D1624" t="s">
        <v>99</v>
      </c>
      <c r="E1624" t="s">
        <v>100</v>
      </c>
      <c r="F1624">
        <v>0.28399999999999997</v>
      </c>
      <c r="G1624" t="s">
        <v>13</v>
      </c>
    </row>
    <row r="1625" spans="1:7" x14ac:dyDescent="0.25">
      <c r="A1625">
        <v>136</v>
      </c>
      <c r="B1625" t="s">
        <v>383</v>
      </c>
      <c r="C1625">
        <v>40</v>
      </c>
      <c r="D1625" t="s">
        <v>108</v>
      </c>
      <c r="E1625" t="s">
        <v>14</v>
      </c>
      <c r="F1625">
        <v>11.989000000000001</v>
      </c>
      <c r="G1625" t="s">
        <v>13</v>
      </c>
    </row>
    <row r="1626" spans="1:7" x14ac:dyDescent="0.25">
      <c r="A1626">
        <v>136</v>
      </c>
      <c r="B1626" t="s">
        <v>383</v>
      </c>
      <c r="C1626">
        <v>50</v>
      </c>
      <c r="D1626" t="s">
        <v>105</v>
      </c>
      <c r="E1626" t="s">
        <v>14</v>
      </c>
      <c r="F1626">
        <v>73.730999999999995</v>
      </c>
      <c r="G1626" t="s">
        <v>13</v>
      </c>
    </row>
    <row r="1627" spans="1:7" x14ac:dyDescent="0.25">
      <c r="A1627">
        <v>136</v>
      </c>
      <c r="B1627" t="s">
        <v>383</v>
      </c>
      <c r="C1627">
        <v>60</v>
      </c>
      <c r="D1627" t="s">
        <v>106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383</v>
      </c>
      <c r="C1628">
        <v>70</v>
      </c>
      <c r="D1628" t="s">
        <v>104</v>
      </c>
      <c r="E1628" t="s">
        <v>12</v>
      </c>
      <c r="F1628">
        <v>8.5999999999999993E-2</v>
      </c>
      <c r="G1628" t="s">
        <v>13</v>
      </c>
    </row>
    <row r="1629" spans="1:7" x14ac:dyDescent="0.25">
      <c r="A1629">
        <v>136</v>
      </c>
      <c r="B1629" t="s">
        <v>383</v>
      </c>
      <c r="C1629">
        <v>80</v>
      </c>
      <c r="D1629" t="s">
        <v>111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383</v>
      </c>
      <c r="C1630">
        <v>90</v>
      </c>
      <c r="D1630" t="s">
        <v>18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383</v>
      </c>
      <c r="C1631">
        <v>100</v>
      </c>
      <c r="D1631" t="s">
        <v>19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383</v>
      </c>
      <c r="C1632">
        <v>110</v>
      </c>
      <c r="D1632" t="s">
        <v>101</v>
      </c>
      <c r="E1632" t="s">
        <v>12</v>
      </c>
      <c r="F1632">
        <v>0.315</v>
      </c>
      <c r="G1632" t="s">
        <v>13</v>
      </c>
    </row>
    <row r="1633" spans="1:7" x14ac:dyDescent="0.25">
      <c r="A1633">
        <v>136</v>
      </c>
      <c r="B1633" t="s">
        <v>383</v>
      </c>
      <c r="C1633">
        <v>120</v>
      </c>
      <c r="D1633" t="s">
        <v>384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385</v>
      </c>
      <c r="C1634">
        <v>10</v>
      </c>
      <c r="D1634" t="s">
        <v>107</v>
      </c>
      <c r="E1634" t="s">
        <v>14</v>
      </c>
      <c r="F1634">
        <v>1.0920000000000001</v>
      </c>
      <c r="G1634" t="s">
        <v>15</v>
      </c>
    </row>
    <row r="1635" spans="1:7" x14ac:dyDescent="0.25">
      <c r="A1635">
        <v>137</v>
      </c>
      <c r="B1635" t="s">
        <v>385</v>
      </c>
      <c r="C1635">
        <v>20</v>
      </c>
      <c r="D1635" t="s">
        <v>565</v>
      </c>
      <c r="E1635" t="s">
        <v>14</v>
      </c>
      <c r="F1635">
        <v>1.0920000000000001</v>
      </c>
      <c r="G1635" t="s">
        <v>15</v>
      </c>
    </row>
    <row r="1636" spans="1:7" x14ac:dyDescent="0.25">
      <c r="A1636">
        <v>137</v>
      </c>
      <c r="B1636" t="s">
        <v>385</v>
      </c>
      <c r="C1636">
        <v>30</v>
      </c>
      <c r="D1636" t="s">
        <v>99</v>
      </c>
      <c r="E1636" t="s">
        <v>100</v>
      </c>
      <c r="F1636">
        <v>0.33200000000000002</v>
      </c>
      <c r="G1636" t="s">
        <v>13</v>
      </c>
    </row>
    <row r="1637" spans="1:7" x14ac:dyDescent="0.25">
      <c r="A1637">
        <v>137</v>
      </c>
      <c r="B1637" t="s">
        <v>385</v>
      </c>
      <c r="C1637">
        <v>40</v>
      </c>
      <c r="D1637" t="s">
        <v>108</v>
      </c>
      <c r="E1637" t="s">
        <v>14</v>
      </c>
      <c r="F1637">
        <v>12.598000000000001</v>
      </c>
      <c r="G1637" t="s">
        <v>13</v>
      </c>
    </row>
    <row r="1638" spans="1:7" x14ac:dyDescent="0.25">
      <c r="A1638">
        <v>137</v>
      </c>
      <c r="B1638" t="s">
        <v>385</v>
      </c>
      <c r="C1638">
        <v>50</v>
      </c>
      <c r="D1638" t="s">
        <v>105</v>
      </c>
      <c r="E1638" t="s">
        <v>14</v>
      </c>
      <c r="F1638">
        <v>77.48</v>
      </c>
      <c r="G1638" t="s">
        <v>13</v>
      </c>
    </row>
    <row r="1639" spans="1:7" x14ac:dyDescent="0.25">
      <c r="A1639">
        <v>137</v>
      </c>
      <c r="B1639" t="s">
        <v>385</v>
      </c>
      <c r="C1639">
        <v>60</v>
      </c>
      <c r="D1639" t="s">
        <v>106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385</v>
      </c>
      <c r="C1640">
        <v>70</v>
      </c>
      <c r="D1640" t="s">
        <v>104</v>
      </c>
      <c r="E1640" t="s">
        <v>12</v>
      </c>
      <c r="F1640">
        <v>9.8000000000000004E-2</v>
      </c>
      <c r="G1640" t="s">
        <v>13</v>
      </c>
    </row>
    <row r="1641" spans="1:7" x14ac:dyDescent="0.25">
      <c r="A1641">
        <v>137</v>
      </c>
      <c r="B1641" t="s">
        <v>385</v>
      </c>
      <c r="C1641">
        <v>80</v>
      </c>
      <c r="D1641" t="s">
        <v>111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385</v>
      </c>
      <c r="C1642">
        <v>90</v>
      </c>
      <c r="D1642" t="s">
        <v>18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385</v>
      </c>
      <c r="C1643">
        <v>100</v>
      </c>
      <c r="D1643" t="s">
        <v>19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385</v>
      </c>
      <c r="C1644">
        <v>110</v>
      </c>
      <c r="D1644" t="s">
        <v>101</v>
      </c>
      <c r="E1644" t="s">
        <v>12</v>
      </c>
      <c r="F1644">
        <v>0.36</v>
      </c>
      <c r="G1644" t="s">
        <v>13</v>
      </c>
    </row>
    <row r="1645" spans="1:7" x14ac:dyDescent="0.25">
      <c r="A1645">
        <v>137</v>
      </c>
      <c r="B1645" t="s">
        <v>385</v>
      </c>
      <c r="C1645">
        <v>120</v>
      </c>
      <c r="D1645" t="s">
        <v>386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387</v>
      </c>
      <c r="C1646">
        <v>10</v>
      </c>
      <c r="D1646" t="s">
        <v>107</v>
      </c>
      <c r="E1646" t="s">
        <v>14</v>
      </c>
      <c r="F1646">
        <v>1.2450000000000001</v>
      </c>
      <c r="G1646" t="s">
        <v>15</v>
      </c>
    </row>
    <row r="1647" spans="1:7" x14ac:dyDescent="0.25">
      <c r="A1647">
        <v>138</v>
      </c>
      <c r="B1647" t="s">
        <v>387</v>
      </c>
      <c r="C1647">
        <v>20</v>
      </c>
      <c r="D1647" t="s">
        <v>565</v>
      </c>
      <c r="E1647" t="s">
        <v>14</v>
      </c>
      <c r="F1647">
        <v>1.2450000000000001</v>
      </c>
      <c r="G1647" t="s">
        <v>15</v>
      </c>
    </row>
    <row r="1648" spans="1:7" x14ac:dyDescent="0.25">
      <c r="A1648">
        <v>138</v>
      </c>
      <c r="B1648" t="s">
        <v>387</v>
      </c>
      <c r="C1648">
        <v>30</v>
      </c>
      <c r="D1648" t="s">
        <v>99</v>
      </c>
      <c r="E1648" t="s">
        <v>100</v>
      </c>
      <c r="F1648">
        <v>0.379</v>
      </c>
      <c r="G1648" t="s">
        <v>13</v>
      </c>
    </row>
    <row r="1649" spans="1:7" x14ac:dyDescent="0.25">
      <c r="A1649">
        <v>138</v>
      </c>
      <c r="B1649" t="s">
        <v>387</v>
      </c>
      <c r="C1649">
        <v>40</v>
      </c>
      <c r="D1649" t="s">
        <v>108</v>
      </c>
      <c r="E1649" t="s">
        <v>14</v>
      </c>
      <c r="F1649">
        <v>13.208</v>
      </c>
      <c r="G1649" t="s">
        <v>13</v>
      </c>
    </row>
    <row r="1650" spans="1:7" x14ac:dyDescent="0.25">
      <c r="A1650">
        <v>138</v>
      </c>
      <c r="B1650" t="s">
        <v>387</v>
      </c>
      <c r="C1650">
        <v>50</v>
      </c>
      <c r="D1650" t="s">
        <v>105</v>
      </c>
      <c r="E1650" t="s">
        <v>14</v>
      </c>
      <c r="F1650">
        <v>81.228999999999999</v>
      </c>
      <c r="G1650" t="s">
        <v>13</v>
      </c>
    </row>
    <row r="1651" spans="1:7" x14ac:dyDescent="0.25">
      <c r="A1651">
        <v>138</v>
      </c>
      <c r="B1651" t="s">
        <v>387</v>
      </c>
      <c r="C1651">
        <v>60</v>
      </c>
      <c r="D1651" t="s">
        <v>106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387</v>
      </c>
      <c r="C1652">
        <v>70</v>
      </c>
      <c r="D1652" t="s">
        <v>104</v>
      </c>
      <c r="E1652" t="s">
        <v>12</v>
      </c>
      <c r="F1652">
        <v>0.109</v>
      </c>
      <c r="G1652" t="s">
        <v>13</v>
      </c>
    </row>
    <row r="1653" spans="1:7" x14ac:dyDescent="0.25">
      <c r="A1653">
        <v>138</v>
      </c>
      <c r="B1653" t="s">
        <v>387</v>
      </c>
      <c r="C1653">
        <v>80</v>
      </c>
      <c r="D1653" t="s">
        <v>111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387</v>
      </c>
      <c r="C1654">
        <v>90</v>
      </c>
      <c r="D1654" t="s">
        <v>18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387</v>
      </c>
      <c r="C1655">
        <v>100</v>
      </c>
      <c r="D1655" t="s">
        <v>19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387</v>
      </c>
      <c r="C1656">
        <v>110</v>
      </c>
      <c r="D1656" t="s">
        <v>101</v>
      </c>
      <c r="E1656" t="s">
        <v>12</v>
      </c>
      <c r="F1656">
        <v>0.40500000000000003</v>
      </c>
      <c r="G1656" t="s">
        <v>13</v>
      </c>
    </row>
    <row r="1657" spans="1:7" x14ac:dyDescent="0.25">
      <c r="A1657">
        <v>138</v>
      </c>
      <c r="B1657" t="s">
        <v>387</v>
      </c>
      <c r="C1657">
        <v>120</v>
      </c>
      <c r="D1657" t="s">
        <v>388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389</v>
      </c>
      <c r="C1658">
        <v>10</v>
      </c>
      <c r="D1658" t="s">
        <v>107</v>
      </c>
      <c r="E1658" t="s">
        <v>14</v>
      </c>
      <c r="F1658">
        <v>1.5489999999999999</v>
      </c>
      <c r="G1658" t="s">
        <v>15</v>
      </c>
    </row>
    <row r="1659" spans="1:7" x14ac:dyDescent="0.25">
      <c r="A1659">
        <v>139</v>
      </c>
      <c r="B1659" t="s">
        <v>389</v>
      </c>
      <c r="C1659">
        <v>20</v>
      </c>
      <c r="D1659" t="s">
        <v>565</v>
      </c>
      <c r="E1659" t="s">
        <v>14</v>
      </c>
      <c r="F1659">
        <v>1.5489999999999999</v>
      </c>
      <c r="G1659" t="s">
        <v>15</v>
      </c>
    </row>
    <row r="1660" spans="1:7" x14ac:dyDescent="0.25">
      <c r="A1660">
        <v>139</v>
      </c>
      <c r="B1660" t="s">
        <v>389</v>
      </c>
      <c r="C1660">
        <v>30</v>
      </c>
      <c r="D1660" t="s">
        <v>99</v>
      </c>
      <c r="E1660" t="s">
        <v>100</v>
      </c>
      <c r="F1660">
        <v>0.47399999999999998</v>
      </c>
      <c r="G1660" t="s">
        <v>13</v>
      </c>
    </row>
    <row r="1661" spans="1:7" x14ac:dyDescent="0.25">
      <c r="A1661">
        <v>139</v>
      </c>
      <c r="B1661" t="s">
        <v>389</v>
      </c>
      <c r="C1661">
        <v>40</v>
      </c>
      <c r="D1661" t="s">
        <v>108</v>
      </c>
      <c r="E1661" t="s">
        <v>14</v>
      </c>
      <c r="F1661">
        <v>14.427</v>
      </c>
      <c r="G1661" t="s">
        <v>13</v>
      </c>
    </row>
    <row r="1662" spans="1:7" x14ac:dyDescent="0.25">
      <c r="A1662">
        <v>139</v>
      </c>
      <c r="B1662" t="s">
        <v>389</v>
      </c>
      <c r="C1662">
        <v>50</v>
      </c>
      <c r="D1662" t="s">
        <v>105</v>
      </c>
      <c r="E1662" t="s">
        <v>14</v>
      </c>
      <c r="F1662">
        <v>88.727000000000004</v>
      </c>
      <c r="G1662" t="s">
        <v>13</v>
      </c>
    </row>
    <row r="1663" spans="1:7" x14ac:dyDescent="0.25">
      <c r="A1663">
        <v>139</v>
      </c>
      <c r="B1663" t="s">
        <v>389</v>
      </c>
      <c r="C1663">
        <v>60</v>
      </c>
      <c r="D1663" t="s">
        <v>106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389</v>
      </c>
      <c r="C1664">
        <v>70</v>
      </c>
      <c r="D1664" t="s">
        <v>104</v>
      </c>
      <c r="E1664" t="s">
        <v>12</v>
      </c>
      <c r="F1664">
        <v>0.13200000000000001</v>
      </c>
      <c r="G1664" t="s">
        <v>13</v>
      </c>
    </row>
    <row r="1665" spans="1:7" x14ac:dyDescent="0.25">
      <c r="A1665">
        <v>139</v>
      </c>
      <c r="B1665" t="s">
        <v>389</v>
      </c>
      <c r="C1665">
        <v>80</v>
      </c>
      <c r="D1665" t="s">
        <v>111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389</v>
      </c>
      <c r="C1666">
        <v>90</v>
      </c>
      <c r="D1666" t="s">
        <v>18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389</v>
      </c>
      <c r="C1667">
        <v>100</v>
      </c>
      <c r="D1667" t="s">
        <v>19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389</v>
      </c>
      <c r="C1668">
        <v>110</v>
      </c>
      <c r="D1668" t="s">
        <v>101</v>
      </c>
      <c r="E1668" t="s">
        <v>12</v>
      </c>
      <c r="F1668">
        <v>0.495</v>
      </c>
      <c r="G1668" t="s">
        <v>13</v>
      </c>
    </row>
    <row r="1669" spans="1:7" x14ac:dyDescent="0.25">
      <c r="A1669">
        <v>139</v>
      </c>
      <c r="B1669" t="s">
        <v>389</v>
      </c>
      <c r="C1669">
        <v>120</v>
      </c>
      <c r="D1669" t="s">
        <v>390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391</v>
      </c>
      <c r="C1670">
        <v>10</v>
      </c>
      <c r="D1670" t="s">
        <v>107</v>
      </c>
      <c r="E1670" t="s">
        <v>14</v>
      </c>
      <c r="F1670">
        <v>1.702</v>
      </c>
      <c r="G1670" t="s">
        <v>15</v>
      </c>
    </row>
    <row r="1671" spans="1:7" x14ac:dyDescent="0.25">
      <c r="A1671">
        <v>140</v>
      </c>
      <c r="B1671" t="s">
        <v>391</v>
      </c>
      <c r="C1671">
        <v>20</v>
      </c>
      <c r="D1671" t="s">
        <v>565</v>
      </c>
      <c r="E1671" t="s">
        <v>14</v>
      </c>
      <c r="F1671">
        <v>1.702</v>
      </c>
      <c r="G1671" t="s">
        <v>15</v>
      </c>
    </row>
    <row r="1672" spans="1:7" x14ac:dyDescent="0.25">
      <c r="A1672">
        <v>140</v>
      </c>
      <c r="B1672" t="s">
        <v>391</v>
      </c>
      <c r="C1672">
        <v>30</v>
      </c>
      <c r="D1672" t="s">
        <v>99</v>
      </c>
      <c r="E1672" t="s">
        <v>100</v>
      </c>
      <c r="F1672">
        <v>0.52100000000000002</v>
      </c>
      <c r="G1672" t="s">
        <v>13</v>
      </c>
    </row>
    <row r="1673" spans="1:7" x14ac:dyDescent="0.25">
      <c r="A1673">
        <v>140</v>
      </c>
      <c r="B1673" t="s">
        <v>391</v>
      </c>
      <c r="C1673">
        <v>40</v>
      </c>
      <c r="D1673" t="s">
        <v>108</v>
      </c>
      <c r="E1673" t="s">
        <v>14</v>
      </c>
      <c r="F1673">
        <v>15.037000000000001</v>
      </c>
      <c r="G1673" t="s">
        <v>13</v>
      </c>
    </row>
    <row r="1674" spans="1:7" x14ac:dyDescent="0.25">
      <c r="A1674">
        <v>140</v>
      </c>
      <c r="B1674" t="s">
        <v>391</v>
      </c>
      <c r="C1674">
        <v>50</v>
      </c>
      <c r="D1674" t="s">
        <v>105</v>
      </c>
      <c r="E1674" t="s">
        <v>14</v>
      </c>
      <c r="F1674">
        <v>92.475999999999999</v>
      </c>
      <c r="G1674" t="s">
        <v>13</v>
      </c>
    </row>
    <row r="1675" spans="1:7" x14ac:dyDescent="0.25">
      <c r="A1675">
        <v>140</v>
      </c>
      <c r="B1675" t="s">
        <v>391</v>
      </c>
      <c r="C1675">
        <v>60</v>
      </c>
      <c r="D1675" t="s">
        <v>106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391</v>
      </c>
      <c r="C1676">
        <v>70</v>
      </c>
      <c r="D1676" t="s">
        <v>104</v>
      </c>
      <c r="E1676" t="s">
        <v>12</v>
      </c>
      <c r="F1676">
        <v>0.14299999999999999</v>
      </c>
      <c r="G1676" t="s">
        <v>13</v>
      </c>
    </row>
    <row r="1677" spans="1:7" x14ac:dyDescent="0.25">
      <c r="A1677">
        <v>140</v>
      </c>
      <c r="B1677" t="s">
        <v>391</v>
      </c>
      <c r="C1677">
        <v>80</v>
      </c>
      <c r="D1677" t="s">
        <v>111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391</v>
      </c>
      <c r="C1678">
        <v>90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391</v>
      </c>
      <c r="C1679">
        <v>100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391</v>
      </c>
      <c r="C1680">
        <v>110</v>
      </c>
      <c r="D1680" t="s">
        <v>101</v>
      </c>
      <c r="E1680" t="s">
        <v>12</v>
      </c>
      <c r="F1680">
        <v>0.54</v>
      </c>
      <c r="G1680" t="s">
        <v>13</v>
      </c>
    </row>
    <row r="1681" spans="1:7" x14ac:dyDescent="0.25">
      <c r="A1681">
        <v>140</v>
      </c>
      <c r="B1681" t="s">
        <v>391</v>
      </c>
      <c r="C1681">
        <v>120</v>
      </c>
      <c r="D1681" t="s">
        <v>392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393</v>
      </c>
      <c r="C1682">
        <v>10</v>
      </c>
      <c r="D1682" t="s">
        <v>107</v>
      </c>
      <c r="E1682" t="s">
        <v>14</v>
      </c>
      <c r="F1682">
        <v>1.8540000000000001</v>
      </c>
      <c r="G1682" t="s">
        <v>15</v>
      </c>
    </row>
    <row r="1683" spans="1:7" x14ac:dyDescent="0.25">
      <c r="A1683">
        <v>141</v>
      </c>
      <c r="B1683" t="s">
        <v>393</v>
      </c>
      <c r="C1683">
        <v>20</v>
      </c>
      <c r="D1683" t="s">
        <v>565</v>
      </c>
      <c r="E1683" t="s">
        <v>14</v>
      </c>
      <c r="F1683">
        <v>1.8540000000000001</v>
      </c>
      <c r="G1683" t="s">
        <v>15</v>
      </c>
    </row>
    <row r="1684" spans="1:7" x14ac:dyDescent="0.25">
      <c r="A1684">
        <v>141</v>
      </c>
      <c r="B1684" t="s">
        <v>393</v>
      </c>
      <c r="C1684">
        <v>30</v>
      </c>
      <c r="D1684" t="s">
        <v>99</v>
      </c>
      <c r="E1684" t="s">
        <v>100</v>
      </c>
      <c r="F1684">
        <v>0.56899999999999995</v>
      </c>
      <c r="G1684" t="s">
        <v>13</v>
      </c>
    </row>
    <row r="1685" spans="1:7" x14ac:dyDescent="0.25">
      <c r="A1685">
        <v>141</v>
      </c>
      <c r="B1685" t="s">
        <v>393</v>
      </c>
      <c r="C1685">
        <v>40</v>
      </c>
      <c r="D1685" t="s">
        <v>108</v>
      </c>
      <c r="E1685" t="s">
        <v>14</v>
      </c>
      <c r="F1685">
        <v>15.646000000000001</v>
      </c>
      <c r="G1685" t="s">
        <v>13</v>
      </c>
    </row>
    <row r="1686" spans="1:7" x14ac:dyDescent="0.25">
      <c r="A1686">
        <v>141</v>
      </c>
      <c r="B1686" t="s">
        <v>393</v>
      </c>
      <c r="C1686">
        <v>50</v>
      </c>
      <c r="D1686" t="s">
        <v>105</v>
      </c>
      <c r="E1686" t="s">
        <v>14</v>
      </c>
      <c r="F1686">
        <v>96.224999999999994</v>
      </c>
      <c r="G1686" t="s">
        <v>13</v>
      </c>
    </row>
    <row r="1687" spans="1:7" x14ac:dyDescent="0.25">
      <c r="A1687">
        <v>141</v>
      </c>
      <c r="B1687" t="s">
        <v>393</v>
      </c>
      <c r="C1687">
        <v>60</v>
      </c>
      <c r="D1687" t="s">
        <v>106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393</v>
      </c>
      <c r="C1688">
        <v>70</v>
      </c>
      <c r="D1688" t="s">
        <v>104</v>
      </c>
      <c r="E1688" t="s">
        <v>12</v>
      </c>
      <c r="F1688">
        <v>0.154</v>
      </c>
      <c r="G1688" t="s">
        <v>13</v>
      </c>
    </row>
    <row r="1689" spans="1:7" x14ac:dyDescent="0.25">
      <c r="A1689">
        <v>141</v>
      </c>
      <c r="B1689" t="s">
        <v>393</v>
      </c>
      <c r="C1689">
        <v>80</v>
      </c>
      <c r="D1689" t="s">
        <v>111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393</v>
      </c>
      <c r="C1690">
        <v>90</v>
      </c>
      <c r="D1690" t="s">
        <v>18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393</v>
      </c>
      <c r="C1691">
        <v>100</v>
      </c>
      <c r="D1691" t="s">
        <v>19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393</v>
      </c>
      <c r="C1692">
        <v>110</v>
      </c>
      <c r="D1692" t="s">
        <v>101</v>
      </c>
      <c r="E1692" t="s">
        <v>12</v>
      </c>
      <c r="F1692">
        <v>0.58599999999999997</v>
      </c>
      <c r="G1692" t="s">
        <v>13</v>
      </c>
    </row>
    <row r="1693" spans="1:7" x14ac:dyDescent="0.25">
      <c r="A1693">
        <v>141</v>
      </c>
      <c r="B1693" t="s">
        <v>393</v>
      </c>
      <c r="C1693">
        <v>120</v>
      </c>
      <c r="D1693" t="s">
        <v>394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395</v>
      </c>
      <c r="C1694">
        <v>10</v>
      </c>
      <c r="D1694" t="s">
        <v>107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395</v>
      </c>
      <c r="C1695">
        <v>20</v>
      </c>
      <c r="D1695" t="s">
        <v>565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395</v>
      </c>
      <c r="C1696">
        <v>30</v>
      </c>
      <c r="D1696" t="s">
        <v>99</v>
      </c>
      <c r="E1696" t="s">
        <v>100</v>
      </c>
      <c r="F1696">
        <v>0.24299999999999999</v>
      </c>
      <c r="G1696" t="s">
        <v>13</v>
      </c>
    </row>
    <row r="1697" spans="1:7" x14ac:dyDescent="0.25">
      <c r="A1697">
        <v>142</v>
      </c>
      <c r="B1697" t="s">
        <v>395</v>
      </c>
      <c r="C1697">
        <v>40</v>
      </c>
      <c r="D1697" t="s">
        <v>108</v>
      </c>
      <c r="E1697" t="s">
        <v>14</v>
      </c>
      <c r="F1697">
        <v>11.582000000000001</v>
      </c>
      <c r="G1697" t="s">
        <v>13</v>
      </c>
    </row>
    <row r="1698" spans="1:7" x14ac:dyDescent="0.25">
      <c r="A1698">
        <v>142</v>
      </c>
      <c r="B1698" t="s">
        <v>395</v>
      </c>
      <c r="C1698">
        <v>50</v>
      </c>
      <c r="D1698" t="s">
        <v>105</v>
      </c>
      <c r="E1698" t="s">
        <v>14</v>
      </c>
      <c r="F1698">
        <v>71.231999999999999</v>
      </c>
      <c r="G1698" t="s">
        <v>13</v>
      </c>
    </row>
    <row r="1699" spans="1:7" x14ac:dyDescent="0.25">
      <c r="A1699">
        <v>142</v>
      </c>
      <c r="B1699" t="s">
        <v>395</v>
      </c>
      <c r="C1699">
        <v>60</v>
      </c>
      <c r="D1699" t="s">
        <v>106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395</v>
      </c>
      <c r="C1700">
        <v>70</v>
      </c>
      <c r="D1700" t="s">
        <v>104</v>
      </c>
      <c r="E1700" t="s">
        <v>12</v>
      </c>
      <c r="F1700">
        <v>7.4999999999999997E-2</v>
      </c>
      <c r="G1700" t="s">
        <v>13</v>
      </c>
    </row>
    <row r="1701" spans="1:7" x14ac:dyDescent="0.25">
      <c r="A1701">
        <v>142</v>
      </c>
      <c r="B1701" t="s">
        <v>395</v>
      </c>
      <c r="C1701">
        <v>80</v>
      </c>
      <c r="D1701" t="s">
        <v>111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395</v>
      </c>
      <c r="C1702">
        <v>90</v>
      </c>
      <c r="D1702" t="s">
        <v>18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395</v>
      </c>
      <c r="C1703">
        <v>100</v>
      </c>
      <c r="D1703" t="s">
        <v>19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395</v>
      </c>
      <c r="C1704">
        <v>110</v>
      </c>
      <c r="D1704" t="s">
        <v>101</v>
      </c>
      <c r="E1704" t="s">
        <v>12</v>
      </c>
      <c r="F1704">
        <v>0.64600000000000002</v>
      </c>
      <c r="G1704" t="s">
        <v>13</v>
      </c>
    </row>
    <row r="1705" spans="1:7" x14ac:dyDescent="0.25">
      <c r="A1705">
        <v>142</v>
      </c>
      <c r="B1705" t="s">
        <v>395</v>
      </c>
      <c r="C1705">
        <v>120</v>
      </c>
      <c r="D1705" t="s">
        <v>396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397</v>
      </c>
      <c r="C1706">
        <v>10</v>
      </c>
      <c r="D1706" t="s">
        <v>107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397</v>
      </c>
      <c r="C1707">
        <v>20</v>
      </c>
      <c r="D1707" t="s">
        <v>565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397</v>
      </c>
      <c r="C1708">
        <v>30</v>
      </c>
      <c r="D1708" t="s">
        <v>99</v>
      </c>
      <c r="E1708" t="s">
        <v>100</v>
      </c>
      <c r="F1708">
        <v>0.29199999999999998</v>
      </c>
      <c r="G1708" t="s">
        <v>13</v>
      </c>
    </row>
    <row r="1709" spans="1:7" x14ac:dyDescent="0.25">
      <c r="A1709">
        <v>143</v>
      </c>
      <c r="B1709" t="s">
        <v>397</v>
      </c>
      <c r="C1709">
        <v>40</v>
      </c>
      <c r="D1709" t="s">
        <v>108</v>
      </c>
      <c r="E1709" t="s">
        <v>14</v>
      </c>
      <c r="F1709">
        <v>12.192</v>
      </c>
      <c r="G1709" t="s">
        <v>13</v>
      </c>
    </row>
    <row r="1710" spans="1:7" x14ac:dyDescent="0.25">
      <c r="A1710">
        <v>143</v>
      </c>
      <c r="B1710" t="s">
        <v>397</v>
      </c>
      <c r="C1710">
        <v>50</v>
      </c>
      <c r="D1710" t="s">
        <v>105</v>
      </c>
      <c r="E1710" t="s">
        <v>14</v>
      </c>
      <c r="F1710">
        <v>74.980999999999995</v>
      </c>
      <c r="G1710" t="s">
        <v>13</v>
      </c>
    </row>
    <row r="1711" spans="1:7" x14ac:dyDescent="0.25">
      <c r="A1711">
        <v>143</v>
      </c>
      <c r="B1711" t="s">
        <v>397</v>
      </c>
      <c r="C1711">
        <v>60</v>
      </c>
      <c r="D1711" t="s">
        <v>106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397</v>
      </c>
      <c r="C1712">
        <v>70</v>
      </c>
      <c r="D1712" t="s">
        <v>104</v>
      </c>
      <c r="E1712" t="s">
        <v>12</v>
      </c>
      <c r="F1712">
        <v>8.5999999999999993E-2</v>
      </c>
      <c r="G1712" t="s">
        <v>13</v>
      </c>
    </row>
    <row r="1713" spans="1:7" x14ac:dyDescent="0.25">
      <c r="A1713">
        <v>143</v>
      </c>
      <c r="B1713" t="s">
        <v>397</v>
      </c>
      <c r="C1713">
        <v>80</v>
      </c>
      <c r="D1713" t="s">
        <v>111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397</v>
      </c>
      <c r="C1714">
        <v>90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397</v>
      </c>
      <c r="C1715">
        <v>100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397</v>
      </c>
      <c r="C1716">
        <v>110</v>
      </c>
      <c r="D1716" t="s">
        <v>101</v>
      </c>
      <c r="E1716" t="s">
        <v>12</v>
      </c>
      <c r="F1716">
        <v>0.64600000000000002</v>
      </c>
      <c r="G1716" t="s">
        <v>13</v>
      </c>
    </row>
    <row r="1717" spans="1:7" x14ac:dyDescent="0.25">
      <c r="A1717">
        <v>143</v>
      </c>
      <c r="B1717" t="s">
        <v>397</v>
      </c>
      <c r="C1717">
        <v>120</v>
      </c>
      <c r="D1717" t="s">
        <v>398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399</v>
      </c>
      <c r="C1718">
        <v>10</v>
      </c>
      <c r="D1718" t="s">
        <v>107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144</v>
      </c>
      <c r="B1719" t="s">
        <v>399</v>
      </c>
      <c r="C1719">
        <v>20</v>
      </c>
      <c r="D1719" t="s">
        <v>565</v>
      </c>
      <c r="E1719" t="s">
        <v>14</v>
      </c>
      <c r="F1719">
        <v>2.0569999999999999</v>
      </c>
      <c r="G1719" t="s">
        <v>15</v>
      </c>
    </row>
    <row r="1720" spans="1:7" x14ac:dyDescent="0.25">
      <c r="A1720">
        <v>144</v>
      </c>
      <c r="B1720" t="s">
        <v>399</v>
      </c>
      <c r="C1720">
        <v>30</v>
      </c>
      <c r="D1720" t="s">
        <v>99</v>
      </c>
      <c r="E1720" t="s">
        <v>100</v>
      </c>
      <c r="F1720">
        <v>0.34</v>
      </c>
      <c r="G1720" t="s">
        <v>13</v>
      </c>
    </row>
    <row r="1721" spans="1:7" x14ac:dyDescent="0.25">
      <c r="A1721">
        <v>144</v>
      </c>
      <c r="B1721" t="s">
        <v>399</v>
      </c>
      <c r="C1721">
        <v>40</v>
      </c>
      <c r="D1721" t="s">
        <v>108</v>
      </c>
      <c r="E1721" t="s">
        <v>14</v>
      </c>
      <c r="F1721">
        <v>12.802</v>
      </c>
      <c r="G1721" t="s">
        <v>13</v>
      </c>
    </row>
    <row r="1722" spans="1:7" x14ac:dyDescent="0.25">
      <c r="A1722">
        <v>144</v>
      </c>
      <c r="B1722" t="s">
        <v>399</v>
      </c>
      <c r="C1722">
        <v>50</v>
      </c>
      <c r="D1722" t="s">
        <v>105</v>
      </c>
      <c r="E1722" t="s">
        <v>14</v>
      </c>
      <c r="F1722">
        <v>78.73</v>
      </c>
      <c r="G1722" t="s">
        <v>13</v>
      </c>
    </row>
    <row r="1723" spans="1:7" x14ac:dyDescent="0.25">
      <c r="A1723">
        <v>144</v>
      </c>
      <c r="B1723" t="s">
        <v>399</v>
      </c>
      <c r="C1723">
        <v>60</v>
      </c>
      <c r="D1723" t="s">
        <v>106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399</v>
      </c>
      <c r="C1724">
        <v>70</v>
      </c>
      <c r="D1724" t="s">
        <v>104</v>
      </c>
      <c r="E1724" t="s">
        <v>12</v>
      </c>
      <c r="F1724">
        <v>9.8000000000000004E-2</v>
      </c>
      <c r="G1724" t="s">
        <v>13</v>
      </c>
    </row>
    <row r="1725" spans="1:7" x14ac:dyDescent="0.25">
      <c r="A1725">
        <v>144</v>
      </c>
      <c r="B1725" t="s">
        <v>399</v>
      </c>
      <c r="C1725">
        <v>80</v>
      </c>
      <c r="D1725" t="s">
        <v>111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399</v>
      </c>
      <c r="C1726">
        <v>90</v>
      </c>
      <c r="D1726" t="s">
        <v>18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399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399</v>
      </c>
      <c r="C1728">
        <v>110</v>
      </c>
      <c r="D1728" t="s">
        <v>101</v>
      </c>
      <c r="E1728" t="s">
        <v>12</v>
      </c>
      <c r="F1728">
        <v>0.64600000000000002</v>
      </c>
      <c r="G1728" t="s">
        <v>13</v>
      </c>
    </row>
    <row r="1729" spans="1:7" x14ac:dyDescent="0.25">
      <c r="A1729">
        <v>144</v>
      </c>
      <c r="B1729" t="s">
        <v>399</v>
      </c>
      <c r="C1729">
        <v>120</v>
      </c>
      <c r="D1729" t="s">
        <v>400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401</v>
      </c>
      <c r="C1730">
        <v>10</v>
      </c>
      <c r="D1730" t="s">
        <v>107</v>
      </c>
      <c r="E1730" t="s">
        <v>14</v>
      </c>
      <c r="F1730">
        <v>2.0569999999999999</v>
      </c>
      <c r="G1730" t="s">
        <v>15</v>
      </c>
    </row>
    <row r="1731" spans="1:7" x14ac:dyDescent="0.25">
      <c r="A1731">
        <v>145</v>
      </c>
      <c r="B1731" t="s">
        <v>401</v>
      </c>
      <c r="C1731">
        <v>20</v>
      </c>
      <c r="D1731" t="s">
        <v>565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145</v>
      </c>
      <c r="B1732" t="s">
        <v>401</v>
      </c>
      <c r="C1732">
        <v>30</v>
      </c>
      <c r="D1732" t="s">
        <v>99</v>
      </c>
      <c r="E1732" t="s">
        <v>100</v>
      </c>
      <c r="F1732">
        <v>0.38900000000000001</v>
      </c>
      <c r="G1732" t="s">
        <v>13</v>
      </c>
    </row>
    <row r="1733" spans="1:7" x14ac:dyDescent="0.25">
      <c r="A1733">
        <v>145</v>
      </c>
      <c r="B1733" t="s">
        <v>401</v>
      </c>
      <c r="C1733">
        <v>40</v>
      </c>
      <c r="D1733" t="s">
        <v>108</v>
      </c>
      <c r="E1733" t="s">
        <v>14</v>
      </c>
      <c r="F1733">
        <v>13.411</v>
      </c>
      <c r="G1733" t="s">
        <v>13</v>
      </c>
    </row>
    <row r="1734" spans="1:7" x14ac:dyDescent="0.25">
      <c r="A1734">
        <v>145</v>
      </c>
      <c r="B1734" t="s">
        <v>401</v>
      </c>
      <c r="C1734">
        <v>50</v>
      </c>
      <c r="D1734" t="s">
        <v>105</v>
      </c>
      <c r="E1734" t="s">
        <v>14</v>
      </c>
      <c r="F1734">
        <v>82.478999999999999</v>
      </c>
      <c r="G1734" t="s">
        <v>13</v>
      </c>
    </row>
    <row r="1735" spans="1:7" x14ac:dyDescent="0.25">
      <c r="A1735">
        <v>145</v>
      </c>
      <c r="B1735" t="s">
        <v>401</v>
      </c>
      <c r="C1735">
        <v>60</v>
      </c>
      <c r="D1735" t="s">
        <v>106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401</v>
      </c>
      <c r="C1736">
        <v>70</v>
      </c>
      <c r="D1736" t="s">
        <v>104</v>
      </c>
      <c r="E1736" t="s">
        <v>12</v>
      </c>
      <c r="F1736">
        <v>0.109</v>
      </c>
      <c r="G1736" t="s">
        <v>13</v>
      </c>
    </row>
    <row r="1737" spans="1:7" x14ac:dyDescent="0.25">
      <c r="A1737">
        <v>145</v>
      </c>
      <c r="B1737" t="s">
        <v>401</v>
      </c>
      <c r="C1737">
        <v>80</v>
      </c>
      <c r="D1737" t="s">
        <v>111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401</v>
      </c>
      <c r="C1738">
        <v>90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401</v>
      </c>
      <c r="C1739">
        <v>100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401</v>
      </c>
      <c r="C1740">
        <v>110</v>
      </c>
      <c r="D1740" t="s">
        <v>101</v>
      </c>
      <c r="E1740" t="s">
        <v>12</v>
      </c>
      <c r="F1740">
        <v>0.64600000000000002</v>
      </c>
      <c r="G1740" t="s">
        <v>13</v>
      </c>
    </row>
    <row r="1741" spans="1:7" x14ac:dyDescent="0.25">
      <c r="A1741">
        <v>145</v>
      </c>
      <c r="B1741" t="s">
        <v>401</v>
      </c>
      <c r="C1741">
        <v>120</v>
      </c>
      <c r="D1741" t="s">
        <v>402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403</v>
      </c>
      <c r="C1742">
        <v>10</v>
      </c>
      <c r="D1742" t="s">
        <v>107</v>
      </c>
      <c r="E1742" t="s">
        <v>14</v>
      </c>
      <c r="F1742">
        <v>2.0569999999999999</v>
      </c>
      <c r="G1742" t="s">
        <v>15</v>
      </c>
    </row>
    <row r="1743" spans="1:7" x14ac:dyDescent="0.25">
      <c r="A1743">
        <v>146</v>
      </c>
      <c r="B1743" t="s">
        <v>403</v>
      </c>
      <c r="C1743">
        <v>20</v>
      </c>
      <c r="D1743" t="s">
        <v>565</v>
      </c>
      <c r="E1743" t="s">
        <v>14</v>
      </c>
      <c r="F1743">
        <v>2.0569999999999999</v>
      </c>
      <c r="G1743" t="s">
        <v>15</v>
      </c>
    </row>
    <row r="1744" spans="1:7" x14ac:dyDescent="0.25">
      <c r="A1744">
        <v>146</v>
      </c>
      <c r="B1744" t="s">
        <v>403</v>
      </c>
      <c r="C1744">
        <v>30</v>
      </c>
      <c r="D1744" t="s">
        <v>99</v>
      </c>
      <c r="E1744" t="s">
        <v>100</v>
      </c>
      <c r="F1744">
        <v>0.48599999999999999</v>
      </c>
      <c r="G1744" t="s">
        <v>13</v>
      </c>
    </row>
    <row r="1745" spans="1:7" x14ac:dyDescent="0.25">
      <c r="A1745">
        <v>146</v>
      </c>
      <c r="B1745" t="s">
        <v>403</v>
      </c>
      <c r="C1745">
        <v>40</v>
      </c>
      <c r="D1745" t="s">
        <v>108</v>
      </c>
      <c r="E1745" t="s">
        <v>14</v>
      </c>
      <c r="F1745">
        <v>14.63</v>
      </c>
      <c r="G1745" t="s">
        <v>13</v>
      </c>
    </row>
    <row r="1746" spans="1:7" x14ac:dyDescent="0.25">
      <c r="A1746">
        <v>146</v>
      </c>
      <c r="B1746" t="s">
        <v>403</v>
      </c>
      <c r="C1746">
        <v>50</v>
      </c>
      <c r="D1746" t="s">
        <v>105</v>
      </c>
      <c r="E1746" t="s">
        <v>14</v>
      </c>
      <c r="F1746">
        <v>89.977000000000004</v>
      </c>
      <c r="G1746" t="s">
        <v>13</v>
      </c>
    </row>
    <row r="1747" spans="1:7" x14ac:dyDescent="0.25">
      <c r="A1747">
        <v>146</v>
      </c>
      <c r="B1747" t="s">
        <v>403</v>
      </c>
      <c r="C1747">
        <v>60</v>
      </c>
      <c r="D1747" t="s">
        <v>106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403</v>
      </c>
      <c r="C1748">
        <v>70</v>
      </c>
      <c r="D1748" t="s">
        <v>104</v>
      </c>
      <c r="E1748" t="s">
        <v>12</v>
      </c>
      <c r="F1748">
        <v>0.13200000000000001</v>
      </c>
      <c r="G1748" t="s">
        <v>13</v>
      </c>
    </row>
    <row r="1749" spans="1:7" x14ac:dyDescent="0.25">
      <c r="A1749">
        <v>146</v>
      </c>
      <c r="B1749" t="s">
        <v>403</v>
      </c>
      <c r="C1749">
        <v>80</v>
      </c>
      <c r="D1749" t="s">
        <v>111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403</v>
      </c>
      <c r="C1750">
        <v>90</v>
      </c>
      <c r="D1750" t="s">
        <v>18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403</v>
      </c>
      <c r="C1751">
        <v>100</v>
      </c>
      <c r="D1751" t="s">
        <v>19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403</v>
      </c>
      <c r="C1752">
        <v>110</v>
      </c>
      <c r="D1752" t="s">
        <v>101</v>
      </c>
      <c r="E1752" t="s">
        <v>12</v>
      </c>
      <c r="F1752">
        <v>0.64600000000000002</v>
      </c>
      <c r="G1752" t="s">
        <v>13</v>
      </c>
    </row>
    <row r="1753" spans="1:7" x14ac:dyDescent="0.25">
      <c r="A1753">
        <v>146</v>
      </c>
      <c r="B1753" t="s">
        <v>403</v>
      </c>
      <c r="C1753">
        <v>120</v>
      </c>
      <c r="D1753" t="s">
        <v>404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405</v>
      </c>
      <c r="C1754">
        <v>10</v>
      </c>
      <c r="D1754" t="s">
        <v>107</v>
      </c>
      <c r="E1754" t="s">
        <v>14</v>
      </c>
      <c r="F1754">
        <v>2.0569999999999999</v>
      </c>
      <c r="G1754" t="s">
        <v>15</v>
      </c>
    </row>
    <row r="1755" spans="1:7" x14ac:dyDescent="0.25">
      <c r="A1755">
        <v>147</v>
      </c>
      <c r="B1755" t="s">
        <v>405</v>
      </c>
      <c r="C1755">
        <v>20</v>
      </c>
      <c r="D1755" t="s">
        <v>565</v>
      </c>
      <c r="E1755" t="s">
        <v>14</v>
      </c>
      <c r="F1755">
        <v>2.0569999999999999</v>
      </c>
      <c r="G1755" t="s">
        <v>15</v>
      </c>
    </row>
    <row r="1756" spans="1:7" x14ac:dyDescent="0.25">
      <c r="A1756">
        <v>147</v>
      </c>
      <c r="B1756" t="s">
        <v>405</v>
      </c>
      <c r="C1756">
        <v>30</v>
      </c>
      <c r="D1756" t="s">
        <v>99</v>
      </c>
      <c r="E1756" t="s">
        <v>100</v>
      </c>
      <c r="F1756">
        <v>0.53500000000000003</v>
      </c>
      <c r="G1756" t="s">
        <v>13</v>
      </c>
    </row>
    <row r="1757" spans="1:7" x14ac:dyDescent="0.25">
      <c r="A1757">
        <v>147</v>
      </c>
      <c r="B1757" t="s">
        <v>405</v>
      </c>
      <c r="C1757">
        <v>40</v>
      </c>
      <c r="D1757" t="s">
        <v>108</v>
      </c>
      <c r="E1757" t="s">
        <v>14</v>
      </c>
      <c r="F1757">
        <v>15.24</v>
      </c>
      <c r="G1757" t="s">
        <v>13</v>
      </c>
    </row>
    <row r="1758" spans="1:7" x14ac:dyDescent="0.25">
      <c r="A1758">
        <v>147</v>
      </c>
      <c r="B1758" t="s">
        <v>405</v>
      </c>
      <c r="C1758">
        <v>50</v>
      </c>
      <c r="D1758" t="s">
        <v>105</v>
      </c>
      <c r="E1758" t="s">
        <v>14</v>
      </c>
      <c r="F1758">
        <v>93.725999999999999</v>
      </c>
      <c r="G1758" t="s">
        <v>13</v>
      </c>
    </row>
    <row r="1759" spans="1:7" x14ac:dyDescent="0.25">
      <c r="A1759">
        <v>147</v>
      </c>
      <c r="B1759" t="s">
        <v>405</v>
      </c>
      <c r="C1759">
        <v>60</v>
      </c>
      <c r="D1759" t="s">
        <v>106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405</v>
      </c>
      <c r="C1760">
        <v>70</v>
      </c>
      <c r="D1760" t="s">
        <v>104</v>
      </c>
      <c r="E1760" t="s">
        <v>12</v>
      </c>
      <c r="F1760">
        <v>0.14299999999999999</v>
      </c>
      <c r="G1760" t="s">
        <v>13</v>
      </c>
    </row>
    <row r="1761" spans="1:7" x14ac:dyDescent="0.25">
      <c r="A1761">
        <v>147</v>
      </c>
      <c r="B1761" t="s">
        <v>405</v>
      </c>
      <c r="C1761">
        <v>80</v>
      </c>
      <c r="D1761" t="s">
        <v>111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405</v>
      </c>
      <c r="C1762">
        <v>90</v>
      </c>
      <c r="D1762" t="s">
        <v>18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405</v>
      </c>
      <c r="C1763">
        <v>100</v>
      </c>
      <c r="D1763" t="s">
        <v>19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405</v>
      </c>
      <c r="C1764">
        <v>110</v>
      </c>
      <c r="D1764" t="s">
        <v>101</v>
      </c>
      <c r="E1764" t="s">
        <v>12</v>
      </c>
      <c r="F1764">
        <v>0.64600000000000002</v>
      </c>
      <c r="G1764" t="s">
        <v>13</v>
      </c>
    </row>
    <row r="1765" spans="1:7" x14ac:dyDescent="0.25">
      <c r="A1765">
        <v>147</v>
      </c>
      <c r="B1765" t="s">
        <v>405</v>
      </c>
      <c r="C1765">
        <v>120</v>
      </c>
      <c r="D1765" t="s">
        <v>406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407</v>
      </c>
      <c r="C1766">
        <v>10</v>
      </c>
      <c r="D1766" t="s">
        <v>107</v>
      </c>
      <c r="E1766" t="s">
        <v>14</v>
      </c>
      <c r="F1766">
        <v>2.0569999999999999</v>
      </c>
      <c r="G1766" t="s">
        <v>15</v>
      </c>
    </row>
    <row r="1767" spans="1:7" x14ac:dyDescent="0.25">
      <c r="A1767">
        <v>148</v>
      </c>
      <c r="B1767" t="s">
        <v>407</v>
      </c>
      <c r="C1767">
        <v>20</v>
      </c>
      <c r="D1767" t="s">
        <v>565</v>
      </c>
      <c r="E1767" t="s">
        <v>14</v>
      </c>
      <c r="F1767">
        <v>2.0569999999999999</v>
      </c>
      <c r="G1767" t="s">
        <v>15</v>
      </c>
    </row>
    <row r="1768" spans="1:7" x14ac:dyDescent="0.25">
      <c r="A1768">
        <v>148</v>
      </c>
      <c r="B1768" t="s">
        <v>407</v>
      </c>
      <c r="C1768">
        <v>30</v>
      </c>
      <c r="D1768" t="s">
        <v>99</v>
      </c>
      <c r="E1768" t="s">
        <v>100</v>
      </c>
      <c r="F1768">
        <v>0.58299999999999996</v>
      </c>
      <c r="G1768" t="s">
        <v>13</v>
      </c>
    </row>
    <row r="1769" spans="1:7" x14ac:dyDescent="0.25">
      <c r="A1769">
        <v>148</v>
      </c>
      <c r="B1769" t="s">
        <v>407</v>
      </c>
      <c r="C1769">
        <v>40</v>
      </c>
      <c r="D1769" t="s">
        <v>108</v>
      </c>
      <c r="E1769" t="s">
        <v>14</v>
      </c>
      <c r="F1769">
        <v>15.85</v>
      </c>
      <c r="G1769" t="s">
        <v>13</v>
      </c>
    </row>
    <row r="1770" spans="1:7" x14ac:dyDescent="0.25">
      <c r="A1770">
        <v>148</v>
      </c>
      <c r="B1770" t="s">
        <v>407</v>
      </c>
      <c r="C1770">
        <v>50</v>
      </c>
      <c r="D1770" t="s">
        <v>105</v>
      </c>
      <c r="E1770" t="s">
        <v>14</v>
      </c>
      <c r="F1770">
        <v>97.474999999999994</v>
      </c>
      <c r="G1770" t="s">
        <v>13</v>
      </c>
    </row>
    <row r="1771" spans="1:7" x14ac:dyDescent="0.25">
      <c r="A1771">
        <v>148</v>
      </c>
      <c r="B1771" t="s">
        <v>407</v>
      </c>
      <c r="C1771">
        <v>60</v>
      </c>
      <c r="D1771" t="s">
        <v>106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407</v>
      </c>
      <c r="C1772">
        <v>70</v>
      </c>
      <c r="D1772" t="s">
        <v>104</v>
      </c>
      <c r="E1772" t="s">
        <v>12</v>
      </c>
      <c r="F1772">
        <v>0.154</v>
      </c>
      <c r="G1772" t="s">
        <v>13</v>
      </c>
    </row>
    <row r="1773" spans="1:7" x14ac:dyDescent="0.25">
      <c r="A1773">
        <v>148</v>
      </c>
      <c r="B1773" t="s">
        <v>407</v>
      </c>
      <c r="C1773">
        <v>80</v>
      </c>
      <c r="D1773" t="s">
        <v>111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407</v>
      </c>
      <c r="C1774">
        <v>90</v>
      </c>
      <c r="D1774" t="s">
        <v>18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407</v>
      </c>
      <c r="C1775">
        <v>100</v>
      </c>
      <c r="D1775" t="s">
        <v>19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407</v>
      </c>
      <c r="C1776">
        <v>110</v>
      </c>
      <c r="D1776" t="s">
        <v>101</v>
      </c>
      <c r="E1776" t="s">
        <v>12</v>
      </c>
      <c r="F1776">
        <v>0.64600000000000002</v>
      </c>
      <c r="G1776" t="s">
        <v>13</v>
      </c>
    </row>
    <row r="1777" spans="1:7" x14ac:dyDescent="0.25">
      <c r="A1777">
        <v>148</v>
      </c>
      <c r="B1777" t="s">
        <v>407</v>
      </c>
      <c r="C1777">
        <v>120</v>
      </c>
      <c r="D1777" t="s">
        <v>408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409</v>
      </c>
      <c r="C1778">
        <v>10</v>
      </c>
      <c r="D1778" t="s">
        <v>107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409</v>
      </c>
      <c r="C1779">
        <v>20</v>
      </c>
      <c r="D1779" t="s">
        <v>565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409</v>
      </c>
      <c r="C1780">
        <v>30</v>
      </c>
      <c r="D1780" t="s">
        <v>99</v>
      </c>
      <c r="E1780" t="s">
        <v>100</v>
      </c>
      <c r="F1780">
        <v>0.255</v>
      </c>
      <c r="G1780" t="s">
        <v>13</v>
      </c>
    </row>
    <row r="1781" spans="1:7" x14ac:dyDescent="0.25">
      <c r="A1781">
        <v>149</v>
      </c>
      <c r="B1781" t="s">
        <v>409</v>
      </c>
      <c r="C1781">
        <v>40</v>
      </c>
      <c r="D1781" t="s">
        <v>108</v>
      </c>
      <c r="E1781" t="s">
        <v>14</v>
      </c>
      <c r="F1781">
        <v>11.989000000000001</v>
      </c>
      <c r="G1781" t="s">
        <v>13</v>
      </c>
    </row>
    <row r="1782" spans="1:7" x14ac:dyDescent="0.25">
      <c r="A1782">
        <v>149</v>
      </c>
      <c r="B1782" t="s">
        <v>409</v>
      </c>
      <c r="C1782">
        <v>50</v>
      </c>
      <c r="D1782" t="s">
        <v>105</v>
      </c>
      <c r="E1782" t="s">
        <v>14</v>
      </c>
      <c r="F1782">
        <v>73.730999999999995</v>
      </c>
      <c r="G1782" t="s">
        <v>13</v>
      </c>
    </row>
    <row r="1783" spans="1:7" x14ac:dyDescent="0.25">
      <c r="A1783">
        <v>149</v>
      </c>
      <c r="B1783" t="s">
        <v>409</v>
      </c>
      <c r="C1783">
        <v>60</v>
      </c>
      <c r="D1783" t="s">
        <v>106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409</v>
      </c>
      <c r="C1784">
        <v>70</v>
      </c>
      <c r="D1784" t="s">
        <v>104</v>
      </c>
      <c r="E1784" t="s">
        <v>12</v>
      </c>
      <c r="F1784">
        <v>7.4999999999999997E-2</v>
      </c>
      <c r="G1784" t="s">
        <v>13</v>
      </c>
    </row>
    <row r="1785" spans="1:7" x14ac:dyDescent="0.25">
      <c r="A1785">
        <v>149</v>
      </c>
      <c r="B1785" t="s">
        <v>409</v>
      </c>
      <c r="C1785">
        <v>80</v>
      </c>
      <c r="D1785" t="s">
        <v>111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409</v>
      </c>
      <c r="C1786">
        <v>90</v>
      </c>
      <c r="D1786" t="s">
        <v>18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409</v>
      </c>
      <c r="C1787">
        <v>100</v>
      </c>
      <c r="D1787" t="s">
        <v>19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409</v>
      </c>
      <c r="C1788">
        <v>110</v>
      </c>
      <c r="D1788" t="s">
        <v>101</v>
      </c>
      <c r="E1788" t="s">
        <v>12</v>
      </c>
      <c r="F1788">
        <v>0.67600000000000005</v>
      </c>
      <c r="G1788" t="s">
        <v>13</v>
      </c>
    </row>
    <row r="1789" spans="1:7" x14ac:dyDescent="0.25">
      <c r="A1789">
        <v>149</v>
      </c>
      <c r="B1789" t="s">
        <v>409</v>
      </c>
      <c r="C1789">
        <v>120</v>
      </c>
      <c r="D1789" t="s">
        <v>410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411</v>
      </c>
      <c r="C1790">
        <v>10</v>
      </c>
      <c r="D1790" t="s">
        <v>107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411</v>
      </c>
      <c r="C1791">
        <v>20</v>
      </c>
      <c r="D1791" t="s">
        <v>565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411</v>
      </c>
      <c r="C1792">
        <v>30</v>
      </c>
      <c r="D1792" t="s">
        <v>99</v>
      </c>
      <c r="E1792" t="s">
        <v>100</v>
      </c>
      <c r="F1792">
        <v>0.30599999999999999</v>
      </c>
      <c r="G1792" t="s">
        <v>13</v>
      </c>
    </row>
    <row r="1793" spans="1:7" x14ac:dyDescent="0.25">
      <c r="A1793">
        <v>150</v>
      </c>
      <c r="B1793" t="s">
        <v>411</v>
      </c>
      <c r="C1793">
        <v>40</v>
      </c>
      <c r="D1793" t="s">
        <v>108</v>
      </c>
      <c r="E1793" t="s">
        <v>14</v>
      </c>
      <c r="F1793">
        <v>12.598000000000001</v>
      </c>
      <c r="G1793" t="s">
        <v>13</v>
      </c>
    </row>
    <row r="1794" spans="1:7" x14ac:dyDescent="0.25">
      <c r="A1794">
        <v>150</v>
      </c>
      <c r="B1794" t="s">
        <v>411</v>
      </c>
      <c r="C1794">
        <v>50</v>
      </c>
      <c r="D1794" t="s">
        <v>105</v>
      </c>
      <c r="E1794" t="s">
        <v>14</v>
      </c>
      <c r="F1794">
        <v>77.48</v>
      </c>
      <c r="G1794" t="s">
        <v>13</v>
      </c>
    </row>
    <row r="1795" spans="1:7" x14ac:dyDescent="0.25">
      <c r="A1795">
        <v>150</v>
      </c>
      <c r="B1795" t="s">
        <v>411</v>
      </c>
      <c r="C1795">
        <v>60</v>
      </c>
      <c r="D1795" t="s">
        <v>106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411</v>
      </c>
      <c r="C1796">
        <v>70</v>
      </c>
      <c r="D1796" t="s">
        <v>104</v>
      </c>
      <c r="E1796" t="s">
        <v>12</v>
      </c>
      <c r="F1796">
        <v>8.5999999999999993E-2</v>
      </c>
      <c r="G1796" t="s">
        <v>13</v>
      </c>
    </row>
    <row r="1797" spans="1:7" x14ac:dyDescent="0.25">
      <c r="A1797">
        <v>150</v>
      </c>
      <c r="B1797" t="s">
        <v>411</v>
      </c>
      <c r="C1797">
        <v>80</v>
      </c>
      <c r="D1797" t="s">
        <v>111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411</v>
      </c>
      <c r="C1798">
        <v>90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411</v>
      </c>
      <c r="C1799">
        <v>100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411</v>
      </c>
      <c r="C1800">
        <v>110</v>
      </c>
      <c r="D1800" t="s">
        <v>101</v>
      </c>
      <c r="E1800" t="s">
        <v>12</v>
      </c>
      <c r="F1800">
        <v>0.67600000000000005</v>
      </c>
      <c r="G1800" t="s">
        <v>13</v>
      </c>
    </row>
    <row r="1801" spans="1:7" x14ac:dyDescent="0.25">
      <c r="A1801">
        <v>150</v>
      </c>
      <c r="B1801" t="s">
        <v>411</v>
      </c>
      <c r="C1801">
        <v>120</v>
      </c>
      <c r="D1801" t="s">
        <v>412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413</v>
      </c>
      <c r="C1802">
        <v>10</v>
      </c>
      <c r="D1802" t="s">
        <v>107</v>
      </c>
      <c r="E1802" t="s">
        <v>14</v>
      </c>
      <c r="F1802">
        <v>2.1589999999999998</v>
      </c>
      <c r="G1802" t="s">
        <v>15</v>
      </c>
    </row>
    <row r="1803" spans="1:7" x14ac:dyDescent="0.25">
      <c r="A1803">
        <v>151</v>
      </c>
      <c r="B1803" t="s">
        <v>413</v>
      </c>
      <c r="C1803">
        <v>20</v>
      </c>
      <c r="D1803" t="s">
        <v>565</v>
      </c>
      <c r="E1803" t="s">
        <v>14</v>
      </c>
      <c r="F1803">
        <v>2.1589999999999998</v>
      </c>
      <c r="G1803" t="s">
        <v>15</v>
      </c>
    </row>
    <row r="1804" spans="1:7" x14ac:dyDescent="0.25">
      <c r="A1804">
        <v>151</v>
      </c>
      <c r="B1804" t="s">
        <v>413</v>
      </c>
      <c r="C1804">
        <v>30</v>
      </c>
      <c r="D1804" t="s">
        <v>99</v>
      </c>
      <c r="E1804" t="s">
        <v>100</v>
      </c>
      <c r="F1804">
        <v>0.35699999999999998</v>
      </c>
      <c r="G1804" t="s">
        <v>13</v>
      </c>
    </row>
    <row r="1805" spans="1:7" x14ac:dyDescent="0.25">
      <c r="A1805">
        <v>151</v>
      </c>
      <c r="B1805" t="s">
        <v>413</v>
      </c>
      <c r="C1805">
        <v>40</v>
      </c>
      <c r="D1805" t="s">
        <v>108</v>
      </c>
      <c r="E1805" t="s">
        <v>14</v>
      </c>
      <c r="F1805">
        <v>13.208</v>
      </c>
      <c r="G1805" t="s">
        <v>13</v>
      </c>
    </row>
    <row r="1806" spans="1:7" x14ac:dyDescent="0.25">
      <c r="A1806">
        <v>151</v>
      </c>
      <c r="B1806" t="s">
        <v>413</v>
      </c>
      <c r="C1806">
        <v>50</v>
      </c>
      <c r="D1806" t="s">
        <v>105</v>
      </c>
      <c r="E1806" t="s">
        <v>14</v>
      </c>
      <c r="F1806">
        <v>81.228999999999999</v>
      </c>
      <c r="G1806" t="s">
        <v>13</v>
      </c>
    </row>
    <row r="1807" spans="1:7" x14ac:dyDescent="0.25">
      <c r="A1807">
        <v>151</v>
      </c>
      <c r="B1807" t="s">
        <v>413</v>
      </c>
      <c r="C1807">
        <v>60</v>
      </c>
      <c r="D1807" t="s">
        <v>106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413</v>
      </c>
      <c r="C1808">
        <v>70</v>
      </c>
      <c r="D1808" t="s">
        <v>104</v>
      </c>
      <c r="E1808" t="s">
        <v>12</v>
      </c>
      <c r="F1808">
        <v>9.8000000000000004E-2</v>
      </c>
      <c r="G1808" t="s">
        <v>13</v>
      </c>
    </row>
    <row r="1809" spans="1:7" x14ac:dyDescent="0.25">
      <c r="A1809">
        <v>151</v>
      </c>
      <c r="B1809" t="s">
        <v>413</v>
      </c>
      <c r="C1809">
        <v>80</v>
      </c>
      <c r="D1809" t="s">
        <v>111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413</v>
      </c>
      <c r="C1810">
        <v>90</v>
      </c>
      <c r="D1810" t="s">
        <v>18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413</v>
      </c>
      <c r="C1811">
        <v>100</v>
      </c>
      <c r="D1811" t="s">
        <v>19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413</v>
      </c>
      <c r="C1812">
        <v>110</v>
      </c>
      <c r="D1812" t="s">
        <v>101</v>
      </c>
      <c r="E1812" t="s">
        <v>12</v>
      </c>
      <c r="F1812">
        <v>0.67600000000000005</v>
      </c>
      <c r="G1812" t="s">
        <v>13</v>
      </c>
    </row>
    <row r="1813" spans="1:7" x14ac:dyDescent="0.25">
      <c r="A1813">
        <v>151</v>
      </c>
      <c r="B1813" t="s">
        <v>413</v>
      </c>
      <c r="C1813">
        <v>120</v>
      </c>
      <c r="D1813" t="s">
        <v>414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415</v>
      </c>
      <c r="C1814">
        <v>10</v>
      </c>
      <c r="D1814" t="s">
        <v>107</v>
      </c>
      <c r="E1814" t="s">
        <v>14</v>
      </c>
      <c r="F1814">
        <v>2.1589999999999998</v>
      </c>
      <c r="G1814" t="s">
        <v>15</v>
      </c>
    </row>
    <row r="1815" spans="1:7" x14ac:dyDescent="0.25">
      <c r="A1815">
        <v>152</v>
      </c>
      <c r="B1815" t="s">
        <v>415</v>
      </c>
      <c r="C1815">
        <v>20</v>
      </c>
      <c r="D1815" t="s">
        <v>565</v>
      </c>
      <c r="E1815" t="s">
        <v>14</v>
      </c>
      <c r="F1815">
        <v>2.1589999999999998</v>
      </c>
      <c r="G1815" t="s">
        <v>15</v>
      </c>
    </row>
    <row r="1816" spans="1:7" x14ac:dyDescent="0.25">
      <c r="A1816">
        <v>152</v>
      </c>
      <c r="B1816" t="s">
        <v>415</v>
      </c>
      <c r="C1816">
        <v>30</v>
      </c>
      <c r="D1816" t="s">
        <v>99</v>
      </c>
      <c r="E1816" t="s">
        <v>100</v>
      </c>
      <c r="F1816">
        <v>0.40799999999999997</v>
      </c>
      <c r="G1816" t="s">
        <v>13</v>
      </c>
    </row>
    <row r="1817" spans="1:7" x14ac:dyDescent="0.25">
      <c r="A1817">
        <v>152</v>
      </c>
      <c r="B1817" t="s">
        <v>415</v>
      </c>
      <c r="C1817">
        <v>40</v>
      </c>
      <c r="D1817" t="s">
        <v>108</v>
      </c>
      <c r="E1817" t="s">
        <v>14</v>
      </c>
      <c r="F1817">
        <v>13.818</v>
      </c>
      <c r="G1817" t="s">
        <v>13</v>
      </c>
    </row>
    <row r="1818" spans="1:7" x14ac:dyDescent="0.25">
      <c r="A1818">
        <v>152</v>
      </c>
      <c r="B1818" t="s">
        <v>415</v>
      </c>
      <c r="C1818">
        <v>50</v>
      </c>
      <c r="D1818" t="s">
        <v>105</v>
      </c>
      <c r="E1818" t="s">
        <v>14</v>
      </c>
      <c r="F1818">
        <v>84.977999999999994</v>
      </c>
      <c r="G1818" t="s">
        <v>13</v>
      </c>
    </row>
    <row r="1819" spans="1:7" x14ac:dyDescent="0.25">
      <c r="A1819">
        <v>152</v>
      </c>
      <c r="B1819" t="s">
        <v>415</v>
      </c>
      <c r="C1819">
        <v>60</v>
      </c>
      <c r="D1819" t="s">
        <v>106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415</v>
      </c>
      <c r="C1820">
        <v>70</v>
      </c>
      <c r="D1820" t="s">
        <v>104</v>
      </c>
      <c r="E1820" t="s">
        <v>12</v>
      </c>
      <c r="F1820">
        <v>0.109</v>
      </c>
      <c r="G1820" t="s">
        <v>13</v>
      </c>
    </row>
    <row r="1821" spans="1:7" x14ac:dyDescent="0.25">
      <c r="A1821">
        <v>152</v>
      </c>
      <c r="B1821" t="s">
        <v>415</v>
      </c>
      <c r="C1821">
        <v>80</v>
      </c>
      <c r="D1821" t="s">
        <v>111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415</v>
      </c>
      <c r="C1822">
        <v>90</v>
      </c>
      <c r="D1822" t="s">
        <v>18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415</v>
      </c>
      <c r="C1823">
        <v>100</v>
      </c>
      <c r="D1823" t="s">
        <v>19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415</v>
      </c>
      <c r="C1824">
        <v>110</v>
      </c>
      <c r="D1824" t="s">
        <v>101</v>
      </c>
      <c r="E1824" t="s">
        <v>12</v>
      </c>
      <c r="F1824">
        <v>0.67600000000000005</v>
      </c>
      <c r="G1824" t="s">
        <v>13</v>
      </c>
    </row>
    <row r="1825" spans="1:7" x14ac:dyDescent="0.25">
      <c r="A1825">
        <v>152</v>
      </c>
      <c r="B1825" t="s">
        <v>415</v>
      </c>
      <c r="C1825">
        <v>120</v>
      </c>
      <c r="D1825" t="s">
        <v>416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417</v>
      </c>
      <c r="C1826">
        <v>10</v>
      </c>
      <c r="D1826" t="s">
        <v>107</v>
      </c>
      <c r="E1826" t="s">
        <v>14</v>
      </c>
      <c r="F1826">
        <v>2.1589999999999998</v>
      </c>
      <c r="G1826" t="s">
        <v>15</v>
      </c>
    </row>
    <row r="1827" spans="1:7" x14ac:dyDescent="0.25">
      <c r="A1827">
        <v>153</v>
      </c>
      <c r="B1827" t="s">
        <v>417</v>
      </c>
      <c r="C1827">
        <v>20</v>
      </c>
      <c r="D1827" t="s">
        <v>565</v>
      </c>
      <c r="E1827" t="s">
        <v>14</v>
      </c>
      <c r="F1827">
        <v>2.1589999999999998</v>
      </c>
      <c r="G1827" t="s">
        <v>15</v>
      </c>
    </row>
    <row r="1828" spans="1:7" x14ac:dyDescent="0.25">
      <c r="A1828">
        <v>153</v>
      </c>
      <c r="B1828" t="s">
        <v>417</v>
      </c>
      <c r="C1828">
        <v>30</v>
      </c>
      <c r="D1828" t="s">
        <v>99</v>
      </c>
      <c r="E1828" t="s">
        <v>100</v>
      </c>
      <c r="F1828">
        <v>0.51</v>
      </c>
      <c r="G1828" t="s">
        <v>13</v>
      </c>
    </row>
    <row r="1829" spans="1:7" x14ac:dyDescent="0.25">
      <c r="A1829">
        <v>153</v>
      </c>
      <c r="B1829" t="s">
        <v>417</v>
      </c>
      <c r="C1829">
        <v>40</v>
      </c>
      <c r="D1829" t="s">
        <v>108</v>
      </c>
      <c r="E1829" t="s">
        <v>14</v>
      </c>
      <c r="F1829">
        <v>15.037000000000001</v>
      </c>
      <c r="G1829" t="s">
        <v>13</v>
      </c>
    </row>
    <row r="1830" spans="1:7" x14ac:dyDescent="0.25">
      <c r="A1830">
        <v>153</v>
      </c>
      <c r="B1830" t="s">
        <v>417</v>
      </c>
      <c r="C1830">
        <v>50</v>
      </c>
      <c r="D1830" t="s">
        <v>105</v>
      </c>
      <c r="E1830" t="s">
        <v>14</v>
      </c>
      <c r="F1830">
        <v>92.475999999999999</v>
      </c>
      <c r="G1830" t="s">
        <v>13</v>
      </c>
    </row>
    <row r="1831" spans="1:7" x14ac:dyDescent="0.25">
      <c r="A1831">
        <v>153</v>
      </c>
      <c r="B1831" t="s">
        <v>417</v>
      </c>
      <c r="C1831">
        <v>60</v>
      </c>
      <c r="D1831" t="s">
        <v>106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417</v>
      </c>
      <c r="C1832">
        <v>70</v>
      </c>
      <c r="D1832" t="s">
        <v>104</v>
      </c>
      <c r="E1832" t="s">
        <v>12</v>
      </c>
      <c r="F1832">
        <v>0.13200000000000001</v>
      </c>
      <c r="G1832" t="s">
        <v>13</v>
      </c>
    </row>
    <row r="1833" spans="1:7" x14ac:dyDescent="0.25">
      <c r="A1833">
        <v>153</v>
      </c>
      <c r="B1833" t="s">
        <v>417</v>
      </c>
      <c r="C1833">
        <v>80</v>
      </c>
      <c r="D1833" t="s">
        <v>111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417</v>
      </c>
      <c r="C1834">
        <v>90</v>
      </c>
      <c r="D1834" t="s">
        <v>18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417</v>
      </c>
      <c r="C1835">
        <v>100</v>
      </c>
      <c r="D1835" t="s">
        <v>19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417</v>
      </c>
      <c r="C1836">
        <v>110</v>
      </c>
      <c r="D1836" t="s">
        <v>101</v>
      </c>
      <c r="E1836" t="s">
        <v>12</v>
      </c>
      <c r="F1836">
        <v>0.67600000000000005</v>
      </c>
      <c r="G1836" t="s">
        <v>13</v>
      </c>
    </row>
    <row r="1837" spans="1:7" x14ac:dyDescent="0.25">
      <c r="A1837">
        <v>153</v>
      </c>
      <c r="B1837" t="s">
        <v>417</v>
      </c>
      <c r="C1837">
        <v>120</v>
      </c>
      <c r="D1837" t="s">
        <v>418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419</v>
      </c>
      <c r="C1838">
        <v>10</v>
      </c>
      <c r="D1838" t="s">
        <v>107</v>
      </c>
      <c r="E1838" t="s">
        <v>14</v>
      </c>
      <c r="F1838">
        <v>2.1589999999999998</v>
      </c>
      <c r="G1838" t="s">
        <v>15</v>
      </c>
    </row>
    <row r="1839" spans="1:7" x14ac:dyDescent="0.25">
      <c r="A1839">
        <v>154</v>
      </c>
      <c r="B1839" t="s">
        <v>419</v>
      </c>
      <c r="C1839">
        <v>20</v>
      </c>
      <c r="D1839" t="s">
        <v>565</v>
      </c>
      <c r="E1839" t="s">
        <v>14</v>
      </c>
      <c r="F1839">
        <v>2.1589999999999998</v>
      </c>
      <c r="G1839" t="s">
        <v>15</v>
      </c>
    </row>
    <row r="1840" spans="1:7" x14ac:dyDescent="0.25">
      <c r="A1840">
        <v>154</v>
      </c>
      <c r="B1840" t="s">
        <v>419</v>
      </c>
      <c r="C1840">
        <v>30</v>
      </c>
      <c r="D1840" t="s">
        <v>99</v>
      </c>
      <c r="E1840" t="s">
        <v>100</v>
      </c>
      <c r="F1840">
        <v>0.56100000000000005</v>
      </c>
      <c r="G1840" t="s">
        <v>13</v>
      </c>
    </row>
    <row r="1841" spans="1:7" x14ac:dyDescent="0.25">
      <c r="A1841">
        <v>154</v>
      </c>
      <c r="B1841" t="s">
        <v>419</v>
      </c>
      <c r="C1841">
        <v>40</v>
      </c>
      <c r="D1841" t="s">
        <v>108</v>
      </c>
      <c r="E1841" t="s">
        <v>14</v>
      </c>
      <c r="F1841">
        <v>15.646000000000001</v>
      </c>
      <c r="G1841" t="s">
        <v>13</v>
      </c>
    </row>
    <row r="1842" spans="1:7" x14ac:dyDescent="0.25">
      <c r="A1842">
        <v>154</v>
      </c>
      <c r="B1842" t="s">
        <v>419</v>
      </c>
      <c r="C1842">
        <v>50</v>
      </c>
      <c r="D1842" t="s">
        <v>105</v>
      </c>
      <c r="E1842" t="s">
        <v>14</v>
      </c>
      <c r="F1842">
        <v>96.224999999999994</v>
      </c>
      <c r="G1842" t="s">
        <v>13</v>
      </c>
    </row>
    <row r="1843" spans="1:7" x14ac:dyDescent="0.25">
      <c r="A1843">
        <v>154</v>
      </c>
      <c r="B1843" t="s">
        <v>419</v>
      </c>
      <c r="C1843">
        <v>60</v>
      </c>
      <c r="D1843" t="s">
        <v>106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419</v>
      </c>
      <c r="C1844">
        <v>70</v>
      </c>
      <c r="D1844" t="s">
        <v>104</v>
      </c>
      <c r="E1844" t="s">
        <v>12</v>
      </c>
      <c r="F1844">
        <v>0.14299999999999999</v>
      </c>
      <c r="G1844" t="s">
        <v>13</v>
      </c>
    </row>
    <row r="1845" spans="1:7" x14ac:dyDescent="0.25">
      <c r="A1845">
        <v>154</v>
      </c>
      <c r="B1845" t="s">
        <v>419</v>
      </c>
      <c r="C1845">
        <v>80</v>
      </c>
      <c r="D1845" t="s">
        <v>111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419</v>
      </c>
      <c r="C1846">
        <v>90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419</v>
      </c>
      <c r="C1847">
        <v>100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419</v>
      </c>
      <c r="C1848">
        <v>110</v>
      </c>
      <c r="D1848" t="s">
        <v>101</v>
      </c>
      <c r="E1848" t="s">
        <v>12</v>
      </c>
      <c r="F1848">
        <v>0.67600000000000005</v>
      </c>
      <c r="G1848" t="s">
        <v>13</v>
      </c>
    </row>
    <row r="1849" spans="1:7" x14ac:dyDescent="0.25">
      <c r="A1849">
        <v>154</v>
      </c>
      <c r="B1849" t="s">
        <v>419</v>
      </c>
      <c r="C1849">
        <v>120</v>
      </c>
      <c r="D1849" t="s">
        <v>420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421</v>
      </c>
      <c r="C1850">
        <v>10</v>
      </c>
      <c r="D1850" t="s">
        <v>107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155</v>
      </c>
      <c r="B1851" t="s">
        <v>421</v>
      </c>
      <c r="C1851">
        <v>20</v>
      </c>
      <c r="D1851" t="s">
        <v>565</v>
      </c>
      <c r="E1851" t="s">
        <v>14</v>
      </c>
      <c r="F1851">
        <v>2.1589999999999998</v>
      </c>
      <c r="G1851" t="s">
        <v>15</v>
      </c>
    </row>
    <row r="1852" spans="1:7" x14ac:dyDescent="0.25">
      <c r="A1852">
        <v>155</v>
      </c>
      <c r="B1852" t="s">
        <v>421</v>
      </c>
      <c r="C1852">
        <v>30</v>
      </c>
      <c r="D1852" t="s">
        <v>99</v>
      </c>
      <c r="E1852" t="s">
        <v>100</v>
      </c>
      <c r="F1852">
        <v>0.61199999999999999</v>
      </c>
      <c r="G1852" t="s">
        <v>13</v>
      </c>
    </row>
    <row r="1853" spans="1:7" x14ac:dyDescent="0.25">
      <c r="A1853">
        <v>155</v>
      </c>
      <c r="B1853" t="s">
        <v>421</v>
      </c>
      <c r="C1853">
        <v>40</v>
      </c>
      <c r="D1853" t="s">
        <v>108</v>
      </c>
      <c r="E1853" t="s">
        <v>14</v>
      </c>
      <c r="F1853">
        <v>16.256</v>
      </c>
      <c r="G1853" t="s">
        <v>13</v>
      </c>
    </row>
    <row r="1854" spans="1:7" x14ac:dyDescent="0.25">
      <c r="A1854">
        <v>155</v>
      </c>
      <c r="B1854" t="s">
        <v>421</v>
      </c>
      <c r="C1854">
        <v>50</v>
      </c>
      <c r="D1854" t="s">
        <v>105</v>
      </c>
      <c r="E1854" t="s">
        <v>14</v>
      </c>
      <c r="F1854">
        <v>99.974000000000004</v>
      </c>
      <c r="G1854" t="s">
        <v>13</v>
      </c>
    </row>
    <row r="1855" spans="1:7" x14ac:dyDescent="0.25">
      <c r="A1855">
        <v>155</v>
      </c>
      <c r="B1855" t="s">
        <v>421</v>
      </c>
      <c r="C1855">
        <v>60</v>
      </c>
      <c r="D1855" t="s">
        <v>106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421</v>
      </c>
      <c r="C1856">
        <v>70</v>
      </c>
      <c r="D1856" t="s">
        <v>104</v>
      </c>
      <c r="E1856" t="s">
        <v>12</v>
      </c>
      <c r="F1856">
        <v>0.154</v>
      </c>
      <c r="G1856" t="s">
        <v>13</v>
      </c>
    </row>
    <row r="1857" spans="1:7" x14ac:dyDescent="0.25">
      <c r="A1857">
        <v>155</v>
      </c>
      <c r="B1857" t="s">
        <v>421</v>
      </c>
      <c r="C1857">
        <v>80</v>
      </c>
      <c r="D1857" t="s">
        <v>111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421</v>
      </c>
      <c r="C1858">
        <v>90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421</v>
      </c>
      <c r="C1859">
        <v>100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421</v>
      </c>
      <c r="C1860">
        <v>110</v>
      </c>
      <c r="D1860" t="s">
        <v>101</v>
      </c>
      <c r="E1860" t="s">
        <v>12</v>
      </c>
      <c r="F1860">
        <v>0.67600000000000005</v>
      </c>
      <c r="G1860" t="s">
        <v>13</v>
      </c>
    </row>
    <row r="1861" spans="1:7" x14ac:dyDescent="0.25">
      <c r="A1861">
        <v>155</v>
      </c>
      <c r="B1861" t="s">
        <v>421</v>
      </c>
      <c r="C1861">
        <v>120</v>
      </c>
      <c r="D1861" t="s">
        <v>422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423</v>
      </c>
      <c r="C1862">
        <v>10</v>
      </c>
      <c r="D1862" t="s">
        <v>107</v>
      </c>
      <c r="E1862" t="s">
        <v>14</v>
      </c>
      <c r="F1862">
        <v>0.78700000000000003</v>
      </c>
      <c r="G1862" t="s">
        <v>15</v>
      </c>
    </row>
    <row r="1863" spans="1:7" x14ac:dyDescent="0.25">
      <c r="A1863">
        <v>156</v>
      </c>
      <c r="B1863" t="s">
        <v>423</v>
      </c>
      <c r="C1863">
        <v>20</v>
      </c>
      <c r="D1863" t="s">
        <v>565</v>
      </c>
      <c r="E1863" t="s">
        <v>14</v>
      </c>
      <c r="F1863">
        <v>0.78700000000000003</v>
      </c>
      <c r="G1863" t="s">
        <v>15</v>
      </c>
    </row>
    <row r="1864" spans="1:7" x14ac:dyDescent="0.25">
      <c r="A1864">
        <v>156</v>
      </c>
      <c r="B1864" t="s">
        <v>423</v>
      </c>
      <c r="C1864">
        <v>30</v>
      </c>
      <c r="D1864" t="s">
        <v>99</v>
      </c>
      <c r="E1864" t="s">
        <v>100</v>
      </c>
      <c r="F1864">
        <v>0.219</v>
      </c>
      <c r="G1864" t="s">
        <v>13</v>
      </c>
    </row>
    <row r="1865" spans="1:7" x14ac:dyDescent="0.25">
      <c r="A1865">
        <v>156</v>
      </c>
      <c r="B1865" t="s">
        <v>423</v>
      </c>
      <c r="C1865">
        <v>40</v>
      </c>
      <c r="D1865" t="s">
        <v>108</v>
      </c>
      <c r="E1865" t="s">
        <v>14</v>
      </c>
      <c r="F1865">
        <v>10.77</v>
      </c>
      <c r="G1865" t="s">
        <v>13</v>
      </c>
    </row>
    <row r="1866" spans="1:7" x14ac:dyDescent="0.25">
      <c r="A1866">
        <v>156</v>
      </c>
      <c r="B1866" t="s">
        <v>423</v>
      </c>
      <c r="C1866">
        <v>50</v>
      </c>
      <c r="D1866" t="s">
        <v>105</v>
      </c>
      <c r="E1866" t="s">
        <v>14</v>
      </c>
      <c r="F1866">
        <v>66.233000000000004</v>
      </c>
      <c r="G1866" t="s">
        <v>13</v>
      </c>
    </row>
    <row r="1867" spans="1:7" x14ac:dyDescent="0.25">
      <c r="A1867">
        <v>156</v>
      </c>
      <c r="B1867" t="s">
        <v>423</v>
      </c>
      <c r="C1867">
        <v>60</v>
      </c>
      <c r="D1867" t="s">
        <v>106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423</v>
      </c>
      <c r="C1868">
        <v>70</v>
      </c>
      <c r="D1868" t="s">
        <v>104</v>
      </c>
      <c r="E1868" t="s">
        <v>12</v>
      </c>
      <c r="F1868">
        <v>7.6999999999999999E-2</v>
      </c>
      <c r="G1868" t="s">
        <v>13</v>
      </c>
    </row>
    <row r="1869" spans="1:7" x14ac:dyDescent="0.25">
      <c r="A1869">
        <v>156</v>
      </c>
      <c r="B1869" t="s">
        <v>423</v>
      </c>
      <c r="C1869">
        <v>80</v>
      </c>
      <c r="D1869" t="s">
        <v>192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423</v>
      </c>
      <c r="C1870">
        <v>90</v>
      </c>
      <c r="D1870" t="s">
        <v>18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423</v>
      </c>
      <c r="C1871">
        <v>100</v>
      </c>
      <c r="D1871" t="s">
        <v>19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423</v>
      </c>
      <c r="C1872">
        <v>110</v>
      </c>
      <c r="D1872" t="s">
        <v>101</v>
      </c>
      <c r="E1872" t="s">
        <v>12</v>
      </c>
      <c r="F1872">
        <v>0.27800000000000002</v>
      </c>
      <c r="G1872" t="s">
        <v>13</v>
      </c>
    </row>
    <row r="1873" spans="1:7" x14ac:dyDescent="0.25">
      <c r="A1873">
        <v>156</v>
      </c>
      <c r="B1873" t="s">
        <v>423</v>
      </c>
      <c r="C1873">
        <v>120</v>
      </c>
      <c r="D1873" t="s">
        <v>424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425</v>
      </c>
      <c r="C1874">
        <v>10</v>
      </c>
      <c r="D1874" t="s">
        <v>107</v>
      </c>
      <c r="E1874" t="s">
        <v>14</v>
      </c>
      <c r="F1874">
        <v>0.94</v>
      </c>
      <c r="G1874" t="s">
        <v>15</v>
      </c>
    </row>
    <row r="1875" spans="1:7" x14ac:dyDescent="0.25">
      <c r="A1875">
        <v>157</v>
      </c>
      <c r="B1875" t="s">
        <v>425</v>
      </c>
      <c r="C1875">
        <v>20</v>
      </c>
      <c r="D1875" t="s">
        <v>565</v>
      </c>
      <c r="E1875" t="s">
        <v>14</v>
      </c>
      <c r="F1875">
        <v>0.94</v>
      </c>
      <c r="G1875" t="s">
        <v>15</v>
      </c>
    </row>
    <row r="1876" spans="1:7" x14ac:dyDescent="0.25">
      <c r="A1876">
        <v>157</v>
      </c>
      <c r="B1876" t="s">
        <v>425</v>
      </c>
      <c r="C1876">
        <v>30</v>
      </c>
      <c r="D1876" t="s">
        <v>99</v>
      </c>
      <c r="E1876" t="s">
        <v>100</v>
      </c>
      <c r="F1876">
        <v>0.26200000000000001</v>
      </c>
      <c r="G1876" t="s">
        <v>13</v>
      </c>
    </row>
    <row r="1877" spans="1:7" x14ac:dyDescent="0.25">
      <c r="A1877">
        <v>157</v>
      </c>
      <c r="B1877" t="s">
        <v>425</v>
      </c>
      <c r="C1877">
        <v>40</v>
      </c>
      <c r="D1877" t="s">
        <v>108</v>
      </c>
      <c r="E1877" t="s">
        <v>14</v>
      </c>
      <c r="F1877">
        <v>11.379</v>
      </c>
      <c r="G1877" t="s">
        <v>13</v>
      </c>
    </row>
    <row r="1878" spans="1:7" x14ac:dyDescent="0.25">
      <c r="A1878">
        <v>157</v>
      </c>
      <c r="B1878" t="s">
        <v>425</v>
      </c>
      <c r="C1878">
        <v>50</v>
      </c>
      <c r="D1878" t="s">
        <v>105</v>
      </c>
      <c r="E1878" t="s">
        <v>14</v>
      </c>
      <c r="F1878">
        <v>69.981999999999999</v>
      </c>
      <c r="G1878" t="s">
        <v>13</v>
      </c>
    </row>
    <row r="1879" spans="1:7" x14ac:dyDescent="0.25">
      <c r="A1879">
        <v>157</v>
      </c>
      <c r="B1879" t="s">
        <v>425</v>
      </c>
      <c r="C1879">
        <v>60</v>
      </c>
      <c r="D1879" t="s">
        <v>106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425</v>
      </c>
      <c r="C1880">
        <v>70</v>
      </c>
      <c r="D1880" t="s">
        <v>104</v>
      </c>
      <c r="E1880" t="s">
        <v>12</v>
      </c>
      <c r="F1880">
        <v>8.7999999999999995E-2</v>
      </c>
      <c r="G1880" t="s">
        <v>13</v>
      </c>
    </row>
    <row r="1881" spans="1:7" x14ac:dyDescent="0.25">
      <c r="A1881">
        <v>157</v>
      </c>
      <c r="B1881" t="s">
        <v>425</v>
      </c>
      <c r="C1881">
        <v>80</v>
      </c>
      <c r="D1881" t="s">
        <v>192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425</v>
      </c>
      <c r="C1882">
        <v>90</v>
      </c>
      <c r="D1882" t="s">
        <v>18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425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425</v>
      </c>
      <c r="C1884">
        <v>110</v>
      </c>
      <c r="D1884" t="s">
        <v>101</v>
      </c>
      <c r="E1884" t="s">
        <v>12</v>
      </c>
      <c r="F1884">
        <v>0.32300000000000001</v>
      </c>
      <c r="G1884" t="s">
        <v>13</v>
      </c>
    </row>
    <row r="1885" spans="1:7" x14ac:dyDescent="0.25">
      <c r="A1885">
        <v>157</v>
      </c>
      <c r="B1885" t="s">
        <v>425</v>
      </c>
      <c r="C1885">
        <v>120</v>
      </c>
      <c r="D1885" t="s">
        <v>426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427</v>
      </c>
      <c r="C1886">
        <v>10</v>
      </c>
      <c r="D1886" t="s">
        <v>107</v>
      </c>
      <c r="E1886" t="s">
        <v>14</v>
      </c>
      <c r="F1886">
        <v>1.0920000000000001</v>
      </c>
      <c r="G1886" t="s">
        <v>15</v>
      </c>
    </row>
    <row r="1887" spans="1:7" x14ac:dyDescent="0.25">
      <c r="A1887">
        <v>158</v>
      </c>
      <c r="B1887" t="s">
        <v>427</v>
      </c>
      <c r="C1887">
        <v>20</v>
      </c>
      <c r="D1887" t="s">
        <v>565</v>
      </c>
      <c r="E1887" t="s">
        <v>14</v>
      </c>
      <c r="F1887">
        <v>1.0920000000000001</v>
      </c>
      <c r="G1887" t="s">
        <v>15</v>
      </c>
    </row>
    <row r="1888" spans="1:7" x14ac:dyDescent="0.25">
      <c r="A1888">
        <v>158</v>
      </c>
      <c r="B1888" t="s">
        <v>427</v>
      </c>
      <c r="C1888">
        <v>30</v>
      </c>
      <c r="D1888" t="s">
        <v>99</v>
      </c>
      <c r="E1888" t="s">
        <v>100</v>
      </c>
      <c r="F1888">
        <v>0.30599999999999999</v>
      </c>
      <c r="G1888" t="s">
        <v>13</v>
      </c>
    </row>
    <row r="1889" spans="1:7" x14ac:dyDescent="0.25">
      <c r="A1889">
        <v>158</v>
      </c>
      <c r="B1889" t="s">
        <v>427</v>
      </c>
      <c r="C1889">
        <v>40</v>
      </c>
      <c r="D1889" t="s">
        <v>108</v>
      </c>
      <c r="E1889" t="s">
        <v>14</v>
      </c>
      <c r="F1889">
        <v>11.989000000000001</v>
      </c>
      <c r="G1889" t="s">
        <v>13</v>
      </c>
    </row>
    <row r="1890" spans="1:7" x14ac:dyDescent="0.25">
      <c r="A1890">
        <v>158</v>
      </c>
      <c r="B1890" t="s">
        <v>427</v>
      </c>
      <c r="C1890">
        <v>50</v>
      </c>
      <c r="D1890" t="s">
        <v>105</v>
      </c>
      <c r="E1890" t="s">
        <v>14</v>
      </c>
      <c r="F1890">
        <v>73.730999999999995</v>
      </c>
      <c r="G1890" t="s">
        <v>13</v>
      </c>
    </row>
    <row r="1891" spans="1:7" x14ac:dyDescent="0.25">
      <c r="A1891">
        <v>158</v>
      </c>
      <c r="B1891" t="s">
        <v>427</v>
      </c>
      <c r="C1891">
        <v>60</v>
      </c>
      <c r="D1891" t="s">
        <v>106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427</v>
      </c>
      <c r="C1892">
        <v>70</v>
      </c>
      <c r="D1892" t="s">
        <v>104</v>
      </c>
      <c r="E1892" t="s">
        <v>12</v>
      </c>
      <c r="F1892">
        <v>0.1</v>
      </c>
      <c r="G1892" t="s">
        <v>13</v>
      </c>
    </row>
    <row r="1893" spans="1:7" x14ac:dyDescent="0.25">
      <c r="A1893">
        <v>158</v>
      </c>
      <c r="B1893" t="s">
        <v>427</v>
      </c>
      <c r="C1893">
        <v>80</v>
      </c>
      <c r="D1893" t="s">
        <v>192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427</v>
      </c>
      <c r="C1894">
        <v>90</v>
      </c>
      <c r="D1894" t="s">
        <v>18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427</v>
      </c>
      <c r="C1895">
        <v>100</v>
      </c>
      <c r="D1895" t="s">
        <v>19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427</v>
      </c>
      <c r="C1896">
        <v>110</v>
      </c>
      <c r="D1896" t="s">
        <v>101</v>
      </c>
      <c r="E1896" t="s">
        <v>12</v>
      </c>
      <c r="F1896">
        <v>0.36799999999999999</v>
      </c>
      <c r="G1896" t="s">
        <v>13</v>
      </c>
    </row>
    <row r="1897" spans="1:7" x14ac:dyDescent="0.25">
      <c r="A1897">
        <v>158</v>
      </c>
      <c r="B1897" t="s">
        <v>427</v>
      </c>
      <c r="C1897">
        <v>120</v>
      </c>
      <c r="D1897" t="s">
        <v>428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429</v>
      </c>
      <c r="C1898">
        <v>10</v>
      </c>
      <c r="D1898" t="s">
        <v>107</v>
      </c>
      <c r="E1898" t="s">
        <v>14</v>
      </c>
      <c r="F1898">
        <v>1.2450000000000001</v>
      </c>
      <c r="G1898" t="s">
        <v>15</v>
      </c>
    </row>
    <row r="1899" spans="1:7" x14ac:dyDescent="0.25">
      <c r="A1899">
        <v>159</v>
      </c>
      <c r="B1899" t="s">
        <v>429</v>
      </c>
      <c r="C1899">
        <v>20</v>
      </c>
      <c r="D1899" t="s">
        <v>565</v>
      </c>
      <c r="E1899" t="s">
        <v>14</v>
      </c>
      <c r="F1899">
        <v>1.2450000000000001</v>
      </c>
      <c r="G1899" t="s">
        <v>15</v>
      </c>
    </row>
    <row r="1900" spans="1:7" x14ac:dyDescent="0.25">
      <c r="A1900">
        <v>159</v>
      </c>
      <c r="B1900" t="s">
        <v>429</v>
      </c>
      <c r="C1900">
        <v>30</v>
      </c>
      <c r="D1900" t="s">
        <v>99</v>
      </c>
      <c r="E1900" t="s">
        <v>100</v>
      </c>
      <c r="F1900">
        <v>0.35</v>
      </c>
      <c r="G1900" t="s">
        <v>13</v>
      </c>
    </row>
    <row r="1901" spans="1:7" x14ac:dyDescent="0.25">
      <c r="A1901">
        <v>159</v>
      </c>
      <c r="B1901" t="s">
        <v>429</v>
      </c>
      <c r="C1901">
        <v>40</v>
      </c>
      <c r="D1901" t="s">
        <v>108</v>
      </c>
      <c r="E1901" t="s">
        <v>14</v>
      </c>
      <c r="F1901">
        <v>12.598000000000001</v>
      </c>
      <c r="G1901" t="s">
        <v>13</v>
      </c>
    </row>
    <row r="1902" spans="1:7" x14ac:dyDescent="0.25">
      <c r="A1902">
        <v>159</v>
      </c>
      <c r="B1902" t="s">
        <v>429</v>
      </c>
      <c r="C1902">
        <v>50</v>
      </c>
      <c r="D1902" t="s">
        <v>105</v>
      </c>
      <c r="E1902" t="s">
        <v>14</v>
      </c>
      <c r="F1902">
        <v>77.48</v>
      </c>
      <c r="G1902" t="s">
        <v>13</v>
      </c>
    </row>
    <row r="1903" spans="1:7" x14ac:dyDescent="0.25">
      <c r="A1903">
        <v>159</v>
      </c>
      <c r="B1903" t="s">
        <v>429</v>
      </c>
      <c r="C1903">
        <v>60</v>
      </c>
      <c r="D1903" t="s">
        <v>106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429</v>
      </c>
      <c r="C1904">
        <v>70</v>
      </c>
      <c r="D1904" t="s">
        <v>104</v>
      </c>
      <c r="E1904" t="s">
        <v>12</v>
      </c>
      <c r="F1904">
        <v>0.111</v>
      </c>
      <c r="G1904" t="s">
        <v>13</v>
      </c>
    </row>
    <row r="1905" spans="1:7" x14ac:dyDescent="0.25">
      <c r="A1905">
        <v>159</v>
      </c>
      <c r="B1905" t="s">
        <v>429</v>
      </c>
      <c r="C1905">
        <v>80</v>
      </c>
      <c r="D1905" t="s">
        <v>192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429</v>
      </c>
      <c r="C1906">
        <v>90</v>
      </c>
      <c r="D1906" t="s">
        <v>18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429</v>
      </c>
      <c r="C1907">
        <v>100</v>
      </c>
      <c r="D1907" t="s">
        <v>19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429</v>
      </c>
      <c r="C1908">
        <v>110</v>
      </c>
      <c r="D1908" t="s">
        <v>101</v>
      </c>
      <c r="E1908" t="s">
        <v>12</v>
      </c>
      <c r="F1908">
        <v>0.41299999999999998</v>
      </c>
      <c r="G1908" t="s">
        <v>13</v>
      </c>
    </row>
    <row r="1909" spans="1:7" x14ac:dyDescent="0.25">
      <c r="A1909">
        <v>159</v>
      </c>
      <c r="B1909" t="s">
        <v>429</v>
      </c>
      <c r="C1909">
        <v>120</v>
      </c>
      <c r="D1909" t="s">
        <v>430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431</v>
      </c>
      <c r="C1910">
        <v>10</v>
      </c>
      <c r="D1910" t="s">
        <v>107</v>
      </c>
      <c r="E1910" t="s">
        <v>14</v>
      </c>
      <c r="F1910">
        <v>1.5489999999999999</v>
      </c>
      <c r="G1910" t="s">
        <v>15</v>
      </c>
    </row>
    <row r="1911" spans="1:7" x14ac:dyDescent="0.25">
      <c r="A1911">
        <v>160</v>
      </c>
      <c r="B1911" t="s">
        <v>431</v>
      </c>
      <c r="C1911">
        <v>20</v>
      </c>
      <c r="D1911" t="s">
        <v>565</v>
      </c>
      <c r="E1911" t="s">
        <v>14</v>
      </c>
      <c r="F1911">
        <v>1.5489999999999999</v>
      </c>
      <c r="G1911" t="s">
        <v>15</v>
      </c>
    </row>
    <row r="1912" spans="1:7" x14ac:dyDescent="0.25">
      <c r="A1912">
        <v>160</v>
      </c>
      <c r="B1912" t="s">
        <v>431</v>
      </c>
      <c r="C1912">
        <v>30</v>
      </c>
      <c r="D1912" t="s">
        <v>99</v>
      </c>
      <c r="E1912" t="s">
        <v>100</v>
      </c>
      <c r="F1912">
        <v>0.437</v>
      </c>
      <c r="G1912" t="s">
        <v>13</v>
      </c>
    </row>
    <row r="1913" spans="1:7" x14ac:dyDescent="0.25">
      <c r="A1913">
        <v>160</v>
      </c>
      <c r="B1913" t="s">
        <v>431</v>
      </c>
      <c r="C1913">
        <v>40</v>
      </c>
      <c r="D1913" t="s">
        <v>108</v>
      </c>
      <c r="E1913" t="s">
        <v>14</v>
      </c>
      <c r="F1913">
        <v>13.818</v>
      </c>
      <c r="G1913" t="s">
        <v>13</v>
      </c>
    </row>
    <row r="1914" spans="1:7" x14ac:dyDescent="0.25">
      <c r="A1914">
        <v>160</v>
      </c>
      <c r="B1914" t="s">
        <v>431</v>
      </c>
      <c r="C1914">
        <v>50</v>
      </c>
      <c r="D1914" t="s">
        <v>105</v>
      </c>
      <c r="E1914" t="s">
        <v>14</v>
      </c>
      <c r="F1914">
        <v>84.977999999999994</v>
      </c>
      <c r="G1914" t="s">
        <v>13</v>
      </c>
    </row>
    <row r="1915" spans="1:7" x14ac:dyDescent="0.25">
      <c r="A1915">
        <v>160</v>
      </c>
      <c r="B1915" t="s">
        <v>431</v>
      </c>
      <c r="C1915">
        <v>60</v>
      </c>
      <c r="D1915" t="s">
        <v>106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431</v>
      </c>
      <c r="C1916">
        <v>70</v>
      </c>
      <c r="D1916" t="s">
        <v>104</v>
      </c>
      <c r="E1916" t="s">
        <v>12</v>
      </c>
      <c r="F1916">
        <v>0.13300000000000001</v>
      </c>
      <c r="G1916" t="s">
        <v>13</v>
      </c>
    </row>
    <row r="1917" spans="1:7" x14ac:dyDescent="0.25">
      <c r="A1917">
        <v>160</v>
      </c>
      <c r="B1917" t="s">
        <v>431</v>
      </c>
      <c r="C1917">
        <v>80</v>
      </c>
      <c r="D1917" t="s">
        <v>192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431</v>
      </c>
      <c r="C1918">
        <v>90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431</v>
      </c>
      <c r="C1919">
        <v>100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431</v>
      </c>
      <c r="C1920">
        <v>110</v>
      </c>
      <c r="D1920" t="s">
        <v>101</v>
      </c>
      <c r="E1920" t="s">
        <v>12</v>
      </c>
      <c r="F1920">
        <v>0.503</v>
      </c>
      <c r="G1920" t="s">
        <v>13</v>
      </c>
    </row>
    <row r="1921" spans="1:7" x14ac:dyDescent="0.25">
      <c r="A1921">
        <v>160</v>
      </c>
      <c r="B1921" t="s">
        <v>431</v>
      </c>
      <c r="C1921">
        <v>120</v>
      </c>
      <c r="D1921" t="s">
        <v>432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433</v>
      </c>
      <c r="C1922">
        <v>10</v>
      </c>
      <c r="D1922" t="s">
        <v>107</v>
      </c>
      <c r="E1922" t="s">
        <v>14</v>
      </c>
      <c r="F1922">
        <v>1.702</v>
      </c>
      <c r="G1922" t="s">
        <v>15</v>
      </c>
    </row>
    <row r="1923" spans="1:7" x14ac:dyDescent="0.25">
      <c r="A1923">
        <v>161</v>
      </c>
      <c r="B1923" t="s">
        <v>433</v>
      </c>
      <c r="C1923">
        <v>20</v>
      </c>
      <c r="D1923" t="s">
        <v>565</v>
      </c>
      <c r="E1923" t="s">
        <v>14</v>
      </c>
      <c r="F1923">
        <v>1.702</v>
      </c>
      <c r="G1923" t="s">
        <v>15</v>
      </c>
    </row>
    <row r="1924" spans="1:7" x14ac:dyDescent="0.25">
      <c r="A1924">
        <v>161</v>
      </c>
      <c r="B1924" t="s">
        <v>433</v>
      </c>
      <c r="C1924">
        <v>30</v>
      </c>
      <c r="D1924" t="s">
        <v>99</v>
      </c>
      <c r="E1924" t="s">
        <v>100</v>
      </c>
      <c r="F1924">
        <v>0.48099999999999998</v>
      </c>
      <c r="G1924" t="s">
        <v>13</v>
      </c>
    </row>
    <row r="1925" spans="1:7" x14ac:dyDescent="0.25">
      <c r="A1925">
        <v>161</v>
      </c>
      <c r="B1925" t="s">
        <v>433</v>
      </c>
      <c r="C1925">
        <v>40</v>
      </c>
      <c r="D1925" t="s">
        <v>108</v>
      </c>
      <c r="E1925" t="s">
        <v>14</v>
      </c>
      <c r="F1925">
        <v>14.427</v>
      </c>
      <c r="G1925" t="s">
        <v>13</v>
      </c>
    </row>
    <row r="1926" spans="1:7" x14ac:dyDescent="0.25">
      <c r="A1926">
        <v>161</v>
      </c>
      <c r="B1926" t="s">
        <v>433</v>
      </c>
      <c r="C1926">
        <v>50</v>
      </c>
      <c r="D1926" t="s">
        <v>105</v>
      </c>
      <c r="E1926" t="s">
        <v>14</v>
      </c>
      <c r="F1926">
        <v>88.727000000000004</v>
      </c>
      <c r="G1926" t="s">
        <v>13</v>
      </c>
    </row>
    <row r="1927" spans="1:7" x14ac:dyDescent="0.25">
      <c r="A1927">
        <v>161</v>
      </c>
      <c r="B1927" t="s">
        <v>433</v>
      </c>
      <c r="C1927">
        <v>60</v>
      </c>
      <c r="D1927" t="s">
        <v>106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433</v>
      </c>
      <c r="C1928">
        <v>70</v>
      </c>
      <c r="D1928" t="s">
        <v>104</v>
      </c>
      <c r="E1928" t="s">
        <v>12</v>
      </c>
      <c r="F1928">
        <v>0.14499999999999999</v>
      </c>
      <c r="G1928" t="s">
        <v>13</v>
      </c>
    </row>
    <row r="1929" spans="1:7" x14ac:dyDescent="0.25">
      <c r="A1929">
        <v>161</v>
      </c>
      <c r="B1929" t="s">
        <v>433</v>
      </c>
      <c r="C1929">
        <v>80</v>
      </c>
      <c r="D1929" t="s">
        <v>192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433</v>
      </c>
      <c r="C1930">
        <v>90</v>
      </c>
      <c r="D1930" t="s">
        <v>18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433</v>
      </c>
      <c r="C1931">
        <v>100</v>
      </c>
      <c r="D1931" t="s">
        <v>19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433</v>
      </c>
      <c r="C1932">
        <v>110</v>
      </c>
      <c r="D1932" t="s">
        <v>101</v>
      </c>
      <c r="E1932" t="s">
        <v>12</v>
      </c>
      <c r="F1932">
        <v>0.54800000000000004</v>
      </c>
      <c r="G1932" t="s">
        <v>13</v>
      </c>
    </row>
    <row r="1933" spans="1:7" x14ac:dyDescent="0.25">
      <c r="A1933">
        <v>161</v>
      </c>
      <c r="B1933" t="s">
        <v>433</v>
      </c>
      <c r="C1933">
        <v>120</v>
      </c>
      <c r="D1933" t="s">
        <v>434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435</v>
      </c>
      <c r="C1934">
        <v>10</v>
      </c>
      <c r="D1934" t="s">
        <v>107</v>
      </c>
      <c r="E1934" t="s">
        <v>14</v>
      </c>
      <c r="F1934">
        <v>1.8540000000000001</v>
      </c>
      <c r="G1934" t="s">
        <v>15</v>
      </c>
    </row>
    <row r="1935" spans="1:7" x14ac:dyDescent="0.25">
      <c r="A1935">
        <v>162</v>
      </c>
      <c r="B1935" t="s">
        <v>435</v>
      </c>
      <c r="C1935">
        <v>20</v>
      </c>
      <c r="D1935" t="s">
        <v>565</v>
      </c>
      <c r="E1935" t="s">
        <v>14</v>
      </c>
      <c r="F1935">
        <v>1.8540000000000001</v>
      </c>
      <c r="G1935" t="s">
        <v>15</v>
      </c>
    </row>
    <row r="1936" spans="1:7" x14ac:dyDescent="0.25">
      <c r="A1936">
        <v>162</v>
      </c>
      <c r="B1936" t="s">
        <v>435</v>
      </c>
      <c r="C1936">
        <v>30</v>
      </c>
      <c r="D1936" t="s">
        <v>99</v>
      </c>
      <c r="E1936" t="s">
        <v>100</v>
      </c>
      <c r="F1936">
        <v>0.52500000000000002</v>
      </c>
      <c r="G1936" t="s">
        <v>13</v>
      </c>
    </row>
    <row r="1937" spans="1:7" x14ac:dyDescent="0.25">
      <c r="A1937">
        <v>162</v>
      </c>
      <c r="B1937" t="s">
        <v>435</v>
      </c>
      <c r="C1937">
        <v>40</v>
      </c>
      <c r="D1937" t="s">
        <v>108</v>
      </c>
      <c r="E1937" t="s">
        <v>14</v>
      </c>
      <c r="F1937">
        <v>15.037000000000001</v>
      </c>
      <c r="G1937" t="s">
        <v>13</v>
      </c>
    </row>
    <row r="1938" spans="1:7" x14ac:dyDescent="0.25">
      <c r="A1938">
        <v>162</v>
      </c>
      <c r="B1938" t="s">
        <v>435</v>
      </c>
      <c r="C1938">
        <v>50</v>
      </c>
      <c r="D1938" t="s">
        <v>105</v>
      </c>
      <c r="E1938" t="s">
        <v>14</v>
      </c>
      <c r="F1938">
        <v>92.475999999999999</v>
      </c>
      <c r="G1938" t="s">
        <v>13</v>
      </c>
    </row>
    <row r="1939" spans="1:7" x14ac:dyDescent="0.25">
      <c r="A1939">
        <v>162</v>
      </c>
      <c r="B1939" t="s">
        <v>435</v>
      </c>
      <c r="C1939">
        <v>60</v>
      </c>
      <c r="D1939" t="s">
        <v>106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435</v>
      </c>
      <c r="C1940">
        <v>70</v>
      </c>
      <c r="D1940" t="s">
        <v>104</v>
      </c>
      <c r="E1940" t="s">
        <v>12</v>
      </c>
      <c r="F1940">
        <v>0.156</v>
      </c>
      <c r="G1940" t="s">
        <v>13</v>
      </c>
    </row>
    <row r="1941" spans="1:7" x14ac:dyDescent="0.25">
      <c r="A1941">
        <v>162</v>
      </c>
      <c r="B1941" t="s">
        <v>435</v>
      </c>
      <c r="C1941">
        <v>80</v>
      </c>
      <c r="D1941" t="s">
        <v>192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435</v>
      </c>
      <c r="C1942">
        <v>90</v>
      </c>
      <c r="D1942" t="s">
        <v>18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435</v>
      </c>
      <c r="C1943">
        <v>100</v>
      </c>
      <c r="D1943" t="s">
        <v>19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435</v>
      </c>
      <c r="C1944">
        <v>110</v>
      </c>
      <c r="D1944" t="s">
        <v>101</v>
      </c>
      <c r="E1944" t="s">
        <v>12</v>
      </c>
      <c r="F1944">
        <v>0.59299999999999997</v>
      </c>
      <c r="G1944" t="s">
        <v>13</v>
      </c>
    </row>
    <row r="1945" spans="1:7" x14ac:dyDescent="0.25">
      <c r="A1945">
        <v>162</v>
      </c>
      <c r="B1945" t="s">
        <v>435</v>
      </c>
      <c r="C1945">
        <v>120</v>
      </c>
      <c r="D1945" t="s">
        <v>436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437</v>
      </c>
      <c r="C1946">
        <v>10</v>
      </c>
      <c r="D1946" t="s">
        <v>107</v>
      </c>
      <c r="E1946" t="s">
        <v>14</v>
      </c>
      <c r="F1946">
        <v>0.78700000000000003</v>
      </c>
      <c r="G1946" t="s">
        <v>15</v>
      </c>
    </row>
    <row r="1947" spans="1:7" x14ac:dyDescent="0.25">
      <c r="A1947">
        <v>163</v>
      </c>
      <c r="B1947" t="s">
        <v>437</v>
      </c>
      <c r="C1947">
        <v>20</v>
      </c>
      <c r="D1947" t="s">
        <v>565</v>
      </c>
      <c r="E1947" t="s">
        <v>14</v>
      </c>
      <c r="F1947">
        <v>0.78700000000000003</v>
      </c>
      <c r="G1947" t="s">
        <v>15</v>
      </c>
    </row>
    <row r="1948" spans="1:7" x14ac:dyDescent="0.25">
      <c r="A1948">
        <v>163</v>
      </c>
      <c r="B1948" t="s">
        <v>437</v>
      </c>
      <c r="C1948">
        <v>30</v>
      </c>
      <c r="D1948" t="s">
        <v>99</v>
      </c>
      <c r="E1948" t="s">
        <v>100</v>
      </c>
      <c r="F1948">
        <v>0.22800000000000001</v>
      </c>
      <c r="G1948" t="s">
        <v>13</v>
      </c>
    </row>
    <row r="1949" spans="1:7" x14ac:dyDescent="0.25">
      <c r="A1949">
        <v>163</v>
      </c>
      <c r="B1949" t="s">
        <v>437</v>
      </c>
      <c r="C1949">
        <v>40</v>
      </c>
      <c r="D1949" t="s">
        <v>108</v>
      </c>
      <c r="E1949" t="s">
        <v>14</v>
      </c>
      <c r="F1949">
        <v>11.074</v>
      </c>
      <c r="G1949" t="s">
        <v>13</v>
      </c>
    </row>
    <row r="1950" spans="1:7" x14ac:dyDescent="0.25">
      <c r="A1950">
        <v>163</v>
      </c>
      <c r="B1950" t="s">
        <v>437</v>
      </c>
      <c r="C1950">
        <v>50</v>
      </c>
      <c r="D1950" t="s">
        <v>105</v>
      </c>
      <c r="E1950" t="s">
        <v>14</v>
      </c>
      <c r="F1950">
        <v>68.108000000000004</v>
      </c>
      <c r="G1950" t="s">
        <v>13</v>
      </c>
    </row>
    <row r="1951" spans="1:7" x14ac:dyDescent="0.25">
      <c r="A1951">
        <v>163</v>
      </c>
      <c r="B1951" t="s">
        <v>437</v>
      </c>
      <c r="C1951">
        <v>60</v>
      </c>
      <c r="D1951" t="s">
        <v>106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437</v>
      </c>
      <c r="C1952">
        <v>70</v>
      </c>
      <c r="D1952" t="s">
        <v>104</v>
      </c>
      <c r="E1952" t="s">
        <v>12</v>
      </c>
      <c r="F1952">
        <v>7.6999999999999999E-2</v>
      </c>
      <c r="G1952" t="s">
        <v>13</v>
      </c>
    </row>
    <row r="1953" spans="1:7" x14ac:dyDescent="0.25">
      <c r="A1953">
        <v>163</v>
      </c>
      <c r="B1953" t="s">
        <v>437</v>
      </c>
      <c r="C1953">
        <v>80</v>
      </c>
      <c r="D1953" t="s">
        <v>192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437</v>
      </c>
      <c r="C1954">
        <v>90</v>
      </c>
      <c r="D1954" t="s">
        <v>18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437</v>
      </c>
      <c r="C1955">
        <v>100</v>
      </c>
      <c r="D1955" t="s">
        <v>19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437</v>
      </c>
      <c r="C1956">
        <v>110</v>
      </c>
      <c r="D1956" t="s">
        <v>101</v>
      </c>
      <c r="E1956" t="s">
        <v>12</v>
      </c>
      <c r="F1956">
        <v>0.27800000000000002</v>
      </c>
      <c r="G1956" t="s">
        <v>13</v>
      </c>
    </row>
    <row r="1957" spans="1:7" x14ac:dyDescent="0.25">
      <c r="A1957">
        <v>163</v>
      </c>
      <c r="B1957" t="s">
        <v>437</v>
      </c>
      <c r="C1957">
        <v>120</v>
      </c>
      <c r="D1957" t="s">
        <v>438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439</v>
      </c>
      <c r="C1958">
        <v>10</v>
      </c>
      <c r="D1958" t="s">
        <v>107</v>
      </c>
      <c r="E1958" t="s">
        <v>14</v>
      </c>
      <c r="F1958">
        <v>0.94</v>
      </c>
      <c r="G1958" t="s">
        <v>15</v>
      </c>
    </row>
    <row r="1959" spans="1:7" x14ac:dyDescent="0.25">
      <c r="A1959">
        <v>164</v>
      </c>
      <c r="B1959" t="s">
        <v>439</v>
      </c>
      <c r="C1959">
        <v>20</v>
      </c>
      <c r="D1959" t="s">
        <v>565</v>
      </c>
      <c r="E1959" t="s">
        <v>14</v>
      </c>
      <c r="F1959">
        <v>0.94</v>
      </c>
      <c r="G1959" t="s">
        <v>15</v>
      </c>
    </row>
    <row r="1960" spans="1:7" x14ac:dyDescent="0.25">
      <c r="A1960">
        <v>164</v>
      </c>
      <c r="B1960" t="s">
        <v>439</v>
      </c>
      <c r="C1960">
        <v>30</v>
      </c>
      <c r="D1960" t="s">
        <v>99</v>
      </c>
      <c r="E1960" t="s">
        <v>100</v>
      </c>
      <c r="F1960">
        <v>0.27300000000000002</v>
      </c>
      <c r="G1960" t="s">
        <v>13</v>
      </c>
    </row>
    <row r="1961" spans="1:7" x14ac:dyDescent="0.25">
      <c r="A1961">
        <v>164</v>
      </c>
      <c r="B1961" t="s">
        <v>439</v>
      </c>
      <c r="C1961">
        <v>40</v>
      </c>
      <c r="D1961" t="s">
        <v>108</v>
      </c>
      <c r="E1961" t="s">
        <v>14</v>
      </c>
      <c r="F1961">
        <v>11.683999999999999</v>
      </c>
      <c r="G1961" t="s">
        <v>13</v>
      </c>
    </row>
    <row r="1962" spans="1:7" x14ac:dyDescent="0.25">
      <c r="A1962">
        <v>164</v>
      </c>
      <c r="B1962" t="s">
        <v>439</v>
      </c>
      <c r="C1962">
        <v>50</v>
      </c>
      <c r="D1962" t="s">
        <v>105</v>
      </c>
      <c r="E1962" t="s">
        <v>14</v>
      </c>
      <c r="F1962">
        <v>71.856999999999999</v>
      </c>
      <c r="G1962" t="s">
        <v>13</v>
      </c>
    </row>
    <row r="1963" spans="1:7" x14ac:dyDescent="0.25">
      <c r="A1963">
        <v>164</v>
      </c>
      <c r="B1963" t="s">
        <v>439</v>
      </c>
      <c r="C1963">
        <v>60</v>
      </c>
      <c r="D1963" t="s">
        <v>106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439</v>
      </c>
      <c r="C1964">
        <v>70</v>
      </c>
      <c r="D1964" t="s">
        <v>104</v>
      </c>
      <c r="E1964" t="s">
        <v>12</v>
      </c>
      <c r="F1964">
        <v>8.7999999999999995E-2</v>
      </c>
      <c r="G1964" t="s">
        <v>13</v>
      </c>
    </row>
    <row r="1965" spans="1:7" x14ac:dyDescent="0.25">
      <c r="A1965">
        <v>164</v>
      </c>
      <c r="B1965" t="s">
        <v>439</v>
      </c>
      <c r="C1965">
        <v>80</v>
      </c>
      <c r="D1965" t="s">
        <v>192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439</v>
      </c>
      <c r="C1966">
        <v>90</v>
      </c>
      <c r="D1966" t="s">
        <v>18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439</v>
      </c>
      <c r="C1967">
        <v>100</v>
      </c>
      <c r="D1967" t="s">
        <v>19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439</v>
      </c>
      <c r="C1968">
        <v>110</v>
      </c>
      <c r="D1968" t="s">
        <v>101</v>
      </c>
      <c r="E1968" t="s">
        <v>12</v>
      </c>
      <c r="F1968">
        <v>0.32300000000000001</v>
      </c>
      <c r="G1968" t="s">
        <v>13</v>
      </c>
    </row>
    <row r="1969" spans="1:7" x14ac:dyDescent="0.25">
      <c r="A1969">
        <v>164</v>
      </c>
      <c r="B1969" t="s">
        <v>439</v>
      </c>
      <c r="C1969">
        <v>120</v>
      </c>
      <c r="D1969" t="s">
        <v>440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441</v>
      </c>
      <c r="C1970">
        <v>10</v>
      </c>
      <c r="D1970" t="s">
        <v>107</v>
      </c>
      <c r="E1970" t="s">
        <v>14</v>
      </c>
      <c r="F1970">
        <v>1.0920000000000001</v>
      </c>
      <c r="G1970" t="s">
        <v>15</v>
      </c>
    </row>
    <row r="1971" spans="1:7" x14ac:dyDescent="0.25">
      <c r="A1971">
        <v>165</v>
      </c>
      <c r="B1971" t="s">
        <v>441</v>
      </c>
      <c r="C1971">
        <v>20</v>
      </c>
      <c r="D1971" t="s">
        <v>565</v>
      </c>
      <c r="E1971" t="s">
        <v>14</v>
      </c>
      <c r="F1971">
        <v>1.0920000000000001</v>
      </c>
      <c r="G1971" t="s">
        <v>15</v>
      </c>
    </row>
    <row r="1972" spans="1:7" x14ac:dyDescent="0.25">
      <c r="A1972">
        <v>165</v>
      </c>
      <c r="B1972" t="s">
        <v>441</v>
      </c>
      <c r="C1972">
        <v>30</v>
      </c>
      <c r="D1972" t="s">
        <v>99</v>
      </c>
      <c r="E1972" t="s">
        <v>100</v>
      </c>
      <c r="F1972">
        <v>0.31900000000000001</v>
      </c>
      <c r="G1972" t="s">
        <v>13</v>
      </c>
    </row>
    <row r="1973" spans="1:7" x14ac:dyDescent="0.25">
      <c r="A1973">
        <v>165</v>
      </c>
      <c r="B1973" t="s">
        <v>441</v>
      </c>
      <c r="C1973">
        <v>40</v>
      </c>
      <c r="D1973" t="s">
        <v>108</v>
      </c>
      <c r="E1973" t="s">
        <v>14</v>
      </c>
      <c r="F1973">
        <v>12.294</v>
      </c>
      <c r="G1973" t="s">
        <v>13</v>
      </c>
    </row>
    <row r="1974" spans="1:7" x14ac:dyDescent="0.25">
      <c r="A1974">
        <v>165</v>
      </c>
      <c r="B1974" t="s">
        <v>441</v>
      </c>
      <c r="C1974">
        <v>50</v>
      </c>
      <c r="D1974" t="s">
        <v>105</v>
      </c>
      <c r="E1974" t="s">
        <v>14</v>
      </c>
      <c r="F1974">
        <v>75.605999999999995</v>
      </c>
      <c r="G1974" t="s">
        <v>13</v>
      </c>
    </row>
    <row r="1975" spans="1:7" x14ac:dyDescent="0.25">
      <c r="A1975">
        <v>165</v>
      </c>
      <c r="B1975" t="s">
        <v>441</v>
      </c>
      <c r="C1975">
        <v>60</v>
      </c>
      <c r="D1975" t="s">
        <v>106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441</v>
      </c>
      <c r="C1976">
        <v>70</v>
      </c>
      <c r="D1976" t="s">
        <v>104</v>
      </c>
      <c r="E1976" t="s">
        <v>12</v>
      </c>
      <c r="F1976">
        <v>0.1</v>
      </c>
      <c r="G1976" t="s">
        <v>13</v>
      </c>
    </row>
    <row r="1977" spans="1:7" x14ac:dyDescent="0.25">
      <c r="A1977">
        <v>165</v>
      </c>
      <c r="B1977" t="s">
        <v>441</v>
      </c>
      <c r="C1977">
        <v>80</v>
      </c>
      <c r="D1977" t="s">
        <v>192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441</v>
      </c>
      <c r="C1978">
        <v>90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441</v>
      </c>
      <c r="C1979">
        <v>100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441</v>
      </c>
      <c r="C1980">
        <v>110</v>
      </c>
      <c r="D1980" t="s">
        <v>101</v>
      </c>
      <c r="E1980" t="s">
        <v>12</v>
      </c>
      <c r="F1980">
        <v>0.36799999999999999</v>
      </c>
      <c r="G1980" t="s">
        <v>13</v>
      </c>
    </row>
    <row r="1981" spans="1:7" x14ac:dyDescent="0.25">
      <c r="A1981">
        <v>165</v>
      </c>
      <c r="B1981" t="s">
        <v>441</v>
      </c>
      <c r="C1981">
        <v>120</v>
      </c>
      <c r="D1981" t="s">
        <v>442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443</v>
      </c>
      <c r="C1982">
        <v>10</v>
      </c>
      <c r="D1982" t="s">
        <v>107</v>
      </c>
      <c r="E1982" t="s">
        <v>14</v>
      </c>
      <c r="F1982">
        <v>1.2450000000000001</v>
      </c>
      <c r="G1982" t="s">
        <v>15</v>
      </c>
    </row>
    <row r="1983" spans="1:7" x14ac:dyDescent="0.25">
      <c r="A1983">
        <v>166</v>
      </c>
      <c r="B1983" t="s">
        <v>443</v>
      </c>
      <c r="C1983">
        <v>20</v>
      </c>
      <c r="D1983" t="s">
        <v>565</v>
      </c>
      <c r="E1983" t="s">
        <v>14</v>
      </c>
      <c r="F1983">
        <v>1.2450000000000001</v>
      </c>
      <c r="G1983" t="s">
        <v>15</v>
      </c>
    </row>
    <row r="1984" spans="1:7" x14ac:dyDescent="0.25">
      <c r="A1984">
        <v>166</v>
      </c>
      <c r="B1984" t="s">
        <v>443</v>
      </c>
      <c r="C1984">
        <v>30</v>
      </c>
      <c r="D1984" t="s">
        <v>99</v>
      </c>
      <c r="E1984" t="s">
        <v>100</v>
      </c>
      <c r="F1984">
        <v>0.36499999999999999</v>
      </c>
      <c r="G1984" t="s">
        <v>13</v>
      </c>
    </row>
    <row r="1985" spans="1:7" x14ac:dyDescent="0.25">
      <c r="A1985">
        <v>166</v>
      </c>
      <c r="B1985" t="s">
        <v>443</v>
      </c>
      <c r="C1985">
        <v>40</v>
      </c>
      <c r="D1985" t="s">
        <v>108</v>
      </c>
      <c r="E1985" t="s">
        <v>14</v>
      </c>
      <c r="F1985">
        <v>12.903</v>
      </c>
      <c r="G1985" t="s">
        <v>13</v>
      </c>
    </row>
    <row r="1986" spans="1:7" x14ac:dyDescent="0.25">
      <c r="A1986">
        <v>166</v>
      </c>
      <c r="B1986" t="s">
        <v>443</v>
      </c>
      <c r="C1986">
        <v>50</v>
      </c>
      <c r="D1986" t="s">
        <v>105</v>
      </c>
      <c r="E1986" t="s">
        <v>14</v>
      </c>
      <c r="F1986">
        <v>79.355000000000004</v>
      </c>
      <c r="G1986" t="s">
        <v>13</v>
      </c>
    </row>
    <row r="1987" spans="1:7" x14ac:dyDescent="0.25">
      <c r="A1987">
        <v>166</v>
      </c>
      <c r="B1987" t="s">
        <v>443</v>
      </c>
      <c r="C1987">
        <v>60</v>
      </c>
      <c r="D1987" t="s">
        <v>106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443</v>
      </c>
      <c r="C1988">
        <v>70</v>
      </c>
      <c r="D1988" t="s">
        <v>104</v>
      </c>
      <c r="E1988" t="s">
        <v>12</v>
      </c>
      <c r="F1988">
        <v>0.111</v>
      </c>
      <c r="G1988" t="s">
        <v>13</v>
      </c>
    </row>
    <row r="1989" spans="1:7" x14ac:dyDescent="0.25">
      <c r="A1989">
        <v>166</v>
      </c>
      <c r="B1989" t="s">
        <v>443</v>
      </c>
      <c r="C1989">
        <v>80</v>
      </c>
      <c r="D1989" t="s">
        <v>192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443</v>
      </c>
      <c r="C1990">
        <v>90</v>
      </c>
      <c r="D1990" t="s">
        <v>18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443</v>
      </c>
      <c r="C1991">
        <v>100</v>
      </c>
      <c r="D1991" t="s">
        <v>19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443</v>
      </c>
      <c r="C1992">
        <v>110</v>
      </c>
      <c r="D1992" t="s">
        <v>101</v>
      </c>
      <c r="E1992" t="s">
        <v>12</v>
      </c>
      <c r="F1992">
        <v>0.41299999999999998</v>
      </c>
      <c r="G1992" t="s">
        <v>13</v>
      </c>
    </row>
    <row r="1993" spans="1:7" x14ac:dyDescent="0.25">
      <c r="A1993">
        <v>166</v>
      </c>
      <c r="B1993" t="s">
        <v>443</v>
      </c>
      <c r="C1993">
        <v>120</v>
      </c>
      <c r="D1993" t="s">
        <v>444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445</v>
      </c>
      <c r="C1994">
        <v>10</v>
      </c>
      <c r="D1994" t="s">
        <v>107</v>
      </c>
      <c r="E1994" t="s">
        <v>14</v>
      </c>
      <c r="F1994">
        <v>1.5489999999999999</v>
      </c>
      <c r="G1994" t="s">
        <v>15</v>
      </c>
    </row>
    <row r="1995" spans="1:7" x14ac:dyDescent="0.25">
      <c r="A1995">
        <v>167</v>
      </c>
      <c r="B1995" t="s">
        <v>445</v>
      </c>
      <c r="C1995">
        <v>20</v>
      </c>
      <c r="D1995" t="s">
        <v>565</v>
      </c>
      <c r="E1995" t="s">
        <v>14</v>
      </c>
      <c r="F1995">
        <v>1.5489999999999999</v>
      </c>
      <c r="G1995" t="s">
        <v>15</v>
      </c>
    </row>
    <row r="1996" spans="1:7" x14ac:dyDescent="0.25">
      <c r="A1996">
        <v>167</v>
      </c>
      <c r="B1996" t="s">
        <v>445</v>
      </c>
      <c r="C1996">
        <v>30</v>
      </c>
      <c r="D1996" t="s">
        <v>99</v>
      </c>
      <c r="E1996" t="s">
        <v>100</v>
      </c>
      <c r="F1996">
        <v>0.45600000000000002</v>
      </c>
      <c r="G1996" t="s">
        <v>13</v>
      </c>
    </row>
    <row r="1997" spans="1:7" x14ac:dyDescent="0.25">
      <c r="A1997">
        <v>167</v>
      </c>
      <c r="B1997" t="s">
        <v>445</v>
      </c>
      <c r="C1997">
        <v>40</v>
      </c>
      <c r="D1997" t="s">
        <v>108</v>
      </c>
      <c r="E1997" t="s">
        <v>14</v>
      </c>
      <c r="F1997">
        <v>14.122</v>
      </c>
      <c r="G1997" t="s">
        <v>13</v>
      </c>
    </row>
    <row r="1998" spans="1:7" x14ac:dyDescent="0.25">
      <c r="A1998">
        <v>167</v>
      </c>
      <c r="B1998" t="s">
        <v>445</v>
      </c>
      <c r="C1998">
        <v>50</v>
      </c>
      <c r="D1998" t="s">
        <v>105</v>
      </c>
      <c r="E1998" t="s">
        <v>14</v>
      </c>
      <c r="F1998">
        <v>86.852999999999994</v>
      </c>
      <c r="G1998" t="s">
        <v>13</v>
      </c>
    </row>
    <row r="1999" spans="1:7" x14ac:dyDescent="0.25">
      <c r="A1999">
        <v>167</v>
      </c>
      <c r="B1999" t="s">
        <v>445</v>
      </c>
      <c r="C1999">
        <v>60</v>
      </c>
      <c r="D1999" t="s">
        <v>106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445</v>
      </c>
      <c r="C2000">
        <v>70</v>
      </c>
      <c r="D2000" t="s">
        <v>104</v>
      </c>
      <c r="E2000" t="s">
        <v>12</v>
      </c>
      <c r="F2000">
        <v>0.13300000000000001</v>
      </c>
      <c r="G2000" t="s">
        <v>13</v>
      </c>
    </row>
    <row r="2001" spans="1:7" x14ac:dyDescent="0.25">
      <c r="A2001">
        <v>167</v>
      </c>
      <c r="B2001" t="s">
        <v>445</v>
      </c>
      <c r="C2001">
        <v>80</v>
      </c>
      <c r="D2001" t="s">
        <v>192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445</v>
      </c>
      <c r="C2002">
        <v>90</v>
      </c>
      <c r="D2002" t="s">
        <v>18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445</v>
      </c>
      <c r="C2003">
        <v>100</v>
      </c>
      <c r="D2003" t="s">
        <v>19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445</v>
      </c>
      <c r="C2004">
        <v>110</v>
      </c>
      <c r="D2004" t="s">
        <v>101</v>
      </c>
      <c r="E2004" t="s">
        <v>12</v>
      </c>
      <c r="F2004">
        <v>0.503</v>
      </c>
      <c r="G2004" t="s">
        <v>13</v>
      </c>
    </row>
    <row r="2005" spans="1:7" x14ac:dyDescent="0.25">
      <c r="A2005">
        <v>167</v>
      </c>
      <c r="B2005" t="s">
        <v>445</v>
      </c>
      <c r="C2005">
        <v>120</v>
      </c>
      <c r="D2005" t="s">
        <v>446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447</v>
      </c>
      <c r="C2006">
        <v>10</v>
      </c>
      <c r="D2006" t="s">
        <v>107</v>
      </c>
      <c r="E2006" t="s">
        <v>14</v>
      </c>
      <c r="F2006">
        <v>1.702</v>
      </c>
      <c r="G2006" t="s">
        <v>15</v>
      </c>
    </row>
    <row r="2007" spans="1:7" x14ac:dyDescent="0.25">
      <c r="A2007">
        <v>168</v>
      </c>
      <c r="B2007" t="s">
        <v>447</v>
      </c>
      <c r="C2007">
        <v>20</v>
      </c>
      <c r="D2007" t="s">
        <v>565</v>
      </c>
      <c r="E2007" t="s">
        <v>14</v>
      </c>
      <c r="F2007">
        <v>1.702</v>
      </c>
      <c r="G2007" t="s">
        <v>15</v>
      </c>
    </row>
    <row r="2008" spans="1:7" x14ac:dyDescent="0.25">
      <c r="A2008">
        <v>168</v>
      </c>
      <c r="B2008" t="s">
        <v>447</v>
      </c>
      <c r="C2008">
        <v>30</v>
      </c>
      <c r="D2008" t="s">
        <v>99</v>
      </c>
      <c r="E2008" t="s">
        <v>100</v>
      </c>
      <c r="F2008">
        <v>0.501</v>
      </c>
      <c r="G2008" t="s">
        <v>13</v>
      </c>
    </row>
    <row r="2009" spans="1:7" x14ac:dyDescent="0.25">
      <c r="A2009">
        <v>168</v>
      </c>
      <c r="B2009" t="s">
        <v>447</v>
      </c>
      <c r="C2009">
        <v>40</v>
      </c>
      <c r="D2009" t="s">
        <v>108</v>
      </c>
      <c r="E2009" t="s">
        <v>14</v>
      </c>
      <c r="F2009">
        <v>14.731999999999999</v>
      </c>
      <c r="G2009" t="s">
        <v>13</v>
      </c>
    </row>
    <row r="2010" spans="1:7" x14ac:dyDescent="0.25">
      <c r="A2010">
        <v>168</v>
      </c>
      <c r="B2010" t="s">
        <v>447</v>
      </c>
      <c r="C2010">
        <v>50</v>
      </c>
      <c r="D2010" t="s">
        <v>105</v>
      </c>
      <c r="E2010" t="s">
        <v>14</v>
      </c>
      <c r="F2010">
        <v>90.602000000000004</v>
      </c>
      <c r="G2010" t="s">
        <v>13</v>
      </c>
    </row>
    <row r="2011" spans="1:7" x14ac:dyDescent="0.25">
      <c r="A2011">
        <v>168</v>
      </c>
      <c r="B2011" t="s">
        <v>447</v>
      </c>
      <c r="C2011">
        <v>60</v>
      </c>
      <c r="D2011" t="s">
        <v>106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447</v>
      </c>
      <c r="C2012">
        <v>70</v>
      </c>
      <c r="D2012" t="s">
        <v>104</v>
      </c>
      <c r="E2012" t="s">
        <v>12</v>
      </c>
      <c r="F2012">
        <v>0.14499999999999999</v>
      </c>
      <c r="G2012" t="s">
        <v>13</v>
      </c>
    </row>
    <row r="2013" spans="1:7" x14ac:dyDescent="0.25">
      <c r="A2013">
        <v>168</v>
      </c>
      <c r="B2013" t="s">
        <v>447</v>
      </c>
      <c r="C2013">
        <v>80</v>
      </c>
      <c r="D2013" t="s">
        <v>192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447</v>
      </c>
      <c r="C2014">
        <v>90</v>
      </c>
      <c r="D2014" t="s">
        <v>18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447</v>
      </c>
      <c r="C2015">
        <v>100</v>
      </c>
      <c r="D2015" t="s">
        <v>19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447</v>
      </c>
      <c r="C2016">
        <v>110</v>
      </c>
      <c r="D2016" t="s">
        <v>101</v>
      </c>
      <c r="E2016" t="s">
        <v>12</v>
      </c>
      <c r="F2016">
        <v>0.54800000000000004</v>
      </c>
      <c r="G2016" t="s">
        <v>13</v>
      </c>
    </row>
    <row r="2017" spans="1:7" x14ac:dyDescent="0.25">
      <c r="A2017">
        <v>168</v>
      </c>
      <c r="B2017" t="s">
        <v>447</v>
      </c>
      <c r="C2017">
        <v>120</v>
      </c>
      <c r="D2017" t="s">
        <v>448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449</v>
      </c>
      <c r="C2018">
        <v>10</v>
      </c>
      <c r="D2018" t="s">
        <v>107</v>
      </c>
      <c r="E2018" t="s">
        <v>14</v>
      </c>
      <c r="F2018">
        <v>1.8540000000000001</v>
      </c>
      <c r="G2018" t="s">
        <v>15</v>
      </c>
    </row>
    <row r="2019" spans="1:7" x14ac:dyDescent="0.25">
      <c r="A2019">
        <v>169</v>
      </c>
      <c r="B2019" t="s">
        <v>449</v>
      </c>
      <c r="C2019">
        <v>20</v>
      </c>
      <c r="D2019" t="s">
        <v>565</v>
      </c>
      <c r="E2019" t="s">
        <v>14</v>
      </c>
      <c r="F2019">
        <v>1.8540000000000001</v>
      </c>
      <c r="G2019" t="s">
        <v>15</v>
      </c>
    </row>
    <row r="2020" spans="1:7" x14ac:dyDescent="0.25">
      <c r="A2020">
        <v>169</v>
      </c>
      <c r="B2020" t="s">
        <v>449</v>
      </c>
      <c r="C2020">
        <v>30</v>
      </c>
      <c r="D2020" t="s">
        <v>99</v>
      </c>
      <c r="E2020" t="s">
        <v>100</v>
      </c>
      <c r="F2020">
        <v>0.54700000000000004</v>
      </c>
      <c r="G2020" t="s">
        <v>13</v>
      </c>
    </row>
    <row r="2021" spans="1:7" x14ac:dyDescent="0.25">
      <c r="A2021">
        <v>169</v>
      </c>
      <c r="B2021" t="s">
        <v>449</v>
      </c>
      <c r="C2021">
        <v>40</v>
      </c>
      <c r="D2021" t="s">
        <v>108</v>
      </c>
      <c r="E2021" t="s">
        <v>14</v>
      </c>
      <c r="F2021">
        <v>15.342000000000001</v>
      </c>
      <c r="G2021" t="s">
        <v>13</v>
      </c>
    </row>
    <row r="2022" spans="1:7" x14ac:dyDescent="0.25">
      <c r="A2022">
        <v>169</v>
      </c>
      <c r="B2022" t="s">
        <v>449</v>
      </c>
      <c r="C2022">
        <v>50</v>
      </c>
      <c r="D2022" t="s">
        <v>105</v>
      </c>
      <c r="E2022" t="s">
        <v>14</v>
      </c>
      <c r="F2022">
        <v>94.350999999999999</v>
      </c>
      <c r="G2022" t="s">
        <v>13</v>
      </c>
    </row>
    <row r="2023" spans="1:7" x14ac:dyDescent="0.25">
      <c r="A2023">
        <v>169</v>
      </c>
      <c r="B2023" t="s">
        <v>449</v>
      </c>
      <c r="C2023">
        <v>60</v>
      </c>
      <c r="D2023" t="s">
        <v>106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449</v>
      </c>
      <c r="C2024">
        <v>70</v>
      </c>
      <c r="D2024" t="s">
        <v>104</v>
      </c>
      <c r="E2024" t="s">
        <v>12</v>
      </c>
      <c r="F2024">
        <v>0.156</v>
      </c>
      <c r="G2024" t="s">
        <v>13</v>
      </c>
    </row>
    <row r="2025" spans="1:7" x14ac:dyDescent="0.25">
      <c r="A2025">
        <v>169</v>
      </c>
      <c r="B2025" t="s">
        <v>449</v>
      </c>
      <c r="C2025">
        <v>80</v>
      </c>
      <c r="D2025" t="s">
        <v>192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449</v>
      </c>
      <c r="C2026">
        <v>90</v>
      </c>
      <c r="D2026" t="s">
        <v>18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449</v>
      </c>
      <c r="C2027">
        <v>100</v>
      </c>
      <c r="D2027" t="s">
        <v>19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449</v>
      </c>
      <c r="C2028">
        <v>110</v>
      </c>
      <c r="D2028" t="s">
        <v>101</v>
      </c>
      <c r="E2028" t="s">
        <v>12</v>
      </c>
      <c r="F2028">
        <v>0.59299999999999997</v>
      </c>
      <c r="G2028" t="s">
        <v>13</v>
      </c>
    </row>
    <row r="2029" spans="1:7" x14ac:dyDescent="0.25">
      <c r="A2029">
        <v>169</v>
      </c>
      <c r="B2029" t="s">
        <v>449</v>
      </c>
      <c r="C2029">
        <v>120</v>
      </c>
      <c r="D2029" t="s">
        <v>450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451</v>
      </c>
      <c r="C2030">
        <v>10</v>
      </c>
      <c r="D2030" t="s">
        <v>107</v>
      </c>
      <c r="E2030" t="s">
        <v>14</v>
      </c>
      <c r="F2030">
        <v>0.78700000000000003</v>
      </c>
      <c r="G2030" t="s">
        <v>15</v>
      </c>
    </row>
    <row r="2031" spans="1:7" x14ac:dyDescent="0.25">
      <c r="A2031">
        <v>170</v>
      </c>
      <c r="B2031" t="s">
        <v>451</v>
      </c>
      <c r="C2031">
        <v>20</v>
      </c>
      <c r="D2031" t="s">
        <v>565</v>
      </c>
      <c r="E2031" t="s">
        <v>14</v>
      </c>
      <c r="F2031">
        <v>0.78700000000000003</v>
      </c>
      <c r="G2031" t="s">
        <v>15</v>
      </c>
    </row>
    <row r="2032" spans="1:7" x14ac:dyDescent="0.25">
      <c r="A2032">
        <v>170</v>
      </c>
      <c r="B2032" t="s">
        <v>451</v>
      </c>
      <c r="C2032">
        <v>30</v>
      </c>
      <c r="D2032" t="s">
        <v>99</v>
      </c>
      <c r="E2032" t="s">
        <v>100</v>
      </c>
      <c r="F2032">
        <v>0.23699999999999999</v>
      </c>
      <c r="G2032" t="s">
        <v>13</v>
      </c>
    </row>
    <row r="2033" spans="1:7" x14ac:dyDescent="0.25">
      <c r="A2033">
        <v>170</v>
      </c>
      <c r="B2033" t="s">
        <v>451</v>
      </c>
      <c r="C2033">
        <v>40</v>
      </c>
      <c r="D2033" t="s">
        <v>108</v>
      </c>
      <c r="E2033" t="s">
        <v>14</v>
      </c>
      <c r="F2033">
        <v>11.379</v>
      </c>
      <c r="G2033" t="s">
        <v>13</v>
      </c>
    </row>
    <row r="2034" spans="1:7" x14ac:dyDescent="0.25">
      <c r="A2034">
        <v>170</v>
      </c>
      <c r="B2034" t="s">
        <v>451</v>
      </c>
      <c r="C2034">
        <v>50</v>
      </c>
      <c r="D2034" t="s">
        <v>105</v>
      </c>
      <c r="E2034" t="s">
        <v>14</v>
      </c>
      <c r="F2034">
        <v>69.981999999999999</v>
      </c>
      <c r="G2034" t="s">
        <v>13</v>
      </c>
    </row>
    <row r="2035" spans="1:7" x14ac:dyDescent="0.25">
      <c r="A2035">
        <v>170</v>
      </c>
      <c r="B2035" t="s">
        <v>451</v>
      </c>
      <c r="C2035">
        <v>60</v>
      </c>
      <c r="D2035" t="s">
        <v>106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451</v>
      </c>
      <c r="C2036">
        <v>70</v>
      </c>
      <c r="D2036" t="s">
        <v>104</v>
      </c>
      <c r="E2036" t="s">
        <v>12</v>
      </c>
      <c r="F2036">
        <v>7.6999999999999999E-2</v>
      </c>
      <c r="G2036" t="s">
        <v>13</v>
      </c>
    </row>
    <row r="2037" spans="1:7" x14ac:dyDescent="0.25">
      <c r="A2037">
        <v>170</v>
      </c>
      <c r="B2037" t="s">
        <v>451</v>
      </c>
      <c r="C2037">
        <v>80</v>
      </c>
      <c r="D2037" t="s">
        <v>192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451</v>
      </c>
      <c r="C2038">
        <v>90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451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451</v>
      </c>
      <c r="C2040">
        <v>110</v>
      </c>
      <c r="D2040" t="s">
        <v>101</v>
      </c>
      <c r="E2040" t="s">
        <v>12</v>
      </c>
      <c r="F2040">
        <v>0.27800000000000002</v>
      </c>
      <c r="G2040" t="s">
        <v>13</v>
      </c>
    </row>
    <row r="2041" spans="1:7" x14ac:dyDescent="0.25">
      <c r="A2041">
        <v>170</v>
      </c>
      <c r="B2041" t="s">
        <v>451</v>
      </c>
      <c r="C2041">
        <v>120</v>
      </c>
      <c r="D2041" t="s">
        <v>452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453</v>
      </c>
      <c r="C2042">
        <v>10</v>
      </c>
      <c r="D2042" t="s">
        <v>107</v>
      </c>
      <c r="E2042" t="s">
        <v>14</v>
      </c>
      <c r="F2042">
        <v>0.94</v>
      </c>
      <c r="G2042" t="s">
        <v>15</v>
      </c>
    </row>
    <row r="2043" spans="1:7" x14ac:dyDescent="0.25">
      <c r="A2043">
        <v>171</v>
      </c>
      <c r="B2043" t="s">
        <v>453</v>
      </c>
      <c r="C2043">
        <v>20</v>
      </c>
      <c r="D2043" t="s">
        <v>565</v>
      </c>
      <c r="E2043" t="s">
        <v>14</v>
      </c>
      <c r="F2043">
        <v>0.94</v>
      </c>
      <c r="G2043" t="s">
        <v>15</v>
      </c>
    </row>
    <row r="2044" spans="1:7" x14ac:dyDescent="0.25">
      <c r="A2044">
        <v>171</v>
      </c>
      <c r="B2044" t="s">
        <v>453</v>
      </c>
      <c r="C2044">
        <v>30</v>
      </c>
      <c r="D2044" t="s">
        <v>99</v>
      </c>
      <c r="E2044" t="s">
        <v>100</v>
      </c>
      <c r="F2044">
        <v>0.28399999999999997</v>
      </c>
      <c r="G2044" t="s">
        <v>13</v>
      </c>
    </row>
    <row r="2045" spans="1:7" x14ac:dyDescent="0.25">
      <c r="A2045">
        <v>171</v>
      </c>
      <c r="B2045" t="s">
        <v>453</v>
      </c>
      <c r="C2045">
        <v>40</v>
      </c>
      <c r="D2045" t="s">
        <v>108</v>
      </c>
      <c r="E2045" t="s">
        <v>14</v>
      </c>
      <c r="F2045">
        <v>11.989000000000001</v>
      </c>
      <c r="G2045" t="s">
        <v>13</v>
      </c>
    </row>
    <row r="2046" spans="1:7" x14ac:dyDescent="0.25">
      <c r="A2046">
        <v>171</v>
      </c>
      <c r="B2046" t="s">
        <v>453</v>
      </c>
      <c r="C2046">
        <v>50</v>
      </c>
      <c r="D2046" t="s">
        <v>105</v>
      </c>
      <c r="E2046" t="s">
        <v>14</v>
      </c>
      <c r="F2046">
        <v>73.730999999999995</v>
      </c>
      <c r="G2046" t="s">
        <v>13</v>
      </c>
    </row>
    <row r="2047" spans="1:7" x14ac:dyDescent="0.25">
      <c r="A2047">
        <v>171</v>
      </c>
      <c r="B2047" t="s">
        <v>453</v>
      </c>
      <c r="C2047">
        <v>60</v>
      </c>
      <c r="D2047" t="s">
        <v>106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453</v>
      </c>
      <c r="C2048">
        <v>70</v>
      </c>
      <c r="D2048" t="s">
        <v>104</v>
      </c>
      <c r="E2048" t="s">
        <v>12</v>
      </c>
      <c r="F2048">
        <v>8.7999999999999995E-2</v>
      </c>
      <c r="G2048" t="s">
        <v>13</v>
      </c>
    </row>
    <row r="2049" spans="1:7" x14ac:dyDescent="0.25">
      <c r="A2049">
        <v>171</v>
      </c>
      <c r="B2049" t="s">
        <v>453</v>
      </c>
      <c r="C2049">
        <v>80</v>
      </c>
      <c r="D2049" t="s">
        <v>192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453</v>
      </c>
      <c r="C2050">
        <v>90</v>
      </c>
      <c r="D2050" t="s">
        <v>18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453</v>
      </c>
      <c r="C2051">
        <v>100</v>
      </c>
      <c r="D2051" t="s">
        <v>19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453</v>
      </c>
      <c r="C2052">
        <v>110</v>
      </c>
      <c r="D2052" t="s">
        <v>101</v>
      </c>
      <c r="E2052" t="s">
        <v>12</v>
      </c>
      <c r="F2052">
        <v>0.32300000000000001</v>
      </c>
      <c r="G2052" t="s">
        <v>13</v>
      </c>
    </row>
    <row r="2053" spans="1:7" x14ac:dyDescent="0.25">
      <c r="A2053">
        <v>171</v>
      </c>
      <c r="B2053" t="s">
        <v>453</v>
      </c>
      <c r="C2053">
        <v>120</v>
      </c>
      <c r="D2053" t="s">
        <v>454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455</v>
      </c>
      <c r="C2054">
        <v>10</v>
      </c>
      <c r="D2054" t="s">
        <v>107</v>
      </c>
      <c r="E2054" t="s">
        <v>14</v>
      </c>
      <c r="F2054">
        <v>1.0920000000000001</v>
      </c>
      <c r="G2054" t="s">
        <v>15</v>
      </c>
    </row>
    <row r="2055" spans="1:7" x14ac:dyDescent="0.25">
      <c r="A2055">
        <v>172</v>
      </c>
      <c r="B2055" t="s">
        <v>455</v>
      </c>
      <c r="C2055">
        <v>20</v>
      </c>
      <c r="D2055" t="s">
        <v>565</v>
      </c>
      <c r="E2055" t="s">
        <v>14</v>
      </c>
      <c r="F2055">
        <v>1.0920000000000001</v>
      </c>
      <c r="G2055" t="s">
        <v>15</v>
      </c>
    </row>
    <row r="2056" spans="1:7" x14ac:dyDescent="0.25">
      <c r="A2056">
        <v>172</v>
      </c>
      <c r="B2056" t="s">
        <v>455</v>
      </c>
      <c r="C2056">
        <v>30</v>
      </c>
      <c r="D2056" t="s">
        <v>99</v>
      </c>
      <c r="E2056" t="s">
        <v>100</v>
      </c>
      <c r="F2056">
        <v>0.33200000000000002</v>
      </c>
      <c r="G2056" t="s">
        <v>13</v>
      </c>
    </row>
    <row r="2057" spans="1:7" x14ac:dyDescent="0.25">
      <c r="A2057">
        <v>172</v>
      </c>
      <c r="B2057" t="s">
        <v>455</v>
      </c>
      <c r="C2057">
        <v>40</v>
      </c>
      <c r="D2057" t="s">
        <v>108</v>
      </c>
      <c r="E2057" t="s">
        <v>14</v>
      </c>
      <c r="F2057">
        <v>12.598000000000001</v>
      </c>
      <c r="G2057" t="s">
        <v>13</v>
      </c>
    </row>
    <row r="2058" spans="1:7" x14ac:dyDescent="0.25">
      <c r="A2058">
        <v>172</v>
      </c>
      <c r="B2058" t="s">
        <v>455</v>
      </c>
      <c r="C2058">
        <v>50</v>
      </c>
      <c r="D2058" t="s">
        <v>105</v>
      </c>
      <c r="E2058" t="s">
        <v>14</v>
      </c>
      <c r="F2058">
        <v>77.48</v>
      </c>
      <c r="G2058" t="s">
        <v>13</v>
      </c>
    </row>
    <row r="2059" spans="1:7" x14ac:dyDescent="0.25">
      <c r="A2059">
        <v>172</v>
      </c>
      <c r="B2059" t="s">
        <v>455</v>
      </c>
      <c r="C2059">
        <v>60</v>
      </c>
      <c r="D2059" t="s">
        <v>106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455</v>
      </c>
      <c r="C2060">
        <v>70</v>
      </c>
      <c r="D2060" t="s">
        <v>104</v>
      </c>
      <c r="E2060" t="s">
        <v>12</v>
      </c>
      <c r="F2060">
        <v>0.1</v>
      </c>
      <c r="G2060" t="s">
        <v>13</v>
      </c>
    </row>
    <row r="2061" spans="1:7" x14ac:dyDescent="0.25">
      <c r="A2061">
        <v>172</v>
      </c>
      <c r="B2061" t="s">
        <v>455</v>
      </c>
      <c r="C2061">
        <v>80</v>
      </c>
      <c r="D2061" t="s">
        <v>192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455</v>
      </c>
      <c r="C2062">
        <v>90</v>
      </c>
      <c r="D2062" t="s">
        <v>18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455</v>
      </c>
      <c r="C2063">
        <v>100</v>
      </c>
      <c r="D2063" t="s">
        <v>19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455</v>
      </c>
      <c r="C2064">
        <v>110</v>
      </c>
      <c r="D2064" t="s">
        <v>101</v>
      </c>
      <c r="E2064" t="s">
        <v>12</v>
      </c>
      <c r="F2064">
        <v>0.36799999999999999</v>
      </c>
      <c r="G2064" t="s">
        <v>13</v>
      </c>
    </row>
    <row r="2065" spans="1:7" x14ac:dyDescent="0.25">
      <c r="A2065">
        <v>172</v>
      </c>
      <c r="B2065" t="s">
        <v>455</v>
      </c>
      <c r="C2065">
        <v>120</v>
      </c>
      <c r="D2065" t="s">
        <v>456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457</v>
      </c>
      <c r="C2066">
        <v>10</v>
      </c>
      <c r="D2066" t="s">
        <v>107</v>
      </c>
      <c r="E2066" t="s">
        <v>14</v>
      </c>
      <c r="F2066">
        <v>1.2450000000000001</v>
      </c>
      <c r="G2066" t="s">
        <v>15</v>
      </c>
    </row>
    <row r="2067" spans="1:7" x14ac:dyDescent="0.25">
      <c r="A2067">
        <v>173</v>
      </c>
      <c r="B2067" t="s">
        <v>457</v>
      </c>
      <c r="C2067">
        <v>20</v>
      </c>
      <c r="D2067" t="s">
        <v>565</v>
      </c>
      <c r="E2067" t="s">
        <v>14</v>
      </c>
      <c r="F2067">
        <v>1.2450000000000001</v>
      </c>
      <c r="G2067" t="s">
        <v>15</v>
      </c>
    </row>
    <row r="2068" spans="1:7" x14ac:dyDescent="0.25">
      <c r="A2068">
        <v>173</v>
      </c>
      <c r="B2068" t="s">
        <v>457</v>
      </c>
      <c r="C2068">
        <v>30</v>
      </c>
      <c r="D2068" t="s">
        <v>99</v>
      </c>
      <c r="E2068" t="s">
        <v>100</v>
      </c>
      <c r="F2068">
        <v>0.379</v>
      </c>
      <c r="G2068" t="s">
        <v>13</v>
      </c>
    </row>
    <row r="2069" spans="1:7" x14ac:dyDescent="0.25">
      <c r="A2069">
        <v>173</v>
      </c>
      <c r="B2069" t="s">
        <v>457</v>
      </c>
      <c r="C2069">
        <v>40</v>
      </c>
      <c r="D2069" t="s">
        <v>108</v>
      </c>
      <c r="E2069" t="s">
        <v>14</v>
      </c>
      <c r="F2069">
        <v>13.208</v>
      </c>
      <c r="G2069" t="s">
        <v>13</v>
      </c>
    </row>
    <row r="2070" spans="1:7" x14ac:dyDescent="0.25">
      <c r="A2070">
        <v>173</v>
      </c>
      <c r="B2070" t="s">
        <v>457</v>
      </c>
      <c r="C2070">
        <v>50</v>
      </c>
      <c r="D2070" t="s">
        <v>105</v>
      </c>
      <c r="E2070" t="s">
        <v>14</v>
      </c>
      <c r="F2070">
        <v>81.228999999999999</v>
      </c>
      <c r="G2070" t="s">
        <v>13</v>
      </c>
    </row>
    <row r="2071" spans="1:7" x14ac:dyDescent="0.25">
      <c r="A2071">
        <v>173</v>
      </c>
      <c r="B2071" t="s">
        <v>457</v>
      </c>
      <c r="C2071">
        <v>60</v>
      </c>
      <c r="D2071" t="s">
        <v>106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457</v>
      </c>
      <c r="C2072">
        <v>70</v>
      </c>
      <c r="D2072" t="s">
        <v>104</v>
      </c>
      <c r="E2072" t="s">
        <v>12</v>
      </c>
      <c r="F2072">
        <v>0.111</v>
      </c>
      <c r="G2072" t="s">
        <v>13</v>
      </c>
    </row>
    <row r="2073" spans="1:7" x14ac:dyDescent="0.25">
      <c r="A2073">
        <v>173</v>
      </c>
      <c r="B2073" t="s">
        <v>457</v>
      </c>
      <c r="C2073">
        <v>80</v>
      </c>
      <c r="D2073" t="s">
        <v>192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457</v>
      </c>
      <c r="C2074">
        <v>90</v>
      </c>
      <c r="D2074" t="s">
        <v>18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457</v>
      </c>
      <c r="C2075">
        <v>100</v>
      </c>
      <c r="D2075" t="s">
        <v>19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457</v>
      </c>
      <c r="C2076">
        <v>110</v>
      </c>
      <c r="D2076" t="s">
        <v>101</v>
      </c>
      <c r="E2076" t="s">
        <v>12</v>
      </c>
      <c r="F2076">
        <v>0.41299999999999998</v>
      </c>
      <c r="G2076" t="s">
        <v>13</v>
      </c>
    </row>
    <row r="2077" spans="1:7" x14ac:dyDescent="0.25">
      <c r="A2077">
        <v>173</v>
      </c>
      <c r="B2077" t="s">
        <v>457</v>
      </c>
      <c r="C2077">
        <v>120</v>
      </c>
      <c r="D2077" t="s">
        <v>458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459</v>
      </c>
      <c r="C2078">
        <v>10</v>
      </c>
      <c r="D2078" t="s">
        <v>107</v>
      </c>
      <c r="E2078" t="s">
        <v>14</v>
      </c>
      <c r="F2078">
        <v>1.5489999999999999</v>
      </c>
      <c r="G2078" t="s">
        <v>15</v>
      </c>
    </row>
    <row r="2079" spans="1:7" x14ac:dyDescent="0.25">
      <c r="A2079">
        <v>174</v>
      </c>
      <c r="B2079" t="s">
        <v>459</v>
      </c>
      <c r="C2079">
        <v>20</v>
      </c>
      <c r="D2079" t="s">
        <v>565</v>
      </c>
      <c r="E2079" t="s">
        <v>14</v>
      </c>
      <c r="F2079">
        <v>1.5489999999999999</v>
      </c>
      <c r="G2079" t="s">
        <v>15</v>
      </c>
    </row>
    <row r="2080" spans="1:7" x14ac:dyDescent="0.25">
      <c r="A2080">
        <v>174</v>
      </c>
      <c r="B2080" t="s">
        <v>459</v>
      </c>
      <c r="C2080">
        <v>30</v>
      </c>
      <c r="D2080" t="s">
        <v>99</v>
      </c>
      <c r="E2080" t="s">
        <v>100</v>
      </c>
      <c r="F2080">
        <v>0.47399999999999998</v>
      </c>
      <c r="G2080" t="s">
        <v>13</v>
      </c>
    </row>
    <row r="2081" spans="1:7" x14ac:dyDescent="0.25">
      <c r="A2081">
        <v>174</v>
      </c>
      <c r="B2081" t="s">
        <v>459</v>
      </c>
      <c r="C2081">
        <v>40</v>
      </c>
      <c r="D2081" t="s">
        <v>108</v>
      </c>
      <c r="E2081" t="s">
        <v>14</v>
      </c>
      <c r="F2081">
        <v>14.427</v>
      </c>
      <c r="G2081" t="s">
        <v>13</v>
      </c>
    </row>
    <row r="2082" spans="1:7" x14ac:dyDescent="0.25">
      <c r="A2082">
        <v>174</v>
      </c>
      <c r="B2082" t="s">
        <v>459</v>
      </c>
      <c r="C2082">
        <v>50</v>
      </c>
      <c r="D2082" t="s">
        <v>105</v>
      </c>
      <c r="E2082" t="s">
        <v>14</v>
      </c>
      <c r="F2082">
        <v>88.727000000000004</v>
      </c>
      <c r="G2082" t="s">
        <v>13</v>
      </c>
    </row>
    <row r="2083" spans="1:7" x14ac:dyDescent="0.25">
      <c r="A2083">
        <v>174</v>
      </c>
      <c r="B2083" t="s">
        <v>459</v>
      </c>
      <c r="C2083">
        <v>60</v>
      </c>
      <c r="D2083" t="s">
        <v>106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459</v>
      </c>
      <c r="C2084">
        <v>70</v>
      </c>
      <c r="D2084" t="s">
        <v>104</v>
      </c>
      <c r="E2084" t="s">
        <v>12</v>
      </c>
      <c r="F2084">
        <v>0.13300000000000001</v>
      </c>
      <c r="G2084" t="s">
        <v>13</v>
      </c>
    </row>
    <row r="2085" spans="1:7" x14ac:dyDescent="0.25">
      <c r="A2085">
        <v>174</v>
      </c>
      <c r="B2085" t="s">
        <v>459</v>
      </c>
      <c r="C2085">
        <v>80</v>
      </c>
      <c r="D2085" t="s">
        <v>192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459</v>
      </c>
      <c r="C2086">
        <v>90</v>
      </c>
      <c r="D2086" t="s">
        <v>18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459</v>
      </c>
      <c r="C2087">
        <v>100</v>
      </c>
      <c r="D2087" t="s">
        <v>19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459</v>
      </c>
      <c r="C2088">
        <v>110</v>
      </c>
      <c r="D2088" t="s">
        <v>101</v>
      </c>
      <c r="E2088" t="s">
        <v>12</v>
      </c>
      <c r="F2088">
        <v>0.503</v>
      </c>
      <c r="G2088" t="s">
        <v>13</v>
      </c>
    </row>
    <row r="2089" spans="1:7" x14ac:dyDescent="0.25">
      <c r="A2089">
        <v>174</v>
      </c>
      <c r="B2089" t="s">
        <v>459</v>
      </c>
      <c r="C2089">
        <v>120</v>
      </c>
      <c r="D2089" t="s">
        <v>460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461</v>
      </c>
      <c r="C2090">
        <v>10</v>
      </c>
      <c r="D2090" t="s">
        <v>107</v>
      </c>
      <c r="E2090" t="s">
        <v>14</v>
      </c>
      <c r="F2090">
        <v>1.702</v>
      </c>
      <c r="G2090" t="s">
        <v>15</v>
      </c>
    </row>
    <row r="2091" spans="1:7" x14ac:dyDescent="0.25">
      <c r="A2091">
        <v>175</v>
      </c>
      <c r="B2091" t="s">
        <v>461</v>
      </c>
      <c r="C2091">
        <v>20</v>
      </c>
      <c r="D2091" t="s">
        <v>565</v>
      </c>
      <c r="E2091" t="s">
        <v>14</v>
      </c>
      <c r="F2091">
        <v>1.702</v>
      </c>
      <c r="G2091" t="s">
        <v>15</v>
      </c>
    </row>
    <row r="2092" spans="1:7" x14ac:dyDescent="0.25">
      <c r="A2092">
        <v>175</v>
      </c>
      <c r="B2092" t="s">
        <v>461</v>
      </c>
      <c r="C2092">
        <v>30</v>
      </c>
      <c r="D2092" t="s">
        <v>99</v>
      </c>
      <c r="E2092" t="s">
        <v>100</v>
      </c>
      <c r="F2092">
        <v>0.52100000000000002</v>
      </c>
      <c r="G2092" t="s">
        <v>13</v>
      </c>
    </row>
    <row r="2093" spans="1:7" x14ac:dyDescent="0.25">
      <c r="A2093">
        <v>175</v>
      </c>
      <c r="B2093" t="s">
        <v>461</v>
      </c>
      <c r="C2093">
        <v>40</v>
      </c>
      <c r="D2093" t="s">
        <v>108</v>
      </c>
      <c r="E2093" t="s">
        <v>14</v>
      </c>
      <c r="F2093">
        <v>15.037000000000001</v>
      </c>
      <c r="G2093" t="s">
        <v>13</v>
      </c>
    </row>
    <row r="2094" spans="1:7" x14ac:dyDescent="0.25">
      <c r="A2094">
        <v>175</v>
      </c>
      <c r="B2094" t="s">
        <v>461</v>
      </c>
      <c r="C2094">
        <v>50</v>
      </c>
      <c r="D2094" t="s">
        <v>105</v>
      </c>
      <c r="E2094" t="s">
        <v>14</v>
      </c>
      <c r="F2094">
        <v>92.475999999999999</v>
      </c>
      <c r="G2094" t="s">
        <v>13</v>
      </c>
    </row>
    <row r="2095" spans="1:7" x14ac:dyDescent="0.25">
      <c r="A2095">
        <v>175</v>
      </c>
      <c r="B2095" t="s">
        <v>461</v>
      </c>
      <c r="C2095">
        <v>60</v>
      </c>
      <c r="D2095" t="s">
        <v>106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461</v>
      </c>
      <c r="C2096">
        <v>70</v>
      </c>
      <c r="D2096" t="s">
        <v>104</v>
      </c>
      <c r="E2096" t="s">
        <v>12</v>
      </c>
      <c r="F2096">
        <v>0.14499999999999999</v>
      </c>
      <c r="G2096" t="s">
        <v>13</v>
      </c>
    </row>
    <row r="2097" spans="1:7" x14ac:dyDescent="0.25">
      <c r="A2097">
        <v>175</v>
      </c>
      <c r="B2097" t="s">
        <v>461</v>
      </c>
      <c r="C2097">
        <v>80</v>
      </c>
      <c r="D2097" t="s">
        <v>192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461</v>
      </c>
      <c r="C2098">
        <v>90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461</v>
      </c>
      <c r="C2099">
        <v>100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461</v>
      </c>
      <c r="C2100">
        <v>110</v>
      </c>
      <c r="D2100" t="s">
        <v>101</v>
      </c>
      <c r="E2100" t="s">
        <v>12</v>
      </c>
      <c r="F2100">
        <v>0.54800000000000004</v>
      </c>
      <c r="G2100" t="s">
        <v>13</v>
      </c>
    </row>
    <row r="2101" spans="1:7" x14ac:dyDescent="0.25">
      <c r="A2101">
        <v>175</v>
      </c>
      <c r="B2101" t="s">
        <v>461</v>
      </c>
      <c r="C2101">
        <v>120</v>
      </c>
      <c r="D2101" t="s">
        <v>462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463</v>
      </c>
      <c r="C2102">
        <v>10</v>
      </c>
      <c r="D2102" t="s">
        <v>107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176</v>
      </c>
      <c r="B2103" t="s">
        <v>463</v>
      </c>
      <c r="C2103">
        <v>20</v>
      </c>
      <c r="D2103" t="s">
        <v>565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176</v>
      </c>
      <c r="B2104" t="s">
        <v>463</v>
      </c>
      <c r="C2104">
        <v>30</v>
      </c>
      <c r="D2104" t="s">
        <v>99</v>
      </c>
      <c r="E2104" t="s">
        <v>100</v>
      </c>
      <c r="F2104">
        <v>0.56899999999999995</v>
      </c>
      <c r="G2104" t="s">
        <v>13</v>
      </c>
    </row>
    <row r="2105" spans="1:7" x14ac:dyDescent="0.25">
      <c r="A2105">
        <v>176</v>
      </c>
      <c r="B2105" t="s">
        <v>463</v>
      </c>
      <c r="C2105">
        <v>40</v>
      </c>
      <c r="D2105" t="s">
        <v>108</v>
      </c>
      <c r="E2105" t="s">
        <v>14</v>
      </c>
      <c r="F2105">
        <v>15.646000000000001</v>
      </c>
      <c r="G2105" t="s">
        <v>13</v>
      </c>
    </row>
    <row r="2106" spans="1:7" x14ac:dyDescent="0.25">
      <c r="A2106">
        <v>176</v>
      </c>
      <c r="B2106" t="s">
        <v>463</v>
      </c>
      <c r="C2106">
        <v>50</v>
      </c>
      <c r="D2106" t="s">
        <v>105</v>
      </c>
      <c r="E2106" t="s">
        <v>14</v>
      </c>
      <c r="F2106">
        <v>96.224999999999994</v>
      </c>
      <c r="G2106" t="s">
        <v>13</v>
      </c>
    </row>
    <row r="2107" spans="1:7" x14ac:dyDescent="0.25">
      <c r="A2107">
        <v>176</v>
      </c>
      <c r="B2107" t="s">
        <v>463</v>
      </c>
      <c r="C2107">
        <v>60</v>
      </c>
      <c r="D2107" t="s">
        <v>106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463</v>
      </c>
      <c r="C2108">
        <v>70</v>
      </c>
      <c r="D2108" t="s">
        <v>104</v>
      </c>
      <c r="E2108" t="s">
        <v>12</v>
      </c>
      <c r="F2108">
        <v>0.156</v>
      </c>
      <c r="G2108" t="s">
        <v>13</v>
      </c>
    </row>
    <row r="2109" spans="1:7" x14ac:dyDescent="0.25">
      <c r="A2109">
        <v>176</v>
      </c>
      <c r="B2109" t="s">
        <v>463</v>
      </c>
      <c r="C2109">
        <v>80</v>
      </c>
      <c r="D2109" t="s">
        <v>192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463</v>
      </c>
      <c r="C2110">
        <v>90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463</v>
      </c>
      <c r="C2111">
        <v>100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463</v>
      </c>
      <c r="C2112">
        <v>110</v>
      </c>
      <c r="D2112" t="s">
        <v>101</v>
      </c>
      <c r="E2112" t="s">
        <v>12</v>
      </c>
      <c r="F2112">
        <v>0.59299999999999997</v>
      </c>
      <c r="G2112" t="s">
        <v>13</v>
      </c>
    </row>
    <row r="2113" spans="1:7" x14ac:dyDescent="0.25">
      <c r="A2113">
        <v>176</v>
      </c>
      <c r="B2113" t="s">
        <v>463</v>
      </c>
      <c r="C2113">
        <v>120</v>
      </c>
      <c r="D2113" t="s">
        <v>464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465</v>
      </c>
      <c r="C2114">
        <v>10</v>
      </c>
      <c r="D2114" t="s">
        <v>107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465</v>
      </c>
      <c r="C2115">
        <v>20</v>
      </c>
      <c r="D2115" t="s">
        <v>565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465</v>
      </c>
      <c r="C2116">
        <v>30</v>
      </c>
      <c r="D2116" t="s">
        <v>99</v>
      </c>
      <c r="E2116" t="s">
        <v>100</v>
      </c>
      <c r="F2116">
        <v>0.24299999999999999</v>
      </c>
      <c r="G2116" t="s">
        <v>13</v>
      </c>
    </row>
    <row r="2117" spans="1:7" x14ac:dyDescent="0.25">
      <c r="A2117">
        <v>177</v>
      </c>
      <c r="B2117" t="s">
        <v>465</v>
      </c>
      <c r="C2117">
        <v>40</v>
      </c>
      <c r="D2117" t="s">
        <v>108</v>
      </c>
      <c r="E2117" t="s">
        <v>14</v>
      </c>
      <c r="F2117">
        <v>11.582000000000001</v>
      </c>
      <c r="G2117" t="s">
        <v>13</v>
      </c>
    </row>
    <row r="2118" spans="1:7" x14ac:dyDescent="0.25">
      <c r="A2118">
        <v>177</v>
      </c>
      <c r="B2118" t="s">
        <v>465</v>
      </c>
      <c r="C2118">
        <v>50</v>
      </c>
      <c r="D2118" t="s">
        <v>105</v>
      </c>
      <c r="E2118" t="s">
        <v>14</v>
      </c>
      <c r="F2118">
        <v>71.231999999999999</v>
      </c>
      <c r="G2118" t="s">
        <v>13</v>
      </c>
    </row>
    <row r="2119" spans="1:7" x14ac:dyDescent="0.25">
      <c r="A2119">
        <v>177</v>
      </c>
      <c r="B2119" t="s">
        <v>465</v>
      </c>
      <c r="C2119">
        <v>60</v>
      </c>
      <c r="D2119" t="s">
        <v>106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465</v>
      </c>
      <c r="C2120">
        <v>70</v>
      </c>
      <c r="D2120" t="s">
        <v>104</v>
      </c>
      <c r="E2120" t="s">
        <v>12</v>
      </c>
      <c r="F2120">
        <v>7.6999999999999999E-2</v>
      </c>
      <c r="G2120" t="s">
        <v>13</v>
      </c>
    </row>
    <row r="2121" spans="1:7" x14ac:dyDescent="0.25">
      <c r="A2121">
        <v>177</v>
      </c>
      <c r="B2121" t="s">
        <v>465</v>
      </c>
      <c r="C2121">
        <v>80</v>
      </c>
      <c r="D2121" t="s">
        <v>192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465</v>
      </c>
      <c r="C2122">
        <v>90</v>
      </c>
      <c r="D2122" t="s">
        <v>18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465</v>
      </c>
      <c r="C2123">
        <v>100</v>
      </c>
      <c r="D2123" t="s">
        <v>19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465</v>
      </c>
      <c r="C2124">
        <v>110</v>
      </c>
      <c r="D2124" t="s">
        <v>101</v>
      </c>
      <c r="E2124" t="s">
        <v>12</v>
      </c>
      <c r="F2124">
        <v>0.65300000000000002</v>
      </c>
      <c r="G2124" t="s">
        <v>13</v>
      </c>
    </row>
    <row r="2125" spans="1:7" x14ac:dyDescent="0.25">
      <c r="A2125">
        <v>177</v>
      </c>
      <c r="B2125" t="s">
        <v>465</v>
      </c>
      <c r="C2125">
        <v>120</v>
      </c>
      <c r="D2125" t="s">
        <v>466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467</v>
      </c>
      <c r="C2126">
        <v>10</v>
      </c>
      <c r="D2126" t="s">
        <v>107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467</v>
      </c>
      <c r="C2127">
        <v>20</v>
      </c>
      <c r="D2127" t="s">
        <v>565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467</v>
      </c>
      <c r="C2128">
        <v>30</v>
      </c>
      <c r="D2128" t="s">
        <v>99</v>
      </c>
      <c r="E2128" t="s">
        <v>100</v>
      </c>
      <c r="F2128">
        <v>0.29199999999999998</v>
      </c>
      <c r="G2128" t="s">
        <v>13</v>
      </c>
    </row>
    <row r="2129" spans="1:7" x14ac:dyDescent="0.25">
      <c r="A2129">
        <v>178</v>
      </c>
      <c r="B2129" t="s">
        <v>467</v>
      </c>
      <c r="C2129">
        <v>40</v>
      </c>
      <c r="D2129" t="s">
        <v>108</v>
      </c>
      <c r="E2129" t="s">
        <v>14</v>
      </c>
      <c r="F2129">
        <v>12.192</v>
      </c>
      <c r="G2129" t="s">
        <v>13</v>
      </c>
    </row>
    <row r="2130" spans="1:7" x14ac:dyDescent="0.25">
      <c r="A2130">
        <v>178</v>
      </c>
      <c r="B2130" t="s">
        <v>467</v>
      </c>
      <c r="C2130">
        <v>50</v>
      </c>
      <c r="D2130" t="s">
        <v>105</v>
      </c>
      <c r="E2130" t="s">
        <v>14</v>
      </c>
      <c r="F2130">
        <v>74.980999999999995</v>
      </c>
      <c r="G2130" t="s">
        <v>13</v>
      </c>
    </row>
    <row r="2131" spans="1:7" x14ac:dyDescent="0.25">
      <c r="A2131">
        <v>178</v>
      </c>
      <c r="B2131" t="s">
        <v>467</v>
      </c>
      <c r="C2131">
        <v>60</v>
      </c>
      <c r="D2131" t="s">
        <v>106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467</v>
      </c>
      <c r="C2132">
        <v>70</v>
      </c>
      <c r="D2132" t="s">
        <v>104</v>
      </c>
      <c r="E2132" t="s">
        <v>12</v>
      </c>
      <c r="F2132">
        <v>8.7999999999999995E-2</v>
      </c>
      <c r="G2132" t="s">
        <v>13</v>
      </c>
    </row>
    <row r="2133" spans="1:7" x14ac:dyDescent="0.25">
      <c r="A2133">
        <v>178</v>
      </c>
      <c r="B2133" t="s">
        <v>467</v>
      </c>
      <c r="C2133">
        <v>80</v>
      </c>
      <c r="D2133" t="s">
        <v>192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467</v>
      </c>
      <c r="C2134">
        <v>90</v>
      </c>
      <c r="D2134" t="s">
        <v>18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467</v>
      </c>
      <c r="C2135">
        <v>100</v>
      </c>
      <c r="D2135" t="s">
        <v>19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467</v>
      </c>
      <c r="C2136">
        <v>110</v>
      </c>
      <c r="D2136" t="s">
        <v>101</v>
      </c>
      <c r="E2136" t="s">
        <v>12</v>
      </c>
      <c r="F2136">
        <v>0.65300000000000002</v>
      </c>
      <c r="G2136" t="s">
        <v>13</v>
      </c>
    </row>
    <row r="2137" spans="1:7" x14ac:dyDescent="0.25">
      <c r="A2137">
        <v>178</v>
      </c>
      <c r="B2137" t="s">
        <v>467</v>
      </c>
      <c r="C2137">
        <v>120</v>
      </c>
      <c r="D2137" t="s">
        <v>468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469</v>
      </c>
      <c r="C2138">
        <v>10</v>
      </c>
      <c r="D2138" t="s">
        <v>107</v>
      </c>
      <c r="E2138" t="s">
        <v>14</v>
      </c>
      <c r="F2138">
        <v>2.0569999999999999</v>
      </c>
      <c r="G2138" t="s">
        <v>15</v>
      </c>
    </row>
    <row r="2139" spans="1:7" x14ac:dyDescent="0.25">
      <c r="A2139">
        <v>179</v>
      </c>
      <c r="B2139" t="s">
        <v>469</v>
      </c>
      <c r="C2139">
        <v>20</v>
      </c>
      <c r="D2139" t="s">
        <v>565</v>
      </c>
      <c r="E2139" t="s">
        <v>14</v>
      </c>
      <c r="F2139">
        <v>2.0569999999999999</v>
      </c>
      <c r="G2139" t="s">
        <v>15</v>
      </c>
    </row>
    <row r="2140" spans="1:7" x14ac:dyDescent="0.25">
      <c r="A2140">
        <v>179</v>
      </c>
      <c r="B2140" t="s">
        <v>469</v>
      </c>
      <c r="C2140">
        <v>30</v>
      </c>
      <c r="D2140" t="s">
        <v>99</v>
      </c>
      <c r="E2140" t="s">
        <v>100</v>
      </c>
      <c r="F2140">
        <v>0.34</v>
      </c>
      <c r="G2140" t="s">
        <v>13</v>
      </c>
    </row>
    <row r="2141" spans="1:7" x14ac:dyDescent="0.25">
      <c r="A2141">
        <v>179</v>
      </c>
      <c r="B2141" t="s">
        <v>469</v>
      </c>
      <c r="C2141">
        <v>40</v>
      </c>
      <c r="D2141" t="s">
        <v>108</v>
      </c>
      <c r="E2141" t="s">
        <v>14</v>
      </c>
      <c r="F2141">
        <v>12.802</v>
      </c>
      <c r="G2141" t="s">
        <v>13</v>
      </c>
    </row>
    <row r="2142" spans="1:7" x14ac:dyDescent="0.25">
      <c r="A2142">
        <v>179</v>
      </c>
      <c r="B2142" t="s">
        <v>469</v>
      </c>
      <c r="C2142">
        <v>50</v>
      </c>
      <c r="D2142" t="s">
        <v>105</v>
      </c>
      <c r="E2142" t="s">
        <v>14</v>
      </c>
      <c r="F2142">
        <v>78.73</v>
      </c>
      <c r="G2142" t="s">
        <v>13</v>
      </c>
    </row>
    <row r="2143" spans="1:7" x14ac:dyDescent="0.25">
      <c r="A2143">
        <v>179</v>
      </c>
      <c r="B2143" t="s">
        <v>469</v>
      </c>
      <c r="C2143">
        <v>60</v>
      </c>
      <c r="D2143" t="s">
        <v>106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469</v>
      </c>
      <c r="C2144">
        <v>70</v>
      </c>
      <c r="D2144" t="s">
        <v>104</v>
      </c>
      <c r="E2144" t="s">
        <v>12</v>
      </c>
      <c r="F2144">
        <v>0.1</v>
      </c>
      <c r="G2144" t="s">
        <v>13</v>
      </c>
    </row>
    <row r="2145" spans="1:7" x14ac:dyDescent="0.25">
      <c r="A2145">
        <v>179</v>
      </c>
      <c r="B2145" t="s">
        <v>469</v>
      </c>
      <c r="C2145">
        <v>80</v>
      </c>
      <c r="D2145" t="s">
        <v>192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469</v>
      </c>
      <c r="C2146">
        <v>90</v>
      </c>
      <c r="D2146" t="s">
        <v>18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469</v>
      </c>
      <c r="C2147">
        <v>100</v>
      </c>
      <c r="D2147" t="s">
        <v>19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469</v>
      </c>
      <c r="C2148">
        <v>110</v>
      </c>
      <c r="D2148" t="s">
        <v>101</v>
      </c>
      <c r="E2148" t="s">
        <v>12</v>
      </c>
      <c r="F2148">
        <v>0.65300000000000002</v>
      </c>
      <c r="G2148" t="s">
        <v>13</v>
      </c>
    </row>
    <row r="2149" spans="1:7" x14ac:dyDescent="0.25">
      <c r="A2149">
        <v>179</v>
      </c>
      <c r="B2149" t="s">
        <v>469</v>
      </c>
      <c r="C2149">
        <v>120</v>
      </c>
      <c r="D2149" t="s">
        <v>470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471</v>
      </c>
      <c r="C2150">
        <v>10</v>
      </c>
      <c r="D2150" t="s">
        <v>107</v>
      </c>
      <c r="E2150" t="s">
        <v>14</v>
      </c>
      <c r="F2150">
        <v>2.0569999999999999</v>
      </c>
      <c r="G2150" t="s">
        <v>15</v>
      </c>
    </row>
    <row r="2151" spans="1:7" x14ac:dyDescent="0.25">
      <c r="A2151">
        <v>180</v>
      </c>
      <c r="B2151" t="s">
        <v>471</v>
      </c>
      <c r="C2151">
        <v>20</v>
      </c>
      <c r="D2151" t="s">
        <v>565</v>
      </c>
      <c r="E2151" t="s">
        <v>14</v>
      </c>
      <c r="F2151">
        <v>2.0569999999999999</v>
      </c>
      <c r="G2151" t="s">
        <v>15</v>
      </c>
    </row>
    <row r="2152" spans="1:7" x14ac:dyDescent="0.25">
      <c r="A2152">
        <v>180</v>
      </c>
      <c r="B2152" t="s">
        <v>471</v>
      </c>
      <c r="C2152">
        <v>30</v>
      </c>
      <c r="D2152" t="s">
        <v>99</v>
      </c>
      <c r="E2152" t="s">
        <v>100</v>
      </c>
      <c r="F2152">
        <v>0.38900000000000001</v>
      </c>
      <c r="G2152" t="s">
        <v>13</v>
      </c>
    </row>
    <row r="2153" spans="1:7" x14ac:dyDescent="0.25">
      <c r="A2153">
        <v>180</v>
      </c>
      <c r="B2153" t="s">
        <v>471</v>
      </c>
      <c r="C2153">
        <v>40</v>
      </c>
      <c r="D2153" t="s">
        <v>108</v>
      </c>
      <c r="E2153" t="s">
        <v>14</v>
      </c>
      <c r="F2153">
        <v>13.411</v>
      </c>
      <c r="G2153" t="s">
        <v>13</v>
      </c>
    </row>
    <row r="2154" spans="1:7" x14ac:dyDescent="0.25">
      <c r="A2154">
        <v>180</v>
      </c>
      <c r="B2154" t="s">
        <v>471</v>
      </c>
      <c r="C2154">
        <v>50</v>
      </c>
      <c r="D2154" t="s">
        <v>105</v>
      </c>
      <c r="E2154" t="s">
        <v>14</v>
      </c>
      <c r="F2154">
        <v>82.478999999999999</v>
      </c>
      <c r="G2154" t="s">
        <v>13</v>
      </c>
    </row>
    <row r="2155" spans="1:7" x14ac:dyDescent="0.25">
      <c r="A2155">
        <v>180</v>
      </c>
      <c r="B2155" t="s">
        <v>471</v>
      </c>
      <c r="C2155">
        <v>60</v>
      </c>
      <c r="D2155" t="s">
        <v>106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471</v>
      </c>
      <c r="C2156">
        <v>70</v>
      </c>
      <c r="D2156" t="s">
        <v>104</v>
      </c>
      <c r="E2156" t="s">
        <v>12</v>
      </c>
      <c r="F2156">
        <v>0.111</v>
      </c>
      <c r="G2156" t="s">
        <v>13</v>
      </c>
    </row>
    <row r="2157" spans="1:7" x14ac:dyDescent="0.25">
      <c r="A2157">
        <v>180</v>
      </c>
      <c r="B2157" t="s">
        <v>471</v>
      </c>
      <c r="C2157">
        <v>80</v>
      </c>
      <c r="D2157" t="s">
        <v>192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471</v>
      </c>
      <c r="C2158">
        <v>90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471</v>
      </c>
      <c r="C2159">
        <v>100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471</v>
      </c>
      <c r="C2160">
        <v>110</v>
      </c>
      <c r="D2160" t="s">
        <v>101</v>
      </c>
      <c r="E2160" t="s">
        <v>12</v>
      </c>
      <c r="F2160">
        <v>0.65300000000000002</v>
      </c>
      <c r="G2160" t="s">
        <v>13</v>
      </c>
    </row>
    <row r="2161" spans="1:7" x14ac:dyDescent="0.25">
      <c r="A2161">
        <v>180</v>
      </c>
      <c r="B2161" t="s">
        <v>471</v>
      </c>
      <c r="C2161">
        <v>120</v>
      </c>
      <c r="D2161" t="s">
        <v>472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473</v>
      </c>
      <c r="C2162">
        <v>10</v>
      </c>
      <c r="D2162" t="s">
        <v>107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181</v>
      </c>
      <c r="B2163" t="s">
        <v>473</v>
      </c>
      <c r="C2163">
        <v>20</v>
      </c>
      <c r="D2163" t="s">
        <v>565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181</v>
      </c>
      <c r="B2164" t="s">
        <v>473</v>
      </c>
      <c r="C2164">
        <v>30</v>
      </c>
      <c r="D2164" t="s">
        <v>99</v>
      </c>
      <c r="E2164" t="s">
        <v>100</v>
      </c>
      <c r="F2164">
        <v>0.48599999999999999</v>
      </c>
      <c r="G2164" t="s">
        <v>13</v>
      </c>
    </row>
    <row r="2165" spans="1:7" x14ac:dyDescent="0.25">
      <c r="A2165">
        <v>181</v>
      </c>
      <c r="B2165" t="s">
        <v>473</v>
      </c>
      <c r="C2165">
        <v>40</v>
      </c>
      <c r="D2165" t="s">
        <v>108</v>
      </c>
      <c r="E2165" t="s">
        <v>14</v>
      </c>
      <c r="F2165">
        <v>14.63</v>
      </c>
      <c r="G2165" t="s">
        <v>13</v>
      </c>
    </row>
    <row r="2166" spans="1:7" x14ac:dyDescent="0.25">
      <c r="A2166">
        <v>181</v>
      </c>
      <c r="B2166" t="s">
        <v>473</v>
      </c>
      <c r="C2166">
        <v>50</v>
      </c>
      <c r="D2166" t="s">
        <v>105</v>
      </c>
      <c r="E2166" t="s">
        <v>14</v>
      </c>
      <c r="F2166">
        <v>89.977000000000004</v>
      </c>
      <c r="G2166" t="s">
        <v>13</v>
      </c>
    </row>
    <row r="2167" spans="1:7" x14ac:dyDescent="0.25">
      <c r="A2167">
        <v>181</v>
      </c>
      <c r="B2167" t="s">
        <v>473</v>
      </c>
      <c r="C2167">
        <v>60</v>
      </c>
      <c r="D2167" t="s">
        <v>106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473</v>
      </c>
      <c r="C2168">
        <v>70</v>
      </c>
      <c r="D2168" t="s">
        <v>104</v>
      </c>
      <c r="E2168" t="s">
        <v>12</v>
      </c>
      <c r="F2168">
        <v>0.13300000000000001</v>
      </c>
      <c r="G2168" t="s">
        <v>13</v>
      </c>
    </row>
    <row r="2169" spans="1:7" x14ac:dyDescent="0.25">
      <c r="A2169">
        <v>181</v>
      </c>
      <c r="B2169" t="s">
        <v>473</v>
      </c>
      <c r="C2169">
        <v>80</v>
      </c>
      <c r="D2169" t="s">
        <v>192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473</v>
      </c>
      <c r="C2170">
        <v>90</v>
      </c>
      <c r="D2170" t="s">
        <v>18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473</v>
      </c>
      <c r="C2171">
        <v>100</v>
      </c>
      <c r="D2171" t="s">
        <v>19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473</v>
      </c>
      <c r="C2172">
        <v>110</v>
      </c>
      <c r="D2172" t="s">
        <v>101</v>
      </c>
      <c r="E2172" t="s">
        <v>12</v>
      </c>
      <c r="F2172">
        <v>0.65300000000000002</v>
      </c>
      <c r="G2172" t="s">
        <v>13</v>
      </c>
    </row>
    <row r="2173" spans="1:7" x14ac:dyDescent="0.25">
      <c r="A2173">
        <v>181</v>
      </c>
      <c r="B2173" t="s">
        <v>473</v>
      </c>
      <c r="C2173">
        <v>120</v>
      </c>
      <c r="D2173" t="s">
        <v>474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475</v>
      </c>
      <c r="C2174">
        <v>10</v>
      </c>
      <c r="D2174" t="s">
        <v>107</v>
      </c>
      <c r="E2174" t="s">
        <v>14</v>
      </c>
      <c r="F2174">
        <v>2.0569999999999999</v>
      </c>
      <c r="G2174" t="s">
        <v>15</v>
      </c>
    </row>
    <row r="2175" spans="1:7" x14ac:dyDescent="0.25">
      <c r="A2175">
        <v>182</v>
      </c>
      <c r="B2175" t="s">
        <v>475</v>
      </c>
      <c r="C2175">
        <v>20</v>
      </c>
      <c r="D2175" t="s">
        <v>565</v>
      </c>
      <c r="E2175" t="s">
        <v>14</v>
      </c>
      <c r="F2175">
        <v>2.0569999999999999</v>
      </c>
      <c r="G2175" t="s">
        <v>15</v>
      </c>
    </row>
    <row r="2176" spans="1:7" x14ac:dyDescent="0.25">
      <c r="A2176">
        <v>182</v>
      </c>
      <c r="B2176" t="s">
        <v>475</v>
      </c>
      <c r="C2176">
        <v>30</v>
      </c>
      <c r="D2176" t="s">
        <v>99</v>
      </c>
      <c r="E2176" t="s">
        <v>100</v>
      </c>
      <c r="F2176">
        <v>0.53500000000000003</v>
      </c>
      <c r="G2176" t="s">
        <v>13</v>
      </c>
    </row>
    <row r="2177" spans="1:7" x14ac:dyDescent="0.25">
      <c r="A2177">
        <v>182</v>
      </c>
      <c r="B2177" t="s">
        <v>475</v>
      </c>
      <c r="C2177">
        <v>40</v>
      </c>
      <c r="D2177" t="s">
        <v>108</v>
      </c>
      <c r="E2177" t="s">
        <v>14</v>
      </c>
      <c r="F2177">
        <v>15.24</v>
      </c>
      <c r="G2177" t="s">
        <v>13</v>
      </c>
    </row>
    <row r="2178" spans="1:7" x14ac:dyDescent="0.25">
      <c r="A2178">
        <v>182</v>
      </c>
      <c r="B2178" t="s">
        <v>475</v>
      </c>
      <c r="C2178">
        <v>50</v>
      </c>
      <c r="D2178" t="s">
        <v>105</v>
      </c>
      <c r="E2178" t="s">
        <v>14</v>
      </c>
      <c r="F2178">
        <v>93.725999999999999</v>
      </c>
      <c r="G2178" t="s">
        <v>13</v>
      </c>
    </row>
    <row r="2179" spans="1:7" x14ac:dyDescent="0.25">
      <c r="A2179">
        <v>182</v>
      </c>
      <c r="B2179" t="s">
        <v>475</v>
      </c>
      <c r="C2179">
        <v>60</v>
      </c>
      <c r="D2179" t="s">
        <v>106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475</v>
      </c>
      <c r="C2180">
        <v>70</v>
      </c>
      <c r="D2180" t="s">
        <v>104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182</v>
      </c>
      <c r="B2181" t="s">
        <v>475</v>
      </c>
      <c r="C2181">
        <v>80</v>
      </c>
      <c r="D2181" t="s">
        <v>192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475</v>
      </c>
      <c r="C2182">
        <v>90</v>
      </c>
      <c r="D2182" t="s">
        <v>18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475</v>
      </c>
      <c r="C2183">
        <v>100</v>
      </c>
      <c r="D2183" t="s">
        <v>19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475</v>
      </c>
      <c r="C2184">
        <v>110</v>
      </c>
      <c r="D2184" t="s">
        <v>101</v>
      </c>
      <c r="E2184" t="s">
        <v>12</v>
      </c>
      <c r="F2184">
        <v>0.65300000000000002</v>
      </c>
      <c r="G2184" t="s">
        <v>13</v>
      </c>
    </row>
    <row r="2185" spans="1:7" x14ac:dyDescent="0.25">
      <c r="A2185">
        <v>182</v>
      </c>
      <c r="B2185" t="s">
        <v>475</v>
      </c>
      <c r="C2185">
        <v>120</v>
      </c>
      <c r="D2185" t="s">
        <v>476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477</v>
      </c>
      <c r="C2186">
        <v>10</v>
      </c>
      <c r="D2186" t="s">
        <v>107</v>
      </c>
      <c r="E2186" t="s">
        <v>14</v>
      </c>
      <c r="F2186">
        <v>2.0569999999999999</v>
      </c>
      <c r="G2186" t="s">
        <v>15</v>
      </c>
    </row>
    <row r="2187" spans="1:7" x14ac:dyDescent="0.25">
      <c r="A2187">
        <v>183</v>
      </c>
      <c r="B2187" t="s">
        <v>477</v>
      </c>
      <c r="C2187">
        <v>20</v>
      </c>
      <c r="D2187" t="s">
        <v>565</v>
      </c>
      <c r="E2187" t="s">
        <v>14</v>
      </c>
      <c r="F2187">
        <v>2.0569999999999999</v>
      </c>
      <c r="G2187" t="s">
        <v>15</v>
      </c>
    </row>
    <row r="2188" spans="1:7" x14ac:dyDescent="0.25">
      <c r="A2188">
        <v>183</v>
      </c>
      <c r="B2188" t="s">
        <v>477</v>
      </c>
      <c r="C2188">
        <v>30</v>
      </c>
      <c r="D2188" t="s">
        <v>99</v>
      </c>
      <c r="E2188" t="s">
        <v>100</v>
      </c>
      <c r="F2188">
        <v>0.58299999999999996</v>
      </c>
      <c r="G2188" t="s">
        <v>13</v>
      </c>
    </row>
    <row r="2189" spans="1:7" x14ac:dyDescent="0.25">
      <c r="A2189">
        <v>183</v>
      </c>
      <c r="B2189" t="s">
        <v>477</v>
      </c>
      <c r="C2189">
        <v>40</v>
      </c>
      <c r="D2189" t="s">
        <v>108</v>
      </c>
      <c r="E2189" t="s">
        <v>14</v>
      </c>
      <c r="F2189">
        <v>15.85</v>
      </c>
      <c r="G2189" t="s">
        <v>13</v>
      </c>
    </row>
    <row r="2190" spans="1:7" x14ac:dyDescent="0.25">
      <c r="A2190">
        <v>183</v>
      </c>
      <c r="B2190" t="s">
        <v>477</v>
      </c>
      <c r="C2190">
        <v>50</v>
      </c>
      <c r="D2190" t="s">
        <v>105</v>
      </c>
      <c r="E2190" t="s">
        <v>14</v>
      </c>
      <c r="F2190">
        <v>97.474999999999994</v>
      </c>
      <c r="G2190" t="s">
        <v>13</v>
      </c>
    </row>
    <row r="2191" spans="1:7" x14ac:dyDescent="0.25">
      <c r="A2191">
        <v>183</v>
      </c>
      <c r="B2191" t="s">
        <v>477</v>
      </c>
      <c r="C2191">
        <v>60</v>
      </c>
      <c r="D2191" t="s">
        <v>106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477</v>
      </c>
      <c r="C2192">
        <v>70</v>
      </c>
      <c r="D2192" t="s">
        <v>104</v>
      </c>
      <c r="E2192" t="s">
        <v>12</v>
      </c>
      <c r="F2192">
        <v>0.156</v>
      </c>
      <c r="G2192" t="s">
        <v>13</v>
      </c>
    </row>
    <row r="2193" spans="1:7" x14ac:dyDescent="0.25">
      <c r="A2193">
        <v>183</v>
      </c>
      <c r="B2193" t="s">
        <v>477</v>
      </c>
      <c r="C2193">
        <v>80</v>
      </c>
      <c r="D2193" t="s">
        <v>192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477</v>
      </c>
      <c r="C2194">
        <v>90</v>
      </c>
      <c r="D2194" t="s">
        <v>18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477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477</v>
      </c>
      <c r="C2196">
        <v>110</v>
      </c>
      <c r="D2196" t="s">
        <v>101</v>
      </c>
      <c r="E2196" t="s">
        <v>12</v>
      </c>
      <c r="F2196">
        <v>0.65300000000000002</v>
      </c>
      <c r="G2196" t="s">
        <v>13</v>
      </c>
    </row>
    <row r="2197" spans="1:7" x14ac:dyDescent="0.25">
      <c r="A2197">
        <v>183</v>
      </c>
      <c r="B2197" t="s">
        <v>477</v>
      </c>
      <c r="C2197">
        <v>120</v>
      </c>
      <c r="D2197" t="s">
        <v>478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479</v>
      </c>
      <c r="C2198">
        <v>10</v>
      </c>
      <c r="D2198" t="s">
        <v>107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479</v>
      </c>
      <c r="C2199">
        <v>20</v>
      </c>
      <c r="D2199" t="s">
        <v>565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479</v>
      </c>
      <c r="C2200">
        <v>30</v>
      </c>
      <c r="D2200" t="s">
        <v>99</v>
      </c>
      <c r="E2200" t="s">
        <v>100</v>
      </c>
      <c r="F2200">
        <v>0.255</v>
      </c>
      <c r="G2200" t="s">
        <v>13</v>
      </c>
    </row>
    <row r="2201" spans="1:7" x14ac:dyDescent="0.25">
      <c r="A2201">
        <v>184</v>
      </c>
      <c r="B2201" t="s">
        <v>479</v>
      </c>
      <c r="C2201">
        <v>40</v>
      </c>
      <c r="D2201" t="s">
        <v>108</v>
      </c>
      <c r="E2201" t="s">
        <v>14</v>
      </c>
      <c r="F2201">
        <v>11.989000000000001</v>
      </c>
      <c r="G2201" t="s">
        <v>13</v>
      </c>
    </row>
    <row r="2202" spans="1:7" x14ac:dyDescent="0.25">
      <c r="A2202">
        <v>184</v>
      </c>
      <c r="B2202" t="s">
        <v>479</v>
      </c>
      <c r="C2202">
        <v>50</v>
      </c>
      <c r="D2202" t="s">
        <v>105</v>
      </c>
      <c r="E2202" t="s">
        <v>14</v>
      </c>
      <c r="F2202">
        <v>73.730999999999995</v>
      </c>
      <c r="G2202" t="s">
        <v>13</v>
      </c>
    </row>
    <row r="2203" spans="1:7" x14ac:dyDescent="0.25">
      <c r="A2203">
        <v>184</v>
      </c>
      <c r="B2203" t="s">
        <v>479</v>
      </c>
      <c r="C2203">
        <v>60</v>
      </c>
      <c r="D2203" t="s">
        <v>106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479</v>
      </c>
      <c r="C2204">
        <v>70</v>
      </c>
      <c r="D2204" t="s">
        <v>104</v>
      </c>
      <c r="E2204" t="s">
        <v>12</v>
      </c>
      <c r="F2204">
        <v>7.6999999999999999E-2</v>
      </c>
      <c r="G2204" t="s">
        <v>13</v>
      </c>
    </row>
    <row r="2205" spans="1:7" x14ac:dyDescent="0.25">
      <c r="A2205">
        <v>184</v>
      </c>
      <c r="B2205" t="s">
        <v>479</v>
      </c>
      <c r="C2205">
        <v>80</v>
      </c>
      <c r="D2205" t="s">
        <v>192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479</v>
      </c>
      <c r="C2206">
        <v>90</v>
      </c>
      <c r="D2206" t="s">
        <v>18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479</v>
      </c>
      <c r="C2207">
        <v>100</v>
      </c>
      <c r="D2207" t="s">
        <v>19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479</v>
      </c>
      <c r="C2208">
        <v>110</v>
      </c>
      <c r="D2208" t="s">
        <v>101</v>
      </c>
      <c r="E2208" t="s">
        <v>12</v>
      </c>
      <c r="F2208">
        <v>0.68300000000000005</v>
      </c>
      <c r="G2208" t="s">
        <v>13</v>
      </c>
    </row>
    <row r="2209" spans="1:7" x14ac:dyDescent="0.25">
      <c r="A2209">
        <v>184</v>
      </c>
      <c r="B2209" t="s">
        <v>479</v>
      </c>
      <c r="C2209">
        <v>120</v>
      </c>
      <c r="D2209" t="s">
        <v>480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481</v>
      </c>
      <c r="C2210">
        <v>10</v>
      </c>
      <c r="D2210" t="s">
        <v>107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481</v>
      </c>
      <c r="C2211">
        <v>20</v>
      </c>
      <c r="D2211" t="s">
        <v>565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481</v>
      </c>
      <c r="C2212">
        <v>30</v>
      </c>
      <c r="D2212" t="s">
        <v>99</v>
      </c>
      <c r="E2212" t="s">
        <v>100</v>
      </c>
      <c r="F2212">
        <v>0.30599999999999999</v>
      </c>
      <c r="G2212" t="s">
        <v>13</v>
      </c>
    </row>
    <row r="2213" spans="1:7" x14ac:dyDescent="0.25">
      <c r="A2213">
        <v>185</v>
      </c>
      <c r="B2213" t="s">
        <v>481</v>
      </c>
      <c r="C2213">
        <v>40</v>
      </c>
      <c r="D2213" t="s">
        <v>108</v>
      </c>
      <c r="E2213" t="s">
        <v>14</v>
      </c>
      <c r="F2213">
        <v>12.598000000000001</v>
      </c>
      <c r="G2213" t="s">
        <v>13</v>
      </c>
    </row>
    <row r="2214" spans="1:7" x14ac:dyDescent="0.25">
      <c r="A2214">
        <v>185</v>
      </c>
      <c r="B2214" t="s">
        <v>481</v>
      </c>
      <c r="C2214">
        <v>50</v>
      </c>
      <c r="D2214" t="s">
        <v>105</v>
      </c>
      <c r="E2214" t="s">
        <v>14</v>
      </c>
      <c r="F2214">
        <v>77.48</v>
      </c>
      <c r="G2214" t="s">
        <v>13</v>
      </c>
    </row>
    <row r="2215" spans="1:7" x14ac:dyDescent="0.25">
      <c r="A2215">
        <v>185</v>
      </c>
      <c r="B2215" t="s">
        <v>481</v>
      </c>
      <c r="C2215">
        <v>60</v>
      </c>
      <c r="D2215" t="s">
        <v>106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481</v>
      </c>
      <c r="C2216">
        <v>70</v>
      </c>
      <c r="D2216" t="s">
        <v>104</v>
      </c>
      <c r="E2216" t="s">
        <v>12</v>
      </c>
      <c r="F2216">
        <v>8.7999999999999995E-2</v>
      </c>
      <c r="G2216" t="s">
        <v>13</v>
      </c>
    </row>
    <row r="2217" spans="1:7" x14ac:dyDescent="0.25">
      <c r="A2217">
        <v>185</v>
      </c>
      <c r="B2217" t="s">
        <v>481</v>
      </c>
      <c r="C2217">
        <v>80</v>
      </c>
      <c r="D2217" t="s">
        <v>192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481</v>
      </c>
      <c r="C2218">
        <v>90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481</v>
      </c>
      <c r="C2219">
        <v>100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481</v>
      </c>
      <c r="C2220">
        <v>110</v>
      </c>
      <c r="D2220" t="s">
        <v>101</v>
      </c>
      <c r="E2220" t="s">
        <v>12</v>
      </c>
      <c r="F2220">
        <v>0.68300000000000005</v>
      </c>
      <c r="G2220" t="s">
        <v>13</v>
      </c>
    </row>
    <row r="2221" spans="1:7" x14ac:dyDescent="0.25">
      <c r="A2221">
        <v>185</v>
      </c>
      <c r="B2221" t="s">
        <v>481</v>
      </c>
      <c r="C2221">
        <v>120</v>
      </c>
      <c r="D2221" t="s">
        <v>482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483</v>
      </c>
      <c r="C2222">
        <v>10</v>
      </c>
      <c r="D2222" t="s">
        <v>107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186</v>
      </c>
      <c r="B2223" t="s">
        <v>483</v>
      </c>
      <c r="C2223">
        <v>20</v>
      </c>
      <c r="D2223" t="s">
        <v>565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186</v>
      </c>
      <c r="B2224" t="s">
        <v>483</v>
      </c>
      <c r="C2224">
        <v>30</v>
      </c>
      <c r="D2224" t="s">
        <v>99</v>
      </c>
      <c r="E2224" t="s">
        <v>100</v>
      </c>
      <c r="F2224">
        <v>0.35699999999999998</v>
      </c>
      <c r="G2224" t="s">
        <v>13</v>
      </c>
    </row>
    <row r="2225" spans="1:7" x14ac:dyDescent="0.25">
      <c r="A2225">
        <v>186</v>
      </c>
      <c r="B2225" t="s">
        <v>483</v>
      </c>
      <c r="C2225">
        <v>40</v>
      </c>
      <c r="D2225" t="s">
        <v>108</v>
      </c>
      <c r="E2225" t="s">
        <v>14</v>
      </c>
      <c r="F2225">
        <v>13.208</v>
      </c>
      <c r="G2225" t="s">
        <v>13</v>
      </c>
    </row>
    <row r="2226" spans="1:7" x14ac:dyDescent="0.25">
      <c r="A2226">
        <v>186</v>
      </c>
      <c r="B2226" t="s">
        <v>483</v>
      </c>
      <c r="C2226">
        <v>50</v>
      </c>
      <c r="D2226" t="s">
        <v>105</v>
      </c>
      <c r="E2226" t="s">
        <v>14</v>
      </c>
      <c r="F2226">
        <v>81.228999999999999</v>
      </c>
      <c r="G2226" t="s">
        <v>13</v>
      </c>
    </row>
    <row r="2227" spans="1:7" x14ac:dyDescent="0.25">
      <c r="A2227">
        <v>186</v>
      </c>
      <c r="B2227" t="s">
        <v>483</v>
      </c>
      <c r="C2227">
        <v>60</v>
      </c>
      <c r="D2227" t="s">
        <v>106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483</v>
      </c>
      <c r="C2228">
        <v>70</v>
      </c>
      <c r="D2228" t="s">
        <v>104</v>
      </c>
      <c r="E2228" t="s">
        <v>12</v>
      </c>
      <c r="F2228">
        <v>0.1</v>
      </c>
      <c r="G2228" t="s">
        <v>13</v>
      </c>
    </row>
    <row r="2229" spans="1:7" x14ac:dyDescent="0.25">
      <c r="A2229">
        <v>186</v>
      </c>
      <c r="B2229" t="s">
        <v>483</v>
      </c>
      <c r="C2229">
        <v>80</v>
      </c>
      <c r="D2229" t="s">
        <v>192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483</v>
      </c>
      <c r="C2230">
        <v>90</v>
      </c>
      <c r="D2230" t="s">
        <v>18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483</v>
      </c>
      <c r="C2231">
        <v>100</v>
      </c>
      <c r="D2231" t="s">
        <v>19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483</v>
      </c>
      <c r="C2232">
        <v>110</v>
      </c>
      <c r="D2232" t="s">
        <v>101</v>
      </c>
      <c r="E2232" t="s">
        <v>12</v>
      </c>
      <c r="F2232">
        <v>0.68300000000000005</v>
      </c>
      <c r="G2232" t="s">
        <v>13</v>
      </c>
    </row>
    <row r="2233" spans="1:7" x14ac:dyDescent="0.25">
      <c r="A2233">
        <v>186</v>
      </c>
      <c r="B2233" t="s">
        <v>483</v>
      </c>
      <c r="C2233">
        <v>120</v>
      </c>
      <c r="D2233" t="s">
        <v>484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485</v>
      </c>
      <c r="C2234">
        <v>10</v>
      </c>
      <c r="D2234" t="s">
        <v>107</v>
      </c>
      <c r="E2234" t="s">
        <v>14</v>
      </c>
      <c r="F2234">
        <v>2.1589999999999998</v>
      </c>
      <c r="G2234" t="s">
        <v>15</v>
      </c>
    </row>
    <row r="2235" spans="1:7" x14ac:dyDescent="0.25">
      <c r="A2235">
        <v>187</v>
      </c>
      <c r="B2235" t="s">
        <v>485</v>
      </c>
      <c r="C2235">
        <v>20</v>
      </c>
      <c r="D2235" t="s">
        <v>565</v>
      </c>
      <c r="E2235" t="s">
        <v>14</v>
      </c>
      <c r="F2235">
        <v>2.1589999999999998</v>
      </c>
      <c r="G2235" t="s">
        <v>15</v>
      </c>
    </row>
    <row r="2236" spans="1:7" x14ac:dyDescent="0.25">
      <c r="A2236">
        <v>187</v>
      </c>
      <c r="B2236" t="s">
        <v>485</v>
      </c>
      <c r="C2236">
        <v>30</v>
      </c>
      <c r="D2236" t="s">
        <v>99</v>
      </c>
      <c r="E2236" t="s">
        <v>100</v>
      </c>
      <c r="F2236">
        <v>0.40799999999999997</v>
      </c>
      <c r="G2236" t="s">
        <v>13</v>
      </c>
    </row>
    <row r="2237" spans="1:7" x14ac:dyDescent="0.25">
      <c r="A2237">
        <v>187</v>
      </c>
      <c r="B2237" t="s">
        <v>485</v>
      </c>
      <c r="C2237">
        <v>40</v>
      </c>
      <c r="D2237" t="s">
        <v>108</v>
      </c>
      <c r="E2237" t="s">
        <v>14</v>
      </c>
      <c r="F2237">
        <v>13.818</v>
      </c>
      <c r="G2237" t="s">
        <v>13</v>
      </c>
    </row>
    <row r="2238" spans="1:7" x14ac:dyDescent="0.25">
      <c r="A2238">
        <v>187</v>
      </c>
      <c r="B2238" t="s">
        <v>485</v>
      </c>
      <c r="C2238">
        <v>50</v>
      </c>
      <c r="D2238" t="s">
        <v>105</v>
      </c>
      <c r="E2238" t="s">
        <v>14</v>
      </c>
      <c r="F2238">
        <v>84.977999999999994</v>
      </c>
      <c r="G2238" t="s">
        <v>13</v>
      </c>
    </row>
    <row r="2239" spans="1:7" x14ac:dyDescent="0.25">
      <c r="A2239">
        <v>187</v>
      </c>
      <c r="B2239" t="s">
        <v>485</v>
      </c>
      <c r="C2239">
        <v>60</v>
      </c>
      <c r="D2239" t="s">
        <v>106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485</v>
      </c>
      <c r="C2240">
        <v>70</v>
      </c>
      <c r="D2240" t="s">
        <v>104</v>
      </c>
      <c r="E2240" t="s">
        <v>12</v>
      </c>
      <c r="F2240">
        <v>0.111</v>
      </c>
      <c r="G2240" t="s">
        <v>13</v>
      </c>
    </row>
    <row r="2241" spans="1:7" x14ac:dyDescent="0.25">
      <c r="A2241">
        <v>187</v>
      </c>
      <c r="B2241" t="s">
        <v>485</v>
      </c>
      <c r="C2241">
        <v>80</v>
      </c>
      <c r="D2241" t="s">
        <v>192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485</v>
      </c>
      <c r="C2242">
        <v>90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485</v>
      </c>
      <c r="C2243">
        <v>100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485</v>
      </c>
      <c r="C2244">
        <v>110</v>
      </c>
      <c r="D2244" t="s">
        <v>101</v>
      </c>
      <c r="E2244" t="s">
        <v>12</v>
      </c>
      <c r="F2244">
        <v>0.68300000000000005</v>
      </c>
      <c r="G2244" t="s">
        <v>13</v>
      </c>
    </row>
    <row r="2245" spans="1:7" x14ac:dyDescent="0.25">
      <c r="A2245">
        <v>187</v>
      </c>
      <c r="B2245" t="s">
        <v>485</v>
      </c>
      <c r="C2245">
        <v>120</v>
      </c>
      <c r="D2245" t="s">
        <v>486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487</v>
      </c>
      <c r="C2246">
        <v>10</v>
      </c>
      <c r="D2246" t="s">
        <v>107</v>
      </c>
      <c r="E2246" t="s">
        <v>14</v>
      </c>
      <c r="F2246">
        <v>2.1589999999999998</v>
      </c>
      <c r="G2246" t="s">
        <v>15</v>
      </c>
    </row>
    <row r="2247" spans="1:7" x14ac:dyDescent="0.25">
      <c r="A2247">
        <v>188</v>
      </c>
      <c r="B2247" t="s">
        <v>487</v>
      </c>
      <c r="C2247">
        <v>20</v>
      </c>
      <c r="D2247" t="s">
        <v>565</v>
      </c>
      <c r="E2247" t="s">
        <v>14</v>
      </c>
      <c r="F2247">
        <v>2.1589999999999998</v>
      </c>
      <c r="G2247" t="s">
        <v>15</v>
      </c>
    </row>
    <row r="2248" spans="1:7" x14ac:dyDescent="0.25">
      <c r="A2248">
        <v>188</v>
      </c>
      <c r="B2248" t="s">
        <v>487</v>
      </c>
      <c r="C2248">
        <v>30</v>
      </c>
      <c r="D2248" t="s">
        <v>99</v>
      </c>
      <c r="E2248" t="s">
        <v>100</v>
      </c>
      <c r="F2248">
        <v>0.51</v>
      </c>
      <c r="G2248" t="s">
        <v>13</v>
      </c>
    </row>
    <row r="2249" spans="1:7" x14ac:dyDescent="0.25">
      <c r="A2249">
        <v>188</v>
      </c>
      <c r="B2249" t="s">
        <v>487</v>
      </c>
      <c r="C2249">
        <v>40</v>
      </c>
      <c r="D2249" t="s">
        <v>108</v>
      </c>
      <c r="E2249" t="s">
        <v>14</v>
      </c>
      <c r="F2249">
        <v>15.037000000000001</v>
      </c>
      <c r="G2249" t="s">
        <v>13</v>
      </c>
    </row>
    <row r="2250" spans="1:7" x14ac:dyDescent="0.25">
      <c r="A2250">
        <v>188</v>
      </c>
      <c r="B2250" t="s">
        <v>487</v>
      </c>
      <c r="C2250">
        <v>50</v>
      </c>
      <c r="D2250" t="s">
        <v>105</v>
      </c>
      <c r="E2250" t="s">
        <v>14</v>
      </c>
      <c r="F2250">
        <v>92.475999999999999</v>
      </c>
      <c r="G2250" t="s">
        <v>13</v>
      </c>
    </row>
    <row r="2251" spans="1:7" x14ac:dyDescent="0.25">
      <c r="A2251">
        <v>188</v>
      </c>
      <c r="B2251" t="s">
        <v>487</v>
      </c>
      <c r="C2251">
        <v>60</v>
      </c>
      <c r="D2251" t="s">
        <v>106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487</v>
      </c>
      <c r="C2252">
        <v>70</v>
      </c>
      <c r="D2252" t="s">
        <v>104</v>
      </c>
      <c r="E2252" t="s">
        <v>12</v>
      </c>
      <c r="F2252">
        <v>0.13300000000000001</v>
      </c>
      <c r="G2252" t="s">
        <v>13</v>
      </c>
    </row>
    <row r="2253" spans="1:7" x14ac:dyDescent="0.25">
      <c r="A2253">
        <v>188</v>
      </c>
      <c r="B2253" t="s">
        <v>487</v>
      </c>
      <c r="C2253">
        <v>80</v>
      </c>
      <c r="D2253" t="s">
        <v>192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487</v>
      </c>
      <c r="C2254">
        <v>90</v>
      </c>
      <c r="D2254" t="s">
        <v>18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487</v>
      </c>
      <c r="C2255">
        <v>100</v>
      </c>
      <c r="D2255" t="s">
        <v>19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487</v>
      </c>
      <c r="C2256">
        <v>110</v>
      </c>
      <c r="D2256" t="s">
        <v>101</v>
      </c>
      <c r="E2256" t="s">
        <v>12</v>
      </c>
      <c r="F2256">
        <v>0.68300000000000005</v>
      </c>
      <c r="G2256" t="s">
        <v>13</v>
      </c>
    </row>
    <row r="2257" spans="1:7" x14ac:dyDescent="0.25">
      <c r="A2257">
        <v>188</v>
      </c>
      <c r="B2257" t="s">
        <v>487</v>
      </c>
      <c r="C2257">
        <v>120</v>
      </c>
      <c r="D2257" t="s">
        <v>488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489</v>
      </c>
      <c r="C2258">
        <v>10</v>
      </c>
      <c r="D2258" t="s">
        <v>107</v>
      </c>
      <c r="E2258" t="s">
        <v>14</v>
      </c>
      <c r="F2258">
        <v>2.1589999999999998</v>
      </c>
      <c r="G2258" t="s">
        <v>15</v>
      </c>
    </row>
    <row r="2259" spans="1:7" x14ac:dyDescent="0.25">
      <c r="A2259">
        <v>189</v>
      </c>
      <c r="B2259" t="s">
        <v>489</v>
      </c>
      <c r="C2259">
        <v>20</v>
      </c>
      <c r="D2259" t="s">
        <v>565</v>
      </c>
      <c r="E2259" t="s">
        <v>14</v>
      </c>
      <c r="F2259">
        <v>2.1589999999999998</v>
      </c>
      <c r="G2259" t="s">
        <v>15</v>
      </c>
    </row>
    <row r="2260" spans="1:7" x14ac:dyDescent="0.25">
      <c r="A2260">
        <v>189</v>
      </c>
      <c r="B2260" t="s">
        <v>489</v>
      </c>
      <c r="C2260">
        <v>30</v>
      </c>
      <c r="D2260" t="s">
        <v>99</v>
      </c>
      <c r="E2260" t="s">
        <v>100</v>
      </c>
      <c r="F2260">
        <v>0.56100000000000005</v>
      </c>
      <c r="G2260" t="s">
        <v>13</v>
      </c>
    </row>
    <row r="2261" spans="1:7" x14ac:dyDescent="0.25">
      <c r="A2261">
        <v>189</v>
      </c>
      <c r="B2261" t="s">
        <v>489</v>
      </c>
      <c r="C2261">
        <v>40</v>
      </c>
      <c r="D2261" t="s">
        <v>108</v>
      </c>
      <c r="E2261" t="s">
        <v>14</v>
      </c>
      <c r="F2261">
        <v>15.646000000000001</v>
      </c>
      <c r="G2261" t="s">
        <v>13</v>
      </c>
    </row>
    <row r="2262" spans="1:7" x14ac:dyDescent="0.25">
      <c r="A2262">
        <v>189</v>
      </c>
      <c r="B2262" t="s">
        <v>489</v>
      </c>
      <c r="C2262">
        <v>50</v>
      </c>
      <c r="D2262" t="s">
        <v>105</v>
      </c>
      <c r="E2262" t="s">
        <v>14</v>
      </c>
      <c r="F2262">
        <v>96.224999999999994</v>
      </c>
      <c r="G2262" t="s">
        <v>13</v>
      </c>
    </row>
    <row r="2263" spans="1:7" x14ac:dyDescent="0.25">
      <c r="A2263">
        <v>189</v>
      </c>
      <c r="B2263" t="s">
        <v>489</v>
      </c>
      <c r="C2263">
        <v>60</v>
      </c>
      <c r="D2263" t="s">
        <v>106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489</v>
      </c>
      <c r="C2264">
        <v>70</v>
      </c>
      <c r="D2264" t="s">
        <v>104</v>
      </c>
      <c r="E2264" t="s">
        <v>12</v>
      </c>
      <c r="F2264">
        <v>0.14499999999999999</v>
      </c>
      <c r="G2264" t="s">
        <v>13</v>
      </c>
    </row>
    <row r="2265" spans="1:7" x14ac:dyDescent="0.25">
      <c r="A2265">
        <v>189</v>
      </c>
      <c r="B2265" t="s">
        <v>489</v>
      </c>
      <c r="C2265">
        <v>80</v>
      </c>
      <c r="D2265" t="s">
        <v>192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489</v>
      </c>
      <c r="C2266">
        <v>90</v>
      </c>
      <c r="D2266" t="s">
        <v>18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489</v>
      </c>
      <c r="C2267">
        <v>100</v>
      </c>
      <c r="D2267" t="s">
        <v>19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489</v>
      </c>
      <c r="C2268">
        <v>110</v>
      </c>
      <c r="D2268" t="s">
        <v>101</v>
      </c>
      <c r="E2268" t="s">
        <v>12</v>
      </c>
      <c r="F2268">
        <v>0.68300000000000005</v>
      </c>
      <c r="G2268" t="s">
        <v>13</v>
      </c>
    </row>
    <row r="2269" spans="1:7" x14ac:dyDescent="0.25">
      <c r="A2269">
        <v>189</v>
      </c>
      <c r="B2269" t="s">
        <v>489</v>
      </c>
      <c r="C2269">
        <v>120</v>
      </c>
      <c r="D2269" t="s">
        <v>490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491</v>
      </c>
      <c r="C2270">
        <v>10</v>
      </c>
      <c r="D2270" t="s">
        <v>107</v>
      </c>
      <c r="E2270" t="s">
        <v>14</v>
      </c>
      <c r="F2270">
        <v>2.1589999999999998</v>
      </c>
      <c r="G2270" t="s">
        <v>15</v>
      </c>
    </row>
    <row r="2271" spans="1:7" x14ac:dyDescent="0.25">
      <c r="A2271">
        <v>190</v>
      </c>
      <c r="B2271" t="s">
        <v>491</v>
      </c>
      <c r="C2271">
        <v>20</v>
      </c>
      <c r="D2271" t="s">
        <v>565</v>
      </c>
      <c r="E2271" t="s">
        <v>14</v>
      </c>
      <c r="F2271">
        <v>2.1589999999999998</v>
      </c>
      <c r="G2271" t="s">
        <v>15</v>
      </c>
    </row>
    <row r="2272" spans="1:7" x14ac:dyDescent="0.25">
      <c r="A2272">
        <v>190</v>
      </c>
      <c r="B2272" t="s">
        <v>491</v>
      </c>
      <c r="C2272">
        <v>30</v>
      </c>
      <c r="D2272" t="s">
        <v>99</v>
      </c>
      <c r="E2272" t="s">
        <v>100</v>
      </c>
      <c r="F2272">
        <v>0.61199999999999999</v>
      </c>
      <c r="G2272" t="s">
        <v>13</v>
      </c>
    </row>
    <row r="2273" spans="1:7" x14ac:dyDescent="0.25">
      <c r="A2273">
        <v>190</v>
      </c>
      <c r="B2273" t="s">
        <v>491</v>
      </c>
      <c r="C2273">
        <v>40</v>
      </c>
      <c r="D2273" t="s">
        <v>108</v>
      </c>
      <c r="E2273" t="s">
        <v>14</v>
      </c>
      <c r="F2273">
        <v>16.256</v>
      </c>
      <c r="G2273" t="s">
        <v>13</v>
      </c>
    </row>
    <row r="2274" spans="1:7" x14ac:dyDescent="0.25">
      <c r="A2274">
        <v>190</v>
      </c>
      <c r="B2274" t="s">
        <v>491</v>
      </c>
      <c r="C2274">
        <v>50</v>
      </c>
      <c r="D2274" t="s">
        <v>105</v>
      </c>
      <c r="E2274" t="s">
        <v>14</v>
      </c>
      <c r="F2274">
        <v>99.974000000000004</v>
      </c>
      <c r="G2274" t="s">
        <v>13</v>
      </c>
    </row>
    <row r="2275" spans="1:7" x14ac:dyDescent="0.25">
      <c r="A2275">
        <v>190</v>
      </c>
      <c r="B2275" t="s">
        <v>491</v>
      </c>
      <c r="C2275">
        <v>60</v>
      </c>
      <c r="D2275" t="s">
        <v>106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491</v>
      </c>
      <c r="C2276">
        <v>70</v>
      </c>
      <c r="D2276" t="s">
        <v>104</v>
      </c>
      <c r="E2276" t="s">
        <v>12</v>
      </c>
      <c r="F2276">
        <v>0.156</v>
      </c>
      <c r="G2276" t="s">
        <v>13</v>
      </c>
    </row>
    <row r="2277" spans="1:7" x14ac:dyDescent="0.25">
      <c r="A2277">
        <v>190</v>
      </c>
      <c r="B2277" t="s">
        <v>491</v>
      </c>
      <c r="C2277">
        <v>80</v>
      </c>
      <c r="D2277" t="s">
        <v>192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491</v>
      </c>
      <c r="C2278">
        <v>90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491</v>
      </c>
      <c r="C2279">
        <v>100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491</v>
      </c>
      <c r="C2280">
        <v>110</v>
      </c>
      <c r="D2280" t="s">
        <v>101</v>
      </c>
      <c r="E2280" t="s">
        <v>12</v>
      </c>
      <c r="F2280">
        <v>0.68300000000000005</v>
      </c>
      <c r="G2280" t="s">
        <v>13</v>
      </c>
    </row>
    <row r="2281" spans="1:7" x14ac:dyDescent="0.25">
      <c r="A2281">
        <v>190</v>
      </c>
      <c r="B2281" t="s">
        <v>491</v>
      </c>
      <c r="C2281">
        <v>120</v>
      </c>
      <c r="D2281" t="s">
        <v>492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493</v>
      </c>
      <c r="C2282">
        <v>10</v>
      </c>
      <c r="D2282" t="s">
        <v>107</v>
      </c>
      <c r="E2282" t="s">
        <v>14</v>
      </c>
      <c r="F2282">
        <v>0.78700000000000003</v>
      </c>
      <c r="G2282" t="s">
        <v>15</v>
      </c>
    </row>
    <row r="2283" spans="1:7" x14ac:dyDescent="0.25">
      <c r="A2283">
        <v>191</v>
      </c>
      <c r="B2283" t="s">
        <v>493</v>
      </c>
      <c r="C2283">
        <v>20</v>
      </c>
      <c r="D2283" t="s">
        <v>565</v>
      </c>
      <c r="E2283" t="s">
        <v>14</v>
      </c>
      <c r="F2283">
        <v>0.78700000000000003</v>
      </c>
      <c r="G2283" t="s">
        <v>15</v>
      </c>
    </row>
    <row r="2284" spans="1:7" x14ac:dyDescent="0.25">
      <c r="A2284">
        <v>191</v>
      </c>
      <c r="B2284" t="s">
        <v>493</v>
      </c>
      <c r="C2284">
        <v>30</v>
      </c>
      <c r="D2284" t="s">
        <v>99</v>
      </c>
      <c r="E2284" t="s">
        <v>100</v>
      </c>
      <c r="F2284">
        <v>0.219</v>
      </c>
      <c r="G2284" t="s">
        <v>13</v>
      </c>
    </row>
    <row r="2285" spans="1:7" x14ac:dyDescent="0.25">
      <c r="A2285">
        <v>191</v>
      </c>
      <c r="B2285" t="s">
        <v>493</v>
      </c>
      <c r="C2285">
        <v>40</v>
      </c>
      <c r="D2285" t="s">
        <v>108</v>
      </c>
      <c r="E2285" t="s">
        <v>14</v>
      </c>
      <c r="F2285">
        <v>10.77</v>
      </c>
      <c r="G2285" t="s">
        <v>13</v>
      </c>
    </row>
    <row r="2286" spans="1:7" x14ac:dyDescent="0.25">
      <c r="A2286">
        <v>191</v>
      </c>
      <c r="B2286" t="s">
        <v>493</v>
      </c>
      <c r="C2286">
        <v>50</v>
      </c>
      <c r="D2286" t="s">
        <v>105</v>
      </c>
      <c r="E2286" t="s">
        <v>14</v>
      </c>
      <c r="F2286">
        <v>66.233000000000004</v>
      </c>
      <c r="G2286" t="s">
        <v>13</v>
      </c>
    </row>
    <row r="2287" spans="1:7" x14ac:dyDescent="0.25">
      <c r="A2287">
        <v>191</v>
      </c>
      <c r="B2287" t="s">
        <v>493</v>
      </c>
      <c r="C2287">
        <v>60</v>
      </c>
      <c r="D2287" t="s">
        <v>106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493</v>
      </c>
      <c r="C2288">
        <v>70</v>
      </c>
      <c r="D2288" t="s">
        <v>104</v>
      </c>
      <c r="E2288" t="s">
        <v>12</v>
      </c>
      <c r="F2288">
        <v>7.9000000000000001E-2</v>
      </c>
      <c r="G2288" t="s">
        <v>13</v>
      </c>
    </row>
    <row r="2289" spans="1:7" x14ac:dyDescent="0.25">
      <c r="A2289">
        <v>191</v>
      </c>
      <c r="B2289" t="s">
        <v>493</v>
      </c>
      <c r="C2289">
        <v>80</v>
      </c>
      <c r="D2289" t="s">
        <v>273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493</v>
      </c>
      <c r="C2290">
        <v>90</v>
      </c>
      <c r="D2290" t="s">
        <v>18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493</v>
      </c>
      <c r="C2291">
        <v>100</v>
      </c>
      <c r="D2291" t="s">
        <v>19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493</v>
      </c>
      <c r="C2292">
        <v>110</v>
      </c>
      <c r="D2292" t="s">
        <v>101</v>
      </c>
      <c r="E2292" t="s">
        <v>12</v>
      </c>
      <c r="F2292">
        <v>0.28499999999999998</v>
      </c>
      <c r="G2292" t="s">
        <v>13</v>
      </c>
    </row>
    <row r="2293" spans="1:7" x14ac:dyDescent="0.25">
      <c r="A2293">
        <v>191</v>
      </c>
      <c r="B2293" t="s">
        <v>493</v>
      </c>
      <c r="C2293">
        <v>120</v>
      </c>
      <c r="D2293" t="s">
        <v>494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495</v>
      </c>
      <c r="C2294">
        <v>10</v>
      </c>
      <c r="D2294" t="s">
        <v>107</v>
      </c>
      <c r="E2294" t="s">
        <v>14</v>
      </c>
      <c r="F2294">
        <v>0.94</v>
      </c>
      <c r="G2294" t="s">
        <v>15</v>
      </c>
    </row>
    <row r="2295" spans="1:7" x14ac:dyDescent="0.25">
      <c r="A2295">
        <v>192</v>
      </c>
      <c r="B2295" t="s">
        <v>495</v>
      </c>
      <c r="C2295">
        <v>20</v>
      </c>
      <c r="D2295" t="s">
        <v>565</v>
      </c>
      <c r="E2295" t="s">
        <v>14</v>
      </c>
      <c r="F2295">
        <v>0.94</v>
      </c>
      <c r="G2295" t="s">
        <v>15</v>
      </c>
    </row>
    <row r="2296" spans="1:7" x14ac:dyDescent="0.25">
      <c r="A2296">
        <v>192</v>
      </c>
      <c r="B2296" t="s">
        <v>495</v>
      </c>
      <c r="C2296">
        <v>30</v>
      </c>
      <c r="D2296" t="s">
        <v>99</v>
      </c>
      <c r="E2296" t="s">
        <v>100</v>
      </c>
      <c r="F2296">
        <v>0.26200000000000001</v>
      </c>
      <c r="G2296" t="s">
        <v>13</v>
      </c>
    </row>
    <row r="2297" spans="1:7" x14ac:dyDescent="0.25">
      <c r="A2297">
        <v>192</v>
      </c>
      <c r="B2297" t="s">
        <v>495</v>
      </c>
      <c r="C2297">
        <v>40</v>
      </c>
      <c r="D2297" t="s">
        <v>108</v>
      </c>
      <c r="E2297" t="s">
        <v>14</v>
      </c>
      <c r="F2297">
        <v>11.379</v>
      </c>
      <c r="G2297" t="s">
        <v>13</v>
      </c>
    </row>
    <row r="2298" spans="1:7" x14ac:dyDescent="0.25">
      <c r="A2298">
        <v>192</v>
      </c>
      <c r="B2298" t="s">
        <v>495</v>
      </c>
      <c r="C2298">
        <v>50</v>
      </c>
      <c r="D2298" t="s">
        <v>105</v>
      </c>
      <c r="E2298" t="s">
        <v>14</v>
      </c>
      <c r="F2298">
        <v>69.981999999999999</v>
      </c>
      <c r="G2298" t="s">
        <v>13</v>
      </c>
    </row>
    <row r="2299" spans="1:7" x14ac:dyDescent="0.25">
      <c r="A2299">
        <v>192</v>
      </c>
      <c r="B2299" t="s">
        <v>495</v>
      </c>
      <c r="C2299">
        <v>60</v>
      </c>
      <c r="D2299" t="s">
        <v>106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495</v>
      </c>
      <c r="C2300">
        <v>70</v>
      </c>
      <c r="D2300" t="s">
        <v>104</v>
      </c>
      <c r="E2300" t="s">
        <v>12</v>
      </c>
      <c r="F2300">
        <v>0.09</v>
      </c>
      <c r="G2300" t="s">
        <v>13</v>
      </c>
    </row>
    <row r="2301" spans="1:7" x14ac:dyDescent="0.25">
      <c r="A2301">
        <v>192</v>
      </c>
      <c r="B2301" t="s">
        <v>495</v>
      </c>
      <c r="C2301">
        <v>80</v>
      </c>
      <c r="D2301" t="s">
        <v>273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495</v>
      </c>
      <c r="C2302">
        <v>90</v>
      </c>
      <c r="D2302" t="s">
        <v>18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495</v>
      </c>
      <c r="C2303">
        <v>100</v>
      </c>
      <c r="D2303" t="s">
        <v>19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495</v>
      </c>
      <c r="C2304">
        <v>110</v>
      </c>
      <c r="D2304" t="s">
        <v>101</v>
      </c>
      <c r="E2304" t="s">
        <v>12</v>
      </c>
      <c r="F2304">
        <v>0.33</v>
      </c>
      <c r="G2304" t="s">
        <v>13</v>
      </c>
    </row>
    <row r="2305" spans="1:7" x14ac:dyDescent="0.25">
      <c r="A2305">
        <v>192</v>
      </c>
      <c r="B2305" t="s">
        <v>495</v>
      </c>
      <c r="C2305">
        <v>120</v>
      </c>
      <c r="D2305" t="s">
        <v>496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497</v>
      </c>
      <c r="C2306">
        <v>10</v>
      </c>
      <c r="D2306" t="s">
        <v>107</v>
      </c>
      <c r="E2306" t="s">
        <v>14</v>
      </c>
      <c r="F2306">
        <v>1.0920000000000001</v>
      </c>
      <c r="G2306" t="s">
        <v>15</v>
      </c>
    </row>
    <row r="2307" spans="1:7" x14ac:dyDescent="0.25">
      <c r="A2307">
        <v>193</v>
      </c>
      <c r="B2307" t="s">
        <v>497</v>
      </c>
      <c r="C2307">
        <v>20</v>
      </c>
      <c r="D2307" t="s">
        <v>565</v>
      </c>
      <c r="E2307" t="s">
        <v>14</v>
      </c>
      <c r="F2307">
        <v>1.0920000000000001</v>
      </c>
      <c r="G2307" t="s">
        <v>15</v>
      </c>
    </row>
    <row r="2308" spans="1:7" x14ac:dyDescent="0.25">
      <c r="A2308">
        <v>193</v>
      </c>
      <c r="B2308" t="s">
        <v>497</v>
      </c>
      <c r="C2308">
        <v>30</v>
      </c>
      <c r="D2308" t="s">
        <v>99</v>
      </c>
      <c r="E2308" t="s">
        <v>100</v>
      </c>
      <c r="F2308">
        <v>0.30599999999999999</v>
      </c>
      <c r="G2308" t="s">
        <v>13</v>
      </c>
    </row>
    <row r="2309" spans="1:7" x14ac:dyDescent="0.25">
      <c r="A2309">
        <v>193</v>
      </c>
      <c r="B2309" t="s">
        <v>497</v>
      </c>
      <c r="C2309">
        <v>40</v>
      </c>
      <c r="D2309" t="s">
        <v>108</v>
      </c>
      <c r="E2309" t="s">
        <v>14</v>
      </c>
      <c r="F2309">
        <v>11.989000000000001</v>
      </c>
      <c r="G2309" t="s">
        <v>13</v>
      </c>
    </row>
    <row r="2310" spans="1:7" x14ac:dyDescent="0.25">
      <c r="A2310">
        <v>193</v>
      </c>
      <c r="B2310" t="s">
        <v>497</v>
      </c>
      <c r="C2310">
        <v>50</v>
      </c>
      <c r="D2310" t="s">
        <v>105</v>
      </c>
      <c r="E2310" t="s">
        <v>14</v>
      </c>
      <c r="F2310">
        <v>73.730999999999995</v>
      </c>
      <c r="G2310" t="s">
        <v>13</v>
      </c>
    </row>
    <row r="2311" spans="1:7" x14ac:dyDescent="0.25">
      <c r="A2311">
        <v>193</v>
      </c>
      <c r="B2311" t="s">
        <v>497</v>
      </c>
      <c r="C2311">
        <v>60</v>
      </c>
      <c r="D2311" t="s">
        <v>106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497</v>
      </c>
      <c r="C2312">
        <v>70</v>
      </c>
      <c r="D2312" t="s">
        <v>104</v>
      </c>
      <c r="E2312" t="s">
        <v>12</v>
      </c>
      <c r="F2312">
        <v>0.10100000000000001</v>
      </c>
      <c r="G2312" t="s">
        <v>13</v>
      </c>
    </row>
    <row r="2313" spans="1:7" x14ac:dyDescent="0.25">
      <c r="A2313">
        <v>193</v>
      </c>
      <c r="B2313" t="s">
        <v>497</v>
      </c>
      <c r="C2313">
        <v>80</v>
      </c>
      <c r="D2313" t="s">
        <v>273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497</v>
      </c>
      <c r="C2314">
        <v>90</v>
      </c>
      <c r="D2314" t="s">
        <v>18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497</v>
      </c>
      <c r="C2315">
        <v>100</v>
      </c>
      <c r="D2315" t="s">
        <v>19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497</v>
      </c>
      <c r="C2316">
        <v>110</v>
      </c>
      <c r="D2316" t="s">
        <v>101</v>
      </c>
      <c r="E2316" t="s">
        <v>12</v>
      </c>
      <c r="F2316">
        <v>0.375</v>
      </c>
      <c r="G2316" t="s">
        <v>13</v>
      </c>
    </row>
    <row r="2317" spans="1:7" x14ac:dyDescent="0.25">
      <c r="A2317">
        <v>193</v>
      </c>
      <c r="B2317" t="s">
        <v>497</v>
      </c>
      <c r="C2317">
        <v>120</v>
      </c>
      <c r="D2317" t="s">
        <v>498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499</v>
      </c>
      <c r="C2318">
        <v>10</v>
      </c>
      <c r="D2318" t="s">
        <v>107</v>
      </c>
      <c r="E2318" t="s">
        <v>14</v>
      </c>
      <c r="F2318">
        <v>1.2450000000000001</v>
      </c>
      <c r="G2318" t="s">
        <v>15</v>
      </c>
    </row>
    <row r="2319" spans="1:7" x14ac:dyDescent="0.25">
      <c r="A2319">
        <v>194</v>
      </c>
      <c r="B2319" t="s">
        <v>499</v>
      </c>
      <c r="C2319">
        <v>20</v>
      </c>
      <c r="D2319" t="s">
        <v>565</v>
      </c>
      <c r="E2319" t="s">
        <v>14</v>
      </c>
      <c r="F2319">
        <v>1.2450000000000001</v>
      </c>
      <c r="G2319" t="s">
        <v>15</v>
      </c>
    </row>
    <row r="2320" spans="1:7" x14ac:dyDescent="0.25">
      <c r="A2320">
        <v>194</v>
      </c>
      <c r="B2320" t="s">
        <v>499</v>
      </c>
      <c r="C2320">
        <v>30</v>
      </c>
      <c r="D2320" t="s">
        <v>99</v>
      </c>
      <c r="E2320" t="s">
        <v>100</v>
      </c>
      <c r="F2320">
        <v>0.35</v>
      </c>
      <c r="G2320" t="s">
        <v>13</v>
      </c>
    </row>
    <row r="2321" spans="1:7" x14ac:dyDescent="0.25">
      <c r="A2321">
        <v>194</v>
      </c>
      <c r="B2321" t="s">
        <v>499</v>
      </c>
      <c r="C2321">
        <v>40</v>
      </c>
      <c r="D2321" t="s">
        <v>108</v>
      </c>
      <c r="E2321" t="s">
        <v>14</v>
      </c>
      <c r="F2321">
        <v>12.598000000000001</v>
      </c>
      <c r="G2321" t="s">
        <v>13</v>
      </c>
    </row>
    <row r="2322" spans="1:7" x14ac:dyDescent="0.25">
      <c r="A2322">
        <v>194</v>
      </c>
      <c r="B2322" t="s">
        <v>499</v>
      </c>
      <c r="C2322">
        <v>50</v>
      </c>
      <c r="D2322" t="s">
        <v>105</v>
      </c>
      <c r="E2322" t="s">
        <v>14</v>
      </c>
      <c r="F2322">
        <v>77.48</v>
      </c>
      <c r="G2322" t="s">
        <v>13</v>
      </c>
    </row>
    <row r="2323" spans="1:7" x14ac:dyDescent="0.25">
      <c r="A2323">
        <v>194</v>
      </c>
      <c r="B2323" t="s">
        <v>499</v>
      </c>
      <c r="C2323">
        <v>60</v>
      </c>
      <c r="D2323" t="s">
        <v>106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499</v>
      </c>
      <c r="C2324">
        <v>70</v>
      </c>
      <c r="D2324" t="s">
        <v>104</v>
      </c>
      <c r="E2324" t="s">
        <v>12</v>
      </c>
      <c r="F2324">
        <v>0.113</v>
      </c>
      <c r="G2324" t="s">
        <v>13</v>
      </c>
    </row>
    <row r="2325" spans="1:7" x14ac:dyDescent="0.25">
      <c r="A2325">
        <v>194</v>
      </c>
      <c r="B2325" t="s">
        <v>499</v>
      </c>
      <c r="C2325">
        <v>80</v>
      </c>
      <c r="D2325" t="s">
        <v>273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499</v>
      </c>
      <c r="C2326">
        <v>90</v>
      </c>
      <c r="D2326" t="s">
        <v>18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499</v>
      </c>
      <c r="C2327">
        <v>100</v>
      </c>
      <c r="D2327" t="s">
        <v>19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499</v>
      </c>
      <c r="C2328">
        <v>110</v>
      </c>
      <c r="D2328" t="s">
        <v>101</v>
      </c>
      <c r="E2328" t="s">
        <v>12</v>
      </c>
      <c r="F2328">
        <v>0.42</v>
      </c>
      <c r="G2328" t="s">
        <v>13</v>
      </c>
    </row>
    <row r="2329" spans="1:7" x14ac:dyDescent="0.25">
      <c r="A2329">
        <v>194</v>
      </c>
      <c r="B2329" t="s">
        <v>499</v>
      </c>
      <c r="C2329">
        <v>120</v>
      </c>
      <c r="D2329" t="s">
        <v>500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501</v>
      </c>
      <c r="C2330">
        <v>10</v>
      </c>
      <c r="D2330" t="s">
        <v>107</v>
      </c>
      <c r="E2330" t="s">
        <v>14</v>
      </c>
      <c r="F2330">
        <v>1.5489999999999999</v>
      </c>
      <c r="G2330" t="s">
        <v>15</v>
      </c>
    </row>
    <row r="2331" spans="1:7" x14ac:dyDescent="0.25">
      <c r="A2331">
        <v>195</v>
      </c>
      <c r="B2331" t="s">
        <v>501</v>
      </c>
      <c r="C2331">
        <v>20</v>
      </c>
      <c r="D2331" t="s">
        <v>565</v>
      </c>
      <c r="E2331" t="s">
        <v>14</v>
      </c>
      <c r="F2331">
        <v>1.5489999999999999</v>
      </c>
      <c r="G2331" t="s">
        <v>15</v>
      </c>
    </row>
    <row r="2332" spans="1:7" x14ac:dyDescent="0.25">
      <c r="A2332">
        <v>195</v>
      </c>
      <c r="B2332" t="s">
        <v>501</v>
      </c>
      <c r="C2332">
        <v>30</v>
      </c>
      <c r="D2332" t="s">
        <v>99</v>
      </c>
      <c r="E2332" t="s">
        <v>100</v>
      </c>
      <c r="F2332">
        <v>0.437</v>
      </c>
      <c r="G2332" t="s">
        <v>13</v>
      </c>
    </row>
    <row r="2333" spans="1:7" x14ac:dyDescent="0.25">
      <c r="A2333">
        <v>195</v>
      </c>
      <c r="B2333" t="s">
        <v>501</v>
      </c>
      <c r="C2333">
        <v>40</v>
      </c>
      <c r="D2333" t="s">
        <v>108</v>
      </c>
      <c r="E2333" t="s">
        <v>14</v>
      </c>
      <c r="F2333">
        <v>13.818</v>
      </c>
      <c r="G2333" t="s">
        <v>13</v>
      </c>
    </row>
    <row r="2334" spans="1:7" x14ac:dyDescent="0.25">
      <c r="A2334">
        <v>195</v>
      </c>
      <c r="B2334" t="s">
        <v>501</v>
      </c>
      <c r="C2334">
        <v>50</v>
      </c>
      <c r="D2334" t="s">
        <v>105</v>
      </c>
      <c r="E2334" t="s">
        <v>14</v>
      </c>
      <c r="F2334">
        <v>84.977999999999994</v>
      </c>
      <c r="G2334" t="s">
        <v>13</v>
      </c>
    </row>
    <row r="2335" spans="1:7" x14ac:dyDescent="0.25">
      <c r="A2335">
        <v>195</v>
      </c>
      <c r="B2335" t="s">
        <v>501</v>
      </c>
      <c r="C2335">
        <v>60</v>
      </c>
      <c r="D2335" t="s">
        <v>106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501</v>
      </c>
      <c r="C2336">
        <v>70</v>
      </c>
      <c r="D2336" t="s">
        <v>104</v>
      </c>
      <c r="E2336" t="s">
        <v>12</v>
      </c>
      <c r="F2336">
        <v>0.13500000000000001</v>
      </c>
      <c r="G2336" t="s">
        <v>13</v>
      </c>
    </row>
    <row r="2337" spans="1:7" x14ac:dyDescent="0.25">
      <c r="A2337">
        <v>195</v>
      </c>
      <c r="B2337" t="s">
        <v>501</v>
      </c>
      <c r="C2337">
        <v>80</v>
      </c>
      <c r="D2337" t="s">
        <v>273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501</v>
      </c>
      <c r="C2338">
        <v>90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501</v>
      </c>
      <c r="C2339">
        <v>100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501</v>
      </c>
      <c r="C2340">
        <v>110</v>
      </c>
      <c r="D2340" t="s">
        <v>101</v>
      </c>
      <c r="E2340" t="s">
        <v>12</v>
      </c>
      <c r="F2340">
        <v>0.51</v>
      </c>
      <c r="G2340" t="s">
        <v>13</v>
      </c>
    </row>
    <row r="2341" spans="1:7" x14ac:dyDescent="0.25">
      <c r="A2341">
        <v>195</v>
      </c>
      <c r="B2341" t="s">
        <v>501</v>
      </c>
      <c r="C2341">
        <v>120</v>
      </c>
      <c r="D2341" t="s">
        <v>502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503</v>
      </c>
      <c r="C2342">
        <v>10</v>
      </c>
      <c r="D2342" t="s">
        <v>107</v>
      </c>
      <c r="E2342" t="s">
        <v>14</v>
      </c>
      <c r="F2342">
        <v>1.702</v>
      </c>
      <c r="G2342" t="s">
        <v>15</v>
      </c>
    </row>
    <row r="2343" spans="1:7" x14ac:dyDescent="0.25">
      <c r="A2343">
        <v>196</v>
      </c>
      <c r="B2343" t="s">
        <v>503</v>
      </c>
      <c r="C2343">
        <v>20</v>
      </c>
      <c r="D2343" t="s">
        <v>565</v>
      </c>
      <c r="E2343" t="s">
        <v>14</v>
      </c>
      <c r="F2343">
        <v>1.702</v>
      </c>
      <c r="G2343" t="s">
        <v>15</v>
      </c>
    </row>
    <row r="2344" spans="1:7" x14ac:dyDescent="0.25">
      <c r="A2344">
        <v>196</v>
      </c>
      <c r="B2344" t="s">
        <v>503</v>
      </c>
      <c r="C2344">
        <v>30</v>
      </c>
      <c r="D2344" t="s">
        <v>99</v>
      </c>
      <c r="E2344" t="s">
        <v>100</v>
      </c>
      <c r="F2344">
        <v>0.48099999999999998</v>
      </c>
      <c r="G2344" t="s">
        <v>13</v>
      </c>
    </row>
    <row r="2345" spans="1:7" x14ac:dyDescent="0.25">
      <c r="A2345">
        <v>196</v>
      </c>
      <c r="B2345" t="s">
        <v>503</v>
      </c>
      <c r="C2345">
        <v>40</v>
      </c>
      <c r="D2345" t="s">
        <v>108</v>
      </c>
      <c r="E2345" t="s">
        <v>14</v>
      </c>
      <c r="F2345">
        <v>14.427</v>
      </c>
      <c r="G2345" t="s">
        <v>13</v>
      </c>
    </row>
    <row r="2346" spans="1:7" x14ac:dyDescent="0.25">
      <c r="A2346">
        <v>196</v>
      </c>
      <c r="B2346" t="s">
        <v>503</v>
      </c>
      <c r="C2346">
        <v>50</v>
      </c>
      <c r="D2346" t="s">
        <v>105</v>
      </c>
      <c r="E2346" t="s">
        <v>14</v>
      </c>
      <c r="F2346">
        <v>88.727000000000004</v>
      </c>
      <c r="G2346" t="s">
        <v>13</v>
      </c>
    </row>
    <row r="2347" spans="1:7" x14ac:dyDescent="0.25">
      <c r="A2347">
        <v>196</v>
      </c>
      <c r="B2347" t="s">
        <v>503</v>
      </c>
      <c r="C2347">
        <v>60</v>
      </c>
      <c r="D2347" t="s">
        <v>106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503</v>
      </c>
      <c r="C2348">
        <v>70</v>
      </c>
      <c r="D2348" t="s">
        <v>104</v>
      </c>
      <c r="E2348" t="s">
        <v>12</v>
      </c>
      <c r="F2348">
        <v>0.14699999999999999</v>
      </c>
      <c r="G2348" t="s">
        <v>13</v>
      </c>
    </row>
    <row r="2349" spans="1:7" x14ac:dyDescent="0.25">
      <c r="A2349">
        <v>196</v>
      </c>
      <c r="B2349" t="s">
        <v>503</v>
      </c>
      <c r="C2349">
        <v>80</v>
      </c>
      <c r="D2349" t="s">
        <v>273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503</v>
      </c>
      <c r="C2350">
        <v>90</v>
      </c>
      <c r="D2350" t="s">
        <v>18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503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503</v>
      </c>
      <c r="C2352">
        <v>110</v>
      </c>
      <c r="D2352" t="s">
        <v>101</v>
      </c>
      <c r="E2352" t="s">
        <v>12</v>
      </c>
      <c r="F2352">
        <v>0.55500000000000005</v>
      </c>
      <c r="G2352" t="s">
        <v>13</v>
      </c>
    </row>
    <row r="2353" spans="1:7" x14ac:dyDescent="0.25">
      <c r="A2353">
        <v>196</v>
      </c>
      <c r="B2353" t="s">
        <v>503</v>
      </c>
      <c r="C2353">
        <v>120</v>
      </c>
      <c r="D2353" t="s">
        <v>504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505</v>
      </c>
      <c r="C2354">
        <v>10</v>
      </c>
      <c r="D2354" t="s">
        <v>107</v>
      </c>
      <c r="E2354" t="s">
        <v>14</v>
      </c>
      <c r="F2354">
        <v>1.8540000000000001</v>
      </c>
      <c r="G2354" t="s">
        <v>15</v>
      </c>
    </row>
    <row r="2355" spans="1:7" x14ac:dyDescent="0.25">
      <c r="A2355">
        <v>197</v>
      </c>
      <c r="B2355" t="s">
        <v>505</v>
      </c>
      <c r="C2355">
        <v>20</v>
      </c>
      <c r="D2355" t="s">
        <v>565</v>
      </c>
      <c r="E2355" t="s">
        <v>14</v>
      </c>
      <c r="F2355">
        <v>1.8540000000000001</v>
      </c>
      <c r="G2355" t="s">
        <v>15</v>
      </c>
    </row>
    <row r="2356" spans="1:7" x14ac:dyDescent="0.25">
      <c r="A2356">
        <v>197</v>
      </c>
      <c r="B2356" t="s">
        <v>505</v>
      </c>
      <c r="C2356">
        <v>30</v>
      </c>
      <c r="D2356" t="s">
        <v>99</v>
      </c>
      <c r="E2356" t="s">
        <v>100</v>
      </c>
      <c r="F2356">
        <v>0.52500000000000002</v>
      </c>
      <c r="G2356" t="s">
        <v>13</v>
      </c>
    </row>
    <row r="2357" spans="1:7" x14ac:dyDescent="0.25">
      <c r="A2357">
        <v>197</v>
      </c>
      <c r="B2357" t="s">
        <v>505</v>
      </c>
      <c r="C2357">
        <v>40</v>
      </c>
      <c r="D2357" t="s">
        <v>108</v>
      </c>
      <c r="E2357" t="s">
        <v>14</v>
      </c>
      <c r="F2357">
        <v>15.037000000000001</v>
      </c>
      <c r="G2357" t="s">
        <v>13</v>
      </c>
    </row>
    <row r="2358" spans="1:7" x14ac:dyDescent="0.25">
      <c r="A2358">
        <v>197</v>
      </c>
      <c r="B2358" t="s">
        <v>505</v>
      </c>
      <c r="C2358">
        <v>50</v>
      </c>
      <c r="D2358" t="s">
        <v>105</v>
      </c>
      <c r="E2358" t="s">
        <v>14</v>
      </c>
      <c r="F2358">
        <v>92.475999999999999</v>
      </c>
      <c r="G2358" t="s">
        <v>13</v>
      </c>
    </row>
    <row r="2359" spans="1:7" x14ac:dyDescent="0.25">
      <c r="A2359">
        <v>197</v>
      </c>
      <c r="B2359" t="s">
        <v>505</v>
      </c>
      <c r="C2359">
        <v>60</v>
      </c>
      <c r="D2359" t="s">
        <v>106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505</v>
      </c>
      <c r="C2360">
        <v>70</v>
      </c>
      <c r="D2360" t="s">
        <v>104</v>
      </c>
      <c r="E2360" t="s">
        <v>12</v>
      </c>
      <c r="F2360">
        <v>0.158</v>
      </c>
      <c r="G2360" t="s">
        <v>13</v>
      </c>
    </row>
    <row r="2361" spans="1:7" x14ac:dyDescent="0.25">
      <c r="A2361">
        <v>197</v>
      </c>
      <c r="B2361" t="s">
        <v>505</v>
      </c>
      <c r="C2361">
        <v>80</v>
      </c>
      <c r="D2361" t="s">
        <v>273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505</v>
      </c>
      <c r="C2362">
        <v>90</v>
      </c>
      <c r="D2362" t="s">
        <v>18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505</v>
      </c>
      <c r="C2363">
        <v>100</v>
      </c>
      <c r="D2363" t="s">
        <v>19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505</v>
      </c>
      <c r="C2364">
        <v>110</v>
      </c>
      <c r="D2364" t="s">
        <v>101</v>
      </c>
      <c r="E2364" t="s">
        <v>12</v>
      </c>
      <c r="F2364">
        <v>0.60099999999999998</v>
      </c>
      <c r="G2364" t="s">
        <v>13</v>
      </c>
    </row>
    <row r="2365" spans="1:7" x14ac:dyDescent="0.25">
      <c r="A2365">
        <v>197</v>
      </c>
      <c r="B2365" t="s">
        <v>505</v>
      </c>
      <c r="C2365">
        <v>120</v>
      </c>
      <c r="D2365" t="s">
        <v>506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507</v>
      </c>
      <c r="C2366">
        <v>10</v>
      </c>
      <c r="D2366" t="s">
        <v>107</v>
      </c>
      <c r="E2366" t="s">
        <v>14</v>
      </c>
      <c r="F2366">
        <v>0.78700000000000003</v>
      </c>
      <c r="G2366" t="s">
        <v>15</v>
      </c>
    </row>
    <row r="2367" spans="1:7" x14ac:dyDescent="0.25">
      <c r="A2367">
        <v>198</v>
      </c>
      <c r="B2367" t="s">
        <v>507</v>
      </c>
      <c r="C2367">
        <v>20</v>
      </c>
      <c r="D2367" t="s">
        <v>565</v>
      </c>
      <c r="E2367" t="s">
        <v>14</v>
      </c>
      <c r="F2367">
        <v>0.78700000000000003</v>
      </c>
      <c r="G2367" t="s">
        <v>15</v>
      </c>
    </row>
    <row r="2368" spans="1:7" x14ac:dyDescent="0.25">
      <c r="A2368">
        <v>198</v>
      </c>
      <c r="B2368" t="s">
        <v>507</v>
      </c>
      <c r="C2368">
        <v>30</v>
      </c>
      <c r="D2368" t="s">
        <v>99</v>
      </c>
      <c r="E2368" t="s">
        <v>100</v>
      </c>
      <c r="F2368">
        <v>0.22800000000000001</v>
      </c>
      <c r="G2368" t="s">
        <v>13</v>
      </c>
    </row>
    <row r="2369" spans="1:7" x14ac:dyDescent="0.25">
      <c r="A2369">
        <v>198</v>
      </c>
      <c r="B2369" t="s">
        <v>507</v>
      </c>
      <c r="C2369">
        <v>40</v>
      </c>
      <c r="D2369" t="s">
        <v>108</v>
      </c>
      <c r="E2369" t="s">
        <v>14</v>
      </c>
      <c r="F2369">
        <v>11.074</v>
      </c>
      <c r="G2369" t="s">
        <v>13</v>
      </c>
    </row>
    <row r="2370" spans="1:7" x14ac:dyDescent="0.25">
      <c r="A2370">
        <v>198</v>
      </c>
      <c r="B2370" t="s">
        <v>507</v>
      </c>
      <c r="C2370">
        <v>50</v>
      </c>
      <c r="D2370" t="s">
        <v>105</v>
      </c>
      <c r="E2370" t="s">
        <v>14</v>
      </c>
      <c r="F2370">
        <v>68.108000000000004</v>
      </c>
      <c r="G2370" t="s">
        <v>13</v>
      </c>
    </row>
    <row r="2371" spans="1:7" x14ac:dyDescent="0.25">
      <c r="A2371">
        <v>198</v>
      </c>
      <c r="B2371" t="s">
        <v>507</v>
      </c>
      <c r="C2371">
        <v>60</v>
      </c>
      <c r="D2371" t="s">
        <v>106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507</v>
      </c>
      <c r="C2372">
        <v>70</v>
      </c>
      <c r="D2372" t="s">
        <v>104</v>
      </c>
      <c r="E2372" t="s">
        <v>12</v>
      </c>
      <c r="F2372">
        <v>7.9000000000000001E-2</v>
      </c>
      <c r="G2372" t="s">
        <v>13</v>
      </c>
    </row>
    <row r="2373" spans="1:7" x14ac:dyDescent="0.25">
      <c r="A2373">
        <v>198</v>
      </c>
      <c r="B2373" t="s">
        <v>507</v>
      </c>
      <c r="C2373">
        <v>80</v>
      </c>
      <c r="D2373" t="s">
        <v>273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507</v>
      </c>
      <c r="C2374">
        <v>90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507</v>
      </c>
      <c r="C2375">
        <v>100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507</v>
      </c>
      <c r="C2376">
        <v>110</v>
      </c>
      <c r="D2376" t="s">
        <v>101</v>
      </c>
      <c r="E2376" t="s">
        <v>12</v>
      </c>
      <c r="F2376">
        <v>0.28499999999999998</v>
      </c>
      <c r="G2376" t="s">
        <v>13</v>
      </c>
    </row>
    <row r="2377" spans="1:7" x14ac:dyDescent="0.25">
      <c r="A2377">
        <v>198</v>
      </c>
      <c r="B2377" t="s">
        <v>507</v>
      </c>
      <c r="C2377">
        <v>120</v>
      </c>
      <c r="D2377" t="s">
        <v>508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509</v>
      </c>
      <c r="C2378">
        <v>10</v>
      </c>
      <c r="D2378" t="s">
        <v>107</v>
      </c>
      <c r="E2378" t="s">
        <v>14</v>
      </c>
      <c r="F2378">
        <v>0.94</v>
      </c>
      <c r="G2378" t="s">
        <v>15</v>
      </c>
    </row>
    <row r="2379" spans="1:7" x14ac:dyDescent="0.25">
      <c r="A2379">
        <v>199</v>
      </c>
      <c r="B2379" t="s">
        <v>509</v>
      </c>
      <c r="C2379">
        <v>20</v>
      </c>
      <c r="D2379" t="s">
        <v>565</v>
      </c>
      <c r="E2379" t="s">
        <v>14</v>
      </c>
      <c r="F2379">
        <v>0.94</v>
      </c>
      <c r="G2379" t="s">
        <v>15</v>
      </c>
    </row>
    <row r="2380" spans="1:7" x14ac:dyDescent="0.25">
      <c r="A2380">
        <v>199</v>
      </c>
      <c r="B2380" t="s">
        <v>509</v>
      </c>
      <c r="C2380">
        <v>30</v>
      </c>
      <c r="D2380" t="s">
        <v>99</v>
      </c>
      <c r="E2380" t="s">
        <v>100</v>
      </c>
      <c r="F2380">
        <v>0.27300000000000002</v>
      </c>
      <c r="G2380" t="s">
        <v>13</v>
      </c>
    </row>
    <row r="2381" spans="1:7" x14ac:dyDescent="0.25">
      <c r="A2381">
        <v>199</v>
      </c>
      <c r="B2381" t="s">
        <v>509</v>
      </c>
      <c r="C2381">
        <v>40</v>
      </c>
      <c r="D2381" t="s">
        <v>108</v>
      </c>
      <c r="E2381" t="s">
        <v>14</v>
      </c>
      <c r="F2381">
        <v>11.683999999999999</v>
      </c>
      <c r="G2381" t="s">
        <v>13</v>
      </c>
    </row>
    <row r="2382" spans="1:7" x14ac:dyDescent="0.25">
      <c r="A2382">
        <v>199</v>
      </c>
      <c r="B2382" t="s">
        <v>509</v>
      </c>
      <c r="C2382">
        <v>50</v>
      </c>
      <c r="D2382" t="s">
        <v>105</v>
      </c>
      <c r="E2382" t="s">
        <v>14</v>
      </c>
      <c r="F2382">
        <v>71.856999999999999</v>
      </c>
      <c r="G2382" t="s">
        <v>13</v>
      </c>
    </row>
    <row r="2383" spans="1:7" x14ac:dyDescent="0.25">
      <c r="A2383">
        <v>199</v>
      </c>
      <c r="B2383" t="s">
        <v>509</v>
      </c>
      <c r="C2383">
        <v>60</v>
      </c>
      <c r="D2383" t="s">
        <v>106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509</v>
      </c>
      <c r="C2384">
        <v>70</v>
      </c>
      <c r="D2384" t="s">
        <v>104</v>
      </c>
      <c r="E2384" t="s">
        <v>12</v>
      </c>
      <c r="F2384">
        <v>0.09</v>
      </c>
      <c r="G2384" t="s">
        <v>13</v>
      </c>
    </row>
    <row r="2385" spans="1:7" x14ac:dyDescent="0.25">
      <c r="A2385">
        <v>199</v>
      </c>
      <c r="B2385" t="s">
        <v>509</v>
      </c>
      <c r="C2385">
        <v>80</v>
      </c>
      <c r="D2385" t="s">
        <v>273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509</v>
      </c>
      <c r="C2386">
        <v>90</v>
      </c>
      <c r="D2386" t="s">
        <v>18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509</v>
      </c>
      <c r="C2387">
        <v>100</v>
      </c>
      <c r="D2387" t="s">
        <v>19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509</v>
      </c>
      <c r="C2388">
        <v>110</v>
      </c>
      <c r="D2388" t="s">
        <v>101</v>
      </c>
      <c r="E2388" t="s">
        <v>12</v>
      </c>
      <c r="F2388">
        <v>0.33</v>
      </c>
      <c r="G2388" t="s">
        <v>13</v>
      </c>
    </row>
    <row r="2389" spans="1:7" x14ac:dyDescent="0.25">
      <c r="A2389">
        <v>199</v>
      </c>
      <c r="B2389" t="s">
        <v>509</v>
      </c>
      <c r="C2389">
        <v>120</v>
      </c>
      <c r="D2389" t="s">
        <v>510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511</v>
      </c>
      <c r="C2390">
        <v>10</v>
      </c>
      <c r="D2390" t="s">
        <v>107</v>
      </c>
      <c r="E2390" t="s">
        <v>14</v>
      </c>
      <c r="F2390">
        <v>1.0920000000000001</v>
      </c>
      <c r="G2390" t="s">
        <v>15</v>
      </c>
    </row>
    <row r="2391" spans="1:7" x14ac:dyDescent="0.25">
      <c r="A2391">
        <v>200</v>
      </c>
      <c r="B2391" t="s">
        <v>511</v>
      </c>
      <c r="C2391">
        <v>20</v>
      </c>
      <c r="D2391" t="s">
        <v>565</v>
      </c>
      <c r="E2391" t="s">
        <v>14</v>
      </c>
      <c r="F2391">
        <v>1.0920000000000001</v>
      </c>
      <c r="G2391" t="s">
        <v>15</v>
      </c>
    </row>
    <row r="2392" spans="1:7" x14ac:dyDescent="0.25">
      <c r="A2392">
        <v>200</v>
      </c>
      <c r="B2392" t="s">
        <v>511</v>
      </c>
      <c r="C2392">
        <v>30</v>
      </c>
      <c r="D2392" t="s">
        <v>99</v>
      </c>
      <c r="E2392" t="s">
        <v>100</v>
      </c>
      <c r="F2392">
        <v>0.31900000000000001</v>
      </c>
      <c r="G2392" t="s">
        <v>13</v>
      </c>
    </row>
    <row r="2393" spans="1:7" x14ac:dyDescent="0.25">
      <c r="A2393">
        <v>200</v>
      </c>
      <c r="B2393" t="s">
        <v>511</v>
      </c>
      <c r="C2393">
        <v>40</v>
      </c>
      <c r="D2393" t="s">
        <v>108</v>
      </c>
      <c r="E2393" t="s">
        <v>14</v>
      </c>
      <c r="F2393">
        <v>12.294</v>
      </c>
      <c r="G2393" t="s">
        <v>13</v>
      </c>
    </row>
    <row r="2394" spans="1:7" x14ac:dyDescent="0.25">
      <c r="A2394">
        <v>200</v>
      </c>
      <c r="B2394" t="s">
        <v>511</v>
      </c>
      <c r="C2394">
        <v>50</v>
      </c>
      <c r="D2394" t="s">
        <v>105</v>
      </c>
      <c r="E2394" t="s">
        <v>14</v>
      </c>
      <c r="F2394">
        <v>75.605999999999995</v>
      </c>
      <c r="G2394" t="s">
        <v>13</v>
      </c>
    </row>
    <row r="2395" spans="1:7" x14ac:dyDescent="0.25">
      <c r="A2395">
        <v>200</v>
      </c>
      <c r="B2395" t="s">
        <v>511</v>
      </c>
      <c r="C2395">
        <v>60</v>
      </c>
      <c r="D2395" t="s">
        <v>106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511</v>
      </c>
      <c r="C2396">
        <v>70</v>
      </c>
      <c r="D2396" t="s">
        <v>104</v>
      </c>
      <c r="E2396" t="s">
        <v>12</v>
      </c>
      <c r="F2396">
        <v>0.10100000000000001</v>
      </c>
      <c r="G2396" t="s">
        <v>13</v>
      </c>
    </row>
    <row r="2397" spans="1:7" x14ac:dyDescent="0.25">
      <c r="A2397">
        <v>200</v>
      </c>
      <c r="B2397" t="s">
        <v>511</v>
      </c>
      <c r="C2397">
        <v>80</v>
      </c>
      <c r="D2397" t="s">
        <v>273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511</v>
      </c>
      <c r="C2398">
        <v>90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511</v>
      </c>
      <c r="C2399">
        <v>100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511</v>
      </c>
      <c r="C2400">
        <v>110</v>
      </c>
      <c r="D2400" t="s">
        <v>101</v>
      </c>
      <c r="E2400" t="s">
        <v>12</v>
      </c>
      <c r="F2400">
        <v>0.375</v>
      </c>
      <c r="G2400" t="s">
        <v>13</v>
      </c>
    </row>
    <row r="2401" spans="1:7" x14ac:dyDescent="0.25">
      <c r="A2401">
        <v>200</v>
      </c>
      <c r="B2401" t="s">
        <v>511</v>
      </c>
      <c r="C2401">
        <v>120</v>
      </c>
      <c r="D2401" t="s">
        <v>512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513</v>
      </c>
      <c r="C2402">
        <v>10</v>
      </c>
      <c r="D2402" t="s">
        <v>107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201</v>
      </c>
      <c r="B2403" t="s">
        <v>513</v>
      </c>
      <c r="C2403">
        <v>20</v>
      </c>
      <c r="D2403" t="s">
        <v>565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201</v>
      </c>
      <c r="B2404" t="s">
        <v>513</v>
      </c>
      <c r="C2404">
        <v>30</v>
      </c>
      <c r="D2404" t="s">
        <v>99</v>
      </c>
      <c r="E2404" t="s">
        <v>100</v>
      </c>
      <c r="F2404">
        <v>0.36499999999999999</v>
      </c>
      <c r="G2404" t="s">
        <v>13</v>
      </c>
    </row>
    <row r="2405" spans="1:7" x14ac:dyDescent="0.25">
      <c r="A2405">
        <v>201</v>
      </c>
      <c r="B2405" t="s">
        <v>513</v>
      </c>
      <c r="C2405">
        <v>40</v>
      </c>
      <c r="D2405" t="s">
        <v>108</v>
      </c>
      <c r="E2405" t="s">
        <v>14</v>
      </c>
      <c r="F2405">
        <v>12.903</v>
      </c>
      <c r="G2405" t="s">
        <v>13</v>
      </c>
    </row>
    <row r="2406" spans="1:7" x14ac:dyDescent="0.25">
      <c r="A2406">
        <v>201</v>
      </c>
      <c r="B2406" t="s">
        <v>513</v>
      </c>
      <c r="C2406">
        <v>50</v>
      </c>
      <c r="D2406" t="s">
        <v>105</v>
      </c>
      <c r="E2406" t="s">
        <v>14</v>
      </c>
      <c r="F2406">
        <v>79.355000000000004</v>
      </c>
      <c r="G2406" t="s">
        <v>13</v>
      </c>
    </row>
    <row r="2407" spans="1:7" x14ac:dyDescent="0.25">
      <c r="A2407">
        <v>201</v>
      </c>
      <c r="B2407" t="s">
        <v>513</v>
      </c>
      <c r="C2407">
        <v>60</v>
      </c>
      <c r="D2407" t="s">
        <v>106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513</v>
      </c>
      <c r="C2408">
        <v>70</v>
      </c>
      <c r="D2408" t="s">
        <v>104</v>
      </c>
      <c r="E2408" t="s">
        <v>12</v>
      </c>
      <c r="F2408">
        <v>0.113</v>
      </c>
      <c r="G2408" t="s">
        <v>13</v>
      </c>
    </row>
    <row r="2409" spans="1:7" x14ac:dyDescent="0.25">
      <c r="A2409">
        <v>201</v>
      </c>
      <c r="B2409" t="s">
        <v>513</v>
      </c>
      <c r="C2409">
        <v>80</v>
      </c>
      <c r="D2409" t="s">
        <v>273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513</v>
      </c>
      <c r="C2410">
        <v>90</v>
      </c>
      <c r="D2410" t="s">
        <v>18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513</v>
      </c>
      <c r="C2411">
        <v>100</v>
      </c>
      <c r="D2411" t="s">
        <v>19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513</v>
      </c>
      <c r="C2412">
        <v>110</v>
      </c>
      <c r="D2412" t="s">
        <v>101</v>
      </c>
      <c r="E2412" t="s">
        <v>12</v>
      </c>
      <c r="F2412">
        <v>0.42</v>
      </c>
      <c r="G2412" t="s">
        <v>13</v>
      </c>
    </row>
    <row r="2413" spans="1:7" x14ac:dyDescent="0.25">
      <c r="A2413">
        <v>201</v>
      </c>
      <c r="B2413" t="s">
        <v>513</v>
      </c>
      <c r="C2413">
        <v>120</v>
      </c>
      <c r="D2413" t="s">
        <v>514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515</v>
      </c>
      <c r="C2414">
        <v>10</v>
      </c>
      <c r="D2414" t="s">
        <v>107</v>
      </c>
      <c r="E2414" t="s">
        <v>14</v>
      </c>
      <c r="F2414">
        <v>1.5489999999999999</v>
      </c>
      <c r="G2414" t="s">
        <v>15</v>
      </c>
    </row>
    <row r="2415" spans="1:7" x14ac:dyDescent="0.25">
      <c r="A2415">
        <v>202</v>
      </c>
      <c r="B2415" t="s">
        <v>515</v>
      </c>
      <c r="C2415">
        <v>20</v>
      </c>
      <c r="D2415" t="s">
        <v>565</v>
      </c>
      <c r="E2415" t="s">
        <v>14</v>
      </c>
      <c r="F2415">
        <v>1.5489999999999999</v>
      </c>
      <c r="G2415" t="s">
        <v>15</v>
      </c>
    </row>
    <row r="2416" spans="1:7" x14ac:dyDescent="0.25">
      <c r="A2416">
        <v>202</v>
      </c>
      <c r="B2416" t="s">
        <v>515</v>
      </c>
      <c r="C2416">
        <v>30</v>
      </c>
      <c r="D2416" t="s">
        <v>99</v>
      </c>
      <c r="E2416" t="s">
        <v>100</v>
      </c>
      <c r="F2416">
        <v>0.45600000000000002</v>
      </c>
      <c r="G2416" t="s">
        <v>13</v>
      </c>
    </row>
    <row r="2417" spans="1:7" x14ac:dyDescent="0.25">
      <c r="A2417">
        <v>202</v>
      </c>
      <c r="B2417" t="s">
        <v>515</v>
      </c>
      <c r="C2417">
        <v>40</v>
      </c>
      <c r="D2417" t="s">
        <v>108</v>
      </c>
      <c r="E2417" t="s">
        <v>14</v>
      </c>
      <c r="F2417">
        <v>14.122</v>
      </c>
      <c r="G2417" t="s">
        <v>13</v>
      </c>
    </row>
    <row r="2418" spans="1:7" x14ac:dyDescent="0.25">
      <c r="A2418">
        <v>202</v>
      </c>
      <c r="B2418" t="s">
        <v>515</v>
      </c>
      <c r="C2418">
        <v>50</v>
      </c>
      <c r="D2418" t="s">
        <v>105</v>
      </c>
      <c r="E2418" t="s">
        <v>14</v>
      </c>
      <c r="F2418">
        <v>86.852999999999994</v>
      </c>
      <c r="G2418" t="s">
        <v>13</v>
      </c>
    </row>
    <row r="2419" spans="1:7" x14ac:dyDescent="0.25">
      <c r="A2419">
        <v>202</v>
      </c>
      <c r="B2419" t="s">
        <v>515</v>
      </c>
      <c r="C2419">
        <v>60</v>
      </c>
      <c r="D2419" t="s">
        <v>106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515</v>
      </c>
      <c r="C2420">
        <v>70</v>
      </c>
      <c r="D2420" t="s">
        <v>104</v>
      </c>
      <c r="E2420" t="s">
        <v>12</v>
      </c>
      <c r="F2420">
        <v>0.13500000000000001</v>
      </c>
      <c r="G2420" t="s">
        <v>13</v>
      </c>
    </row>
    <row r="2421" spans="1:7" x14ac:dyDescent="0.25">
      <c r="A2421">
        <v>202</v>
      </c>
      <c r="B2421" t="s">
        <v>515</v>
      </c>
      <c r="C2421">
        <v>80</v>
      </c>
      <c r="D2421" t="s">
        <v>273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515</v>
      </c>
      <c r="C2422">
        <v>90</v>
      </c>
      <c r="D2422" t="s">
        <v>18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515</v>
      </c>
      <c r="C2423">
        <v>100</v>
      </c>
      <c r="D2423" t="s">
        <v>19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515</v>
      </c>
      <c r="C2424">
        <v>110</v>
      </c>
      <c r="D2424" t="s">
        <v>101</v>
      </c>
      <c r="E2424" t="s">
        <v>12</v>
      </c>
      <c r="F2424">
        <v>0.51</v>
      </c>
      <c r="G2424" t="s">
        <v>13</v>
      </c>
    </row>
    <row r="2425" spans="1:7" x14ac:dyDescent="0.25">
      <c r="A2425">
        <v>202</v>
      </c>
      <c r="B2425" t="s">
        <v>515</v>
      </c>
      <c r="C2425">
        <v>120</v>
      </c>
      <c r="D2425" t="s">
        <v>516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517</v>
      </c>
      <c r="C2426">
        <v>10</v>
      </c>
      <c r="D2426" t="s">
        <v>107</v>
      </c>
      <c r="E2426" t="s">
        <v>14</v>
      </c>
      <c r="F2426">
        <v>1.702</v>
      </c>
      <c r="G2426" t="s">
        <v>15</v>
      </c>
    </row>
    <row r="2427" spans="1:7" x14ac:dyDescent="0.25">
      <c r="A2427">
        <v>203</v>
      </c>
      <c r="B2427" t="s">
        <v>517</v>
      </c>
      <c r="C2427">
        <v>20</v>
      </c>
      <c r="D2427" t="s">
        <v>565</v>
      </c>
      <c r="E2427" t="s">
        <v>14</v>
      </c>
      <c r="F2427">
        <v>1.702</v>
      </c>
      <c r="G2427" t="s">
        <v>15</v>
      </c>
    </row>
    <row r="2428" spans="1:7" x14ac:dyDescent="0.25">
      <c r="A2428">
        <v>203</v>
      </c>
      <c r="B2428" t="s">
        <v>517</v>
      </c>
      <c r="C2428">
        <v>30</v>
      </c>
      <c r="D2428" t="s">
        <v>99</v>
      </c>
      <c r="E2428" t="s">
        <v>100</v>
      </c>
      <c r="F2428">
        <v>0.501</v>
      </c>
      <c r="G2428" t="s">
        <v>13</v>
      </c>
    </row>
    <row r="2429" spans="1:7" x14ac:dyDescent="0.25">
      <c r="A2429">
        <v>203</v>
      </c>
      <c r="B2429" t="s">
        <v>517</v>
      </c>
      <c r="C2429">
        <v>40</v>
      </c>
      <c r="D2429" t="s">
        <v>108</v>
      </c>
      <c r="E2429" t="s">
        <v>14</v>
      </c>
      <c r="F2429">
        <v>14.731999999999999</v>
      </c>
      <c r="G2429" t="s">
        <v>13</v>
      </c>
    </row>
    <row r="2430" spans="1:7" x14ac:dyDescent="0.25">
      <c r="A2430">
        <v>203</v>
      </c>
      <c r="B2430" t="s">
        <v>517</v>
      </c>
      <c r="C2430">
        <v>50</v>
      </c>
      <c r="D2430" t="s">
        <v>105</v>
      </c>
      <c r="E2430" t="s">
        <v>14</v>
      </c>
      <c r="F2430">
        <v>90.602000000000004</v>
      </c>
      <c r="G2430" t="s">
        <v>13</v>
      </c>
    </row>
    <row r="2431" spans="1:7" x14ac:dyDescent="0.25">
      <c r="A2431">
        <v>203</v>
      </c>
      <c r="B2431" t="s">
        <v>517</v>
      </c>
      <c r="C2431">
        <v>60</v>
      </c>
      <c r="D2431" t="s">
        <v>106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517</v>
      </c>
      <c r="C2432">
        <v>70</v>
      </c>
      <c r="D2432" t="s">
        <v>104</v>
      </c>
      <c r="E2432" t="s">
        <v>12</v>
      </c>
      <c r="F2432">
        <v>0.14699999999999999</v>
      </c>
      <c r="G2432" t="s">
        <v>13</v>
      </c>
    </row>
    <row r="2433" spans="1:7" x14ac:dyDescent="0.25">
      <c r="A2433">
        <v>203</v>
      </c>
      <c r="B2433" t="s">
        <v>517</v>
      </c>
      <c r="C2433">
        <v>80</v>
      </c>
      <c r="D2433" t="s">
        <v>273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517</v>
      </c>
      <c r="C2434">
        <v>90</v>
      </c>
      <c r="D2434" t="s">
        <v>18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517</v>
      </c>
      <c r="C2435">
        <v>100</v>
      </c>
      <c r="D2435" t="s">
        <v>19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517</v>
      </c>
      <c r="C2436">
        <v>110</v>
      </c>
      <c r="D2436" t="s">
        <v>101</v>
      </c>
      <c r="E2436" t="s">
        <v>12</v>
      </c>
      <c r="F2436">
        <v>0.55500000000000005</v>
      </c>
      <c r="G2436" t="s">
        <v>13</v>
      </c>
    </row>
    <row r="2437" spans="1:7" x14ac:dyDescent="0.25">
      <c r="A2437">
        <v>203</v>
      </c>
      <c r="B2437" t="s">
        <v>517</v>
      </c>
      <c r="C2437">
        <v>120</v>
      </c>
      <c r="D2437" t="s">
        <v>518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519</v>
      </c>
      <c r="C2438">
        <v>10</v>
      </c>
      <c r="D2438" t="s">
        <v>107</v>
      </c>
      <c r="E2438" t="s">
        <v>14</v>
      </c>
      <c r="F2438">
        <v>1.8540000000000001</v>
      </c>
      <c r="G2438" t="s">
        <v>15</v>
      </c>
    </row>
    <row r="2439" spans="1:7" x14ac:dyDescent="0.25">
      <c r="A2439">
        <v>204</v>
      </c>
      <c r="B2439" t="s">
        <v>519</v>
      </c>
      <c r="C2439">
        <v>20</v>
      </c>
      <c r="D2439" t="s">
        <v>565</v>
      </c>
      <c r="E2439" t="s">
        <v>14</v>
      </c>
      <c r="F2439">
        <v>1.8540000000000001</v>
      </c>
      <c r="G2439" t="s">
        <v>15</v>
      </c>
    </row>
    <row r="2440" spans="1:7" x14ac:dyDescent="0.25">
      <c r="A2440">
        <v>204</v>
      </c>
      <c r="B2440" t="s">
        <v>519</v>
      </c>
      <c r="C2440">
        <v>30</v>
      </c>
      <c r="D2440" t="s">
        <v>99</v>
      </c>
      <c r="E2440" t="s">
        <v>100</v>
      </c>
      <c r="F2440">
        <v>0.54700000000000004</v>
      </c>
      <c r="G2440" t="s">
        <v>13</v>
      </c>
    </row>
    <row r="2441" spans="1:7" x14ac:dyDescent="0.25">
      <c r="A2441">
        <v>204</v>
      </c>
      <c r="B2441" t="s">
        <v>519</v>
      </c>
      <c r="C2441">
        <v>40</v>
      </c>
      <c r="D2441" t="s">
        <v>108</v>
      </c>
      <c r="E2441" t="s">
        <v>14</v>
      </c>
      <c r="F2441">
        <v>15.342000000000001</v>
      </c>
      <c r="G2441" t="s">
        <v>13</v>
      </c>
    </row>
    <row r="2442" spans="1:7" x14ac:dyDescent="0.25">
      <c r="A2442">
        <v>204</v>
      </c>
      <c r="B2442" t="s">
        <v>519</v>
      </c>
      <c r="C2442">
        <v>50</v>
      </c>
      <c r="D2442" t="s">
        <v>105</v>
      </c>
      <c r="E2442" t="s">
        <v>14</v>
      </c>
      <c r="F2442">
        <v>94.350999999999999</v>
      </c>
      <c r="G2442" t="s">
        <v>13</v>
      </c>
    </row>
    <row r="2443" spans="1:7" x14ac:dyDescent="0.25">
      <c r="A2443">
        <v>204</v>
      </c>
      <c r="B2443" t="s">
        <v>519</v>
      </c>
      <c r="C2443">
        <v>60</v>
      </c>
      <c r="D2443" t="s">
        <v>106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519</v>
      </c>
      <c r="C2444">
        <v>70</v>
      </c>
      <c r="D2444" t="s">
        <v>104</v>
      </c>
      <c r="E2444" t="s">
        <v>12</v>
      </c>
      <c r="F2444">
        <v>0.158</v>
      </c>
      <c r="G2444" t="s">
        <v>13</v>
      </c>
    </row>
    <row r="2445" spans="1:7" x14ac:dyDescent="0.25">
      <c r="A2445">
        <v>204</v>
      </c>
      <c r="B2445" t="s">
        <v>519</v>
      </c>
      <c r="C2445">
        <v>80</v>
      </c>
      <c r="D2445" t="s">
        <v>273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519</v>
      </c>
      <c r="C2446">
        <v>90</v>
      </c>
      <c r="D2446" t="s">
        <v>18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519</v>
      </c>
      <c r="C2447">
        <v>100</v>
      </c>
      <c r="D2447" t="s">
        <v>19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519</v>
      </c>
      <c r="C2448">
        <v>110</v>
      </c>
      <c r="D2448" t="s">
        <v>101</v>
      </c>
      <c r="E2448" t="s">
        <v>12</v>
      </c>
      <c r="F2448">
        <v>0.60099999999999998</v>
      </c>
      <c r="G2448" t="s">
        <v>13</v>
      </c>
    </row>
    <row r="2449" spans="1:7" x14ac:dyDescent="0.25">
      <c r="A2449">
        <v>204</v>
      </c>
      <c r="B2449" t="s">
        <v>519</v>
      </c>
      <c r="C2449">
        <v>120</v>
      </c>
      <c r="D2449" t="s">
        <v>520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521</v>
      </c>
      <c r="C2450">
        <v>10</v>
      </c>
      <c r="D2450" t="s">
        <v>107</v>
      </c>
      <c r="E2450" t="s">
        <v>14</v>
      </c>
      <c r="F2450">
        <v>0.78700000000000003</v>
      </c>
      <c r="G2450" t="s">
        <v>15</v>
      </c>
    </row>
    <row r="2451" spans="1:7" x14ac:dyDescent="0.25">
      <c r="A2451">
        <v>205</v>
      </c>
      <c r="B2451" t="s">
        <v>521</v>
      </c>
      <c r="C2451">
        <v>20</v>
      </c>
      <c r="D2451" t="s">
        <v>565</v>
      </c>
      <c r="E2451" t="s">
        <v>14</v>
      </c>
      <c r="F2451">
        <v>0.78700000000000003</v>
      </c>
      <c r="G2451" t="s">
        <v>15</v>
      </c>
    </row>
    <row r="2452" spans="1:7" x14ac:dyDescent="0.25">
      <c r="A2452">
        <v>205</v>
      </c>
      <c r="B2452" t="s">
        <v>521</v>
      </c>
      <c r="C2452">
        <v>30</v>
      </c>
      <c r="D2452" t="s">
        <v>99</v>
      </c>
      <c r="E2452" t="s">
        <v>100</v>
      </c>
      <c r="F2452">
        <v>0.23699999999999999</v>
      </c>
      <c r="G2452" t="s">
        <v>13</v>
      </c>
    </row>
    <row r="2453" spans="1:7" x14ac:dyDescent="0.25">
      <c r="A2453">
        <v>205</v>
      </c>
      <c r="B2453" t="s">
        <v>521</v>
      </c>
      <c r="C2453">
        <v>40</v>
      </c>
      <c r="D2453" t="s">
        <v>108</v>
      </c>
      <c r="E2453" t="s">
        <v>14</v>
      </c>
      <c r="F2453">
        <v>11.379</v>
      </c>
      <c r="G2453" t="s">
        <v>13</v>
      </c>
    </row>
    <row r="2454" spans="1:7" x14ac:dyDescent="0.25">
      <c r="A2454">
        <v>205</v>
      </c>
      <c r="B2454" t="s">
        <v>521</v>
      </c>
      <c r="C2454">
        <v>50</v>
      </c>
      <c r="D2454" t="s">
        <v>105</v>
      </c>
      <c r="E2454" t="s">
        <v>14</v>
      </c>
      <c r="F2454">
        <v>69.981999999999999</v>
      </c>
      <c r="G2454" t="s">
        <v>13</v>
      </c>
    </row>
    <row r="2455" spans="1:7" x14ac:dyDescent="0.25">
      <c r="A2455">
        <v>205</v>
      </c>
      <c r="B2455" t="s">
        <v>521</v>
      </c>
      <c r="C2455">
        <v>60</v>
      </c>
      <c r="D2455" t="s">
        <v>106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521</v>
      </c>
      <c r="C2456">
        <v>70</v>
      </c>
      <c r="D2456" t="s">
        <v>104</v>
      </c>
      <c r="E2456" t="s">
        <v>12</v>
      </c>
      <c r="F2456">
        <v>7.9000000000000001E-2</v>
      </c>
      <c r="G2456" t="s">
        <v>13</v>
      </c>
    </row>
    <row r="2457" spans="1:7" x14ac:dyDescent="0.25">
      <c r="A2457">
        <v>205</v>
      </c>
      <c r="B2457" t="s">
        <v>521</v>
      </c>
      <c r="C2457">
        <v>80</v>
      </c>
      <c r="D2457" t="s">
        <v>273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521</v>
      </c>
      <c r="C2458">
        <v>90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521</v>
      </c>
      <c r="C2459">
        <v>100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521</v>
      </c>
      <c r="C2460">
        <v>110</v>
      </c>
      <c r="D2460" t="s">
        <v>101</v>
      </c>
      <c r="E2460" t="s">
        <v>12</v>
      </c>
      <c r="F2460">
        <v>0.28499999999999998</v>
      </c>
      <c r="G2460" t="s">
        <v>13</v>
      </c>
    </row>
    <row r="2461" spans="1:7" x14ac:dyDescent="0.25">
      <c r="A2461">
        <v>205</v>
      </c>
      <c r="B2461" t="s">
        <v>521</v>
      </c>
      <c r="C2461">
        <v>120</v>
      </c>
      <c r="D2461" t="s">
        <v>522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523</v>
      </c>
      <c r="C2462">
        <v>10</v>
      </c>
      <c r="D2462" t="s">
        <v>107</v>
      </c>
      <c r="E2462" t="s">
        <v>14</v>
      </c>
      <c r="F2462">
        <v>0.94</v>
      </c>
      <c r="G2462" t="s">
        <v>15</v>
      </c>
    </row>
    <row r="2463" spans="1:7" x14ac:dyDescent="0.25">
      <c r="A2463">
        <v>206</v>
      </c>
      <c r="B2463" t="s">
        <v>523</v>
      </c>
      <c r="C2463">
        <v>20</v>
      </c>
      <c r="D2463" t="s">
        <v>565</v>
      </c>
      <c r="E2463" t="s">
        <v>14</v>
      </c>
      <c r="F2463">
        <v>0.94</v>
      </c>
      <c r="G2463" t="s">
        <v>15</v>
      </c>
    </row>
    <row r="2464" spans="1:7" x14ac:dyDescent="0.25">
      <c r="A2464">
        <v>206</v>
      </c>
      <c r="B2464" t="s">
        <v>523</v>
      </c>
      <c r="C2464">
        <v>30</v>
      </c>
      <c r="D2464" t="s">
        <v>99</v>
      </c>
      <c r="E2464" t="s">
        <v>100</v>
      </c>
      <c r="F2464">
        <v>0.28399999999999997</v>
      </c>
      <c r="G2464" t="s">
        <v>13</v>
      </c>
    </row>
    <row r="2465" spans="1:7" x14ac:dyDescent="0.25">
      <c r="A2465">
        <v>206</v>
      </c>
      <c r="B2465" t="s">
        <v>523</v>
      </c>
      <c r="C2465">
        <v>40</v>
      </c>
      <c r="D2465" t="s">
        <v>108</v>
      </c>
      <c r="E2465" t="s">
        <v>14</v>
      </c>
      <c r="F2465">
        <v>11.989000000000001</v>
      </c>
      <c r="G2465" t="s">
        <v>13</v>
      </c>
    </row>
    <row r="2466" spans="1:7" x14ac:dyDescent="0.25">
      <c r="A2466">
        <v>206</v>
      </c>
      <c r="B2466" t="s">
        <v>523</v>
      </c>
      <c r="C2466">
        <v>50</v>
      </c>
      <c r="D2466" t="s">
        <v>105</v>
      </c>
      <c r="E2466" t="s">
        <v>14</v>
      </c>
      <c r="F2466">
        <v>73.730999999999995</v>
      </c>
      <c r="G2466" t="s">
        <v>13</v>
      </c>
    </row>
    <row r="2467" spans="1:7" x14ac:dyDescent="0.25">
      <c r="A2467">
        <v>206</v>
      </c>
      <c r="B2467" t="s">
        <v>523</v>
      </c>
      <c r="C2467">
        <v>60</v>
      </c>
      <c r="D2467" t="s">
        <v>106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523</v>
      </c>
      <c r="C2468">
        <v>70</v>
      </c>
      <c r="D2468" t="s">
        <v>104</v>
      </c>
      <c r="E2468" t="s">
        <v>12</v>
      </c>
      <c r="F2468">
        <v>0.09</v>
      </c>
      <c r="G2468" t="s">
        <v>13</v>
      </c>
    </row>
    <row r="2469" spans="1:7" x14ac:dyDescent="0.25">
      <c r="A2469">
        <v>206</v>
      </c>
      <c r="B2469" t="s">
        <v>523</v>
      </c>
      <c r="C2469">
        <v>80</v>
      </c>
      <c r="D2469" t="s">
        <v>273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523</v>
      </c>
      <c r="C2470">
        <v>90</v>
      </c>
      <c r="D2470" t="s">
        <v>18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523</v>
      </c>
      <c r="C2471">
        <v>100</v>
      </c>
      <c r="D2471" t="s">
        <v>19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523</v>
      </c>
      <c r="C2472">
        <v>110</v>
      </c>
      <c r="D2472" t="s">
        <v>101</v>
      </c>
      <c r="E2472" t="s">
        <v>12</v>
      </c>
      <c r="F2472">
        <v>0.33</v>
      </c>
      <c r="G2472" t="s">
        <v>13</v>
      </c>
    </row>
    <row r="2473" spans="1:7" x14ac:dyDescent="0.25">
      <c r="A2473">
        <v>206</v>
      </c>
      <c r="B2473" t="s">
        <v>523</v>
      </c>
      <c r="C2473">
        <v>120</v>
      </c>
      <c r="D2473" t="s">
        <v>524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525</v>
      </c>
      <c r="C2474">
        <v>10</v>
      </c>
      <c r="D2474" t="s">
        <v>107</v>
      </c>
      <c r="E2474" t="s">
        <v>14</v>
      </c>
      <c r="F2474">
        <v>1.0920000000000001</v>
      </c>
      <c r="G2474" t="s">
        <v>15</v>
      </c>
    </row>
    <row r="2475" spans="1:7" x14ac:dyDescent="0.25">
      <c r="A2475">
        <v>207</v>
      </c>
      <c r="B2475" t="s">
        <v>525</v>
      </c>
      <c r="C2475">
        <v>20</v>
      </c>
      <c r="D2475" t="s">
        <v>565</v>
      </c>
      <c r="E2475" t="s">
        <v>14</v>
      </c>
      <c r="F2475">
        <v>1.0920000000000001</v>
      </c>
      <c r="G2475" t="s">
        <v>15</v>
      </c>
    </row>
    <row r="2476" spans="1:7" x14ac:dyDescent="0.25">
      <c r="A2476">
        <v>207</v>
      </c>
      <c r="B2476" t="s">
        <v>525</v>
      </c>
      <c r="C2476">
        <v>30</v>
      </c>
      <c r="D2476" t="s">
        <v>99</v>
      </c>
      <c r="E2476" t="s">
        <v>100</v>
      </c>
      <c r="F2476">
        <v>0.33200000000000002</v>
      </c>
      <c r="G2476" t="s">
        <v>13</v>
      </c>
    </row>
    <row r="2477" spans="1:7" x14ac:dyDescent="0.25">
      <c r="A2477">
        <v>207</v>
      </c>
      <c r="B2477" t="s">
        <v>525</v>
      </c>
      <c r="C2477">
        <v>40</v>
      </c>
      <c r="D2477" t="s">
        <v>108</v>
      </c>
      <c r="E2477" t="s">
        <v>14</v>
      </c>
      <c r="F2477">
        <v>12.598000000000001</v>
      </c>
      <c r="G2477" t="s">
        <v>13</v>
      </c>
    </row>
    <row r="2478" spans="1:7" x14ac:dyDescent="0.25">
      <c r="A2478">
        <v>207</v>
      </c>
      <c r="B2478" t="s">
        <v>525</v>
      </c>
      <c r="C2478">
        <v>50</v>
      </c>
      <c r="D2478" t="s">
        <v>105</v>
      </c>
      <c r="E2478" t="s">
        <v>14</v>
      </c>
      <c r="F2478">
        <v>77.48</v>
      </c>
      <c r="G2478" t="s">
        <v>13</v>
      </c>
    </row>
    <row r="2479" spans="1:7" x14ac:dyDescent="0.25">
      <c r="A2479">
        <v>207</v>
      </c>
      <c r="B2479" t="s">
        <v>525</v>
      </c>
      <c r="C2479">
        <v>60</v>
      </c>
      <c r="D2479" t="s">
        <v>106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525</v>
      </c>
      <c r="C2480">
        <v>70</v>
      </c>
      <c r="D2480" t="s">
        <v>104</v>
      </c>
      <c r="E2480" t="s">
        <v>12</v>
      </c>
      <c r="F2480">
        <v>0.10100000000000001</v>
      </c>
      <c r="G2480" t="s">
        <v>13</v>
      </c>
    </row>
    <row r="2481" spans="1:7" x14ac:dyDescent="0.25">
      <c r="A2481">
        <v>207</v>
      </c>
      <c r="B2481" t="s">
        <v>525</v>
      </c>
      <c r="C2481">
        <v>80</v>
      </c>
      <c r="D2481" t="s">
        <v>273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525</v>
      </c>
      <c r="C2482">
        <v>90</v>
      </c>
      <c r="D2482" t="s">
        <v>18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525</v>
      </c>
      <c r="C2483">
        <v>100</v>
      </c>
      <c r="D2483" t="s">
        <v>19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525</v>
      </c>
      <c r="C2484">
        <v>110</v>
      </c>
      <c r="D2484" t="s">
        <v>101</v>
      </c>
      <c r="E2484" t="s">
        <v>12</v>
      </c>
      <c r="F2484">
        <v>0.375</v>
      </c>
      <c r="G2484" t="s">
        <v>13</v>
      </c>
    </row>
    <row r="2485" spans="1:7" x14ac:dyDescent="0.25">
      <c r="A2485">
        <v>207</v>
      </c>
      <c r="B2485" t="s">
        <v>525</v>
      </c>
      <c r="C2485">
        <v>120</v>
      </c>
      <c r="D2485" t="s">
        <v>526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527</v>
      </c>
      <c r="C2486">
        <v>10</v>
      </c>
      <c r="D2486" t="s">
        <v>107</v>
      </c>
      <c r="E2486" t="s">
        <v>14</v>
      </c>
      <c r="F2486">
        <v>1.2450000000000001</v>
      </c>
      <c r="G2486" t="s">
        <v>15</v>
      </c>
    </row>
    <row r="2487" spans="1:7" x14ac:dyDescent="0.25">
      <c r="A2487">
        <v>208</v>
      </c>
      <c r="B2487" t="s">
        <v>527</v>
      </c>
      <c r="C2487">
        <v>20</v>
      </c>
      <c r="D2487" t="s">
        <v>565</v>
      </c>
      <c r="E2487" t="s">
        <v>14</v>
      </c>
      <c r="F2487">
        <v>1.2450000000000001</v>
      </c>
      <c r="G2487" t="s">
        <v>15</v>
      </c>
    </row>
    <row r="2488" spans="1:7" x14ac:dyDescent="0.25">
      <c r="A2488">
        <v>208</v>
      </c>
      <c r="B2488" t="s">
        <v>527</v>
      </c>
      <c r="C2488">
        <v>30</v>
      </c>
      <c r="D2488" t="s">
        <v>99</v>
      </c>
      <c r="E2488" t="s">
        <v>100</v>
      </c>
      <c r="F2488">
        <v>0.379</v>
      </c>
      <c r="G2488" t="s">
        <v>13</v>
      </c>
    </row>
    <row r="2489" spans="1:7" x14ac:dyDescent="0.25">
      <c r="A2489">
        <v>208</v>
      </c>
      <c r="B2489" t="s">
        <v>527</v>
      </c>
      <c r="C2489">
        <v>40</v>
      </c>
      <c r="D2489" t="s">
        <v>108</v>
      </c>
      <c r="E2489" t="s">
        <v>14</v>
      </c>
      <c r="F2489">
        <v>13.208</v>
      </c>
      <c r="G2489" t="s">
        <v>13</v>
      </c>
    </row>
    <row r="2490" spans="1:7" x14ac:dyDescent="0.25">
      <c r="A2490">
        <v>208</v>
      </c>
      <c r="B2490" t="s">
        <v>527</v>
      </c>
      <c r="C2490">
        <v>50</v>
      </c>
      <c r="D2490" t="s">
        <v>105</v>
      </c>
      <c r="E2490" t="s">
        <v>14</v>
      </c>
      <c r="F2490">
        <v>81.228999999999999</v>
      </c>
      <c r="G2490" t="s">
        <v>13</v>
      </c>
    </row>
    <row r="2491" spans="1:7" x14ac:dyDescent="0.25">
      <c r="A2491">
        <v>208</v>
      </c>
      <c r="B2491" t="s">
        <v>527</v>
      </c>
      <c r="C2491">
        <v>60</v>
      </c>
      <c r="D2491" t="s">
        <v>106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527</v>
      </c>
      <c r="C2492">
        <v>70</v>
      </c>
      <c r="D2492" t="s">
        <v>104</v>
      </c>
      <c r="E2492" t="s">
        <v>12</v>
      </c>
      <c r="F2492">
        <v>0.113</v>
      </c>
      <c r="G2492" t="s">
        <v>13</v>
      </c>
    </row>
    <row r="2493" spans="1:7" x14ac:dyDescent="0.25">
      <c r="A2493">
        <v>208</v>
      </c>
      <c r="B2493" t="s">
        <v>527</v>
      </c>
      <c r="C2493">
        <v>80</v>
      </c>
      <c r="D2493" t="s">
        <v>273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527</v>
      </c>
      <c r="C2494">
        <v>90</v>
      </c>
      <c r="D2494" t="s">
        <v>18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527</v>
      </c>
      <c r="C2495">
        <v>100</v>
      </c>
      <c r="D2495" t="s">
        <v>19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527</v>
      </c>
      <c r="C2496">
        <v>110</v>
      </c>
      <c r="D2496" t="s">
        <v>101</v>
      </c>
      <c r="E2496" t="s">
        <v>12</v>
      </c>
      <c r="F2496">
        <v>0.42</v>
      </c>
      <c r="G2496" t="s">
        <v>13</v>
      </c>
    </row>
    <row r="2497" spans="1:7" x14ac:dyDescent="0.25">
      <c r="A2497">
        <v>208</v>
      </c>
      <c r="B2497" t="s">
        <v>527</v>
      </c>
      <c r="C2497">
        <v>120</v>
      </c>
      <c r="D2497" t="s">
        <v>528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529</v>
      </c>
      <c r="C2498">
        <v>10</v>
      </c>
      <c r="D2498" t="s">
        <v>107</v>
      </c>
      <c r="E2498" t="s">
        <v>14</v>
      </c>
      <c r="F2498">
        <v>1.5489999999999999</v>
      </c>
      <c r="G2498" t="s">
        <v>15</v>
      </c>
    </row>
    <row r="2499" spans="1:7" x14ac:dyDescent="0.25">
      <c r="A2499">
        <v>209</v>
      </c>
      <c r="B2499" t="s">
        <v>529</v>
      </c>
      <c r="C2499">
        <v>20</v>
      </c>
      <c r="D2499" t="s">
        <v>565</v>
      </c>
      <c r="E2499" t="s">
        <v>14</v>
      </c>
      <c r="F2499">
        <v>1.5489999999999999</v>
      </c>
      <c r="G2499" t="s">
        <v>15</v>
      </c>
    </row>
    <row r="2500" spans="1:7" x14ac:dyDescent="0.25">
      <c r="A2500">
        <v>209</v>
      </c>
      <c r="B2500" t="s">
        <v>529</v>
      </c>
      <c r="C2500">
        <v>30</v>
      </c>
      <c r="D2500" t="s">
        <v>99</v>
      </c>
      <c r="E2500" t="s">
        <v>100</v>
      </c>
      <c r="F2500">
        <v>0.47399999999999998</v>
      </c>
      <c r="G2500" t="s">
        <v>13</v>
      </c>
    </row>
    <row r="2501" spans="1:7" x14ac:dyDescent="0.25">
      <c r="A2501">
        <v>209</v>
      </c>
      <c r="B2501" t="s">
        <v>529</v>
      </c>
      <c r="C2501">
        <v>40</v>
      </c>
      <c r="D2501" t="s">
        <v>108</v>
      </c>
      <c r="E2501" t="s">
        <v>14</v>
      </c>
      <c r="F2501">
        <v>14.427</v>
      </c>
      <c r="G2501" t="s">
        <v>13</v>
      </c>
    </row>
    <row r="2502" spans="1:7" x14ac:dyDescent="0.25">
      <c r="A2502">
        <v>209</v>
      </c>
      <c r="B2502" t="s">
        <v>529</v>
      </c>
      <c r="C2502">
        <v>50</v>
      </c>
      <c r="D2502" t="s">
        <v>105</v>
      </c>
      <c r="E2502" t="s">
        <v>14</v>
      </c>
      <c r="F2502">
        <v>88.727000000000004</v>
      </c>
      <c r="G2502" t="s">
        <v>13</v>
      </c>
    </row>
    <row r="2503" spans="1:7" x14ac:dyDescent="0.25">
      <c r="A2503">
        <v>209</v>
      </c>
      <c r="B2503" t="s">
        <v>529</v>
      </c>
      <c r="C2503">
        <v>60</v>
      </c>
      <c r="D2503" t="s">
        <v>106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529</v>
      </c>
      <c r="C2504">
        <v>70</v>
      </c>
      <c r="D2504" t="s">
        <v>104</v>
      </c>
      <c r="E2504" t="s">
        <v>12</v>
      </c>
      <c r="F2504">
        <v>0.13500000000000001</v>
      </c>
      <c r="G2504" t="s">
        <v>13</v>
      </c>
    </row>
    <row r="2505" spans="1:7" x14ac:dyDescent="0.25">
      <c r="A2505">
        <v>209</v>
      </c>
      <c r="B2505" t="s">
        <v>529</v>
      </c>
      <c r="C2505">
        <v>80</v>
      </c>
      <c r="D2505" t="s">
        <v>273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529</v>
      </c>
      <c r="C2506">
        <v>90</v>
      </c>
      <c r="D2506" t="s">
        <v>18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529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529</v>
      </c>
      <c r="C2508">
        <v>110</v>
      </c>
      <c r="D2508" t="s">
        <v>101</v>
      </c>
      <c r="E2508" t="s">
        <v>12</v>
      </c>
      <c r="F2508">
        <v>0.51</v>
      </c>
      <c r="G2508" t="s">
        <v>13</v>
      </c>
    </row>
    <row r="2509" spans="1:7" x14ac:dyDescent="0.25">
      <c r="A2509">
        <v>209</v>
      </c>
      <c r="B2509" t="s">
        <v>529</v>
      </c>
      <c r="C2509">
        <v>120</v>
      </c>
      <c r="D2509" t="s">
        <v>530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531</v>
      </c>
      <c r="C2510">
        <v>10</v>
      </c>
      <c r="D2510" t="s">
        <v>107</v>
      </c>
      <c r="E2510" t="s">
        <v>14</v>
      </c>
      <c r="F2510">
        <v>1.702</v>
      </c>
      <c r="G2510" t="s">
        <v>15</v>
      </c>
    </row>
    <row r="2511" spans="1:7" x14ac:dyDescent="0.25">
      <c r="A2511">
        <v>210</v>
      </c>
      <c r="B2511" t="s">
        <v>531</v>
      </c>
      <c r="C2511">
        <v>20</v>
      </c>
      <c r="D2511" t="s">
        <v>565</v>
      </c>
      <c r="E2511" t="s">
        <v>14</v>
      </c>
      <c r="F2511">
        <v>1.702</v>
      </c>
      <c r="G2511" t="s">
        <v>15</v>
      </c>
    </row>
    <row r="2512" spans="1:7" x14ac:dyDescent="0.25">
      <c r="A2512">
        <v>210</v>
      </c>
      <c r="B2512" t="s">
        <v>531</v>
      </c>
      <c r="C2512">
        <v>30</v>
      </c>
      <c r="D2512" t="s">
        <v>99</v>
      </c>
      <c r="E2512" t="s">
        <v>100</v>
      </c>
      <c r="F2512">
        <v>0.52100000000000002</v>
      </c>
      <c r="G2512" t="s">
        <v>13</v>
      </c>
    </row>
    <row r="2513" spans="1:7" x14ac:dyDescent="0.25">
      <c r="A2513">
        <v>210</v>
      </c>
      <c r="B2513" t="s">
        <v>531</v>
      </c>
      <c r="C2513">
        <v>40</v>
      </c>
      <c r="D2513" t="s">
        <v>108</v>
      </c>
      <c r="E2513" t="s">
        <v>14</v>
      </c>
      <c r="F2513">
        <v>15.037000000000001</v>
      </c>
      <c r="G2513" t="s">
        <v>13</v>
      </c>
    </row>
    <row r="2514" spans="1:7" x14ac:dyDescent="0.25">
      <c r="A2514">
        <v>210</v>
      </c>
      <c r="B2514" t="s">
        <v>531</v>
      </c>
      <c r="C2514">
        <v>50</v>
      </c>
      <c r="D2514" t="s">
        <v>105</v>
      </c>
      <c r="E2514" t="s">
        <v>14</v>
      </c>
      <c r="F2514">
        <v>92.475999999999999</v>
      </c>
      <c r="G2514" t="s">
        <v>13</v>
      </c>
    </row>
    <row r="2515" spans="1:7" x14ac:dyDescent="0.25">
      <c r="A2515">
        <v>210</v>
      </c>
      <c r="B2515" t="s">
        <v>531</v>
      </c>
      <c r="C2515">
        <v>60</v>
      </c>
      <c r="D2515" t="s">
        <v>106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531</v>
      </c>
      <c r="C2516">
        <v>70</v>
      </c>
      <c r="D2516" t="s">
        <v>104</v>
      </c>
      <c r="E2516" t="s">
        <v>12</v>
      </c>
      <c r="F2516">
        <v>0.14699999999999999</v>
      </c>
      <c r="G2516" t="s">
        <v>13</v>
      </c>
    </row>
    <row r="2517" spans="1:7" x14ac:dyDescent="0.25">
      <c r="A2517">
        <v>210</v>
      </c>
      <c r="B2517" t="s">
        <v>531</v>
      </c>
      <c r="C2517">
        <v>80</v>
      </c>
      <c r="D2517" t="s">
        <v>273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531</v>
      </c>
      <c r="C2518">
        <v>90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531</v>
      </c>
      <c r="C2519">
        <v>100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531</v>
      </c>
      <c r="C2520">
        <v>110</v>
      </c>
      <c r="D2520" t="s">
        <v>101</v>
      </c>
      <c r="E2520" t="s">
        <v>12</v>
      </c>
      <c r="F2520">
        <v>0.55500000000000005</v>
      </c>
      <c r="G2520" t="s">
        <v>13</v>
      </c>
    </row>
    <row r="2521" spans="1:7" x14ac:dyDescent="0.25">
      <c r="A2521">
        <v>210</v>
      </c>
      <c r="B2521" t="s">
        <v>531</v>
      </c>
      <c r="C2521">
        <v>120</v>
      </c>
      <c r="D2521" t="s">
        <v>532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533</v>
      </c>
      <c r="C2522">
        <v>10</v>
      </c>
      <c r="D2522" t="s">
        <v>107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211</v>
      </c>
      <c r="B2523" t="s">
        <v>533</v>
      </c>
      <c r="C2523">
        <v>20</v>
      </c>
      <c r="D2523" t="s">
        <v>565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211</v>
      </c>
      <c r="B2524" t="s">
        <v>533</v>
      </c>
      <c r="C2524">
        <v>30</v>
      </c>
      <c r="D2524" t="s">
        <v>99</v>
      </c>
      <c r="E2524" t="s">
        <v>100</v>
      </c>
      <c r="F2524">
        <v>0.56899999999999995</v>
      </c>
      <c r="G2524" t="s">
        <v>13</v>
      </c>
    </row>
    <row r="2525" spans="1:7" x14ac:dyDescent="0.25">
      <c r="A2525">
        <v>211</v>
      </c>
      <c r="B2525" t="s">
        <v>533</v>
      </c>
      <c r="C2525">
        <v>40</v>
      </c>
      <c r="D2525" t="s">
        <v>108</v>
      </c>
      <c r="E2525" t="s">
        <v>14</v>
      </c>
      <c r="F2525">
        <v>15.646000000000001</v>
      </c>
      <c r="G2525" t="s">
        <v>13</v>
      </c>
    </row>
    <row r="2526" spans="1:7" x14ac:dyDescent="0.25">
      <c r="A2526">
        <v>211</v>
      </c>
      <c r="B2526" t="s">
        <v>533</v>
      </c>
      <c r="C2526">
        <v>50</v>
      </c>
      <c r="D2526" t="s">
        <v>105</v>
      </c>
      <c r="E2526" t="s">
        <v>14</v>
      </c>
      <c r="F2526">
        <v>96.224999999999994</v>
      </c>
      <c r="G2526" t="s">
        <v>13</v>
      </c>
    </row>
    <row r="2527" spans="1:7" x14ac:dyDescent="0.25">
      <c r="A2527">
        <v>211</v>
      </c>
      <c r="B2527" t="s">
        <v>533</v>
      </c>
      <c r="C2527">
        <v>60</v>
      </c>
      <c r="D2527" t="s">
        <v>106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533</v>
      </c>
      <c r="C2528">
        <v>70</v>
      </c>
      <c r="D2528" t="s">
        <v>104</v>
      </c>
      <c r="E2528" t="s">
        <v>12</v>
      </c>
      <c r="F2528">
        <v>0.158</v>
      </c>
      <c r="G2528" t="s">
        <v>13</v>
      </c>
    </row>
    <row r="2529" spans="1:7" x14ac:dyDescent="0.25">
      <c r="A2529">
        <v>211</v>
      </c>
      <c r="B2529" t="s">
        <v>533</v>
      </c>
      <c r="C2529">
        <v>80</v>
      </c>
      <c r="D2529" t="s">
        <v>273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533</v>
      </c>
      <c r="C2530">
        <v>90</v>
      </c>
      <c r="D2530" t="s">
        <v>18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533</v>
      </c>
      <c r="C2531">
        <v>100</v>
      </c>
      <c r="D2531" t="s">
        <v>19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533</v>
      </c>
      <c r="C2532">
        <v>110</v>
      </c>
      <c r="D2532" t="s">
        <v>101</v>
      </c>
      <c r="E2532" t="s">
        <v>12</v>
      </c>
      <c r="F2532">
        <v>0.60099999999999998</v>
      </c>
      <c r="G2532" t="s">
        <v>13</v>
      </c>
    </row>
    <row r="2533" spans="1:7" x14ac:dyDescent="0.25">
      <c r="A2533">
        <v>211</v>
      </c>
      <c r="B2533" t="s">
        <v>533</v>
      </c>
      <c r="C2533">
        <v>120</v>
      </c>
      <c r="D2533" t="s">
        <v>534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535</v>
      </c>
      <c r="C2534">
        <v>10</v>
      </c>
      <c r="D2534" t="s">
        <v>107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535</v>
      </c>
      <c r="C2535">
        <v>20</v>
      </c>
      <c r="D2535" t="s">
        <v>565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535</v>
      </c>
      <c r="C2536">
        <v>30</v>
      </c>
      <c r="D2536" t="s">
        <v>99</v>
      </c>
      <c r="E2536" t="s">
        <v>100</v>
      </c>
      <c r="F2536">
        <v>0.24299999999999999</v>
      </c>
      <c r="G2536" t="s">
        <v>13</v>
      </c>
    </row>
    <row r="2537" spans="1:7" x14ac:dyDescent="0.25">
      <c r="A2537">
        <v>212</v>
      </c>
      <c r="B2537" t="s">
        <v>535</v>
      </c>
      <c r="C2537">
        <v>40</v>
      </c>
      <c r="D2537" t="s">
        <v>108</v>
      </c>
      <c r="E2537" t="s">
        <v>14</v>
      </c>
      <c r="F2537">
        <v>11.582000000000001</v>
      </c>
      <c r="G2537" t="s">
        <v>13</v>
      </c>
    </row>
    <row r="2538" spans="1:7" x14ac:dyDescent="0.25">
      <c r="A2538">
        <v>212</v>
      </c>
      <c r="B2538" t="s">
        <v>535</v>
      </c>
      <c r="C2538">
        <v>50</v>
      </c>
      <c r="D2538" t="s">
        <v>105</v>
      </c>
      <c r="E2538" t="s">
        <v>14</v>
      </c>
      <c r="F2538">
        <v>71.231999999999999</v>
      </c>
      <c r="G2538" t="s">
        <v>13</v>
      </c>
    </row>
    <row r="2539" spans="1:7" x14ac:dyDescent="0.25">
      <c r="A2539">
        <v>212</v>
      </c>
      <c r="B2539" t="s">
        <v>535</v>
      </c>
      <c r="C2539">
        <v>60</v>
      </c>
      <c r="D2539" t="s">
        <v>106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535</v>
      </c>
      <c r="C2540">
        <v>70</v>
      </c>
      <c r="D2540" t="s">
        <v>104</v>
      </c>
      <c r="E2540" t="s">
        <v>12</v>
      </c>
      <c r="F2540">
        <v>7.9000000000000001E-2</v>
      </c>
      <c r="G2540" t="s">
        <v>13</v>
      </c>
    </row>
    <row r="2541" spans="1:7" x14ac:dyDescent="0.25">
      <c r="A2541">
        <v>212</v>
      </c>
      <c r="B2541" t="s">
        <v>535</v>
      </c>
      <c r="C2541">
        <v>80</v>
      </c>
      <c r="D2541" t="s">
        <v>273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535</v>
      </c>
      <c r="C2542">
        <v>90</v>
      </c>
      <c r="D2542" t="s">
        <v>18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535</v>
      </c>
      <c r="C2543">
        <v>100</v>
      </c>
      <c r="D2543" t="s">
        <v>19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535</v>
      </c>
      <c r="C2544">
        <v>110</v>
      </c>
      <c r="D2544" t="s">
        <v>101</v>
      </c>
      <c r="E2544" t="s">
        <v>12</v>
      </c>
      <c r="F2544">
        <v>0.66100000000000003</v>
      </c>
      <c r="G2544" t="s">
        <v>13</v>
      </c>
    </row>
    <row r="2545" spans="1:7" x14ac:dyDescent="0.25">
      <c r="A2545">
        <v>212</v>
      </c>
      <c r="B2545" t="s">
        <v>535</v>
      </c>
      <c r="C2545">
        <v>120</v>
      </c>
      <c r="D2545" t="s">
        <v>536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537</v>
      </c>
      <c r="C2546">
        <v>10</v>
      </c>
      <c r="D2546" t="s">
        <v>107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537</v>
      </c>
      <c r="C2547">
        <v>20</v>
      </c>
      <c r="D2547" t="s">
        <v>565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537</v>
      </c>
      <c r="C2548">
        <v>30</v>
      </c>
      <c r="D2548" t="s">
        <v>99</v>
      </c>
      <c r="E2548" t="s">
        <v>100</v>
      </c>
      <c r="F2548">
        <v>0.29199999999999998</v>
      </c>
      <c r="G2548" t="s">
        <v>13</v>
      </c>
    </row>
    <row r="2549" spans="1:7" x14ac:dyDescent="0.25">
      <c r="A2549">
        <v>213</v>
      </c>
      <c r="B2549" t="s">
        <v>537</v>
      </c>
      <c r="C2549">
        <v>40</v>
      </c>
      <c r="D2549" t="s">
        <v>108</v>
      </c>
      <c r="E2549" t="s">
        <v>14</v>
      </c>
      <c r="F2549">
        <v>12.192</v>
      </c>
      <c r="G2549" t="s">
        <v>13</v>
      </c>
    </row>
    <row r="2550" spans="1:7" x14ac:dyDescent="0.25">
      <c r="A2550">
        <v>213</v>
      </c>
      <c r="B2550" t="s">
        <v>537</v>
      </c>
      <c r="C2550">
        <v>50</v>
      </c>
      <c r="D2550" t="s">
        <v>105</v>
      </c>
      <c r="E2550" t="s">
        <v>14</v>
      </c>
      <c r="F2550">
        <v>74.980999999999995</v>
      </c>
      <c r="G2550" t="s">
        <v>13</v>
      </c>
    </row>
    <row r="2551" spans="1:7" x14ac:dyDescent="0.25">
      <c r="A2551">
        <v>213</v>
      </c>
      <c r="B2551" t="s">
        <v>537</v>
      </c>
      <c r="C2551">
        <v>60</v>
      </c>
      <c r="D2551" t="s">
        <v>106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537</v>
      </c>
      <c r="C2552">
        <v>70</v>
      </c>
      <c r="D2552" t="s">
        <v>104</v>
      </c>
      <c r="E2552" t="s">
        <v>12</v>
      </c>
      <c r="F2552">
        <v>0.09</v>
      </c>
      <c r="G2552" t="s">
        <v>13</v>
      </c>
    </row>
    <row r="2553" spans="1:7" x14ac:dyDescent="0.25">
      <c r="A2553">
        <v>213</v>
      </c>
      <c r="B2553" t="s">
        <v>537</v>
      </c>
      <c r="C2553">
        <v>80</v>
      </c>
      <c r="D2553" t="s">
        <v>273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537</v>
      </c>
      <c r="C2554">
        <v>90</v>
      </c>
      <c r="D2554" t="s">
        <v>18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537</v>
      </c>
      <c r="C2555">
        <v>100</v>
      </c>
      <c r="D2555" t="s">
        <v>19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537</v>
      </c>
      <c r="C2556">
        <v>110</v>
      </c>
      <c r="D2556" t="s">
        <v>101</v>
      </c>
      <c r="E2556" t="s">
        <v>12</v>
      </c>
      <c r="F2556">
        <v>0.66100000000000003</v>
      </c>
      <c r="G2556" t="s">
        <v>13</v>
      </c>
    </row>
    <row r="2557" spans="1:7" x14ac:dyDescent="0.25">
      <c r="A2557">
        <v>213</v>
      </c>
      <c r="B2557" t="s">
        <v>537</v>
      </c>
      <c r="C2557">
        <v>120</v>
      </c>
      <c r="D2557" t="s">
        <v>538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539</v>
      </c>
      <c r="C2558">
        <v>10</v>
      </c>
      <c r="D2558" t="s">
        <v>107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539</v>
      </c>
      <c r="C2559">
        <v>20</v>
      </c>
      <c r="D2559" t="s">
        <v>565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539</v>
      </c>
      <c r="C2560">
        <v>30</v>
      </c>
      <c r="D2560" t="s">
        <v>99</v>
      </c>
      <c r="E2560" t="s">
        <v>100</v>
      </c>
      <c r="F2560">
        <v>0.34</v>
      </c>
      <c r="G2560" t="s">
        <v>13</v>
      </c>
    </row>
    <row r="2561" spans="1:7" x14ac:dyDescent="0.25">
      <c r="A2561">
        <v>214</v>
      </c>
      <c r="B2561" t="s">
        <v>539</v>
      </c>
      <c r="C2561">
        <v>40</v>
      </c>
      <c r="D2561" t="s">
        <v>108</v>
      </c>
      <c r="E2561" t="s">
        <v>14</v>
      </c>
      <c r="F2561">
        <v>12.802</v>
      </c>
      <c r="G2561" t="s">
        <v>13</v>
      </c>
    </row>
    <row r="2562" spans="1:7" x14ac:dyDescent="0.25">
      <c r="A2562">
        <v>214</v>
      </c>
      <c r="B2562" t="s">
        <v>539</v>
      </c>
      <c r="C2562">
        <v>50</v>
      </c>
      <c r="D2562" t="s">
        <v>105</v>
      </c>
      <c r="E2562" t="s">
        <v>14</v>
      </c>
      <c r="F2562">
        <v>78.73</v>
      </c>
      <c r="G2562" t="s">
        <v>13</v>
      </c>
    </row>
    <row r="2563" spans="1:7" x14ac:dyDescent="0.25">
      <c r="A2563">
        <v>214</v>
      </c>
      <c r="B2563" t="s">
        <v>539</v>
      </c>
      <c r="C2563">
        <v>60</v>
      </c>
      <c r="D2563" t="s">
        <v>106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539</v>
      </c>
      <c r="C2564">
        <v>70</v>
      </c>
      <c r="D2564" t="s">
        <v>104</v>
      </c>
      <c r="E2564" t="s">
        <v>12</v>
      </c>
      <c r="F2564">
        <v>0.10100000000000001</v>
      </c>
      <c r="G2564" t="s">
        <v>13</v>
      </c>
    </row>
    <row r="2565" spans="1:7" x14ac:dyDescent="0.25">
      <c r="A2565">
        <v>214</v>
      </c>
      <c r="B2565" t="s">
        <v>539</v>
      </c>
      <c r="C2565">
        <v>80</v>
      </c>
      <c r="D2565" t="s">
        <v>273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539</v>
      </c>
      <c r="C2566">
        <v>90</v>
      </c>
      <c r="D2566" t="s">
        <v>18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539</v>
      </c>
      <c r="C2567">
        <v>100</v>
      </c>
      <c r="D2567" t="s">
        <v>19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539</v>
      </c>
      <c r="C2568">
        <v>110</v>
      </c>
      <c r="D2568" t="s">
        <v>101</v>
      </c>
      <c r="E2568" t="s">
        <v>12</v>
      </c>
      <c r="F2568">
        <v>0.66100000000000003</v>
      </c>
      <c r="G2568" t="s">
        <v>13</v>
      </c>
    </row>
    <row r="2569" spans="1:7" x14ac:dyDescent="0.25">
      <c r="A2569">
        <v>214</v>
      </c>
      <c r="B2569" t="s">
        <v>539</v>
      </c>
      <c r="C2569">
        <v>120</v>
      </c>
      <c r="D2569" t="s">
        <v>540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541</v>
      </c>
      <c r="C2570">
        <v>10</v>
      </c>
      <c r="D2570" t="s">
        <v>107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541</v>
      </c>
      <c r="C2571">
        <v>20</v>
      </c>
      <c r="D2571" t="s">
        <v>565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541</v>
      </c>
      <c r="C2572">
        <v>30</v>
      </c>
      <c r="D2572" t="s">
        <v>99</v>
      </c>
      <c r="E2572" t="s">
        <v>100</v>
      </c>
      <c r="F2572">
        <v>0.38900000000000001</v>
      </c>
      <c r="G2572" t="s">
        <v>13</v>
      </c>
    </row>
    <row r="2573" spans="1:7" x14ac:dyDescent="0.25">
      <c r="A2573">
        <v>215</v>
      </c>
      <c r="B2573" t="s">
        <v>541</v>
      </c>
      <c r="C2573">
        <v>40</v>
      </c>
      <c r="D2573" t="s">
        <v>108</v>
      </c>
      <c r="E2573" t="s">
        <v>14</v>
      </c>
      <c r="F2573">
        <v>13.411</v>
      </c>
      <c r="G2573" t="s">
        <v>13</v>
      </c>
    </row>
    <row r="2574" spans="1:7" x14ac:dyDescent="0.25">
      <c r="A2574">
        <v>215</v>
      </c>
      <c r="B2574" t="s">
        <v>541</v>
      </c>
      <c r="C2574">
        <v>50</v>
      </c>
      <c r="D2574" t="s">
        <v>105</v>
      </c>
      <c r="E2574" t="s">
        <v>14</v>
      </c>
      <c r="F2574">
        <v>82.478999999999999</v>
      </c>
      <c r="G2574" t="s">
        <v>13</v>
      </c>
    </row>
    <row r="2575" spans="1:7" x14ac:dyDescent="0.25">
      <c r="A2575">
        <v>215</v>
      </c>
      <c r="B2575" t="s">
        <v>541</v>
      </c>
      <c r="C2575">
        <v>60</v>
      </c>
      <c r="D2575" t="s">
        <v>106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541</v>
      </c>
      <c r="C2576">
        <v>70</v>
      </c>
      <c r="D2576" t="s">
        <v>104</v>
      </c>
      <c r="E2576" t="s">
        <v>12</v>
      </c>
      <c r="F2576">
        <v>0.113</v>
      </c>
      <c r="G2576" t="s">
        <v>13</v>
      </c>
    </row>
    <row r="2577" spans="1:7" x14ac:dyDescent="0.25">
      <c r="A2577">
        <v>215</v>
      </c>
      <c r="B2577" t="s">
        <v>541</v>
      </c>
      <c r="C2577">
        <v>80</v>
      </c>
      <c r="D2577" t="s">
        <v>273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541</v>
      </c>
      <c r="C2578">
        <v>90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541</v>
      </c>
      <c r="C2579">
        <v>100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541</v>
      </c>
      <c r="C2580">
        <v>110</v>
      </c>
      <c r="D2580" t="s">
        <v>101</v>
      </c>
      <c r="E2580" t="s">
        <v>12</v>
      </c>
      <c r="F2580">
        <v>0.66100000000000003</v>
      </c>
      <c r="G2580" t="s">
        <v>13</v>
      </c>
    </row>
    <row r="2581" spans="1:7" x14ac:dyDescent="0.25">
      <c r="A2581">
        <v>215</v>
      </c>
      <c r="B2581" t="s">
        <v>541</v>
      </c>
      <c r="C2581">
        <v>120</v>
      </c>
      <c r="D2581" t="s">
        <v>542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543</v>
      </c>
      <c r="C2582">
        <v>10</v>
      </c>
      <c r="D2582" t="s">
        <v>107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543</v>
      </c>
      <c r="C2583">
        <v>20</v>
      </c>
      <c r="D2583" t="s">
        <v>565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543</v>
      </c>
      <c r="C2584">
        <v>30</v>
      </c>
      <c r="D2584" t="s">
        <v>99</v>
      </c>
      <c r="E2584" t="s">
        <v>100</v>
      </c>
      <c r="F2584">
        <v>0.48599999999999999</v>
      </c>
      <c r="G2584" t="s">
        <v>13</v>
      </c>
    </row>
    <row r="2585" spans="1:7" x14ac:dyDescent="0.25">
      <c r="A2585">
        <v>216</v>
      </c>
      <c r="B2585" t="s">
        <v>543</v>
      </c>
      <c r="C2585">
        <v>40</v>
      </c>
      <c r="D2585" t="s">
        <v>108</v>
      </c>
      <c r="E2585" t="s">
        <v>14</v>
      </c>
      <c r="F2585">
        <v>14.63</v>
      </c>
      <c r="G2585" t="s">
        <v>13</v>
      </c>
    </row>
    <row r="2586" spans="1:7" x14ac:dyDescent="0.25">
      <c r="A2586">
        <v>216</v>
      </c>
      <c r="B2586" t="s">
        <v>543</v>
      </c>
      <c r="C2586">
        <v>50</v>
      </c>
      <c r="D2586" t="s">
        <v>105</v>
      </c>
      <c r="E2586" t="s">
        <v>14</v>
      </c>
      <c r="F2586">
        <v>89.977000000000004</v>
      </c>
      <c r="G2586" t="s">
        <v>13</v>
      </c>
    </row>
    <row r="2587" spans="1:7" x14ac:dyDescent="0.25">
      <c r="A2587">
        <v>216</v>
      </c>
      <c r="B2587" t="s">
        <v>543</v>
      </c>
      <c r="C2587">
        <v>60</v>
      </c>
      <c r="D2587" t="s">
        <v>106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543</v>
      </c>
      <c r="C2588">
        <v>70</v>
      </c>
      <c r="D2588" t="s">
        <v>104</v>
      </c>
      <c r="E2588" t="s">
        <v>12</v>
      </c>
      <c r="F2588">
        <v>0.13500000000000001</v>
      </c>
      <c r="G2588" t="s">
        <v>13</v>
      </c>
    </row>
    <row r="2589" spans="1:7" x14ac:dyDescent="0.25">
      <c r="A2589">
        <v>216</v>
      </c>
      <c r="B2589" t="s">
        <v>543</v>
      </c>
      <c r="C2589">
        <v>80</v>
      </c>
      <c r="D2589" t="s">
        <v>273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543</v>
      </c>
      <c r="C2590">
        <v>90</v>
      </c>
      <c r="D2590" t="s">
        <v>18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543</v>
      </c>
      <c r="C2591">
        <v>100</v>
      </c>
      <c r="D2591" t="s">
        <v>19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543</v>
      </c>
      <c r="C2592">
        <v>110</v>
      </c>
      <c r="D2592" t="s">
        <v>101</v>
      </c>
      <c r="E2592" t="s">
        <v>12</v>
      </c>
      <c r="F2592">
        <v>0.66100000000000003</v>
      </c>
      <c r="G2592" t="s">
        <v>13</v>
      </c>
    </row>
    <row r="2593" spans="1:7" x14ac:dyDescent="0.25">
      <c r="A2593">
        <v>216</v>
      </c>
      <c r="B2593" t="s">
        <v>543</v>
      </c>
      <c r="C2593">
        <v>120</v>
      </c>
      <c r="D2593" t="s">
        <v>544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545</v>
      </c>
      <c r="C2594">
        <v>10</v>
      </c>
      <c r="D2594" t="s">
        <v>107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545</v>
      </c>
      <c r="C2595">
        <v>20</v>
      </c>
      <c r="D2595" t="s">
        <v>565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545</v>
      </c>
      <c r="C2596">
        <v>30</v>
      </c>
      <c r="D2596" t="s">
        <v>99</v>
      </c>
      <c r="E2596" t="s">
        <v>100</v>
      </c>
      <c r="F2596">
        <v>0.53500000000000003</v>
      </c>
      <c r="G2596" t="s">
        <v>13</v>
      </c>
    </row>
    <row r="2597" spans="1:7" x14ac:dyDescent="0.25">
      <c r="A2597">
        <v>217</v>
      </c>
      <c r="B2597" t="s">
        <v>545</v>
      </c>
      <c r="C2597">
        <v>40</v>
      </c>
      <c r="D2597" t="s">
        <v>108</v>
      </c>
      <c r="E2597" t="s">
        <v>14</v>
      </c>
      <c r="F2597">
        <v>15.24</v>
      </c>
      <c r="G2597" t="s">
        <v>13</v>
      </c>
    </row>
    <row r="2598" spans="1:7" x14ac:dyDescent="0.25">
      <c r="A2598">
        <v>217</v>
      </c>
      <c r="B2598" t="s">
        <v>545</v>
      </c>
      <c r="C2598">
        <v>50</v>
      </c>
      <c r="D2598" t="s">
        <v>105</v>
      </c>
      <c r="E2598" t="s">
        <v>14</v>
      </c>
      <c r="F2598">
        <v>93.725999999999999</v>
      </c>
      <c r="G2598" t="s">
        <v>13</v>
      </c>
    </row>
    <row r="2599" spans="1:7" x14ac:dyDescent="0.25">
      <c r="A2599">
        <v>217</v>
      </c>
      <c r="B2599" t="s">
        <v>545</v>
      </c>
      <c r="C2599">
        <v>60</v>
      </c>
      <c r="D2599" t="s">
        <v>106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545</v>
      </c>
      <c r="C2600">
        <v>70</v>
      </c>
      <c r="D2600" t="s">
        <v>104</v>
      </c>
      <c r="E2600" t="s">
        <v>12</v>
      </c>
      <c r="F2600">
        <v>0.14699999999999999</v>
      </c>
      <c r="G2600" t="s">
        <v>13</v>
      </c>
    </row>
    <row r="2601" spans="1:7" x14ac:dyDescent="0.25">
      <c r="A2601">
        <v>217</v>
      </c>
      <c r="B2601" t="s">
        <v>545</v>
      </c>
      <c r="C2601">
        <v>80</v>
      </c>
      <c r="D2601" t="s">
        <v>273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545</v>
      </c>
      <c r="C2602">
        <v>90</v>
      </c>
      <c r="D2602" t="s">
        <v>18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545</v>
      </c>
      <c r="C2603">
        <v>100</v>
      </c>
      <c r="D2603" t="s">
        <v>19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545</v>
      </c>
      <c r="C2604">
        <v>110</v>
      </c>
      <c r="D2604" t="s">
        <v>101</v>
      </c>
      <c r="E2604" t="s">
        <v>12</v>
      </c>
      <c r="F2604">
        <v>0.66100000000000003</v>
      </c>
      <c r="G2604" t="s">
        <v>13</v>
      </c>
    </row>
    <row r="2605" spans="1:7" x14ac:dyDescent="0.25">
      <c r="A2605">
        <v>217</v>
      </c>
      <c r="B2605" t="s">
        <v>545</v>
      </c>
      <c r="C2605">
        <v>120</v>
      </c>
      <c r="D2605" t="s">
        <v>546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547</v>
      </c>
      <c r="C2606">
        <v>10</v>
      </c>
      <c r="D2606" t="s">
        <v>107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218</v>
      </c>
      <c r="B2607" t="s">
        <v>547</v>
      </c>
      <c r="C2607">
        <v>20</v>
      </c>
      <c r="D2607" t="s">
        <v>565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218</v>
      </c>
      <c r="B2608" t="s">
        <v>547</v>
      </c>
      <c r="C2608">
        <v>30</v>
      </c>
      <c r="D2608" t="s">
        <v>99</v>
      </c>
      <c r="E2608" t="s">
        <v>100</v>
      </c>
      <c r="F2608">
        <v>0.58299999999999996</v>
      </c>
      <c r="G2608" t="s">
        <v>13</v>
      </c>
    </row>
    <row r="2609" spans="1:7" x14ac:dyDescent="0.25">
      <c r="A2609">
        <v>218</v>
      </c>
      <c r="B2609" t="s">
        <v>547</v>
      </c>
      <c r="C2609">
        <v>40</v>
      </c>
      <c r="D2609" t="s">
        <v>108</v>
      </c>
      <c r="E2609" t="s">
        <v>14</v>
      </c>
      <c r="F2609">
        <v>15.85</v>
      </c>
      <c r="G2609" t="s">
        <v>13</v>
      </c>
    </row>
    <row r="2610" spans="1:7" x14ac:dyDescent="0.25">
      <c r="A2610">
        <v>218</v>
      </c>
      <c r="B2610" t="s">
        <v>547</v>
      </c>
      <c r="C2610">
        <v>50</v>
      </c>
      <c r="D2610" t="s">
        <v>105</v>
      </c>
      <c r="E2610" t="s">
        <v>14</v>
      </c>
      <c r="F2610">
        <v>97.474999999999994</v>
      </c>
      <c r="G2610" t="s">
        <v>13</v>
      </c>
    </row>
    <row r="2611" spans="1:7" x14ac:dyDescent="0.25">
      <c r="A2611">
        <v>218</v>
      </c>
      <c r="B2611" t="s">
        <v>547</v>
      </c>
      <c r="C2611">
        <v>60</v>
      </c>
      <c r="D2611" t="s">
        <v>106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547</v>
      </c>
      <c r="C2612">
        <v>70</v>
      </c>
      <c r="D2612" t="s">
        <v>104</v>
      </c>
      <c r="E2612" t="s">
        <v>12</v>
      </c>
      <c r="F2612">
        <v>0.158</v>
      </c>
      <c r="G2612" t="s">
        <v>13</v>
      </c>
    </row>
    <row r="2613" spans="1:7" x14ac:dyDescent="0.25">
      <c r="A2613">
        <v>218</v>
      </c>
      <c r="B2613" t="s">
        <v>547</v>
      </c>
      <c r="C2613">
        <v>80</v>
      </c>
      <c r="D2613" t="s">
        <v>273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547</v>
      </c>
      <c r="C2614">
        <v>90</v>
      </c>
      <c r="D2614" t="s">
        <v>18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547</v>
      </c>
      <c r="C2615">
        <v>100</v>
      </c>
      <c r="D2615" t="s">
        <v>19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547</v>
      </c>
      <c r="C2616">
        <v>110</v>
      </c>
      <c r="D2616" t="s">
        <v>101</v>
      </c>
      <c r="E2616" t="s">
        <v>12</v>
      </c>
      <c r="F2616">
        <v>0.66100000000000003</v>
      </c>
      <c r="G2616" t="s">
        <v>13</v>
      </c>
    </row>
    <row r="2617" spans="1:7" x14ac:dyDescent="0.25">
      <c r="A2617">
        <v>218</v>
      </c>
      <c r="B2617" t="s">
        <v>547</v>
      </c>
      <c r="C2617">
        <v>120</v>
      </c>
      <c r="D2617" t="s">
        <v>548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549</v>
      </c>
      <c r="C2618">
        <v>10</v>
      </c>
      <c r="D2618" t="s">
        <v>107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549</v>
      </c>
      <c r="C2619">
        <v>20</v>
      </c>
      <c r="D2619" t="s">
        <v>565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549</v>
      </c>
      <c r="C2620">
        <v>30</v>
      </c>
      <c r="D2620" t="s">
        <v>99</v>
      </c>
      <c r="E2620" t="s">
        <v>100</v>
      </c>
      <c r="F2620">
        <v>0.255</v>
      </c>
      <c r="G2620" t="s">
        <v>13</v>
      </c>
    </row>
    <row r="2621" spans="1:7" x14ac:dyDescent="0.25">
      <c r="A2621">
        <v>219</v>
      </c>
      <c r="B2621" t="s">
        <v>549</v>
      </c>
      <c r="C2621">
        <v>40</v>
      </c>
      <c r="D2621" t="s">
        <v>108</v>
      </c>
      <c r="E2621" t="s">
        <v>14</v>
      </c>
      <c r="F2621">
        <v>11.989000000000001</v>
      </c>
      <c r="G2621" t="s">
        <v>13</v>
      </c>
    </row>
    <row r="2622" spans="1:7" x14ac:dyDescent="0.25">
      <c r="A2622">
        <v>219</v>
      </c>
      <c r="B2622" t="s">
        <v>549</v>
      </c>
      <c r="C2622">
        <v>50</v>
      </c>
      <c r="D2622" t="s">
        <v>105</v>
      </c>
      <c r="E2622" t="s">
        <v>14</v>
      </c>
      <c r="F2622">
        <v>73.730999999999995</v>
      </c>
      <c r="G2622" t="s">
        <v>13</v>
      </c>
    </row>
    <row r="2623" spans="1:7" x14ac:dyDescent="0.25">
      <c r="A2623">
        <v>219</v>
      </c>
      <c r="B2623" t="s">
        <v>549</v>
      </c>
      <c r="C2623">
        <v>60</v>
      </c>
      <c r="D2623" t="s">
        <v>106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549</v>
      </c>
      <c r="C2624">
        <v>70</v>
      </c>
      <c r="D2624" t="s">
        <v>104</v>
      </c>
      <c r="E2624" t="s">
        <v>12</v>
      </c>
      <c r="F2624">
        <v>7.9000000000000001E-2</v>
      </c>
      <c r="G2624" t="s">
        <v>13</v>
      </c>
    </row>
    <row r="2625" spans="1:7" x14ac:dyDescent="0.25">
      <c r="A2625">
        <v>219</v>
      </c>
      <c r="B2625" t="s">
        <v>549</v>
      </c>
      <c r="C2625">
        <v>80</v>
      </c>
      <c r="D2625" t="s">
        <v>273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549</v>
      </c>
      <c r="C2626">
        <v>90</v>
      </c>
      <c r="D2626" t="s">
        <v>18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549</v>
      </c>
      <c r="C2627">
        <v>100</v>
      </c>
      <c r="D2627" t="s">
        <v>19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549</v>
      </c>
      <c r="C2628">
        <v>110</v>
      </c>
      <c r="D2628" t="s">
        <v>101</v>
      </c>
      <c r="E2628" t="s">
        <v>12</v>
      </c>
      <c r="F2628">
        <v>0.69099999999999995</v>
      </c>
      <c r="G2628" t="s">
        <v>13</v>
      </c>
    </row>
    <row r="2629" spans="1:7" x14ac:dyDescent="0.25">
      <c r="A2629">
        <v>219</v>
      </c>
      <c r="B2629" t="s">
        <v>549</v>
      </c>
      <c r="C2629">
        <v>120</v>
      </c>
      <c r="D2629" t="s">
        <v>550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551</v>
      </c>
      <c r="C2630">
        <v>10</v>
      </c>
      <c r="D2630" t="s">
        <v>107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551</v>
      </c>
      <c r="C2631">
        <v>20</v>
      </c>
      <c r="D2631" t="s">
        <v>565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551</v>
      </c>
      <c r="C2632">
        <v>30</v>
      </c>
      <c r="D2632" t="s">
        <v>99</v>
      </c>
      <c r="E2632" t="s">
        <v>100</v>
      </c>
      <c r="F2632">
        <v>0.30599999999999999</v>
      </c>
      <c r="G2632" t="s">
        <v>13</v>
      </c>
    </row>
    <row r="2633" spans="1:7" x14ac:dyDescent="0.25">
      <c r="A2633">
        <v>220</v>
      </c>
      <c r="B2633" t="s">
        <v>551</v>
      </c>
      <c r="C2633">
        <v>40</v>
      </c>
      <c r="D2633" t="s">
        <v>108</v>
      </c>
      <c r="E2633" t="s">
        <v>14</v>
      </c>
      <c r="F2633">
        <v>12.598000000000001</v>
      </c>
      <c r="G2633" t="s">
        <v>13</v>
      </c>
    </row>
    <row r="2634" spans="1:7" x14ac:dyDescent="0.25">
      <c r="A2634">
        <v>220</v>
      </c>
      <c r="B2634" t="s">
        <v>551</v>
      </c>
      <c r="C2634">
        <v>50</v>
      </c>
      <c r="D2634" t="s">
        <v>105</v>
      </c>
      <c r="E2634" t="s">
        <v>14</v>
      </c>
      <c r="F2634">
        <v>77.48</v>
      </c>
      <c r="G2634" t="s">
        <v>13</v>
      </c>
    </row>
    <row r="2635" spans="1:7" x14ac:dyDescent="0.25">
      <c r="A2635">
        <v>220</v>
      </c>
      <c r="B2635" t="s">
        <v>551</v>
      </c>
      <c r="C2635">
        <v>60</v>
      </c>
      <c r="D2635" t="s">
        <v>106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551</v>
      </c>
      <c r="C2636">
        <v>70</v>
      </c>
      <c r="D2636" t="s">
        <v>104</v>
      </c>
      <c r="E2636" t="s">
        <v>12</v>
      </c>
      <c r="F2636">
        <v>0.09</v>
      </c>
      <c r="G2636" t="s">
        <v>13</v>
      </c>
    </row>
    <row r="2637" spans="1:7" x14ac:dyDescent="0.25">
      <c r="A2637">
        <v>220</v>
      </c>
      <c r="B2637" t="s">
        <v>551</v>
      </c>
      <c r="C2637">
        <v>80</v>
      </c>
      <c r="D2637" t="s">
        <v>273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551</v>
      </c>
      <c r="C2638">
        <v>90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551</v>
      </c>
      <c r="C2639">
        <v>100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551</v>
      </c>
      <c r="C2640">
        <v>110</v>
      </c>
      <c r="D2640" t="s">
        <v>101</v>
      </c>
      <c r="E2640" t="s">
        <v>12</v>
      </c>
      <c r="F2640">
        <v>0.69099999999999995</v>
      </c>
      <c r="G2640" t="s">
        <v>13</v>
      </c>
    </row>
    <row r="2641" spans="1:7" x14ac:dyDescent="0.25">
      <c r="A2641">
        <v>220</v>
      </c>
      <c r="B2641" t="s">
        <v>551</v>
      </c>
      <c r="C2641">
        <v>120</v>
      </c>
      <c r="D2641" t="s">
        <v>552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553</v>
      </c>
      <c r="C2642">
        <v>10</v>
      </c>
      <c r="D2642" t="s">
        <v>107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553</v>
      </c>
      <c r="C2643">
        <v>20</v>
      </c>
      <c r="D2643" t="s">
        <v>565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553</v>
      </c>
      <c r="C2644">
        <v>30</v>
      </c>
      <c r="D2644" t="s">
        <v>99</v>
      </c>
      <c r="E2644" t="s">
        <v>100</v>
      </c>
      <c r="F2644">
        <v>0.35699999999999998</v>
      </c>
      <c r="G2644" t="s">
        <v>13</v>
      </c>
    </row>
    <row r="2645" spans="1:7" x14ac:dyDescent="0.25">
      <c r="A2645">
        <v>221</v>
      </c>
      <c r="B2645" t="s">
        <v>553</v>
      </c>
      <c r="C2645">
        <v>40</v>
      </c>
      <c r="D2645" t="s">
        <v>108</v>
      </c>
      <c r="E2645" t="s">
        <v>14</v>
      </c>
      <c r="F2645">
        <v>13.208</v>
      </c>
      <c r="G2645" t="s">
        <v>13</v>
      </c>
    </row>
    <row r="2646" spans="1:7" x14ac:dyDescent="0.25">
      <c r="A2646">
        <v>221</v>
      </c>
      <c r="B2646" t="s">
        <v>553</v>
      </c>
      <c r="C2646">
        <v>50</v>
      </c>
      <c r="D2646" t="s">
        <v>105</v>
      </c>
      <c r="E2646" t="s">
        <v>14</v>
      </c>
      <c r="F2646">
        <v>81.228999999999999</v>
      </c>
      <c r="G2646" t="s">
        <v>13</v>
      </c>
    </row>
    <row r="2647" spans="1:7" x14ac:dyDescent="0.25">
      <c r="A2647">
        <v>221</v>
      </c>
      <c r="B2647" t="s">
        <v>553</v>
      </c>
      <c r="C2647">
        <v>60</v>
      </c>
      <c r="D2647" t="s">
        <v>106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553</v>
      </c>
      <c r="C2648">
        <v>70</v>
      </c>
      <c r="D2648" t="s">
        <v>104</v>
      </c>
      <c r="E2648" t="s">
        <v>12</v>
      </c>
      <c r="F2648">
        <v>0.10100000000000001</v>
      </c>
      <c r="G2648" t="s">
        <v>13</v>
      </c>
    </row>
    <row r="2649" spans="1:7" x14ac:dyDescent="0.25">
      <c r="A2649">
        <v>221</v>
      </c>
      <c r="B2649" t="s">
        <v>553</v>
      </c>
      <c r="C2649">
        <v>80</v>
      </c>
      <c r="D2649" t="s">
        <v>273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553</v>
      </c>
      <c r="C2650">
        <v>90</v>
      </c>
      <c r="D2650" t="s">
        <v>18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553</v>
      </c>
      <c r="C2651">
        <v>100</v>
      </c>
      <c r="D2651" t="s">
        <v>19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553</v>
      </c>
      <c r="C2652">
        <v>110</v>
      </c>
      <c r="D2652" t="s">
        <v>101</v>
      </c>
      <c r="E2652" t="s">
        <v>12</v>
      </c>
      <c r="F2652">
        <v>0.69099999999999995</v>
      </c>
      <c r="G2652" t="s">
        <v>13</v>
      </c>
    </row>
    <row r="2653" spans="1:7" x14ac:dyDescent="0.25">
      <c r="A2653">
        <v>221</v>
      </c>
      <c r="B2653" t="s">
        <v>553</v>
      </c>
      <c r="C2653">
        <v>120</v>
      </c>
      <c r="D2653" t="s">
        <v>554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555</v>
      </c>
      <c r="C2654">
        <v>10</v>
      </c>
      <c r="D2654" t="s">
        <v>107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555</v>
      </c>
      <c r="C2655">
        <v>20</v>
      </c>
      <c r="D2655" t="s">
        <v>565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555</v>
      </c>
      <c r="C2656">
        <v>30</v>
      </c>
      <c r="D2656" t="s">
        <v>99</v>
      </c>
      <c r="E2656" t="s">
        <v>100</v>
      </c>
      <c r="F2656">
        <v>0.40799999999999997</v>
      </c>
      <c r="G2656" t="s">
        <v>13</v>
      </c>
    </row>
    <row r="2657" spans="1:7" x14ac:dyDescent="0.25">
      <c r="A2657">
        <v>222</v>
      </c>
      <c r="B2657" t="s">
        <v>555</v>
      </c>
      <c r="C2657">
        <v>40</v>
      </c>
      <c r="D2657" t="s">
        <v>108</v>
      </c>
      <c r="E2657" t="s">
        <v>14</v>
      </c>
      <c r="F2657">
        <v>13.818</v>
      </c>
      <c r="G2657" t="s">
        <v>13</v>
      </c>
    </row>
    <row r="2658" spans="1:7" x14ac:dyDescent="0.25">
      <c r="A2658">
        <v>222</v>
      </c>
      <c r="B2658" t="s">
        <v>555</v>
      </c>
      <c r="C2658">
        <v>50</v>
      </c>
      <c r="D2658" t="s">
        <v>105</v>
      </c>
      <c r="E2658" t="s">
        <v>14</v>
      </c>
      <c r="F2658">
        <v>84.977999999999994</v>
      </c>
      <c r="G2658" t="s">
        <v>13</v>
      </c>
    </row>
    <row r="2659" spans="1:7" x14ac:dyDescent="0.25">
      <c r="A2659">
        <v>222</v>
      </c>
      <c r="B2659" t="s">
        <v>555</v>
      </c>
      <c r="C2659">
        <v>60</v>
      </c>
      <c r="D2659" t="s">
        <v>106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555</v>
      </c>
      <c r="C2660">
        <v>70</v>
      </c>
      <c r="D2660" t="s">
        <v>104</v>
      </c>
      <c r="E2660" t="s">
        <v>12</v>
      </c>
      <c r="F2660">
        <v>0.113</v>
      </c>
      <c r="G2660" t="s">
        <v>13</v>
      </c>
    </row>
    <row r="2661" spans="1:7" x14ac:dyDescent="0.25">
      <c r="A2661">
        <v>222</v>
      </c>
      <c r="B2661" t="s">
        <v>555</v>
      </c>
      <c r="C2661">
        <v>80</v>
      </c>
      <c r="D2661" t="s">
        <v>273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555</v>
      </c>
      <c r="C2662">
        <v>90</v>
      </c>
      <c r="D2662" t="s">
        <v>18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555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555</v>
      </c>
      <c r="C2664">
        <v>110</v>
      </c>
      <c r="D2664" t="s">
        <v>101</v>
      </c>
      <c r="E2664" t="s">
        <v>12</v>
      </c>
      <c r="F2664">
        <v>0.69099999999999995</v>
      </c>
      <c r="G2664" t="s">
        <v>13</v>
      </c>
    </row>
    <row r="2665" spans="1:7" x14ac:dyDescent="0.25">
      <c r="A2665">
        <v>222</v>
      </c>
      <c r="B2665" t="s">
        <v>555</v>
      </c>
      <c r="C2665">
        <v>120</v>
      </c>
      <c r="D2665" t="s">
        <v>556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557</v>
      </c>
      <c r="C2666">
        <v>10</v>
      </c>
      <c r="D2666" t="s">
        <v>107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557</v>
      </c>
      <c r="C2667">
        <v>20</v>
      </c>
      <c r="D2667" t="s">
        <v>565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557</v>
      </c>
      <c r="C2668">
        <v>30</v>
      </c>
      <c r="D2668" t="s">
        <v>99</v>
      </c>
      <c r="E2668" t="s">
        <v>100</v>
      </c>
      <c r="F2668">
        <v>0.51</v>
      </c>
      <c r="G2668" t="s">
        <v>13</v>
      </c>
    </row>
    <row r="2669" spans="1:7" x14ac:dyDescent="0.25">
      <c r="A2669">
        <v>223</v>
      </c>
      <c r="B2669" t="s">
        <v>557</v>
      </c>
      <c r="C2669">
        <v>40</v>
      </c>
      <c r="D2669" t="s">
        <v>108</v>
      </c>
      <c r="E2669" t="s">
        <v>14</v>
      </c>
      <c r="F2669">
        <v>15.037000000000001</v>
      </c>
      <c r="G2669" t="s">
        <v>13</v>
      </c>
    </row>
    <row r="2670" spans="1:7" x14ac:dyDescent="0.25">
      <c r="A2670">
        <v>223</v>
      </c>
      <c r="B2670" t="s">
        <v>557</v>
      </c>
      <c r="C2670">
        <v>50</v>
      </c>
      <c r="D2670" t="s">
        <v>105</v>
      </c>
      <c r="E2670" t="s">
        <v>14</v>
      </c>
      <c r="F2670">
        <v>92.475999999999999</v>
      </c>
      <c r="G2670" t="s">
        <v>13</v>
      </c>
    </row>
    <row r="2671" spans="1:7" x14ac:dyDescent="0.25">
      <c r="A2671">
        <v>223</v>
      </c>
      <c r="B2671" t="s">
        <v>557</v>
      </c>
      <c r="C2671">
        <v>60</v>
      </c>
      <c r="D2671" t="s">
        <v>106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557</v>
      </c>
      <c r="C2672">
        <v>70</v>
      </c>
      <c r="D2672" t="s">
        <v>104</v>
      </c>
      <c r="E2672" t="s">
        <v>12</v>
      </c>
      <c r="F2672">
        <v>0.13500000000000001</v>
      </c>
      <c r="G2672" t="s">
        <v>13</v>
      </c>
    </row>
    <row r="2673" spans="1:7" x14ac:dyDescent="0.25">
      <c r="A2673">
        <v>223</v>
      </c>
      <c r="B2673" t="s">
        <v>557</v>
      </c>
      <c r="C2673">
        <v>80</v>
      </c>
      <c r="D2673" t="s">
        <v>273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557</v>
      </c>
      <c r="C2674">
        <v>90</v>
      </c>
      <c r="D2674" t="s">
        <v>18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557</v>
      </c>
      <c r="C2675">
        <v>100</v>
      </c>
      <c r="D2675" t="s">
        <v>19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557</v>
      </c>
      <c r="C2676">
        <v>110</v>
      </c>
      <c r="D2676" t="s">
        <v>101</v>
      </c>
      <c r="E2676" t="s">
        <v>12</v>
      </c>
      <c r="F2676">
        <v>0.69099999999999995</v>
      </c>
      <c r="G2676" t="s">
        <v>13</v>
      </c>
    </row>
    <row r="2677" spans="1:7" x14ac:dyDescent="0.25">
      <c r="A2677">
        <v>223</v>
      </c>
      <c r="B2677" t="s">
        <v>557</v>
      </c>
      <c r="C2677">
        <v>120</v>
      </c>
      <c r="D2677" t="s">
        <v>558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559</v>
      </c>
      <c r="C2678">
        <v>10</v>
      </c>
      <c r="D2678" t="s">
        <v>107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559</v>
      </c>
      <c r="C2679">
        <v>20</v>
      </c>
      <c r="D2679" t="s">
        <v>565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559</v>
      </c>
      <c r="C2680">
        <v>30</v>
      </c>
      <c r="D2680" t="s">
        <v>99</v>
      </c>
      <c r="E2680" t="s">
        <v>100</v>
      </c>
      <c r="F2680">
        <v>0.56100000000000005</v>
      </c>
      <c r="G2680" t="s">
        <v>13</v>
      </c>
    </row>
    <row r="2681" spans="1:7" x14ac:dyDescent="0.25">
      <c r="A2681">
        <v>224</v>
      </c>
      <c r="B2681" t="s">
        <v>559</v>
      </c>
      <c r="C2681">
        <v>40</v>
      </c>
      <c r="D2681" t="s">
        <v>108</v>
      </c>
      <c r="E2681" t="s">
        <v>14</v>
      </c>
      <c r="F2681">
        <v>15.646000000000001</v>
      </c>
      <c r="G2681" t="s">
        <v>13</v>
      </c>
    </row>
    <row r="2682" spans="1:7" x14ac:dyDescent="0.25">
      <c r="A2682">
        <v>224</v>
      </c>
      <c r="B2682" t="s">
        <v>559</v>
      </c>
      <c r="C2682">
        <v>50</v>
      </c>
      <c r="D2682" t="s">
        <v>105</v>
      </c>
      <c r="E2682" t="s">
        <v>14</v>
      </c>
      <c r="F2682">
        <v>96.224999999999994</v>
      </c>
      <c r="G2682" t="s">
        <v>13</v>
      </c>
    </row>
    <row r="2683" spans="1:7" x14ac:dyDescent="0.25">
      <c r="A2683">
        <v>224</v>
      </c>
      <c r="B2683" t="s">
        <v>559</v>
      </c>
      <c r="C2683">
        <v>60</v>
      </c>
      <c r="D2683" t="s">
        <v>106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559</v>
      </c>
      <c r="C2684">
        <v>70</v>
      </c>
      <c r="D2684" t="s">
        <v>104</v>
      </c>
      <c r="E2684" t="s">
        <v>12</v>
      </c>
      <c r="F2684">
        <v>0.14699999999999999</v>
      </c>
      <c r="G2684" t="s">
        <v>13</v>
      </c>
    </row>
    <row r="2685" spans="1:7" x14ac:dyDescent="0.25">
      <c r="A2685">
        <v>224</v>
      </c>
      <c r="B2685" t="s">
        <v>559</v>
      </c>
      <c r="C2685">
        <v>80</v>
      </c>
      <c r="D2685" t="s">
        <v>273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559</v>
      </c>
      <c r="C2686">
        <v>90</v>
      </c>
      <c r="D2686" t="s">
        <v>18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559</v>
      </c>
      <c r="C2687">
        <v>100</v>
      </c>
      <c r="D2687" t="s">
        <v>19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559</v>
      </c>
      <c r="C2688">
        <v>110</v>
      </c>
      <c r="D2688" t="s">
        <v>101</v>
      </c>
      <c r="E2688" t="s">
        <v>12</v>
      </c>
      <c r="F2688">
        <v>0.69099999999999995</v>
      </c>
      <c r="G2688" t="s">
        <v>13</v>
      </c>
    </row>
    <row r="2689" spans="1:7" x14ac:dyDescent="0.25">
      <c r="A2689">
        <v>224</v>
      </c>
      <c r="B2689" t="s">
        <v>559</v>
      </c>
      <c r="C2689">
        <v>120</v>
      </c>
      <c r="D2689" t="s">
        <v>560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561</v>
      </c>
      <c r="C2690">
        <v>10</v>
      </c>
      <c r="D2690" t="s">
        <v>107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561</v>
      </c>
      <c r="C2691">
        <v>20</v>
      </c>
      <c r="D2691" t="s">
        <v>565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561</v>
      </c>
      <c r="C2692">
        <v>30</v>
      </c>
      <c r="D2692" t="s">
        <v>99</v>
      </c>
      <c r="E2692" t="s">
        <v>100</v>
      </c>
      <c r="F2692">
        <v>0.61199999999999999</v>
      </c>
      <c r="G2692" t="s">
        <v>13</v>
      </c>
    </row>
    <row r="2693" spans="1:7" x14ac:dyDescent="0.25">
      <c r="A2693">
        <v>225</v>
      </c>
      <c r="B2693" t="s">
        <v>561</v>
      </c>
      <c r="C2693">
        <v>40</v>
      </c>
      <c r="D2693" t="s">
        <v>108</v>
      </c>
      <c r="E2693" t="s">
        <v>14</v>
      </c>
      <c r="F2693">
        <v>16.256</v>
      </c>
      <c r="G2693" t="s">
        <v>13</v>
      </c>
    </row>
    <row r="2694" spans="1:7" x14ac:dyDescent="0.25">
      <c r="A2694">
        <v>225</v>
      </c>
      <c r="B2694" t="s">
        <v>561</v>
      </c>
      <c r="C2694">
        <v>50</v>
      </c>
      <c r="D2694" t="s">
        <v>105</v>
      </c>
      <c r="E2694" t="s">
        <v>14</v>
      </c>
      <c r="F2694">
        <v>99.974000000000004</v>
      </c>
      <c r="G2694" t="s">
        <v>13</v>
      </c>
    </row>
    <row r="2695" spans="1:7" x14ac:dyDescent="0.25">
      <c r="A2695">
        <v>225</v>
      </c>
      <c r="B2695" t="s">
        <v>561</v>
      </c>
      <c r="C2695">
        <v>60</v>
      </c>
      <c r="D2695" t="s">
        <v>106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561</v>
      </c>
      <c r="C2696">
        <v>70</v>
      </c>
      <c r="D2696" t="s">
        <v>104</v>
      </c>
      <c r="E2696" t="s">
        <v>12</v>
      </c>
      <c r="F2696">
        <v>0.158</v>
      </c>
      <c r="G2696" t="s">
        <v>13</v>
      </c>
    </row>
    <row r="2697" spans="1:7" x14ac:dyDescent="0.25">
      <c r="A2697">
        <v>225</v>
      </c>
      <c r="B2697" t="s">
        <v>561</v>
      </c>
      <c r="C2697">
        <v>80</v>
      </c>
      <c r="D2697" t="s">
        <v>273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561</v>
      </c>
      <c r="C2698">
        <v>90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561</v>
      </c>
      <c r="C2699">
        <v>100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561</v>
      </c>
      <c r="C2700">
        <v>110</v>
      </c>
      <c r="D2700" t="s">
        <v>101</v>
      </c>
      <c r="E2700" t="s">
        <v>12</v>
      </c>
      <c r="F2700">
        <v>0.69099999999999995</v>
      </c>
      <c r="G2700" t="s">
        <v>13</v>
      </c>
    </row>
    <row r="2701" spans="1:7" x14ac:dyDescent="0.25">
      <c r="A2701">
        <v>225</v>
      </c>
      <c r="B2701" t="s">
        <v>561</v>
      </c>
      <c r="C2701">
        <v>120</v>
      </c>
      <c r="D2701" t="s">
        <v>562</v>
      </c>
      <c r="E2701" t="s">
        <v>11</v>
      </c>
      <c r="F2701">
        <v>1</v>
      </c>
      <c r="G2701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C35" sqref="C3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22</v>
      </c>
      <c r="B1" s="43" t="s">
        <v>23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24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25</v>
      </c>
      <c r="C2" s="40" t="s">
        <v>26</v>
      </c>
      <c r="D2" s="40" t="s">
        <v>27</v>
      </c>
      <c r="E2" s="40" t="s">
        <v>26</v>
      </c>
      <c r="F2" s="40" t="s">
        <v>27</v>
      </c>
      <c r="G2" s="40" t="s">
        <v>25</v>
      </c>
      <c r="H2" s="40" t="s">
        <v>27</v>
      </c>
      <c r="I2" s="40" t="s">
        <v>27</v>
      </c>
      <c r="J2" s="40" t="s">
        <v>27</v>
      </c>
      <c r="K2" s="40" t="s">
        <v>27</v>
      </c>
      <c r="L2" s="40" t="s">
        <v>25</v>
      </c>
      <c r="M2" s="41" t="s">
        <v>28</v>
      </c>
      <c r="N2" s="19" t="s">
        <v>28</v>
      </c>
      <c r="O2" s="41" t="s">
        <v>28</v>
      </c>
      <c r="P2" s="41" t="s">
        <v>29</v>
      </c>
      <c r="Q2" s="41" t="s">
        <v>28</v>
      </c>
      <c r="R2" s="41" t="s">
        <v>29</v>
      </c>
      <c r="S2" s="41" t="s">
        <v>28</v>
      </c>
      <c r="T2" s="41" t="s">
        <v>28</v>
      </c>
      <c r="U2" s="41" t="s">
        <v>29</v>
      </c>
      <c r="V2" s="41" t="s">
        <v>28</v>
      </c>
      <c r="W2" s="41" t="s">
        <v>28</v>
      </c>
      <c r="X2" s="41" t="s">
        <v>28</v>
      </c>
      <c r="Y2" s="41" t="s">
        <v>29</v>
      </c>
      <c r="Z2" s="41" t="s">
        <v>30</v>
      </c>
      <c r="AA2" s="41" t="s">
        <v>28</v>
      </c>
      <c r="AB2" s="41" t="s">
        <v>28</v>
      </c>
      <c r="AC2" s="41" t="s">
        <v>28</v>
      </c>
      <c r="AD2" s="41" t="s">
        <v>28</v>
      </c>
      <c r="AE2" s="41" t="s">
        <v>28</v>
      </c>
      <c r="AF2" s="41" t="s">
        <v>28</v>
      </c>
      <c r="AG2" s="41" t="s">
        <v>30</v>
      </c>
      <c r="AH2" s="41" t="s">
        <v>30</v>
      </c>
      <c r="AI2" s="41" t="s">
        <v>30</v>
      </c>
      <c r="AJ2" s="41" t="s">
        <v>28</v>
      </c>
      <c r="AK2" s="41" t="s">
        <v>28</v>
      </c>
      <c r="AL2" s="41" t="s">
        <v>28</v>
      </c>
    </row>
    <row r="3" spans="1:38" x14ac:dyDescent="0.25">
      <c r="A3" s="42"/>
      <c r="B3" s="40" t="s">
        <v>31</v>
      </c>
      <c r="C3" s="40" t="s">
        <v>32</v>
      </c>
      <c r="D3" s="40" t="s">
        <v>33</v>
      </c>
      <c r="E3" s="40" t="s">
        <v>32</v>
      </c>
      <c r="F3" s="40" t="s">
        <v>34</v>
      </c>
      <c r="G3" s="40" t="s">
        <v>35</v>
      </c>
      <c r="H3" s="40" t="s">
        <v>36</v>
      </c>
      <c r="I3" s="40" t="s">
        <v>37</v>
      </c>
      <c r="J3" s="40" t="s">
        <v>32</v>
      </c>
      <c r="K3" s="40" t="s">
        <v>32</v>
      </c>
      <c r="L3" s="40" t="s">
        <v>38</v>
      </c>
      <c r="M3" s="41" t="s">
        <v>39</v>
      </c>
      <c r="N3" s="19" t="s">
        <v>32</v>
      </c>
      <c r="O3" s="41" t="s">
        <v>34</v>
      </c>
      <c r="P3" s="41" t="s">
        <v>40</v>
      </c>
      <c r="Q3" s="41" t="s">
        <v>37</v>
      </c>
      <c r="R3" s="41" t="s">
        <v>36</v>
      </c>
      <c r="S3" s="41" t="s">
        <v>41</v>
      </c>
      <c r="T3" s="41" t="s">
        <v>39</v>
      </c>
      <c r="U3" s="41" t="s">
        <v>42</v>
      </c>
      <c r="V3" s="41" t="s">
        <v>36</v>
      </c>
      <c r="W3" s="41" t="s">
        <v>37</v>
      </c>
      <c r="X3" s="41" t="s">
        <v>37</v>
      </c>
      <c r="Y3" s="41" t="s">
        <v>31</v>
      </c>
      <c r="Z3" s="41" t="s">
        <v>38</v>
      </c>
      <c r="AA3" s="41" t="s">
        <v>43</v>
      </c>
      <c r="AB3" s="41" t="s">
        <v>43</v>
      </c>
      <c r="AC3" s="41" t="s">
        <v>37</v>
      </c>
      <c r="AD3" s="41" t="s">
        <v>37</v>
      </c>
      <c r="AE3" s="41" t="s">
        <v>42</v>
      </c>
      <c r="AF3" s="41" t="s">
        <v>41</v>
      </c>
      <c r="AG3" s="41" t="s">
        <v>31</v>
      </c>
      <c r="AH3" s="41" t="s">
        <v>38</v>
      </c>
      <c r="AI3" s="41" t="s">
        <v>38</v>
      </c>
      <c r="AJ3" s="41" t="s">
        <v>32</v>
      </c>
      <c r="AK3" s="41" t="s">
        <v>34</v>
      </c>
      <c r="AL3" s="41" t="s">
        <v>44</v>
      </c>
    </row>
    <row r="4" spans="1:38" x14ac:dyDescent="0.25">
      <c r="A4" s="42"/>
      <c r="B4" s="20" t="s">
        <v>45</v>
      </c>
      <c r="C4" s="20" t="s">
        <v>46</v>
      </c>
      <c r="D4" s="40" t="s">
        <v>47</v>
      </c>
      <c r="E4" s="20" t="s">
        <v>3</v>
      </c>
      <c r="F4" s="40" t="s">
        <v>48</v>
      </c>
      <c r="G4" s="20" t="s">
        <v>49</v>
      </c>
      <c r="H4" s="20" t="s">
        <v>6</v>
      </c>
      <c r="I4" s="20" t="s">
        <v>50</v>
      </c>
      <c r="J4" s="40" t="s">
        <v>51</v>
      </c>
      <c r="K4" s="40" t="s">
        <v>52</v>
      </c>
      <c r="L4" s="40" t="s">
        <v>53</v>
      </c>
      <c r="M4" s="21" t="s">
        <v>54</v>
      </c>
      <c r="N4" s="22" t="s">
        <v>3</v>
      </c>
      <c r="O4" s="41" t="s">
        <v>48</v>
      </c>
      <c r="P4" s="41" t="s">
        <v>55</v>
      </c>
      <c r="Q4" s="41" t="s">
        <v>56</v>
      </c>
      <c r="R4" s="41" t="s">
        <v>4</v>
      </c>
      <c r="S4" s="41" t="s">
        <v>57</v>
      </c>
      <c r="T4" s="41" t="s">
        <v>58</v>
      </c>
      <c r="U4" s="41" t="s">
        <v>59</v>
      </c>
      <c r="V4" s="41" t="s">
        <v>6</v>
      </c>
      <c r="W4" s="41" t="s">
        <v>60</v>
      </c>
      <c r="X4" s="41" t="s">
        <v>61</v>
      </c>
      <c r="Y4" s="41" t="s">
        <v>62</v>
      </c>
      <c r="Z4" s="41" t="s">
        <v>63</v>
      </c>
      <c r="AA4" s="41" t="s">
        <v>64</v>
      </c>
      <c r="AB4" s="41" t="s">
        <v>65</v>
      </c>
      <c r="AC4" s="41" t="s">
        <v>66</v>
      </c>
      <c r="AD4" s="41" t="s">
        <v>67</v>
      </c>
      <c r="AE4" s="41" t="s">
        <v>68</v>
      </c>
      <c r="AF4" s="41" t="s">
        <v>69</v>
      </c>
      <c r="AG4" s="41" t="s">
        <v>70</v>
      </c>
      <c r="AH4" s="41" t="s">
        <v>71</v>
      </c>
      <c r="AI4" s="41" t="s">
        <v>72</v>
      </c>
      <c r="AJ4" s="41" t="s">
        <v>73</v>
      </c>
      <c r="AK4" s="41" t="s">
        <v>74</v>
      </c>
      <c r="AL4" s="41" t="s">
        <v>75</v>
      </c>
    </row>
    <row r="5" spans="1:38" x14ac:dyDescent="0.25">
      <c r="A5" s="3">
        <v>1</v>
      </c>
      <c r="B5" s="3" t="s">
        <v>563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564</v>
      </c>
      <c r="M5" s="3">
        <v>10</v>
      </c>
      <c r="N5" s="3" t="s">
        <v>107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563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564</v>
      </c>
      <c r="M6" s="3">
        <v>20</v>
      </c>
      <c r="N6" s="3" t="s">
        <v>565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563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564</v>
      </c>
      <c r="M7" s="3">
        <v>30</v>
      </c>
      <c r="N7" s="3" t="s">
        <v>99</v>
      </c>
      <c r="O7" s="3"/>
      <c r="P7" s="3"/>
      <c r="Q7" s="3">
        <v>0.24099999999999999</v>
      </c>
      <c r="R7" s="3" t="s">
        <v>100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563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564</v>
      </c>
      <c r="M8" s="3">
        <v>40</v>
      </c>
      <c r="N8" s="3" t="s">
        <v>108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563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564</v>
      </c>
      <c r="M9" s="3">
        <v>50</v>
      </c>
      <c r="N9" s="3" t="s">
        <v>105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563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564</v>
      </c>
      <c r="M10" s="3">
        <v>60</v>
      </c>
      <c r="N10" s="3" t="s">
        <v>106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563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564</v>
      </c>
      <c r="M11" s="3">
        <v>70</v>
      </c>
      <c r="N11" s="3" t="s">
        <v>104</v>
      </c>
      <c r="O11" s="3"/>
      <c r="P11" s="3"/>
      <c r="Q11" s="3">
        <v>8.1000000000000003E-2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563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564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563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564</v>
      </c>
      <c r="M13" s="3">
        <v>90</v>
      </c>
      <c r="N13" s="3" t="s">
        <v>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563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564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563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564</v>
      </c>
      <c r="M15" s="3">
        <v>110</v>
      </c>
      <c r="N15" s="3" t="s">
        <v>101</v>
      </c>
      <c r="O15" s="3"/>
      <c r="P15" s="3"/>
      <c r="Q15" s="3">
        <v>0.29299999999999998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563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564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563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564</v>
      </c>
      <c r="M17" s="3">
        <v>10</v>
      </c>
      <c r="N17" s="3" t="s">
        <v>107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563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564</v>
      </c>
      <c r="M18" s="3">
        <v>20</v>
      </c>
      <c r="N18" s="3" t="s">
        <v>565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563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564</v>
      </c>
      <c r="M19" s="3">
        <v>30</v>
      </c>
      <c r="N19" s="3" t="s">
        <v>99</v>
      </c>
      <c r="O19" s="3"/>
      <c r="P19" s="3"/>
      <c r="Q19" s="3">
        <v>0.28399999999999997</v>
      </c>
      <c r="R19" s="3" t="s">
        <v>100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563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564</v>
      </c>
      <c r="M20" s="3">
        <v>40</v>
      </c>
      <c r="N20" s="3" t="s">
        <v>108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563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564</v>
      </c>
      <c r="M21" s="3">
        <v>50</v>
      </c>
      <c r="N21" s="3" t="s">
        <v>105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563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564</v>
      </c>
      <c r="M22" s="3">
        <v>60</v>
      </c>
      <c r="N22" s="3" t="s">
        <v>106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563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564</v>
      </c>
      <c r="M23" s="3">
        <v>70</v>
      </c>
      <c r="N23" s="3" t="s">
        <v>104</v>
      </c>
      <c r="O23" s="3"/>
      <c r="P23" s="3"/>
      <c r="Q23" s="3">
        <v>9.1999999999999998E-2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563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564</v>
      </c>
      <c r="M24" s="3">
        <v>80</v>
      </c>
      <c r="N24" s="3" t="s">
        <v>111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563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564</v>
      </c>
      <c r="M25" s="3">
        <v>90</v>
      </c>
      <c r="N25" s="3" t="s">
        <v>18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563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564</v>
      </c>
      <c r="M26" s="3">
        <v>100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563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564</v>
      </c>
      <c r="M27" s="3">
        <v>110</v>
      </c>
      <c r="N27" s="3" t="s">
        <v>101</v>
      </c>
      <c r="O27" s="3"/>
      <c r="P27" s="3"/>
      <c r="Q27" s="3">
        <v>0.33800000000000002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563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564</v>
      </c>
      <c r="M28" s="3">
        <v>120</v>
      </c>
      <c r="N28" s="3" t="s">
        <v>114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563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564</v>
      </c>
      <c r="M29" s="3">
        <v>10</v>
      </c>
      <c r="N29" s="3" t="s">
        <v>107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563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564</v>
      </c>
      <c r="M30" s="3">
        <v>20</v>
      </c>
      <c r="N30" s="3" t="s">
        <v>565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563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564</v>
      </c>
      <c r="M31" s="3">
        <v>30</v>
      </c>
      <c r="N31" s="3" t="s">
        <v>99</v>
      </c>
      <c r="O31" s="3"/>
      <c r="P31" s="3"/>
      <c r="Q31" s="3">
        <v>0.32800000000000001</v>
      </c>
      <c r="R31" s="3" t="s">
        <v>100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563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564</v>
      </c>
      <c r="M32" s="3">
        <v>40</v>
      </c>
      <c r="N32" s="3" t="s">
        <v>108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563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564</v>
      </c>
      <c r="M33" s="3">
        <v>50</v>
      </c>
      <c r="N33" s="3" t="s">
        <v>105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563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564</v>
      </c>
      <c r="M34" s="3">
        <v>60</v>
      </c>
      <c r="N34" s="3" t="s">
        <v>106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563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564</v>
      </c>
      <c r="M35" s="3">
        <v>70</v>
      </c>
      <c r="N35" s="3" t="s">
        <v>104</v>
      </c>
      <c r="O35" s="3"/>
      <c r="P35" s="3"/>
      <c r="Q35" s="3">
        <v>0.10299999999999999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563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564</v>
      </c>
      <c r="M36" s="3">
        <v>80</v>
      </c>
      <c r="N36" s="3" t="s">
        <v>111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563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564</v>
      </c>
      <c r="M37" s="3">
        <v>90</v>
      </c>
      <c r="N37" s="3" t="s">
        <v>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563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564</v>
      </c>
      <c r="M38" s="3">
        <v>100</v>
      </c>
      <c r="N38" s="3" t="s">
        <v>19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563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564</v>
      </c>
      <c r="M39" s="3">
        <v>110</v>
      </c>
      <c r="N39" s="3" t="s">
        <v>101</v>
      </c>
      <c r="O39" s="3"/>
      <c r="P39" s="3"/>
      <c r="Q39" s="3">
        <v>0.38300000000000001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563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564</v>
      </c>
      <c r="M40" s="3">
        <v>120</v>
      </c>
      <c r="N40" s="3" t="s">
        <v>116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563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564</v>
      </c>
      <c r="M41" s="3">
        <v>10</v>
      </c>
      <c r="N41" s="3" t="s">
        <v>107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563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564</v>
      </c>
      <c r="M42" s="3">
        <v>20</v>
      </c>
      <c r="N42" s="3" t="s">
        <v>565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563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564</v>
      </c>
      <c r="M43" s="3">
        <v>30</v>
      </c>
      <c r="N43" s="3" t="s">
        <v>99</v>
      </c>
      <c r="O43" s="3"/>
      <c r="P43" s="3"/>
      <c r="Q43" s="3">
        <v>0.372</v>
      </c>
      <c r="R43" s="3" t="s">
        <v>100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563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564</v>
      </c>
      <c r="M44" s="3">
        <v>40</v>
      </c>
      <c r="N44" s="3" t="s">
        <v>108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563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564</v>
      </c>
      <c r="M45" s="3">
        <v>50</v>
      </c>
      <c r="N45" s="3" t="s">
        <v>105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563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564</v>
      </c>
      <c r="M46" s="3">
        <v>60</v>
      </c>
      <c r="N46" s="3" t="s">
        <v>106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563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564</v>
      </c>
      <c r="M47" s="3">
        <v>70</v>
      </c>
      <c r="N47" s="3" t="s">
        <v>104</v>
      </c>
      <c r="O47" s="3"/>
      <c r="P47" s="3"/>
      <c r="Q47" s="3">
        <v>0.115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563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564</v>
      </c>
      <c r="M48" s="3">
        <v>80</v>
      </c>
      <c r="N48" s="3" t="s">
        <v>111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563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564</v>
      </c>
      <c r="M49" s="3">
        <v>90</v>
      </c>
      <c r="N49" s="3" t="s">
        <v>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563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564</v>
      </c>
      <c r="M50" s="3">
        <v>100</v>
      </c>
      <c r="N50" s="3" t="s">
        <v>19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563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564</v>
      </c>
      <c r="M51" s="3">
        <v>110</v>
      </c>
      <c r="N51" s="3" t="s">
        <v>101</v>
      </c>
      <c r="O51" s="3"/>
      <c r="P51" s="3"/>
      <c r="Q51" s="3">
        <v>0.42799999999999999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563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564</v>
      </c>
      <c r="M52" s="3">
        <v>120</v>
      </c>
      <c r="N52" s="3" t="s">
        <v>118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563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564</v>
      </c>
      <c r="M53" s="3">
        <v>10</v>
      </c>
      <c r="N53" s="3" t="s">
        <v>107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563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564</v>
      </c>
      <c r="M54" s="3">
        <v>20</v>
      </c>
      <c r="N54" s="3" t="s">
        <v>565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563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564</v>
      </c>
      <c r="M55" s="3">
        <v>30</v>
      </c>
      <c r="N55" s="3" t="s">
        <v>99</v>
      </c>
      <c r="O55" s="3"/>
      <c r="P55" s="3"/>
      <c r="Q55" s="3">
        <v>0.39400000000000002</v>
      </c>
      <c r="R55" s="3" t="s">
        <v>100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563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564</v>
      </c>
      <c r="M56" s="3">
        <v>40</v>
      </c>
      <c r="N56" s="3" t="s">
        <v>108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563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564</v>
      </c>
      <c r="M57" s="3">
        <v>50</v>
      </c>
      <c r="N57" s="3" t="s">
        <v>105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563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564</v>
      </c>
      <c r="M58" s="3">
        <v>60</v>
      </c>
      <c r="N58" s="3" t="s">
        <v>106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563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564</v>
      </c>
      <c r="M59" s="3">
        <v>70</v>
      </c>
      <c r="N59" s="3" t="s">
        <v>104</v>
      </c>
      <c r="O59" s="3"/>
      <c r="P59" s="3"/>
      <c r="Q59" s="3">
        <v>0.12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563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564</v>
      </c>
      <c r="M60" s="3">
        <v>80</v>
      </c>
      <c r="N60" s="3" t="s">
        <v>111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563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564</v>
      </c>
      <c r="M61" s="3">
        <v>90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563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564</v>
      </c>
      <c r="M62" s="3">
        <v>100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563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564</v>
      </c>
      <c r="M63" s="3">
        <v>110</v>
      </c>
      <c r="N63" s="3" t="s">
        <v>101</v>
      </c>
      <c r="O63" s="3"/>
      <c r="P63" s="3"/>
      <c r="Q63" s="3">
        <v>0.45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563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564</v>
      </c>
      <c r="M64" s="3">
        <v>120</v>
      </c>
      <c r="N64" s="3" t="s">
        <v>120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563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564</v>
      </c>
      <c r="M65" s="3">
        <v>10</v>
      </c>
      <c r="N65" s="3" t="s">
        <v>107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563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564</v>
      </c>
      <c r="M66" s="3">
        <v>20</v>
      </c>
      <c r="N66" s="3" t="s">
        <v>565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563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564</v>
      </c>
      <c r="M67" s="3">
        <v>30</v>
      </c>
      <c r="N67" s="3" t="s">
        <v>99</v>
      </c>
      <c r="O67" s="3"/>
      <c r="P67" s="3"/>
      <c r="Q67" s="3">
        <v>0.41599999999999998</v>
      </c>
      <c r="R67" s="3" t="s">
        <v>100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563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564</v>
      </c>
      <c r="M68" s="3">
        <v>40</v>
      </c>
      <c r="N68" s="3" t="s">
        <v>108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563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564</v>
      </c>
      <c r="M69" s="3">
        <v>50</v>
      </c>
      <c r="N69" s="3" t="s">
        <v>105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563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564</v>
      </c>
      <c r="M70" s="3">
        <v>60</v>
      </c>
      <c r="N70" s="3" t="s">
        <v>106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563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564</v>
      </c>
      <c r="M71" s="3">
        <v>70</v>
      </c>
      <c r="N71" s="3" t="s">
        <v>104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563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564</v>
      </c>
      <c r="M72" s="3">
        <v>80</v>
      </c>
      <c r="N72" s="3" t="s">
        <v>111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563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564</v>
      </c>
      <c r="M73" s="3">
        <v>90</v>
      </c>
      <c r="N73" s="3" t="s">
        <v>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563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564</v>
      </c>
      <c r="M74" s="3">
        <v>100</v>
      </c>
      <c r="N74" s="3" t="s">
        <v>19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563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564</v>
      </c>
      <c r="M75" s="3">
        <v>110</v>
      </c>
      <c r="N75" s="3" t="s">
        <v>101</v>
      </c>
      <c r="O75" s="3"/>
      <c r="P75" s="3"/>
      <c r="Q75" s="3">
        <v>0.47299999999999998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563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564</v>
      </c>
      <c r="M76" s="3">
        <v>120</v>
      </c>
      <c r="N76" s="3" t="s">
        <v>122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563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564</v>
      </c>
      <c r="M77" s="3">
        <v>10</v>
      </c>
      <c r="N77" s="3" t="s">
        <v>107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563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564</v>
      </c>
      <c r="M78" s="3">
        <v>20</v>
      </c>
      <c r="N78" s="3" t="s">
        <v>565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563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564</v>
      </c>
      <c r="M79" s="3">
        <v>30</v>
      </c>
      <c r="N79" s="3" t="s">
        <v>99</v>
      </c>
      <c r="O79" s="3"/>
      <c r="P79" s="3"/>
      <c r="Q79" s="3">
        <v>0.45900000000000002</v>
      </c>
      <c r="R79" s="3" t="s">
        <v>100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563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564</v>
      </c>
      <c r="M80" s="3">
        <v>40</v>
      </c>
      <c r="N80" s="3" t="s">
        <v>108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563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564</v>
      </c>
      <c r="M81" s="3">
        <v>50</v>
      </c>
      <c r="N81" s="3" t="s">
        <v>105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563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564</v>
      </c>
      <c r="M82" s="3">
        <v>60</v>
      </c>
      <c r="N82" s="3" t="s">
        <v>106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563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564</v>
      </c>
      <c r="M83" s="3">
        <v>70</v>
      </c>
      <c r="N83" s="3" t="s">
        <v>104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563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564</v>
      </c>
      <c r="M84" s="3">
        <v>80</v>
      </c>
      <c r="N84" s="3" t="s">
        <v>111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563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564</v>
      </c>
      <c r="M85" s="3">
        <v>90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563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564</v>
      </c>
      <c r="M86" s="3">
        <v>100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563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564</v>
      </c>
      <c r="M87" s="3">
        <v>110</v>
      </c>
      <c r="N87" s="3" t="s">
        <v>101</v>
      </c>
      <c r="O87" s="3"/>
      <c r="P87" s="3"/>
      <c r="Q87" s="3">
        <v>0.51800000000000002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563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564</v>
      </c>
      <c r="M88" s="3">
        <v>120</v>
      </c>
      <c r="N88" s="3" t="s">
        <v>124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563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564</v>
      </c>
      <c r="M89" s="3">
        <v>10</v>
      </c>
      <c r="N89" s="3" t="s">
        <v>107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563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564</v>
      </c>
      <c r="M90" s="3">
        <v>20</v>
      </c>
      <c r="N90" s="3" t="s">
        <v>565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563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564</v>
      </c>
      <c r="M91" s="3">
        <v>30</v>
      </c>
      <c r="N91" s="3" t="s">
        <v>99</v>
      </c>
      <c r="O91" s="3"/>
      <c r="P91" s="3"/>
      <c r="Q91" s="3">
        <v>0.503</v>
      </c>
      <c r="R91" s="3" t="s">
        <v>100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563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564</v>
      </c>
      <c r="M92" s="3">
        <v>40</v>
      </c>
      <c r="N92" s="3" t="s">
        <v>108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563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564</v>
      </c>
      <c r="M93" s="3">
        <v>50</v>
      </c>
      <c r="N93" s="3" t="s">
        <v>105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563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564</v>
      </c>
      <c r="M94" s="3">
        <v>60</v>
      </c>
      <c r="N94" s="3" t="s">
        <v>106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563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564</v>
      </c>
      <c r="M95" s="3">
        <v>70</v>
      </c>
      <c r="N95" s="3" t="s">
        <v>104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563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564</v>
      </c>
      <c r="M96" s="3">
        <v>80</v>
      </c>
      <c r="N96" s="3" t="s">
        <v>111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563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564</v>
      </c>
      <c r="M97" s="3">
        <v>90</v>
      </c>
      <c r="N97" s="3" t="s">
        <v>18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563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564</v>
      </c>
      <c r="M98" s="3">
        <v>100</v>
      </c>
      <c r="N98" s="3" t="s">
        <v>19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563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564</v>
      </c>
      <c r="M99" s="3">
        <v>110</v>
      </c>
      <c r="N99" s="3" t="s">
        <v>101</v>
      </c>
      <c r="O99" s="3"/>
      <c r="P99" s="3"/>
      <c r="Q99" s="3">
        <v>0.56299999999999994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563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564</v>
      </c>
      <c r="M100" s="3">
        <v>120</v>
      </c>
      <c r="N100" s="3" t="s">
        <v>126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563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564</v>
      </c>
      <c r="M101" s="3">
        <v>10</v>
      </c>
      <c r="N101" s="3" t="s">
        <v>107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563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564</v>
      </c>
      <c r="M102" s="3">
        <v>20</v>
      </c>
      <c r="N102" s="3" t="s">
        <v>565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563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564</v>
      </c>
      <c r="M103" s="3">
        <v>30</v>
      </c>
      <c r="N103" s="3" t="s">
        <v>99</v>
      </c>
      <c r="O103" s="3"/>
      <c r="P103" s="3"/>
      <c r="Q103" s="3">
        <v>0.251</v>
      </c>
      <c r="R103" s="3" t="s">
        <v>100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563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564</v>
      </c>
      <c r="M104" s="3">
        <v>40</v>
      </c>
      <c r="N104" s="3" t="s">
        <v>108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563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564</v>
      </c>
      <c r="M105" s="3">
        <v>50</v>
      </c>
      <c r="N105" s="3" t="s">
        <v>105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563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564</v>
      </c>
      <c r="M106" s="3">
        <v>60</v>
      </c>
      <c r="N106" s="3" t="s">
        <v>106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563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564</v>
      </c>
      <c r="M107" s="3">
        <v>70</v>
      </c>
      <c r="N107" s="3" t="s">
        <v>104</v>
      </c>
      <c r="O107" s="3"/>
      <c r="P107" s="3"/>
      <c r="Q107" s="3">
        <v>8.1000000000000003E-2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563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564</v>
      </c>
      <c r="M108" s="3">
        <v>80</v>
      </c>
      <c r="N108" s="3" t="s">
        <v>111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563</v>
      </c>
      <c r="C109" s="3" t="s">
        <v>127</v>
      </c>
      <c r="D109" s="3"/>
      <c r="E109" s="3" t="s">
        <v>127</v>
      </c>
      <c r="F109" s="3"/>
      <c r="G109" s="3"/>
      <c r="H109" s="3"/>
      <c r="I109" s="3"/>
      <c r="J109" s="3"/>
      <c r="K109" s="3"/>
      <c r="L109" s="3" t="s">
        <v>564</v>
      </c>
      <c r="M109" s="3">
        <v>90</v>
      </c>
      <c r="N109" s="3" t="s">
        <v>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563</v>
      </c>
      <c r="C110" s="3" t="s">
        <v>127</v>
      </c>
      <c r="D110" s="3"/>
      <c r="E110" s="3" t="s">
        <v>127</v>
      </c>
      <c r="F110" s="3"/>
      <c r="G110" s="3"/>
      <c r="H110" s="3"/>
      <c r="I110" s="3"/>
      <c r="J110" s="3"/>
      <c r="K110" s="3"/>
      <c r="L110" s="3" t="s">
        <v>564</v>
      </c>
      <c r="M110" s="3">
        <v>100</v>
      </c>
      <c r="N110" s="3" t="s">
        <v>19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563</v>
      </c>
      <c r="C111" s="3" t="s">
        <v>127</v>
      </c>
      <c r="D111" s="3"/>
      <c r="E111" s="3" t="s">
        <v>127</v>
      </c>
      <c r="F111" s="3"/>
      <c r="G111" s="3"/>
      <c r="H111" s="3"/>
      <c r="I111" s="3"/>
      <c r="J111" s="3"/>
      <c r="K111" s="3"/>
      <c r="L111" s="3" t="s">
        <v>564</v>
      </c>
      <c r="M111" s="3">
        <v>110</v>
      </c>
      <c r="N111" s="3" t="s">
        <v>101</v>
      </c>
      <c r="O111" s="3"/>
      <c r="P111" s="3"/>
      <c r="Q111" s="3">
        <v>0.29299999999999998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563</v>
      </c>
      <c r="C112" s="3" t="s">
        <v>127</v>
      </c>
      <c r="D112" s="3"/>
      <c r="E112" s="3" t="s">
        <v>127</v>
      </c>
      <c r="F112" s="3"/>
      <c r="G112" s="3"/>
      <c r="H112" s="3"/>
      <c r="I112" s="3"/>
      <c r="J112" s="3"/>
      <c r="K112" s="3"/>
      <c r="L112" s="3" t="s">
        <v>564</v>
      </c>
      <c r="M112" s="3">
        <v>120</v>
      </c>
      <c r="N112" s="3" t="s">
        <v>128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563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564</v>
      </c>
      <c r="M113" s="3">
        <v>10</v>
      </c>
      <c r="N113" s="3" t="s">
        <v>107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563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564</v>
      </c>
      <c r="M114" s="3">
        <v>20</v>
      </c>
      <c r="N114" s="3" t="s">
        <v>565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563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564</v>
      </c>
      <c r="M115" s="3">
        <v>30</v>
      </c>
      <c r="N115" s="3" t="s">
        <v>99</v>
      </c>
      <c r="O115" s="3"/>
      <c r="P115" s="3"/>
      <c r="Q115" s="3">
        <v>0.29599999999999999</v>
      </c>
      <c r="R115" s="3" t="s">
        <v>100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563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564</v>
      </c>
      <c r="M116" s="3">
        <v>40</v>
      </c>
      <c r="N116" s="3" t="s">
        <v>108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563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564</v>
      </c>
      <c r="M117" s="3">
        <v>50</v>
      </c>
      <c r="N117" s="3" t="s">
        <v>105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563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564</v>
      </c>
      <c r="M118" s="3">
        <v>60</v>
      </c>
      <c r="N118" s="3" t="s">
        <v>106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563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564</v>
      </c>
      <c r="M119" s="3">
        <v>70</v>
      </c>
      <c r="N119" s="3" t="s">
        <v>104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563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564</v>
      </c>
      <c r="M120" s="3">
        <v>80</v>
      </c>
      <c r="N120" s="3" t="s">
        <v>111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563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564</v>
      </c>
      <c r="M121" s="3">
        <v>90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563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564</v>
      </c>
      <c r="M122" s="3">
        <v>100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563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564</v>
      </c>
      <c r="M123" s="3">
        <v>110</v>
      </c>
      <c r="N123" s="3" t="s">
        <v>101</v>
      </c>
      <c r="O123" s="3"/>
      <c r="P123" s="3"/>
      <c r="Q123" s="3">
        <v>0.33800000000000002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563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564</v>
      </c>
      <c r="M124" s="3">
        <v>120</v>
      </c>
      <c r="N124" s="3" t="s">
        <v>130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563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564</v>
      </c>
      <c r="M125" s="3">
        <v>10</v>
      </c>
      <c r="N125" s="3" t="s">
        <v>107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563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564</v>
      </c>
      <c r="M126" s="3">
        <v>20</v>
      </c>
      <c r="N126" s="3" t="s">
        <v>565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563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564</v>
      </c>
      <c r="M127" s="3">
        <v>30</v>
      </c>
      <c r="N127" s="3" t="s">
        <v>99</v>
      </c>
      <c r="O127" s="3"/>
      <c r="P127" s="3"/>
      <c r="Q127" s="3">
        <v>0.34200000000000003</v>
      </c>
      <c r="R127" s="3" t="s">
        <v>100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563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564</v>
      </c>
      <c r="M128" s="3">
        <v>40</v>
      </c>
      <c r="N128" s="3" t="s">
        <v>108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563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564</v>
      </c>
      <c r="M129" s="3">
        <v>50</v>
      </c>
      <c r="N129" s="3" t="s">
        <v>105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563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564</v>
      </c>
      <c r="M130" s="3">
        <v>60</v>
      </c>
      <c r="N130" s="3" t="s">
        <v>106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563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564</v>
      </c>
      <c r="M131" s="3">
        <v>70</v>
      </c>
      <c r="N131" s="3" t="s">
        <v>104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563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564</v>
      </c>
      <c r="M132" s="3">
        <v>80</v>
      </c>
      <c r="N132" s="3" t="s">
        <v>111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563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564</v>
      </c>
      <c r="M133" s="3">
        <v>90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563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564</v>
      </c>
      <c r="M134" s="3">
        <v>100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563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564</v>
      </c>
      <c r="M135" s="3">
        <v>110</v>
      </c>
      <c r="N135" s="3" t="s">
        <v>101</v>
      </c>
      <c r="O135" s="3"/>
      <c r="P135" s="3"/>
      <c r="Q135" s="3">
        <v>0.38300000000000001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563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564</v>
      </c>
      <c r="M136" s="3">
        <v>120</v>
      </c>
      <c r="N136" s="3" t="s">
        <v>132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563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564</v>
      </c>
      <c r="M137" s="3">
        <v>10</v>
      </c>
      <c r="N137" s="3" t="s">
        <v>107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563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564</v>
      </c>
      <c r="M138" s="3">
        <v>20</v>
      </c>
      <c r="N138" s="3" t="s">
        <v>565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563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564</v>
      </c>
      <c r="M139" s="3">
        <v>30</v>
      </c>
      <c r="N139" s="3" t="s">
        <v>99</v>
      </c>
      <c r="O139" s="3"/>
      <c r="P139" s="3"/>
      <c r="Q139" s="3">
        <v>0.38700000000000001</v>
      </c>
      <c r="R139" s="3" t="s">
        <v>100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563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564</v>
      </c>
      <c r="M140" s="3">
        <v>40</v>
      </c>
      <c r="N140" s="3" t="s">
        <v>108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563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564</v>
      </c>
      <c r="M141" s="3">
        <v>50</v>
      </c>
      <c r="N141" s="3" t="s">
        <v>105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563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564</v>
      </c>
      <c r="M142" s="3">
        <v>60</v>
      </c>
      <c r="N142" s="3" t="s">
        <v>106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563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564</v>
      </c>
      <c r="M143" s="3">
        <v>70</v>
      </c>
      <c r="N143" s="3" t="s">
        <v>104</v>
      </c>
      <c r="O143" s="3"/>
      <c r="P143" s="3"/>
      <c r="Q143" s="3">
        <v>0.115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563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564</v>
      </c>
      <c r="M144" s="3">
        <v>80</v>
      </c>
      <c r="N144" s="3" t="s">
        <v>111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563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564</v>
      </c>
      <c r="M145" s="3">
        <v>90</v>
      </c>
      <c r="N145" s="3" t="s">
        <v>18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563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564</v>
      </c>
      <c r="M146" s="3">
        <v>100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563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564</v>
      </c>
      <c r="M147" s="3">
        <v>110</v>
      </c>
      <c r="N147" s="3" t="s">
        <v>101</v>
      </c>
      <c r="O147" s="3"/>
      <c r="P147" s="3"/>
      <c r="Q147" s="3">
        <v>0.42799999999999999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563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564</v>
      </c>
      <c r="M148" s="3">
        <v>120</v>
      </c>
      <c r="N148" s="3" t="s">
        <v>134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563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564</v>
      </c>
      <c r="M149" s="3">
        <v>10</v>
      </c>
      <c r="N149" s="3" t="s">
        <v>107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563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564</v>
      </c>
      <c r="M150" s="3">
        <v>20</v>
      </c>
      <c r="N150" s="3" t="s">
        <v>565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563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564</v>
      </c>
      <c r="M151" s="3">
        <v>30</v>
      </c>
      <c r="N151" s="3" t="s">
        <v>99</v>
      </c>
      <c r="O151" s="3"/>
      <c r="P151" s="3"/>
      <c r="Q151" s="3">
        <v>0.41</v>
      </c>
      <c r="R151" s="3" t="s">
        <v>100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563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564</v>
      </c>
      <c r="M152" s="3">
        <v>40</v>
      </c>
      <c r="N152" s="3" t="s">
        <v>108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563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564</v>
      </c>
      <c r="M153" s="3">
        <v>50</v>
      </c>
      <c r="N153" s="3" t="s">
        <v>105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563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564</v>
      </c>
      <c r="M154" s="3">
        <v>60</v>
      </c>
      <c r="N154" s="3" t="s">
        <v>106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563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564</v>
      </c>
      <c r="M155" s="3">
        <v>70</v>
      </c>
      <c r="N155" s="3" t="s">
        <v>104</v>
      </c>
      <c r="O155" s="3"/>
      <c r="P155" s="3"/>
      <c r="Q155" s="3">
        <v>0.12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563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564</v>
      </c>
      <c r="M156" s="3">
        <v>80</v>
      </c>
      <c r="N156" s="3" t="s">
        <v>111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563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564</v>
      </c>
      <c r="M157" s="3">
        <v>90</v>
      </c>
      <c r="N157" s="3" t="s">
        <v>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563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564</v>
      </c>
      <c r="M158" s="3">
        <v>100</v>
      </c>
      <c r="N158" s="3" t="s">
        <v>19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563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564</v>
      </c>
      <c r="M159" s="3">
        <v>110</v>
      </c>
      <c r="N159" s="3" t="s">
        <v>101</v>
      </c>
      <c r="O159" s="3"/>
      <c r="P159" s="3"/>
      <c r="Q159" s="3">
        <v>0.45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563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564</v>
      </c>
      <c r="M160" s="3">
        <v>120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563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564</v>
      </c>
      <c r="M161" s="3">
        <v>10</v>
      </c>
      <c r="N161" s="3" t="s">
        <v>107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563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564</v>
      </c>
      <c r="M162" s="3">
        <v>20</v>
      </c>
      <c r="N162" s="3" t="s">
        <v>565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563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564</v>
      </c>
      <c r="M163" s="3">
        <v>30</v>
      </c>
      <c r="N163" s="3" t="s">
        <v>99</v>
      </c>
      <c r="O163" s="3"/>
      <c r="P163" s="3"/>
      <c r="Q163" s="3">
        <v>0.433</v>
      </c>
      <c r="R163" s="3" t="s">
        <v>100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563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564</v>
      </c>
      <c r="M164" s="3">
        <v>40</v>
      </c>
      <c r="N164" s="3" t="s">
        <v>108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563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564</v>
      </c>
      <c r="M165" s="3">
        <v>50</v>
      </c>
      <c r="N165" s="3" t="s">
        <v>105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563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564</v>
      </c>
      <c r="M166" s="3">
        <v>60</v>
      </c>
      <c r="N166" s="3" t="s">
        <v>106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563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564</v>
      </c>
      <c r="M167" s="3">
        <v>70</v>
      </c>
      <c r="N167" s="3" t="s">
        <v>104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563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564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563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564</v>
      </c>
      <c r="M169" s="3">
        <v>90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563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564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563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564</v>
      </c>
      <c r="M171" s="3">
        <v>110</v>
      </c>
      <c r="N171" s="3" t="s">
        <v>101</v>
      </c>
      <c r="O171" s="3"/>
      <c r="P171" s="3"/>
      <c r="Q171" s="3">
        <v>0.47299999999999998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563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564</v>
      </c>
      <c r="M172" s="3">
        <v>120</v>
      </c>
      <c r="N172" s="3" t="s">
        <v>138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563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564</v>
      </c>
      <c r="M173" s="3">
        <v>10</v>
      </c>
      <c r="N173" s="3" t="s">
        <v>107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563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564</v>
      </c>
      <c r="M174" s="3">
        <v>20</v>
      </c>
      <c r="N174" s="3" t="s">
        <v>565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563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564</v>
      </c>
      <c r="M175" s="3">
        <v>30</v>
      </c>
      <c r="N175" s="3" t="s">
        <v>99</v>
      </c>
      <c r="O175" s="3"/>
      <c r="P175" s="3"/>
      <c r="Q175" s="3">
        <v>0.47799999999999998</v>
      </c>
      <c r="R175" s="3" t="s">
        <v>100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563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564</v>
      </c>
      <c r="M176" s="3">
        <v>40</v>
      </c>
      <c r="N176" s="3" t="s">
        <v>108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563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564</v>
      </c>
      <c r="M177" s="3">
        <v>50</v>
      </c>
      <c r="N177" s="3" t="s">
        <v>105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563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564</v>
      </c>
      <c r="M178" s="3">
        <v>60</v>
      </c>
      <c r="N178" s="3" t="s">
        <v>106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563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564</v>
      </c>
      <c r="M179" s="3">
        <v>70</v>
      </c>
      <c r="N179" s="3" t="s">
        <v>104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563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564</v>
      </c>
      <c r="M180" s="3">
        <v>80</v>
      </c>
      <c r="N180" s="3" t="s">
        <v>111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563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564</v>
      </c>
      <c r="M181" s="3">
        <v>90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563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564</v>
      </c>
      <c r="M182" s="3">
        <v>100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563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564</v>
      </c>
      <c r="M183" s="3">
        <v>110</v>
      </c>
      <c r="N183" s="3" t="s">
        <v>101</v>
      </c>
      <c r="O183" s="3"/>
      <c r="P183" s="3"/>
      <c r="Q183" s="3">
        <v>0.51800000000000002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563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564</v>
      </c>
      <c r="M184" s="3">
        <v>120</v>
      </c>
      <c r="N184" s="3" t="s">
        <v>140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563</v>
      </c>
      <c r="C185" s="3" t="s">
        <v>141</v>
      </c>
      <c r="D185" s="3"/>
      <c r="E185" s="3" t="s">
        <v>141</v>
      </c>
      <c r="F185" s="3"/>
      <c r="G185" s="3"/>
      <c r="H185" s="3"/>
      <c r="I185" s="3"/>
      <c r="J185" s="3"/>
      <c r="K185" s="3"/>
      <c r="L185" s="3" t="s">
        <v>564</v>
      </c>
      <c r="M185" s="3">
        <v>10</v>
      </c>
      <c r="N185" s="3" t="s">
        <v>107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563</v>
      </c>
      <c r="C186" s="3" t="s">
        <v>141</v>
      </c>
      <c r="D186" s="3"/>
      <c r="E186" s="3" t="s">
        <v>141</v>
      </c>
      <c r="F186" s="3"/>
      <c r="G186" s="3"/>
      <c r="H186" s="3"/>
      <c r="I186" s="3"/>
      <c r="J186" s="3"/>
      <c r="K186" s="3"/>
      <c r="L186" s="3" t="s">
        <v>564</v>
      </c>
      <c r="M186" s="3">
        <v>20</v>
      </c>
      <c r="N186" s="3" t="s">
        <v>565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563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564</v>
      </c>
      <c r="M187" s="3">
        <v>30</v>
      </c>
      <c r="N187" s="3" t="s">
        <v>99</v>
      </c>
      <c r="O187" s="3"/>
      <c r="P187" s="3"/>
      <c r="Q187" s="3">
        <v>0.52400000000000002</v>
      </c>
      <c r="R187" s="3" t="s">
        <v>100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563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564</v>
      </c>
      <c r="M188" s="3">
        <v>40</v>
      </c>
      <c r="N188" s="3" t="s">
        <v>108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563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564</v>
      </c>
      <c r="M189" s="3">
        <v>50</v>
      </c>
      <c r="N189" s="3" t="s">
        <v>105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563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564</v>
      </c>
      <c r="M190" s="3">
        <v>60</v>
      </c>
      <c r="N190" s="3" t="s">
        <v>106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563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564</v>
      </c>
      <c r="M191" s="3">
        <v>70</v>
      </c>
      <c r="N191" s="3" t="s">
        <v>104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563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564</v>
      </c>
      <c r="M192" s="3">
        <v>80</v>
      </c>
      <c r="N192" s="3" t="s">
        <v>111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563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564</v>
      </c>
      <c r="M193" s="3">
        <v>90</v>
      </c>
      <c r="N193" s="3" t="s">
        <v>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563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564</v>
      </c>
      <c r="M194" s="3">
        <v>100</v>
      </c>
      <c r="N194" s="3" t="s">
        <v>19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563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564</v>
      </c>
      <c r="M195" s="3">
        <v>110</v>
      </c>
      <c r="N195" s="3" t="s">
        <v>101</v>
      </c>
      <c r="O195" s="3"/>
      <c r="P195" s="3"/>
      <c r="Q195" s="3">
        <v>0.56299999999999994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563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564</v>
      </c>
      <c r="M196" s="3">
        <v>120</v>
      </c>
      <c r="N196" s="3" t="s">
        <v>142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563</v>
      </c>
      <c r="C197" s="3" t="s">
        <v>143</v>
      </c>
      <c r="D197" s="3"/>
      <c r="E197" s="3" t="s">
        <v>143</v>
      </c>
      <c r="F197" s="3"/>
      <c r="G197" s="3"/>
      <c r="H197" s="3"/>
      <c r="I197" s="3"/>
      <c r="J197" s="3"/>
      <c r="K197" s="3"/>
      <c r="L197" s="3" t="s">
        <v>564</v>
      </c>
      <c r="M197" s="3">
        <v>10</v>
      </c>
      <c r="N197" s="3" t="s">
        <v>107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563</v>
      </c>
      <c r="C198" s="3" t="s">
        <v>143</v>
      </c>
      <c r="D198" s="3"/>
      <c r="E198" s="3" t="s">
        <v>143</v>
      </c>
      <c r="F198" s="3"/>
      <c r="G198" s="3"/>
      <c r="H198" s="3"/>
      <c r="I198" s="3"/>
      <c r="J198" s="3"/>
      <c r="K198" s="3"/>
      <c r="L198" s="3" t="s">
        <v>564</v>
      </c>
      <c r="M198" s="3">
        <v>20</v>
      </c>
      <c r="N198" s="3" t="s">
        <v>565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563</v>
      </c>
      <c r="C199" s="3" t="s">
        <v>143</v>
      </c>
      <c r="D199" s="3"/>
      <c r="E199" s="3" t="s">
        <v>143</v>
      </c>
      <c r="F199" s="3"/>
      <c r="G199" s="3"/>
      <c r="H199" s="3"/>
      <c r="I199" s="3"/>
      <c r="J199" s="3"/>
      <c r="K199" s="3"/>
      <c r="L199" s="3" t="s">
        <v>564</v>
      </c>
      <c r="M199" s="3">
        <v>30</v>
      </c>
      <c r="N199" s="3" t="s">
        <v>99</v>
      </c>
      <c r="O199" s="3"/>
      <c r="P199" s="3"/>
      <c r="Q199" s="3">
        <v>0.26100000000000001</v>
      </c>
      <c r="R199" s="3" t="s">
        <v>100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563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564</v>
      </c>
      <c r="M200" s="3">
        <v>40</v>
      </c>
      <c r="N200" s="3" t="s">
        <v>108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563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564</v>
      </c>
      <c r="M201" s="3">
        <v>50</v>
      </c>
      <c r="N201" s="3" t="s">
        <v>105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563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564</v>
      </c>
      <c r="M202" s="3">
        <v>60</v>
      </c>
      <c r="N202" s="3" t="s">
        <v>106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563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564</v>
      </c>
      <c r="M203" s="3">
        <v>70</v>
      </c>
      <c r="N203" s="3" t="s">
        <v>104</v>
      </c>
      <c r="O203" s="3"/>
      <c r="P203" s="3"/>
      <c r="Q203" s="3">
        <v>8.1000000000000003E-2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563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564</v>
      </c>
      <c r="M204" s="3">
        <v>80</v>
      </c>
      <c r="N204" s="3" t="s">
        <v>111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563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564</v>
      </c>
      <c r="M205" s="3">
        <v>90</v>
      </c>
      <c r="N205" s="3" t="s">
        <v>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563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564</v>
      </c>
      <c r="M206" s="3">
        <v>100</v>
      </c>
      <c r="N206" s="3" t="s">
        <v>19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563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564</v>
      </c>
      <c r="M207" s="3">
        <v>110</v>
      </c>
      <c r="N207" s="3" t="s">
        <v>101</v>
      </c>
      <c r="O207" s="3"/>
      <c r="P207" s="3"/>
      <c r="Q207" s="3">
        <v>0.29299999999999998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563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564</v>
      </c>
      <c r="M208" s="3">
        <v>120</v>
      </c>
      <c r="N208" s="3" t="s">
        <v>144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563</v>
      </c>
      <c r="C209" s="3" t="s">
        <v>145</v>
      </c>
      <c r="D209" s="3"/>
      <c r="E209" s="3" t="s">
        <v>145</v>
      </c>
      <c r="F209" s="3"/>
      <c r="G209" s="3"/>
      <c r="H209" s="3"/>
      <c r="I209" s="3"/>
      <c r="J209" s="3"/>
      <c r="K209" s="3"/>
      <c r="L209" s="3" t="s">
        <v>564</v>
      </c>
      <c r="M209" s="3">
        <v>10</v>
      </c>
      <c r="N209" s="3" t="s">
        <v>107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563</v>
      </c>
      <c r="C210" s="3" t="s">
        <v>145</v>
      </c>
      <c r="D210" s="3"/>
      <c r="E210" s="3" t="s">
        <v>145</v>
      </c>
      <c r="F210" s="3"/>
      <c r="G210" s="3"/>
      <c r="H210" s="3"/>
      <c r="I210" s="3"/>
      <c r="J210" s="3"/>
      <c r="K210" s="3"/>
      <c r="L210" s="3" t="s">
        <v>564</v>
      </c>
      <c r="M210" s="3">
        <v>20</v>
      </c>
      <c r="N210" s="3" t="s">
        <v>565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563</v>
      </c>
      <c r="C211" s="3" t="s">
        <v>145</v>
      </c>
      <c r="D211" s="3"/>
      <c r="E211" s="3" t="s">
        <v>145</v>
      </c>
      <c r="F211" s="3"/>
      <c r="G211" s="3"/>
      <c r="H211" s="3"/>
      <c r="I211" s="3"/>
      <c r="J211" s="3"/>
      <c r="K211" s="3"/>
      <c r="L211" s="3" t="s">
        <v>564</v>
      </c>
      <c r="M211" s="3">
        <v>30</v>
      </c>
      <c r="N211" s="3" t="s">
        <v>99</v>
      </c>
      <c r="O211" s="3"/>
      <c r="P211" s="3"/>
      <c r="Q211" s="3">
        <v>0.308</v>
      </c>
      <c r="R211" s="3" t="s">
        <v>100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563</v>
      </c>
      <c r="C212" s="3" t="s">
        <v>145</v>
      </c>
      <c r="D212" s="3"/>
      <c r="E212" s="3" t="s">
        <v>145</v>
      </c>
      <c r="F212" s="3"/>
      <c r="G212" s="3"/>
      <c r="H212" s="3"/>
      <c r="I212" s="3"/>
      <c r="J212" s="3"/>
      <c r="K212" s="3"/>
      <c r="L212" s="3" t="s">
        <v>564</v>
      </c>
      <c r="M212" s="3">
        <v>40</v>
      </c>
      <c r="N212" s="3" t="s">
        <v>108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563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564</v>
      </c>
      <c r="M213" s="3">
        <v>50</v>
      </c>
      <c r="N213" s="3" t="s">
        <v>105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563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564</v>
      </c>
      <c r="M214" s="3">
        <v>60</v>
      </c>
      <c r="N214" s="3" t="s">
        <v>106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563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564</v>
      </c>
      <c r="M215" s="3">
        <v>70</v>
      </c>
      <c r="N215" s="3" t="s">
        <v>104</v>
      </c>
      <c r="O215" s="3"/>
      <c r="P215" s="3"/>
      <c r="Q215" s="3">
        <v>9.1999999999999998E-2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563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564</v>
      </c>
      <c r="M216" s="3">
        <v>80</v>
      </c>
      <c r="N216" s="3" t="s">
        <v>111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563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564</v>
      </c>
      <c r="M217" s="3">
        <v>90</v>
      </c>
      <c r="N217" s="3" t="s">
        <v>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563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564</v>
      </c>
      <c r="M218" s="3">
        <v>100</v>
      </c>
      <c r="N218" s="3" t="s">
        <v>19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563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564</v>
      </c>
      <c r="M219" s="3">
        <v>110</v>
      </c>
      <c r="N219" s="3" t="s">
        <v>101</v>
      </c>
      <c r="O219" s="3"/>
      <c r="P219" s="3"/>
      <c r="Q219" s="3">
        <v>0.33800000000000002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563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564</v>
      </c>
      <c r="M220" s="3">
        <v>120</v>
      </c>
      <c r="N220" s="3" t="s">
        <v>146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563</v>
      </c>
      <c r="C221" s="3" t="s">
        <v>147</v>
      </c>
      <c r="D221" s="3"/>
      <c r="E221" s="3" t="s">
        <v>147</v>
      </c>
      <c r="F221" s="3"/>
      <c r="G221" s="3"/>
      <c r="H221" s="3"/>
      <c r="I221" s="3"/>
      <c r="J221" s="3"/>
      <c r="K221" s="3"/>
      <c r="L221" s="3" t="s">
        <v>564</v>
      </c>
      <c r="M221" s="3">
        <v>10</v>
      </c>
      <c r="N221" s="3" t="s">
        <v>107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563</v>
      </c>
      <c r="C222" s="3" t="s">
        <v>147</v>
      </c>
      <c r="D222" s="3"/>
      <c r="E222" s="3" t="s">
        <v>147</v>
      </c>
      <c r="F222" s="3"/>
      <c r="G222" s="3"/>
      <c r="H222" s="3"/>
      <c r="I222" s="3"/>
      <c r="J222" s="3"/>
      <c r="K222" s="3"/>
      <c r="L222" s="3" t="s">
        <v>564</v>
      </c>
      <c r="M222" s="3">
        <v>20</v>
      </c>
      <c r="N222" s="3" t="s">
        <v>565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563</v>
      </c>
      <c r="C223" s="3" t="s">
        <v>147</v>
      </c>
      <c r="D223" s="3"/>
      <c r="E223" s="3" t="s">
        <v>147</v>
      </c>
      <c r="F223" s="3"/>
      <c r="G223" s="3"/>
      <c r="H223" s="3"/>
      <c r="I223" s="3"/>
      <c r="J223" s="3"/>
      <c r="K223" s="3"/>
      <c r="L223" s="3" t="s">
        <v>564</v>
      </c>
      <c r="M223" s="3">
        <v>30</v>
      </c>
      <c r="N223" s="3" t="s">
        <v>99</v>
      </c>
      <c r="O223" s="3"/>
      <c r="P223" s="3"/>
      <c r="Q223" s="3">
        <v>0.35499999999999998</v>
      </c>
      <c r="R223" s="3" t="s">
        <v>100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563</v>
      </c>
      <c r="C224" s="3" t="s">
        <v>147</v>
      </c>
      <c r="D224" s="3"/>
      <c r="E224" s="3" t="s">
        <v>147</v>
      </c>
      <c r="F224" s="3"/>
      <c r="G224" s="3"/>
      <c r="H224" s="3"/>
      <c r="I224" s="3"/>
      <c r="J224" s="3"/>
      <c r="K224" s="3"/>
      <c r="L224" s="3" t="s">
        <v>564</v>
      </c>
      <c r="M224" s="3">
        <v>40</v>
      </c>
      <c r="N224" s="3" t="s">
        <v>108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563</v>
      </c>
      <c r="C225" s="3" t="s">
        <v>147</v>
      </c>
      <c r="D225" s="3"/>
      <c r="E225" s="3" t="s">
        <v>147</v>
      </c>
      <c r="F225" s="3"/>
      <c r="G225" s="3"/>
      <c r="H225" s="3"/>
      <c r="I225" s="3"/>
      <c r="J225" s="3"/>
      <c r="K225" s="3"/>
      <c r="L225" s="3" t="s">
        <v>564</v>
      </c>
      <c r="M225" s="3">
        <v>50</v>
      </c>
      <c r="N225" s="3" t="s">
        <v>105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563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564</v>
      </c>
      <c r="M226" s="3">
        <v>60</v>
      </c>
      <c r="N226" s="3" t="s">
        <v>106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563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564</v>
      </c>
      <c r="M227" s="3">
        <v>70</v>
      </c>
      <c r="N227" s="3" t="s">
        <v>104</v>
      </c>
      <c r="O227" s="3"/>
      <c r="P227" s="3"/>
      <c r="Q227" s="3">
        <v>0.10299999999999999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563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564</v>
      </c>
      <c r="M228" s="3">
        <v>80</v>
      </c>
      <c r="N228" s="3" t="s">
        <v>111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563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564</v>
      </c>
      <c r="M229" s="3">
        <v>90</v>
      </c>
      <c r="N229" s="3" t="s">
        <v>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563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564</v>
      </c>
      <c r="M230" s="3">
        <v>100</v>
      </c>
      <c r="N230" s="3" t="s">
        <v>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563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564</v>
      </c>
      <c r="M231" s="3">
        <v>110</v>
      </c>
      <c r="N231" s="3" t="s">
        <v>101</v>
      </c>
      <c r="O231" s="3"/>
      <c r="P231" s="3"/>
      <c r="Q231" s="3">
        <v>0.38300000000000001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563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564</v>
      </c>
      <c r="M232" s="3">
        <v>120</v>
      </c>
      <c r="N232" s="3" t="s">
        <v>148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563</v>
      </c>
      <c r="C233" s="3" t="s">
        <v>149</v>
      </c>
      <c r="D233" s="3"/>
      <c r="E233" s="3" t="s">
        <v>149</v>
      </c>
      <c r="F233" s="3"/>
      <c r="G233" s="3"/>
      <c r="H233" s="3"/>
      <c r="I233" s="3"/>
      <c r="J233" s="3"/>
      <c r="K233" s="3"/>
      <c r="L233" s="3" t="s">
        <v>564</v>
      </c>
      <c r="M233" s="3">
        <v>10</v>
      </c>
      <c r="N233" s="3" t="s">
        <v>107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563</v>
      </c>
      <c r="C234" s="3" t="s">
        <v>149</v>
      </c>
      <c r="D234" s="3"/>
      <c r="E234" s="3" t="s">
        <v>149</v>
      </c>
      <c r="F234" s="3"/>
      <c r="G234" s="3"/>
      <c r="H234" s="3"/>
      <c r="I234" s="3"/>
      <c r="J234" s="3"/>
      <c r="K234" s="3"/>
      <c r="L234" s="3" t="s">
        <v>564</v>
      </c>
      <c r="M234" s="3">
        <v>20</v>
      </c>
      <c r="N234" s="3" t="s">
        <v>565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563</v>
      </c>
      <c r="C235" s="3" t="s">
        <v>149</v>
      </c>
      <c r="D235" s="3"/>
      <c r="E235" s="3" t="s">
        <v>149</v>
      </c>
      <c r="F235" s="3"/>
      <c r="G235" s="3"/>
      <c r="H235" s="3"/>
      <c r="I235" s="3"/>
      <c r="J235" s="3"/>
      <c r="K235" s="3"/>
      <c r="L235" s="3" t="s">
        <v>564</v>
      </c>
      <c r="M235" s="3">
        <v>30</v>
      </c>
      <c r="N235" s="3" t="s">
        <v>99</v>
      </c>
      <c r="O235" s="3"/>
      <c r="P235" s="3"/>
      <c r="Q235" s="3">
        <v>0.40300000000000002</v>
      </c>
      <c r="R235" s="3" t="s">
        <v>100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563</v>
      </c>
      <c r="C236" s="3" t="s">
        <v>149</v>
      </c>
      <c r="D236" s="3"/>
      <c r="E236" s="3" t="s">
        <v>149</v>
      </c>
      <c r="F236" s="3"/>
      <c r="G236" s="3"/>
      <c r="H236" s="3"/>
      <c r="I236" s="3"/>
      <c r="J236" s="3"/>
      <c r="K236" s="3"/>
      <c r="L236" s="3" t="s">
        <v>564</v>
      </c>
      <c r="M236" s="3">
        <v>40</v>
      </c>
      <c r="N236" s="3" t="s">
        <v>108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563</v>
      </c>
      <c r="C237" s="3" t="s">
        <v>149</v>
      </c>
      <c r="D237" s="3"/>
      <c r="E237" s="3" t="s">
        <v>149</v>
      </c>
      <c r="F237" s="3"/>
      <c r="G237" s="3"/>
      <c r="H237" s="3"/>
      <c r="I237" s="3"/>
      <c r="J237" s="3"/>
      <c r="K237" s="3"/>
      <c r="L237" s="3" t="s">
        <v>564</v>
      </c>
      <c r="M237" s="3">
        <v>50</v>
      </c>
      <c r="N237" s="3" t="s">
        <v>105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563</v>
      </c>
      <c r="C238" s="3" t="s">
        <v>149</v>
      </c>
      <c r="D238" s="3"/>
      <c r="E238" s="3" t="s">
        <v>149</v>
      </c>
      <c r="F238" s="3"/>
      <c r="G238" s="3"/>
      <c r="H238" s="3"/>
      <c r="I238" s="3"/>
      <c r="J238" s="3"/>
      <c r="K238" s="3"/>
      <c r="L238" s="3" t="s">
        <v>564</v>
      </c>
      <c r="M238" s="3">
        <v>60</v>
      </c>
      <c r="N238" s="3" t="s">
        <v>106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563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564</v>
      </c>
      <c r="M239" s="3">
        <v>70</v>
      </c>
      <c r="N239" s="3" t="s">
        <v>104</v>
      </c>
      <c r="O239" s="3"/>
      <c r="P239" s="3"/>
      <c r="Q239" s="3">
        <v>0.115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563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564</v>
      </c>
      <c r="M240" s="3">
        <v>80</v>
      </c>
      <c r="N240" s="3" t="s">
        <v>111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563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564</v>
      </c>
      <c r="M241" s="3">
        <v>90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563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564</v>
      </c>
      <c r="M242" s="3">
        <v>100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563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564</v>
      </c>
      <c r="M243" s="3">
        <v>110</v>
      </c>
      <c r="N243" s="3" t="s">
        <v>101</v>
      </c>
      <c r="O243" s="3"/>
      <c r="P243" s="3"/>
      <c r="Q243" s="3">
        <v>0.42799999999999999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563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564</v>
      </c>
      <c r="M244" s="3">
        <v>120</v>
      </c>
      <c r="N244" s="3" t="s">
        <v>150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563</v>
      </c>
      <c r="C245" s="3" t="s">
        <v>151</v>
      </c>
      <c r="D245" s="3"/>
      <c r="E245" s="3" t="s">
        <v>151</v>
      </c>
      <c r="F245" s="3"/>
      <c r="G245" s="3"/>
      <c r="H245" s="3"/>
      <c r="I245" s="3"/>
      <c r="J245" s="3"/>
      <c r="K245" s="3"/>
      <c r="L245" s="3" t="s">
        <v>564</v>
      </c>
      <c r="M245" s="3">
        <v>10</v>
      </c>
      <c r="N245" s="3" t="s">
        <v>107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563</v>
      </c>
      <c r="C246" s="3" t="s">
        <v>151</v>
      </c>
      <c r="D246" s="3"/>
      <c r="E246" s="3" t="s">
        <v>151</v>
      </c>
      <c r="F246" s="3"/>
      <c r="G246" s="3"/>
      <c r="H246" s="3"/>
      <c r="I246" s="3"/>
      <c r="J246" s="3"/>
      <c r="K246" s="3"/>
      <c r="L246" s="3" t="s">
        <v>564</v>
      </c>
      <c r="M246" s="3">
        <v>20</v>
      </c>
      <c r="N246" s="3" t="s">
        <v>565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563</v>
      </c>
      <c r="C247" s="3" t="s">
        <v>151</v>
      </c>
      <c r="D247" s="3"/>
      <c r="E247" s="3" t="s">
        <v>151</v>
      </c>
      <c r="F247" s="3"/>
      <c r="G247" s="3"/>
      <c r="H247" s="3"/>
      <c r="I247" s="3"/>
      <c r="J247" s="3"/>
      <c r="K247" s="3"/>
      <c r="L247" s="3" t="s">
        <v>564</v>
      </c>
      <c r="M247" s="3">
        <v>30</v>
      </c>
      <c r="N247" s="3" t="s">
        <v>99</v>
      </c>
      <c r="O247" s="3"/>
      <c r="P247" s="3"/>
      <c r="Q247" s="3">
        <v>0.42599999999999999</v>
      </c>
      <c r="R247" s="3" t="s">
        <v>100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563</v>
      </c>
      <c r="C248" s="3" t="s">
        <v>151</v>
      </c>
      <c r="D248" s="3"/>
      <c r="E248" s="3" t="s">
        <v>151</v>
      </c>
      <c r="F248" s="3"/>
      <c r="G248" s="3"/>
      <c r="H248" s="3"/>
      <c r="I248" s="3"/>
      <c r="J248" s="3"/>
      <c r="K248" s="3"/>
      <c r="L248" s="3" t="s">
        <v>564</v>
      </c>
      <c r="M248" s="3">
        <v>40</v>
      </c>
      <c r="N248" s="3" t="s">
        <v>108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563</v>
      </c>
      <c r="C249" s="3" t="s">
        <v>151</v>
      </c>
      <c r="D249" s="3"/>
      <c r="E249" s="3" t="s">
        <v>151</v>
      </c>
      <c r="F249" s="3"/>
      <c r="G249" s="3"/>
      <c r="H249" s="3"/>
      <c r="I249" s="3"/>
      <c r="J249" s="3"/>
      <c r="K249" s="3"/>
      <c r="L249" s="3" t="s">
        <v>564</v>
      </c>
      <c r="M249" s="3">
        <v>50</v>
      </c>
      <c r="N249" s="3" t="s">
        <v>105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563</v>
      </c>
      <c r="C250" s="3" t="s">
        <v>151</v>
      </c>
      <c r="D250" s="3"/>
      <c r="E250" s="3" t="s">
        <v>151</v>
      </c>
      <c r="F250" s="3"/>
      <c r="G250" s="3"/>
      <c r="H250" s="3"/>
      <c r="I250" s="3"/>
      <c r="J250" s="3"/>
      <c r="K250" s="3"/>
      <c r="L250" s="3" t="s">
        <v>564</v>
      </c>
      <c r="M250" s="3">
        <v>60</v>
      </c>
      <c r="N250" s="3" t="s">
        <v>106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563</v>
      </c>
      <c r="C251" s="3" t="s">
        <v>151</v>
      </c>
      <c r="D251" s="3"/>
      <c r="E251" s="3" t="s">
        <v>151</v>
      </c>
      <c r="F251" s="3"/>
      <c r="G251" s="3"/>
      <c r="H251" s="3"/>
      <c r="I251" s="3"/>
      <c r="J251" s="3"/>
      <c r="K251" s="3"/>
      <c r="L251" s="3" t="s">
        <v>564</v>
      </c>
      <c r="M251" s="3">
        <v>70</v>
      </c>
      <c r="N251" s="3" t="s">
        <v>104</v>
      </c>
      <c r="O251" s="3"/>
      <c r="P251" s="3"/>
      <c r="Q251" s="3">
        <v>0.12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563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564</v>
      </c>
      <c r="M252" s="3">
        <v>80</v>
      </c>
      <c r="N252" s="3" t="s">
        <v>111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563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564</v>
      </c>
      <c r="M253" s="3">
        <v>90</v>
      </c>
      <c r="N253" s="3" t="s">
        <v>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563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564</v>
      </c>
      <c r="M254" s="3">
        <v>100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563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564</v>
      </c>
      <c r="M255" s="3">
        <v>110</v>
      </c>
      <c r="N255" s="3" t="s">
        <v>101</v>
      </c>
      <c r="O255" s="3"/>
      <c r="P255" s="3"/>
      <c r="Q255" s="3">
        <v>0.45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563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564</v>
      </c>
      <c r="M256" s="3">
        <v>120</v>
      </c>
      <c r="N256" s="3" t="s">
        <v>152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563</v>
      </c>
      <c r="C257" s="3" t="s">
        <v>153</v>
      </c>
      <c r="D257" s="3"/>
      <c r="E257" s="3" t="s">
        <v>153</v>
      </c>
      <c r="F257" s="3"/>
      <c r="G257" s="3"/>
      <c r="H257" s="3"/>
      <c r="I257" s="3"/>
      <c r="J257" s="3"/>
      <c r="K257" s="3"/>
      <c r="L257" s="3" t="s">
        <v>564</v>
      </c>
      <c r="M257" s="3">
        <v>10</v>
      </c>
      <c r="N257" s="3" t="s">
        <v>107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563</v>
      </c>
      <c r="C258" s="3" t="s">
        <v>153</v>
      </c>
      <c r="D258" s="3"/>
      <c r="E258" s="3" t="s">
        <v>153</v>
      </c>
      <c r="F258" s="3"/>
      <c r="G258" s="3"/>
      <c r="H258" s="3"/>
      <c r="I258" s="3"/>
      <c r="J258" s="3"/>
      <c r="K258" s="3"/>
      <c r="L258" s="3" t="s">
        <v>564</v>
      </c>
      <c r="M258" s="3">
        <v>20</v>
      </c>
      <c r="N258" s="3" t="s">
        <v>565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563</v>
      </c>
      <c r="C259" s="3" t="s">
        <v>153</v>
      </c>
      <c r="D259" s="3"/>
      <c r="E259" s="3" t="s">
        <v>153</v>
      </c>
      <c r="F259" s="3"/>
      <c r="G259" s="3"/>
      <c r="H259" s="3"/>
      <c r="I259" s="3"/>
      <c r="J259" s="3"/>
      <c r="K259" s="3"/>
      <c r="L259" s="3" t="s">
        <v>564</v>
      </c>
      <c r="M259" s="3">
        <v>30</v>
      </c>
      <c r="N259" s="3" t="s">
        <v>99</v>
      </c>
      <c r="O259" s="3"/>
      <c r="P259" s="3"/>
      <c r="Q259" s="3">
        <v>0.45</v>
      </c>
      <c r="R259" s="3" t="s">
        <v>100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563</v>
      </c>
      <c r="C260" s="3" t="s">
        <v>153</v>
      </c>
      <c r="D260" s="3"/>
      <c r="E260" s="3" t="s">
        <v>153</v>
      </c>
      <c r="F260" s="3"/>
      <c r="G260" s="3"/>
      <c r="H260" s="3"/>
      <c r="I260" s="3"/>
      <c r="J260" s="3"/>
      <c r="K260" s="3"/>
      <c r="L260" s="3" t="s">
        <v>564</v>
      </c>
      <c r="M260" s="3">
        <v>40</v>
      </c>
      <c r="N260" s="3" t="s">
        <v>108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563</v>
      </c>
      <c r="C261" s="3" t="s">
        <v>153</v>
      </c>
      <c r="D261" s="3"/>
      <c r="E261" s="3" t="s">
        <v>153</v>
      </c>
      <c r="F261" s="3"/>
      <c r="G261" s="3"/>
      <c r="H261" s="3"/>
      <c r="I261" s="3"/>
      <c r="J261" s="3"/>
      <c r="K261" s="3"/>
      <c r="L261" s="3" t="s">
        <v>564</v>
      </c>
      <c r="M261" s="3">
        <v>50</v>
      </c>
      <c r="N261" s="3" t="s">
        <v>105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563</v>
      </c>
      <c r="C262" s="3" t="s">
        <v>153</v>
      </c>
      <c r="D262" s="3"/>
      <c r="E262" s="3" t="s">
        <v>153</v>
      </c>
      <c r="F262" s="3"/>
      <c r="G262" s="3"/>
      <c r="H262" s="3"/>
      <c r="I262" s="3"/>
      <c r="J262" s="3"/>
      <c r="K262" s="3"/>
      <c r="L262" s="3" t="s">
        <v>564</v>
      </c>
      <c r="M262" s="3">
        <v>60</v>
      </c>
      <c r="N262" s="3" t="s">
        <v>106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563</v>
      </c>
      <c r="C263" s="3" t="s">
        <v>153</v>
      </c>
      <c r="D263" s="3"/>
      <c r="E263" s="3" t="s">
        <v>153</v>
      </c>
      <c r="F263" s="3"/>
      <c r="G263" s="3"/>
      <c r="H263" s="3"/>
      <c r="I263" s="3"/>
      <c r="J263" s="3"/>
      <c r="K263" s="3"/>
      <c r="L263" s="3" t="s">
        <v>564</v>
      </c>
      <c r="M263" s="3">
        <v>70</v>
      </c>
      <c r="N263" s="3" t="s">
        <v>104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563</v>
      </c>
      <c r="C264" s="3" t="s">
        <v>153</v>
      </c>
      <c r="D264" s="3"/>
      <c r="E264" s="3" t="s">
        <v>153</v>
      </c>
      <c r="F264" s="3"/>
      <c r="G264" s="3"/>
      <c r="H264" s="3"/>
      <c r="I264" s="3"/>
      <c r="J264" s="3"/>
      <c r="K264" s="3"/>
      <c r="L264" s="3" t="s">
        <v>564</v>
      </c>
      <c r="M264" s="3">
        <v>80</v>
      </c>
      <c r="N264" s="3" t="s">
        <v>111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563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564</v>
      </c>
      <c r="M265" s="3">
        <v>90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563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564</v>
      </c>
      <c r="M266" s="3">
        <v>100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563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564</v>
      </c>
      <c r="M267" s="3">
        <v>110</v>
      </c>
      <c r="N267" s="3" t="s">
        <v>101</v>
      </c>
      <c r="O267" s="3"/>
      <c r="P267" s="3"/>
      <c r="Q267" s="3">
        <v>0.47299999999999998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563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564</v>
      </c>
      <c r="M268" s="3">
        <v>120</v>
      </c>
      <c r="N268" s="3" t="s">
        <v>154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563</v>
      </c>
      <c r="C269" s="3" t="s">
        <v>155</v>
      </c>
      <c r="D269" s="3"/>
      <c r="E269" s="3" t="s">
        <v>155</v>
      </c>
      <c r="F269" s="3"/>
      <c r="G269" s="3"/>
      <c r="H269" s="3"/>
      <c r="I269" s="3"/>
      <c r="J269" s="3"/>
      <c r="K269" s="3"/>
      <c r="L269" s="3" t="s">
        <v>564</v>
      </c>
      <c r="M269" s="3">
        <v>10</v>
      </c>
      <c r="N269" s="3" t="s">
        <v>107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563</v>
      </c>
      <c r="C270" s="3" t="s">
        <v>155</v>
      </c>
      <c r="D270" s="3"/>
      <c r="E270" s="3" t="s">
        <v>155</v>
      </c>
      <c r="F270" s="3"/>
      <c r="G270" s="3"/>
      <c r="H270" s="3"/>
      <c r="I270" s="3"/>
      <c r="J270" s="3"/>
      <c r="K270" s="3"/>
      <c r="L270" s="3" t="s">
        <v>564</v>
      </c>
      <c r="M270" s="3">
        <v>20</v>
      </c>
      <c r="N270" s="3" t="s">
        <v>565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563</v>
      </c>
      <c r="C271" s="3" t="s">
        <v>155</v>
      </c>
      <c r="D271" s="3"/>
      <c r="E271" s="3" t="s">
        <v>155</v>
      </c>
      <c r="F271" s="3"/>
      <c r="G271" s="3"/>
      <c r="H271" s="3"/>
      <c r="I271" s="3"/>
      <c r="J271" s="3"/>
      <c r="K271" s="3"/>
      <c r="L271" s="3" t="s">
        <v>564</v>
      </c>
      <c r="M271" s="3">
        <v>30</v>
      </c>
      <c r="N271" s="3" t="s">
        <v>99</v>
      </c>
      <c r="O271" s="3"/>
      <c r="P271" s="3"/>
      <c r="Q271" s="3">
        <v>0.498</v>
      </c>
      <c r="R271" s="3" t="s">
        <v>100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563</v>
      </c>
      <c r="C272" s="3" t="s">
        <v>155</v>
      </c>
      <c r="D272" s="3"/>
      <c r="E272" s="3" t="s">
        <v>155</v>
      </c>
      <c r="F272" s="3"/>
      <c r="G272" s="3"/>
      <c r="H272" s="3"/>
      <c r="I272" s="3"/>
      <c r="J272" s="3"/>
      <c r="K272" s="3"/>
      <c r="L272" s="3" t="s">
        <v>564</v>
      </c>
      <c r="M272" s="3">
        <v>40</v>
      </c>
      <c r="N272" s="3" t="s">
        <v>108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563</v>
      </c>
      <c r="C273" s="3" t="s">
        <v>155</v>
      </c>
      <c r="D273" s="3"/>
      <c r="E273" s="3" t="s">
        <v>155</v>
      </c>
      <c r="F273" s="3"/>
      <c r="G273" s="3"/>
      <c r="H273" s="3"/>
      <c r="I273" s="3"/>
      <c r="J273" s="3"/>
      <c r="K273" s="3"/>
      <c r="L273" s="3" t="s">
        <v>564</v>
      </c>
      <c r="M273" s="3">
        <v>50</v>
      </c>
      <c r="N273" s="3" t="s">
        <v>105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563</v>
      </c>
      <c r="C274" s="3" t="s">
        <v>155</v>
      </c>
      <c r="D274" s="3"/>
      <c r="E274" s="3" t="s">
        <v>155</v>
      </c>
      <c r="F274" s="3"/>
      <c r="G274" s="3"/>
      <c r="H274" s="3"/>
      <c r="I274" s="3"/>
      <c r="J274" s="3"/>
      <c r="K274" s="3"/>
      <c r="L274" s="3" t="s">
        <v>564</v>
      </c>
      <c r="M274" s="3">
        <v>60</v>
      </c>
      <c r="N274" s="3" t="s">
        <v>106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563</v>
      </c>
      <c r="C275" s="3" t="s">
        <v>155</v>
      </c>
      <c r="D275" s="3"/>
      <c r="E275" s="3" t="s">
        <v>155</v>
      </c>
      <c r="F275" s="3"/>
      <c r="G275" s="3"/>
      <c r="H275" s="3"/>
      <c r="I275" s="3"/>
      <c r="J275" s="3"/>
      <c r="K275" s="3"/>
      <c r="L275" s="3" t="s">
        <v>564</v>
      </c>
      <c r="M275" s="3">
        <v>70</v>
      </c>
      <c r="N275" s="3" t="s">
        <v>104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563</v>
      </c>
      <c r="C276" s="3" t="s">
        <v>155</v>
      </c>
      <c r="D276" s="3"/>
      <c r="E276" s="3" t="s">
        <v>155</v>
      </c>
      <c r="F276" s="3"/>
      <c r="G276" s="3"/>
      <c r="H276" s="3"/>
      <c r="I276" s="3"/>
      <c r="J276" s="3"/>
      <c r="K276" s="3"/>
      <c r="L276" s="3" t="s">
        <v>564</v>
      </c>
      <c r="M276" s="3">
        <v>80</v>
      </c>
      <c r="N276" s="3" t="s">
        <v>111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563</v>
      </c>
      <c r="C277" s="3" t="s">
        <v>155</v>
      </c>
      <c r="D277" s="3"/>
      <c r="E277" s="3" t="s">
        <v>155</v>
      </c>
      <c r="F277" s="3"/>
      <c r="G277" s="3"/>
      <c r="H277" s="3"/>
      <c r="I277" s="3"/>
      <c r="J277" s="3"/>
      <c r="K277" s="3"/>
      <c r="L277" s="3" t="s">
        <v>564</v>
      </c>
      <c r="M277" s="3">
        <v>90</v>
      </c>
      <c r="N277" s="3" t="s">
        <v>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563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564</v>
      </c>
      <c r="M278" s="3">
        <v>100</v>
      </c>
      <c r="N278" s="3" t="s">
        <v>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563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564</v>
      </c>
      <c r="M279" s="3">
        <v>110</v>
      </c>
      <c r="N279" s="3" t="s">
        <v>101</v>
      </c>
      <c r="O279" s="3"/>
      <c r="P279" s="3"/>
      <c r="Q279" s="3">
        <v>0.51800000000000002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563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564</v>
      </c>
      <c r="M280" s="3">
        <v>120</v>
      </c>
      <c r="N280" s="3" t="s">
        <v>156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563</v>
      </c>
      <c r="C281" s="3" t="s">
        <v>157</v>
      </c>
      <c r="D281" s="3"/>
      <c r="E281" s="3" t="s">
        <v>157</v>
      </c>
      <c r="F281" s="3"/>
      <c r="G281" s="3"/>
      <c r="H281" s="3"/>
      <c r="I281" s="3"/>
      <c r="J281" s="3"/>
      <c r="K281" s="3"/>
      <c r="L281" s="3" t="s">
        <v>564</v>
      </c>
      <c r="M281" s="3">
        <v>10</v>
      </c>
      <c r="N281" s="3" t="s">
        <v>107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563</v>
      </c>
      <c r="C282" s="3" t="s">
        <v>157</v>
      </c>
      <c r="D282" s="3"/>
      <c r="E282" s="3" t="s">
        <v>157</v>
      </c>
      <c r="F282" s="3"/>
      <c r="G282" s="3"/>
      <c r="H282" s="3"/>
      <c r="I282" s="3"/>
      <c r="J282" s="3"/>
      <c r="K282" s="3"/>
      <c r="L282" s="3" t="s">
        <v>564</v>
      </c>
      <c r="M282" s="3">
        <v>20</v>
      </c>
      <c r="N282" s="3" t="s">
        <v>565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563</v>
      </c>
      <c r="C283" s="3" t="s">
        <v>157</v>
      </c>
      <c r="D283" s="3"/>
      <c r="E283" s="3" t="s">
        <v>157</v>
      </c>
      <c r="F283" s="3"/>
      <c r="G283" s="3"/>
      <c r="H283" s="3"/>
      <c r="I283" s="3"/>
      <c r="J283" s="3"/>
      <c r="K283" s="3"/>
      <c r="L283" s="3" t="s">
        <v>564</v>
      </c>
      <c r="M283" s="3">
        <v>30</v>
      </c>
      <c r="N283" s="3" t="s">
        <v>99</v>
      </c>
      <c r="O283" s="3"/>
      <c r="P283" s="3"/>
      <c r="Q283" s="3">
        <v>0.54500000000000004</v>
      </c>
      <c r="R283" s="3" t="s">
        <v>100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563</v>
      </c>
      <c r="C284" s="3" t="s">
        <v>157</v>
      </c>
      <c r="D284" s="3"/>
      <c r="E284" s="3" t="s">
        <v>157</v>
      </c>
      <c r="F284" s="3"/>
      <c r="G284" s="3"/>
      <c r="H284" s="3"/>
      <c r="I284" s="3"/>
      <c r="J284" s="3"/>
      <c r="K284" s="3"/>
      <c r="L284" s="3" t="s">
        <v>564</v>
      </c>
      <c r="M284" s="3">
        <v>40</v>
      </c>
      <c r="N284" s="3" t="s">
        <v>108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563</v>
      </c>
      <c r="C285" s="3" t="s">
        <v>157</v>
      </c>
      <c r="D285" s="3"/>
      <c r="E285" s="3" t="s">
        <v>157</v>
      </c>
      <c r="F285" s="3"/>
      <c r="G285" s="3"/>
      <c r="H285" s="3"/>
      <c r="I285" s="3"/>
      <c r="J285" s="3"/>
      <c r="K285" s="3"/>
      <c r="L285" s="3" t="s">
        <v>564</v>
      </c>
      <c r="M285" s="3">
        <v>50</v>
      </c>
      <c r="N285" s="3" t="s">
        <v>105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563</v>
      </c>
      <c r="C286" s="3" t="s">
        <v>157</v>
      </c>
      <c r="D286" s="3"/>
      <c r="E286" s="3" t="s">
        <v>157</v>
      </c>
      <c r="F286" s="3"/>
      <c r="G286" s="3"/>
      <c r="H286" s="3"/>
      <c r="I286" s="3"/>
      <c r="J286" s="3"/>
      <c r="K286" s="3"/>
      <c r="L286" s="3" t="s">
        <v>564</v>
      </c>
      <c r="M286" s="3">
        <v>60</v>
      </c>
      <c r="N286" s="3" t="s">
        <v>106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563</v>
      </c>
      <c r="C287" s="3" t="s">
        <v>157</v>
      </c>
      <c r="D287" s="3"/>
      <c r="E287" s="3" t="s">
        <v>157</v>
      </c>
      <c r="F287" s="3"/>
      <c r="G287" s="3"/>
      <c r="H287" s="3"/>
      <c r="I287" s="3"/>
      <c r="J287" s="3"/>
      <c r="K287" s="3"/>
      <c r="L287" s="3" t="s">
        <v>564</v>
      </c>
      <c r="M287" s="3">
        <v>70</v>
      </c>
      <c r="N287" s="3" t="s">
        <v>104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563</v>
      </c>
      <c r="C288" s="3" t="s">
        <v>157</v>
      </c>
      <c r="D288" s="3"/>
      <c r="E288" s="3" t="s">
        <v>157</v>
      </c>
      <c r="F288" s="3"/>
      <c r="G288" s="3"/>
      <c r="H288" s="3"/>
      <c r="I288" s="3"/>
      <c r="J288" s="3"/>
      <c r="K288" s="3"/>
      <c r="L288" s="3" t="s">
        <v>564</v>
      </c>
      <c r="M288" s="3">
        <v>80</v>
      </c>
      <c r="N288" s="3" t="s">
        <v>111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563</v>
      </c>
      <c r="C289" s="3" t="s">
        <v>157</v>
      </c>
      <c r="D289" s="3"/>
      <c r="E289" s="3" t="s">
        <v>157</v>
      </c>
      <c r="F289" s="3"/>
      <c r="G289" s="3"/>
      <c r="H289" s="3"/>
      <c r="I289" s="3"/>
      <c r="J289" s="3"/>
      <c r="K289" s="3"/>
      <c r="L289" s="3" t="s">
        <v>564</v>
      </c>
      <c r="M289" s="3">
        <v>90</v>
      </c>
      <c r="N289" s="3" t="s">
        <v>18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563</v>
      </c>
      <c r="C290" s="3" t="s">
        <v>157</v>
      </c>
      <c r="D290" s="3"/>
      <c r="E290" s="3" t="s">
        <v>157</v>
      </c>
      <c r="F290" s="3"/>
      <c r="G290" s="3"/>
      <c r="H290" s="3"/>
      <c r="I290" s="3"/>
      <c r="J290" s="3"/>
      <c r="K290" s="3"/>
      <c r="L290" s="3" t="s">
        <v>564</v>
      </c>
      <c r="M290" s="3">
        <v>100</v>
      </c>
      <c r="N290" s="3" t="s">
        <v>19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563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564</v>
      </c>
      <c r="M291" s="3">
        <v>110</v>
      </c>
      <c r="N291" s="3" t="s">
        <v>101</v>
      </c>
      <c r="O291" s="3"/>
      <c r="P291" s="3"/>
      <c r="Q291" s="3">
        <v>0.56299999999999994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563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564</v>
      </c>
      <c r="M292" s="3">
        <v>120</v>
      </c>
      <c r="N292" s="3" t="s">
        <v>158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563</v>
      </c>
      <c r="C293" s="3" t="s">
        <v>159</v>
      </c>
      <c r="D293" s="3"/>
      <c r="E293" s="3" t="s">
        <v>159</v>
      </c>
      <c r="F293" s="3"/>
      <c r="G293" s="3"/>
      <c r="H293" s="3"/>
      <c r="I293" s="3"/>
      <c r="J293" s="3"/>
      <c r="K293" s="3"/>
      <c r="L293" s="3" t="s">
        <v>564</v>
      </c>
      <c r="M293" s="3">
        <v>10</v>
      </c>
      <c r="N293" s="3" t="s">
        <v>107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563</v>
      </c>
      <c r="C294" s="3" t="s">
        <v>159</v>
      </c>
      <c r="D294" s="3"/>
      <c r="E294" s="3" t="s">
        <v>159</v>
      </c>
      <c r="F294" s="3"/>
      <c r="G294" s="3"/>
      <c r="H294" s="3"/>
      <c r="I294" s="3"/>
      <c r="J294" s="3"/>
      <c r="K294" s="3"/>
      <c r="L294" s="3" t="s">
        <v>564</v>
      </c>
      <c r="M294" s="3">
        <v>20</v>
      </c>
      <c r="N294" s="3" t="s">
        <v>565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563</v>
      </c>
      <c r="C295" s="3" t="s">
        <v>159</v>
      </c>
      <c r="D295" s="3"/>
      <c r="E295" s="3" t="s">
        <v>159</v>
      </c>
      <c r="F295" s="3"/>
      <c r="G295" s="3"/>
      <c r="H295" s="3"/>
      <c r="I295" s="3"/>
      <c r="J295" s="3"/>
      <c r="K295" s="3"/>
      <c r="L295" s="3" t="s">
        <v>564</v>
      </c>
      <c r="M295" s="3">
        <v>30</v>
      </c>
      <c r="N295" s="3" t="s">
        <v>99</v>
      </c>
      <c r="O295" s="3"/>
      <c r="P295" s="3"/>
      <c r="Q295" s="3">
        <v>0.26700000000000002</v>
      </c>
      <c r="R295" s="3" t="s">
        <v>100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563</v>
      </c>
      <c r="C296" s="3" t="s">
        <v>159</v>
      </c>
      <c r="D296" s="3"/>
      <c r="E296" s="3" t="s">
        <v>159</v>
      </c>
      <c r="F296" s="3"/>
      <c r="G296" s="3"/>
      <c r="H296" s="3"/>
      <c r="I296" s="3"/>
      <c r="J296" s="3"/>
      <c r="K296" s="3"/>
      <c r="L296" s="3" t="s">
        <v>564</v>
      </c>
      <c r="M296" s="3">
        <v>40</v>
      </c>
      <c r="N296" s="3" t="s">
        <v>108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563</v>
      </c>
      <c r="C297" s="3" t="s">
        <v>159</v>
      </c>
      <c r="D297" s="3"/>
      <c r="E297" s="3" t="s">
        <v>159</v>
      </c>
      <c r="F297" s="3"/>
      <c r="G297" s="3"/>
      <c r="H297" s="3"/>
      <c r="I297" s="3"/>
      <c r="J297" s="3"/>
      <c r="K297" s="3"/>
      <c r="L297" s="3" t="s">
        <v>564</v>
      </c>
      <c r="M297" s="3">
        <v>50</v>
      </c>
      <c r="N297" s="3" t="s">
        <v>105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563</v>
      </c>
      <c r="C298" s="3" t="s">
        <v>159</v>
      </c>
      <c r="D298" s="3"/>
      <c r="E298" s="3" t="s">
        <v>159</v>
      </c>
      <c r="F298" s="3"/>
      <c r="G298" s="3"/>
      <c r="H298" s="3"/>
      <c r="I298" s="3"/>
      <c r="J298" s="3"/>
      <c r="K298" s="3"/>
      <c r="L298" s="3" t="s">
        <v>564</v>
      </c>
      <c r="M298" s="3">
        <v>60</v>
      </c>
      <c r="N298" s="3" t="s">
        <v>106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563</v>
      </c>
      <c r="C299" s="3" t="s">
        <v>159</v>
      </c>
      <c r="D299" s="3"/>
      <c r="E299" s="3" t="s">
        <v>159</v>
      </c>
      <c r="F299" s="3"/>
      <c r="G299" s="3"/>
      <c r="H299" s="3"/>
      <c r="I299" s="3"/>
      <c r="J299" s="3"/>
      <c r="K299" s="3"/>
      <c r="L299" s="3" t="s">
        <v>564</v>
      </c>
      <c r="M299" s="3">
        <v>70</v>
      </c>
      <c r="N299" s="3" t="s">
        <v>104</v>
      </c>
      <c r="O299" s="3"/>
      <c r="P299" s="3"/>
      <c r="Q299" s="3">
        <v>8.1000000000000003E-2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563</v>
      </c>
      <c r="C300" s="3" t="s">
        <v>159</v>
      </c>
      <c r="D300" s="3"/>
      <c r="E300" s="3" t="s">
        <v>159</v>
      </c>
      <c r="F300" s="3"/>
      <c r="G300" s="3"/>
      <c r="H300" s="3"/>
      <c r="I300" s="3"/>
      <c r="J300" s="3"/>
      <c r="K300" s="3"/>
      <c r="L300" s="3" t="s">
        <v>564</v>
      </c>
      <c r="M300" s="3">
        <v>80</v>
      </c>
      <c r="N300" s="3" t="s">
        <v>111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563</v>
      </c>
      <c r="C301" s="3" t="s">
        <v>159</v>
      </c>
      <c r="D301" s="3"/>
      <c r="E301" s="3" t="s">
        <v>159</v>
      </c>
      <c r="F301" s="3"/>
      <c r="G301" s="3"/>
      <c r="H301" s="3"/>
      <c r="I301" s="3"/>
      <c r="J301" s="3"/>
      <c r="K301" s="3"/>
      <c r="L301" s="3" t="s">
        <v>564</v>
      </c>
      <c r="M301" s="3">
        <v>90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563</v>
      </c>
      <c r="C302" s="3" t="s">
        <v>159</v>
      </c>
      <c r="D302" s="3"/>
      <c r="E302" s="3" t="s">
        <v>159</v>
      </c>
      <c r="F302" s="3"/>
      <c r="G302" s="3"/>
      <c r="H302" s="3"/>
      <c r="I302" s="3"/>
      <c r="J302" s="3"/>
      <c r="K302" s="3"/>
      <c r="L302" s="3" t="s">
        <v>564</v>
      </c>
      <c r="M302" s="3">
        <v>100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563</v>
      </c>
      <c r="C303" s="3" t="s">
        <v>159</v>
      </c>
      <c r="D303" s="3"/>
      <c r="E303" s="3" t="s">
        <v>159</v>
      </c>
      <c r="F303" s="3"/>
      <c r="G303" s="3"/>
      <c r="H303" s="3"/>
      <c r="I303" s="3"/>
      <c r="J303" s="3"/>
      <c r="K303" s="3"/>
      <c r="L303" s="3" t="s">
        <v>564</v>
      </c>
      <c r="M303" s="3">
        <v>110</v>
      </c>
      <c r="N303" s="3" t="s">
        <v>101</v>
      </c>
      <c r="O303" s="3"/>
      <c r="P303" s="3"/>
      <c r="Q303" s="3">
        <v>0.64600000000000002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563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564</v>
      </c>
      <c r="M304" s="3">
        <v>120</v>
      </c>
      <c r="N304" s="3" t="s">
        <v>160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563</v>
      </c>
      <c r="C305" s="3" t="s">
        <v>161</v>
      </c>
      <c r="D305" s="3"/>
      <c r="E305" s="3" t="s">
        <v>161</v>
      </c>
      <c r="F305" s="3"/>
      <c r="G305" s="3"/>
      <c r="H305" s="3"/>
      <c r="I305" s="3"/>
      <c r="J305" s="3"/>
      <c r="K305" s="3"/>
      <c r="L305" s="3" t="s">
        <v>564</v>
      </c>
      <c r="M305" s="3">
        <v>10</v>
      </c>
      <c r="N305" s="3" t="s">
        <v>107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563</v>
      </c>
      <c r="C306" s="3" t="s">
        <v>161</v>
      </c>
      <c r="D306" s="3"/>
      <c r="E306" s="3" t="s">
        <v>161</v>
      </c>
      <c r="F306" s="3"/>
      <c r="G306" s="3"/>
      <c r="H306" s="3"/>
      <c r="I306" s="3"/>
      <c r="J306" s="3"/>
      <c r="K306" s="3"/>
      <c r="L306" s="3" t="s">
        <v>564</v>
      </c>
      <c r="M306" s="3">
        <v>20</v>
      </c>
      <c r="N306" s="3" t="s">
        <v>565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563</v>
      </c>
      <c r="C307" s="3" t="s">
        <v>161</v>
      </c>
      <c r="D307" s="3"/>
      <c r="E307" s="3" t="s">
        <v>161</v>
      </c>
      <c r="F307" s="3"/>
      <c r="G307" s="3"/>
      <c r="H307" s="3"/>
      <c r="I307" s="3"/>
      <c r="J307" s="3"/>
      <c r="K307" s="3"/>
      <c r="L307" s="3" t="s">
        <v>564</v>
      </c>
      <c r="M307" s="3">
        <v>30</v>
      </c>
      <c r="N307" s="3" t="s">
        <v>99</v>
      </c>
      <c r="O307" s="3"/>
      <c r="P307" s="3"/>
      <c r="Q307" s="3">
        <v>0.316</v>
      </c>
      <c r="R307" s="3" t="s">
        <v>100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563</v>
      </c>
      <c r="C308" s="3" t="s">
        <v>161</v>
      </c>
      <c r="D308" s="3"/>
      <c r="E308" s="3" t="s">
        <v>161</v>
      </c>
      <c r="F308" s="3"/>
      <c r="G308" s="3"/>
      <c r="H308" s="3"/>
      <c r="I308" s="3"/>
      <c r="J308" s="3"/>
      <c r="K308" s="3"/>
      <c r="L308" s="3" t="s">
        <v>564</v>
      </c>
      <c r="M308" s="3">
        <v>40</v>
      </c>
      <c r="N308" s="3" t="s">
        <v>108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563</v>
      </c>
      <c r="C309" s="3" t="s">
        <v>161</v>
      </c>
      <c r="D309" s="3"/>
      <c r="E309" s="3" t="s">
        <v>161</v>
      </c>
      <c r="F309" s="3"/>
      <c r="G309" s="3"/>
      <c r="H309" s="3"/>
      <c r="I309" s="3"/>
      <c r="J309" s="3"/>
      <c r="K309" s="3"/>
      <c r="L309" s="3" t="s">
        <v>564</v>
      </c>
      <c r="M309" s="3">
        <v>50</v>
      </c>
      <c r="N309" s="3" t="s">
        <v>105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563</v>
      </c>
      <c r="C310" s="3" t="s">
        <v>161</v>
      </c>
      <c r="D310" s="3"/>
      <c r="E310" s="3" t="s">
        <v>161</v>
      </c>
      <c r="F310" s="3"/>
      <c r="G310" s="3"/>
      <c r="H310" s="3"/>
      <c r="I310" s="3"/>
      <c r="J310" s="3"/>
      <c r="K310" s="3"/>
      <c r="L310" s="3" t="s">
        <v>564</v>
      </c>
      <c r="M310" s="3">
        <v>60</v>
      </c>
      <c r="N310" s="3" t="s">
        <v>106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563</v>
      </c>
      <c r="C311" s="3" t="s">
        <v>161</v>
      </c>
      <c r="D311" s="3"/>
      <c r="E311" s="3" t="s">
        <v>161</v>
      </c>
      <c r="F311" s="3"/>
      <c r="G311" s="3"/>
      <c r="H311" s="3"/>
      <c r="I311" s="3"/>
      <c r="J311" s="3"/>
      <c r="K311" s="3"/>
      <c r="L311" s="3" t="s">
        <v>564</v>
      </c>
      <c r="M311" s="3">
        <v>70</v>
      </c>
      <c r="N311" s="3" t="s">
        <v>104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563</v>
      </c>
      <c r="C312" s="3" t="s">
        <v>161</v>
      </c>
      <c r="D312" s="3"/>
      <c r="E312" s="3" t="s">
        <v>161</v>
      </c>
      <c r="F312" s="3"/>
      <c r="G312" s="3"/>
      <c r="H312" s="3"/>
      <c r="I312" s="3"/>
      <c r="J312" s="3"/>
      <c r="K312" s="3"/>
      <c r="L312" s="3" t="s">
        <v>564</v>
      </c>
      <c r="M312" s="3">
        <v>80</v>
      </c>
      <c r="N312" s="3" t="s">
        <v>111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563</v>
      </c>
      <c r="C313" s="3" t="s">
        <v>161</v>
      </c>
      <c r="D313" s="3"/>
      <c r="E313" s="3" t="s">
        <v>161</v>
      </c>
      <c r="F313" s="3"/>
      <c r="G313" s="3"/>
      <c r="H313" s="3"/>
      <c r="I313" s="3"/>
      <c r="J313" s="3"/>
      <c r="K313" s="3"/>
      <c r="L313" s="3" t="s">
        <v>564</v>
      </c>
      <c r="M313" s="3">
        <v>90</v>
      </c>
      <c r="N313" s="3" t="s">
        <v>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563</v>
      </c>
      <c r="C314" s="3" t="s">
        <v>161</v>
      </c>
      <c r="D314" s="3"/>
      <c r="E314" s="3" t="s">
        <v>161</v>
      </c>
      <c r="F314" s="3"/>
      <c r="G314" s="3"/>
      <c r="H314" s="3"/>
      <c r="I314" s="3"/>
      <c r="J314" s="3"/>
      <c r="K314" s="3"/>
      <c r="L314" s="3" t="s">
        <v>564</v>
      </c>
      <c r="M314" s="3">
        <v>100</v>
      </c>
      <c r="N314" s="3" t="s">
        <v>19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563</v>
      </c>
      <c r="C315" s="3" t="s">
        <v>161</v>
      </c>
      <c r="D315" s="3"/>
      <c r="E315" s="3" t="s">
        <v>161</v>
      </c>
      <c r="F315" s="3"/>
      <c r="G315" s="3"/>
      <c r="H315" s="3"/>
      <c r="I315" s="3"/>
      <c r="J315" s="3"/>
      <c r="K315" s="3"/>
      <c r="L315" s="3" t="s">
        <v>564</v>
      </c>
      <c r="M315" s="3">
        <v>110</v>
      </c>
      <c r="N315" s="3" t="s">
        <v>101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563</v>
      </c>
      <c r="C316" s="3" t="s">
        <v>161</v>
      </c>
      <c r="D316" s="3"/>
      <c r="E316" s="3" t="s">
        <v>161</v>
      </c>
      <c r="F316" s="3"/>
      <c r="G316" s="3"/>
      <c r="H316" s="3"/>
      <c r="I316" s="3"/>
      <c r="J316" s="3"/>
      <c r="K316" s="3"/>
      <c r="L316" s="3" t="s">
        <v>564</v>
      </c>
      <c r="M316" s="3">
        <v>120</v>
      </c>
      <c r="N316" s="3" t="s">
        <v>162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563</v>
      </c>
      <c r="C317" s="3" t="s">
        <v>163</v>
      </c>
      <c r="D317" s="3"/>
      <c r="E317" s="3" t="s">
        <v>163</v>
      </c>
      <c r="F317" s="3"/>
      <c r="G317" s="3"/>
      <c r="H317" s="3"/>
      <c r="I317" s="3"/>
      <c r="J317" s="3"/>
      <c r="K317" s="3"/>
      <c r="L317" s="3" t="s">
        <v>564</v>
      </c>
      <c r="M317" s="3">
        <v>10</v>
      </c>
      <c r="N317" s="3" t="s">
        <v>107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563</v>
      </c>
      <c r="C318" s="3" t="s">
        <v>163</v>
      </c>
      <c r="D318" s="3"/>
      <c r="E318" s="3" t="s">
        <v>163</v>
      </c>
      <c r="F318" s="3"/>
      <c r="G318" s="3"/>
      <c r="H318" s="3"/>
      <c r="I318" s="3"/>
      <c r="J318" s="3"/>
      <c r="K318" s="3"/>
      <c r="L318" s="3" t="s">
        <v>564</v>
      </c>
      <c r="M318" s="3">
        <v>20</v>
      </c>
      <c r="N318" s="3" t="s">
        <v>565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563</v>
      </c>
      <c r="C319" s="3" t="s">
        <v>163</v>
      </c>
      <c r="D319" s="3"/>
      <c r="E319" s="3" t="s">
        <v>163</v>
      </c>
      <c r="F319" s="3"/>
      <c r="G319" s="3"/>
      <c r="H319" s="3"/>
      <c r="I319" s="3"/>
      <c r="J319" s="3"/>
      <c r="K319" s="3"/>
      <c r="L319" s="3" t="s">
        <v>564</v>
      </c>
      <c r="M319" s="3">
        <v>30</v>
      </c>
      <c r="N319" s="3" t="s">
        <v>99</v>
      </c>
      <c r="O319" s="3"/>
      <c r="P319" s="3"/>
      <c r="Q319" s="3">
        <v>0.36499999999999999</v>
      </c>
      <c r="R319" s="3" t="s">
        <v>100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563</v>
      </c>
      <c r="C320" s="3" t="s">
        <v>163</v>
      </c>
      <c r="D320" s="3"/>
      <c r="E320" s="3" t="s">
        <v>163</v>
      </c>
      <c r="F320" s="3"/>
      <c r="G320" s="3"/>
      <c r="H320" s="3"/>
      <c r="I320" s="3"/>
      <c r="J320" s="3"/>
      <c r="K320" s="3"/>
      <c r="L320" s="3" t="s">
        <v>564</v>
      </c>
      <c r="M320" s="3">
        <v>40</v>
      </c>
      <c r="N320" s="3" t="s">
        <v>108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563</v>
      </c>
      <c r="C321" s="3" t="s">
        <v>163</v>
      </c>
      <c r="D321" s="3"/>
      <c r="E321" s="3" t="s">
        <v>163</v>
      </c>
      <c r="F321" s="3"/>
      <c r="G321" s="3"/>
      <c r="H321" s="3"/>
      <c r="I321" s="3"/>
      <c r="J321" s="3"/>
      <c r="K321" s="3"/>
      <c r="L321" s="3" t="s">
        <v>564</v>
      </c>
      <c r="M321" s="3">
        <v>50</v>
      </c>
      <c r="N321" s="3" t="s">
        <v>105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563</v>
      </c>
      <c r="C322" s="3" t="s">
        <v>163</v>
      </c>
      <c r="D322" s="3"/>
      <c r="E322" s="3" t="s">
        <v>163</v>
      </c>
      <c r="F322" s="3"/>
      <c r="G322" s="3"/>
      <c r="H322" s="3"/>
      <c r="I322" s="3"/>
      <c r="J322" s="3"/>
      <c r="K322" s="3"/>
      <c r="L322" s="3" t="s">
        <v>564</v>
      </c>
      <c r="M322" s="3">
        <v>60</v>
      </c>
      <c r="N322" s="3" t="s">
        <v>106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563</v>
      </c>
      <c r="C323" s="3" t="s">
        <v>163</v>
      </c>
      <c r="D323" s="3"/>
      <c r="E323" s="3" t="s">
        <v>163</v>
      </c>
      <c r="F323" s="3"/>
      <c r="G323" s="3"/>
      <c r="H323" s="3"/>
      <c r="I323" s="3"/>
      <c r="J323" s="3"/>
      <c r="K323" s="3"/>
      <c r="L323" s="3" t="s">
        <v>564</v>
      </c>
      <c r="M323" s="3">
        <v>70</v>
      </c>
      <c r="N323" s="3" t="s">
        <v>104</v>
      </c>
      <c r="O323" s="3"/>
      <c r="P323" s="3"/>
      <c r="Q323" s="3">
        <v>0.10299999999999999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563</v>
      </c>
      <c r="C324" s="3" t="s">
        <v>163</v>
      </c>
      <c r="D324" s="3"/>
      <c r="E324" s="3" t="s">
        <v>163</v>
      </c>
      <c r="F324" s="3"/>
      <c r="G324" s="3"/>
      <c r="H324" s="3"/>
      <c r="I324" s="3"/>
      <c r="J324" s="3"/>
      <c r="K324" s="3"/>
      <c r="L324" s="3" t="s">
        <v>564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563</v>
      </c>
      <c r="C325" s="3" t="s">
        <v>163</v>
      </c>
      <c r="D325" s="3"/>
      <c r="E325" s="3" t="s">
        <v>163</v>
      </c>
      <c r="F325" s="3"/>
      <c r="G325" s="3"/>
      <c r="H325" s="3"/>
      <c r="I325" s="3"/>
      <c r="J325" s="3"/>
      <c r="K325" s="3"/>
      <c r="L325" s="3" t="s">
        <v>564</v>
      </c>
      <c r="M325" s="3">
        <v>90</v>
      </c>
      <c r="N325" s="3" t="s">
        <v>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563</v>
      </c>
      <c r="C326" s="3" t="s">
        <v>163</v>
      </c>
      <c r="D326" s="3"/>
      <c r="E326" s="3" t="s">
        <v>163</v>
      </c>
      <c r="F326" s="3"/>
      <c r="G326" s="3"/>
      <c r="H326" s="3"/>
      <c r="I326" s="3"/>
      <c r="J326" s="3"/>
      <c r="K326" s="3"/>
      <c r="L326" s="3" t="s">
        <v>564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563</v>
      </c>
      <c r="C327" s="3" t="s">
        <v>163</v>
      </c>
      <c r="D327" s="3"/>
      <c r="E327" s="3" t="s">
        <v>163</v>
      </c>
      <c r="F327" s="3"/>
      <c r="G327" s="3"/>
      <c r="H327" s="3"/>
      <c r="I327" s="3"/>
      <c r="J327" s="3"/>
      <c r="K327" s="3"/>
      <c r="L327" s="3" t="s">
        <v>564</v>
      </c>
      <c r="M327" s="3">
        <v>110</v>
      </c>
      <c r="N327" s="3" t="s">
        <v>101</v>
      </c>
      <c r="O327" s="3"/>
      <c r="P327" s="3"/>
      <c r="Q327" s="3">
        <v>0.64600000000000002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563</v>
      </c>
      <c r="C328" s="3" t="s">
        <v>163</v>
      </c>
      <c r="D328" s="3"/>
      <c r="E328" s="3" t="s">
        <v>163</v>
      </c>
      <c r="F328" s="3"/>
      <c r="G328" s="3"/>
      <c r="H328" s="3"/>
      <c r="I328" s="3"/>
      <c r="J328" s="3"/>
      <c r="K328" s="3"/>
      <c r="L328" s="3" t="s">
        <v>564</v>
      </c>
      <c r="M328" s="3">
        <v>120</v>
      </c>
      <c r="N328" s="3" t="s">
        <v>164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563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564</v>
      </c>
      <c r="M329" s="3">
        <v>10</v>
      </c>
      <c r="N329" s="3" t="s">
        <v>107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563</v>
      </c>
      <c r="C330" s="3" t="s">
        <v>165</v>
      </c>
      <c r="D330" s="3"/>
      <c r="E330" s="3" t="s">
        <v>165</v>
      </c>
      <c r="F330" s="3"/>
      <c r="G330" s="3"/>
      <c r="H330" s="3"/>
      <c r="I330" s="3"/>
      <c r="J330" s="3"/>
      <c r="K330" s="3"/>
      <c r="L330" s="3" t="s">
        <v>564</v>
      </c>
      <c r="M330" s="3">
        <v>20</v>
      </c>
      <c r="N330" s="3" t="s">
        <v>565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563</v>
      </c>
      <c r="C331" s="3" t="s">
        <v>165</v>
      </c>
      <c r="D331" s="3"/>
      <c r="E331" s="3" t="s">
        <v>165</v>
      </c>
      <c r="F331" s="3"/>
      <c r="G331" s="3"/>
      <c r="H331" s="3"/>
      <c r="I331" s="3"/>
      <c r="J331" s="3"/>
      <c r="K331" s="3"/>
      <c r="L331" s="3" t="s">
        <v>564</v>
      </c>
      <c r="M331" s="3">
        <v>30</v>
      </c>
      <c r="N331" s="3" t="s">
        <v>99</v>
      </c>
      <c r="O331" s="3"/>
      <c r="P331" s="3"/>
      <c r="Q331" s="3">
        <v>0.41299999999999998</v>
      </c>
      <c r="R331" s="3" t="s">
        <v>100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563</v>
      </c>
      <c r="C332" s="3" t="s">
        <v>165</v>
      </c>
      <c r="D332" s="3"/>
      <c r="E332" s="3" t="s">
        <v>165</v>
      </c>
      <c r="F332" s="3"/>
      <c r="G332" s="3"/>
      <c r="H332" s="3"/>
      <c r="I332" s="3"/>
      <c r="J332" s="3"/>
      <c r="K332" s="3"/>
      <c r="L332" s="3" t="s">
        <v>564</v>
      </c>
      <c r="M332" s="3">
        <v>40</v>
      </c>
      <c r="N332" s="3" t="s">
        <v>108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563</v>
      </c>
      <c r="C333" s="3" t="s">
        <v>165</v>
      </c>
      <c r="D333" s="3"/>
      <c r="E333" s="3" t="s">
        <v>165</v>
      </c>
      <c r="F333" s="3"/>
      <c r="G333" s="3"/>
      <c r="H333" s="3"/>
      <c r="I333" s="3"/>
      <c r="J333" s="3"/>
      <c r="K333" s="3"/>
      <c r="L333" s="3" t="s">
        <v>564</v>
      </c>
      <c r="M333" s="3">
        <v>50</v>
      </c>
      <c r="N333" s="3" t="s">
        <v>105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563</v>
      </c>
      <c r="C334" s="3" t="s">
        <v>165</v>
      </c>
      <c r="D334" s="3"/>
      <c r="E334" s="3" t="s">
        <v>165</v>
      </c>
      <c r="F334" s="3"/>
      <c r="G334" s="3"/>
      <c r="H334" s="3"/>
      <c r="I334" s="3"/>
      <c r="J334" s="3"/>
      <c r="K334" s="3"/>
      <c r="L334" s="3" t="s">
        <v>564</v>
      </c>
      <c r="M334" s="3">
        <v>60</v>
      </c>
      <c r="N334" s="3" t="s">
        <v>106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563</v>
      </c>
      <c r="C335" s="3" t="s">
        <v>165</v>
      </c>
      <c r="D335" s="3"/>
      <c r="E335" s="3" t="s">
        <v>165</v>
      </c>
      <c r="F335" s="3"/>
      <c r="G335" s="3"/>
      <c r="H335" s="3"/>
      <c r="I335" s="3"/>
      <c r="J335" s="3"/>
      <c r="K335" s="3"/>
      <c r="L335" s="3" t="s">
        <v>564</v>
      </c>
      <c r="M335" s="3">
        <v>70</v>
      </c>
      <c r="N335" s="3" t="s">
        <v>104</v>
      </c>
      <c r="O335" s="3"/>
      <c r="P335" s="3"/>
      <c r="Q335" s="3">
        <v>0.115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563</v>
      </c>
      <c r="C336" s="3" t="s">
        <v>165</v>
      </c>
      <c r="D336" s="3"/>
      <c r="E336" s="3" t="s">
        <v>165</v>
      </c>
      <c r="F336" s="3"/>
      <c r="G336" s="3"/>
      <c r="H336" s="3"/>
      <c r="I336" s="3"/>
      <c r="J336" s="3"/>
      <c r="K336" s="3"/>
      <c r="L336" s="3" t="s">
        <v>564</v>
      </c>
      <c r="M336" s="3">
        <v>80</v>
      </c>
      <c r="N336" s="3" t="s">
        <v>111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563</v>
      </c>
      <c r="C337" s="3" t="s">
        <v>165</v>
      </c>
      <c r="D337" s="3"/>
      <c r="E337" s="3" t="s">
        <v>165</v>
      </c>
      <c r="F337" s="3"/>
      <c r="G337" s="3"/>
      <c r="H337" s="3"/>
      <c r="I337" s="3"/>
      <c r="J337" s="3"/>
      <c r="K337" s="3"/>
      <c r="L337" s="3" t="s">
        <v>564</v>
      </c>
      <c r="M337" s="3">
        <v>90</v>
      </c>
      <c r="N337" s="3" t="s">
        <v>18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563</v>
      </c>
      <c r="C338" s="3" t="s">
        <v>165</v>
      </c>
      <c r="D338" s="3"/>
      <c r="E338" s="3" t="s">
        <v>165</v>
      </c>
      <c r="F338" s="3"/>
      <c r="G338" s="3"/>
      <c r="H338" s="3"/>
      <c r="I338" s="3"/>
      <c r="J338" s="3"/>
      <c r="K338" s="3"/>
      <c r="L338" s="3" t="s">
        <v>564</v>
      </c>
      <c r="M338" s="3">
        <v>100</v>
      </c>
      <c r="N338" s="3" t="s">
        <v>19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563</v>
      </c>
      <c r="C339" s="3" t="s">
        <v>165</v>
      </c>
      <c r="D339" s="3"/>
      <c r="E339" s="3" t="s">
        <v>165</v>
      </c>
      <c r="F339" s="3"/>
      <c r="G339" s="3"/>
      <c r="H339" s="3"/>
      <c r="I339" s="3"/>
      <c r="J339" s="3"/>
      <c r="K339" s="3"/>
      <c r="L339" s="3" t="s">
        <v>564</v>
      </c>
      <c r="M339" s="3">
        <v>110</v>
      </c>
      <c r="N339" s="3" t="s">
        <v>101</v>
      </c>
      <c r="O339" s="3"/>
      <c r="P339" s="3"/>
      <c r="Q339" s="3">
        <v>0.64600000000000002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563</v>
      </c>
      <c r="C340" s="3" t="s">
        <v>165</v>
      </c>
      <c r="D340" s="3"/>
      <c r="E340" s="3" t="s">
        <v>165</v>
      </c>
      <c r="F340" s="3"/>
      <c r="G340" s="3"/>
      <c r="H340" s="3"/>
      <c r="I340" s="3"/>
      <c r="J340" s="3"/>
      <c r="K340" s="3"/>
      <c r="L340" s="3" t="s">
        <v>564</v>
      </c>
      <c r="M340" s="3">
        <v>120</v>
      </c>
      <c r="N340" s="3" t="s">
        <v>166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563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564</v>
      </c>
      <c r="M341" s="3">
        <v>10</v>
      </c>
      <c r="N341" s="3" t="s">
        <v>107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563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564</v>
      </c>
      <c r="M342" s="3">
        <v>20</v>
      </c>
      <c r="N342" s="3" t="s">
        <v>565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563</v>
      </c>
      <c r="C343" s="3" t="s">
        <v>167</v>
      </c>
      <c r="D343" s="3"/>
      <c r="E343" s="3" t="s">
        <v>167</v>
      </c>
      <c r="F343" s="3"/>
      <c r="G343" s="3"/>
      <c r="H343" s="3"/>
      <c r="I343" s="3"/>
      <c r="J343" s="3"/>
      <c r="K343" s="3"/>
      <c r="L343" s="3" t="s">
        <v>564</v>
      </c>
      <c r="M343" s="3">
        <v>30</v>
      </c>
      <c r="N343" s="3" t="s">
        <v>99</v>
      </c>
      <c r="O343" s="3"/>
      <c r="P343" s="3"/>
      <c r="Q343" s="3">
        <v>0.437</v>
      </c>
      <c r="R343" s="3" t="s">
        <v>100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563</v>
      </c>
      <c r="C344" s="3" t="s">
        <v>167</v>
      </c>
      <c r="D344" s="3"/>
      <c r="E344" s="3" t="s">
        <v>167</v>
      </c>
      <c r="F344" s="3"/>
      <c r="G344" s="3"/>
      <c r="H344" s="3"/>
      <c r="I344" s="3"/>
      <c r="J344" s="3"/>
      <c r="K344" s="3"/>
      <c r="L344" s="3" t="s">
        <v>564</v>
      </c>
      <c r="M344" s="3">
        <v>40</v>
      </c>
      <c r="N344" s="3" t="s">
        <v>108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563</v>
      </c>
      <c r="C345" s="3" t="s">
        <v>167</v>
      </c>
      <c r="D345" s="3"/>
      <c r="E345" s="3" t="s">
        <v>167</v>
      </c>
      <c r="F345" s="3"/>
      <c r="G345" s="3"/>
      <c r="H345" s="3"/>
      <c r="I345" s="3"/>
      <c r="J345" s="3"/>
      <c r="K345" s="3"/>
      <c r="L345" s="3" t="s">
        <v>564</v>
      </c>
      <c r="M345" s="3">
        <v>50</v>
      </c>
      <c r="N345" s="3" t="s">
        <v>105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563</v>
      </c>
      <c r="C346" s="3" t="s">
        <v>167</v>
      </c>
      <c r="D346" s="3"/>
      <c r="E346" s="3" t="s">
        <v>167</v>
      </c>
      <c r="F346" s="3"/>
      <c r="G346" s="3"/>
      <c r="H346" s="3"/>
      <c r="I346" s="3"/>
      <c r="J346" s="3"/>
      <c r="K346" s="3"/>
      <c r="L346" s="3" t="s">
        <v>564</v>
      </c>
      <c r="M346" s="3">
        <v>60</v>
      </c>
      <c r="N346" s="3" t="s">
        <v>106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563</v>
      </c>
      <c r="C347" s="3" t="s">
        <v>167</v>
      </c>
      <c r="D347" s="3"/>
      <c r="E347" s="3" t="s">
        <v>167</v>
      </c>
      <c r="F347" s="3"/>
      <c r="G347" s="3"/>
      <c r="H347" s="3"/>
      <c r="I347" s="3"/>
      <c r="J347" s="3"/>
      <c r="K347" s="3"/>
      <c r="L347" s="3" t="s">
        <v>564</v>
      </c>
      <c r="M347" s="3">
        <v>70</v>
      </c>
      <c r="N347" s="3" t="s">
        <v>104</v>
      </c>
      <c r="O347" s="3"/>
      <c r="P347" s="3"/>
      <c r="Q347" s="3">
        <v>0.12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563</v>
      </c>
      <c r="C348" s="3" t="s">
        <v>167</v>
      </c>
      <c r="D348" s="3"/>
      <c r="E348" s="3" t="s">
        <v>167</v>
      </c>
      <c r="F348" s="3"/>
      <c r="G348" s="3"/>
      <c r="H348" s="3"/>
      <c r="I348" s="3"/>
      <c r="J348" s="3"/>
      <c r="K348" s="3"/>
      <c r="L348" s="3" t="s">
        <v>564</v>
      </c>
      <c r="M348" s="3">
        <v>80</v>
      </c>
      <c r="N348" s="3" t="s">
        <v>111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563</v>
      </c>
      <c r="C349" s="3" t="s">
        <v>167</v>
      </c>
      <c r="D349" s="3"/>
      <c r="E349" s="3" t="s">
        <v>167</v>
      </c>
      <c r="F349" s="3"/>
      <c r="G349" s="3"/>
      <c r="H349" s="3"/>
      <c r="I349" s="3"/>
      <c r="J349" s="3"/>
      <c r="K349" s="3"/>
      <c r="L349" s="3" t="s">
        <v>564</v>
      </c>
      <c r="M349" s="3">
        <v>90</v>
      </c>
      <c r="N349" s="3" t="s">
        <v>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563</v>
      </c>
      <c r="C350" s="3" t="s">
        <v>167</v>
      </c>
      <c r="D350" s="3"/>
      <c r="E350" s="3" t="s">
        <v>167</v>
      </c>
      <c r="F350" s="3"/>
      <c r="G350" s="3"/>
      <c r="H350" s="3"/>
      <c r="I350" s="3"/>
      <c r="J350" s="3"/>
      <c r="K350" s="3"/>
      <c r="L350" s="3" t="s">
        <v>564</v>
      </c>
      <c r="M350" s="3">
        <v>100</v>
      </c>
      <c r="N350" s="3" t="s">
        <v>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563</v>
      </c>
      <c r="C351" s="3" t="s">
        <v>167</v>
      </c>
      <c r="D351" s="3"/>
      <c r="E351" s="3" t="s">
        <v>167</v>
      </c>
      <c r="F351" s="3"/>
      <c r="G351" s="3"/>
      <c r="H351" s="3"/>
      <c r="I351" s="3"/>
      <c r="J351" s="3"/>
      <c r="K351" s="3"/>
      <c r="L351" s="3" t="s">
        <v>564</v>
      </c>
      <c r="M351" s="3">
        <v>110</v>
      </c>
      <c r="N351" s="3" t="s">
        <v>101</v>
      </c>
      <c r="O351" s="3"/>
      <c r="P351" s="3"/>
      <c r="Q351" s="3">
        <v>0.64600000000000002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563</v>
      </c>
      <c r="C352" s="3" t="s">
        <v>167</v>
      </c>
      <c r="D352" s="3"/>
      <c r="E352" s="3" t="s">
        <v>167</v>
      </c>
      <c r="F352" s="3"/>
      <c r="G352" s="3"/>
      <c r="H352" s="3"/>
      <c r="I352" s="3"/>
      <c r="J352" s="3"/>
      <c r="K352" s="3"/>
      <c r="L352" s="3" t="s">
        <v>564</v>
      </c>
      <c r="M352" s="3">
        <v>120</v>
      </c>
      <c r="N352" s="3" t="s">
        <v>168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563</v>
      </c>
      <c r="C353" s="3" t="s">
        <v>169</v>
      </c>
      <c r="D353" s="3"/>
      <c r="E353" s="3" t="s">
        <v>169</v>
      </c>
      <c r="F353" s="3"/>
      <c r="G353" s="3"/>
      <c r="H353" s="3"/>
      <c r="I353" s="3"/>
      <c r="J353" s="3"/>
      <c r="K353" s="3"/>
      <c r="L353" s="3" t="s">
        <v>564</v>
      </c>
      <c r="M353" s="3">
        <v>10</v>
      </c>
      <c r="N353" s="3" t="s">
        <v>107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563</v>
      </c>
      <c r="C354" s="3" t="s">
        <v>169</v>
      </c>
      <c r="D354" s="3"/>
      <c r="E354" s="3" t="s">
        <v>169</v>
      </c>
      <c r="F354" s="3"/>
      <c r="G354" s="3"/>
      <c r="H354" s="3"/>
      <c r="I354" s="3"/>
      <c r="J354" s="3"/>
      <c r="K354" s="3"/>
      <c r="L354" s="3" t="s">
        <v>564</v>
      </c>
      <c r="M354" s="3">
        <v>20</v>
      </c>
      <c r="N354" s="3" t="s">
        <v>565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563</v>
      </c>
      <c r="C355" s="3" t="s">
        <v>169</v>
      </c>
      <c r="D355" s="3"/>
      <c r="E355" s="3" t="s">
        <v>169</v>
      </c>
      <c r="F355" s="3"/>
      <c r="G355" s="3"/>
      <c r="H355" s="3"/>
      <c r="I355" s="3"/>
      <c r="J355" s="3"/>
      <c r="K355" s="3"/>
      <c r="L355" s="3" t="s">
        <v>564</v>
      </c>
      <c r="M355" s="3">
        <v>30</v>
      </c>
      <c r="N355" s="3" t="s">
        <v>99</v>
      </c>
      <c r="O355" s="3"/>
      <c r="P355" s="3"/>
      <c r="Q355" s="3">
        <v>0.46200000000000002</v>
      </c>
      <c r="R355" s="3" t="s">
        <v>100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563</v>
      </c>
      <c r="C356" s="3" t="s">
        <v>169</v>
      </c>
      <c r="D356" s="3"/>
      <c r="E356" s="3" t="s">
        <v>169</v>
      </c>
      <c r="F356" s="3"/>
      <c r="G356" s="3"/>
      <c r="H356" s="3"/>
      <c r="I356" s="3"/>
      <c r="J356" s="3"/>
      <c r="K356" s="3"/>
      <c r="L356" s="3" t="s">
        <v>564</v>
      </c>
      <c r="M356" s="3">
        <v>40</v>
      </c>
      <c r="N356" s="3" t="s">
        <v>108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563</v>
      </c>
      <c r="C357" s="3" t="s">
        <v>169</v>
      </c>
      <c r="D357" s="3"/>
      <c r="E357" s="3" t="s">
        <v>169</v>
      </c>
      <c r="F357" s="3"/>
      <c r="G357" s="3"/>
      <c r="H357" s="3"/>
      <c r="I357" s="3"/>
      <c r="J357" s="3"/>
      <c r="K357" s="3"/>
      <c r="L357" s="3" t="s">
        <v>564</v>
      </c>
      <c r="M357" s="3">
        <v>50</v>
      </c>
      <c r="N357" s="3" t="s">
        <v>105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563</v>
      </c>
      <c r="C358" s="3" t="s">
        <v>169</v>
      </c>
      <c r="D358" s="3"/>
      <c r="E358" s="3" t="s">
        <v>169</v>
      </c>
      <c r="F358" s="3"/>
      <c r="G358" s="3"/>
      <c r="H358" s="3"/>
      <c r="I358" s="3"/>
      <c r="J358" s="3"/>
      <c r="K358" s="3"/>
      <c r="L358" s="3" t="s">
        <v>564</v>
      </c>
      <c r="M358" s="3">
        <v>60</v>
      </c>
      <c r="N358" s="3" t="s">
        <v>106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563</v>
      </c>
      <c r="C359" s="3" t="s">
        <v>169</v>
      </c>
      <c r="D359" s="3"/>
      <c r="E359" s="3" t="s">
        <v>169</v>
      </c>
      <c r="F359" s="3"/>
      <c r="G359" s="3"/>
      <c r="H359" s="3"/>
      <c r="I359" s="3"/>
      <c r="J359" s="3"/>
      <c r="K359" s="3"/>
      <c r="L359" s="3" t="s">
        <v>564</v>
      </c>
      <c r="M359" s="3">
        <v>70</v>
      </c>
      <c r="N359" s="3" t="s">
        <v>104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563</v>
      </c>
      <c r="C360" s="3" t="s">
        <v>169</v>
      </c>
      <c r="D360" s="3"/>
      <c r="E360" s="3" t="s">
        <v>169</v>
      </c>
      <c r="F360" s="3"/>
      <c r="G360" s="3"/>
      <c r="H360" s="3"/>
      <c r="I360" s="3"/>
      <c r="J360" s="3"/>
      <c r="K360" s="3"/>
      <c r="L360" s="3" t="s">
        <v>564</v>
      </c>
      <c r="M360" s="3">
        <v>80</v>
      </c>
      <c r="N360" s="3" t="s">
        <v>111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563</v>
      </c>
      <c r="C361" s="3" t="s">
        <v>169</v>
      </c>
      <c r="D361" s="3"/>
      <c r="E361" s="3" t="s">
        <v>169</v>
      </c>
      <c r="F361" s="3"/>
      <c r="G361" s="3"/>
      <c r="H361" s="3"/>
      <c r="I361" s="3"/>
      <c r="J361" s="3"/>
      <c r="K361" s="3"/>
      <c r="L361" s="3" t="s">
        <v>564</v>
      </c>
      <c r="M361" s="3">
        <v>90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563</v>
      </c>
      <c r="C362" s="3" t="s">
        <v>169</v>
      </c>
      <c r="D362" s="3"/>
      <c r="E362" s="3" t="s">
        <v>169</v>
      </c>
      <c r="F362" s="3"/>
      <c r="G362" s="3"/>
      <c r="H362" s="3"/>
      <c r="I362" s="3"/>
      <c r="J362" s="3"/>
      <c r="K362" s="3"/>
      <c r="L362" s="3" t="s">
        <v>564</v>
      </c>
      <c r="M362" s="3">
        <v>100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563</v>
      </c>
      <c r="C363" s="3" t="s">
        <v>169</v>
      </c>
      <c r="D363" s="3"/>
      <c r="E363" s="3" t="s">
        <v>169</v>
      </c>
      <c r="F363" s="3"/>
      <c r="G363" s="3"/>
      <c r="H363" s="3"/>
      <c r="I363" s="3"/>
      <c r="J363" s="3"/>
      <c r="K363" s="3"/>
      <c r="L363" s="3" t="s">
        <v>564</v>
      </c>
      <c r="M363" s="3">
        <v>110</v>
      </c>
      <c r="N363" s="3" t="s">
        <v>101</v>
      </c>
      <c r="O363" s="3"/>
      <c r="P363" s="3"/>
      <c r="Q363" s="3">
        <v>0.64600000000000002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563</v>
      </c>
      <c r="C364" s="3" t="s">
        <v>169</v>
      </c>
      <c r="D364" s="3"/>
      <c r="E364" s="3" t="s">
        <v>169</v>
      </c>
      <c r="F364" s="3"/>
      <c r="G364" s="3"/>
      <c r="H364" s="3"/>
      <c r="I364" s="3"/>
      <c r="J364" s="3"/>
      <c r="K364" s="3"/>
      <c r="L364" s="3" t="s">
        <v>564</v>
      </c>
      <c r="M364" s="3">
        <v>120</v>
      </c>
      <c r="N364" s="3" t="s">
        <v>170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563</v>
      </c>
      <c r="C365" s="3" t="s">
        <v>171</v>
      </c>
      <c r="D365" s="3"/>
      <c r="E365" s="3" t="s">
        <v>171</v>
      </c>
      <c r="F365" s="3"/>
      <c r="G365" s="3"/>
      <c r="H365" s="3"/>
      <c r="I365" s="3"/>
      <c r="J365" s="3"/>
      <c r="K365" s="3"/>
      <c r="L365" s="3" t="s">
        <v>564</v>
      </c>
      <c r="M365" s="3">
        <v>10</v>
      </c>
      <c r="N365" s="3" t="s">
        <v>107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563</v>
      </c>
      <c r="C366" s="3" t="s">
        <v>171</v>
      </c>
      <c r="D366" s="3"/>
      <c r="E366" s="3" t="s">
        <v>171</v>
      </c>
      <c r="F366" s="3"/>
      <c r="G366" s="3"/>
      <c r="H366" s="3"/>
      <c r="I366" s="3"/>
      <c r="J366" s="3"/>
      <c r="K366" s="3"/>
      <c r="L366" s="3" t="s">
        <v>564</v>
      </c>
      <c r="M366" s="3">
        <v>20</v>
      </c>
      <c r="N366" s="3" t="s">
        <v>565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563</v>
      </c>
      <c r="C367" s="3" t="s">
        <v>171</v>
      </c>
      <c r="D367" s="3"/>
      <c r="E367" s="3" t="s">
        <v>171</v>
      </c>
      <c r="F367" s="3"/>
      <c r="G367" s="3"/>
      <c r="H367" s="3"/>
      <c r="I367" s="3"/>
      <c r="J367" s="3"/>
      <c r="K367" s="3"/>
      <c r="L367" s="3" t="s">
        <v>564</v>
      </c>
      <c r="M367" s="3">
        <v>30</v>
      </c>
      <c r="N367" s="3" t="s">
        <v>99</v>
      </c>
      <c r="O367" s="3"/>
      <c r="P367" s="3"/>
      <c r="Q367" s="3">
        <v>0.51</v>
      </c>
      <c r="R367" s="3" t="s">
        <v>100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563</v>
      </c>
      <c r="C368" s="3" t="s">
        <v>171</v>
      </c>
      <c r="D368" s="3"/>
      <c r="E368" s="3" t="s">
        <v>171</v>
      </c>
      <c r="F368" s="3"/>
      <c r="G368" s="3"/>
      <c r="H368" s="3"/>
      <c r="I368" s="3"/>
      <c r="J368" s="3"/>
      <c r="K368" s="3"/>
      <c r="L368" s="3" t="s">
        <v>564</v>
      </c>
      <c r="M368" s="3">
        <v>40</v>
      </c>
      <c r="N368" s="3" t="s">
        <v>108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563</v>
      </c>
      <c r="C369" s="3" t="s">
        <v>171</v>
      </c>
      <c r="D369" s="3"/>
      <c r="E369" s="3" t="s">
        <v>171</v>
      </c>
      <c r="F369" s="3"/>
      <c r="G369" s="3"/>
      <c r="H369" s="3"/>
      <c r="I369" s="3"/>
      <c r="J369" s="3"/>
      <c r="K369" s="3"/>
      <c r="L369" s="3" t="s">
        <v>564</v>
      </c>
      <c r="M369" s="3">
        <v>50</v>
      </c>
      <c r="N369" s="3" t="s">
        <v>105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563</v>
      </c>
      <c r="C370" s="3" t="s">
        <v>171</v>
      </c>
      <c r="D370" s="3"/>
      <c r="E370" s="3" t="s">
        <v>171</v>
      </c>
      <c r="F370" s="3"/>
      <c r="G370" s="3"/>
      <c r="H370" s="3"/>
      <c r="I370" s="3"/>
      <c r="J370" s="3"/>
      <c r="K370" s="3"/>
      <c r="L370" s="3" t="s">
        <v>564</v>
      </c>
      <c r="M370" s="3">
        <v>60</v>
      </c>
      <c r="N370" s="3" t="s">
        <v>106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563</v>
      </c>
      <c r="C371" s="3" t="s">
        <v>171</v>
      </c>
      <c r="D371" s="3"/>
      <c r="E371" s="3" t="s">
        <v>171</v>
      </c>
      <c r="F371" s="3"/>
      <c r="G371" s="3"/>
      <c r="H371" s="3"/>
      <c r="I371" s="3"/>
      <c r="J371" s="3"/>
      <c r="K371" s="3"/>
      <c r="L371" s="3" t="s">
        <v>564</v>
      </c>
      <c r="M371" s="3">
        <v>70</v>
      </c>
      <c r="N371" s="3" t="s">
        <v>104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563</v>
      </c>
      <c r="C372" s="3" t="s">
        <v>171</v>
      </c>
      <c r="D372" s="3"/>
      <c r="E372" s="3" t="s">
        <v>171</v>
      </c>
      <c r="F372" s="3"/>
      <c r="G372" s="3"/>
      <c r="H372" s="3"/>
      <c r="I372" s="3"/>
      <c r="J372" s="3"/>
      <c r="K372" s="3"/>
      <c r="L372" s="3" t="s">
        <v>564</v>
      </c>
      <c r="M372" s="3">
        <v>80</v>
      </c>
      <c r="N372" s="3" t="s">
        <v>111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563</v>
      </c>
      <c r="C373" s="3" t="s">
        <v>171</v>
      </c>
      <c r="D373" s="3"/>
      <c r="E373" s="3" t="s">
        <v>171</v>
      </c>
      <c r="F373" s="3"/>
      <c r="G373" s="3"/>
      <c r="H373" s="3"/>
      <c r="I373" s="3"/>
      <c r="J373" s="3"/>
      <c r="K373" s="3"/>
      <c r="L373" s="3" t="s">
        <v>564</v>
      </c>
      <c r="M373" s="3">
        <v>90</v>
      </c>
      <c r="N373" s="3" t="s">
        <v>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563</v>
      </c>
      <c r="C374" s="3" t="s">
        <v>171</v>
      </c>
      <c r="D374" s="3"/>
      <c r="E374" s="3" t="s">
        <v>171</v>
      </c>
      <c r="F374" s="3"/>
      <c r="G374" s="3"/>
      <c r="H374" s="3"/>
      <c r="I374" s="3"/>
      <c r="J374" s="3"/>
      <c r="K374" s="3"/>
      <c r="L374" s="3" t="s">
        <v>564</v>
      </c>
      <c r="M374" s="3">
        <v>100</v>
      </c>
      <c r="N374" s="3" t="s">
        <v>19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563</v>
      </c>
      <c r="C375" s="3" t="s">
        <v>171</v>
      </c>
      <c r="D375" s="3"/>
      <c r="E375" s="3" t="s">
        <v>171</v>
      </c>
      <c r="F375" s="3"/>
      <c r="G375" s="3"/>
      <c r="H375" s="3"/>
      <c r="I375" s="3"/>
      <c r="J375" s="3"/>
      <c r="K375" s="3"/>
      <c r="L375" s="3" t="s">
        <v>564</v>
      </c>
      <c r="M375" s="3">
        <v>110</v>
      </c>
      <c r="N375" s="3" t="s">
        <v>101</v>
      </c>
      <c r="O375" s="3"/>
      <c r="P375" s="3"/>
      <c r="Q375" s="3">
        <v>0.64600000000000002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563</v>
      </c>
      <c r="C376" s="3" t="s">
        <v>171</v>
      </c>
      <c r="D376" s="3"/>
      <c r="E376" s="3" t="s">
        <v>171</v>
      </c>
      <c r="F376" s="3"/>
      <c r="G376" s="3"/>
      <c r="H376" s="3"/>
      <c r="I376" s="3"/>
      <c r="J376" s="3"/>
      <c r="K376" s="3"/>
      <c r="L376" s="3" t="s">
        <v>564</v>
      </c>
      <c r="M376" s="3">
        <v>120</v>
      </c>
      <c r="N376" s="3" t="s">
        <v>172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563</v>
      </c>
      <c r="C377" s="3" t="s">
        <v>173</v>
      </c>
      <c r="D377" s="3"/>
      <c r="E377" s="3" t="s">
        <v>173</v>
      </c>
      <c r="F377" s="3"/>
      <c r="G377" s="3"/>
      <c r="H377" s="3"/>
      <c r="I377" s="3"/>
      <c r="J377" s="3"/>
      <c r="K377" s="3"/>
      <c r="L377" s="3" t="s">
        <v>564</v>
      </c>
      <c r="M377" s="3">
        <v>10</v>
      </c>
      <c r="N377" s="3" t="s">
        <v>107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563</v>
      </c>
      <c r="C378" s="3" t="s">
        <v>173</v>
      </c>
      <c r="D378" s="3"/>
      <c r="E378" s="3" t="s">
        <v>173</v>
      </c>
      <c r="F378" s="3"/>
      <c r="G378" s="3"/>
      <c r="H378" s="3"/>
      <c r="I378" s="3"/>
      <c r="J378" s="3"/>
      <c r="K378" s="3"/>
      <c r="L378" s="3" t="s">
        <v>564</v>
      </c>
      <c r="M378" s="3">
        <v>20</v>
      </c>
      <c r="N378" s="3" t="s">
        <v>565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563</v>
      </c>
      <c r="C379" s="3" t="s">
        <v>173</v>
      </c>
      <c r="D379" s="3"/>
      <c r="E379" s="3" t="s">
        <v>173</v>
      </c>
      <c r="F379" s="3"/>
      <c r="G379" s="3"/>
      <c r="H379" s="3"/>
      <c r="I379" s="3"/>
      <c r="J379" s="3"/>
      <c r="K379" s="3"/>
      <c r="L379" s="3" t="s">
        <v>564</v>
      </c>
      <c r="M379" s="3">
        <v>30</v>
      </c>
      <c r="N379" s="3" t="s">
        <v>99</v>
      </c>
      <c r="O379" s="3"/>
      <c r="P379" s="3"/>
      <c r="Q379" s="3">
        <v>0.55900000000000005</v>
      </c>
      <c r="R379" s="3" t="s">
        <v>100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563</v>
      </c>
      <c r="C380" s="3" t="s">
        <v>173</v>
      </c>
      <c r="D380" s="3"/>
      <c r="E380" s="3" t="s">
        <v>173</v>
      </c>
      <c r="F380" s="3"/>
      <c r="G380" s="3"/>
      <c r="H380" s="3"/>
      <c r="I380" s="3"/>
      <c r="J380" s="3"/>
      <c r="K380" s="3"/>
      <c r="L380" s="3" t="s">
        <v>564</v>
      </c>
      <c r="M380" s="3">
        <v>40</v>
      </c>
      <c r="N380" s="3" t="s">
        <v>108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563</v>
      </c>
      <c r="C381" s="3" t="s">
        <v>173</v>
      </c>
      <c r="D381" s="3"/>
      <c r="E381" s="3" t="s">
        <v>173</v>
      </c>
      <c r="F381" s="3"/>
      <c r="G381" s="3"/>
      <c r="H381" s="3"/>
      <c r="I381" s="3"/>
      <c r="J381" s="3"/>
      <c r="K381" s="3"/>
      <c r="L381" s="3" t="s">
        <v>564</v>
      </c>
      <c r="M381" s="3">
        <v>50</v>
      </c>
      <c r="N381" s="3" t="s">
        <v>105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563</v>
      </c>
      <c r="C382" s="3" t="s">
        <v>173</v>
      </c>
      <c r="D382" s="3"/>
      <c r="E382" s="3" t="s">
        <v>173</v>
      </c>
      <c r="F382" s="3"/>
      <c r="G382" s="3"/>
      <c r="H382" s="3"/>
      <c r="I382" s="3"/>
      <c r="J382" s="3"/>
      <c r="K382" s="3"/>
      <c r="L382" s="3" t="s">
        <v>564</v>
      </c>
      <c r="M382" s="3">
        <v>60</v>
      </c>
      <c r="N382" s="3" t="s">
        <v>106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563</v>
      </c>
      <c r="C383" s="3" t="s">
        <v>173</v>
      </c>
      <c r="D383" s="3"/>
      <c r="E383" s="3" t="s">
        <v>173</v>
      </c>
      <c r="F383" s="3"/>
      <c r="G383" s="3"/>
      <c r="H383" s="3"/>
      <c r="I383" s="3"/>
      <c r="J383" s="3"/>
      <c r="K383" s="3"/>
      <c r="L383" s="3" t="s">
        <v>564</v>
      </c>
      <c r="M383" s="3">
        <v>70</v>
      </c>
      <c r="N383" s="3" t="s">
        <v>104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563</v>
      </c>
      <c r="C384" s="3" t="s">
        <v>173</v>
      </c>
      <c r="D384" s="3"/>
      <c r="E384" s="3" t="s">
        <v>173</v>
      </c>
      <c r="F384" s="3"/>
      <c r="G384" s="3"/>
      <c r="H384" s="3"/>
      <c r="I384" s="3"/>
      <c r="J384" s="3"/>
      <c r="K384" s="3"/>
      <c r="L384" s="3" t="s">
        <v>564</v>
      </c>
      <c r="M384" s="3">
        <v>80</v>
      </c>
      <c r="N384" s="3" t="s">
        <v>111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563</v>
      </c>
      <c r="C385" s="3" t="s">
        <v>173</v>
      </c>
      <c r="D385" s="3"/>
      <c r="E385" s="3" t="s">
        <v>173</v>
      </c>
      <c r="F385" s="3"/>
      <c r="G385" s="3"/>
      <c r="H385" s="3"/>
      <c r="I385" s="3"/>
      <c r="J385" s="3"/>
      <c r="K385" s="3"/>
      <c r="L385" s="3" t="s">
        <v>564</v>
      </c>
      <c r="M385" s="3">
        <v>90</v>
      </c>
      <c r="N385" s="3" t="s">
        <v>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563</v>
      </c>
      <c r="C386" s="3" t="s">
        <v>173</v>
      </c>
      <c r="D386" s="3"/>
      <c r="E386" s="3" t="s">
        <v>173</v>
      </c>
      <c r="F386" s="3"/>
      <c r="G386" s="3"/>
      <c r="H386" s="3"/>
      <c r="I386" s="3"/>
      <c r="J386" s="3"/>
      <c r="K386" s="3"/>
      <c r="L386" s="3" t="s">
        <v>564</v>
      </c>
      <c r="M386" s="3">
        <v>100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563</v>
      </c>
      <c r="C387" s="3" t="s">
        <v>173</v>
      </c>
      <c r="D387" s="3"/>
      <c r="E387" s="3" t="s">
        <v>173</v>
      </c>
      <c r="F387" s="3"/>
      <c r="G387" s="3"/>
      <c r="H387" s="3"/>
      <c r="I387" s="3"/>
      <c r="J387" s="3"/>
      <c r="K387" s="3"/>
      <c r="L387" s="3" t="s">
        <v>564</v>
      </c>
      <c r="M387" s="3">
        <v>110</v>
      </c>
      <c r="N387" s="3" t="s">
        <v>101</v>
      </c>
      <c r="O387" s="3"/>
      <c r="P387" s="3"/>
      <c r="Q387" s="3">
        <v>0.64600000000000002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563</v>
      </c>
      <c r="C388" s="3" t="s">
        <v>173</v>
      </c>
      <c r="D388" s="3"/>
      <c r="E388" s="3" t="s">
        <v>173</v>
      </c>
      <c r="F388" s="3"/>
      <c r="G388" s="3"/>
      <c r="H388" s="3"/>
      <c r="I388" s="3"/>
      <c r="J388" s="3"/>
      <c r="K388" s="3"/>
      <c r="L388" s="3" t="s">
        <v>564</v>
      </c>
      <c r="M388" s="3">
        <v>120</v>
      </c>
      <c r="N388" s="3" t="s">
        <v>174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563</v>
      </c>
      <c r="C389" s="3" t="s">
        <v>175</v>
      </c>
      <c r="D389" s="3"/>
      <c r="E389" s="3" t="s">
        <v>175</v>
      </c>
      <c r="F389" s="3"/>
      <c r="G389" s="3"/>
      <c r="H389" s="3"/>
      <c r="I389" s="3"/>
      <c r="J389" s="3"/>
      <c r="K389" s="3"/>
      <c r="L389" s="3" t="s">
        <v>564</v>
      </c>
      <c r="M389" s="3">
        <v>10</v>
      </c>
      <c r="N389" s="3" t="s">
        <v>107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563</v>
      </c>
      <c r="C390" s="3" t="s">
        <v>175</v>
      </c>
      <c r="D390" s="3"/>
      <c r="E390" s="3" t="s">
        <v>175</v>
      </c>
      <c r="F390" s="3"/>
      <c r="G390" s="3"/>
      <c r="H390" s="3"/>
      <c r="I390" s="3"/>
      <c r="J390" s="3"/>
      <c r="K390" s="3"/>
      <c r="L390" s="3" t="s">
        <v>564</v>
      </c>
      <c r="M390" s="3">
        <v>20</v>
      </c>
      <c r="N390" s="3" t="s">
        <v>565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563</v>
      </c>
      <c r="C391" s="3" t="s">
        <v>175</v>
      </c>
      <c r="D391" s="3"/>
      <c r="E391" s="3" t="s">
        <v>175</v>
      </c>
      <c r="F391" s="3"/>
      <c r="G391" s="3"/>
      <c r="H391" s="3"/>
      <c r="I391" s="3"/>
      <c r="J391" s="3"/>
      <c r="K391" s="3"/>
      <c r="L391" s="3" t="s">
        <v>564</v>
      </c>
      <c r="M391" s="3">
        <v>30</v>
      </c>
      <c r="N391" s="3" t="s">
        <v>99</v>
      </c>
      <c r="O391" s="3"/>
      <c r="P391" s="3"/>
      <c r="Q391" s="3">
        <v>0.28100000000000003</v>
      </c>
      <c r="R391" s="3" t="s">
        <v>100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563</v>
      </c>
      <c r="C392" s="3" t="s">
        <v>175</v>
      </c>
      <c r="D392" s="3"/>
      <c r="E392" s="3" t="s">
        <v>175</v>
      </c>
      <c r="F392" s="3"/>
      <c r="G392" s="3"/>
      <c r="H392" s="3"/>
      <c r="I392" s="3"/>
      <c r="J392" s="3"/>
      <c r="K392" s="3"/>
      <c r="L392" s="3" t="s">
        <v>564</v>
      </c>
      <c r="M392" s="3">
        <v>40</v>
      </c>
      <c r="N392" s="3" t="s">
        <v>108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563</v>
      </c>
      <c r="C393" s="3" t="s">
        <v>175</v>
      </c>
      <c r="D393" s="3"/>
      <c r="E393" s="3" t="s">
        <v>175</v>
      </c>
      <c r="F393" s="3"/>
      <c r="G393" s="3"/>
      <c r="H393" s="3"/>
      <c r="I393" s="3"/>
      <c r="J393" s="3"/>
      <c r="K393" s="3"/>
      <c r="L393" s="3" t="s">
        <v>564</v>
      </c>
      <c r="M393" s="3">
        <v>50</v>
      </c>
      <c r="N393" s="3" t="s">
        <v>105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563</v>
      </c>
      <c r="C394" s="3" t="s">
        <v>175</v>
      </c>
      <c r="D394" s="3"/>
      <c r="E394" s="3" t="s">
        <v>175</v>
      </c>
      <c r="F394" s="3"/>
      <c r="G394" s="3"/>
      <c r="H394" s="3"/>
      <c r="I394" s="3"/>
      <c r="J394" s="3"/>
      <c r="K394" s="3"/>
      <c r="L394" s="3" t="s">
        <v>564</v>
      </c>
      <c r="M394" s="3">
        <v>60</v>
      </c>
      <c r="N394" s="3" t="s">
        <v>106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563</v>
      </c>
      <c r="C395" s="3" t="s">
        <v>175</v>
      </c>
      <c r="D395" s="3"/>
      <c r="E395" s="3" t="s">
        <v>175</v>
      </c>
      <c r="F395" s="3"/>
      <c r="G395" s="3"/>
      <c r="H395" s="3"/>
      <c r="I395" s="3"/>
      <c r="J395" s="3"/>
      <c r="K395" s="3"/>
      <c r="L395" s="3" t="s">
        <v>564</v>
      </c>
      <c r="M395" s="3">
        <v>70</v>
      </c>
      <c r="N395" s="3" t="s">
        <v>104</v>
      </c>
      <c r="O395" s="3"/>
      <c r="P395" s="3"/>
      <c r="Q395" s="3">
        <v>8.1000000000000003E-2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563</v>
      </c>
      <c r="C396" s="3" t="s">
        <v>175</v>
      </c>
      <c r="D396" s="3"/>
      <c r="E396" s="3" t="s">
        <v>175</v>
      </c>
      <c r="F396" s="3"/>
      <c r="G396" s="3"/>
      <c r="H396" s="3"/>
      <c r="I396" s="3"/>
      <c r="J396" s="3"/>
      <c r="K396" s="3"/>
      <c r="L396" s="3" t="s">
        <v>564</v>
      </c>
      <c r="M396" s="3">
        <v>80</v>
      </c>
      <c r="N396" s="3" t="s">
        <v>111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563</v>
      </c>
      <c r="C397" s="3" t="s">
        <v>175</v>
      </c>
      <c r="D397" s="3"/>
      <c r="E397" s="3" t="s">
        <v>175</v>
      </c>
      <c r="F397" s="3"/>
      <c r="G397" s="3"/>
      <c r="H397" s="3"/>
      <c r="I397" s="3"/>
      <c r="J397" s="3"/>
      <c r="K397" s="3"/>
      <c r="L397" s="3" t="s">
        <v>564</v>
      </c>
      <c r="M397" s="3">
        <v>90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563</v>
      </c>
      <c r="C398" s="3" t="s">
        <v>175</v>
      </c>
      <c r="D398" s="3"/>
      <c r="E398" s="3" t="s">
        <v>175</v>
      </c>
      <c r="F398" s="3"/>
      <c r="G398" s="3"/>
      <c r="H398" s="3"/>
      <c r="I398" s="3"/>
      <c r="J398" s="3"/>
      <c r="K398" s="3"/>
      <c r="L398" s="3" t="s">
        <v>564</v>
      </c>
      <c r="M398" s="3">
        <v>100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563</v>
      </c>
      <c r="C399" s="3" t="s">
        <v>175</v>
      </c>
      <c r="D399" s="3"/>
      <c r="E399" s="3" t="s">
        <v>175</v>
      </c>
      <c r="F399" s="3"/>
      <c r="G399" s="3"/>
      <c r="H399" s="3"/>
      <c r="I399" s="3"/>
      <c r="J399" s="3"/>
      <c r="K399" s="3"/>
      <c r="L399" s="3" t="s">
        <v>564</v>
      </c>
      <c r="M399" s="3">
        <v>110</v>
      </c>
      <c r="N399" s="3" t="s">
        <v>101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563</v>
      </c>
      <c r="C400" s="3" t="s">
        <v>175</v>
      </c>
      <c r="D400" s="3"/>
      <c r="E400" s="3" t="s">
        <v>175</v>
      </c>
      <c r="F400" s="3"/>
      <c r="G400" s="3"/>
      <c r="H400" s="3"/>
      <c r="I400" s="3"/>
      <c r="J400" s="3"/>
      <c r="K400" s="3"/>
      <c r="L400" s="3" t="s">
        <v>564</v>
      </c>
      <c r="M400" s="3">
        <v>120</v>
      </c>
      <c r="N400" s="3" t="s">
        <v>176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563</v>
      </c>
      <c r="C401" s="3" t="s">
        <v>177</v>
      </c>
      <c r="D401" s="3"/>
      <c r="E401" s="3" t="s">
        <v>177</v>
      </c>
      <c r="F401" s="3"/>
      <c r="G401" s="3"/>
      <c r="H401" s="3"/>
      <c r="I401" s="3"/>
      <c r="J401" s="3"/>
      <c r="K401" s="3"/>
      <c r="L401" s="3" t="s">
        <v>564</v>
      </c>
      <c r="M401" s="3">
        <v>10</v>
      </c>
      <c r="N401" s="3" t="s">
        <v>107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563</v>
      </c>
      <c r="C402" s="3" t="s">
        <v>177</v>
      </c>
      <c r="D402" s="3"/>
      <c r="E402" s="3" t="s">
        <v>177</v>
      </c>
      <c r="F402" s="3"/>
      <c r="G402" s="3"/>
      <c r="H402" s="3"/>
      <c r="I402" s="3"/>
      <c r="J402" s="3"/>
      <c r="K402" s="3"/>
      <c r="L402" s="3" t="s">
        <v>564</v>
      </c>
      <c r="M402" s="3">
        <v>20</v>
      </c>
      <c r="N402" s="3" t="s">
        <v>565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563</v>
      </c>
      <c r="C403" s="3" t="s">
        <v>177</v>
      </c>
      <c r="D403" s="3"/>
      <c r="E403" s="3" t="s">
        <v>177</v>
      </c>
      <c r="F403" s="3"/>
      <c r="G403" s="3"/>
      <c r="H403" s="3"/>
      <c r="I403" s="3"/>
      <c r="J403" s="3"/>
      <c r="K403" s="3"/>
      <c r="L403" s="3" t="s">
        <v>564</v>
      </c>
      <c r="M403" s="3">
        <v>30</v>
      </c>
      <c r="N403" s="3" t="s">
        <v>99</v>
      </c>
      <c r="O403" s="3"/>
      <c r="P403" s="3"/>
      <c r="Q403" s="3">
        <v>0.33200000000000002</v>
      </c>
      <c r="R403" s="3" t="s">
        <v>100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563</v>
      </c>
      <c r="C404" s="3" t="s">
        <v>177</v>
      </c>
      <c r="D404" s="3"/>
      <c r="E404" s="3" t="s">
        <v>177</v>
      </c>
      <c r="F404" s="3"/>
      <c r="G404" s="3"/>
      <c r="H404" s="3"/>
      <c r="I404" s="3"/>
      <c r="J404" s="3"/>
      <c r="K404" s="3"/>
      <c r="L404" s="3" t="s">
        <v>564</v>
      </c>
      <c r="M404" s="3">
        <v>40</v>
      </c>
      <c r="N404" s="3" t="s">
        <v>108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563</v>
      </c>
      <c r="C405" s="3" t="s">
        <v>177</v>
      </c>
      <c r="D405" s="3"/>
      <c r="E405" s="3" t="s">
        <v>177</v>
      </c>
      <c r="F405" s="3"/>
      <c r="G405" s="3"/>
      <c r="H405" s="3"/>
      <c r="I405" s="3"/>
      <c r="J405" s="3"/>
      <c r="K405" s="3"/>
      <c r="L405" s="3" t="s">
        <v>564</v>
      </c>
      <c r="M405" s="3">
        <v>50</v>
      </c>
      <c r="N405" s="3" t="s">
        <v>105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563</v>
      </c>
      <c r="C406" s="3" t="s">
        <v>177</v>
      </c>
      <c r="D406" s="3"/>
      <c r="E406" s="3" t="s">
        <v>177</v>
      </c>
      <c r="F406" s="3"/>
      <c r="G406" s="3"/>
      <c r="H406" s="3"/>
      <c r="I406" s="3"/>
      <c r="J406" s="3"/>
      <c r="K406" s="3"/>
      <c r="L406" s="3" t="s">
        <v>564</v>
      </c>
      <c r="M406" s="3">
        <v>60</v>
      </c>
      <c r="N406" s="3" t="s">
        <v>106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563</v>
      </c>
      <c r="C407" s="3" t="s">
        <v>177</v>
      </c>
      <c r="D407" s="3"/>
      <c r="E407" s="3" t="s">
        <v>177</v>
      </c>
      <c r="F407" s="3"/>
      <c r="G407" s="3"/>
      <c r="H407" s="3"/>
      <c r="I407" s="3"/>
      <c r="J407" s="3"/>
      <c r="K407" s="3"/>
      <c r="L407" s="3" t="s">
        <v>564</v>
      </c>
      <c r="M407" s="3">
        <v>70</v>
      </c>
      <c r="N407" s="3" t="s">
        <v>104</v>
      </c>
      <c r="O407" s="3"/>
      <c r="P407" s="3"/>
      <c r="Q407" s="3">
        <v>9.1999999999999998E-2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563</v>
      </c>
      <c r="C408" s="3" t="s">
        <v>177</v>
      </c>
      <c r="D408" s="3"/>
      <c r="E408" s="3" t="s">
        <v>177</v>
      </c>
      <c r="F408" s="3"/>
      <c r="G408" s="3"/>
      <c r="H408" s="3"/>
      <c r="I408" s="3"/>
      <c r="J408" s="3"/>
      <c r="K408" s="3"/>
      <c r="L408" s="3" t="s">
        <v>564</v>
      </c>
      <c r="M408" s="3">
        <v>80</v>
      </c>
      <c r="N408" s="3" t="s">
        <v>111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563</v>
      </c>
      <c r="C409" s="3" t="s">
        <v>177</v>
      </c>
      <c r="D409" s="3"/>
      <c r="E409" s="3" t="s">
        <v>177</v>
      </c>
      <c r="F409" s="3"/>
      <c r="G409" s="3"/>
      <c r="H409" s="3"/>
      <c r="I409" s="3"/>
      <c r="J409" s="3"/>
      <c r="K409" s="3"/>
      <c r="L409" s="3" t="s">
        <v>564</v>
      </c>
      <c r="M409" s="3">
        <v>90</v>
      </c>
      <c r="N409" s="3" t="s">
        <v>18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563</v>
      </c>
      <c r="C410" s="3" t="s">
        <v>177</v>
      </c>
      <c r="D410" s="3"/>
      <c r="E410" s="3" t="s">
        <v>177</v>
      </c>
      <c r="F410" s="3"/>
      <c r="G410" s="3"/>
      <c r="H410" s="3"/>
      <c r="I410" s="3"/>
      <c r="J410" s="3"/>
      <c r="K410" s="3"/>
      <c r="L410" s="3" t="s">
        <v>564</v>
      </c>
      <c r="M410" s="3">
        <v>100</v>
      </c>
      <c r="N410" s="3" t="s">
        <v>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563</v>
      </c>
      <c r="C411" s="3" t="s">
        <v>177</v>
      </c>
      <c r="D411" s="3"/>
      <c r="E411" s="3" t="s">
        <v>177</v>
      </c>
      <c r="F411" s="3"/>
      <c r="G411" s="3"/>
      <c r="H411" s="3"/>
      <c r="I411" s="3"/>
      <c r="J411" s="3"/>
      <c r="K411" s="3"/>
      <c r="L411" s="3" t="s">
        <v>564</v>
      </c>
      <c r="M411" s="3">
        <v>110</v>
      </c>
      <c r="N411" s="3" t="s">
        <v>101</v>
      </c>
      <c r="O411" s="3"/>
      <c r="P411" s="3"/>
      <c r="Q411" s="3">
        <v>0.67600000000000005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563</v>
      </c>
      <c r="C412" s="3" t="s">
        <v>177</v>
      </c>
      <c r="D412" s="3"/>
      <c r="E412" s="3" t="s">
        <v>177</v>
      </c>
      <c r="F412" s="3"/>
      <c r="G412" s="3"/>
      <c r="H412" s="3"/>
      <c r="I412" s="3"/>
      <c r="J412" s="3"/>
      <c r="K412" s="3"/>
      <c r="L412" s="3" t="s">
        <v>564</v>
      </c>
      <c r="M412" s="3">
        <v>120</v>
      </c>
      <c r="N412" s="3" t="s">
        <v>178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563</v>
      </c>
      <c r="C413" s="3" t="s">
        <v>179</v>
      </c>
      <c r="D413" s="3"/>
      <c r="E413" s="3" t="s">
        <v>179</v>
      </c>
      <c r="F413" s="3"/>
      <c r="G413" s="3"/>
      <c r="H413" s="3"/>
      <c r="I413" s="3"/>
      <c r="J413" s="3"/>
      <c r="K413" s="3"/>
      <c r="L413" s="3" t="s">
        <v>564</v>
      </c>
      <c r="M413" s="3">
        <v>10</v>
      </c>
      <c r="N413" s="3" t="s">
        <v>107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563</v>
      </c>
      <c r="C414" s="3" t="s">
        <v>179</v>
      </c>
      <c r="D414" s="3"/>
      <c r="E414" s="3" t="s">
        <v>179</v>
      </c>
      <c r="F414" s="3"/>
      <c r="G414" s="3"/>
      <c r="H414" s="3"/>
      <c r="I414" s="3"/>
      <c r="J414" s="3"/>
      <c r="K414" s="3"/>
      <c r="L414" s="3" t="s">
        <v>564</v>
      </c>
      <c r="M414" s="3">
        <v>20</v>
      </c>
      <c r="N414" s="3" t="s">
        <v>565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563</v>
      </c>
      <c r="C415" s="3" t="s">
        <v>179</v>
      </c>
      <c r="D415" s="3"/>
      <c r="E415" s="3" t="s">
        <v>179</v>
      </c>
      <c r="F415" s="3"/>
      <c r="G415" s="3"/>
      <c r="H415" s="3"/>
      <c r="I415" s="3"/>
      <c r="J415" s="3"/>
      <c r="K415" s="3"/>
      <c r="L415" s="3" t="s">
        <v>564</v>
      </c>
      <c r="M415" s="3">
        <v>30</v>
      </c>
      <c r="N415" s="3" t="s">
        <v>99</v>
      </c>
      <c r="O415" s="3"/>
      <c r="P415" s="3"/>
      <c r="Q415" s="3">
        <v>0.38300000000000001</v>
      </c>
      <c r="R415" s="3" t="s">
        <v>100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563</v>
      </c>
      <c r="C416" s="3" t="s">
        <v>179</v>
      </c>
      <c r="D416" s="3"/>
      <c r="E416" s="3" t="s">
        <v>179</v>
      </c>
      <c r="F416" s="3"/>
      <c r="G416" s="3"/>
      <c r="H416" s="3"/>
      <c r="I416" s="3"/>
      <c r="J416" s="3"/>
      <c r="K416" s="3"/>
      <c r="L416" s="3" t="s">
        <v>564</v>
      </c>
      <c r="M416" s="3">
        <v>40</v>
      </c>
      <c r="N416" s="3" t="s">
        <v>108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563</v>
      </c>
      <c r="C417" s="3" t="s">
        <v>179</v>
      </c>
      <c r="D417" s="3"/>
      <c r="E417" s="3" t="s">
        <v>179</v>
      </c>
      <c r="F417" s="3"/>
      <c r="G417" s="3"/>
      <c r="H417" s="3"/>
      <c r="I417" s="3"/>
      <c r="J417" s="3"/>
      <c r="K417" s="3"/>
      <c r="L417" s="3" t="s">
        <v>564</v>
      </c>
      <c r="M417" s="3">
        <v>50</v>
      </c>
      <c r="N417" s="3" t="s">
        <v>105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563</v>
      </c>
      <c r="C418" s="3" t="s">
        <v>179</v>
      </c>
      <c r="D418" s="3"/>
      <c r="E418" s="3" t="s">
        <v>179</v>
      </c>
      <c r="F418" s="3"/>
      <c r="G418" s="3"/>
      <c r="H418" s="3"/>
      <c r="I418" s="3"/>
      <c r="J418" s="3"/>
      <c r="K418" s="3"/>
      <c r="L418" s="3" t="s">
        <v>564</v>
      </c>
      <c r="M418" s="3">
        <v>60</v>
      </c>
      <c r="N418" s="3" t="s">
        <v>106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563</v>
      </c>
      <c r="C419" s="3" t="s">
        <v>179</v>
      </c>
      <c r="D419" s="3"/>
      <c r="E419" s="3" t="s">
        <v>179</v>
      </c>
      <c r="F419" s="3"/>
      <c r="G419" s="3"/>
      <c r="H419" s="3"/>
      <c r="I419" s="3"/>
      <c r="J419" s="3"/>
      <c r="K419" s="3"/>
      <c r="L419" s="3" t="s">
        <v>564</v>
      </c>
      <c r="M419" s="3">
        <v>70</v>
      </c>
      <c r="N419" s="3" t="s">
        <v>104</v>
      </c>
      <c r="O419" s="3"/>
      <c r="P419" s="3"/>
      <c r="Q419" s="3">
        <v>0.10299999999999999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563</v>
      </c>
      <c r="C420" s="3" t="s">
        <v>179</v>
      </c>
      <c r="D420" s="3"/>
      <c r="E420" s="3" t="s">
        <v>179</v>
      </c>
      <c r="F420" s="3"/>
      <c r="G420" s="3"/>
      <c r="H420" s="3"/>
      <c r="I420" s="3"/>
      <c r="J420" s="3"/>
      <c r="K420" s="3"/>
      <c r="L420" s="3" t="s">
        <v>564</v>
      </c>
      <c r="M420" s="3">
        <v>80</v>
      </c>
      <c r="N420" s="3" t="s">
        <v>111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563</v>
      </c>
      <c r="C421" s="3" t="s">
        <v>179</v>
      </c>
      <c r="D421" s="3"/>
      <c r="E421" s="3" t="s">
        <v>179</v>
      </c>
      <c r="F421" s="3"/>
      <c r="G421" s="3"/>
      <c r="H421" s="3"/>
      <c r="I421" s="3"/>
      <c r="J421" s="3"/>
      <c r="K421" s="3"/>
      <c r="L421" s="3" t="s">
        <v>564</v>
      </c>
      <c r="M421" s="3">
        <v>90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563</v>
      </c>
      <c r="C422" s="3" t="s">
        <v>179</v>
      </c>
      <c r="D422" s="3"/>
      <c r="E422" s="3" t="s">
        <v>179</v>
      </c>
      <c r="F422" s="3"/>
      <c r="G422" s="3"/>
      <c r="H422" s="3"/>
      <c r="I422" s="3"/>
      <c r="J422" s="3"/>
      <c r="K422" s="3"/>
      <c r="L422" s="3" t="s">
        <v>564</v>
      </c>
      <c r="M422" s="3">
        <v>100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563</v>
      </c>
      <c r="C423" s="3" t="s">
        <v>179</v>
      </c>
      <c r="D423" s="3"/>
      <c r="E423" s="3" t="s">
        <v>179</v>
      </c>
      <c r="F423" s="3"/>
      <c r="G423" s="3"/>
      <c r="H423" s="3"/>
      <c r="I423" s="3"/>
      <c r="J423" s="3"/>
      <c r="K423" s="3"/>
      <c r="L423" s="3" t="s">
        <v>564</v>
      </c>
      <c r="M423" s="3">
        <v>110</v>
      </c>
      <c r="N423" s="3" t="s">
        <v>101</v>
      </c>
      <c r="O423" s="3"/>
      <c r="P423" s="3"/>
      <c r="Q423" s="3">
        <v>0.67600000000000005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563</v>
      </c>
      <c r="C424" s="3" t="s">
        <v>179</v>
      </c>
      <c r="D424" s="3"/>
      <c r="E424" s="3" t="s">
        <v>179</v>
      </c>
      <c r="F424" s="3"/>
      <c r="G424" s="3"/>
      <c r="H424" s="3"/>
      <c r="I424" s="3"/>
      <c r="J424" s="3"/>
      <c r="K424" s="3"/>
      <c r="L424" s="3" t="s">
        <v>564</v>
      </c>
      <c r="M424" s="3">
        <v>120</v>
      </c>
      <c r="N424" s="3" t="s">
        <v>180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563</v>
      </c>
      <c r="C425" s="3" t="s">
        <v>181</v>
      </c>
      <c r="D425" s="3"/>
      <c r="E425" s="3" t="s">
        <v>181</v>
      </c>
      <c r="F425" s="3"/>
      <c r="G425" s="3"/>
      <c r="H425" s="3"/>
      <c r="I425" s="3"/>
      <c r="J425" s="3"/>
      <c r="K425" s="3"/>
      <c r="L425" s="3" t="s">
        <v>564</v>
      </c>
      <c r="M425" s="3">
        <v>10</v>
      </c>
      <c r="N425" s="3" t="s">
        <v>107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563</v>
      </c>
      <c r="C426" s="3" t="s">
        <v>181</v>
      </c>
      <c r="D426" s="3"/>
      <c r="E426" s="3" t="s">
        <v>181</v>
      </c>
      <c r="F426" s="3"/>
      <c r="G426" s="3"/>
      <c r="H426" s="3"/>
      <c r="I426" s="3"/>
      <c r="J426" s="3"/>
      <c r="K426" s="3"/>
      <c r="L426" s="3" t="s">
        <v>564</v>
      </c>
      <c r="M426" s="3">
        <v>20</v>
      </c>
      <c r="N426" s="3" t="s">
        <v>565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563</v>
      </c>
      <c r="C427" s="3" t="s">
        <v>181</v>
      </c>
      <c r="D427" s="3"/>
      <c r="E427" s="3" t="s">
        <v>181</v>
      </c>
      <c r="F427" s="3"/>
      <c r="G427" s="3"/>
      <c r="H427" s="3"/>
      <c r="I427" s="3"/>
      <c r="J427" s="3"/>
      <c r="K427" s="3"/>
      <c r="L427" s="3" t="s">
        <v>564</v>
      </c>
      <c r="M427" s="3">
        <v>30</v>
      </c>
      <c r="N427" s="3" t="s">
        <v>99</v>
      </c>
      <c r="O427" s="3"/>
      <c r="P427" s="3"/>
      <c r="Q427" s="3">
        <v>0.434</v>
      </c>
      <c r="R427" s="3" t="s">
        <v>100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563</v>
      </c>
      <c r="C428" s="3" t="s">
        <v>181</v>
      </c>
      <c r="D428" s="3"/>
      <c r="E428" s="3" t="s">
        <v>181</v>
      </c>
      <c r="F428" s="3"/>
      <c r="G428" s="3"/>
      <c r="H428" s="3"/>
      <c r="I428" s="3"/>
      <c r="J428" s="3"/>
      <c r="K428" s="3"/>
      <c r="L428" s="3" t="s">
        <v>564</v>
      </c>
      <c r="M428" s="3">
        <v>40</v>
      </c>
      <c r="N428" s="3" t="s">
        <v>108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563</v>
      </c>
      <c r="C429" s="3" t="s">
        <v>181</v>
      </c>
      <c r="D429" s="3"/>
      <c r="E429" s="3" t="s">
        <v>181</v>
      </c>
      <c r="F429" s="3"/>
      <c r="G429" s="3"/>
      <c r="H429" s="3"/>
      <c r="I429" s="3"/>
      <c r="J429" s="3"/>
      <c r="K429" s="3"/>
      <c r="L429" s="3" t="s">
        <v>564</v>
      </c>
      <c r="M429" s="3">
        <v>50</v>
      </c>
      <c r="N429" s="3" t="s">
        <v>105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563</v>
      </c>
      <c r="C430" s="3" t="s">
        <v>181</v>
      </c>
      <c r="D430" s="3"/>
      <c r="E430" s="3" t="s">
        <v>181</v>
      </c>
      <c r="F430" s="3"/>
      <c r="G430" s="3"/>
      <c r="H430" s="3"/>
      <c r="I430" s="3"/>
      <c r="J430" s="3"/>
      <c r="K430" s="3"/>
      <c r="L430" s="3" t="s">
        <v>564</v>
      </c>
      <c r="M430" s="3">
        <v>60</v>
      </c>
      <c r="N430" s="3" t="s">
        <v>106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563</v>
      </c>
      <c r="C431" s="3" t="s">
        <v>181</v>
      </c>
      <c r="D431" s="3"/>
      <c r="E431" s="3" t="s">
        <v>181</v>
      </c>
      <c r="F431" s="3"/>
      <c r="G431" s="3"/>
      <c r="H431" s="3"/>
      <c r="I431" s="3"/>
      <c r="J431" s="3"/>
      <c r="K431" s="3"/>
      <c r="L431" s="3" t="s">
        <v>564</v>
      </c>
      <c r="M431" s="3">
        <v>70</v>
      </c>
      <c r="N431" s="3" t="s">
        <v>104</v>
      </c>
      <c r="O431" s="3"/>
      <c r="P431" s="3"/>
      <c r="Q431" s="3">
        <v>0.115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563</v>
      </c>
      <c r="C432" s="3" t="s">
        <v>181</v>
      </c>
      <c r="D432" s="3"/>
      <c r="E432" s="3" t="s">
        <v>181</v>
      </c>
      <c r="F432" s="3"/>
      <c r="G432" s="3"/>
      <c r="H432" s="3"/>
      <c r="I432" s="3"/>
      <c r="J432" s="3"/>
      <c r="K432" s="3"/>
      <c r="L432" s="3" t="s">
        <v>564</v>
      </c>
      <c r="M432" s="3">
        <v>80</v>
      </c>
      <c r="N432" s="3" t="s">
        <v>111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563</v>
      </c>
      <c r="C433" s="3" t="s">
        <v>181</v>
      </c>
      <c r="D433" s="3"/>
      <c r="E433" s="3" t="s">
        <v>181</v>
      </c>
      <c r="F433" s="3"/>
      <c r="G433" s="3"/>
      <c r="H433" s="3"/>
      <c r="I433" s="3"/>
      <c r="J433" s="3"/>
      <c r="K433" s="3"/>
      <c r="L433" s="3" t="s">
        <v>564</v>
      </c>
      <c r="M433" s="3">
        <v>90</v>
      </c>
      <c r="N433" s="3" t="s">
        <v>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563</v>
      </c>
      <c r="C434" s="3" t="s">
        <v>181</v>
      </c>
      <c r="D434" s="3"/>
      <c r="E434" s="3" t="s">
        <v>181</v>
      </c>
      <c r="F434" s="3"/>
      <c r="G434" s="3"/>
      <c r="H434" s="3"/>
      <c r="I434" s="3"/>
      <c r="J434" s="3"/>
      <c r="K434" s="3"/>
      <c r="L434" s="3" t="s">
        <v>564</v>
      </c>
      <c r="M434" s="3">
        <v>100</v>
      </c>
      <c r="N434" s="3" t="s">
        <v>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563</v>
      </c>
      <c r="C435" s="3" t="s">
        <v>181</v>
      </c>
      <c r="D435" s="3"/>
      <c r="E435" s="3" t="s">
        <v>181</v>
      </c>
      <c r="F435" s="3"/>
      <c r="G435" s="3"/>
      <c r="H435" s="3"/>
      <c r="I435" s="3"/>
      <c r="J435" s="3"/>
      <c r="K435" s="3"/>
      <c r="L435" s="3" t="s">
        <v>564</v>
      </c>
      <c r="M435" s="3">
        <v>110</v>
      </c>
      <c r="N435" s="3" t="s">
        <v>101</v>
      </c>
      <c r="O435" s="3"/>
      <c r="P435" s="3"/>
      <c r="Q435" s="3">
        <v>0.67600000000000005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563</v>
      </c>
      <c r="C436" s="3" t="s">
        <v>181</v>
      </c>
      <c r="D436" s="3"/>
      <c r="E436" s="3" t="s">
        <v>181</v>
      </c>
      <c r="F436" s="3"/>
      <c r="G436" s="3"/>
      <c r="H436" s="3"/>
      <c r="I436" s="3"/>
      <c r="J436" s="3"/>
      <c r="K436" s="3"/>
      <c r="L436" s="3" t="s">
        <v>564</v>
      </c>
      <c r="M436" s="3">
        <v>120</v>
      </c>
      <c r="N436" s="3" t="s">
        <v>182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563</v>
      </c>
      <c r="C437" s="3" t="s">
        <v>183</v>
      </c>
      <c r="D437" s="3"/>
      <c r="E437" s="3" t="s">
        <v>183</v>
      </c>
      <c r="F437" s="3"/>
      <c r="G437" s="3"/>
      <c r="H437" s="3"/>
      <c r="I437" s="3"/>
      <c r="J437" s="3"/>
      <c r="K437" s="3"/>
      <c r="L437" s="3" t="s">
        <v>564</v>
      </c>
      <c r="M437" s="3">
        <v>10</v>
      </c>
      <c r="N437" s="3" t="s">
        <v>107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563</v>
      </c>
      <c r="C438" s="3" t="s">
        <v>183</v>
      </c>
      <c r="D438" s="3"/>
      <c r="E438" s="3" t="s">
        <v>183</v>
      </c>
      <c r="F438" s="3"/>
      <c r="G438" s="3"/>
      <c r="H438" s="3"/>
      <c r="I438" s="3"/>
      <c r="J438" s="3"/>
      <c r="K438" s="3"/>
      <c r="L438" s="3" t="s">
        <v>564</v>
      </c>
      <c r="M438" s="3">
        <v>20</v>
      </c>
      <c r="N438" s="3" t="s">
        <v>565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563</v>
      </c>
      <c r="C439" s="3" t="s">
        <v>183</v>
      </c>
      <c r="D439" s="3"/>
      <c r="E439" s="3" t="s">
        <v>183</v>
      </c>
      <c r="F439" s="3"/>
      <c r="G439" s="3"/>
      <c r="H439" s="3"/>
      <c r="I439" s="3"/>
      <c r="J439" s="3"/>
      <c r="K439" s="3"/>
      <c r="L439" s="3" t="s">
        <v>564</v>
      </c>
      <c r="M439" s="3">
        <v>30</v>
      </c>
      <c r="N439" s="3" t="s">
        <v>99</v>
      </c>
      <c r="O439" s="3"/>
      <c r="P439" s="3"/>
      <c r="Q439" s="3">
        <v>0.45900000000000002</v>
      </c>
      <c r="R439" s="3" t="s">
        <v>100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563</v>
      </c>
      <c r="C440" s="3" t="s">
        <v>183</v>
      </c>
      <c r="D440" s="3"/>
      <c r="E440" s="3" t="s">
        <v>183</v>
      </c>
      <c r="F440" s="3"/>
      <c r="G440" s="3"/>
      <c r="H440" s="3"/>
      <c r="I440" s="3"/>
      <c r="J440" s="3"/>
      <c r="K440" s="3"/>
      <c r="L440" s="3" t="s">
        <v>564</v>
      </c>
      <c r="M440" s="3">
        <v>40</v>
      </c>
      <c r="N440" s="3" t="s">
        <v>108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563</v>
      </c>
      <c r="C441" s="3" t="s">
        <v>183</v>
      </c>
      <c r="D441" s="3"/>
      <c r="E441" s="3" t="s">
        <v>183</v>
      </c>
      <c r="F441" s="3"/>
      <c r="G441" s="3"/>
      <c r="H441" s="3"/>
      <c r="I441" s="3"/>
      <c r="J441" s="3"/>
      <c r="K441" s="3"/>
      <c r="L441" s="3" t="s">
        <v>564</v>
      </c>
      <c r="M441" s="3">
        <v>50</v>
      </c>
      <c r="N441" s="3" t="s">
        <v>105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563</v>
      </c>
      <c r="C442" s="3" t="s">
        <v>183</v>
      </c>
      <c r="D442" s="3"/>
      <c r="E442" s="3" t="s">
        <v>183</v>
      </c>
      <c r="F442" s="3"/>
      <c r="G442" s="3"/>
      <c r="H442" s="3"/>
      <c r="I442" s="3"/>
      <c r="J442" s="3"/>
      <c r="K442" s="3"/>
      <c r="L442" s="3" t="s">
        <v>564</v>
      </c>
      <c r="M442" s="3">
        <v>60</v>
      </c>
      <c r="N442" s="3" t="s">
        <v>106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563</v>
      </c>
      <c r="C443" s="3" t="s">
        <v>183</v>
      </c>
      <c r="D443" s="3"/>
      <c r="E443" s="3" t="s">
        <v>183</v>
      </c>
      <c r="F443" s="3"/>
      <c r="G443" s="3"/>
      <c r="H443" s="3"/>
      <c r="I443" s="3"/>
      <c r="J443" s="3"/>
      <c r="K443" s="3"/>
      <c r="L443" s="3" t="s">
        <v>564</v>
      </c>
      <c r="M443" s="3">
        <v>70</v>
      </c>
      <c r="N443" s="3" t="s">
        <v>104</v>
      </c>
      <c r="O443" s="3"/>
      <c r="P443" s="3"/>
      <c r="Q443" s="3">
        <v>0.12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563</v>
      </c>
      <c r="C444" s="3" t="s">
        <v>183</v>
      </c>
      <c r="D444" s="3"/>
      <c r="E444" s="3" t="s">
        <v>183</v>
      </c>
      <c r="F444" s="3"/>
      <c r="G444" s="3"/>
      <c r="H444" s="3"/>
      <c r="I444" s="3"/>
      <c r="J444" s="3"/>
      <c r="K444" s="3"/>
      <c r="L444" s="3" t="s">
        <v>564</v>
      </c>
      <c r="M444" s="3">
        <v>80</v>
      </c>
      <c r="N444" s="3" t="s">
        <v>111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563</v>
      </c>
      <c r="C445" s="3" t="s">
        <v>183</v>
      </c>
      <c r="D445" s="3"/>
      <c r="E445" s="3" t="s">
        <v>183</v>
      </c>
      <c r="F445" s="3"/>
      <c r="G445" s="3"/>
      <c r="H445" s="3"/>
      <c r="I445" s="3"/>
      <c r="J445" s="3"/>
      <c r="K445" s="3"/>
      <c r="L445" s="3" t="s">
        <v>564</v>
      </c>
      <c r="M445" s="3">
        <v>90</v>
      </c>
      <c r="N445" s="3" t="s">
        <v>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563</v>
      </c>
      <c r="C446" s="3" t="s">
        <v>183</v>
      </c>
      <c r="D446" s="3"/>
      <c r="E446" s="3" t="s">
        <v>183</v>
      </c>
      <c r="F446" s="3"/>
      <c r="G446" s="3"/>
      <c r="H446" s="3"/>
      <c r="I446" s="3"/>
      <c r="J446" s="3"/>
      <c r="K446" s="3"/>
      <c r="L446" s="3" t="s">
        <v>564</v>
      </c>
      <c r="M446" s="3">
        <v>100</v>
      </c>
      <c r="N446" s="3" t="s">
        <v>19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563</v>
      </c>
      <c r="C447" s="3" t="s">
        <v>183</v>
      </c>
      <c r="D447" s="3"/>
      <c r="E447" s="3" t="s">
        <v>183</v>
      </c>
      <c r="F447" s="3"/>
      <c r="G447" s="3"/>
      <c r="H447" s="3"/>
      <c r="I447" s="3"/>
      <c r="J447" s="3"/>
      <c r="K447" s="3"/>
      <c r="L447" s="3" t="s">
        <v>564</v>
      </c>
      <c r="M447" s="3">
        <v>110</v>
      </c>
      <c r="N447" s="3" t="s">
        <v>101</v>
      </c>
      <c r="O447" s="3"/>
      <c r="P447" s="3"/>
      <c r="Q447" s="3">
        <v>0.67600000000000005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563</v>
      </c>
      <c r="C448" s="3" t="s">
        <v>183</v>
      </c>
      <c r="D448" s="3"/>
      <c r="E448" s="3" t="s">
        <v>183</v>
      </c>
      <c r="F448" s="3"/>
      <c r="G448" s="3"/>
      <c r="H448" s="3"/>
      <c r="I448" s="3"/>
      <c r="J448" s="3"/>
      <c r="K448" s="3"/>
      <c r="L448" s="3" t="s">
        <v>564</v>
      </c>
      <c r="M448" s="3">
        <v>120</v>
      </c>
      <c r="N448" s="3" t="s">
        <v>184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563</v>
      </c>
      <c r="C449" s="3" t="s">
        <v>185</v>
      </c>
      <c r="D449" s="3"/>
      <c r="E449" s="3" t="s">
        <v>185</v>
      </c>
      <c r="F449" s="3"/>
      <c r="G449" s="3"/>
      <c r="H449" s="3"/>
      <c r="I449" s="3"/>
      <c r="J449" s="3"/>
      <c r="K449" s="3"/>
      <c r="L449" s="3" t="s">
        <v>564</v>
      </c>
      <c r="M449" s="3">
        <v>10</v>
      </c>
      <c r="N449" s="3" t="s">
        <v>107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563</v>
      </c>
      <c r="C450" s="3" t="s">
        <v>185</v>
      </c>
      <c r="D450" s="3"/>
      <c r="E450" s="3" t="s">
        <v>185</v>
      </c>
      <c r="F450" s="3"/>
      <c r="G450" s="3"/>
      <c r="H450" s="3"/>
      <c r="I450" s="3"/>
      <c r="J450" s="3"/>
      <c r="K450" s="3"/>
      <c r="L450" s="3" t="s">
        <v>564</v>
      </c>
      <c r="M450" s="3">
        <v>20</v>
      </c>
      <c r="N450" s="3" t="s">
        <v>565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563</v>
      </c>
      <c r="C451" s="3" t="s">
        <v>185</v>
      </c>
      <c r="D451" s="3"/>
      <c r="E451" s="3" t="s">
        <v>185</v>
      </c>
      <c r="F451" s="3"/>
      <c r="G451" s="3"/>
      <c r="H451" s="3"/>
      <c r="I451" s="3"/>
      <c r="J451" s="3"/>
      <c r="K451" s="3"/>
      <c r="L451" s="3" t="s">
        <v>564</v>
      </c>
      <c r="M451" s="3">
        <v>30</v>
      </c>
      <c r="N451" s="3" t="s">
        <v>99</v>
      </c>
      <c r="O451" s="3"/>
      <c r="P451" s="3"/>
      <c r="Q451" s="3">
        <v>0.48499999999999999</v>
      </c>
      <c r="R451" s="3" t="s">
        <v>100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563</v>
      </c>
      <c r="C452" s="3" t="s">
        <v>185</v>
      </c>
      <c r="D452" s="3"/>
      <c r="E452" s="3" t="s">
        <v>185</v>
      </c>
      <c r="F452" s="3"/>
      <c r="G452" s="3"/>
      <c r="H452" s="3"/>
      <c r="I452" s="3"/>
      <c r="J452" s="3"/>
      <c r="K452" s="3"/>
      <c r="L452" s="3" t="s">
        <v>564</v>
      </c>
      <c r="M452" s="3">
        <v>40</v>
      </c>
      <c r="N452" s="3" t="s">
        <v>108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563</v>
      </c>
      <c r="C453" s="3" t="s">
        <v>185</v>
      </c>
      <c r="D453" s="3"/>
      <c r="E453" s="3" t="s">
        <v>185</v>
      </c>
      <c r="F453" s="3"/>
      <c r="G453" s="3"/>
      <c r="H453" s="3"/>
      <c r="I453" s="3"/>
      <c r="J453" s="3"/>
      <c r="K453" s="3"/>
      <c r="L453" s="3" t="s">
        <v>564</v>
      </c>
      <c r="M453" s="3">
        <v>50</v>
      </c>
      <c r="N453" s="3" t="s">
        <v>105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563</v>
      </c>
      <c r="C454" s="3" t="s">
        <v>185</v>
      </c>
      <c r="D454" s="3"/>
      <c r="E454" s="3" t="s">
        <v>185</v>
      </c>
      <c r="F454" s="3"/>
      <c r="G454" s="3"/>
      <c r="H454" s="3"/>
      <c r="I454" s="3"/>
      <c r="J454" s="3"/>
      <c r="K454" s="3"/>
      <c r="L454" s="3" t="s">
        <v>564</v>
      </c>
      <c r="M454" s="3">
        <v>60</v>
      </c>
      <c r="N454" s="3" t="s">
        <v>106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563</v>
      </c>
      <c r="C455" s="3" t="s">
        <v>185</v>
      </c>
      <c r="D455" s="3"/>
      <c r="E455" s="3" t="s">
        <v>185</v>
      </c>
      <c r="F455" s="3"/>
      <c r="G455" s="3"/>
      <c r="H455" s="3"/>
      <c r="I455" s="3"/>
      <c r="J455" s="3"/>
      <c r="K455" s="3"/>
      <c r="L455" s="3" t="s">
        <v>564</v>
      </c>
      <c r="M455" s="3">
        <v>70</v>
      </c>
      <c r="N455" s="3" t="s">
        <v>104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563</v>
      </c>
      <c r="C456" s="3" t="s">
        <v>185</v>
      </c>
      <c r="D456" s="3"/>
      <c r="E456" s="3" t="s">
        <v>185</v>
      </c>
      <c r="F456" s="3"/>
      <c r="G456" s="3"/>
      <c r="H456" s="3"/>
      <c r="I456" s="3"/>
      <c r="J456" s="3"/>
      <c r="K456" s="3"/>
      <c r="L456" s="3" t="s">
        <v>564</v>
      </c>
      <c r="M456" s="3">
        <v>80</v>
      </c>
      <c r="N456" s="3" t="s">
        <v>111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563</v>
      </c>
      <c r="C457" s="3" t="s">
        <v>185</v>
      </c>
      <c r="D457" s="3"/>
      <c r="E457" s="3" t="s">
        <v>185</v>
      </c>
      <c r="F457" s="3"/>
      <c r="G457" s="3"/>
      <c r="H457" s="3"/>
      <c r="I457" s="3"/>
      <c r="J457" s="3"/>
      <c r="K457" s="3"/>
      <c r="L457" s="3" t="s">
        <v>564</v>
      </c>
      <c r="M457" s="3">
        <v>90</v>
      </c>
      <c r="N457" s="3" t="s">
        <v>18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563</v>
      </c>
      <c r="C458" s="3" t="s">
        <v>185</v>
      </c>
      <c r="D458" s="3"/>
      <c r="E458" s="3" t="s">
        <v>185</v>
      </c>
      <c r="F458" s="3"/>
      <c r="G458" s="3"/>
      <c r="H458" s="3"/>
      <c r="I458" s="3"/>
      <c r="J458" s="3"/>
      <c r="K458" s="3"/>
      <c r="L458" s="3" t="s">
        <v>564</v>
      </c>
      <c r="M458" s="3">
        <v>100</v>
      </c>
      <c r="N458" s="3" t="s">
        <v>19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563</v>
      </c>
      <c r="C459" s="3" t="s">
        <v>185</v>
      </c>
      <c r="D459" s="3"/>
      <c r="E459" s="3" t="s">
        <v>185</v>
      </c>
      <c r="F459" s="3"/>
      <c r="G459" s="3"/>
      <c r="H459" s="3"/>
      <c r="I459" s="3"/>
      <c r="J459" s="3"/>
      <c r="K459" s="3"/>
      <c r="L459" s="3" t="s">
        <v>564</v>
      </c>
      <c r="M459" s="3">
        <v>110</v>
      </c>
      <c r="N459" s="3" t="s">
        <v>101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563</v>
      </c>
      <c r="C460" s="3" t="s">
        <v>185</v>
      </c>
      <c r="D460" s="3"/>
      <c r="E460" s="3" t="s">
        <v>185</v>
      </c>
      <c r="F460" s="3"/>
      <c r="G460" s="3"/>
      <c r="H460" s="3"/>
      <c r="I460" s="3"/>
      <c r="J460" s="3"/>
      <c r="K460" s="3"/>
      <c r="L460" s="3" t="s">
        <v>564</v>
      </c>
      <c r="M460" s="3">
        <v>120</v>
      </c>
      <c r="N460" s="3" t="s">
        <v>186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563</v>
      </c>
      <c r="C461" s="3" t="s">
        <v>187</v>
      </c>
      <c r="D461" s="3"/>
      <c r="E461" s="3" t="s">
        <v>187</v>
      </c>
      <c r="F461" s="3"/>
      <c r="G461" s="3"/>
      <c r="H461" s="3"/>
      <c r="I461" s="3"/>
      <c r="J461" s="3"/>
      <c r="K461" s="3"/>
      <c r="L461" s="3" t="s">
        <v>564</v>
      </c>
      <c r="M461" s="3">
        <v>10</v>
      </c>
      <c r="N461" s="3" t="s">
        <v>107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563</v>
      </c>
      <c r="C462" s="3" t="s">
        <v>187</v>
      </c>
      <c r="D462" s="3"/>
      <c r="E462" s="3" t="s">
        <v>187</v>
      </c>
      <c r="F462" s="3"/>
      <c r="G462" s="3"/>
      <c r="H462" s="3"/>
      <c r="I462" s="3"/>
      <c r="J462" s="3"/>
      <c r="K462" s="3"/>
      <c r="L462" s="3" t="s">
        <v>564</v>
      </c>
      <c r="M462" s="3">
        <v>20</v>
      </c>
      <c r="N462" s="3" t="s">
        <v>565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563</v>
      </c>
      <c r="C463" s="3" t="s">
        <v>187</v>
      </c>
      <c r="D463" s="3"/>
      <c r="E463" s="3" t="s">
        <v>187</v>
      </c>
      <c r="F463" s="3"/>
      <c r="G463" s="3"/>
      <c r="H463" s="3"/>
      <c r="I463" s="3"/>
      <c r="J463" s="3"/>
      <c r="K463" s="3"/>
      <c r="L463" s="3" t="s">
        <v>564</v>
      </c>
      <c r="M463" s="3">
        <v>30</v>
      </c>
      <c r="N463" s="3" t="s">
        <v>99</v>
      </c>
      <c r="O463" s="3"/>
      <c r="P463" s="3"/>
      <c r="Q463" s="3">
        <v>0.53600000000000003</v>
      </c>
      <c r="R463" s="3" t="s">
        <v>100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563</v>
      </c>
      <c r="C464" s="3" t="s">
        <v>187</v>
      </c>
      <c r="D464" s="3"/>
      <c r="E464" s="3" t="s">
        <v>187</v>
      </c>
      <c r="F464" s="3"/>
      <c r="G464" s="3"/>
      <c r="H464" s="3"/>
      <c r="I464" s="3"/>
      <c r="J464" s="3"/>
      <c r="K464" s="3"/>
      <c r="L464" s="3" t="s">
        <v>564</v>
      </c>
      <c r="M464" s="3">
        <v>40</v>
      </c>
      <c r="N464" s="3" t="s">
        <v>108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563</v>
      </c>
      <c r="C465" s="3" t="s">
        <v>187</v>
      </c>
      <c r="D465" s="3"/>
      <c r="E465" s="3" t="s">
        <v>187</v>
      </c>
      <c r="F465" s="3"/>
      <c r="G465" s="3"/>
      <c r="H465" s="3"/>
      <c r="I465" s="3"/>
      <c r="J465" s="3"/>
      <c r="K465" s="3"/>
      <c r="L465" s="3" t="s">
        <v>564</v>
      </c>
      <c r="M465" s="3">
        <v>50</v>
      </c>
      <c r="N465" s="3" t="s">
        <v>105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563</v>
      </c>
      <c r="C466" s="3" t="s">
        <v>187</v>
      </c>
      <c r="D466" s="3"/>
      <c r="E466" s="3" t="s">
        <v>187</v>
      </c>
      <c r="F466" s="3"/>
      <c r="G466" s="3"/>
      <c r="H466" s="3"/>
      <c r="I466" s="3"/>
      <c r="J466" s="3"/>
      <c r="K466" s="3"/>
      <c r="L466" s="3" t="s">
        <v>564</v>
      </c>
      <c r="M466" s="3">
        <v>60</v>
      </c>
      <c r="N466" s="3" t="s">
        <v>106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563</v>
      </c>
      <c r="C467" s="3" t="s">
        <v>187</v>
      </c>
      <c r="D467" s="3"/>
      <c r="E467" s="3" t="s">
        <v>187</v>
      </c>
      <c r="F467" s="3"/>
      <c r="G467" s="3"/>
      <c r="H467" s="3"/>
      <c r="I467" s="3"/>
      <c r="J467" s="3"/>
      <c r="K467" s="3"/>
      <c r="L467" s="3" t="s">
        <v>564</v>
      </c>
      <c r="M467" s="3">
        <v>70</v>
      </c>
      <c r="N467" s="3" t="s">
        <v>104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563</v>
      </c>
      <c r="C468" s="3" t="s">
        <v>187</v>
      </c>
      <c r="D468" s="3"/>
      <c r="E468" s="3" t="s">
        <v>187</v>
      </c>
      <c r="F468" s="3"/>
      <c r="G468" s="3"/>
      <c r="H468" s="3"/>
      <c r="I468" s="3"/>
      <c r="J468" s="3"/>
      <c r="K468" s="3"/>
      <c r="L468" s="3" t="s">
        <v>564</v>
      </c>
      <c r="M468" s="3">
        <v>80</v>
      </c>
      <c r="N468" s="3" t="s">
        <v>111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563</v>
      </c>
      <c r="C469" s="3" t="s">
        <v>187</v>
      </c>
      <c r="D469" s="3"/>
      <c r="E469" s="3" t="s">
        <v>187</v>
      </c>
      <c r="F469" s="3"/>
      <c r="G469" s="3"/>
      <c r="H469" s="3"/>
      <c r="I469" s="3"/>
      <c r="J469" s="3"/>
      <c r="K469" s="3"/>
      <c r="L469" s="3" t="s">
        <v>564</v>
      </c>
      <c r="M469" s="3">
        <v>90</v>
      </c>
      <c r="N469" s="3" t="s">
        <v>18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563</v>
      </c>
      <c r="C470" s="3" t="s">
        <v>187</v>
      </c>
      <c r="D470" s="3"/>
      <c r="E470" s="3" t="s">
        <v>187</v>
      </c>
      <c r="F470" s="3"/>
      <c r="G470" s="3"/>
      <c r="H470" s="3"/>
      <c r="I470" s="3"/>
      <c r="J470" s="3"/>
      <c r="K470" s="3"/>
      <c r="L470" s="3" t="s">
        <v>564</v>
      </c>
      <c r="M470" s="3">
        <v>100</v>
      </c>
      <c r="N470" s="3" t="s">
        <v>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563</v>
      </c>
      <c r="C471" s="3" t="s">
        <v>187</v>
      </c>
      <c r="D471" s="3"/>
      <c r="E471" s="3" t="s">
        <v>187</v>
      </c>
      <c r="F471" s="3"/>
      <c r="G471" s="3"/>
      <c r="H471" s="3"/>
      <c r="I471" s="3"/>
      <c r="J471" s="3"/>
      <c r="K471" s="3"/>
      <c r="L471" s="3" t="s">
        <v>564</v>
      </c>
      <c r="M471" s="3">
        <v>110</v>
      </c>
      <c r="N471" s="3" t="s">
        <v>101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563</v>
      </c>
      <c r="C472" s="3" t="s">
        <v>187</v>
      </c>
      <c r="D472" s="3"/>
      <c r="E472" s="3" t="s">
        <v>187</v>
      </c>
      <c r="F472" s="3"/>
      <c r="G472" s="3"/>
      <c r="H472" s="3"/>
      <c r="I472" s="3"/>
      <c r="J472" s="3"/>
      <c r="K472" s="3"/>
      <c r="L472" s="3" t="s">
        <v>564</v>
      </c>
      <c r="M472" s="3">
        <v>120</v>
      </c>
      <c r="N472" s="3" t="s">
        <v>188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563</v>
      </c>
      <c r="C473" s="3" t="s">
        <v>189</v>
      </c>
      <c r="D473" s="3"/>
      <c r="E473" s="3" t="s">
        <v>189</v>
      </c>
      <c r="F473" s="3"/>
      <c r="G473" s="3"/>
      <c r="H473" s="3"/>
      <c r="I473" s="3"/>
      <c r="J473" s="3"/>
      <c r="K473" s="3"/>
      <c r="L473" s="3" t="s">
        <v>564</v>
      </c>
      <c r="M473" s="3">
        <v>10</v>
      </c>
      <c r="N473" s="3" t="s">
        <v>107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563</v>
      </c>
      <c r="C474" s="3" t="s">
        <v>189</v>
      </c>
      <c r="D474" s="3"/>
      <c r="E474" s="3" t="s">
        <v>189</v>
      </c>
      <c r="F474" s="3"/>
      <c r="G474" s="3"/>
      <c r="H474" s="3"/>
      <c r="I474" s="3"/>
      <c r="J474" s="3"/>
      <c r="K474" s="3"/>
      <c r="L474" s="3" t="s">
        <v>564</v>
      </c>
      <c r="M474" s="3">
        <v>20</v>
      </c>
      <c r="N474" s="3" t="s">
        <v>565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563</v>
      </c>
      <c r="C475" s="3" t="s">
        <v>189</v>
      </c>
      <c r="D475" s="3"/>
      <c r="E475" s="3" t="s">
        <v>189</v>
      </c>
      <c r="F475" s="3"/>
      <c r="G475" s="3"/>
      <c r="H475" s="3"/>
      <c r="I475" s="3"/>
      <c r="J475" s="3"/>
      <c r="K475" s="3"/>
      <c r="L475" s="3" t="s">
        <v>564</v>
      </c>
      <c r="M475" s="3">
        <v>30</v>
      </c>
      <c r="N475" s="3" t="s">
        <v>99</v>
      </c>
      <c r="O475" s="3"/>
      <c r="P475" s="3"/>
      <c r="Q475" s="3">
        <v>0.58699999999999997</v>
      </c>
      <c r="R475" s="3" t="s">
        <v>100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563</v>
      </c>
      <c r="C476" s="3" t="s">
        <v>189</v>
      </c>
      <c r="D476" s="3"/>
      <c r="E476" s="3" t="s">
        <v>189</v>
      </c>
      <c r="F476" s="3"/>
      <c r="G476" s="3"/>
      <c r="H476" s="3"/>
      <c r="I476" s="3"/>
      <c r="J476" s="3"/>
      <c r="K476" s="3"/>
      <c r="L476" s="3" t="s">
        <v>564</v>
      </c>
      <c r="M476" s="3">
        <v>40</v>
      </c>
      <c r="N476" s="3" t="s">
        <v>108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563</v>
      </c>
      <c r="C477" s="3" t="s">
        <v>189</v>
      </c>
      <c r="D477" s="3"/>
      <c r="E477" s="3" t="s">
        <v>189</v>
      </c>
      <c r="F477" s="3"/>
      <c r="G477" s="3"/>
      <c r="H477" s="3"/>
      <c r="I477" s="3"/>
      <c r="J477" s="3"/>
      <c r="K477" s="3"/>
      <c r="L477" s="3" t="s">
        <v>564</v>
      </c>
      <c r="M477" s="3">
        <v>50</v>
      </c>
      <c r="N477" s="3" t="s">
        <v>105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563</v>
      </c>
      <c r="C478" s="3" t="s">
        <v>189</v>
      </c>
      <c r="D478" s="3"/>
      <c r="E478" s="3" t="s">
        <v>189</v>
      </c>
      <c r="F478" s="3"/>
      <c r="G478" s="3"/>
      <c r="H478" s="3"/>
      <c r="I478" s="3"/>
      <c r="J478" s="3"/>
      <c r="K478" s="3"/>
      <c r="L478" s="3" t="s">
        <v>564</v>
      </c>
      <c r="M478" s="3">
        <v>60</v>
      </c>
      <c r="N478" s="3" t="s">
        <v>106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563</v>
      </c>
      <c r="C479" s="3" t="s">
        <v>189</v>
      </c>
      <c r="D479" s="3"/>
      <c r="E479" s="3" t="s">
        <v>189</v>
      </c>
      <c r="F479" s="3"/>
      <c r="G479" s="3"/>
      <c r="H479" s="3"/>
      <c r="I479" s="3"/>
      <c r="J479" s="3"/>
      <c r="K479" s="3"/>
      <c r="L479" s="3" t="s">
        <v>564</v>
      </c>
      <c r="M479" s="3">
        <v>70</v>
      </c>
      <c r="N479" s="3" t="s">
        <v>104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563</v>
      </c>
      <c r="C480" s="3" t="s">
        <v>189</v>
      </c>
      <c r="D480" s="3"/>
      <c r="E480" s="3" t="s">
        <v>189</v>
      </c>
      <c r="F480" s="3"/>
      <c r="G480" s="3"/>
      <c r="H480" s="3"/>
      <c r="I480" s="3"/>
      <c r="J480" s="3"/>
      <c r="K480" s="3"/>
      <c r="L480" s="3" t="s">
        <v>564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563</v>
      </c>
      <c r="C481" s="3" t="s">
        <v>189</v>
      </c>
      <c r="D481" s="3"/>
      <c r="E481" s="3" t="s">
        <v>189</v>
      </c>
      <c r="F481" s="3"/>
      <c r="G481" s="3"/>
      <c r="H481" s="3"/>
      <c r="I481" s="3"/>
      <c r="J481" s="3"/>
      <c r="K481" s="3"/>
      <c r="L481" s="3" t="s">
        <v>564</v>
      </c>
      <c r="M481" s="3">
        <v>90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563</v>
      </c>
      <c r="C482" s="3" t="s">
        <v>189</v>
      </c>
      <c r="D482" s="3"/>
      <c r="E482" s="3" t="s">
        <v>189</v>
      </c>
      <c r="F482" s="3"/>
      <c r="G482" s="3"/>
      <c r="H482" s="3"/>
      <c r="I482" s="3"/>
      <c r="J482" s="3"/>
      <c r="K482" s="3"/>
      <c r="L482" s="3" t="s">
        <v>564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563</v>
      </c>
      <c r="C483" s="3" t="s">
        <v>189</v>
      </c>
      <c r="D483" s="3"/>
      <c r="E483" s="3" t="s">
        <v>189</v>
      </c>
      <c r="F483" s="3"/>
      <c r="G483" s="3"/>
      <c r="H483" s="3"/>
      <c r="I483" s="3"/>
      <c r="J483" s="3"/>
      <c r="K483" s="3"/>
      <c r="L483" s="3" t="s">
        <v>564</v>
      </c>
      <c r="M483" s="3">
        <v>110</v>
      </c>
      <c r="N483" s="3" t="s">
        <v>101</v>
      </c>
      <c r="O483" s="3"/>
      <c r="P483" s="3"/>
      <c r="Q483" s="3">
        <v>0.67600000000000005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563</v>
      </c>
      <c r="C484" s="3" t="s">
        <v>189</v>
      </c>
      <c r="D484" s="3"/>
      <c r="E484" s="3" t="s">
        <v>189</v>
      </c>
      <c r="F484" s="3"/>
      <c r="G484" s="3"/>
      <c r="H484" s="3"/>
      <c r="I484" s="3"/>
      <c r="J484" s="3"/>
      <c r="K484" s="3"/>
      <c r="L484" s="3" t="s">
        <v>564</v>
      </c>
      <c r="M484" s="3">
        <v>120</v>
      </c>
      <c r="N484" s="3" t="s">
        <v>190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563</v>
      </c>
      <c r="C485" s="3" t="s">
        <v>191</v>
      </c>
      <c r="D485" s="3"/>
      <c r="E485" s="3" t="s">
        <v>191</v>
      </c>
      <c r="F485" s="3"/>
      <c r="G485" s="3"/>
      <c r="H485" s="3"/>
      <c r="I485" s="3"/>
      <c r="J485" s="3"/>
      <c r="K485" s="3"/>
      <c r="L485" s="3" t="s">
        <v>564</v>
      </c>
      <c r="M485" s="3">
        <v>10</v>
      </c>
      <c r="N485" s="3" t="s">
        <v>107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563</v>
      </c>
      <c r="C486" s="3" t="s">
        <v>191</v>
      </c>
      <c r="D486" s="3"/>
      <c r="E486" s="3" t="s">
        <v>191</v>
      </c>
      <c r="F486" s="3"/>
      <c r="G486" s="3"/>
      <c r="H486" s="3"/>
      <c r="I486" s="3"/>
      <c r="J486" s="3"/>
      <c r="K486" s="3"/>
      <c r="L486" s="3" t="s">
        <v>564</v>
      </c>
      <c r="M486" s="3">
        <v>20</v>
      </c>
      <c r="N486" s="3" t="s">
        <v>565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563</v>
      </c>
      <c r="C487" s="3" t="s">
        <v>191</v>
      </c>
      <c r="D487" s="3"/>
      <c r="E487" s="3" t="s">
        <v>191</v>
      </c>
      <c r="F487" s="3"/>
      <c r="G487" s="3"/>
      <c r="H487" s="3"/>
      <c r="I487" s="3"/>
      <c r="J487" s="3"/>
      <c r="K487" s="3"/>
      <c r="L487" s="3" t="s">
        <v>564</v>
      </c>
      <c r="M487" s="3">
        <v>30</v>
      </c>
      <c r="N487" s="3" t="s">
        <v>99</v>
      </c>
      <c r="O487" s="3"/>
      <c r="P487" s="3"/>
      <c r="Q487" s="3">
        <v>0.24099999999999999</v>
      </c>
      <c r="R487" s="3" t="s">
        <v>100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563</v>
      </c>
      <c r="C488" s="3" t="s">
        <v>191</v>
      </c>
      <c r="D488" s="3"/>
      <c r="E488" s="3" t="s">
        <v>191</v>
      </c>
      <c r="F488" s="3"/>
      <c r="G488" s="3"/>
      <c r="H488" s="3"/>
      <c r="I488" s="3"/>
      <c r="J488" s="3"/>
      <c r="K488" s="3"/>
      <c r="L488" s="3" t="s">
        <v>564</v>
      </c>
      <c r="M488" s="3">
        <v>40</v>
      </c>
      <c r="N488" s="3" t="s">
        <v>108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563</v>
      </c>
      <c r="C489" s="3" t="s">
        <v>191</v>
      </c>
      <c r="D489" s="3"/>
      <c r="E489" s="3" t="s">
        <v>191</v>
      </c>
      <c r="F489" s="3"/>
      <c r="G489" s="3"/>
      <c r="H489" s="3"/>
      <c r="I489" s="3"/>
      <c r="J489" s="3"/>
      <c r="K489" s="3"/>
      <c r="L489" s="3" t="s">
        <v>564</v>
      </c>
      <c r="M489" s="3">
        <v>50</v>
      </c>
      <c r="N489" s="3" t="s">
        <v>105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563</v>
      </c>
      <c r="C490" s="3" t="s">
        <v>191</v>
      </c>
      <c r="D490" s="3"/>
      <c r="E490" s="3" t="s">
        <v>191</v>
      </c>
      <c r="F490" s="3"/>
      <c r="G490" s="3"/>
      <c r="H490" s="3"/>
      <c r="I490" s="3"/>
      <c r="J490" s="3"/>
      <c r="K490" s="3"/>
      <c r="L490" s="3" t="s">
        <v>564</v>
      </c>
      <c r="M490" s="3">
        <v>60</v>
      </c>
      <c r="N490" s="3" t="s">
        <v>106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563</v>
      </c>
      <c r="C491" s="3" t="s">
        <v>191</v>
      </c>
      <c r="D491" s="3"/>
      <c r="E491" s="3" t="s">
        <v>191</v>
      </c>
      <c r="F491" s="3"/>
      <c r="G491" s="3"/>
      <c r="H491" s="3"/>
      <c r="I491" s="3"/>
      <c r="J491" s="3"/>
      <c r="K491" s="3"/>
      <c r="L491" s="3" t="s">
        <v>564</v>
      </c>
      <c r="M491" s="3">
        <v>70</v>
      </c>
      <c r="N491" s="3" t="s">
        <v>104</v>
      </c>
      <c r="O491" s="3"/>
      <c r="P491" s="3"/>
      <c r="Q491" s="3">
        <v>8.3000000000000004E-2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563</v>
      </c>
      <c r="C492" s="3" t="s">
        <v>191</v>
      </c>
      <c r="D492" s="3"/>
      <c r="E492" s="3" t="s">
        <v>191</v>
      </c>
      <c r="F492" s="3"/>
      <c r="G492" s="3"/>
      <c r="H492" s="3"/>
      <c r="I492" s="3"/>
      <c r="J492" s="3"/>
      <c r="K492" s="3"/>
      <c r="L492" s="3" t="s">
        <v>564</v>
      </c>
      <c r="M492" s="3">
        <v>80</v>
      </c>
      <c r="N492" s="3" t="s">
        <v>192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563</v>
      </c>
      <c r="C493" s="3" t="s">
        <v>191</v>
      </c>
      <c r="D493" s="3"/>
      <c r="E493" s="3" t="s">
        <v>191</v>
      </c>
      <c r="F493" s="3"/>
      <c r="G493" s="3"/>
      <c r="H493" s="3"/>
      <c r="I493" s="3"/>
      <c r="J493" s="3"/>
      <c r="K493" s="3"/>
      <c r="L493" s="3" t="s">
        <v>564</v>
      </c>
      <c r="M493" s="3">
        <v>90</v>
      </c>
      <c r="N493" s="3" t="s">
        <v>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563</v>
      </c>
      <c r="C494" s="3" t="s">
        <v>191</v>
      </c>
      <c r="D494" s="3"/>
      <c r="E494" s="3" t="s">
        <v>191</v>
      </c>
      <c r="F494" s="3"/>
      <c r="G494" s="3"/>
      <c r="H494" s="3"/>
      <c r="I494" s="3"/>
      <c r="J494" s="3"/>
      <c r="K494" s="3"/>
      <c r="L494" s="3" t="s">
        <v>564</v>
      </c>
      <c r="M494" s="3">
        <v>100</v>
      </c>
      <c r="N494" s="3" t="s">
        <v>19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563</v>
      </c>
      <c r="C495" s="3" t="s">
        <v>191</v>
      </c>
      <c r="D495" s="3"/>
      <c r="E495" s="3" t="s">
        <v>191</v>
      </c>
      <c r="F495" s="3"/>
      <c r="G495" s="3"/>
      <c r="H495" s="3"/>
      <c r="I495" s="3"/>
      <c r="J495" s="3"/>
      <c r="K495" s="3"/>
      <c r="L495" s="3" t="s">
        <v>564</v>
      </c>
      <c r="M495" s="3">
        <v>110</v>
      </c>
      <c r="N495" s="3" t="s">
        <v>101</v>
      </c>
      <c r="O495" s="3"/>
      <c r="P495" s="3"/>
      <c r="Q495" s="3">
        <v>0.3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563</v>
      </c>
      <c r="C496" s="3" t="s">
        <v>191</v>
      </c>
      <c r="D496" s="3"/>
      <c r="E496" s="3" t="s">
        <v>191</v>
      </c>
      <c r="F496" s="3"/>
      <c r="G496" s="3"/>
      <c r="H496" s="3"/>
      <c r="I496" s="3"/>
      <c r="J496" s="3"/>
      <c r="K496" s="3"/>
      <c r="L496" s="3" t="s">
        <v>564</v>
      </c>
      <c r="M496" s="3">
        <v>120</v>
      </c>
      <c r="N496" s="3" t="s">
        <v>193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563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564</v>
      </c>
      <c r="M497" s="3">
        <v>10</v>
      </c>
      <c r="N497" s="3" t="s">
        <v>107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563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564</v>
      </c>
      <c r="M498" s="3">
        <v>20</v>
      </c>
      <c r="N498" s="3" t="s">
        <v>565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563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564</v>
      </c>
      <c r="M499" s="3">
        <v>30</v>
      </c>
      <c r="N499" s="3" t="s">
        <v>99</v>
      </c>
      <c r="O499" s="3"/>
      <c r="P499" s="3"/>
      <c r="Q499" s="3">
        <v>0.28399999999999997</v>
      </c>
      <c r="R499" s="3" t="s">
        <v>100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563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564</v>
      </c>
      <c r="M500" s="3">
        <v>40</v>
      </c>
      <c r="N500" s="3" t="s">
        <v>108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563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564</v>
      </c>
      <c r="M501" s="3">
        <v>50</v>
      </c>
      <c r="N501" s="3" t="s">
        <v>105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563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564</v>
      </c>
      <c r="M502" s="3">
        <v>60</v>
      </c>
      <c r="N502" s="3" t="s">
        <v>106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563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564</v>
      </c>
      <c r="M503" s="3">
        <v>70</v>
      </c>
      <c r="N503" s="3" t="s">
        <v>104</v>
      </c>
      <c r="O503" s="3"/>
      <c r="P503" s="3"/>
      <c r="Q503" s="3">
        <v>9.4E-2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563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564</v>
      </c>
      <c r="M504" s="3">
        <v>80</v>
      </c>
      <c r="N504" s="3" t="s">
        <v>192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563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564</v>
      </c>
      <c r="M505" s="3">
        <v>90</v>
      </c>
      <c r="N505" s="3" t="s">
        <v>18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563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564</v>
      </c>
      <c r="M506" s="3">
        <v>100</v>
      </c>
      <c r="N506" s="3" t="s">
        <v>19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563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564</v>
      </c>
      <c r="M507" s="3">
        <v>110</v>
      </c>
      <c r="N507" s="3" t="s">
        <v>101</v>
      </c>
      <c r="O507" s="3"/>
      <c r="P507" s="3"/>
      <c r="Q507" s="3">
        <v>0.34499999999999997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563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564</v>
      </c>
      <c r="M508" s="3">
        <v>120</v>
      </c>
      <c r="N508" s="3" t="s">
        <v>195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563</v>
      </c>
      <c r="C509" s="3" t="s">
        <v>196</v>
      </c>
      <c r="D509" s="3"/>
      <c r="E509" s="3" t="s">
        <v>196</v>
      </c>
      <c r="F509" s="3"/>
      <c r="G509" s="3"/>
      <c r="H509" s="3"/>
      <c r="I509" s="3"/>
      <c r="J509" s="3"/>
      <c r="K509" s="3"/>
      <c r="L509" s="3" t="s">
        <v>564</v>
      </c>
      <c r="M509" s="3">
        <v>10</v>
      </c>
      <c r="N509" s="3" t="s">
        <v>107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563</v>
      </c>
      <c r="C510" s="3" t="s">
        <v>196</v>
      </c>
      <c r="D510" s="3"/>
      <c r="E510" s="3" t="s">
        <v>196</v>
      </c>
      <c r="F510" s="3"/>
      <c r="G510" s="3"/>
      <c r="H510" s="3"/>
      <c r="I510" s="3"/>
      <c r="J510" s="3"/>
      <c r="K510" s="3"/>
      <c r="L510" s="3" t="s">
        <v>564</v>
      </c>
      <c r="M510" s="3">
        <v>20</v>
      </c>
      <c r="N510" s="3" t="s">
        <v>565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563</v>
      </c>
      <c r="C511" s="3" t="s">
        <v>196</v>
      </c>
      <c r="D511" s="3"/>
      <c r="E511" s="3" t="s">
        <v>196</v>
      </c>
      <c r="F511" s="3"/>
      <c r="G511" s="3"/>
      <c r="H511" s="3"/>
      <c r="I511" s="3"/>
      <c r="J511" s="3"/>
      <c r="K511" s="3"/>
      <c r="L511" s="3" t="s">
        <v>564</v>
      </c>
      <c r="M511" s="3">
        <v>30</v>
      </c>
      <c r="N511" s="3" t="s">
        <v>99</v>
      </c>
      <c r="O511" s="3"/>
      <c r="P511" s="3"/>
      <c r="Q511" s="3">
        <v>0.32800000000000001</v>
      </c>
      <c r="R511" s="3" t="s">
        <v>100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563</v>
      </c>
      <c r="C512" s="3" t="s">
        <v>196</v>
      </c>
      <c r="D512" s="3"/>
      <c r="E512" s="3" t="s">
        <v>196</v>
      </c>
      <c r="F512" s="3"/>
      <c r="G512" s="3"/>
      <c r="H512" s="3"/>
      <c r="I512" s="3"/>
      <c r="J512" s="3"/>
      <c r="K512" s="3"/>
      <c r="L512" s="3" t="s">
        <v>564</v>
      </c>
      <c r="M512" s="3">
        <v>40</v>
      </c>
      <c r="N512" s="3" t="s">
        <v>108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563</v>
      </c>
      <c r="C513" s="3" t="s">
        <v>196</v>
      </c>
      <c r="D513" s="3"/>
      <c r="E513" s="3" t="s">
        <v>196</v>
      </c>
      <c r="F513" s="3"/>
      <c r="G513" s="3"/>
      <c r="H513" s="3"/>
      <c r="I513" s="3"/>
      <c r="J513" s="3"/>
      <c r="K513" s="3"/>
      <c r="L513" s="3" t="s">
        <v>564</v>
      </c>
      <c r="M513" s="3">
        <v>50</v>
      </c>
      <c r="N513" s="3" t="s">
        <v>105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563</v>
      </c>
      <c r="C514" s="3" t="s">
        <v>196</v>
      </c>
      <c r="D514" s="3"/>
      <c r="E514" s="3" t="s">
        <v>196</v>
      </c>
      <c r="F514" s="3"/>
      <c r="G514" s="3"/>
      <c r="H514" s="3"/>
      <c r="I514" s="3"/>
      <c r="J514" s="3"/>
      <c r="K514" s="3"/>
      <c r="L514" s="3" t="s">
        <v>564</v>
      </c>
      <c r="M514" s="3">
        <v>60</v>
      </c>
      <c r="N514" s="3" t="s">
        <v>106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563</v>
      </c>
      <c r="C515" s="3" t="s">
        <v>196</v>
      </c>
      <c r="D515" s="3"/>
      <c r="E515" s="3" t="s">
        <v>196</v>
      </c>
      <c r="F515" s="3"/>
      <c r="G515" s="3"/>
      <c r="H515" s="3"/>
      <c r="I515" s="3"/>
      <c r="J515" s="3"/>
      <c r="K515" s="3"/>
      <c r="L515" s="3" t="s">
        <v>564</v>
      </c>
      <c r="M515" s="3">
        <v>70</v>
      </c>
      <c r="N515" s="3" t="s">
        <v>104</v>
      </c>
      <c r="O515" s="3"/>
      <c r="P515" s="3"/>
      <c r="Q515" s="3">
        <v>0.105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563</v>
      </c>
      <c r="C516" s="3" t="s">
        <v>196</v>
      </c>
      <c r="D516" s="3"/>
      <c r="E516" s="3" t="s">
        <v>196</v>
      </c>
      <c r="F516" s="3"/>
      <c r="G516" s="3"/>
      <c r="H516" s="3"/>
      <c r="I516" s="3"/>
      <c r="J516" s="3"/>
      <c r="K516" s="3"/>
      <c r="L516" s="3" t="s">
        <v>564</v>
      </c>
      <c r="M516" s="3">
        <v>80</v>
      </c>
      <c r="N516" s="3" t="s">
        <v>192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563</v>
      </c>
      <c r="C517" s="3" t="s">
        <v>196</v>
      </c>
      <c r="D517" s="3"/>
      <c r="E517" s="3" t="s">
        <v>196</v>
      </c>
      <c r="F517" s="3"/>
      <c r="G517" s="3"/>
      <c r="H517" s="3"/>
      <c r="I517" s="3"/>
      <c r="J517" s="3"/>
      <c r="K517" s="3"/>
      <c r="L517" s="3" t="s">
        <v>564</v>
      </c>
      <c r="M517" s="3">
        <v>90</v>
      </c>
      <c r="N517" s="3" t="s">
        <v>18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563</v>
      </c>
      <c r="C518" s="3" t="s">
        <v>196</v>
      </c>
      <c r="D518" s="3"/>
      <c r="E518" s="3" t="s">
        <v>196</v>
      </c>
      <c r="F518" s="3"/>
      <c r="G518" s="3"/>
      <c r="H518" s="3"/>
      <c r="I518" s="3"/>
      <c r="J518" s="3"/>
      <c r="K518" s="3"/>
      <c r="L518" s="3" t="s">
        <v>564</v>
      </c>
      <c r="M518" s="3">
        <v>100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563</v>
      </c>
      <c r="C519" s="3" t="s">
        <v>196</v>
      </c>
      <c r="D519" s="3"/>
      <c r="E519" s="3" t="s">
        <v>196</v>
      </c>
      <c r="F519" s="3"/>
      <c r="G519" s="3"/>
      <c r="H519" s="3"/>
      <c r="I519" s="3"/>
      <c r="J519" s="3"/>
      <c r="K519" s="3"/>
      <c r="L519" s="3" t="s">
        <v>564</v>
      </c>
      <c r="M519" s="3">
        <v>110</v>
      </c>
      <c r="N519" s="3" t="s">
        <v>101</v>
      </c>
      <c r="O519" s="3"/>
      <c r="P519" s="3"/>
      <c r="Q519" s="3">
        <v>0.39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563</v>
      </c>
      <c r="C520" s="3" t="s">
        <v>196</v>
      </c>
      <c r="D520" s="3"/>
      <c r="E520" s="3" t="s">
        <v>196</v>
      </c>
      <c r="F520" s="3"/>
      <c r="G520" s="3"/>
      <c r="H520" s="3"/>
      <c r="I520" s="3"/>
      <c r="J520" s="3"/>
      <c r="K520" s="3"/>
      <c r="L520" s="3" t="s">
        <v>564</v>
      </c>
      <c r="M520" s="3">
        <v>120</v>
      </c>
      <c r="N520" s="3" t="s">
        <v>197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563</v>
      </c>
      <c r="C521" s="3" t="s">
        <v>198</v>
      </c>
      <c r="D521" s="3"/>
      <c r="E521" s="3" t="s">
        <v>198</v>
      </c>
      <c r="F521" s="3"/>
      <c r="G521" s="3"/>
      <c r="H521" s="3"/>
      <c r="I521" s="3"/>
      <c r="J521" s="3"/>
      <c r="K521" s="3"/>
      <c r="L521" s="3" t="s">
        <v>564</v>
      </c>
      <c r="M521" s="3">
        <v>10</v>
      </c>
      <c r="N521" s="3" t="s">
        <v>107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563</v>
      </c>
      <c r="C522" s="3" t="s">
        <v>198</v>
      </c>
      <c r="D522" s="3"/>
      <c r="E522" s="3" t="s">
        <v>198</v>
      </c>
      <c r="F522" s="3"/>
      <c r="G522" s="3"/>
      <c r="H522" s="3"/>
      <c r="I522" s="3"/>
      <c r="J522" s="3"/>
      <c r="K522" s="3"/>
      <c r="L522" s="3" t="s">
        <v>564</v>
      </c>
      <c r="M522" s="3">
        <v>20</v>
      </c>
      <c r="N522" s="3" t="s">
        <v>565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563</v>
      </c>
      <c r="C523" s="3" t="s">
        <v>198</v>
      </c>
      <c r="D523" s="3"/>
      <c r="E523" s="3" t="s">
        <v>198</v>
      </c>
      <c r="F523" s="3"/>
      <c r="G523" s="3"/>
      <c r="H523" s="3"/>
      <c r="I523" s="3"/>
      <c r="J523" s="3"/>
      <c r="K523" s="3"/>
      <c r="L523" s="3" t="s">
        <v>564</v>
      </c>
      <c r="M523" s="3">
        <v>30</v>
      </c>
      <c r="N523" s="3" t="s">
        <v>99</v>
      </c>
      <c r="O523" s="3"/>
      <c r="P523" s="3"/>
      <c r="Q523" s="3">
        <v>0.372</v>
      </c>
      <c r="R523" s="3" t="s">
        <v>100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563</v>
      </c>
      <c r="C524" s="3" t="s">
        <v>198</v>
      </c>
      <c r="D524" s="3"/>
      <c r="E524" s="3" t="s">
        <v>198</v>
      </c>
      <c r="F524" s="3"/>
      <c r="G524" s="3"/>
      <c r="H524" s="3"/>
      <c r="I524" s="3"/>
      <c r="J524" s="3"/>
      <c r="K524" s="3"/>
      <c r="L524" s="3" t="s">
        <v>564</v>
      </c>
      <c r="M524" s="3">
        <v>40</v>
      </c>
      <c r="N524" s="3" t="s">
        <v>108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563</v>
      </c>
      <c r="C525" s="3" t="s">
        <v>198</v>
      </c>
      <c r="D525" s="3"/>
      <c r="E525" s="3" t="s">
        <v>198</v>
      </c>
      <c r="F525" s="3"/>
      <c r="G525" s="3"/>
      <c r="H525" s="3"/>
      <c r="I525" s="3"/>
      <c r="J525" s="3"/>
      <c r="K525" s="3"/>
      <c r="L525" s="3" t="s">
        <v>564</v>
      </c>
      <c r="M525" s="3">
        <v>50</v>
      </c>
      <c r="N525" s="3" t="s">
        <v>105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563</v>
      </c>
      <c r="C526" s="3" t="s">
        <v>198</v>
      </c>
      <c r="D526" s="3"/>
      <c r="E526" s="3" t="s">
        <v>198</v>
      </c>
      <c r="F526" s="3"/>
      <c r="G526" s="3"/>
      <c r="H526" s="3"/>
      <c r="I526" s="3"/>
      <c r="J526" s="3"/>
      <c r="K526" s="3"/>
      <c r="L526" s="3" t="s">
        <v>564</v>
      </c>
      <c r="M526" s="3">
        <v>60</v>
      </c>
      <c r="N526" s="3" t="s">
        <v>106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563</v>
      </c>
      <c r="C527" s="3" t="s">
        <v>198</v>
      </c>
      <c r="D527" s="3"/>
      <c r="E527" s="3" t="s">
        <v>198</v>
      </c>
      <c r="F527" s="3"/>
      <c r="G527" s="3"/>
      <c r="H527" s="3"/>
      <c r="I527" s="3"/>
      <c r="J527" s="3"/>
      <c r="K527" s="3"/>
      <c r="L527" s="3" t="s">
        <v>564</v>
      </c>
      <c r="M527" s="3">
        <v>70</v>
      </c>
      <c r="N527" s="3" t="s">
        <v>104</v>
      </c>
      <c r="O527" s="3"/>
      <c r="P527" s="3"/>
      <c r="Q527" s="3">
        <v>0.11700000000000001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563</v>
      </c>
      <c r="C528" s="3" t="s">
        <v>198</v>
      </c>
      <c r="D528" s="3"/>
      <c r="E528" s="3" t="s">
        <v>198</v>
      </c>
      <c r="F528" s="3"/>
      <c r="G528" s="3"/>
      <c r="H528" s="3"/>
      <c r="I528" s="3"/>
      <c r="J528" s="3"/>
      <c r="K528" s="3"/>
      <c r="L528" s="3" t="s">
        <v>564</v>
      </c>
      <c r="M528" s="3">
        <v>80</v>
      </c>
      <c r="N528" s="3" t="s">
        <v>192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563</v>
      </c>
      <c r="C529" s="3" t="s">
        <v>198</v>
      </c>
      <c r="D529" s="3"/>
      <c r="E529" s="3" t="s">
        <v>198</v>
      </c>
      <c r="F529" s="3"/>
      <c r="G529" s="3"/>
      <c r="H529" s="3"/>
      <c r="I529" s="3"/>
      <c r="J529" s="3"/>
      <c r="K529" s="3"/>
      <c r="L529" s="3" t="s">
        <v>564</v>
      </c>
      <c r="M529" s="3">
        <v>90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563</v>
      </c>
      <c r="C530" s="3" t="s">
        <v>198</v>
      </c>
      <c r="D530" s="3"/>
      <c r="E530" s="3" t="s">
        <v>198</v>
      </c>
      <c r="F530" s="3"/>
      <c r="G530" s="3"/>
      <c r="H530" s="3"/>
      <c r="I530" s="3"/>
      <c r="J530" s="3"/>
      <c r="K530" s="3"/>
      <c r="L530" s="3" t="s">
        <v>564</v>
      </c>
      <c r="M530" s="3">
        <v>100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563</v>
      </c>
      <c r="C531" s="3" t="s">
        <v>198</v>
      </c>
      <c r="D531" s="3"/>
      <c r="E531" s="3" t="s">
        <v>198</v>
      </c>
      <c r="F531" s="3"/>
      <c r="G531" s="3"/>
      <c r="H531" s="3"/>
      <c r="I531" s="3"/>
      <c r="J531" s="3"/>
      <c r="K531" s="3"/>
      <c r="L531" s="3" t="s">
        <v>564</v>
      </c>
      <c r="M531" s="3">
        <v>110</v>
      </c>
      <c r="N531" s="3" t="s">
        <v>101</v>
      </c>
      <c r="O531" s="3"/>
      <c r="P531" s="3"/>
      <c r="Q531" s="3">
        <v>0.435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563</v>
      </c>
      <c r="C532" s="3" t="s">
        <v>198</v>
      </c>
      <c r="D532" s="3"/>
      <c r="E532" s="3" t="s">
        <v>198</v>
      </c>
      <c r="F532" s="3"/>
      <c r="G532" s="3"/>
      <c r="H532" s="3"/>
      <c r="I532" s="3"/>
      <c r="J532" s="3"/>
      <c r="K532" s="3"/>
      <c r="L532" s="3" t="s">
        <v>564</v>
      </c>
      <c r="M532" s="3">
        <v>120</v>
      </c>
      <c r="N532" s="3" t="s">
        <v>199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563</v>
      </c>
      <c r="C533" s="3" t="s">
        <v>200</v>
      </c>
      <c r="D533" s="3"/>
      <c r="E533" s="3" t="s">
        <v>200</v>
      </c>
      <c r="F533" s="3"/>
      <c r="G533" s="3"/>
      <c r="H533" s="3"/>
      <c r="I533" s="3"/>
      <c r="J533" s="3"/>
      <c r="K533" s="3"/>
      <c r="L533" s="3" t="s">
        <v>564</v>
      </c>
      <c r="M533" s="3">
        <v>10</v>
      </c>
      <c r="N533" s="3" t="s">
        <v>107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563</v>
      </c>
      <c r="C534" s="3" t="s">
        <v>200</v>
      </c>
      <c r="D534" s="3"/>
      <c r="E534" s="3" t="s">
        <v>200</v>
      </c>
      <c r="F534" s="3"/>
      <c r="G534" s="3"/>
      <c r="H534" s="3"/>
      <c r="I534" s="3"/>
      <c r="J534" s="3"/>
      <c r="K534" s="3"/>
      <c r="L534" s="3" t="s">
        <v>564</v>
      </c>
      <c r="M534" s="3">
        <v>20</v>
      </c>
      <c r="N534" s="3" t="s">
        <v>565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563</v>
      </c>
      <c r="C535" s="3" t="s">
        <v>200</v>
      </c>
      <c r="D535" s="3"/>
      <c r="E535" s="3" t="s">
        <v>200</v>
      </c>
      <c r="F535" s="3"/>
      <c r="G535" s="3"/>
      <c r="H535" s="3"/>
      <c r="I535" s="3"/>
      <c r="J535" s="3"/>
      <c r="K535" s="3"/>
      <c r="L535" s="3" t="s">
        <v>564</v>
      </c>
      <c r="M535" s="3">
        <v>30</v>
      </c>
      <c r="N535" s="3" t="s">
        <v>99</v>
      </c>
      <c r="O535" s="3"/>
      <c r="P535" s="3"/>
      <c r="Q535" s="3">
        <v>0.39400000000000002</v>
      </c>
      <c r="R535" s="3" t="s">
        <v>100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563</v>
      </c>
      <c r="C536" s="3" t="s">
        <v>200</v>
      </c>
      <c r="D536" s="3"/>
      <c r="E536" s="3" t="s">
        <v>200</v>
      </c>
      <c r="F536" s="3"/>
      <c r="G536" s="3"/>
      <c r="H536" s="3"/>
      <c r="I536" s="3"/>
      <c r="J536" s="3"/>
      <c r="K536" s="3"/>
      <c r="L536" s="3" t="s">
        <v>564</v>
      </c>
      <c r="M536" s="3">
        <v>40</v>
      </c>
      <c r="N536" s="3" t="s">
        <v>108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563</v>
      </c>
      <c r="C537" s="3" t="s">
        <v>200</v>
      </c>
      <c r="D537" s="3"/>
      <c r="E537" s="3" t="s">
        <v>200</v>
      </c>
      <c r="F537" s="3"/>
      <c r="G537" s="3"/>
      <c r="H537" s="3"/>
      <c r="I537" s="3"/>
      <c r="J537" s="3"/>
      <c r="K537" s="3"/>
      <c r="L537" s="3" t="s">
        <v>564</v>
      </c>
      <c r="M537" s="3">
        <v>50</v>
      </c>
      <c r="N537" s="3" t="s">
        <v>105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563</v>
      </c>
      <c r="C538" s="3" t="s">
        <v>200</v>
      </c>
      <c r="D538" s="3"/>
      <c r="E538" s="3" t="s">
        <v>200</v>
      </c>
      <c r="F538" s="3"/>
      <c r="G538" s="3"/>
      <c r="H538" s="3"/>
      <c r="I538" s="3"/>
      <c r="J538" s="3"/>
      <c r="K538" s="3"/>
      <c r="L538" s="3" t="s">
        <v>564</v>
      </c>
      <c r="M538" s="3">
        <v>60</v>
      </c>
      <c r="N538" s="3" t="s">
        <v>106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563</v>
      </c>
      <c r="C539" s="3" t="s">
        <v>200</v>
      </c>
      <c r="D539" s="3"/>
      <c r="E539" s="3" t="s">
        <v>200</v>
      </c>
      <c r="F539" s="3"/>
      <c r="G539" s="3"/>
      <c r="H539" s="3"/>
      <c r="I539" s="3"/>
      <c r="J539" s="3"/>
      <c r="K539" s="3"/>
      <c r="L539" s="3" t="s">
        <v>564</v>
      </c>
      <c r="M539" s="3">
        <v>70</v>
      </c>
      <c r="N539" s="3" t="s">
        <v>104</v>
      </c>
      <c r="O539" s="3"/>
      <c r="P539" s="3"/>
      <c r="Q539" s="3">
        <v>0.122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563</v>
      </c>
      <c r="C540" s="3" t="s">
        <v>200</v>
      </c>
      <c r="D540" s="3"/>
      <c r="E540" s="3" t="s">
        <v>200</v>
      </c>
      <c r="F540" s="3"/>
      <c r="G540" s="3"/>
      <c r="H540" s="3"/>
      <c r="I540" s="3"/>
      <c r="J540" s="3"/>
      <c r="K540" s="3"/>
      <c r="L540" s="3" t="s">
        <v>564</v>
      </c>
      <c r="M540" s="3">
        <v>80</v>
      </c>
      <c r="N540" s="3" t="s">
        <v>192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563</v>
      </c>
      <c r="C541" s="3" t="s">
        <v>200</v>
      </c>
      <c r="D541" s="3"/>
      <c r="E541" s="3" t="s">
        <v>200</v>
      </c>
      <c r="F541" s="3"/>
      <c r="G541" s="3"/>
      <c r="H541" s="3"/>
      <c r="I541" s="3"/>
      <c r="J541" s="3"/>
      <c r="K541" s="3"/>
      <c r="L541" s="3" t="s">
        <v>564</v>
      </c>
      <c r="M541" s="3">
        <v>90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563</v>
      </c>
      <c r="C542" s="3" t="s">
        <v>200</v>
      </c>
      <c r="D542" s="3"/>
      <c r="E542" s="3" t="s">
        <v>200</v>
      </c>
      <c r="F542" s="3"/>
      <c r="G542" s="3"/>
      <c r="H542" s="3"/>
      <c r="I542" s="3"/>
      <c r="J542" s="3"/>
      <c r="K542" s="3"/>
      <c r="L542" s="3" t="s">
        <v>564</v>
      </c>
      <c r="M542" s="3">
        <v>100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563</v>
      </c>
      <c r="C543" s="3" t="s">
        <v>200</v>
      </c>
      <c r="D543" s="3"/>
      <c r="E543" s="3" t="s">
        <v>200</v>
      </c>
      <c r="F543" s="3"/>
      <c r="G543" s="3"/>
      <c r="H543" s="3"/>
      <c r="I543" s="3"/>
      <c r="J543" s="3"/>
      <c r="K543" s="3"/>
      <c r="L543" s="3" t="s">
        <v>564</v>
      </c>
      <c r="M543" s="3">
        <v>110</v>
      </c>
      <c r="N543" s="3" t="s">
        <v>101</v>
      </c>
      <c r="O543" s="3"/>
      <c r="P543" s="3"/>
      <c r="Q543" s="3">
        <v>0.45800000000000002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563</v>
      </c>
      <c r="C544" s="3" t="s">
        <v>200</v>
      </c>
      <c r="D544" s="3"/>
      <c r="E544" s="3" t="s">
        <v>200</v>
      </c>
      <c r="F544" s="3"/>
      <c r="G544" s="3"/>
      <c r="H544" s="3"/>
      <c r="I544" s="3"/>
      <c r="J544" s="3"/>
      <c r="K544" s="3"/>
      <c r="L544" s="3" t="s">
        <v>564</v>
      </c>
      <c r="M544" s="3">
        <v>120</v>
      </c>
      <c r="N544" s="3" t="s">
        <v>201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563</v>
      </c>
      <c r="C545" s="3" t="s">
        <v>202</v>
      </c>
      <c r="D545" s="3"/>
      <c r="E545" s="3" t="s">
        <v>202</v>
      </c>
      <c r="F545" s="3"/>
      <c r="G545" s="3"/>
      <c r="H545" s="3"/>
      <c r="I545" s="3"/>
      <c r="J545" s="3"/>
      <c r="K545" s="3"/>
      <c r="L545" s="3" t="s">
        <v>564</v>
      </c>
      <c r="M545" s="3">
        <v>10</v>
      </c>
      <c r="N545" s="3" t="s">
        <v>107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563</v>
      </c>
      <c r="C546" s="3" t="s">
        <v>202</v>
      </c>
      <c r="D546" s="3"/>
      <c r="E546" s="3" t="s">
        <v>202</v>
      </c>
      <c r="F546" s="3"/>
      <c r="G546" s="3"/>
      <c r="H546" s="3"/>
      <c r="I546" s="3"/>
      <c r="J546" s="3"/>
      <c r="K546" s="3"/>
      <c r="L546" s="3" t="s">
        <v>564</v>
      </c>
      <c r="M546" s="3">
        <v>20</v>
      </c>
      <c r="N546" s="3" t="s">
        <v>565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563</v>
      </c>
      <c r="C547" s="3" t="s">
        <v>202</v>
      </c>
      <c r="D547" s="3"/>
      <c r="E547" s="3" t="s">
        <v>202</v>
      </c>
      <c r="F547" s="3"/>
      <c r="G547" s="3"/>
      <c r="H547" s="3"/>
      <c r="I547" s="3"/>
      <c r="J547" s="3"/>
      <c r="K547" s="3"/>
      <c r="L547" s="3" t="s">
        <v>564</v>
      </c>
      <c r="M547" s="3">
        <v>30</v>
      </c>
      <c r="N547" s="3" t="s">
        <v>99</v>
      </c>
      <c r="O547" s="3"/>
      <c r="P547" s="3"/>
      <c r="Q547" s="3">
        <v>0.41599999999999998</v>
      </c>
      <c r="R547" s="3" t="s">
        <v>100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563</v>
      </c>
      <c r="C548" s="3" t="s">
        <v>202</v>
      </c>
      <c r="D548" s="3"/>
      <c r="E548" s="3" t="s">
        <v>202</v>
      </c>
      <c r="F548" s="3"/>
      <c r="G548" s="3"/>
      <c r="H548" s="3"/>
      <c r="I548" s="3"/>
      <c r="J548" s="3"/>
      <c r="K548" s="3"/>
      <c r="L548" s="3" t="s">
        <v>564</v>
      </c>
      <c r="M548" s="3">
        <v>40</v>
      </c>
      <c r="N548" s="3" t="s">
        <v>108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563</v>
      </c>
      <c r="C549" s="3" t="s">
        <v>202</v>
      </c>
      <c r="D549" s="3"/>
      <c r="E549" s="3" t="s">
        <v>202</v>
      </c>
      <c r="F549" s="3"/>
      <c r="G549" s="3"/>
      <c r="H549" s="3"/>
      <c r="I549" s="3"/>
      <c r="J549" s="3"/>
      <c r="K549" s="3"/>
      <c r="L549" s="3" t="s">
        <v>564</v>
      </c>
      <c r="M549" s="3">
        <v>50</v>
      </c>
      <c r="N549" s="3" t="s">
        <v>105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563</v>
      </c>
      <c r="C550" s="3" t="s">
        <v>202</v>
      </c>
      <c r="D550" s="3"/>
      <c r="E550" s="3" t="s">
        <v>202</v>
      </c>
      <c r="F550" s="3"/>
      <c r="G550" s="3"/>
      <c r="H550" s="3"/>
      <c r="I550" s="3"/>
      <c r="J550" s="3"/>
      <c r="K550" s="3"/>
      <c r="L550" s="3" t="s">
        <v>564</v>
      </c>
      <c r="M550" s="3">
        <v>60</v>
      </c>
      <c r="N550" s="3" t="s">
        <v>106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563</v>
      </c>
      <c r="C551" s="3" t="s">
        <v>202</v>
      </c>
      <c r="D551" s="3"/>
      <c r="E551" s="3" t="s">
        <v>202</v>
      </c>
      <c r="F551" s="3"/>
      <c r="G551" s="3"/>
      <c r="H551" s="3"/>
      <c r="I551" s="3"/>
      <c r="J551" s="3"/>
      <c r="K551" s="3"/>
      <c r="L551" s="3" t="s">
        <v>564</v>
      </c>
      <c r="M551" s="3">
        <v>70</v>
      </c>
      <c r="N551" s="3" t="s">
        <v>104</v>
      </c>
      <c r="O551" s="3"/>
      <c r="P551" s="3"/>
      <c r="Q551" s="3">
        <v>0.128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563</v>
      </c>
      <c r="C552" s="3" t="s">
        <v>202</v>
      </c>
      <c r="D552" s="3"/>
      <c r="E552" s="3" t="s">
        <v>202</v>
      </c>
      <c r="F552" s="3"/>
      <c r="G552" s="3"/>
      <c r="H552" s="3"/>
      <c r="I552" s="3"/>
      <c r="J552" s="3"/>
      <c r="K552" s="3"/>
      <c r="L552" s="3" t="s">
        <v>564</v>
      </c>
      <c r="M552" s="3">
        <v>80</v>
      </c>
      <c r="N552" s="3" t="s">
        <v>192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563</v>
      </c>
      <c r="C553" s="3" t="s">
        <v>202</v>
      </c>
      <c r="D553" s="3"/>
      <c r="E553" s="3" t="s">
        <v>202</v>
      </c>
      <c r="F553" s="3"/>
      <c r="G553" s="3"/>
      <c r="H553" s="3"/>
      <c r="I553" s="3"/>
      <c r="J553" s="3"/>
      <c r="K553" s="3"/>
      <c r="L553" s="3" t="s">
        <v>564</v>
      </c>
      <c r="M553" s="3">
        <v>90</v>
      </c>
      <c r="N553" s="3" t="s">
        <v>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563</v>
      </c>
      <c r="C554" s="3" t="s">
        <v>202</v>
      </c>
      <c r="D554" s="3"/>
      <c r="E554" s="3" t="s">
        <v>202</v>
      </c>
      <c r="F554" s="3"/>
      <c r="G554" s="3"/>
      <c r="H554" s="3"/>
      <c r="I554" s="3"/>
      <c r="J554" s="3"/>
      <c r="K554" s="3"/>
      <c r="L554" s="3" t="s">
        <v>564</v>
      </c>
      <c r="M554" s="3">
        <v>100</v>
      </c>
      <c r="N554" s="3" t="s">
        <v>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563</v>
      </c>
      <c r="C555" s="3" t="s">
        <v>202</v>
      </c>
      <c r="D555" s="3"/>
      <c r="E555" s="3" t="s">
        <v>202</v>
      </c>
      <c r="F555" s="3"/>
      <c r="G555" s="3"/>
      <c r="H555" s="3"/>
      <c r="I555" s="3"/>
      <c r="J555" s="3"/>
      <c r="K555" s="3"/>
      <c r="L555" s="3" t="s">
        <v>564</v>
      </c>
      <c r="M555" s="3">
        <v>110</v>
      </c>
      <c r="N555" s="3" t="s">
        <v>101</v>
      </c>
      <c r="O555" s="3"/>
      <c r="P555" s="3"/>
      <c r="Q555" s="3">
        <v>0.48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563</v>
      </c>
      <c r="C556" s="3" t="s">
        <v>202</v>
      </c>
      <c r="D556" s="3"/>
      <c r="E556" s="3" t="s">
        <v>202</v>
      </c>
      <c r="F556" s="3"/>
      <c r="G556" s="3"/>
      <c r="H556" s="3"/>
      <c r="I556" s="3"/>
      <c r="J556" s="3"/>
      <c r="K556" s="3"/>
      <c r="L556" s="3" t="s">
        <v>564</v>
      </c>
      <c r="M556" s="3">
        <v>120</v>
      </c>
      <c r="N556" s="3" t="s">
        <v>203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563</v>
      </c>
      <c r="C557" s="3" t="s">
        <v>204</v>
      </c>
      <c r="D557" s="3"/>
      <c r="E557" s="3" t="s">
        <v>204</v>
      </c>
      <c r="F557" s="3"/>
      <c r="G557" s="3"/>
      <c r="H557" s="3"/>
      <c r="I557" s="3"/>
      <c r="J557" s="3"/>
      <c r="K557" s="3"/>
      <c r="L557" s="3" t="s">
        <v>564</v>
      </c>
      <c r="M557" s="3">
        <v>10</v>
      </c>
      <c r="N557" s="3" t="s">
        <v>107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563</v>
      </c>
      <c r="C558" s="3" t="s">
        <v>204</v>
      </c>
      <c r="D558" s="3"/>
      <c r="E558" s="3" t="s">
        <v>204</v>
      </c>
      <c r="F558" s="3"/>
      <c r="G558" s="3"/>
      <c r="H558" s="3"/>
      <c r="I558" s="3"/>
      <c r="J558" s="3"/>
      <c r="K558" s="3"/>
      <c r="L558" s="3" t="s">
        <v>564</v>
      </c>
      <c r="M558" s="3">
        <v>20</v>
      </c>
      <c r="N558" s="3" t="s">
        <v>565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563</v>
      </c>
      <c r="C559" s="3" t="s">
        <v>204</v>
      </c>
      <c r="D559" s="3"/>
      <c r="E559" s="3" t="s">
        <v>204</v>
      </c>
      <c r="F559" s="3"/>
      <c r="G559" s="3"/>
      <c r="H559" s="3"/>
      <c r="I559" s="3"/>
      <c r="J559" s="3"/>
      <c r="K559" s="3"/>
      <c r="L559" s="3" t="s">
        <v>564</v>
      </c>
      <c r="M559" s="3">
        <v>30</v>
      </c>
      <c r="N559" s="3" t="s">
        <v>99</v>
      </c>
      <c r="O559" s="3"/>
      <c r="P559" s="3"/>
      <c r="Q559" s="3">
        <v>0.45900000000000002</v>
      </c>
      <c r="R559" s="3" t="s">
        <v>100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563</v>
      </c>
      <c r="C560" s="3" t="s">
        <v>204</v>
      </c>
      <c r="D560" s="3"/>
      <c r="E560" s="3" t="s">
        <v>204</v>
      </c>
      <c r="F560" s="3"/>
      <c r="G560" s="3"/>
      <c r="H560" s="3"/>
      <c r="I560" s="3"/>
      <c r="J560" s="3"/>
      <c r="K560" s="3"/>
      <c r="L560" s="3" t="s">
        <v>564</v>
      </c>
      <c r="M560" s="3">
        <v>40</v>
      </c>
      <c r="N560" s="3" t="s">
        <v>108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563</v>
      </c>
      <c r="C561" s="3" t="s">
        <v>204</v>
      </c>
      <c r="D561" s="3"/>
      <c r="E561" s="3" t="s">
        <v>204</v>
      </c>
      <c r="F561" s="3"/>
      <c r="G561" s="3"/>
      <c r="H561" s="3"/>
      <c r="I561" s="3"/>
      <c r="J561" s="3"/>
      <c r="K561" s="3"/>
      <c r="L561" s="3" t="s">
        <v>564</v>
      </c>
      <c r="M561" s="3">
        <v>50</v>
      </c>
      <c r="N561" s="3" t="s">
        <v>105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563</v>
      </c>
      <c r="C562" s="3" t="s">
        <v>204</v>
      </c>
      <c r="D562" s="3"/>
      <c r="E562" s="3" t="s">
        <v>204</v>
      </c>
      <c r="F562" s="3"/>
      <c r="G562" s="3"/>
      <c r="H562" s="3"/>
      <c r="I562" s="3"/>
      <c r="J562" s="3"/>
      <c r="K562" s="3"/>
      <c r="L562" s="3" t="s">
        <v>564</v>
      </c>
      <c r="M562" s="3">
        <v>60</v>
      </c>
      <c r="N562" s="3" t="s">
        <v>106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563</v>
      </c>
      <c r="C563" s="3" t="s">
        <v>204</v>
      </c>
      <c r="D563" s="3"/>
      <c r="E563" s="3" t="s">
        <v>204</v>
      </c>
      <c r="F563" s="3"/>
      <c r="G563" s="3"/>
      <c r="H563" s="3"/>
      <c r="I563" s="3"/>
      <c r="J563" s="3"/>
      <c r="K563" s="3"/>
      <c r="L563" s="3" t="s">
        <v>564</v>
      </c>
      <c r="M563" s="3">
        <v>70</v>
      </c>
      <c r="N563" s="3" t="s">
        <v>104</v>
      </c>
      <c r="O563" s="3"/>
      <c r="P563" s="3"/>
      <c r="Q563" s="3">
        <v>0.13900000000000001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563</v>
      </c>
      <c r="C564" s="3" t="s">
        <v>204</v>
      </c>
      <c r="D564" s="3"/>
      <c r="E564" s="3" t="s">
        <v>204</v>
      </c>
      <c r="F564" s="3"/>
      <c r="G564" s="3"/>
      <c r="H564" s="3"/>
      <c r="I564" s="3"/>
      <c r="J564" s="3"/>
      <c r="K564" s="3"/>
      <c r="L564" s="3" t="s">
        <v>564</v>
      </c>
      <c r="M564" s="3">
        <v>80</v>
      </c>
      <c r="N564" s="3" t="s">
        <v>192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563</v>
      </c>
      <c r="C565" s="3" t="s">
        <v>204</v>
      </c>
      <c r="D565" s="3"/>
      <c r="E565" s="3" t="s">
        <v>204</v>
      </c>
      <c r="F565" s="3"/>
      <c r="G565" s="3"/>
      <c r="H565" s="3"/>
      <c r="I565" s="3"/>
      <c r="J565" s="3"/>
      <c r="K565" s="3"/>
      <c r="L565" s="3" t="s">
        <v>564</v>
      </c>
      <c r="M565" s="3">
        <v>90</v>
      </c>
      <c r="N565" s="3" t="s">
        <v>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563</v>
      </c>
      <c r="C566" s="3" t="s">
        <v>204</v>
      </c>
      <c r="D566" s="3"/>
      <c r="E566" s="3" t="s">
        <v>204</v>
      </c>
      <c r="F566" s="3"/>
      <c r="G566" s="3"/>
      <c r="H566" s="3"/>
      <c r="I566" s="3"/>
      <c r="J566" s="3"/>
      <c r="K566" s="3"/>
      <c r="L566" s="3" t="s">
        <v>564</v>
      </c>
      <c r="M566" s="3">
        <v>100</v>
      </c>
      <c r="N566" s="3" t="s">
        <v>19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563</v>
      </c>
      <c r="C567" s="3" t="s">
        <v>204</v>
      </c>
      <c r="D567" s="3"/>
      <c r="E567" s="3" t="s">
        <v>204</v>
      </c>
      <c r="F567" s="3"/>
      <c r="G567" s="3"/>
      <c r="H567" s="3"/>
      <c r="I567" s="3"/>
      <c r="J567" s="3"/>
      <c r="K567" s="3"/>
      <c r="L567" s="3" t="s">
        <v>564</v>
      </c>
      <c r="M567" s="3">
        <v>110</v>
      </c>
      <c r="N567" s="3" t="s">
        <v>101</v>
      </c>
      <c r="O567" s="3"/>
      <c r="P567" s="3"/>
      <c r="Q567" s="3">
        <v>0.52500000000000002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563</v>
      </c>
      <c r="C568" s="3" t="s">
        <v>204</v>
      </c>
      <c r="D568" s="3"/>
      <c r="E568" s="3" t="s">
        <v>204</v>
      </c>
      <c r="F568" s="3"/>
      <c r="G568" s="3"/>
      <c r="H568" s="3"/>
      <c r="I568" s="3"/>
      <c r="J568" s="3"/>
      <c r="K568" s="3"/>
      <c r="L568" s="3" t="s">
        <v>564</v>
      </c>
      <c r="M568" s="3">
        <v>120</v>
      </c>
      <c r="N568" s="3" t="s">
        <v>205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563</v>
      </c>
      <c r="C569" s="3" t="s">
        <v>206</v>
      </c>
      <c r="D569" s="3"/>
      <c r="E569" s="3" t="s">
        <v>206</v>
      </c>
      <c r="F569" s="3"/>
      <c r="G569" s="3"/>
      <c r="H569" s="3"/>
      <c r="I569" s="3"/>
      <c r="J569" s="3"/>
      <c r="K569" s="3"/>
      <c r="L569" s="3" t="s">
        <v>564</v>
      </c>
      <c r="M569" s="3">
        <v>10</v>
      </c>
      <c r="N569" s="3" t="s">
        <v>107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563</v>
      </c>
      <c r="C570" s="3" t="s">
        <v>206</v>
      </c>
      <c r="D570" s="3"/>
      <c r="E570" s="3" t="s">
        <v>206</v>
      </c>
      <c r="F570" s="3"/>
      <c r="G570" s="3"/>
      <c r="H570" s="3"/>
      <c r="I570" s="3"/>
      <c r="J570" s="3"/>
      <c r="K570" s="3"/>
      <c r="L570" s="3" t="s">
        <v>564</v>
      </c>
      <c r="M570" s="3">
        <v>20</v>
      </c>
      <c r="N570" s="3" t="s">
        <v>565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563</v>
      </c>
      <c r="C571" s="3" t="s">
        <v>206</v>
      </c>
      <c r="D571" s="3"/>
      <c r="E571" s="3" t="s">
        <v>206</v>
      </c>
      <c r="F571" s="3"/>
      <c r="G571" s="3"/>
      <c r="H571" s="3"/>
      <c r="I571" s="3"/>
      <c r="J571" s="3"/>
      <c r="K571" s="3"/>
      <c r="L571" s="3" t="s">
        <v>564</v>
      </c>
      <c r="M571" s="3">
        <v>30</v>
      </c>
      <c r="N571" s="3" t="s">
        <v>99</v>
      </c>
      <c r="O571" s="3"/>
      <c r="P571" s="3"/>
      <c r="Q571" s="3">
        <v>0.503</v>
      </c>
      <c r="R571" s="3" t="s">
        <v>100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563</v>
      </c>
      <c r="C572" s="3" t="s">
        <v>206</v>
      </c>
      <c r="D572" s="3"/>
      <c r="E572" s="3" t="s">
        <v>206</v>
      </c>
      <c r="F572" s="3"/>
      <c r="G572" s="3"/>
      <c r="H572" s="3"/>
      <c r="I572" s="3"/>
      <c r="J572" s="3"/>
      <c r="K572" s="3"/>
      <c r="L572" s="3" t="s">
        <v>564</v>
      </c>
      <c r="M572" s="3">
        <v>40</v>
      </c>
      <c r="N572" s="3" t="s">
        <v>108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563</v>
      </c>
      <c r="C573" s="3" t="s">
        <v>206</v>
      </c>
      <c r="D573" s="3"/>
      <c r="E573" s="3" t="s">
        <v>206</v>
      </c>
      <c r="F573" s="3"/>
      <c r="G573" s="3"/>
      <c r="H573" s="3"/>
      <c r="I573" s="3"/>
      <c r="J573" s="3"/>
      <c r="K573" s="3"/>
      <c r="L573" s="3" t="s">
        <v>564</v>
      </c>
      <c r="M573" s="3">
        <v>50</v>
      </c>
      <c r="N573" s="3" t="s">
        <v>105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563</v>
      </c>
      <c r="C574" s="3" t="s">
        <v>206</v>
      </c>
      <c r="D574" s="3"/>
      <c r="E574" s="3" t="s">
        <v>206</v>
      </c>
      <c r="F574" s="3"/>
      <c r="G574" s="3"/>
      <c r="H574" s="3"/>
      <c r="I574" s="3"/>
      <c r="J574" s="3"/>
      <c r="K574" s="3"/>
      <c r="L574" s="3" t="s">
        <v>564</v>
      </c>
      <c r="M574" s="3">
        <v>60</v>
      </c>
      <c r="N574" s="3" t="s">
        <v>106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563</v>
      </c>
      <c r="C575" s="3" t="s">
        <v>206</v>
      </c>
      <c r="D575" s="3"/>
      <c r="E575" s="3" t="s">
        <v>206</v>
      </c>
      <c r="F575" s="3"/>
      <c r="G575" s="3"/>
      <c r="H575" s="3"/>
      <c r="I575" s="3"/>
      <c r="J575" s="3"/>
      <c r="K575" s="3"/>
      <c r="L575" s="3" t="s">
        <v>564</v>
      </c>
      <c r="M575" s="3">
        <v>70</v>
      </c>
      <c r="N575" s="3" t="s">
        <v>104</v>
      </c>
      <c r="O575" s="3"/>
      <c r="P575" s="3"/>
      <c r="Q575" s="3">
        <v>0.15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563</v>
      </c>
      <c r="C576" s="3" t="s">
        <v>206</v>
      </c>
      <c r="D576" s="3"/>
      <c r="E576" s="3" t="s">
        <v>206</v>
      </c>
      <c r="F576" s="3"/>
      <c r="G576" s="3"/>
      <c r="H576" s="3"/>
      <c r="I576" s="3"/>
      <c r="J576" s="3"/>
      <c r="K576" s="3"/>
      <c r="L576" s="3" t="s">
        <v>564</v>
      </c>
      <c r="M576" s="3">
        <v>80</v>
      </c>
      <c r="N576" s="3" t="s">
        <v>192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563</v>
      </c>
      <c r="C577" s="3" t="s">
        <v>206</v>
      </c>
      <c r="D577" s="3"/>
      <c r="E577" s="3" t="s">
        <v>206</v>
      </c>
      <c r="F577" s="3"/>
      <c r="G577" s="3"/>
      <c r="H577" s="3"/>
      <c r="I577" s="3"/>
      <c r="J577" s="3"/>
      <c r="K577" s="3"/>
      <c r="L577" s="3" t="s">
        <v>564</v>
      </c>
      <c r="M577" s="3">
        <v>90</v>
      </c>
      <c r="N577" s="3" t="s">
        <v>18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563</v>
      </c>
      <c r="C578" s="3" t="s">
        <v>206</v>
      </c>
      <c r="D578" s="3"/>
      <c r="E578" s="3" t="s">
        <v>206</v>
      </c>
      <c r="F578" s="3"/>
      <c r="G578" s="3"/>
      <c r="H578" s="3"/>
      <c r="I578" s="3"/>
      <c r="J578" s="3"/>
      <c r="K578" s="3"/>
      <c r="L578" s="3" t="s">
        <v>564</v>
      </c>
      <c r="M578" s="3">
        <v>100</v>
      </c>
      <c r="N578" s="3" t="s">
        <v>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563</v>
      </c>
      <c r="C579" s="3" t="s">
        <v>206</v>
      </c>
      <c r="D579" s="3"/>
      <c r="E579" s="3" t="s">
        <v>206</v>
      </c>
      <c r="F579" s="3"/>
      <c r="G579" s="3"/>
      <c r="H579" s="3"/>
      <c r="I579" s="3"/>
      <c r="J579" s="3"/>
      <c r="K579" s="3"/>
      <c r="L579" s="3" t="s">
        <v>564</v>
      </c>
      <c r="M579" s="3">
        <v>110</v>
      </c>
      <c r="N579" s="3" t="s">
        <v>101</v>
      </c>
      <c r="O579" s="3"/>
      <c r="P579" s="3"/>
      <c r="Q579" s="3">
        <v>0.56999999999999995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563</v>
      </c>
      <c r="C580" s="3" t="s">
        <v>206</v>
      </c>
      <c r="D580" s="3"/>
      <c r="E580" s="3" t="s">
        <v>206</v>
      </c>
      <c r="F580" s="3"/>
      <c r="G580" s="3"/>
      <c r="H580" s="3"/>
      <c r="I580" s="3"/>
      <c r="J580" s="3"/>
      <c r="K580" s="3"/>
      <c r="L580" s="3" t="s">
        <v>564</v>
      </c>
      <c r="M580" s="3">
        <v>120</v>
      </c>
      <c r="N580" s="3" t="s">
        <v>207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563</v>
      </c>
      <c r="C581" s="3" t="s">
        <v>208</v>
      </c>
      <c r="D581" s="3"/>
      <c r="E581" s="3" t="s">
        <v>208</v>
      </c>
      <c r="F581" s="3"/>
      <c r="G581" s="3"/>
      <c r="H581" s="3"/>
      <c r="I581" s="3"/>
      <c r="J581" s="3"/>
      <c r="K581" s="3"/>
      <c r="L581" s="3" t="s">
        <v>564</v>
      </c>
      <c r="M581" s="3">
        <v>10</v>
      </c>
      <c r="N581" s="3" t="s">
        <v>107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563</v>
      </c>
      <c r="C582" s="3" t="s">
        <v>208</v>
      </c>
      <c r="D582" s="3"/>
      <c r="E582" s="3" t="s">
        <v>208</v>
      </c>
      <c r="F582" s="3"/>
      <c r="G582" s="3"/>
      <c r="H582" s="3"/>
      <c r="I582" s="3"/>
      <c r="J582" s="3"/>
      <c r="K582" s="3"/>
      <c r="L582" s="3" t="s">
        <v>564</v>
      </c>
      <c r="M582" s="3">
        <v>20</v>
      </c>
      <c r="N582" s="3" t="s">
        <v>565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563</v>
      </c>
      <c r="C583" s="3" t="s">
        <v>208</v>
      </c>
      <c r="D583" s="3"/>
      <c r="E583" s="3" t="s">
        <v>208</v>
      </c>
      <c r="F583" s="3"/>
      <c r="G583" s="3"/>
      <c r="H583" s="3"/>
      <c r="I583" s="3"/>
      <c r="J583" s="3"/>
      <c r="K583" s="3"/>
      <c r="L583" s="3" t="s">
        <v>564</v>
      </c>
      <c r="M583" s="3">
        <v>30</v>
      </c>
      <c r="N583" s="3" t="s">
        <v>99</v>
      </c>
      <c r="O583" s="3"/>
      <c r="P583" s="3"/>
      <c r="Q583" s="3">
        <v>0.251</v>
      </c>
      <c r="R583" s="3" t="s">
        <v>100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563</v>
      </c>
      <c r="C584" s="3" t="s">
        <v>208</v>
      </c>
      <c r="D584" s="3"/>
      <c r="E584" s="3" t="s">
        <v>208</v>
      </c>
      <c r="F584" s="3"/>
      <c r="G584" s="3"/>
      <c r="H584" s="3"/>
      <c r="I584" s="3"/>
      <c r="J584" s="3"/>
      <c r="K584" s="3"/>
      <c r="L584" s="3" t="s">
        <v>564</v>
      </c>
      <c r="M584" s="3">
        <v>40</v>
      </c>
      <c r="N584" s="3" t="s">
        <v>108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563</v>
      </c>
      <c r="C585" s="3" t="s">
        <v>208</v>
      </c>
      <c r="D585" s="3"/>
      <c r="E585" s="3" t="s">
        <v>208</v>
      </c>
      <c r="F585" s="3"/>
      <c r="G585" s="3"/>
      <c r="H585" s="3"/>
      <c r="I585" s="3"/>
      <c r="J585" s="3"/>
      <c r="K585" s="3"/>
      <c r="L585" s="3" t="s">
        <v>564</v>
      </c>
      <c r="M585" s="3">
        <v>50</v>
      </c>
      <c r="N585" s="3" t="s">
        <v>105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563</v>
      </c>
      <c r="C586" s="3" t="s">
        <v>208</v>
      </c>
      <c r="D586" s="3"/>
      <c r="E586" s="3" t="s">
        <v>208</v>
      </c>
      <c r="F586" s="3"/>
      <c r="G586" s="3"/>
      <c r="H586" s="3"/>
      <c r="I586" s="3"/>
      <c r="J586" s="3"/>
      <c r="K586" s="3"/>
      <c r="L586" s="3" t="s">
        <v>564</v>
      </c>
      <c r="M586" s="3">
        <v>60</v>
      </c>
      <c r="N586" s="3" t="s">
        <v>106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563</v>
      </c>
      <c r="C587" s="3" t="s">
        <v>208</v>
      </c>
      <c r="D587" s="3"/>
      <c r="E587" s="3" t="s">
        <v>208</v>
      </c>
      <c r="F587" s="3"/>
      <c r="G587" s="3"/>
      <c r="H587" s="3"/>
      <c r="I587" s="3"/>
      <c r="J587" s="3"/>
      <c r="K587" s="3"/>
      <c r="L587" s="3" t="s">
        <v>564</v>
      </c>
      <c r="M587" s="3">
        <v>70</v>
      </c>
      <c r="N587" s="3" t="s">
        <v>104</v>
      </c>
      <c r="O587" s="3"/>
      <c r="P587" s="3"/>
      <c r="Q587" s="3">
        <v>8.3000000000000004E-2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563</v>
      </c>
      <c r="C588" s="3" t="s">
        <v>208</v>
      </c>
      <c r="D588" s="3"/>
      <c r="E588" s="3" t="s">
        <v>208</v>
      </c>
      <c r="F588" s="3"/>
      <c r="G588" s="3"/>
      <c r="H588" s="3"/>
      <c r="I588" s="3"/>
      <c r="J588" s="3"/>
      <c r="K588" s="3"/>
      <c r="L588" s="3" t="s">
        <v>564</v>
      </c>
      <c r="M588" s="3">
        <v>80</v>
      </c>
      <c r="N588" s="3" t="s">
        <v>192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563</v>
      </c>
      <c r="C589" s="3" t="s">
        <v>208</v>
      </c>
      <c r="D589" s="3"/>
      <c r="E589" s="3" t="s">
        <v>208</v>
      </c>
      <c r="F589" s="3"/>
      <c r="G589" s="3"/>
      <c r="H589" s="3"/>
      <c r="I589" s="3"/>
      <c r="J589" s="3"/>
      <c r="K589" s="3"/>
      <c r="L589" s="3" t="s">
        <v>564</v>
      </c>
      <c r="M589" s="3">
        <v>90</v>
      </c>
      <c r="N589" s="3" t="s">
        <v>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563</v>
      </c>
      <c r="C590" s="3" t="s">
        <v>208</v>
      </c>
      <c r="D590" s="3"/>
      <c r="E590" s="3" t="s">
        <v>208</v>
      </c>
      <c r="F590" s="3"/>
      <c r="G590" s="3"/>
      <c r="H590" s="3"/>
      <c r="I590" s="3"/>
      <c r="J590" s="3"/>
      <c r="K590" s="3"/>
      <c r="L590" s="3" t="s">
        <v>564</v>
      </c>
      <c r="M590" s="3">
        <v>100</v>
      </c>
      <c r="N590" s="3" t="s">
        <v>19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563</v>
      </c>
      <c r="C591" s="3" t="s">
        <v>208</v>
      </c>
      <c r="D591" s="3"/>
      <c r="E591" s="3" t="s">
        <v>208</v>
      </c>
      <c r="F591" s="3"/>
      <c r="G591" s="3"/>
      <c r="H591" s="3"/>
      <c r="I591" s="3"/>
      <c r="J591" s="3"/>
      <c r="K591" s="3"/>
      <c r="L591" s="3" t="s">
        <v>564</v>
      </c>
      <c r="M591" s="3">
        <v>110</v>
      </c>
      <c r="N591" s="3" t="s">
        <v>101</v>
      </c>
      <c r="O591" s="3"/>
      <c r="P591" s="3"/>
      <c r="Q591" s="3">
        <v>0.3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563</v>
      </c>
      <c r="C592" s="3" t="s">
        <v>208</v>
      </c>
      <c r="D592" s="3"/>
      <c r="E592" s="3" t="s">
        <v>208</v>
      </c>
      <c r="F592" s="3"/>
      <c r="G592" s="3"/>
      <c r="H592" s="3"/>
      <c r="I592" s="3"/>
      <c r="J592" s="3"/>
      <c r="K592" s="3"/>
      <c r="L592" s="3" t="s">
        <v>564</v>
      </c>
      <c r="M592" s="3">
        <v>120</v>
      </c>
      <c r="N592" s="3" t="s">
        <v>209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563</v>
      </c>
      <c r="C593" s="3" t="s">
        <v>210</v>
      </c>
      <c r="D593" s="3"/>
      <c r="E593" s="3" t="s">
        <v>210</v>
      </c>
      <c r="F593" s="3"/>
      <c r="G593" s="3"/>
      <c r="H593" s="3"/>
      <c r="I593" s="3"/>
      <c r="J593" s="3"/>
      <c r="K593" s="3"/>
      <c r="L593" s="3" t="s">
        <v>564</v>
      </c>
      <c r="M593" s="3">
        <v>10</v>
      </c>
      <c r="N593" s="3" t="s">
        <v>107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563</v>
      </c>
      <c r="C594" s="3" t="s">
        <v>210</v>
      </c>
      <c r="D594" s="3"/>
      <c r="E594" s="3" t="s">
        <v>210</v>
      </c>
      <c r="F594" s="3"/>
      <c r="G594" s="3"/>
      <c r="H594" s="3"/>
      <c r="I594" s="3"/>
      <c r="J594" s="3"/>
      <c r="K594" s="3"/>
      <c r="L594" s="3" t="s">
        <v>564</v>
      </c>
      <c r="M594" s="3">
        <v>20</v>
      </c>
      <c r="N594" s="3" t="s">
        <v>565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563</v>
      </c>
      <c r="C595" s="3" t="s">
        <v>210</v>
      </c>
      <c r="D595" s="3"/>
      <c r="E595" s="3" t="s">
        <v>210</v>
      </c>
      <c r="F595" s="3"/>
      <c r="G595" s="3"/>
      <c r="H595" s="3"/>
      <c r="I595" s="3"/>
      <c r="J595" s="3"/>
      <c r="K595" s="3"/>
      <c r="L595" s="3" t="s">
        <v>564</v>
      </c>
      <c r="M595" s="3">
        <v>30</v>
      </c>
      <c r="N595" s="3" t="s">
        <v>99</v>
      </c>
      <c r="O595" s="3"/>
      <c r="P595" s="3"/>
      <c r="Q595" s="3">
        <v>0.29599999999999999</v>
      </c>
      <c r="R595" s="3" t="s">
        <v>100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563</v>
      </c>
      <c r="C596" s="3" t="s">
        <v>210</v>
      </c>
      <c r="D596" s="3"/>
      <c r="E596" s="3" t="s">
        <v>210</v>
      </c>
      <c r="F596" s="3"/>
      <c r="G596" s="3"/>
      <c r="H596" s="3"/>
      <c r="I596" s="3"/>
      <c r="J596" s="3"/>
      <c r="K596" s="3"/>
      <c r="L596" s="3" t="s">
        <v>564</v>
      </c>
      <c r="M596" s="3">
        <v>40</v>
      </c>
      <c r="N596" s="3" t="s">
        <v>108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563</v>
      </c>
      <c r="C597" s="3" t="s">
        <v>210</v>
      </c>
      <c r="D597" s="3"/>
      <c r="E597" s="3" t="s">
        <v>210</v>
      </c>
      <c r="F597" s="3"/>
      <c r="G597" s="3"/>
      <c r="H597" s="3"/>
      <c r="I597" s="3"/>
      <c r="J597" s="3"/>
      <c r="K597" s="3"/>
      <c r="L597" s="3" t="s">
        <v>564</v>
      </c>
      <c r="M597" s="3">
        <v>50</v>
      </c>
      <c r="N597" s="3" t="s">
        <v>105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563</v>
      </c>
      <c r="C598" s="3" t="s">
        <v>210</v>
      </c>
      <c r="D598" s="3"/>
      <c r="E598" s="3" t="s">
        <v>210</v>
      </c>
      <c r="F598" s="3"/>
      <c r="G598" s="3"/>
      <c r="H598" s="3"/>
      <c r="I598" s="3"/>
      <c r="J598" s="3"/>
      <c r="K598" s="3"/>
      <c r="L598" s="3" t="s">
        <v>564</v>
      </c>
      <c r="M598" s="3">
        <v>60</v>
      </c>
      <c r="N598" s="3" t="s">
        <v>106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563</v>
      </c>
      <c r="C599" s="3" t="s">
        <v>210</v>
      </c>
      <c r="D599" s="3"/>
      <c r="E599" s="3" t="s">
        <v>210</v>
      </c>
      <c r="F599" s="3"/>
      <c r="G599" s="3"/>
      <c r="H599" s="3"/>
      <c r="I599" s="3"/>
      <c r="J599" s="3"/>
      <c r="K599" s="3"/>
      <c r="L599" s="3" t="s">
        <v>564</v>
      </c>
      <c r="M599" s="3">
        <v>70</v>
      </c>
      <c r="N599" s="3" t="s">
        <v>104</v>
      </c>
      <c r="O599" s="3"/>
      <c r="P599" s="3"/>
      <c r="Q599" s="3">
        <v>9.4E-2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563</v>
      </c>
      <c r="C600" s="3" t="s">
        <v>210</v>
      </c>
      <c r="D600" s="3"/>
      <c r="E600" s="3" t="s">
        <v>210</v>
      </c>
      <c r="F600" s="3"/>
      <c r="G600" s="3"/>
      <c r="H600" s="3"/>
      <c r="I600" s="3"/>
      <c r="J600" s="3"/>
      <c r="K600" s="3"/>
      <c r="L600" s="3" t="s">
        <v>564</v>
      </c>
      <c r="M600" s="3">
        <v>80</v>
      </c>
      <c r="N600" s="3" t="s">
        <v>192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563</v>
      </c>
      <c r="C601" s="3" t="s">
        <v>210</v>
      </c>
      <c r="D601" s="3"/>
      <c r="E601" s="3" t="s">
        <v>210</v>
      </c>
      <c r="F601" s="3"/>
      <c r="G601" s="3"/>
      <c r="H601" s="3"/>
      <c r="I601" s="3"/>
      <c r="J601" s="3"/>
      <c r="K601" s="3"/>
      <c r="L601" s="3" t="s">
        <v>564</v>
      </c>
      <c r="M601" s="3">
        <v>90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563</v>
      </c>
      <c r="C602" s="3" t="s">
        <v>210</v>
      </c>
      <c r="D602" s="3"/>
      <c r="E602" s="3" t="s">
        <v>210</v>
      </c>
      <c r="F602" s="3"/>
      <c r="G602" s="3"/>
      <c r="H602" s="3"/>
      <c r="I602" s="3"/>
      <c r="J602" s="3"/>
      <c r="K602" s="3"/>
      <c r="L602" s="3" t="s">
        <v>564</v>
      </c>
      <c r="M602" s="3">
        <v>100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563</v>
      </c>
      <c r="C603" s="3" t="s">
        <v>210</v>
      </c>
      <c r="D603" s="3"/>
      <c r="E603" s="3" t="s">
        <v>210</v>
      </c>
      <c r="F603" s="3"/>
      <c r="G603" s="3"/>
      <c r="H603" s="3"/>
      <c r="I603" s="3"/>
      <c r="J603" s="3"/>
      <c r="K603" s="3"/>
      <c r="L603" s="3" t="s">
        <v>564</v>
      </c>
      <c r="M603" s="3">
        <v>110</v>
      </c>
      <c r="N603" s="3" t="s">
        <v>101</v>
      </c>
      <c r="O603" s="3"/>
      <c r="P603" s="3"/>
      <c r="Q603" s="3">
        <v>0.34499999999999997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563</v>
      </c>
      <c r="C604" s="3" t="s">
        <v>210</v>
      </c>
      <c r="D604" s="3"/>
      <c r="E604" s="3" t="s">
        <v>210</v>
      </c>
      <c r="F604" s="3"/>
      <c r="G604" s="3"/>
      <c r="H604" s="3"/>
      <c r="I604" s="3"/>
      <c r="J604" s="3"/>
      <c r="K604" s="3"/>
      <c r="L604" s="3" t="s">
        <v>564</v>
      </c>
      <c r="M604" s="3">
        <v>120</v>
      </c>
      <c r="N604" s="3" t="s">
        <v>211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563</v>
      </c>
      <c r="C605" s="3" t="s">
        <v>212</v>
      </c>
      <c r="D605" s="3"/>
      <c r="E605" s="3" t="s">
        <v>212</v>
      </c>
      <c r="F605" s="3"/>
      <c r="G605" s="3"/>
      <c r="H605" s="3"/>
      <c r="I605" s="3"/>
      <c r="J605" s="3"/>
      <c r="K605" s="3"/>
      <c r="L605" s="3" t="s">
        <v>564</v>
      </c>
      <c r="M605" s="3">
        <v>10</v>
      </c>
      <c r="N605" s="3" t="s">
        <v>107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563</v>
      </c>
      <c r="C606" s="3" t="s">
        <v>212</v>
      </c>
      <c r="D606" s="3"/>
      <c r="E606" s="3" t="s">
        <v>212</v>
      </c>
      <c r="F606" s="3"/>
      <c r="G606" s="3"/>
      <c r="H606" s="3"/>
      <c r="I606" s="3"/>
      <c r="J606" s="3"/>
      <c r="K606" s="3"/>
      <c r="L606" s="3" t="s">
        <v>564</v>
      </c>
      <c r="M606" s="3">
        <v>20</v>
      </c>
      <c r="N606" s="3" t="s">
        <v>565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563</v>
      </c>
      <c r="C607" s="3" t="s">
        <v>212</v>
      </c>
      <c r="D607" s="3"/>
      <c r="E607" s="3" t="s">
        <v>212</v>
      </c>
      <c r="F607" s="3"/>
      <c r="G607" s="3"/>
      <c r="H607" s="3"/>
      <c r="I607" s="3"/>
      <c r="J607" s="3"/>
      <c r="K607" s="3"/>
      <c r="L607" s="3" t="s">
        <v>564</v>
      </c>
      <c r="M607" s="3">
        <v>30</v>
      </c>
      <c r="N607" s="3" t="s">
        <v>99</v>
      </c>
      <c r="O607" s="3"/>
      <c r="P607" s="3"/>
      <c r="Q607" s="3">
        <v>0.34200000000000003</v>
      </c>
      <c r="R607" s="3" t="s">
        <v>100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563</v>
      </c>
      <c r="C608" s="3" t="s">
        <v>212</v>
      </c>
      <c r="D608" s="3"/>
      <c r="E608" s="3" t="s">
        <v>212</v>
      </c>
      <c r="F608" s="3"/>
      <c r="G608" s="3"/>
      <c r="H608" s="3"/>
      <c r="I608" s="3"/>
      <c r="J608" s="3"/>
      <c r="K608" s="3"/>
      <c r="L608" s="3" t="s">
        <v>564</v>
      </c>
      <c r="M608" s="3">
        <v>40</v>
      </c>
      <c r="N608" s="3" t="s">
        <v>108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563</v>
      </c>
      <c r="C609" s="3" t="s">
        <v>212</v>
      </c>
      <c r="D609" s="3"/>
      <c r="E609" s="3" t="s">
        <v>212</v>
      </c>
      <c r="F609" s="3"/>
      <c r="G609" s="3"/>
      <c r="H609" s="3"/>
      <c r="I609" s="3"/>
      <c r="J609" s="3"/>
      <c r="K609" s="3"/>
      <c r="L609" s="3" t="s">
        <v>564</v>
      </c>
      <c r="M609" s="3">
        <v>50</v>
      </c>
      <c r="N609" s="3" t="s">
        <v>105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563</v>
      </c>
      <c r="C610" s="3" t="s">
        <v>212</v>
      </c>
      <c r="D610" s="3"/>
      <c r="E610" s="3" t="s">
        <v>212</v>
      </c>
      <c r="F610" s="3"/>
      <c r="G610" s="3"/>
      <c r="H610" s="3"/>
      <c r="I610" s="3"/>
      <c r="J610" s="3"/>
      <c r="K610" s="3"/>
      <c r="L610" s="3" t="s">
        <v>564</v>
      </c>
      <c r="M610" s="3">
        <v>60</v>
      </c>
      <c r="N610" s="3" t="s">
        <v>106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563</v>
      </c>
      <c r="C611" s="3" t="s">
        <v>212</v>
      </c>
      <c r="D611" s="3"/>
      <c r="E611" s="3" t="s">
        <v>212</v>
      </c>
      <c r="F611" s="3"/>
      <c r="G611" s="3"/>
      <c r="H611" s="3"/>
      <c r="I611" s="3"/>
      <c r="J611" s="3"/>
      <c r="K611" s="3"/>
      <c r="L611" s="3" t="s">
        <v>564</v>
      </c>
      <c r="M611" s="3">
        <v>70</v>
      </c>
      <c r="N611" s="3" t="s">
        <v>104</v>
      </c>
      <c r="O611" s="3"/>
      <c r="P611" s="3"/>
      <c r="Q611" s="3">
        <v>0.105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563</v>
      </c>
      <c r="C612" s="3" t="s">
        <v>212</v>
      </c>
      <c r="D612" s="3"/>
      <c r="E612" s="3" t="s">
        <v>212</v>
      </c>
      <c r="F612" s="3"/>
      <c r="G612" s="3"/>
      <c r="H612" s="3"/>
      <c r="I612" s="3"/>
      <c r="J612" s="3"/>
      <c r="K612" s="3"/>
      <c r="L612" s="3" t="s">
        <v>564</v>
      </c>
      <c r="M612" s="3">
        <v>80</v>
      </c>
      <c r="N612" s="3" t="s">
        <v>192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563</v>
      </c>
      <c r="C613" s="3" t="s">
        <v>212</v>
      </c>
      <c r="D613" s="3"/>
      <c r="E613" s="3" t="s">
        <v>212</v>
      </c>
      <c r="F613" s="3"/>
      <c r="G613" s="3"/>
      <c r="H613" s="3"/>
      <c r="I613" s="3"/>
      <c r="J613" s="3"/>
      <c r="K613" s="3"/>
      <c r="L613" s="3" t="s">
        <v>564</v>
      </c>
      <c r="M613" s="3">
        <v>90</v>
      </c>
      <c r="N613" s="3" t="s">
        <v>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563</v>
      </c>
      <c r="C614" s="3" t="s">
        <v>212</v>
      </c>
      <c r="D614" s="3"/>
      <c r="E614" s="3" t="s">
        <v>212</v>
      </c>
      <c r="F614" s="3"/>
      <c r="G614" s="3"/>
      <c r="H614" s="3"/>
      <c r="I614" s="3"/>
      <c r="J614" s="3"/>
      <c r="K614" s="3"/>
      <c r="L614" s="3" t="s">
        <v>564</v>
      </c>
      <c r="M614" s="3">
        <v>100</v>
      </c>
      <c r="N614" s="3" t="s">
        <v>19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563</v>
      </c>
      <c r="C615" s="3" t="s">
        <v>212</v>
      </c>
      <c r="D615" s="3"/>
      <c r="E615" s="3" t="s">
        <v>212</v>
      </c>
      <c r="F615" s="3"/>
      <c r="G615" s="3"/>
      <c r="H615" s="3"/>
      <c r="I615" s="3"/>
      <c r="J615" s="3"/>
      <c r="K615" s="3"/>
      <c r="L615" s="3" t="s">
        <v>564</v>
      </c>
      <c r="M615" s="3">
        <v>110</v>
      </c>
      <c r="N615" s="3" t="s">
        <v>101</v>
      </c>
      <c r="O615" s="3"/>
      <c r="P615" s="3"/>
      <c r="Q615" s="3">
        <v>0.39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563</v>
      </c>
      <c r="C616" s="3" t="s">
        <v>212</v>
      </c>
      <c r="D616" s="3"/>
      <c r="E616" s="3" t="s">
        <v>212</v>
      </c>
      <c r="F616" s="3"/>
      <c r="G616" s="3"/>
      <c r="H616" s="3"/>
      <c r="I616" s="3"/>
      <c r="J616" s="3"/>
      <c r="K616" s="3"/>
      <c r="L616" s="3" t="s">
        <v>564</v>
      </c>
      <c r="M616" s="3">
        <v>120</v>
      </c>
      <c r="N616" s="3" t="s">
        <v>213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563</v>
      </c>
      <c r="C617" s="3" t="s">
        <v>214</v>
      </c>
      <c r="D617" s="3"/>
      <c r="E617" s="3" t="s">
        <v>214</v>
      </c>
      <c r="F617" s="3"/>
      <c r="G617" s="3"/>
      <c r="H617" s="3"/>
      <c r="I617" s="3"/>
      <c r="J617" s="3"/>
      <c r="K617" s="3"/>
      <c r="L617" s="3" t="s">
        <v>564</v>
      </c>
      <c r="M617" s="3">
        <v>10</v>
      </c>
      <c r="N617" s="3" t="s">
        <v>107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563</v>
      </c>
      <c r="C618" s="3" t="s">
        <v>214</v>
      </c>
      <c r="D618" s="3"/>
      <c r="E618" s="3" t="s">
        <v>214</v>
      </c>
      <c r="F618" s="3"/>
      <c r="G618" s="3"/>
      <c r="H618" s="3"/>
      <c r="I618" s="3"/>
      <c r="J618" s="3"/>
      <c r="K618" s="3"/>
      <c r="L618" s="3" t="s">
        <v>564</v>
      </c>
      <c r="M618" s="3">
        <v>20</v>
      </c>
      <c r="N618" s="3" t="s">
        <v>565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563</v>
      </c>
      <c r="C619" s="3" t="s">
        <v>214</v>
      </c>
      <c r="D619" s="3"/>
      <c r="E619" s="3" t="s">
        <v>214</v>
      </c>
      <c r="F619" s="3"/>
      <c r="G619" s="3"/>
      <c r="H619" s="3"/>
      <c r="I619" s="3"/>
      <c r="J619" s="3"/>
      <c r="K619" s="3"/>
      <c r="L619" s="3" t="s">
        <v>564</v>
      </c>
      <c r="M619" s="3">
        <v>30</v>
      </c>
      <c r="N619" s="3" t="s">
        <v>99</v>
      </c>
      <c r="O619" s="3"/>
      <c r="P619" s="3"/>
      <c r="Q619" s="3">
        <v>0.38700000000000001</v>
      </c>
      <c r="R619" s="3" t="s">
        <v>100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563</v>
      </c>
      <c r="C620" s="3" t="s">
        <v>214</v>
      </c>
      <c r="D620" s="3"/>
      <c r="E620" s="3" t="s">
        <v>214</v>
      </c>
      <c r="F620" s="3"/>
      <c r="G620" s="3"/>
      <c r="H620" s="3"/>
      <c r="I620" s="3"/>
      <c r="J620" s="3"/>
      <c r="K620" s="3"/>
      <c r="L620" s="3" t="s">
        <v>564</v>
      </c>
      <c r="M620" s="3">
        <v>40</v>
      </c>
      <c r="N620" s="3" t="s">
        <v>108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563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564</v>
      </c>
      <c r="M621" s="3">
        <v>50</v>
      </c>
      <c r="N621" s="3" t="s">
        <v>105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563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564</v>
      </c>
      <c r="M622" s="3">
        <v>60</v>
      </c>
      <c r="N622" s="3" t="s">
        <v>106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563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564</v>
      </c>
      <c r="M623" s="3">
        <v>70</v>
      </c>
      <c r="N623" s="3" t="s">
        <v>104</v>
      </c>
      <c r="O623" s="3"/>
      <c r="P623" s="3"/>
      <c r="Q623" s="3">
        <v>0.11700000000000001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563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564</v>
      </c>
      <c r="M624" s="3">
        <v>80</v>
      </c>
      <c r="N624" s="3" t="s">
        <v>192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563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564</v>
      </c>
      <c r="M625" s="3">
        <v>90</v>
      </c>
      <c r="N625" s="3" t="s">
        <v>18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563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564</v>
      </c>
      <c r="M626" s="3">
        <v>100</v>
      </c>
      <c r="N626" s="3" t="s">
        <v>19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563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564</v>
      </c>
      <c r="M627" s="3">
        <v>110</v>
      </c>
      <c r="N627" s="3" t="s">
        <v>101</v>
      </c>
      <c r="O627" s="3"/>
      <c r="P627" s="3"/>
      <c r="Q627" s="3">
        <v>0.435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563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564</v>
      </c>
      <c r="M628" s="3">
        <v>120</v>
      </c>
      <c r="N628" s="3" t="s">
        <v>215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563</v>
      </c>
      <c r="C629" s="3" t="s">
        <v>216</v>
      </c>
      <c r="D629" s="3"/>
      <c r="E629" s="3" t="s">
        <v>216</v>
      </c>
      <c r="F629" s="3"/>
      <c r="G629" s="3"/>
      <c r="H629" s="3"/>
      <c r="I629" s="3"/>
      <c r="J629" s="3"/>
      <c r="K629" s="3"/>
      <c r="L629" s="3" t="s">
        <v>564</v>
      </c>
      <c r="M629" s="3">
        <v>10</v>
      </c>
      <c r="N629" s="3" t="s">
        <v>107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563</v>
      </c>
      <c r="C630" s="3" t="s">
        <v>216</v>
      </c>
      <c r="D630" s="3"/>
      <c r="E630" s="3" t="s">
        <v>216</v>
      </c>
      <c r="F630" s="3"/>
      <c r="G630" s="3"/>
      <c r="H630" s="3"/>
      <c r="I630" s="3"/>
      <c r="J630" s="3"/>
      <c r="K630" s="3"/>
      <c r="L630" s="3" t="s">
        <v>564</v>
      </c>
      <c r="M630" s="3">
        <v>20</v>
      </c>
      <c r="N630" s="3" t="s">
        <v>565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563</v>
      </c>
      <c r="C631" s="3" t="s">
        <v>216</v>
      </c>
      <c r="D631" s="3"/>
      <c r="E631" s="3" t="s">
        <v>216</v>
      </c>
      <c r="F631" s="3"/>
      <c r="G631" s="3"/>
      <c r="H631" s="3"/>
      <c r="I631" s="3"/>
      <c r="J631" s="3"/>
      <c r="K631" s="3"/>
      <c r="L631" s="3" t="s">
        <v>564</v>
      </c>
      <c r="M631" s="3">
        <v>30</v>
      </c>
      <c r="N631" s="3" t="s">
        <v>99</v>
      </c>
      <c r="O631" s="3"/>
      <c r="P631" s="3"/>
      <c r="Q631" s="3">
        <v>0.41</v>
      </c>
      <c r="R631" s="3" t="s">
        <v>100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563</v>
      </c>
      <c r="C632" s="3" t="s">
        <v>216</v>
      </c>
      <c r="D632" s="3"/>
      <c r="E632" s="3" t="s">
        <v>216</v>
      </c>
      <c r="F632" s="3"/>
      <c r="G632" s="3"/>
      <c r="H632" s="3"/>
      <c r="I632" s="3"/>
      <c r="J632" s="3"/>
      <c r="K632" s="3"/>
      <c r="L632" s="3" t="s">
        <v>564</v>
      </c>
      <c r="M632" s="3">
        <v>40</v>
      </c>
      <c r="N632" s="3" t="s">
        <v>108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563</v>
      </c>
      <c r="C633" s="3" t="s">
        <v>216</v>
      </c>
      <c r="D633" s="3"/>
      <c r="E633" s="3" t="s">
        <v>216</v>
      </c>
      <c r="F633" s="3"/>
      <c r="G633" s="3"/>
      <c r="H633" s="3"/>
      <c r="I633" s="3"/>
      <c r="J633" s="3"/>
      <c r="K633" s="3"/>
      <c r="L633" s="3" t="s">
        <v>564</v>
      </c>
      <c r="M633" s="3">
        <v>50</v>
      </c>
      <c r="N633" s="3" t="s">
        <v>105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563</v>
      </c>
      <c r="C634" s="3" t="s">
        <v>216</v>
      </c>
      <c r="D634" s="3"/>
      <c r="E634" s="3" t="s">
        <v>216</v>
      </c>
      <c r="F634" s="3"/>
      <c r="G634" s="3"/>
      <c r="H634" s="3"/>
      <c r="I634" s="3"/>
      <c r="J634" s="3"/>
      <c r="K634" s="3"/>
      <c r="L634" s="3" t="s">
        <v>564</v>
      </c>
      <c r="M634" s="3">
        <v>60</v>
      </c>
      <c r="N634" s="3" t="s">
        <v>106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563</v>
      </c>
      <c r="C635" s="3" t="s">
        <v>216</v>
      </c>
      <c r="D635" s="3"/>
      <c r="E635" s="3" t="s">
        <v>216</v>
      </c>
      <c r="F635" s="3"/>
      <c r="G635" s="3"/>
      <c r="H635" s="3"/>
      <c r="I635" s="3"/>
      <c r="J635" s="3"/>
      <c r="K635" s="3"/>
      <c r="L635" s="3" t="s">
        <v>564</v>
      </c>
      <c r="M635" s="3">
        <v>70</v>
      </c>
      <c r="N635" s="3" t="s">
        <v>104</v>
      </c>
      <c r="O635" s="3"/>
      <c r="P635" s="3"/>
      <c r="Q635" s="3">
        <v>0.122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563</v>
      </c>
      <c r="C636" s="3" t="s">
        <v>216</v>
      </c>
      <c r="D636" s="3"/>
      <c r="E636" s="3" t="s">
        <v>216</v>
      </c>
      <c r="F636" s="3"/>
      <c r="G636" s="3"/>
      <c r="H636" s="3"/>
      <c r="I636" s="3"/>
      <c r="J636" s="3"/>
      <c r="K636" s="3"/>
      <c r="L636" s="3" t="s">
        <v>564</v>
      </c>
      <c r="M636" s="3">
        <v>80</v>
      </c>
      <c r="N636" s="3" t="s">
        <v>192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563</v>
      </c>
      <c r="C637" s="3" t="s">
        <v>216</v>
      </c>
      <c r="D637" s="3"/>
      <c r="E637" s="3" t="s">
        <v>216</v>
      </c>
      <c r="F637" s="3"/>
      <c r="G637" s="3"/>
      <c r="H637" s="3"/>
      <c r="I637" s="3"/>
      <c r="J637" s="3"/>
      <c r="K637" s="3"/>
      <c r="L637" s="3" t="s">
        <v>564</v>
      </c>
      <c r="M637" s="3">
        <v>90</v>
      </c>
      <c r="N637" s="3" t="s">
        <v>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563</v>
      </c>
      <c r="C638" s="3" t="s">
        <v>216</v>
      </c>
      <c r="D638" s="3"/>
      <c r="E638" s="3" t="s">
        <v>216</v>
      </c>
      <c r="F638" s="3"/>
      <c r="G638" s="3"/>
      <c r="H638" s="3"/>
      <c r="I638" s="3"/>
      <c r="J638" s="3"/>
      <c r="K638" s="3"/>
      <c r="L638" s="3" t="s">
        <v>564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563</v>
      </c>
      <c r="C639" s="3" t="s">
        <v>216</v>
      </c>
      <c r="D639" s="3"/>
      <c r="E639" s="3" t="s">
        <v>216</v>
      </c>
      <c r="F639" s="3"/>
      <c r="G639" s="3"/>
      <c r="H639" s="3"/>
      <c r="I639" s="3"/>
      <c r="J639" s="3"/>
      <c r="K639" s="3"/>
      <c r="L639" s="3" t="s">
        <v>564</v>
      </c>
      <c r="M639" s="3">
        <v>110</v>
      </c>
      <c r="N639" s="3" t="s">
        <v>101</v>
      </c>
      <c r="O639" s="3"/>
      <c r="P639" s="3"/>
      <c r="Q639" s="3">
        <v>0.45800000000000002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563</v>
      </c>
      <c r="C640" s="3" t="s">
        <v>216</v>
      </c>
      <c r="D640" s="3"/>
      <c r="E640" s="3" t="s">
        <v>216</v>
      </c>
      <c r="F640" s="3"/>
      <c r="G640" s="3"/>
      <c r="H640" s="3"/>
      <c r="I640" s="3"/>
      <c r="J640" s="3"/>
      <c r="K640" s="3"/>
      <c r="L640" s="3" t="s">
        <v>564</v>
      </c>
      <c r="M640" s="3">
        <v>120</v>
      </c>
      <c r="N640" s="3" t="s">
        <v>217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563</v>
      </c>
      <c r="C641" s="3" t="s">
        <v>218</v>
      </c>
      <c r="D641" s="3"/>
      <c r="E641" s="3" t="s">
        <v>218</v>
      </c>
      <c r="F641" s="3"/>
      <c r="G641" s="3"/>
      <c r="H641" s="3"/>
      <c r="I641" s="3"/>
      <c r="J641" s="3"/>
      <c r="K641" s="3"/>
      <c r="L641" s="3" t="s">
        <v>564</v>
      </c>
      <c r="M641" s="3">
        <v>10</v>
      </c>
      <c r="N641" s="3" t="s">
        <v>107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563</v>
      </c>
      <c r="C642" s="3" t="s">
        <v>218</v>
      </c>
      <c r="D642" s="3"/>
      <c r="E642" s="3" t="s">
        <v>218</v>
      </c>
      <c r="F642" s="3"/>
      <c r="G642" s="3"/>
      <c r="H642" s="3"/>
      <c r="I642" s="3"/>
      <c r="J642" s="3"/>
      <c r="K642" s="3"/>
      <c r="L642" s="3" t="s">
        <v>564</v>
      </c>
      <c r="M642" s="3">
        <v>20</v>
      </c>
      <c r="N642" s="3" t="s">
        <v>565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563</v>
      </c>
      <c r="C643" s="3" t="s">
        <v>218</v>
      </c>
      <c r="D643" s="3"/>
      <c r="E643" s="3" t="s">
        <v>218</v>
      </c>
      <c r="F643" s="3"/>
      <c r="G643" s="3"/>
      <c r="H643" s="3"/>
      <c r="I643" s="3"/>
      <c r="J643" s="3"/>
      <c r="K643" s="3"/>
      <c r="L643" s="3" t="s">
        <v>564</v>
      </c>
      <c r="M643" s="3">
        <v>30</v>
      </c>
      <c r="N643" s="3" t="s">
        <v>99</v>
      </c>
      <c r="O643" s="3"/>
      <c r="P643" s="3"/>
      <c r="Q643" s="3">
        <v>0.433</v>
      </c>
      <c r="R643" s="3" t="s">
        <v>100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563</v>
      </c>
      <c r="C644" s="3" t="s">
        <v>218</v>
      </c>
      <c r="D644" s="3"/>
      <c r="E644" s="3" t="s">
        <v>218</v>
      </c>
      <c r="F644" s="3"/>
      <c r="G644" s="3"/>
      <c r="H644" s="3"/>
      <c r="I644" s="3"/>
      <c r="J644" s="3"/>
      <c r="K644" s="3"/>
      <c r="L644" s="3" t="s">
        <v>564</v>
      </c>
      <c r="M644" s="3">
        <v>40</v>
      </c>
      <c r="N644" s="3" t="s">
        <v>108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563</v>
      </c>
      <c r="C645" s="3" t="s">
        <v>218</v>
      </c>
      <c r="D645" s="3"/>
      <c r="E645" s="3" t="s">
        <v>218</v>
      </c>
      <c r="F645" s="3"/>
      <c r="G645" s="3"/>
      <c r="H645" s="3"/>
      <c r="I645" s="3"/>
      <c r="J645" s="3"/>
      <c r="K645" s="3"/>
      <c r="L645" s="3" t="s">
        <v>564</v>
      </c>
      <c r="M645" s="3">
        <v>50</v>
      </c>
      <c r="N645" s="3" t="s">
        <v>105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563</v>
      </c>
      <c r="C646" s="3" t="s">
        <v>218</v>
      </c>
      <c r="D646" s="3"/>
      <c r="E646" s="3" t="s">
        <v>218</v>
      </c>
      <c r="F646" s="3"/>
      <c r="G646" s="3"/>
      <c r="H646" s="3"/>
      <c r="I646" s="3"/>
      <c r="J646" s="3"/>
      <c r="K646" s="3"/>
      <c r="L646" s="3" t="s">
        <v>564</v>
      </c>
      <c r="M646" s="3">
        <v>60</v>
      </c>
      <c r="N646" s="3" t="s">
        <v>106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563</v>
      </c>
      <c r="C647" s="3" t="s">
        <v>218</v>
      </c>
      <c r="D647" s="3"/>
      <c r="E647" s="3" t="s">
        <v>218</v>
      </c>
      <c r="F647" s="3"/>
      <c r="G647" s="3"/>
      <c r="H647" s="3"/>
      <c r="I647" s="3"/>
      <c r="J647" s="3"/>
      <c r="K647" s="3"/>
      <c r="L647" s="3" t="s">
        <v>564</v>
      </c>
      <c r="M647" s="3">
        <v>70</v>
      </c>
      <c r="N647" s="3" t="s">
        <v>104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563</v>
      </c>
      <c r="C648" s="3" t="s">
        <v>218</v>
      </c>
      <c r="D648" s="3"/>
      <c r="E648" s="3" t="s">
        <v>218</v>
      </c>
      <c r="F648" s="3"/>
      <c r="G648" s="3"/>
      <c r="H648" s="3"/>
      <c r="I648" s="3"/>
      <c r="J648" s="3"/>
      <c r="K648" s="3"/>
      <c r="L648" s="3" t="s">
        <v>564</v>
      </c>
      <c r="M648" s="3">
        <v>80</v>
      </c>
      <c r="N648" s="3" t="s">
        <v>192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563</v>
      </c>
      <c r="C649" s="3" t="s">
        <v>218</v>
      </c>
      <c r="D649" s="3"/>
      <c r="E649" s="3" t="s">
        <v>218</v>
      </c>
      <c r="F649" s="3"/>
      <c r="G649" s="3"/>
      <c r="H649" s="3"/>
      <c r="I649" s="3"/>
      <c r="J649" s="3"/>
      <c r="K649" s="3"/>
      <c r="L649" s="3" t="s">
        <v>564</v>
      </c>
      <c r="M649" s="3">
        <v>90</v>
      </c>
      <c r="N649" s="3" t="s">
        <v>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563</v>
      </c>
      <c r="C650" s="3" t="s">
        <v>218</v>
      </c>
      <c r="D650" s="3"/>
      <c r="E650" s="3" t="s">
        <v>218</v>
      </c>
      <c r="F650" s="3"/>
      <c r="G650" s="3"/>
      <c r="H650" s="3"/>
      <c r="I650" s="3"/>
      <c r="J650" s="3"/>
      <c r="K650" s="3"/>
      <c r="L650" s="3" t="s">
        <v>564</v>
      </c>
      <c r="M650" s="3">
        <v>100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563</v>
      </c>
      <c r="C651" s="3" t="s">
        <v>218</v>
      </c>
      <c r="D651" s="3"/>
      <c r="E651" s="3" t="s">
        <v>218</v>
      </c>
      <c r="F651" s="3"/>
      <c r="G651" s="3"/>
      <c r="H651" s="3"/>
      <c r="I651" s="3"/>
      <c r="J651" s="3"/>
      <c r="K651" s="3"/>
      <c r="L651" s="3" t="s">
        <v>564</v>
      </c>
      <c r="M651" s="3">
        <v>110</v>
      </c>
      <c r="N651" s="3" t="s">
        <v>101</v>
      </c>
      <c r="O651" s="3"/>
      <c r="P651" s="3"/>
      <c r="Q651" s="3">
        <v>0.48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563</v>
      </c>
      <c r="C652" s="3" t="s">
        <v>218</v>
      </c>
      <c r="D652" s="3"/>
      <c r="E652" s="3" t="s">
        <v>218</v>
      </c>
      <c r="F652" s="3"/>
      <c r="G652" s="3"/>
      <c r="H652" s="3"/>
      <c r="I652" s="3"/>
      <c r="J652" s="3"/>
      <c r="K652" s="3"/>
      <c r="L652" s="3" t="s">
        <v>564</v>
      </c>
      <c r="M652" s="3">
        <v>120</v>
      </c>
      <c r="N652" s="3" t="s">
        <v>219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563</v>
      </c>
      <c r="C653" s="3" t="s">
        <v>220</v>
      </c>
      <c r="D653" s="3"/>
      <c r="E653" s="3" t="s">
        <v>220</v>
      </c>
      <c r="F653" s="3"/>
      <c r="G653" s="3"/>
      <c r="H653" s="3"/>
      <c r="I653" s="3"/>
      <c r="J653" s="3"/>
      <c r="K653" s="3"/>
      <c r="L653" s="3" t="s">
        <v>564</v>
      </c>
      <c r="M653" s="3">
        <v>10</v>
      </c>
      <c r="N653" s="3" t="s">
        <v>107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563</v>
      </c>
      <c r="C654" s="3" t="s">
        <v>220</v>
      </c>
      <c r="D654" s="3"/>
      <c r="E654" s="3" t="s">
        <v>220</v>
      </c>
      <c r="F654" s="3"/>
      <c r="G654" s="3"/>
      <c r="H654" s="3"/>
      <c r="I654" s="3"/>
      <c r="J654" s="3"/>
      <c r="K654" s="3"/>
      <c r="L654" s="3" t="s">
        <v>564</v>
      </c>
      <c r="M654" s="3">
        <v>20</v>
      </c>
      <c r="N654" s="3" t="s">
        <v>565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563</v>
      </c>
      <c r="C655" s="3" t="s">
        <v>220</v>
      </c>
      <c r="D655" s="3"/>
      <c r="E655" s="3" t="s">
        <v>220</v>
      </c>
      <c r="F655" s="3"/>
      <c r="G655" s="3"/>
      <c r="H655" s="3"/>
      <c r="I655" s="3"/>
      <c r="J655" s="3"/>
      <c r="K655" s="3"/>
      <c r="L655" s="3" t="s">
        <v>564</v>
      </c>
      <c r="M655" s="3">
        <v>30</v>
      </c>
      <c r="N655" s="3" t="s">
        <v>99</v>
      </c>
      <c r="O655" s="3"/>
      <c r="P655" s="3"/>
      <c r="Q655" s="3">
        <v>0.47799999999999998</v>
      </c>
      <c r="R655" s="3" t="s">
        <v>100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563</v>
      </c>
      <c r="C656" s="3" t="s">
        <v>220</v>
      </c>
      <c r="D656" s="3"/>
      <c r="E656" s="3" t="s">
        <v>220</v>
      </c>
      <c r="F656" s="3"/>
      <c r="G656" s="3"/>
      <c r="H656" s="3"/>
      <c r="I656" s="3"/>
      <c r="J656" s="3"/>
      <c r="K656" s="3"/>
      <c r="L656" s="3" t="s">
        <v>564</v>
      </c>
      <c r="M656" s="3">
        <v>40</v>
      </c>
      <c r="N656" s="3" t="s">
        <v>108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563</v>
      </c>
      <c r="C657" s="3" t="s">
        <v>220</v>
      </c>
      <c r="D657" s="3"/>
      <c r="E657" s="3" t="s">
        <v>220</v>
      </c>
      <c r="F657" s="3"/>
      <c r="G657" s="3"/>
      <c r="H657" s="3"/>
      <c r="I657" s="3"/>
      <c r="J657" s="3"/>
      <c r="K657" s="3"/>
      <c r="L657" s="3" t="s">
        <v>564</v>
      </c>
      <c r="M657" s="3">
        <v>50</v>
      </c>
      <c r="N657" s="3" t="s">
        <v>105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563</v>
      </c>
      <c r="C658" s="3" t="s">
        <v>220</v>
      </c>
      <c r="D658" s="3"/>
      <c r="E658" s="3" t="s">
        <v>220</v>
      </c>
      <c r="F658" s="3"/>
      <c r="G658" s="3"/>
      <c r="H658" s="3"/>
      <c r="I658" s="3"/>
      <c r="J658" s="3"/>
      <c r="K658" s="3"/>
      <c r="L658" s="3" t="s">
        <v>564</v>
      </c>
      <c r="M658" s="3">
        <v>60</v>
      </c>
      <c r="N658" s="3" t="s">
        <v>106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563</v>
      </c>
      <c r="C659" s="3" t="s">
        <v>220</v>
      </c>
      <c r="D659" s="3"/>
      <c r="E659" s="3" t="s">
        <v>220</v>
      </c>
      <c r="F659" s="3"/>
      <c r="G659" s="3"/>
      <c r="H659" s="3"/>
      <c r="I659" s="3"/>
      <c r="J659" s="3"/>
      <c r="K659" s="3"/>
      <c r="L659" s="3" t="s">
        <v>564</v>
      </c>
      <c r="M659" s="3">
        <v>70</v>
      </c>
      <c r="N659" s="3" t="s">
        <v>104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563</v>
      </c>
      <c r="C660" s="3" t="s">
        <v>220</v>
      </c>
      <c r="D660" s="3"/>
      <c r="E660" s="3" t="s">
        <v>220</v>
      </c>
      <c r="F660" s="3"/>
      <c r="G660" s="3"/>
      <c r="H660" s="3"/>
      <c r="I660" s="3"/>
      <c r="J660" s="3"/>
      <c r="K660" s="3"/>
      <c r="L660" s="3" t="s">
        <v>564</v>
      </c>
      <c r="M660" s="3">
        <v>80</v>
      </c>
      <c r="N660" s="3" t="s">
        <v>192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563</v>
      </c>
      <c r="C661" s="3" t="s">
        <v>220</v>
      </c>
      <c r="D661" s="3"/>
      <c r="E661" s="3" t="s">
        <v>220</v>
      </c>
      <c r="F661" s="3"/>
      <c r="G661" s="3"/>
      <c r="H661" s="3"/>
      <c r="I661" s="3"/>
      <c r="J661" s="3"/>
      <c r="K661" s="3"/>
      <c r="L661" s="3" t="s">
        <v>564</v>
      </c>
      <c r="M661" s="3">
        <v>90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563</v>
      </c>
      <c r="C662" s="3" t="s">
        <v>220</v>
      </c>
      <c r="D662" s="3"/>
      <c r="E662" s="3" t="s">
        <v>220</v>
      </c>
      <c r="F662" s="3"/>
      <c r="G662" s="3"/>
      <c r="H662" s="3"/>
      <c r="I662" s="3"/>
      <c r="J662" s="3"/>
      <c r="K662" s="3"/>
      <c r="L662" s="3" t="s">
        <v>564</v>
      </c>
      <c r="M662" s="3">
        <v>100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563</v>
      </c>
      <c r="C663" s="3" t="s">
        <v>220</v>
      </c>
      <c r="D663" s="3"/>
      <c r="E663" s="3" t="s">
        <v>220</v>
      </c>
      <c r="F663" s="3"/>
      <c r="G663" s="3"/>
      <c r="H663" s="3"/>
      <c r="I663" s="3"/>
      <c r="J663" s="3"/>
      <c r="K663" s="3"/>
      <c r="L663" s="3" t="s">
        <v>564</v>
      </c>
      <c r="M663" s="3">
        <v>110</v>
      </c>
      <c r="N663" s="3" t="s">
        <v>101</v>
      </c>
      <c r="O663" s="3"/>
      <c r="P663" s="3"/>
      <c r="Q663" s="3">
        <v>0.52500000000000002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563</v>
      </c>
      <c r="C664" s="3" t="s">
        <v>220</v>
      </c>
      <c r="D664" s="3"/>
      <c r="E664" s="3" t="s">
        <v>220</v>
      </c>
      <c r="F664" s="3"/>
      <c r="G664" s="3"/>
      <c r="H664" s="3"/>
      <c r="I664" s="3"/>
      <c r="J664" s="3"/>
      <c r="K664" s="3"/>
      <c r="L664" s="3" t="s">
        <v>564</v>
      </c>
      <c r="M664" s="3">
        <v>120</v>
      </c>
      <c r="N664" s="3" t="s">
        <v>221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563</v>
      </c>
      <c r="C665" s="3" t="s">
        <v>222</v>
      </c>
      <c r="D665" s="3"/>
      <c r="E665" s="3" t="s">
        <v>222</v>
      </c>
      <c r="F665" s="3"/>
      <c r="G665" s="3"/>
      <c r="H665" s="3"/>
      <c r="I665" s="3"/>
      <c r="J665" s="3"/>
      <c r="K665" s="3"/>
      <c r="L665" s="3" t="s">
        <v>564</v>
      </c>
      <c r="M665" s="3">
        <v>10</v>
      </c>
      <c r="N665" s="3" t="s">
        <v>107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563</v>
      </c>
      <c r="C666" s="3" t="s">
        <v>222</v>
      </c>
      <c r="D666" s="3"/>
      <c r="E666" s="3" t="s">
        <v>222</v>
      </c>
      <c r="F666" s="3"/>
      <c r="G666" s="3"/>
      <c r="H666" s="3"/>
      <c r="I666" s="3"/>
      <c r="J666" s="3"/>
      <c r="K666" s="3"/>
      <c r="L666" s="3" t="s">
        <v>564</v>
      </c>
      <c r="M666" s="3">
        <v>20</v>
      </c>
      <c r="N666" s="3" t="s">
        <v>565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563</v>
      </c>
      <c r="C667" s="3" t="s">
        <v>222</v>
      </c>
      <c r="D667" s="3"/>
      <c r="E667" s="3" t="s">
        <v>222</v>
      </c>
      <c r="F667" s="3"/>
      <c r="G667" s="3"/>
      <c r="H667" s="3"/>
      <c r="I667" s="3"/>
      <c r="J667" s="3"/>
      <c r="K667" s="3"/>
      <c r="L667" s="3" t="s">
        <v>564</v>
      </c>
      <c r="M667" s="3">
        <v>30</v>
      </c>
      <c r="N667" s="3" t="s">
        <v>99</v>
      </c>
      <c r="O667" s="3"/>
      <c r="P667" s="3"/>
      <c r="Q667" s="3">
        <v>0.52400000000000002</v>
      </c>
      <c r="R667" s="3" t="s">
        <v>100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563</v>
      </c>
      <c r="C668" s="3" t="s">
        <v>222</v>
      </c>
      <c r="D668" s="3"/>
      <c r="E668" s="3" t="s">
        <v>222</v>
      </c>
      <c r="F668" s="3"/>
      <c r="G668" s="3"/>
      <c r="H668" s="3"/>
      <c r="I668" s="3"/>
      <c r="J668" s="3"/>
      <c r="K668" s="3"/>
      <c r="L668" s="3" t="s">
        <v>564</v>
      </c>
      <c r="M668" s="3">
        <v>40</v>
      </c>
      <c r="N668" s="3" t="s">
        <v>108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563</v>
      </c>
      <c r="C669" s="3" t="s">
        <v>222</v>
      </c>
      <c r="D669" s="3"/>
      <c r="E669" s="3" t="s">
        <v>222</v>
      </c>
      <c r="F669" s="3"/>
      <c r="G669" s="3"/>
      <c r="H669" s="3"/>
      <c r="I669" s="3"/>
      <c r="J669" s="3"/>
      <c r="K669" s="3"/>
      <c r="L669" s="3" t="s">
        <v>564</v>
      </c>
      <c r="M669" s="3">
        <v>50</v>
      </c>
      <c r="N669" s="3" t="s">
        <v>105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563</v>
      </c>
      <c r="C670" s="3" t="s">
        <v>222</v>
      </c>
      <c r="D670" s="3"/>
      <c r="E670" s="3" t="s">
        <v>222</v>
      </c>
      <c r="F670" s="3"/>
      <c r="G670" s="3"/>
      <c r="H670" s="3"/>
      <c r="I670" s="3"/>
      <c r="J670" s="3"/>
      <c r="K670" s="3"/>
      <c r="L670" s="3" t="s">
        <v>564</v>
      </c>
      <c r="M670" s="3">
        <v>60</v>
      </c>
      <c r="N670" s="3" t="s">
        <v>106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563</v>
      </c>
      <c r="C671" s="3" t="s">
        <v>222</v>
      </c>
      <c r="D671" s="3"/>
      <c r="E671" s="3" t="s">
        <v>222</v>
      </c>
      <c r="F671" s="3"/>
      <c r="G671" s="3"/>
      <c r="H671" s="3"/>
      <c r="I671" s="3"/>
      <c r="J671" s="3"/>
      <c r="K671" s="3"/>
      <c r="L671" s="3" t="s">
        <v>564</v>
      </c>
      <c r="M671" s="3">
        <v>70</v>
      </c>
      <c r="N671" s="3" t="s">
        <v>104</v>
      </c>
      <c r="O671" s="3"/>
      <c r="P671" s="3"/>
      <c r="Q671" s="3">
        <v>0.15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563</v>
      </c>
      <c r="C672" s="3" t="s">
        <v>222</v>
      </c>
      <c r="D672" s="3"/>
      <c r="E672" s="3" t="s">
        <v>222</v>
      </c>
      <c r="F672" s="3"/>
      <c r="G672" s="3"/>
      <c r="H672" s="3"/>
      <c r="I672" s="3"/>
      <c r="J672" s="3"/>
      <c r="K672" s="3"/>
      <c r="L672" s="3" t="s">
        <v>564</v>
      </c>
      <c r="M672" s="3">
        <v>80</v>
      </c>
      <c r="N672" s="3" t="s">
        <v>192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563</v>
      </c>
      <c r="C673" s="3" t="s">
        <v>222</v>
      </c>
      <c r="D673" s="3"/>
      <c r="E673" s="3" t="s">
        <v>222</v>
      </c>
      <c r="F673" s="3"/>
      <c r="G673" s="3"/>
      <c r="H673" s="3"/>
      <c r="I673" s="3"/>
      <c r="J673" s="3"/>
      <c r="K673" s="3"/>
      <c r="L673" s="3" t="s">
        <v>564</v>
      </c>
      <c r="M673" s="3">
        <v>90</v>
      </c>
      <c r="N673" s="3" t="s">
        <v>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563</v>
      </c>
      <c r="C674" s="3" t="s">
        <v>222</v>
      </c>
      <c r="D674" s="3"/>
      <c r="E674" s="3" t="s">
        <v>222</v>
      </c>
      <c r="F674" s="3"/>
      <c r="G674" s="3"/>
      <c r="H674" s="3"/>
      <c r="I674" s="3"/>
      <c r="J674" s="3"/>
      <c r="K674" s="3"/>
      <c r="L674" s="3" t="s">
        <v>564</v>
      </c>
      <c r="M674" s="3">
        <v>100</v>
      </c>
      <c r="N674" s="3" t="s">
        <v>19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563</v>
      </c>
      <c r="C675" s="3" t="s">
        <v>222</v>
      </c>
      <c r="D675" s="3"/>
      <c r="E675" s="3" t="s">
        <v>222</v>
      </c>
      <c r="F675" s="3"/>
      <c r="G675" s="3"/>
      <c r="H675" s="3"/>
      <c r="I675" s="3"/>
      <c r="J675" s="3"/>
      <c r="K675" s="3"/>
      <c r="L675" s="3" t="s">
        <v>564</v>
      </c>
      <c r="M675" s="3">
        <v>110</v>
      </c>
      <c r="N675" s="3" t="s">
        <v>101</v>
      </c>
      <c r="O675" s="3"/>
      <c r="P675" s="3"/>
      <c r="Q675" s="3">
        <v>0.56999999999999995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563</v>
      </c>
      <c r="C676" s="3" t="s">
        <v>222</v>
      </c>
      <c r="D676" s="3"/>
      <c r="E676" s="3" t="s">
        <v>222</v>
      </c>
      <c r="F676" s="3"/>
      <c r="G676" s="3"/>
      <c r="H676" s="3"/>
      <c r="I676" s="3"/>
      <c r="J676" s="3"/>
      <c r="K676" s="3"/>
      <c r="L676" s="3" t="s">
        <v>564</v>
      </c>
      <c r="M676" s="3">
        <v>120</v>
      </c>
      <c r="N676" s="3" t="s">
        <v>223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563</v>
      </c>
      <c r="C677" s="3" t="s">
        <v>224</v>
      </c>
      <c r="D677" s="3"/>
      <c r="E677" s="3" t="s">
        <v>224</v>
      </c>
      <c r="F677" s="3"/>
      <c r="G677" s="3"/>
      <c r="H677" s="3"/>
      <c r="I677" s="3"/>
      <c r="J677" s="3"/>
      <c r="K677" s="3"/>
      <c r="L677" s="3" t="s">
        <v>564</v>
      </c>
      <c r="M677" s="3">
        <v>10</v>
      </c>
      <c r="N677" s="3" t="s">
        <v>107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563</v>
      </c>
      <c r="C678" s="3" t="s">
        <v>224</v>
      </c>
      <c r="D678" s="3"/>
      <c r="E678" s="3" t="s">
        <v>224</v>
      </c>
      <c r="F678" s="3"/>
      <c r="G678" s="3"/>
      <c r="H678" s="3"/>
      <c r="I678" s="3"/>
      <c r="J678" s="3"/>
      <c r="K678" s="3"/>
      <c r="L678" s="3" t="s">
        <v>564</v>
      </c>
      <c r="M678" s="3">
        <v>20</v>
      </c>
      <c r="N678" s="3" t="s">
        <v>565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563</v>
      </c>
      <c r="C679" s="3" t="s">
        <v>224</v>
      </c>
      <c r="D679" s="3"/>
      <c r="E679" s="3" t="s">
        <v>224</v>
      </c>
      <c r="F679" s="3"/>
      <c r="G679" s="3"/>
      <c r="H679" s="3"/>
      <c r="I679" s="3"/>
      <c r="J679" s="3"/>
      <c r="K679" s="3"/>
      <c r="L679" s="3" t="s">
        <v>564</v>
      </c>
      <c r="M679" s="3">
        <v>30</v>
      </c>
      <c r="N679" s="3" t="s">
        <v>99</v>
      </c>
      <c r="O679" s="3"/>
      <c r="P679" s="3"/>
      <c r="Q679" s="3">
        <v>0.26100000000000001</v>
      </c>
      <c r="R679" s="3" t="s">
        <v>100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563</v>
      </c>
      <c r="C680" s="3" t="s">
        <v>224</v>
      </c>
      <c r="D680" s="3"/>
      <c r="E680" s="3" t="s">
        <v>224</v>
      </c>
      <c r="F680" s="3"/>
      <c r="G680" s="3"/>
      <c r="H680" s="3"/>
      <c r="I680" s="3"/>
      <c r="J680" s="3"/>
      <c r="K680" s="3"/>
      <c r="L680" s="3" t="s">
        <v>564</v>
      </c>
      <c r="M680" s="3">
        <v>40</v>
      </c>
      <c r="N680" s="3" t="s">
        <v>108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563</v>
      </c>
      <c r="C681" s="3" t="s">
        <v>224</v>
      </c>
      <c r="D681" s="3"/>
      <c r="E681" s="3" t="s">
        <v>224</v>
      </c>
      <c r="F681" s="3"/>
      <c r="G681" s="3"/>
      <c r="H681" s="3"/>
      <c r="I681" s="3"/>
      <c r="J681" s="3"/>
      <c r="K681" s="3"/>
      <c r="L681" s="3" t="s">
        <v>564</v>
      </c>
      <c r="M681" s="3">
        <v>50</v>
      </c>
      <c r="N681" s="3" t="s">
        <v>105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563</v>
      </c>
      <c r="C682" s="3" t="s">
        <v>224</v>
      </c>
      <c r="D682" s="3"/>
      <c r="E682" s="3" t="s">
        <v>224</v>
      </c>
      <c r="F682" s="3"/>
      <c r="G682" s="3"/>
      <c r="H682" s="3"/>
      <c r="I682" s="3"/>
      <c r="J682" s="3"/>
      <c r="K682" s="3"/>
      <c r="L682" s="3" t="s">
        <v>564</v>
      </c>
      <c r="M682" s="3">
        <v>60</v>
      </c>
      <c r="N682" s="3" t="s">
        <v>106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563</v>
      </c>
      <c r="C683" s="3" t="s">
        <v>224</v>
      </c>
      <c r="D683" s="3"/>
      <c r="E683" s="3" t="s">
        <v>224</v>
      </c>
      <c r="F683" s="3"/>
      <c r="G683" s="3"/>
      <c r="H683" s="3"/>
      <c r="I683" s="3"/>
      <c r="J683" s="3"/>
      <c r="K683" s="3"/>
      <c r="L683" s="3" t="s">
        <v>564</v>
      </c>
      <c r="M683" s="3">
        <v>70</v>
      </c>
      <c r="N683" s="3" t="s">
        <v>104</v>
      </c>
      <c r="O683" s="3"/>
      <c r="P683" s="3"/>
      <c r="Q683" s="3">
        <v>8.3000000000000004E-2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563</v>
      </c>
      <c r="C684" s="3" t="s">
        <v>224</v>
      </c>
      <c r="D684" s="3"/>
      <c r="E684" s="3" t="s">
        <v>224</v>
      </c>
      <c r="F684" s="3"/>
      <c r="G684" s="3"/>
      <c r="H684" s="3"/>
      <c r="I684" s="3"/>
      <c r="J684" s="3"/>
      <c r="K684" s="3"/>
      <c r="L684" s="3" t="s">
        <v>564</v>
      </c>
      <c r="M684" s="3">
        <v>80</v>
      </c>
      <c r="N684" s="3" t="s">
        <v>192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563</v>
      </c>
      <c r="C685" s="3" t="s">
        <v>224</v>
      </c>
      <c r="D685" s="3"/>
      <c r="E685" s="3" t="s">
        <v>224</v>
      </c>
      <c r="F685" s="3"/>
      <c r="G685" s="3"/>
      <c r="H685" s="3"/>
      <c r="I685" s="3"/>
      <c r="J685" s="3"/>
      <c r="K685" s="3"/>
      <c r="L685" s="3" t="s">
        <v>564</v>
      </c>
      <c r="M685" s="3">
        <v>90</v>
      </c>
      <c r="N685" s="3" t="s">
        <v>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563</v>
      </c>
      <c r="C686" s="3" t="s">
        <v>224</v>
      </c>
      <c r="D686" s="3"/>
      <c r="E686" s="3" t="s">
        <v>224</v>
      </c>
      <c r="F686" s="3"/>
      <c r="G686" s="3"/>
      <c r="H686" s="3"/>
      <c r="I686" s="3"/>
      <c r="J686" s="3"/>
      <c r="K686" s="3"/>
      <c r="L686" s="3" t="s">
        <v>564</v>
      </c>
      <c r="M686" s="3">
        <v>100</v>
      </c>
      <c r="N686" s="3" t="s">
        <v>19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563</v>
      </c>
      <c r="C687" s="3" t="s">
        <v>224</v>
      </c>
      <c r="D687" s="3"/>
      <c r="E687" s="3" t="s">
        <v>224</v>
      </c>
      <c r="F687" s="3"/>
      <c r="G687" s="3"/>
      <c r="H687" s="3"/>
      <c r="I687" s="3"/>
      <c r="J687" s="3"/>
      <c r="K687" s="3"/>
      <c r="L687" s="3" t="s">
        <v>564</v>
      </c>
      <c r="M687" s="3">
        <v>110</v>
      </c>
      <c r="N687" s="3" t="s">
        <v>101</v>
      </c>
      <c r="O687" s="3"/>
      <c r="P687" s="3"/>
      <c r="Q687" s="3">
        <v>0.3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563</v>
      </c>
      <c r="C688" s="3" t="s">
        <v>224</v>
      </c>
      <c r="D688" s="3"/>
      <c r="E688" s="3" t="s">
        <v>224</v>
      </c>
      <c r="F688" s="3"/>
      <c r="G688" s="3"/>
      <c r="H688" s="3"/>
      <c r="I688" s="3"/>
      <c r="J688" s="3"/>
      <c r="K688" s="3"/>
      <c r="L688" s="3" t="s">
        <v>564</v>
      </c>
      <c r="M688" s="3">
        <v>120</v>
      </c>
      <c r="N688" s="3" t="s">
        <v>225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563</v>
      </c>
      <c r="C689" s="3" t="s">
        <v>226</v>
      </c>
      <c r="D689" s="3"/>
      <c r="E689" s="3" t="s">
        <v>226</v>
      </c>
      <c r="F689" s="3"/>
      <c r="G689" s="3"/>
      <c r="H689" s="3"/>
      <c r="I689" s="3"/>
      <c r="J689" s="3"/>
      <c r="K689" s="3"/>
      <c r="L689" s="3" t="s">
        <v>564</v>
      </c>
      <c r="M689" s="3">
        <v>10</v>
      </c>
      <c r="N689" s="3" t="s">
        <v>107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563</v>
      </c>
      <c r="C690" s="3" t="s">
        <v>226</v>
      </c>
      <c r="D690" s="3"/>
      <c r="E690" s="3" t="s">
        <v>226</v>
      </c>
      <c r="F690" s="3"/>
      <c r="G690" s="3"/>
      <c r="H690" s="3"/>
      <c r="I690" s="3"/>
      <c r="J690" s="3"/>
      <c r="K690" s="3"/>
      <c r="L690" s="3" t="s">
        <v>564</v>
      </c>
      <c r="M690" s="3">
        <v>20</v>
      </c>
      <c r="N690" s="3" t="s">
        <v>565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563</v>
      </c>
      <c r="C691" s="3" t="s">
        <v>226</v>
      </c>
      <c r="D691" s="3"/>
      <c r="E691" s="3" t="s">
        <v>226</v>
      </c>
      <c r="F691" s="3"/>
      <c r="G691" s="3"/>
      <c r="H691" s="3"/>
      <c r="I691" s="3"/>
      <c r="J691" s="3"/>
      <c r="K691" s="3"/>
      <c r="L691" s="3" t="s">
        <v>564</v>
      </c>
      <c r="M691" s="3">
        <v>30</v>
      </c>
      <c r="N691" s="3" t="s">
        <v>99</v>
      </c>
      <c r="O691" s="3"/>
      <c r="P691" s="3"/>
      <c r="Q691" s="3">
        <v>0.308</v>
      </c>
      <c r="R691" s="3" t="s">
        <v>100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563</v>
      </c>
      <c r="C692" s="3" t="s">
        <v>226</v>
      </c>
      <c r="D692" s="3"/>
      <c r="E692" s="3" t="s">
        <v>226</v>
      </c>
      <c r="F692" s="3"/>
      <c r="G692" s="3"/>
      <c r="H692" s="3"/>
      <c r="I692" s="3"/>
      <c r="J692" s="3"/>
      <c r="K692" s="3"/>
      <c r="L692" s="3" t="s">
        <v>564</v>
      </c>
      <c r="M692" s="3">
        <v>40</v>
      </c>
      <c r="N692" s="3" t="s">
        <v>108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563</v>
      </c>
      <c r="C693" s="3" t="s">
        <v>226</v>
      </c>
      <c r="D693" s="3"/>
      <c r="E693" s="3" t="s">
        <v>226</v>
      </c>
      <c r="F693" s="3"/>
      <c r="G693" s="3"/>
      <c r="H693" s="3"/>
      <c r="I693" s="3"/>
      <c r="J693" s="3"/>
      <c r="K693" s="3"/>
      <c r="L693" s="3" t="s">
        <v>564</v>
      </c>
      <c r="M693" s="3">
        <v>50</v>
      </c>
      <c r="N693" s="3" t="s">
        <v>105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563</v>
      </c>
      <c r="C694" s="3" t="s">
        <v>226</v>
      </c>
      <c r="D694" s="3"/>
      <c r="E694" s="3" t="s">
        <v>226</v>
      </c>
      <c r="F694" s="3"/>
      <c r="G694" s="3"/>
      <c r="H694" s="3"/>
      <c r="I694" s="3"/>
      <c r="J694" s="3"/>
      <c r="K694" s="3"/>
      <c r="L694" s="3" t="s">
        <v>564</v>
      </c>
      <c r="M694" s="3">
        <v>60</v>
      </c>
      <c r="N694" s="3" t="s">
        <v>106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563</v>
      </c>
      <c r="C695" s="3" t="s">
        <v>226</v>
      </c>
      <c r="D695" s="3"/>
      <c r="E695" s="3" t="s">
        <v>226</v>
      </c>
      <c r="F695" s="3"/>
      <c r="G695" s="3"/>
      <c r="H695" s="3"/>
      <c r="I695" s="3"/>
      <c r="J695" s="3"/>
      <c r="K695" s="3"/>
      <c r="L695" s="3" t="s">
        <v>564</v>
      </c>
      <c r="M695" s="3">
        <v>70</v>
      </c>
      <c r="N695" s="3" t="s">
        <v>104</v>
      </c>
      <c r="O695" s="3"/>
      <c r="P695" s="3"/>
      <c r="Q695" s="3">
        <v>9.4E-2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563</v>
      </c>
      <c r="C696" s="3" t="s">
        <v>226</v>
      </c>
      <c r="D696" s="3"/>
      <c r="E696" s="3" t="s">
        <v>226</v>
      </c>
      <c r="F696" s="3"/>
      <c r="G696" s="3"/>
      <c r="H696" s="3"/>
      <c r="I696" s="3"/>
      <c r="J696" s="3"/>
      <c r="K696" s="3"/>
      <c r="L696" s="3" t="s">
        <v>564</v>
      </c>
      <c r="M696" s="3">
        <v>80</v>
      </c>
      <c r="N696" s="3" t="s">
        <v>192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563</v>
      </c>
      <c r="C697" s="3" t="s">
        <v>226</v>
      </c>
      <c r="D697" s="3"/>
      <c r="E697" s="3" t="s">
        <v>226</v>
      </c>
      <c r="F697" s="3"/>
      <c r="G697" s="3"/>
      <c r="H697" s="3"/>
      <c r="I697" s="3"/>
      <c r="J697" s="3"/>
      <c r="K697" s="3"/>
      <c r="L697" s="3" t="s">
        <v>564</v>
      </c>
      <c r="M697" s="3">
        <v>90</v>
      </c>
      <c r="N697" s="3" t="s">
        <v>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563</v>
      </c>
      <c r="C698" s="3" t="s">
        <v>226</v>
      </c>
      <c r="D698" s="3"/>
      <c r="E698" s="3" t="s">
        <v>226</v>
      </c>
      <c r="F698" s="3"/>
      <c r="G698" s="3"/>
      <c r="H698" s="3"/>
      <c r="I698" s="3"/>
      <c r="J698" s="3"/>
      <c r="K698" s="3"/>
      <c r="L698" s="3" t="s">
        <v>564</v>
      </c>
      <c r="M698" s="3">
        <v>100</v>
      </c>
      <c r="N698" s="3" t="s">
        <v>19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563</v>
      </c>
      <c r="C699" s="3" t="s">
        <v>226</v>
      </c>
      <c r="D699" s="3"/>
      <c r="E699" s="3" t="s">
        <v>226</v>
      </c>
      <c r="F699" s="3"/>
      <c r="G699" s="3"/>
      <c r="H699" s="3"/>
      <c r="I699" s="3"/>
      <c r="J699" s="3"/>
      <c r="K699" s="3"/>
      <c r="L699" s="3" t="s">
        <v>564</v>
      </c>
      <c r="M699" s="3">
        <v>110</v>
      </c>
      <c r="N699" s="3" t="s">
        <v>101</v>
      </c>
      <c r="O699" s="3"/>
      <c r="P699" s="3"/>
      <c r="Q699" s="3">
        <v>0.34499999999999997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563</v>
      </c>
      <c r="C700" s="3" t="s">
        <v>226</v>
      </c>
      <c r="D700" s="3"/>
      <c r="E700" s="3" t="s">
        <v>226</v>
      </c>
      <c r="F700" s="3"/>
      <c r="G700" s="3"/>
      <c r="H700" s="3"/>
      <c r="I700" s="3"/>
      <c r="J700" s="3"/>
      <c r="K700" s="3"/>
      <c r="L700" s="3" t="s">
        <v>564</v>
      </c>
      <c r="M700" s="3">
        <v>120</v>
      </c>
      <c r="N700" s="3" t="s">
        <v>227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563</v>
      </c>
      <c r="C701" s="3" t="s">
        <v>228</v>
      </c>
      <c r="D701" s="3"/>
      <c r="E701" s="3" t="s">
        <v>228</v>
      </c>
      <c r="F701" s="3"/>
      <c r="G701" s="3"/>
      <c r="H701" s="3"/>
      <c r="I701" s="3"/>
      <c r="J701" s="3"/>
      <c r="K701" s="3"/>
      <c r="L701" s="3" t="s">
        <v>564</v>
      </c>
      <c r="M701" s="3">
        <v>10</v>
      </c>
      <c r="N701" s="3" t="s">
        <v>107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563</v>
      </c>
      <c r="C702" s="3" t="s">
        <v>228</v>
      </c>
      <c r="D702" s="3"/>
      <c r="E702" s="3" t="s">
        <v>228</v>
      </c>
      <c r="F702" s="3"/>
      <c r="G702" s="3"/>
      <c r="H702" s="3"/>
      <c r="I702" s="3"/>
      <c r="J702" s="3"/>
      <c r="K702" s="3"/>
      <c r="L702" s="3" t="s">
        <v>564</v>
      </c>
      <c r="M702" s="3">
        <v>20</v>
      </c>
      <c r="N702" s="3" t="s">
        <v>565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563</v>
      </c>
      <c r="C703" s="3" t="s">
        <v>228</v>
      </c>
      <c r="D703" s="3"/>
      <c r="E703" s="3" t="s">
        <v>228</v>
      </c>
      <c r="F703" s="3"/>
      <c r="G703" s="3"/>
      <c r="H703" s="3"/>
      <c r="I703" s="3"/>
      <c r="J703" s="3"/>
      <c r="K703" s="3"/>
      <c r="L703" s="3" t="s">
        <v>564</v>
      </c>
      <c r="M703" s="3">
        <v>30</v>
      </c>
      <c r="N703" s="3" t="s">
        <v>99</v>
      </c>
      <c r="O703" s="3"/>
      <c r="P703" s="3"/>
      <c r="Q703" s="3">
        <v>0.35499999999999998</v>
      </c>
      <c r="R703" s="3" t="s">
        <v>100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563</v>
      </c>
      <c r="C704" s="3" t="s">
        <v>228</v>
      </c>
      <c r="D704" s="3"/>
      <c r="E704" s="3" t="s">
        <v>228</v>
      </c>
      <c r="F704" s="3"/>
      <c r="G704" s="3"/>
      <c r="H704" s="3"/>
      <c r="I704" s="3"/>
      <c r="J704" s="3"/>
      <c r="K704" s="3"/>
      <c r="L704" s="3" t="s">
        <v>564</v>
      </c>
      <c r="M704" s="3">
        <v>40</v>
      </c>
      <c r="N704" s="3" t="s">
        <v>108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563</v>
      </c>
      <c r="C705" s="3" t="s">
        <v>228</v>
      </c>
      <c r="D705" s="3"/>
      <c r="E705" s="3" t="s">
        <v>228</v>
      </c>
      <c r="F705" s="3"/>
      <c r="G705" s="3"/>
      <c r="H705" s="3"/>
      <c r="I705" s="3"/>
      <c r="J705" s="3"/>
      <c r="K705" s="3"/>
      <c r="L705" s="3" t="s">
        <v>564</v>
      </c>
      <c r="M705" s="3">
        <v>50</v>
      </c>
      <c r="N705" s="3" t="s">
        <v>105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563</v>
      </c>
      <c r="C706" s="3" t="s">
        <v>228</v>
      </c>
      <c r="D706" s="3"/>
      <c r="E706" s="3" t="s">
        <v>228</v>
      </c>
      <c r="F706" s="3"/>
      <c r="G706" s="3"/>
      <c r="H706" s="3"/>
      <c r="I706" s="3"/>
      <c r="J706" s="3"/>
      <c r="K706" s="3"/>
      <c r="L706" s="3" t="s">
        <v>564</v>
      </c>
      <c r="M706" s="3">
        <v>60</v>
      </c>
      <c r="N706" s="3" t="s">
        <v>106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563</v>
      </c>
      <c r="C707" s="3" t="s">
        <v>228</v>
      </c>
      <c r="D707" s="3"/>
      <c r="E707" s="3" t="s">
        <v>228</v>
      </c>
      <c r="F707" s="3"/>
      <c r="G707" s="3"/>
      <c r="H707" s="3"/>
      <c r="I707" s="3"/>
      <c r="J707" s="3"/>
      <c r="K707" s="3"/>
      <c r="L707" s="3" t="s">
        <v>564</v>
      </c>
      <c r="M707" s="3">
        <v>70</v>
      </c>
      <c r="N707" s="3" t="s">
        <v>104</v>
      </c>
      <c r="O707" s="3"/>
      <c r="P707" s="3"/>
      <c r="Q707" s="3">
        <v>0.105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563</v>
      </c>
      <c r="C708" s="3" t="s">
        <v>228</v>
      </c>
      <c r="D708" s="3"/>
      <c r="E708" s="3" t="s">
        <v>228</v>
      </c>
      <c r="F708" s="3"/>
      <c r="G708" s="3"/>
      <c r="H708" s="3"/>
      <c r="I708" s="3"/>
      <c r="J708" s="3"/>
      <c r="K708" s="3"/>
      <c r="L708" s="3" t="s">
        <v>564</v>
      </c>
      <c r="M708" s="3">
        <v>80</v>
      </c>
      <c r="N708" s="3" t="s">
        <v>192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563</v>
      </c>
      <c r="C709" s="3" t="s">
        <v>228</v>
      </c>
      <c r="D709" s="3"/>
      <c r="E709" s="3" t="s">
        <v>228</v>
      </c>
      <c r="F709" s="3"/>
      <c r="G709" s="3"/>
      <c r="H709" s="3"/>
      <c r="I709" s="3"/>
      <c r="J709" s="3"/>
      <c r="K709" s="3"/>
      <c r="L709" s="3" t="s">
        <v>564</v>
      </c>
      <c r="M709" s="3">
        <v>90</v>
      </c>
      <c r="N709" s="3" t="s">
        <v>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563</v>
      </c>
      <c r="C710" s="3" t="s">
        <v>228</v>
      </c>
      <c r="D710" s="3"/>
      <c r="E710" s="3" t="s">
        <v>228</v>
      </c>
      <c r="F710" s="3"/>
      <c r="G710" s="3"/>
      <c r="H710" s="3"/>
      <c r="I710" s="3"/>
      <c r="J710" s="3"/>
      <c r="K710" s="3"/>
      <c r="L710" s="3" t="s">
        <v>564</v>
      </c>
      <c r="M710" s="3">
        <v>100</v>
      </c>
      <c r="N710" s="3" t="s">
        <v>19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563</v>
      </c>
      <c r="C711" s="3" t="s">
        <v>228</v>
      </c>
      <c r="D711" s="3"/>
      <c r="E711" s="3" t="s">
        <v>228</v>
      </c>
      <c r="F711" s="3"/>
      <c r="G711" s="3"/>
      <c r="H711" s="3"/>
      <c r="I711" s="3"/>
      <c r="J711" s="3"/>
      <c r="K711" s="3"/>
      <c r="L711" s="3" t="s">
        <v>564</v>
      </c>
      <c r="M711" s="3">
        <v>110</v>
      </c>
      <c r="N711" s="3" t="s">
        <v>101</v>
      </c>
      <c r="O711" s="3"/>
      <c r="P711" s="3"/>
      <c r="Q711" s="3">
        <v>0.39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563</v>
      </c>
      <c r="C712" s="3" t="s">
        <v>228</v>
      </c>
      <c r="D712" s="3"/>
      <c r="E712" s="3" t="s">
        <v>228</v>
      </c>
      <c r="F712" s="3"/>
      <c r="G712" s="3"/>
      <c r="H712" s="3"/>
      <c r="I712" s="3"/>
      <c r="J712" s="3"/>
      <c r="K712" s="3"/>
      <c r="L712" s="3" t="s">
        <v>564</v>
      </c>
      <c r="M712" s="3">
        <v>120</v>
      </c>
      <c r="N712" s="3" t="s">
        <v>229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563</v>
      </c>
      <c r="C713" s="3" t="s">
        <v>230</v>
      </c>
      <c r="D713" s="3"/>
      <c r="E713" s="3" t="s">
        <v>230</v>
      </c>
      <c r="F713" s="3"/>
      <c r="G713" s="3"/>
      <c r="H713" s="3"/>
      <c r="I713" s="3"/>
      <c r="J713" s="3"/>
      <c r="K713" s="3"/>
      <c r="L713" s="3" t="s">
        <v>564</v>
      </c>
      <c r="M713" s="3">
        <v>10</v>
      </c>
      <c r="N713" s="3" t="s">
        <v>107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563</v>
      </c>
      <c r="C714" s="3" t="s">
        <v>230</v>
      </c>
      <c r="D714" s="3"/>
      <c r="E714" s="3" t="s">
        <v>230</v>
      </c>
      <c r="F714" s="3"/>
      <c r="G714" s="3"/>
      <c r="H714" s="3"/>
      <c r="I714" s="3"/>
      <c r="J714" s="3"/>
      <c r="K714" s="3"/>
      <c r="L714" s="3" t="s">
        <v>564</v>
      </c>
      <c r="M714" s="3">
        <v>20</v>
      </c>
      <c r="N714" s="3" t="s">
        <v>565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563</v>
      </c>
      <c r="C715" s="3" t="s">
        <v>230</v>
      </c>
      <c r="D715" s="3"/>
      <c r="E715" s="3" t="s">
        <v>230</v>
      </c>
      <c r="F715" s="3"/>
      <c r="G715" s="3"/>
      <c r="H715" s="3"/>
      <c r="I715" s="3"/>
      <c r="J715" s="3"/>
      <c r="K715" s="3"/>
      <c r="L715" s="3" t="s">
        <v>564</v>
      </c>
      <c r="M715" s="3">
        <v>30</v>
      </c>
      <c r="N715" s="3" t="s">
        <v>99</v>
      </c>
      <c r="O715" s="3"/>
      <c r="P715" s="3"/>
      <c r="Q715" s="3">
        <v>0.40300000000000002</v>
      </c>
      <c r="R715" s="3" t="s">
        <v>100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563</v>
      </c>
      <c r="C716" s="3" t="s">
        <v>230</v>
      </c>
      <c r="D716" s="3"/>
      <c r="E716" s="3" t="s">
        <v>230</v>
      </c>
      <c r="F716" s="3"/>
      <c r="G716" s="3"/>
      <c r="H716" s="3"/>
      <c r="I716" s="3"/>
      <c r="J716" s="3"/>
      <c r="K716" s="3"/>
      <c r="L716" s="3" t="s">
        <v>564</v>
      </c>
      <c r="M716" s="3">
        <v>40</v>
      </c>
      <c r="N716" s="3" t="s">
        <v>108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563</v>
      </c>
      <c r="C717" s="3" t="s">
        <v>230</v>
      </c>
      <c r="D717" s="3"/>
      <c r="E717" s="3" t="s">
        <v>230</v>
      </c>
      <c r="F717" s="3"/>
      <c r="G717" s="3"/>
      <c r="H717" s="3"/>
      <c r="I717" s="3"/>
      <c r="J717" s="3"/>
      <c r="K717" s="3"/>
      <c r="L717" s="3" t="s">
        <v>564</v>
      </c>
      <c r="M717" s="3">
        <v>50</v>
      </c>
      <c r="N717" s="3" t="s">
        <v>105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563</v>
      </c>
      <c r="C718" s="3" t="s">
        <v>230</v>
      </c>
      <c r="D718" s="3"/>
      <c r="E718" s="3" t="s">
        <v>230</v>
      </c>
      <c r="F718" s="3"/>
      <c r="G718" s="3"/>
      <c r="H718" s="3"/>
      <c r="I718" s="3"/>
      <c r="J718" s="3"/>
      <c r="K718" s="3"/>
      <c r="L718" s="3" t="s">
        <v>564</v>
      </c>
      <c r="M718" s="3">
        <v>60</v>
      </c>
      <c r="N718" s="3" t="s">
        <v>106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563</v>
      </c>
      <c r="C719" s="3" t="s">
        <v>230</v>
      </c>
      <c r="D719" s="3"/>
      <c r="E719" s="3" t="s">
        <v>230</v>
      </c>
      <c r="F719" s="3"/>
      <c r="G719" s="3"/>
      <c r="H719" s="3"/>
      <c r="I719" s="3"/>
      <c r="J719" s="3"/>
      <c r="K719" s="3"/>
      <c r="L719" s="3" t="s">
        <v>564</v>
      </c>
      <c r="M719" s="3">
        <v>70</v>
      </c>
      <c r="N719" s="3" t="s">
        <v>104</v>
      </c>
      <c r="O719" s="3"/>
      <c r="P719" s="3"/>
      <c r="Q719" s="3">
        <v>0.11700000000000001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563</v>
      </c>
      <c r="C720" s="3" t="s">
        <v>230</v>
      </c>
      <c r="D720" s="3"/>
      <c r="E720" s="3" t="s">
        <v>230</v>
      </c>
      <c r="F720" s="3"/>
      <c r="G720" s="3"/>
      <c r="H720" s="3"/>
      <c r="I720" s="3"/>
      <c r="J720" s="3"/>
      <c r="K720" s="3"/>
      <c r="L720" s="3" t="s">
        <v>564</v>
      </c>
      <c r="M720" s="3">
        <v>80</v>
      </c>
      <c r="N720" s="3" t="s">
        <v>192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563</v>
      </c>
      <c r="C721" s="3" t="s">
        <v>230</v>
      </c>
      <c r="D721" s="3"/>
      <c r="E721" s="3" t="s">
        <v>230</v>
      </c>
      <c r="F721" s="3"/>
      <c r="G721" s="3"/>
      <c r="H721" s="3"/>
      <c r="I721" s="3"/>
      <c r="J721" s="3"/>
      <c r="K721" s="3"/>
      <c r="L721" s="3" t="s">
        <v>564</v>
      </c>
      <c r="M721" s="3">
        <v>90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563</v>
      </c>
      <c r="C722" s="3" t="s">
        <v>230</v>
      </c>
      <c r="D722" s="3"/>
      <c r="E722" s="3" t="s">
        <v>230</v>
      </c>
      <c r="F722" s="3"/>
      <c r="G722" s="3"/>
      <c r="H722" s="3"/>
      <c r="I722" s="3"/>
      <c r="J722" s="3"/>
      <c r="K722" s="3"/>
      <c r="L722" s="3" t="s">
        <v>564</v>
      </c>
      <c r="M722" s="3">
        <v>100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563</v>
      </c>
      <c r="C723" s="3" t="s">
        <v>230</v>
      </c>
      <c r="D723" s="3"/>
      <c r="E723" s="3" t="s">
        <v>230</v>
      </c>
      <c r="F723" s="3"/>
      <c r="G723" s="3"/>
      <c r="H723" s="3"/>
      <c r="I723" s="3"/>
      <c r="J723" s="3"/>
      <c r="K723" s="3"/>
      <c r="L723" s="3" t="s">
        <v>564</v>
      </c>
      <c r="M723" s="3">
        <v>110</v>
      </c>
      <c r="N723" s="3" t="s">
        <v>101</v>
      </c>
      <c r="O723" s="3"/>
      <c r="P723" s="3"/>
      <c r="Q723" s="3">
        <v>0.435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563</v>
      </c>
      <c r="C724" s="3" t="s">
        <v>230</v>
      </c>
      <c r="D724" s="3"/>
      <c r="E724" s="3" t="s">
        <v>230</v>
      </c>
      <c r="F724" s="3"/>
      <c r="G724" s="3"/>
      <c r="H724" s="3"/>
      <c r="I724" s="3"/>
      <c r="J724" s="3"/>
      <c r="K724" s="3"/>
      <c r="L724" s="3" t="s">
        <v>564</v>
      </c>
      <c r="M724" s="3">
        <v>120</v>
      </c>
      <c r="N724" s="3" t="s">
        <v>231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563</v>
      </c>
      <c r="C725" s="3" t="s">
        <v>232</v>
      </c>
      <c r="D725" s="3"/>
      <c r="E725" s="3" t="s">
        <v>232</v>
      </c>
      <c r="F725" s="3"/>
      <c r="G725" s="3"/>
      <c r="H725" s="3"/>
      <c r="I725" s="3"/>
      <c r="J725" s="3"/>
      <c r="K725" s="3"/>
      <c r="L725" s="3" t="s">
        <v>564</v>
      </c>
      <c r="M725" s="3">
        <v>10</v>
      </c>
      <c r="N725" s="3" t="s">
        <v>107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563</v>
      </c>
      <c r="C726" s="3" t="s">
        <v>232</v>
      </c>
      <c r="D726" s="3"/>
      <c r="E726" s="3" t="s">
        <v>232</v>
      </c>
      <c r="F726" s="3"/>
      <c r="G726" s="3"/>
      <c r="H726" s="3"/>
      <c r="I726" s="3"/>
      <c r="J726" s="3"/>
      <c r="K726" s="3"/>
      <c r="L726" s="3" t="s">
        <v>564</v>
      </c>
      <c r="M726" s="3">
        <v>20</v>
      </c>
      <c r="N726" s="3" t="s">
        <v>565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563</v>
      </c>
      <c r="C727" s="3" t="s">
        <v>232</v>
      </c>
      <c r="D727" s="3"/>
      <c r="E727" s="3" t="s">
        <v>232</v>
      </c>
      <c r="F727" s="3"/>
      <c r="G727" s="3"/>
      <c r="H727" s="3"/>
      <c r="I727" s="3"/>
      <c r="J727" s="3"/>
      <c r="K727" s="3"/>
      <c r="L727" s="3" t="s">
        <v>564</v>
      </c>
      <c r="M727" s="3">
        <v>30</v>
      </c>
      <c r="N727" s="3" t="s">
        <v>99</v>
      </c>
      <c r="O727" s="3"/>
      <c r="P727" s="3"/>
      <c r="Q727" s="3">
        <v>0.42599999999999999</v>
      </c>
      <c r="R727" s="3" t="s">
        <v>100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563</v>
      </c>
      <c r="C728" s="3" t="s">
        <v>232</v>
      </c>
      <c r="D728" s="3"/>
      <c r="E728" s="3" t="s">
        <v>232</v>
      </c>
      <c r="F728" s="3"/>
      <c r="G728" s="3"/>
      <c r="H728" s="3"/>
      <c r="I728" s="3"/>
      <c r="J728" s="3"/>
      <c r="K728" s="3"/>
      <c r="L728" s="3" t="s">
        <v>564</v>
      </c>
      <c r="M728" s="3">
        <v>40</v>
      </c>
      <c r="N728" s="3" t="s">
        <v>108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563</v>
      </c>
      <c r="C729" s="3" t="s">
        <v>232</v>
      </c>
      <c r="D729" s="3"/>
      <c r="E729" s="3" t="s">
        <v>232</v>
      </c>
      <c r="F729" s="3"/>
      <c r="G729" s="3"/>
      <c r="H729" s="3"/>
      <c r="I729" s="3"/>
      <c r="J729" s="3"/>
      <c r="K729" s="3"/>
      <c r="L729" s="3" t="s">
        <v>564</v>
      </c>
      <c r="M729" s="3">
        <v>50</v>
      </c>
      <c r="N729" s="3" t="s">
        <v>105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563</v>
      </c>
      <c r="C730" s="3" t="s">
        <v>232</v>
      </c>
      <c r="D730" s="3"/>
      <c r="E730" s="3" t="s">
        <v>232</v>
      </c>
      <c r="F730" s="3"/>
      <c r="G730" s="3"/>
      <c r="H730" s="3"/>
      <c r="I730" s="3"/>
      <c r="J730" s="3"/>
      <c r="K730" s="3"/>
      <c r="L730" s="3" t="s">
        <v>564</v>
      </c>
      <c r="M730" s="3">
        <v>60</v>
      </c>
      <c r="N730" s="3" t="s">
        <v>106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563</v>
      </c>
      <c r="C731" s="3" t="s">
        <v>232</v>
      </c>
      <c r="D731" s="3"/>
      <c r="E731" s="3" t="s">
        <v>232</v>
      </c>
      <c r="F731" s="3"/>
      <c r="G731" s="3"/>
      <c r="H731" s="3"/>
      <c r="I731" s="3"/>
      <c r="J731" s="3"/>
      <c r="K731" s="3"/>
      <c r="L731" s="3" t="s">
        <v>564</v>
      </c>
      <c r="M731" s="3">
        <v>70</v>
      </c>
      <c r="N731" s="3" t="s">
        <v>104</v>
      </c>
      <c r="O731" s="3"/>
      <c r="P731" s="3"/>
      <c r="Q731" s="3">
        <v>0.122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563</v>
      </c>
      <c r="C732" s="3" t="s">
        <v>232</v>
      </c>
      <c r="D732" s="3"/>
      <c r="E732" s="3" t="s">
        <v>232</v>
      </c>
      <c r="F732" s="3"/>
      <c r="G732" s="3"/>
      <c r="H732" s="3"/>
      <c r="I732" s="3"/>
      <c r="J732" s="3"/>
      <c r="K732" s="3"/>
      <c r="L732" s="3" t="s">
        <v>564</v>
      </c>
      <c r="M732" s="3">
        <v>80</v>
      </c>
      <c r="N732" s="3" t="s">
        <v>192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563</v>
      </c>
      <c r="C733" s="3" t="s">
        <v>232</v>
      </c>
      <c r="D733" s="3"/>
      <c r="E733" s="3" t="s">
        <v>232</v>
      </c>
      <c r="F733" s="3"/>
      <c r="G733" s="3"/>
      <c r="H733" s="3"/>
      <c r="I733" s="3"/>
      <c r="J733" s="3"/>
      <c r="K733" s="3"/>
      <c r="L733" s="3" t="s">
        <v>564</v>
      </c>
      <c r="M733" s="3">
        <v>90</v>
      </c>
      <c r="N733" s="3" t="s">
        <v>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563</v>
      </c>
      <c r="C734" s="3" t="s">
        <v>232</v>
      </c>
      <c r="D734" s="3"/>
      <c r="E734" s="3" t="s">
        <v>232</v>
      </c>
      <c r="F734" s="3"/>
      <c r="G734" s="3"/>
      <c r="H734" s="3"/>
      <c r="I734" s="3"/>
      <c r="J734" s="3"/>
      <c r="K734" s="3"/>
      <c r="L734" s="3" t="s">
        <v>564</v>
      </c>
      <c r="M734" s="3">
        <v>100</v>
      </c>
      <c r="N734" s="3" t="s">
        <v>19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563</v>
      </c>
      <c r="C735" s="3" t="s">
        <v>232</v>
      </c>
      <c r="D735" s="3"/>
      <c r="E735" s="3" t="s">
        <v>232</v>
      </c>
      <c r="F735" s="3"/>
      <c r="G735" s="3"/>
      <c r="H735" s="3"/>
      <c r="I735" s="3"/>
      <c r="J735" s="3"/>
      <c r="K735" s="3"/>
      <c r="L735" s="3" t="s">
        <v>564</v>
      </c>
      <c r="M735" s="3">
        <v>110</v>
      </c>
      <c r="N735" s="3" t="s">
        <v>101</v>
      </c>
      <c r="O735" s="3"/>
      <c r="P735" s="3"/>
      <c r="Q735" s="3">
        <v>0.45800000000000002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563</v>
      </c>
      <c r="C736" s="3" t="s">
        <v>232</v>
      </c>
      <c r="D736" s="3"/>
      <c r="E736" s="3" t="s">
        <v>232</v>
      </c>
      <c r="F736" s="3"/>
      <c r="G736" s="3"/>
      <c r="H736" s="3"/>
      <c r="I736" s="3"/>
      <c r="J736" s="3"/>
      <c r="K736" s="3"/>
      <c r="L736" s="3" t="s">
        <v>564</v>
      </c>
      <c r="M736" s="3">
        <v>120</v>
      </c>
      <c r="N736" s="3" t="s">
        <v>233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563</v>
      </c>
      <c r="C737" s="3" t="s">
        <v>234</v>
      </c>
      <c r="D737" s="3"/>
      <c r="E737" s="3" t="s">
        <v>234</v>
      </c>
      <c r="F737" s="3"/>
      <c r="G737" s="3"/>
      <c r="H737" s="3"/>
      <c r="I737" s="3"/>
      <c r="J737" s="3"/>
      <c r="K737" s="3"/>
      <c r="L737" s="3" t="s">
        <v>564</v>
      </c>
      <c r="M737" s="3">
        <v>10</v>
      </c>
      <c r="N737" s="3" t="s">
        <v>107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563</v>
      </c>
      <c r="C738" s="3" t="s">
        <v>234</v>
      </c>
      <c r="D738" s="3"/>
      <c r="E738" s="3" t="s">
        <v>234</v>
      </c>
      <c r="F738" s="3"/>
      <c r="G738" s="3"/>
      <c r="H738" s="3"/>
      <c r="I738" s="3"/>
      <c r="J738" s="3"/>
      <c r="K738" s="3"/>
      <c r="L738" s="3" t="s">
        <v>564</v>
      </c>
      <c r="M738" s="3">
        <v>20</v>
      </c>
      <c r="N738" s="3" t="s">
        <v>565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563</v>
      </c>
      <c r="C739" s="3" t="s">
        <v>234</v>
      </c>
      <c r="D739" s="3"/>
      <c r="E739" s="3" t="s">
        <v>234</v>
      </c>
      <c r="F739" s="3"/>
      <c r="G739" s="3"/>
      <c r="H739" s="3"/>
      <c r="I739" s="3"/>
      <c r="J739" s="3"/>
      <c r="K739" s="3"/>
      <c r="L739" s="3" t="s">
        <v>564</v>
      </c>
      <c r="M739" s="3">
        <v>30</v>
      </c>
      <c r="N739" s="3" t="s">
        <v>99</v>
      </c>
      <c r="O739" s="3"/>
      <c r="P739" s="3"/>
      <c r="Q739" s="3">
        <v>0.45</v>
      </c>
      <c r="R739" s="3" t="s">
        <v>100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563</v>
      </c>
      <c r="C740" s="3" t="s">
        <v>234</v>
      </c>
      <c r="D740" s="3"/>
      <c r="E740" s="3" t="s">
        <v>234</v>
      </c>
      <c r="F740" s="3"/>
      <c r="G740" s="3"/>
      <c r="H740" s="3"/>
      <c r="I740" s="3"/>
      <c r="J740" s="3"/>
      <c r="K740" s="3"/>
      <c r="L740" s="3" t="s">
        <v>564</v>
      </c>
      <c r="M740" s="3">
        <v>40</v>
      </c>
      <c r="N740" s="3" t="s">
        <v>108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563</v>
      </c>
      <c r="C741" s="3" t="s">
        <v>234</v>
      </c>
      <c r="D741" s="3"/>
      <c r="E741" s="3" t="s">
        <v>234</v>
      </c>
      <c r="F741" s="3"/>
      <c r="G741" s="3"/>
      <c r="H741" s="3"/>
      <c r="I741" s="3"/>
      <c r="J741" s="3"/>
      <c r="K741" s="3"/>
      <c r="L741" s="3" t="s">
        <v>564</v>
      </c>
      <c r="M741" s="3">
        <v>50</v>
      </c>
      <c r="N741" s="3" t="s">
        <v>105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563</v>
      </c>
      <c r="C742" s="3" t="s">
        <v>234</v>
      </c>
      <c r="D742" s="3"/>
      <c r="E742" s="3" t="s">
        <v>234</v>
      </c>
      <c r="F742" s="3"/>
      <c r="G742" s="3"/>
      <c r="H742" s="3"/>
      <c r="I742" s="3"/>
      <c r="J742" s="3"/>
      <c r="K742" s="3"/>
      <c r="L742" s="3" t="s">
        <v>564</v>
      </c>
      <c r="M742" s="3">
        <v>60</v>
      </c>
      <c r="N742" s="3" t="s">
        <v>106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563</v>
      </c>
      <c r="C743" s="3" t="s">
        <v>234</v>
      </c>
      <c r="D743" s="3"/>
      <c r="E743" s="3" t="s">
        <v>234</v>
      </c>
      <c r="F743" s="3"/>
      <c r="G743" s="3"/>
      <c r="H743" s="3"/>
      <c r="I743" s="3"/>
      <c r="J743" s="3"/>
      <c r="K743" s="3"/>
      <c r="L743" s="3" t="s">
        <v>564</v>
      </c>
      <c r="M743" s="3">
        <v>70</v>
      </c>
      <c r="N743" s="3" t="s">
        <v>104</v>
      </c>
      <c r="O743" s="3"/>
      <c r="P743" s="3"/>
      <c r="Q743" s="3">
        <v>0.128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563</v>
      </c>
      <c r="C744" s="3" t="s">
        <v>234</v>
      </c>
      <c r="D744" s="3"/>
      <c r="E744" s="3" t="s">
        <v>234</v>
      </c>
      <c r="F744" s="3"/>
      <c r="G744" s="3"/>
      <c r="H744" s="3"/>
      <c r="I744" s="3"/>
      <c r="J744" s="3"/>
      <c r="K744" s="3"/>
      <c r="L744" s="3" t="s">
        <v>564</v>
      </c>
      <c r="M744" s="3">
        <v>80</v>
      </c>
      <c r="N744" s="3" t="s">
        <v>192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563</v>
      </c>
      <c r="C745" s="3" t="s">
        <v>234</v>
      </c>
      <c r="D745" s="3"/>
      <c r="E745" s="3" t="s">
        <v>234</v>
      </c>
      <c r="F745" s="3"/>
      <c r="G745" s="3"/>
      <c r="H745" s="3"/>
      <c r="I745" s="3"/>
      <c r="J745" s="3"/>
      <c r="K745" s="3"/>
      <c r="L745" s="3" t="s">
        <v>564</v>
      </c>
      <c r="M745" s="3">
        <v>90</v>
      </c>
      <c r="N745" s="3" t="s">
        <v>18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563</v>
      </c>
      <c r="C746" s="3" t="s">
        <v>234</v>
      </c>
      <c r="D746" s="3"/>
      <c r="E746" s="3" t="s">
        <v>234</v>
      </c>
      <c r="F746" s="3"/>
      <c r="G746" s="3"/>
      <c r="H746" s="3"/>
      <c r="I746" s="3"/>
      <c r="J746" s="3"/>
      <c r="K746" s="3"/>
      <c r="L746" s="3" t="s">
        <v>564</v>
      </c>
      <c r="M746" s="3">
        <v>100</v>
      </c>
      <c r="N746" s="3" t="s">
        <v>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563</v>
      </c>
      <c r="C747" s="3" t="s">
        <v>234</v>
      </c>
      <c r="D747" s="3"/>
      <c r="E747" s="3" t="s">
        <v>234</v>
      </c>
      <c r="F747" s="3"/>
      <c r="G747" s="3"/>
      <c r="H747" s="3"/>
      <c r="I747" s="3"/>
      <c r="J747" s="3"/>
      <c r="K747" s="3"/>
      <c r="L747" s="3" t="s">
        <v>564</v>
      </c>
      <c r="M747" s="3">
        <v>110</v>
      </c>
      <c r="N747" s="3" t="s">
        <v>101</v>
      </c>
      <c r="O747" s="3"/>
      <c r="P747" s="3"/>
      <c r="Q747" s="3">
        <v>0.48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563</v>
      </c>
      <c r="C748" s="3" t="s">
        <v>234</v>
      </c>
      <c r="D748" s="3"/>
      <c r="E748" s="3" t="s">
        <v>234</v>
      </c>
      <c r="F748" s="3"/>
      <c r="G748" s="3"/>
      <c r="H748" s="3"/>
      <c r="I748" s="3"/>
      <c r="J748" s="3"/>
      <c r="K748" s="3"/>
      <c r="L748" s="3" t="s">
        <v>564</v>
      </c>
      <c r="M748" s="3">
        <v>120</v>
      </c>
      <c r="N748" s="3" t="s">
        <v>235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563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564</v>
      </c>
      <c r="M749" s="3">
        <v>10</v>
      </c>
      <c r="N749" s="3" t="s">
        <v>107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563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564</v>
      </c>
      <c r="M750" s="3">
        <v>20</v>
      </c>
      <c r="N750" s="3" t="s">
        <v>565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563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564</v>
      </c>
      <c r="M751" s="3">
        <v>30</v>
      </c>
      <c r="N751" s="3" t="s">
        <v>99</v>
      </c>
      <c r="O751" s="3"/>
      <c r="P751" s="3"/>
      <c r="Q751" s="3">
        <v>0.498</v>
      </c>
      <c r="R751" s="3" t="s">
        <v>100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563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564</v>
      </c>
      <c r="M752" s="3">
        <v>40</v>
      </c>
      <c r="N752" s="3" t="s">
        <v>108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563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564</v>
      </c>
      <c r="M753" s="3">
        <v>50</v>
      </c>
      <c r="N753" s="3" t="s">
        <v>105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563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564</v>
      </c>
      <c r="M754" s="3">
        <v>60</v>
      </c>
      <c r="N754" s="3" t="s">
        <v>106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563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564</v>
      </c>
      <c r="M755" s="3">
        <v>70</v>
      </c>
      <c r="N755" s="3" t="s">
        <v>104</v>
      </c>
      <c r="O755" s="3"/>
      <c r="P755" s="3"/>
      <c r="Q755" s="3">
        <v>0.13900000000000001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563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564</v>
      </c>
      <c r="M756" s="3">
        <v>80</v>
      </c>
      <c r="N756" s="3" t="s">
        <v>192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563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564</v>
      </c>
      <c r="M757" s="3">
        <v>90</v>
      </c>
      <c r="N757" s="3" t="s">
        <v>18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563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564</v>
      </c>
      <c r="M758" s="3">
        <v>100</v>
      </c>
      <c r="N758" s="3" t="s">
        <v>19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563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564</v>
      </c>
      <c r="M759" s="3">
        <v>110</v>
      </c>
      <c r="N759" s="3" t="s">
        <v>101</v>
      </c>
      <c r="O759" s="3"/>
      <c r="P759" s="3"/>
      <c r="Q759" s="3">
        <v>0.52500000000000002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563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564</v>
      </c>
      <c r="M760" s="3">
        <v>120</v>
      </c>
      <c r="N760" s="3" t="s">
        <v>237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563</v>
      </c>
      <c r="C761" s="3" t="s">
        <v>238</v>
      </c>
      <c r="D761" s="3"/>
      <c r="E761" s="3" t="s">
        <v>238</v>
      </c>
      <c r="F761" s="3"/>
      <c r="G761" s="3"/>
      <c r="H761" s="3"/>
      <c r="I761" s="3"/>
      <c r="J761" s="3"/>
      <c r="K761" s="3"/>
      <c r="L761" s="3" t="s">
        <v>564</v>
      </c>
      <c r="M761" s="3">
        <v>10</v>
      </c>
      <c r="N761" s="3" t="s">
        <v>107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563</v>
      </c>
      <c r="C762" s="3" t="s">
        <v>238</v>
      </c>
      <c r="D762" s="3"/>
      <c r="E762" s="3" t="s">
        <v>238</v>
      </c>
      <c r="F762" s="3"/>
      <c r="G762" s="3"/>
      <c r="H762" s="3"/>
      <c r="I762" s="3"/>
      <c r="J762" s="3"/>
      <c r="K762" s="3"/>
      <c r="L762" s="3" t="s">
        <v>564</v>
      </c>
      <c r="M762" s="3">
        <v>20</v>
      </c>
      <c r="N762" s="3" t="s">
        <v>565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563</v>
      </c>
      <c r="C763" s="3" t="s">
        <v>238</v>
      </c>
      <c r="D763" s="3"/>
      <c r="E763" s="3" t="s">
        <v>238</v>
      </c>
      <c r="F763" s="3"/>
      <c r="G763" s="3"/>
      <c r="H763" s="3"/>
      <c r="I763" s="3"/>
      <c r="J763" s="3"/>
      <c r="K763" s="3"/>
      <c r="L763" s="3" t="s">
        <v>564</v>
      </c>
      <c r="M763" s="3">
        <v>30</v>
      </c>
      <c r="N763" s="3" t="s">
        <v>99</v>
      </c>
      <c r="O763" s="3"/>
      <c r="P763" s="3"/>
      <c r="Q763" s="3">
        <v>0.54500000000000004</v>
      </c>
      <c r="R763" s="3" t="s">
        <v>100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563</v>
      </c>
      <c r="C764" s="3" t="s">
        <v>238</v>
      </c>
      <c r="D764" s="3"/>
      <c r="E764" s="3" t="s">
        <v>238</v>
      </c>
      <c r="F764" s="3"/>
      <c r="G764" s="3"/>
      <c r="H764" s="3"/>
      <c r="I764" s="3"/>
      <c r="J764" s="3"/>
      <c r="K764" s="3"/>
      <c r="L764" s="3" t="s">
        <v>564</v>
      </c>
      <c r="M764" s="3">
        <v>40</v>
      </c>
      <c r="N764" s="3" t="s">
        <v>108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563</v>
      </c>
      <c r="C765" s="3" t="s">
        <v>238</v>
      </c>
      <c r="D765" s="3"/>
      <c r="E765" s="3" t="s">
        <v>238</v>
      </c>
      <c r="F765" s="3"/>
      <c r="G765" s="3"/>
      <c r="H765" s="3"/>
      <c r="I765" s="3"/>
      <c r="J765" s="3"/>
      <c r="K765" s="3"/>
      <c r="L765" s="3" t="s">
        <v>564</v>
      </c>
      <c r="M765" s="3">
        <v>50</v>
      </c>
      <c r="N765" s="3" t="s">
        <v>105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563</v>
      </c>
      <c r="C766" s="3" t="s">
        <v>238</v>
      </c>
      <c r="D766" s="3"/>
      <c r="E766" s="3" t="s">
        <v>238</v>
      </c>
      <c r="F766" s="3"/>
      <c r="G766" s="3"/>
      <c r="H766" s="3"/>
      <c r="I766" s="3"/>
      <c r="J766" s="3"/>
      <c r="K766" s="3"/>
      <c r="L766" s="3" t="s">
        <v>564</v>
      </c>
      <c r="M766" s="3">
        <v>60</v>
      </c>
      <c r="N766" s="3" t="s">
        <v>106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563</v>
      </c>
      <c r="C767" s="3" t="s">
        <v>238</v>
      </c>
      <c r="D767" s="3"/>
      <c r="E767" s="3" t="s">
        <v>238</v>
      </c>
      <c r="F767" s="3"/>
      <c r="G767" s="3"/>
      <c r="H767" s="3"/>
      <c r="I767" s="3"/>
      <c r="J767" s="3"/>
      <c r="K767" s="3"/>
      <c r="L767" s="3" t="s">
        <v>564</v>
      </c>
      <c r="M767" s="3">
        <v>70</v>
      </c>
      <c r="N767" s="3" t="s">
        <v>104</v>
      </c>
      <c r="O767" s="3"/>
      <c r="P767" s="3"/>
      <c r="Q767" s="3">
        <v>0.15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563</v>
      </c>
      <c r="C768" s="3" t="s">
        <v>238</v>
      </c>
      <c r="D768" s="3"/>
      <c r="E768" s="3" t="s">
        <v>238</v>
      </c>
      <c r="F768" s="3"/>
      <c r="G768" s="3"/>
      <c r="H768" s="3"/>
      <c r="I768" s="3"/>
      <c r="J768" s="3"/>
      <c r="K768" s="3"/>
      <c r="L768" s="3" t="s">
        <v>564</v>
      </c>
      <c r="M768" s="3">
        <v>80</v>
      </c>
      <c r="N768" s="3" t="s">
        <v>192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563</v>
      </c>
      <c r="C769" s="3" t="s">
        <v>238</v>
      </c>
      <c r="D769" s="3"/>
      <c r="E769" s="3" t="s">
        <v>238</v>
      </c>
      <c r="F769" s="3"/>
      <c r="G769" s="3"/>
      <c r="H769" s="3"/>
      <c r="I769" s="3"/>
      <c r="J769" s="3"/>
      <c r="K769" s="3"/>
      <c r="L769" s="3" t="s">
        <v>564</v>
      </c>
      <c r="M769" s="3">
        <v>90</v>
      </c>
      <c r="N769" s="3" t="s">
        <v>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563</v>
      </c>
      <c r="C770" s="3" t="s">
        <v>238</v>
      </c>
      <c r="D770" s="3"/>
      <c r="E770" s="3" t="s">
        <v>238</v>
      </c>
      <c r="F770" s="3"/>
      <c r="G770" s="3"/>
      <c r="H770" s="3"/>
      <c r="I770" s="3"/>
      <c r="J770" s="3"/>
      <c r="K770" s="3"/>
      <c r="L770" s="3" t="s">
        <v>564</v>
      </c>
      <c r="M770" s="3">
        <v>100</v>
      </c>
      <c r="N770" s="3" t="s">
        <v>19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563</v>
      </c>
      <c r="C771" s="3" t="s">
        <v>238</v>
      </c>
      <c r="D771" s="3"/>
      <c r="E771" s="3" t="s">
        <v>238</v>
      </c>
      <c r="F771" s="3"/>
      <c r="G771" s="3"/>
      <c r="H771" s="3"/>
      <c r="I771" s="3"/>
      <c r="J771" s="3"/>
      <c r="K771" s="3"/>
      <c r="L771" s="3" t="s">
        <v>564</v>
      </c>
      <c r="M771" s="3">
        <v>110</v>
      </c>
      <c r="N771" s="3" t="s">
        <v>101</v>
      </c>
      <c r="O771" s="3"/>
      <c r="P771" s="3"/>
      <c r="Q771" s="3">
        <v>0.56999999999999995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563</v>
      </c>
      <c r="C772" s="3" t="s">
        <v>238</v>
      </c>
      <c r="D772" s="3"/>
      <c r="E772" s="3" t="s">
        <v>238</v>
      </c>
      <c r="F772" s="3"/>
      <c r="G772" s="3"/>
      <c r="H772" s="3"/>
      <c r="I772" s="3"/>
      <c r="J772" s="3"/>
      <c r="K772" s="3"/>
      <c r="L772" s="3" t="s">
        <v>564</v>
      </c>
      <c r="M772" s="3">
        <v>120</v>
      </c>
      <c r="N772" s="3" t="s">
        <v>239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563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564</v>
      </c>
      <c r="M773" s="3">
        <v>10</v>
      </c>
      <c r="N773" s="3" t="s">
        <v>107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563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564</v>
      </c>
      <c r="M774" s="3">
        <v>20</v>
      </c>
      <c r="N774" s="3" t="s">
        <v>565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563</v>
      </c>
      <c r="C775" s="3" t="s">
        <v>240</v>
      </c>
      <c r="D775" s="3"/>
      <c r="E775" s="3" t="s">
        <v>240</v>
      </c>
      <c r="F775" s="3"/>
      <c r="G775" s="3"/>
      <c r="H775" s="3"/>
      <c r="I775" s="3"/>
      <c r="J775" s="3"/>
      <c r="K775" s="3"/>
      <c r="L775" s="3" t="s">
        <v>564</v>
      </c>
      <c r="M775" s="3">
        <v>30</v>
      </c>
      <c r="N775" s="3" t="s">
        <v>99</v>
      </c>
      <c r="O775" s="3"/>
      <c r="P775" s="3"/>
      <c r="Q775" s="3">
        <v>0.26700000000000002</v>
      </c>
      <c r="R775" s="3" t="s">
        <v>100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563</v>
      </c>
      <c r="C776" s="3" t="s">
        <v>240</v>
      </c>
      <c r="D776" s="3"/>
      <c r="E776" s="3" t="s">
        <v>240</v>
      </c>
      <c r="F776" s="3"/>
      <c r="G776" s="3"/>
      <c r="H776" s="3"/>
      <c r="I776" s="3"/>
      <c r="J776" s="3"/>
      <c r="K776" s="3"/>
      <c r="L776" s="3" t="s">
        <v>564</v>
      </c>
      <c r="M776" s="3">
        <v>40</v>
      </c>
      <c r="N776" s="3" t="s">
        <v>108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563</v>
      </c>
      <c r="C777" s="3" t="s">
        <v>240</v>
      </c>
      <c r="D777" s="3"/>
      <c r="E777" s="3" t="s">
        <v>240</v>
      </c>
      <c r="F777" s="3"/>
      <c r="G777" s="3"/>
      <c r="H777" s="3"/>
      <c r="I777" s="3"/>
      <c r="J777" s="3"/>
      <c r="K777" s="3"/>
      <c r="L777" s="3" t="s">
        <v>564</v>
      </c>
      <c r="M777" s="3">
        <v>50</v>
      </c>
      <c r="N777" s="3" t="s">
        <v>105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563</v>
      </c>
      <c r="C778" s="3" t="s">
        <v>240</v>
      </c>
      <c r="D778" s="3"/>
      <c r="E778" s="3" t="s">
        <v>240</v>
      </c>
      <c r="F778" s="3"/>
      <c r="G778" s="3"/>
      <c r="H778" s="3"/>
      <c r="I778" s="3"/>
      <c r="J778" s="3"/>
      <c r="K778" s="3"/>
      <c r="L778" s="3" t="s">
        <v>564</v>
      </c>
      <c r="M778" s="3">
        <v>60</v>
      </c>
      <c r="N778" s="3" t="s">
        <v>106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563</v>
      </c>
      <c r="C779" s="3" t="s">
        <v>240</v>
      </c>
      <c r="D779" s="3"/>
      <c r="E779" s="3" t="s">
        <v>240</v>
      </c>
      <c r="F779" s="3"/>
      <c r="G779" s="3"/>
      <c r="H779" s="3"/>
      <c r="I779" s="3"/>
      <c r="J779" s="3"/>
      <c r="K779" s="3"/>
      <c r="L779" s="3" t="s">
        <v>564</v>
      </c>
      <c r="M779" s="3">
        <v>70</v>
      </c>
      <c r="N779" s="3" t="s">
        <v>104</v>
      </c>
      <c r="O779" s="3"/>
      <c r="P779" s="3"/>
      <c r="Q779" s="3">
        <v>8.3000000000000004E-2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563</v>
      </c>
      <c r="C780" s="3" t="s">
        <v>240</v>
      </c>
      <c r="D780" s="3"/>
      <c r="E780" s="3" t="s">
        <v>240</v>
      </c>
      <c r="F780" s="3"/>
      <c r="G780" s="3"/>
      <c r="H780" s="3"/>
      <c r="I780" s="3"/>
      <c r="J780" s="3"/>
      <c r="K780" s="3"/>
      <c r="L780" s="3" t="s">
        <v>564</v>
      </c>
      <c r="M780" s="3">
        <v>80</v>
      </c>
      <c r="N780" s="3" t="s">
        <v>192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563</v>
      </c>
      <c r="C781" s="3" t="s">
        <v>240</v>
      </c>
      <c r="D781" s="3"/>
      <c r="E781" s="3" t="s">
        <v>240</v>
      </c>
      <c r="F781" s="3"/>
      <c r="G781" s="3"/>
      <c r="H781" s="3"/>
      <c r="I781" s="3"/>
      <c r="J781" s="3"/>
      <c r="K781" s="3"/>
      <c r="L781" s="3" t="s">
        <v>564</v>
      </c>
      <c r="M781" s="3">
        <v>90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563</v>
      </c>
      <c r="C782" s="3" t="s">
        <v>240</v>
      </c>
      <c r="D782" s="3"/>
      <c r="E782" s="3" t="s">
        <v>240</v>
      </c>
      <c r="F782" s="3"/>
      <c r="G782" s="3"/>
      <c r="H782" s="3"/>
      <c r="I782" s="3"/>
      <c r="J782" s="3"/>
      <c r="K782" s="3"/>
      <c r="L782" s="3" t="s">
        <v>564</v>
      </c>
      <c r="M782" s="3">
        <v>100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563</v>
      </c>
      <c r="C783" s="3" t="s">
        <v>240</v>
      </c>
      <c r="D783" s="3"/>
      <c r="E783" s="3" t="s">
        <v>240</v>
      </c>
      <c r="F783" s="3"/>
      <c r="G783" s="3"/>
      <c r="H783" s="3"/>
      <c r="I783" s="3"/>
      <c r="J783" s="3"/>
      <c r="K783" s="3"/>
      <c r="L783" s="3" t="s">
        <v>564</v>
      </c>
      <c r="M783" s="3">
        <v>110</v>
      </c>
      <c r="N783" s="3" t="s">
        <v>101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563</v>
      </c>
      <c r="C784" s="3" t="s">
        <v>240</v>
      </c>
      <c r="D784" s="3"/>
      <c r="E784" s="3" t="s">
        <v>240</v>
      </c>
      <c r="F784" s="3"/>
      <c r="G784" s="3"/>
      <c r="H784" s="3"/>
      <c r="I784" s="3"/>
      <c r="J784" s="3"/>
      <c r="K784" s="3"/>
      <c r="L784" s="3" t="s">
        <v>564</v>
      </c>
      <c r="M784" s="3">
        <v>120</v>
      </c>
      <c r="N784" s="3" t="s">
        <v>241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563</v>
      </c>
      <c r="C785" s="3" t="s">
        <v>242</v>
      </c>
      <c r="D785" s="3"/>
      <c r="E785" s="3" t="s">
        <v>242</v>
      </c>
      <c r="F785" s="3"/>
      <c r="G785" s="3"/>
      <c r="H785" s="3"/>
      <c r="I785" s="3"/>
      <c r="J785" s="3"/>
      <c r="K785" s="3"/>
      <c r="L785" s="3" t="s">
        <v>564</v>
      </c>
      <c r="M785" s="3">
        <v>10</v>
      </c>
      <c r="N785" s="3" t="s">
        <v>107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563</v>
      </c>
      <c r="C786" s="3" t="s">
        <v>242</v>
      </c>
      <c r="D786" s="3"/>
      <c r="E786" s="3" t="s">
        <v>242</v>
      </c>
      <c r="F786" s="3"/>
      <c r="G786" s="3"/>
      <c r="H786" s="3"/>
      <c r="I786" s="3"/>
      <c r="J786" s="3"/>
      <c r="K786" s="3"/>
      <c r="L786" s="3" t="s">
        <v>564</v>
      </c>
      <c r="M786" s="3">
        <v>20</v>
      </c>
      <c r="N786" s="3" t="s">
        <v>565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563</v>
      </c>
      <c r="C787" s="3" t="s">
        <v>242</v>
      </c>
      <c r="D787" s="3"/>
      <c r="E787" s="3" t="s">
        <v>242</v>
      </c>
      <c r="F787" s="3"/>
      <c r="G787" s="3"/>
      <c r="H787" s="3"/>
      <c r="I787" s="3"/>
      <c r="J787" s="3"/>
      <c r="K787" s="3"/>
      <c r="L787" s="3" t="s">
        <v>564</v>
      </c>
      <c r="M787" s="3">
        <v>30</v>
      </c>
      <c r="N787" s="3" t="s">
        <v>99</v>
      </c>
      <c r="O787" s="3"/>
      <c r="P787" s="3"/>
      <c r="Q787" s="3">
        <v>0.316</v>
      </c>
      <c r="R787" s="3" t="s">
        <v>100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563</v>
      </c>
      <c r="C788" s="3" t="s">
        <v>242</v>
      </c>
      <c r="D788" s="3"/>
      <c r="E788" s="3" t="s">
        <v>242</v>
      </c>
      <c r="F788" s="3"/>
      <c r="G788" s="3"/>
      <c r="H788" s="3"/>
      <c r="I788" s="3"/>
      <c r="J788" s="3"/>
      <c r="K788" s="3"/>
      <c r="L788" s="3" t="s">
        <v>564</v>
      </c>
      <c r="M788" s="3">
        <v>40</v>
      </c>
      <c r="N788" s="3" t="s">
        <v>108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563</v>
      </c>
      <c r="C789" s="3" t="s">
        <v>242</v>
      </c>
      <c r="D789" s="3"/>
      <c r="E789" s="3" t="s">
        <v>242</v>
      </c>
      <c r="F789" s="3"/>
      <c r="G789" s="3"/>
      <c r="H789" s="3"/>
      <c r="I789" s="3"/>
      <c r="J789" s="3"/>
      <c r="K789" s="3"/>
      <c r="L789" s="3" t="s">
        <v>564</v>
      </c>
      <c r="M789" s="3">
        <v>50</v>
      </c>
      <c r="N789" s="3" t="s">
        <v>105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563</v>
      </c>
      <c r="C790" s="3" t="s">
        <v>242</v>
      </c>
      <c r="D790" s="3"/>
      <c r="E790" s="3" t="s">
        <v>242</v>
      </c>
      <c r="F790" s="3"/>
      <c r="G790" s="3"/>
      <c r="H790" s="3"/>
      <c r="I790" s="3"/>
      <c r="J790" s="3"/>
      <c r="K790" s="3"/>
      <c r="L790" s="3" t="s">
        <v>564</v>
      </c>
      <c r="M790" s="3">
        <v>60</v>
      </c>
      <c r="N790" s="3" t="s">
        <v>106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563</v>
      </c>
      <c r="C791" s="3" t="s">
        <v>242</v>
      </c>
      <c r="D791" s="3"/>
      <c r="E791" s="3" t="s">
        <v>242</v>
      </c>
      <c r="F791" s="3"/>
      <c r="G791" s="3"/>
      <c r="H791" s="3"/>
      <c r="I791" s="3"/>
      <c r="J791" s="3"/>
      <c r="K791" s="3"/>
      <c r="L791" s="3" t="s">
        <v>564</v>
      </c>
      <c r="M791" s="3">
        <v>70</v>
      </c>
      <c r="N791" s="3" t="s">
        <v>104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563</v>
      </c>
      <c r="C792" s="3" t="s">
        <v>242</v>
      </c>
      <c r="D792" s="3"/>
      <c r="E792" s="3" t="s">
        <v>242</v>
      </c>
      <c r="F792" s="3"/>
      <c r="G792" s="3"/>
      <c r="H792" s="3"/>
      <c r="I792" s="3"/>
      <c r="J792" s="3"/>
      <c r="K792" s="3"/>
      <c r="L792" s="3" t="s">
        <v>564</v>
      </c>
      <c r="M792" s="3">
        <v>80</v>
      </c>
      <c r="N792" s="3" t="s">
        <v>192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563</v>
      </c>
      <c r="C793" s="3" t="s">
        <v>242</v>
      </c>
      <c r="D793" s="3"/>
      <c r="E793" s="3" t="s">
        <v>242</v>
      </c>
      <c r="F793" s="3"/>
      <c r="G793" s="3"/>
      <c r="H793" s="3"/>
      <c r="I793" s="3"/>
      <c r="J793" s="3"/>
      <c r="K793" s="3"/>
      <c r="L793" s="3" t="s">
        <v>564</v>
      </c>
      <c r="M793" s="3">
        <v>90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563</v>
      </c>
      <c r="C794" s="3" t="s">
        <v>242</v>
      </c>
      <c r="D794" s="3"/>
      <c r="E794" s="3" t="s">
        <v>242</v>
      </c>
      <c r="F794" s="3"/>
      <c r="G794" s="3"/>
      <c r="H794" s="3"/>
      <c r="I794" s="3"/>
      <c r="J794" s="3"/>
      <c r="K794" s="3"/>
      <c r="L794" s="3" t="s">
        <v>564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563</v>
      </c>
      <c r="C795" s="3" t="s">
        <v>242</v>
      </c>
      <c r="D795" s="3"/>
      <c r="E795" s="3" t="s">
        <v>242</v>
      </c>
      <c r="F795" s="3"/>
      <c r="G795" s="3"/>
      <c r="H795" s="3"/>
      <c r="I795" s="3"/>
      <c r="J795" s="3"/>
      <c r="K795" s="3"/>
      <c r="L795" s="3" t="s">
        <v>564</v>
      </c>
      <c r="M795" s="3">
        <v>110</v>
      </c>
      <c r="N795" s="3" t="s">
        <v>101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563</v>
      </c>
      <c r="C796" s="3" t="s">
        <v>242</v>
      </c>
      <c r="D796" s="3"/>
      <c r="E796" s="3" t="s">
        <v>242</v>
      </c>
      <c r="F796" s="3"/>
      <c r="G796" s="3"/>
      <c r="H796" s="3"/>
      <c r="I796" s="3"/>
      <c r="J796" s="3"/>
      <c r="K796" s="3"/>
      <c r="L796" s="3" t="s">
        <v>564</v>
      </c>
      <c r="M796" s="3">
        <v>120</v>
      </c>
      <c r="N796" s="3" t="s">
        <v>243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563</v>
      </c>
      <c r="C797" s="3" t="s">
        <v>244</v>
      </c>
      <c r="D797" s="3"/>
      <c r="E797" s="3" t="s">
        <v>244</v>
      </c>
      <c r="F797" s="3"/>
      <c r="G797" s="3"/>
      <c r="H797" s="3"/>
      <c r="I797" s="3"/>
      <c r="J797" s="3"/>
      <c r="K797" s="3"/>
      <c r="L797" s="3" t="s">
        <v>564</v>
      </c>
      <c r="M797" s="3">
        <v>10</v>
      </c>
      <c r="N797" s="3" t="s">
        <v>107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563</v>
      </c>
      <c r="C798" s="3" t="s">
        <v>244</v>
      </c>
      <c r="D798" s="3"/>
      <c r="E798" s="3" t="s">
        <v>244</v>
      </c>
      <c r="F798" s="3"/>
      <c r="G798" s="3"/>
      <c r="H798" s="3"/>
      <c r="I798" s="3"/>
      <c r="J798" s="3"/>
      <c r="K798" s="3"/>
      <c r="L798" s="3" t="s">
        <v>564</v>
      </c>
      <c r="M798" s="3">
        <v>20</v>
      </c>
      <c r="N798" s="3" t="s">
        <v>565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563</v>
      </c>
      <c r="C799" s="3" t="s">
        <v>244</v>
      </c>
      <c r="D799" s="3"/>
      <c r="E799" s="3" t="s">
        <v>244</v>
      </c>
      <c r="F799" s="3"/>
      <c r="G799" s="3"/>
      <c r="H799" s="3"/>
      <c r="I799" s="3"/>
      <c r="J799" s="3"/>
      <c r="K799" s="3"/>
      <c r="L799" s="3" t="s">
        <v>564</v>
      </c>
      <c r="M799" s="3">
        <v>30</v>
      </c>
      <c r="N799" s="3" t="s">
        <v>99</v>
      </c>
      <c r="O799" s="3"/>
      <c r="P799" s="3"/>
      <c r="Q799" s="3">
        <v>0.36499999999999999</v>
      </c>
      <c r="R799" s="3" t="s">
        <v>100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563</v>
      </c>
      <c r="C800" s="3" t="s">
        <v>244</v>
      </c>
      <c r="D800" s="3"/>
      <c r="E800" s="3" t="s">
        <v>244</v>
      </c>
      <c r="F800" s="3"/>
      <c r="G800" s="3"/>
      <c r="H800" s="3"/>
      <c r="I800" s="3"/>
      <c r="J800" s="3"/>
      <c r="K800" s="3"/>
      <c r="L800" s="3" t="s">
        <v>564</v>
      </c>
      <c r="M800" s="3">
        <v>40</v>
      </c>
      <c r="N800" s="3" t="s">
        <v>108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563</v>
      </c>
      <c r="C801" s="3" t="s">
        <v>244</v>
      </c>
      <c r="D801" s="3"/>
      <c r="E801" s="3" t="s">
        <v>244</v>
      </c>
      <c r="F801" s="3"/>
      <c r="G801" s="3"/>
      <c r="H801" s="3"/>
      <c r="I801" s="3"/>
      <c r="J801" s="3"/>
      <c r="K801" s="3"/>
      <c r="L801" s="3" t="s">
        <v>564</v>
      </c>
      <c r="M801" s="3">
        <v>50</v>
      </c>
      <c r="N801" s="3" t="s">
        <v>105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563</v>
      </c>
      <c r="C802" s="3" t="s">
        <v>244</v>
      </c>
      <c r="D802" s="3"/>
      <c r="E802" s="3" t="s">
        <v>244</v>
      </c>
      <c r="F802" s="3"/>
      <c r="G802" s="3"/>
      <c r="H802" s="3"/>
      <c r="I802" s="3"/>
      <c r="J802" s="3"/>
      <c r="K802" s="3"/>
      <c r="L802" s="3" t="s">
        <v>564</v>
      </c>
      <c r="M802" s="3">
        <v>60</v>
      </c>
      <c r="N802" s="3" t="s">
        <v>106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563</v>
      </c>
      <c r="C803" s="3" t="s">
        <v>244</v>
      </c>
      <c r="D803" s="3"/>
      <c r="E803" s="3" t="s">
        <v>244</v>
      </c>
      <c r="F803" s="3"/>
      <c r="G803" s="3"/>
      <c r="H803" s="3"/>
      <c r="I803" s="3"/>
      <c r="J803" s="3"/>
      <c r="K803" s="3"/>
      <c r="L803" s="3" t="s">
        <v>564</v>
      </c>
      <c r="M803" s="3">
        <v>70</v>
      </c>
      <c r="N803" s="3" t="s">
        <v>104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563</v>
      </c>
      <c r="C804" s="3" t="s">
        <v>244</v>
      </c>
      <c r="D804" s="3"/>
      <c r="E804" s="3" t="s">
        <v>244</v>
      </c>
      <c r="F804" s="3"/>
      <c r="G804" s="3"/>
      <c r="H804" s="3"/>
      <c r="I804" s="3"/>
      <c r="J804" s="3"/>
      <c r="K804" s="3"/>
      <c r="L804" s="3" t="s">
        <v>564</v>
      </c>
      <c r="M804" s="3">
        <v>80</v>
      </c>
      <c r="N804" s="3" t="s">
        <v>192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563</v>
      </c>
      <c r="C805" s="3" t="s">
        <v>244</v>
      </c>
      <c r="D805" s="3"/>
      <c r="E805" s="3" t="s">
        <v>244</v>
      </c>
      <c r="F805" s="3"/>
      <c r="G805" s="3"/>
      <c r="H805" s="3"/>
      <c r="I805" s="3"/>
      <c r="J805" s="3"/>
      <c r="K805" s="3"/>
      <c r="L805" s="3" t="s">
        <v>564</v>
      </c>
      <c r="M805" s="3">
        <v>90</v>
      </c>
      <c r="N805" s="3" t="s">
        <v>18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563</v>
      </c>
      <c r="C806" s="3" t="s">
        <v>244</v>
      </c>
      <c r="D806" s="3"/>
      <c r="E806" s="3" t="s">
        <v>244</v>
      </c>
      <c r="F806" s="3"/>
      <c r="G806" s="3"/>
      <c r="H806" s="3"/>
      <c r="I806" s="3"/>
      <c r="J806" s="3"/>
      <c r="K806" s="3"/>
      <c r="L806" s="3" t="s">
        <v>564</v>
      </c>
      <c r="M806" s="3">
        <v>100</v>
      </c>
      <c r="N806" s="3" t="s">
        <v>19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563</v>
      </c>
      <c r="C807" s="3" t="s">
        <v>244</v>
      </c>
      <c r="D807" s="3"/>
      <c r="E807" s="3" t="s">
        <v>244</v>
      </c>
      <c r="F807" s="3"/>
      <c r="G807" s="3"/>
      <c r="H807" s="3"/>
      <c r="I807" s="3"/>
      <c r="J807" s="3"/>
      <c r="K807" s="3"/>
      <c r="L807" s="3" t="s">
        <v>564</v>
      </c>
      <c r="M807" s="3">
        <v>110</v>
      </c>
      <c r="N807" s="3" t="s">
        <v>101</v>
      </c>
      <c r="O807" s="3"/>
      <c r="P807" s="3"/>
      <c r="Q807" s="3">
        <v>0.65300000000000002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563</v>
      </c>
      <c r="C808" s="3" t="s">
        <v>244</v>
      </c>
      <c r="D808" s="3"/>
      <c r="E808" s="3" t="s">
        <v>244</v>
      </c>
      <c r="F808" s="3"/>
      <c r="G808" s="3"/>
      <c r="H808" s="3"/>
      <c r="I808" s="3"/>
      <c r="J808" s="3"/>
      <c r="K808" s="3"/>
      <c r="L808" s="3" t="s">
        <v>564</v>
      </c>
      <c r="M808" s="3">
        <v>120</v>
      </c>
      <c r="N808" s="3" t="s">
        <v>245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563</v>
      </c>
      <c r="C809" s="3" t="s">
        <v>246</v>
      </c>
      <c r="D809" s="3"/>
      <c r="E809" s="3" t="s">
        <v>246</v>
      </c>
      <c r="F809" s="3"/>
      <c r="G809" s="3"/>
      <c r="H809" s="3"/>
      <c r="I809" s="3"/>
      <c r="J809" s="3"/>
      <c r="K809" s="3"/>
      <c r="L809" s="3" t="s">
        <v>564</v>
      </c>
      <c r="M809" s="3">
        <v>10</v>
      </c>
      <c r="N809" s="3" t="s">
        <v>107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563</v>
      </c>
      <c r="C810" s="3" t="s">
        <v>246</v>
      </c>
      <c r="D810" s="3"/>
      <c r="E810" s="3" t="s">
        <v>246</v>
      </c>
      <c r="F810" s="3"/>
      <c r="G810" s="3"/>
      <c r="H810" s="3"/>
      <c r="I810" s="3"/>
      <c r="J810" s="3"/>
      <c r="K810" s="3"/>
      <c r="L810" s="3" t="s">
        <v>564</v>
      </c>
      <c r="M810" s="3">
        <v>20</v>
      </c>
      <c r="N810" s="3" t="s">
        <v>565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563</v>
      </c>
      <c r="C811" s="3" t="s">
        <v>246</v>
      </c>
      <c r="D811" s="3"/>
      <c r="E811" s="3" t="s">
        <v>246</v>
      </c>
      <c r="F811" s="3"/>
      <c r="G811" s="3"/>
      <c r="H811" s="3"/>
      <c r="I811" s="3"/>
      <c r="J811" s="3"/>
      <c r="K811" s="3"/>
      <c r="L811" s="3" t="s">
        <v>564</v>
      </c>
      <c r="M811" s="3">
        <v>30</v>
      </c>
      <c r="N811" s="3" t="s">
        <v>99</v>
      </c>
      <c r="O811" s="3"/>
      <c r="P811" s="3"/>
      <c r="Q811" s="3">
        <v>0.41299999999999998</v>
      </c>
      <c r="R811" s="3" t="s">
        <v>100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563</v>
      </c>
      <c r="C812" s="3" t="s">
        <v>246</v>
      </c>
      <c r="D812" s="3"/>
      <c r="E812" s="3" t="s">
        <v>246</v>
      </c>
      <c r="F812" s="3"/>
      <c r="G812" s="3"/>
      <c r="H812" s="3"/>
      <c r="I812" s="3"/>
      <c r="J812" s="3"/>
      <c r="K812" s="3"/>
      <c r="L812" s="3" t="s">
        <v>564</v>
      </c>
      <c r="M812" s="3">
        <v>40</v>
      </c>
      <c r="N812" s="3" t="s">
        <v>108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563</v>
      </c>
      <c r="C813" s="3" t="s">
        <v>246</v>
      </c>
      <c r="D813" s="3"/>
      <c r="E813" s="3" t="s">
        <v>246</v>
      </c>
      <c r="F813" s="3"/>
      <c r="G813" s="3"/>
      <c r="H813" s="3"/>
      <c r="I813" s="3"/>
      <c r="J813" s="3"/>
      <c r="K813" s="3"/>
      <c r="L813" s="3" t="s">
        <v>564</v>
      </c>
      <c r="M813" s="3">
        <v>50</v>
      </c>
      <c r="N813" s="3" t="s">
        <v>105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563</v>
      </c>
      <c r="C814" s="3" t="s">
        <v>246</v>
      </c>
      <c r="D814" s="3"/>
      <c r="E814" s="3" t="s">
        <v>246</v>
      </c>
      <c r="F814" s="3"/>
      <c r="G814" s="3"/>
      <c r="H814" s="3"/>
      <c r="I814" s="3"/>
      <c r="J814" s="3"/>
      <c r="K814" s="3"/>
      <c r="L814" s="3" t="s">
        <v>564</v>
      </c>
      <c r="M814" s="3">
        <v>60</v>
      </c>
      <c r="N814" s="3" t="s">
        <v>106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563</v>
      </c>
      <c r="C815" s="3" t="s">
        <v>246</v>
      </c>
      <c r="D815" s="3"/>
      <c r="E815" s="3" t="s">
        <v>246</v>
      </c>
      <c r="F815" s="3"/>
      <c r="G815" s="3"/>
      <c r="H815" s="3"/>
      <c r="I815" s="3"/>
      <c r="J815" s="3"/>
      <c r="K815" s="3"/>
      <c r="L815" s="3" t="s">
        <v>564</v>
      </c>
      <c r="M815" s="3">
        <v>70</v>
      </c>
      <c r="N815" s="3" t="s">
        <v>104</v>
      </c>
      <c r="O815" s="3"/>
      <c r="P815" s="3"/>
      <c r="Q815" s="3">
        <v>0.11700000000000001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563</v>
      </c>
      <c r="C816" s="3" t="s">
        <v>246</v>
      </c>
      <c r="D816" s="3"/>
      <c r="E816" s="3" t="s">
        <v>246</v>
      </c>
      <c r="F816" s="3"/>
      <c r="G816" s="3"/>
      <c r="H816" s="3"/>
      <c r="I816" s="3"/>
      <c r="J816" s="3"/>
      <c r="K816" s="3"/>
      <c r="L816" s="3" t="s">
        <v>564</v>
      </c>
      <c r="M816" s="3">
        <v>80</v>
      </c>
      <c r="N816" s="3" t="s">
        <v>192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563</v>
      </c>
      <c r="C817" s="3" t="s">
        <v>246</v>
      </c>
      <c r="D817" s="3"/>
      <c r="E817" s="3" t="s">
        <v>246</v>
      </c>
      <c r="F817" s="3"/>
      <c r="G817" s="3"/>
      <c r="H817" s="3"/>
      <c r="I817" s="3"/>
      <c r="J817" s="3"/>
      <c r="K817" s="3"/>
      <c r="L817" s="3" t="s">
        <v>564</v>
      </c>
      <c r="M817" s="3">
        <v>90</v>
      </c>
      <c r="N817" s="3" t="s">
        <v>18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563</v>
      </c>
      <c r="C818" s="3" t="s">
        <v>246</v>
      </c>
      <c r="D818" s="3"/>
      <c r="E818" s="3" t="s">
        <v>246</v>
      </c>
      <c r="F818" s="3"/>
      <c r="G818" s="3"/>
      <c r="H818" s="3"/>
      <c r="I818" s="3"/>
      <c r="J818" s="3"/>
      <c r="K818" s="3"/>
      <c r="L818" s="3" t="s">
        <v>564</v>
      </c>
      <c r="M818" s="3">
        <v>100</v>
      </c>
      <c r="N818" s="3" t="s">
        <v>19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563</v>
      </c>
      <c r="C819" s="3" t="s">
        <v>246</v>
      </c>
      <c r="D819" s="3"/>
      <c r="E819" s="3" t="s">
        <v>246</v>
      </c>
      <c r="F819" s="3"/>
      <c r="G819" s="3"/>
      <c r="H819" s="3"/>
      <c r="I819" s="3"/>
      <c r="J819" s="3"/>
      <c r="K819" s="3"/>
      <c r="L819" s="3" t="s">
        <v>564</v>
      </c>
      <c r="M819" s="3">
        <v>110</v>
      </c>
      <c r="N819" s="3" t="s">
        <v>101</v>
      </c>
      <c r="O819" s="3"/>
      <c r="P819" s="3"/>
      <c r="Q819" s="3">
        <v>0.65300000000000002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563</v>
      </c>
      <c r="C820" s="3" t="s">
        <v>246</v>
      </c>
      <c r="D820" s="3"/>
      <c r="E820" s="3" t="s">
        <v>246</v>
      </c>
      <c r="F820" s="3"/>
      <c r="G820" s="3"/>
      <c r="H820" s="3"/>
      <c r="I820" s="3"/>
      <c r="J820" s="3"/>
      <c r="K820" s="3"/>
      <c r="L820" s="3" t="s">
        <v>564</v>
      </c>
      <c r="M820" s="3">
        <v>120</v>
      </c>
      <c r="N820" s="3" t="s">
        <v>247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563</v>
      </c>
      <c r="C821" s="3" t="s">
        <v>248</v>
      </c>
      <c r="D821" s="3"/>
      <c r="E821" s="3" t="s">
        <v>248</v>
      </c>
      <c r="F821" s="3"/>
      <c r="G821" s="3"/>
      <c r="H821" s="3"/>
      <c r="I821" s="3"/>
      <c r="J821" s="3"/>
      <c r="K821" s="3"/>
      <c r="L821" s="3" t="s">
        <v>564</v>
      </c>
      <c r="M821" s="3">
        <v>10</v>
      </c>
      <c r="N821" s="3" t="s">
        <v>107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563</v>
      </c>
      <c r="C822" s="3" t="s">
        <v>248</v>
      </c>
      <c r="D822" s="3"/>
      <c r="E822" s="3" t="s">
        <v>248</v>
      </c>
      <c r="F822" s="3"/>
      <c r="G822" s="3"/>
      <c r="H822" s="3"/>
      <c r="I822" s="3"/>
      <c r="J822" s="3"/>
      <c r="K822" s="3"/>
      <c r="L822" s="3" t="s">
        <v>564</v>
      </c>
      <c r="M822" s="3">
        <v>20</v>
      </c>
      <c r="N822" s="3" t="s">
        <v>565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563</v>
      </c>
      <c r="C823" s="3" t="s">
        <v>248</v>
      </c>
      <c r="D823" s="3"/>
      <c r="E823" s="3" t="s">
        <v>248</v>
      </c>
      <c r="F823" s="3"/>
      <c r="G823" s="3"/>
      <c r="H823" s="3"/>
      <c r="I823" s="3"/>
      <c r="J823" s="3"/>
      <c r="K823" s="3"/>
      <c r="L823" s="3" t="s">
        <v>564</v>
      </c>
      <c r="M823" s="3">
        <v>30</v>
      </c>
      <c r="N823" s="3" t="s">
        <v>99</v>
      </c>
      <c r="O823" s="3"/>
      <c r="P823" s="3"/>
      <c r="Q823" s="3">
        <v>0.437</v>
      </c>
      <c r="R823" s="3" t="s">
        <v>100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563</v>
      </c>
      <c r="C824" s="3" t="s">
        <v>248</v>
      </c>
      <c r="D824" s="3"/>
      <c r="E824" s="3" t="s">
        <v>248</v>
      </c>
      <c r="F824" s="3"/>
      <c r="G824" s="3"/>
      <c r="H824" s="3"/>
      <c r="I824" s="3"/>
      <c r="J824" s="3"/>
      <c r="K824" s="3"/>
      <c r="L824" s="3" t="s">
        <v>564</v>
      </c>
      <c r="M824" s="3">
        <v>40</v>
      </c>
      <c r="N824" s="3" t="s">
        <v>108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563</v>
      </c>
      <c r="C825" s="3" t="s">
        <v>248</v>
      </c>
      <c r="D825" s="3"/>
      <c r="E825" s="3" t="s">
        <v>248</v>
      </c>
      <c r="F825" s="3"/>
      <c r="G825" s="3"/>
      <c r="H825" s="3"/>
      <c r="I825" s="3"/>
      <c r="J825" s="3"/>
      <c r="K825" s="3"/>
      <c r="L825" s="3" t="s">
        <v>564</v>
      </c>
      <c r="M825" s="3">
        <v>50</v>
      </c>
      <c r="N825" s="3" t="s">
        <v>105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563</v>
      </c>
      <c r="C826" s="3" t="s">
        <v>248</v>
      </c>
      <c r="D826" s="3"/>
      <c r="E826" s="3" t="s">
        <v>248</v>
      </c>
      <c r="F826" s="3"/>
      <c r="G826" s="3"/>
      <c r="H826" s="3"/>
      <c r="I826" s="3"/>
      <c r="J826" s="3"/>
      <c r="K826" s="3"/>
      <c r="L826" s="3" t="s">
        <v>564</v>
      </c>
      <c r="M826" s="3">
        <v>60</v>
      </c>
      <c r="N826" s="3" t="s">
        <v>106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563</v>
      </c>
      <c r="C827" s="3" t="s">
        <v>248</v>
      </c>
      <c r="D827" s="3"/>
      <c r="E827" s="3" t="s">
        <v>248</v>
      </c>
      <c r="F827" s="3"/>
      <c r="G827" s="3"/>
      <c r="H827" s="3"/>
      <c r="I827" s="3"/>
      <c r="J827" s="3"/>
      <c r="K827" s="3"/>
      <c r="L827" s="3" t="s">
        <v>564</v>
      </c>
      <c r="M827" s="3">
        <v>70</v>
      </c>
      <c r="N827" s="3" t="s">
        <v>104</v>
      </c>
      <c r="O827" s="3"/>
      <c r="P827" s="3"/>
      <c r="Q827" s="3">
        <v>0.122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563</v>
      </c>
      <c r="C828" s="3" t="s">
        <v>248</v>
      </c>
      <c r="D828" s="3"/>
      <c r="E828" s="3" t="s">
        <v>248</v>
      </c>
      <c r="F828" s="3"/>
      <c r="G828" s="3"/>
      <c r="H828" s="3"/>
      <c r="I828" s="3"/>
      <c r="J828" s="3"/>
      <c r="K828" s="3"/>
      <c r="L828" s="3" t="s">
        <v>564</v>
      </c>
      <c r="M828" s="3">
        <v>80</v>
      </c>
      <c r="N828" s="3" t="s">
        <v>192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563</v>
      </c>
      <c r="C829" s="3" t="s">
        <v>248</v>
      </c>
      <c r="D829" s="3"/>
      <c r="E829" s="3" t="s">
        <v>248</v>
      </c>
      <c r="F829" s="3"/>
      <c r="G829" s="3"/>
      <c r="H829" s="3"/>
      <c r="I829" s="3"/>
      <c r="J829" s="3"/>
      <c r="K829" s="3"/>
      <c r="L829" s="3" t="s">
        <v>564</v>
      </c>
      <c r="M829" s="3">
        <v>90</v>
      </c>
      <c r="N829" s="3" t="s">
        <v>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563</v>
      </c>
      <c r="C830" s="3" t="s">
        <v>248</v>
      </c>
      <c r="D830" s="3"/>
      <c r="E830" s="3" t="s">
        <v>248</v>
      </c>
      <c r="F830" s="3"/>
      <c r="G830" s="3"/>
      <c r="H830" s="3"/>
      <c r="I830" s="3"/>
      <c r="J830" s="3"/>
      <c r="K830" s="3"/>
      <c r="L830" s="3" t="s">
        <v>564</v>
      </c>
      <c r="M830" s="3">
        <v>100</v>
      </c>
      <c r="N830" s="3" t="s">
        <v>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563</v>
      </c>
      <c r="C831" s="3" t="s">
        <v>248</v>
      </c>
      <c r="D831" s="3"/>
      <c r="E831" s="3" t="s">
        <v>248</v>
      </c>
      <c r="F831" s="3"/>
      <c r="G831" s="3"/>
      <c r="H831" s="3"/>
      <c r="I831" s="3"/>
      <c r="J831" s="3"/>
      <c r="K831" s="3"/>
      <c r="L831" s="3" t="s">
        <v>564</v>
      </c>
      <c r="M831" s="3">
        <v>110</v>
      </c>
      <c r="N831" s="3" t="s">
        <v>101</v>
      </c>
      <c r="O831" s="3"/>
      <c r="P831" s="3"/>
      <c r="Q831" s="3">
        <v>0.65300000000000002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563</v>
      </c>
      <c r="C832" s="3" t="s">
        <v>248</v>
      </c>
      <c r="D832" s="3"/>
      <c r="E832" s="3" t="s">
        <v>248</v>
      </c>
      <c r="F832" s="3"/>
      <c r="G832" s="3"/>
      <c r="H832" s="3"/>
      <c r="I832" s="3"/>
      <c r="J832" s="3"/>
      <c r="K832" s="3"/>
      <c r="L832" s="3" t="s">
        <v>564</v>
      </c>
      <c r="M832" s="3">
        <v>120</v>
      </c>
      <c r="N832" s="3" t="s">
        <v>249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563</v>
      </c>
      <c r="C833" s="3" t="s">
        <v>250</v>
      </c>
      <c r="D833" s="3"/>
      <c r="E833" s="3" t="s">
        <v>250</v>
      </c>
      <c r="F833" s="3"/>
      <c r="G833" s="3"/>
      <c r="H833" s="3"/>
      <c r="I833" s="3"/>
      <c r="J833" s="3"/>
      <c r="K833" s="3"/>
      <c r="L833" s="3" t="s">
        <v>564</v>
      </c>
      <c r="M833" s="3">
        <v>10</v>
      </c>
      <c r="N833" s="3" t="s">
        <v>107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563</v>
      </c>
      <c r="C834" s="3" t="s">
        <v>250</v>
      </c>
      <c r="D834" s="3"/>
      <c r="E834" s="3" t="s">
        <v>250</v>
      </c>
      <c r="F834" s="3"/>
      <c r="G834" s="3"/>
      <c r="H834" s="3"/>
      <c r="I834" s="3"/>
      <c r="J834" s="3"/>
      <c r="K834" s="3"/>
      <c r="L834" s="3" t="s">
        <v>564</v>
      </c>
      <c r="M834" s="3">
        <v>20</v>
      </c>
      <c r="N834" s="3" t="s">
        <v>565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563</v>
      </c>
      <c r="C835" s="3" t="s">
        <v>250</v>
      </c>
      <c r="D835" s="3"/>
      <c r="E835" s="3" t="s">
        <v>250</v>
      </c>
      <c r="F835" s="3"/>
      <c r="G835" s="3"/>
      <c r="H835" s="3"/>
      <c r="I835" s="3"/>
      <c r="J835" s="3"/>
      <c r="K835" s="3"/>
      <c r="L835" s="3" t="s">
        <v>564</v>
      </c>
      <c r="M835" s="3">
        <v>30</v>
      </c>
      <c r="N835" s="3" t="s">
        <v>99</v>
      </c>
      <c r="O835" s="3"/>
      <c r="P835" s="3"/>
      <c r="Q835" s="3">
        <v>0.46200000000000002</v>
      </c>
      <c r="R835" s="3" t="s">
        <v>100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563</v>
      </c>
      <c r="C836" s="3" t="s">
        <v>250</v>
      </c>
      <c r="D836" s="3"/>
      <c r="E836" s="3" t="s">
        <v>250</v>
      </c>
      <c r="F836" s="3"/>
      <c r="G836" s="3"/>
      <c r="H836" s="3"/>
      <c r="I836" s="3"/>
      <c r="J836" s="3"/>
      <c r="K836" s="3"/>
      <c r="L836" s="3" t="s">
        <v>564</v>
      </c>
      <c r="M836" s="3">
        <v>40</v>
      </c>
      <c r="N836" s="3" t="s">
        <v>108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563</v>
      </c>
      <c r="C837" s="3" t="s">
        <v>250</v>
      </c>
      <c r="D837" s="3"/>
      <c r="E837" s="3" t="s">
        <v>250</v>
      </c>
      <c r="F837" s="3"/>
      <c r="G837" s="3"/>
      <c r="H837" s="3"/>
      <c r="I837" s="3"/>
      <c r="J837" s="3"/>
      <c r="K837" s="3"/>
      <c r="L837" s="3" t="s">
        <v>564</v>
      </c>
      <c r="M837" s="3">
        <v>50</v>
      </c>
      <c r="N837" s="3" t="s">
        <v>105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563</v>
      </c>
      <c r="C838" s="3" t="s">
        <v>250</v>
      </c>
      <c r="D838" s="3"/>
      <c r="E838" s="3" t="s">
        <v>250</v>
      </c>
      <c r="F838" s="3"/>
      <c r="G838" s="3"/>
      <c r="H838" s="3"/>
      <c r="I838" s="3"/>
      <c r="J838" s="3"/>
      <c r="K838" s="3"/>
      <c r="L838" s="3" t="s">
        <v>564</v>
      </c>
      <c r="M838" s="3">
        <v>60</v>
      </c>
      <c r="N838" s="3" t="s">
        <v>106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563</v>
      </c>
      <c r="C839" s="3" t="s">
        <v>250</v>
      </c>
      <c r="D839" s="3"/>
      <c r="E839" s="3" t="s">
        <v>250</v>
      </c>
      <c r="F839" s="3"/>
      <c r="G839" s="3"/>
      <c r="H839" s="3"/>
      <c r="I839" s="3"/>
      <c r="J839" s="3"/>
      <c r="K839" s="3"/>
      <c r="L839" s="3" t="s">
        <v>564</v>
      </c>
      <c r="M839" s="3">
        <v>70</v>
      </c>
      <c r="N839" s="3" t="s">
        <v>104</v>
      </c>
      <c r="O839" s="3"/>
      <c r="P839" s="3"/>
      <c r="Q839" s="3">
        <v>0.128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563</v>
      </c>
      <c r="C840" s="3" t="s">
        <v>250</v>
      </c>
      <c r="D840" s="3"/>
      <c r="E840" s="3" t="s">
        <v>250</v>
      </c>
      <c r="F840" s="3"/>
      <c r="G840" s="3"/>
      <c r="H840" s="3"/>
      <c r="I840" s="3"/>
      <c r="J840" s="3"/>
      <c r="K840" s="3"/>
      <c r="L840" s="3" t="s">
        <v>564</v>
      </c>
      <c r="M840" s="3">
        <v>80</v>
      </c>
      <c r="N840" s="3" t="s">
        <v>192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563</v>
      </c>
      <c r="C841" s="3" t="s">
        <v>250</v>
      </c>
      <c r="D841" s="3"/>
      <c r="E841" s="3" t="s">
        <v>250</v>
      </c>
      <c r="F841" s="3"/>
      <c r="G841" s="3"/>
      <c r="H841" s="3"/>
      <c r="I841" s="3"/>
      <c r="J841" s="3"/>
      <c r="K841" s="3"/>
      <c r="L841" s="3" t="s">
        <v>564</v>
      </c>
      <c r="M841" s="3">
        <v>90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563</v>
      </c>
      <c r="C842" s="3" t="s">
        <v>250</v>
      </c>
      <c r="D842" s="3"/>
      <c r="E842" s="3" t="s">
        <v>250</v>
      </c>
      <c r="F842" s="3"/>
      <c r="G842" s="3"/>
      <c r="H842" s="3"/>
      <c r="I842" s="3"/>
      <c r="J842" s="3"/>
      <c r="K842" s="3"/>
      <c r="L842" s="3" t="s">
        <v>564</v>
      </c>
      <c r="M842" s="3">
        <v>100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563</v>
      </c>
      <c r="C843" s="3" t="s">
        <v>250</v>
      </c>
      <c r="D843" s="3"/>
      <c r="E843" s="3" t="s">
        <v>250</v>
      </c>
      <c r="F843" s="3"/>
      <c r="G843" s="3"/>
      <c r="H843" s="3"/>
      <c r="I843" s="3"/>
      <c r="J843" s="3"/>
      <c r="K843" s="3"/>
      <c r="L843" s="3" t="s">
        <v>564</v>
      </c>
      <c r="M843" s="3">
        <v>110</v>
      </c>
      <c r="N843" s="3" t="s">
        <v>101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563</v>
      </c>
      <c r="C844" s="3" t="s">
        <v>250</v>
      </c>
      <c r="D844" s="3"/>
      <c r="E844" s="3" t="s">
        <v>250</v>
      </c>
      <c r="F844" s="3"/>
      <c r="G844" s="3"/>
      <c r="H844" s="3"/>
      <c r="I844" s="3"/>
      <c r="J844" s="3"/>
      <c r="K844" s="3"/>
      <c r="L844" s="3" t="s">
        <v>564</v>
      </c>
      <c r="M844" s="3">
        <v>120</v>
      </c>
      <c r="N844" s="3" t="s">
        <v>251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563</v>
      </c>
      <c r="C845" s="3" t="s">
        <v>252</v>
      </c>
      <c r="D845" s="3"/>
      <c r="E845" s="3" t="s">
        <v>252</v>
      </c>
      <c r="F845" s="3"/>
      <c r="G845" s="3"/>
      <c r="H845" s="3"/>
      <c r="I845" s="3"/>
      <c r="J845" s="3"/>
      <c r="K845" s="3"/>
      <c r="L845" s="3" t="s">
        <v>564</v>
      </c>
      <c r="M845" s="3">
        <v>10</v>
      </c>
      <c r="N845" s="3" t="s">
        <v>107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563</v>
      </c>
      <c r="C846" s="3" t="s">
        <v>252</v>
      </c>
      <c r="D846" s="3"/>
      <c r="E846" s="3" t="s">
        <v>252</v>
      </c>
      <c r="F846" s="3"/>
      <c r="G846" s="3"/>
      <c r="H846" s="3"/>
      <c r="I846" s="3"/>
      <c r="J846" s="3"/>
      <c r="K846" s="3"/>
      <c r="L846" s="3" t="s">
        <v>564</v>
      </c>
      <c r="M846" s="3">
        <v>20</v>
      </c>
      <c r="N846" s="3" t="s">
        <v>565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563</v>
      </c>
      <c r="C847" s="3" t="s">
        <v>252</v>
      </c>
      <c r="D847" s="3"/>
      <c r="E847" s="3" t="s">
        <v>252</v>
      </c>
      <c r="F847" s="3"/>
      <c r="G847" s="3"/>
      <c r="H847" s="3"/>
      <c r="I847" s="3"/>
      <c r="J847" s="3"/>
      <c r="K847" s="3"/>
      <c r="L847" s="3" t="s">
        <v>564</v>
      </c>
      <c r="M847" s="3">
        <v>30</v>
      </c>
      <c r="N847" s="3" t="s">
        <v>99</v>
      </c>
      <c r="O847" s="3"/>
      <c r="P847" s="3"/>
      <c r="Q847" s="3">
        <v>0.51</v>
      </c>
      <c r="R847" s="3" t="s">
        <v>100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563</v>
      </c>
      <c r="C848" s="3" t="s">
        <v>252</v>
      </c>
      <c r="D848" s="3"/>
      <c r="E848" s="3" t="s">
        <v>252</v>
      </c>
      <c r="F848" s="3"/>
      <c r="G848" s="3"/>
      <c r="H848" s="3"/>
      <c r="I848" s="3"/>
      <c r="J848" s="3"/>
      <c r="K848" s="3"/>
      <c r="L848" s="3" t="s">
        <v>564</v>
      </c>
      <c r="M848" s="3">
        <v>40</v>
      </c>
      <c r="N848" s="3" t="s">
        <v>108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563</v>
      </c>
      <c r="C849" s="3" t="s">
        <v>252</v>
      </c>
      <c r="D849" s="3"/>
      <c r="E849" s="3" t="s">
        <v>252</v>
      </c>
      <c r="F849" s="3"/>
      <c r="G849" s="3"/>
      <c r="H849" s="3"/>
      <c r="I849" s="3"/>
      <c r="J849" s="3"/>
      <c r="K849" s="3"/>
      <c r="L849" s="3" t="s">
        <v>564</v>
      </c>
      <c r="M849" s="3">
        <v>50</v>
      </c>
      <c r="N849" s="3" t="s">
        <v>105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563</v>
      </c>
      <c r="C850" s="3" t="s">
        <v>252</v>
      </c>
      <c r="D850" s="3"/>
      <c r="E850" s="3" t="s">
        <v>252</v>
      </c>
      <c r="F850" s="3"/>
      <c r="G850" s="3"/>
      <c r="H850" s="3"/>
      <c r="I850" s="3"/>
      <c r="J850" s="3"/>
      <c r="K850" s="3"/>
      <c r="L850" s="3" t="s">
        <v>564</v>
      </c>
      <c r="M850" s="3">
        <v>60</v>
      </c>
      <c r="N850" s="3" t="s">
        <v>106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563</v>
      </c>
      <c r="C851" s="3" t="s">
        <v>252</v>
      </c>
      <c r="D851" s="3"/>
      <c r="E851" s="3" t="s">
        <v>252</v>
      </c>
      <c r="F851" s="3"/>
      <c r="G851" s="3"/>
      <c r="H851" s="3"/>
      <c r="I851" s="3"/>
      <c r="J851" s="3"/>
      <c r="K851" s="3"/>
      <c r="L851" s="3" t="s">
        <v>564</v>
      </c>
      <c r="M851" s="3">
        <v>70</v>
      </c>
      <c r="N851" s="3" t="s">
        <v>104</v>
      </c>
      <c r="O851" s="3"/>
      <c r="P851" s="3"/>
      <c r="Q851" s="3">
        <v>0.13900000000000001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563</v>
      </c>
      <c r="C852" s="3" t="s">
        <v>252</v>
      </c>
      <c r="D852" s="3"/>
      <c r="E852" s="3" t="s">
        <v>252</v>
      </c>
      <c r="F852" s="3"/>
      <c r="G852" s="3"/>
      <c r="H852" s="3"/>
      <c r="I852" s="3"/>
      <c r="J852" s="3"/>
      <c r="K852" s="3"/>
      <c r="L852" s="3" t="s">
        <v>564</v>
      </c>
      <c r="M852" s="3">
        <v>80</v>
      </c>
      <c r="N852" s="3" t="s">
        <v>192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563</v>
      </c>
      <c r="C853" s="3" t="s">
        <v>252</v>
      </c>
      <c r="D853" s="3"/>
      <c r="E853" s="3" t="s">
        <v>252</v>
      </c>
      <c r="F853" s="3"/>
      <c r="G853" s="3"/>
      <c r="H853" s="3"/>
      <c r="I853" s="3"/>
      <c r="J853" s="3"/>
      <c r="K853" s="3"/>
      <c r="L853" s="3" t="s">
        <v>564</v>
      </c>
      <c r="M853" s="3">
        <v>90</v>
      </c>
      <c r="N853" s="3" t="s">
        <v>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563</v>
      </c>
      <c r="C854" s="3" t="s">
        <v>252</v>
      </c>
      <c r="D854" s="3"/>
      <c r="E854" s="3" t="s">
        <v>252</v>
      </c>
      <c r="F854" s="3"/>
      <c r="G854" s="3"/>
      <c r="H854" s="3"/>
      <c r="I854" s="3"/>
      <c r="J854" s="3"/>
      <c r="K854" s="3"/>
      <c r="L854" s="3" t="s">
        <v>564</v>
      </c>
      <c r="M854" s="3">
        <v>100</v>
      </c>
      <c r="N854" s="3" t="s">
        <v>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563</v>
      </c>
      <c r="C855" s="3" t="s">
        <v>252</v>
      </c>
      <c r="D855" s="3"/>
      <c r="E855" s="3" t="s">
        <v>252</v>
      </c>
      <c r="F855" s="3"/>
      <c r="G855" s="3"/>
      <c r="H855" s="3"/>
      <c r="I855" s="3"/>
      <c r="J855" s="3"/>
      <c r="K855" s="3"/>
      <c r="L855" s="3" t="s">
        <v>564</v>
      </c>
      <c r="M855" s="3">
        <v>110</v>
      </c>
      <c r="N855" s="3" t="s">
        <v>101</v>
      </c>
      <c r="O855" s="3"/>
      <c r="P855" s="3"/>
      <c r="Q855" s="3">
        <v>0.65300000000000002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563</v>
      </c>
      <c r="C856" s="3" t="s">
        <v>252</v>
      </c>
      <c r="D856" s="3"/>
      <c r="E856" s="3" t="s">
        <v>252</v>
      </c>
      <c r="F856" s="3"/>
      <c r="G856" s="3"/>
      <c r="H856" s="3"/>
      <c r="I856" s="3"/>
      <c r="J856" s="3"/>
      <c r="K856" s="3"/>
      <c r="L856" s="3" t="s">
        <v>564</v>
      </c>
      <c r="M856" s="3">
        <v>120</v>
      </c>
      <c r="N856" s="3" t="s">
        <v>253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563</v>
      </c>
      <c r="C857" s="3" t="s">
        <v>254</v>
      </c>
      <c r="D857" s="3"/>
      <c r="E857" s="3" t="s">
        <v>254</v>
      </c>
      <c r="F857" s="3"/>
      <c r="G857" s="3"/>
      <c r="H857" s="3"/>
      <c r="I857" s="3"/>
      <c r="J857" s="3"/>
      <c r="K857" s="3"/>
      <c r="L857" s="3" t="s">
        <v>564</v>
      </c>
      <c r="M857" s="3">
        <v>10</v>
      </c>
      <c r="N857" s="3" t="s">
        <v>107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563</v>
      </c>
      <c r="C858" s="3" t="s">
        <v>254</v>
      </c>
      <c r="D858" s="3"/>
      <c r="E858" s="3" t="s">
        <v>254</v>
      </c>
      <c r="F858" s="3"/>
      <c r="G858" s="3"/>
      <c r="H858" s="3"/>
      <c r="I858" s="3"/>
      <c r="J858" s="3"/>
      <c r="K858" s="3"/>
      <c r="L858" s="3" t="s">
        <v>564</v>
      </c>
      <c r="M858" s="3">
        <v>20</v>
      </c>
      <c r="N858" s="3" t="s">
        <v>565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563</v>
      </c>
      <c r="C859" s="3" t="s">
        <v>254</v>
      </c>
      <c r="D859" s="3"/>
      <c r="E859" s="3" t="s">
        <v>254</v>
      </c>
      <c r="F859" s="3"/>
      <c r="G859" s="3"/>
      <c r="H859" s="3"/>
      <c r="I859" s="3"/>
      <c r="J859" s="3"/>
      <c r="K859" s="3"/>
      <c r="L859" s="3" t="s">
        <v>564</v>
      </c>
      <c r="M859" s="3">
        <v>30</v>
      </c>
      <c r="N859" s="3" t="s">
        <v>99</v>
      </c>
      <c r="O859" s="3"/>
      <c r="P859" s="3"/>
      <c r="Q859" s="3">
        <v>0.55900000000000005</v>
      </c>
      <c r="R859" s="3" t="s">
        <v>100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563</v>
      </c>
      <c r="C860" s="3" t="s">
        <v>254</v>
      </c>
      <c r="D860" s="3"/>
      <c r="E860" s="3" t="s">
        <v>254</v>
      </c>
      <c r="F860" s="3"/>
      <c r="G860" s="3"/>
      <c r="H860" s="3"/>
      <c r="I860" s="3"/>
      <c r="J860" s="3"/>
      <c r="K860" s="3"/>
      <c r="L860" s="3" t="s">
        <v>564</v>
      </c>
      <c r="M860" s="3">
        <v>40</v>
      </c>
      <c r="N860" s="3" t="s">
        <v>108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563</v>
      </c>
      <c r="C861" s="3" t="s">
        <v>254</v>
      </c>
      <c r="D861" s="3"/>
      <c r="E861" s="3" t="s">
        <v>254</v>
      </c>
      <c r="F861" s="3"/>
      <c r="G861" s="3"/>
      <c r="H861" s="3"/>
      <c r="I861" s="3"/>
      <c r="J861" s="3"/>
      <c r="K861" s="3"/>
      <c r="L861" s="3" t="s">
        <v>564</v>
      </c>
      <c r="M861" s="3">
        <v>50</v>
      </c>
      <c r="N861" s="3" t="s">
        <v>105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563</v>
      </c>
      <c r="C862" s="3" t="s">
        <v>254</v>
      </c>
      <c r="D862" s="3"/>
      <c r="E862" s="3" t="s">
        <v>254</v>
      </c>
      <c r="F862" s="3"/>
      <c r="G862" s="3"/>
      <c r="H862" s="3"/>
      <c r="I862" s="3"/>
      <c r="J862" s="3"/>
      <c r="K862" s="3"/>
      <c r="L862" s="3" t="s">
        <v>564</v>
      </c>
      <c r="M862" s="3">
        <v>60</v>
      </c>
      <c r="N862" s="3" t="s">
        <v>106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563</v>
      </c>
      <c r="C863" s="3" t="s">
        <v>254</v>
      </c>
      <c r="D863" s="3"/>
      <c r="E863" s="3" t="s">
        <v>254</v>
      </c>
      <c r="F863" s="3"/>
      <c r="G863" s="3"/>
      <c r="H863" s="3"/>
      <c r="I863" s="3"/>
      <c r="J863" s="3"/>
      <c r="K863" s="3"/>
      <c r="L863" s="3" t="s">
        <v>564</v>
      </c>
      <c r="M863" s="3">
        <v>70</v>
      </c>
      <c r="N863" s="3" t="s">
        <v>104</v>
      </c>
      <c r="O863" s="3"/>
      <c r="P863" s="3"/>
      <c r="Q863" s="3">
        <v>0.15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563</v>
      </c>
      <c r="C864" s="3" t="s">
        <v>254</v>
      </c>
      <c r="D864" s="3"/>
      <c r="E864" s="3" t="s">
        <v>254</v>
      </c>
      <c r="F864" s="3"/>
      <c r="G864" s="3"/>
      <c r="H864" s="3"/>
      <c r="I864" s="3"/>
      <c r="J864" s="3"/>
      <c r="K864" s="3"/>
      <c r="L864" s="3" t="s">
        <v>564</v>
      </c>
      <c r="M864" s="3">
        <v>80</v>
      </c>
      <c r="N864" s="3" t="s">
        <v>192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563</v>
      </c>
      <c r="C865" s="3" t="s">
        <v>254</v>
      </c>
      <c r="D865" s="3"/>
      <c r="E865" s="3" t="s">
        <v>254</v>
      </c>
      <c r="F865" s="3"/>
      <c r="G865" s="3"/>
      <c r="H865" s="3"/>
      <c r="I865" s="3"/>
      <c r="J865" s="3"/>
      <c r="K865" s="3"/>
      <c r="L865" s="3" t="s">
        <v>564</v>
      </c>
      <c r="M865" s="3">
        <v>90</v>
      </c>
      <c r="N865" s="3" t="s">
        <v>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563</v>
      </c>
      <c r="C866" s="3" t="s">
        <v>254</v>
      </c>
      <c r="D866" s="3"/>
      <c r="E866" s="3" t="s">
        <v>254</v>
      </c>
      <c r="F866" s="3"/>
      <c r="G866" s="3"/>
      <c r="H866" s="3"/>
      <c r="I866" s="3"/>
      <c r="J866" s="3"/>
      <c r="K866" s="3"/>
      <c r="L866" s="3" t="s">
        <v>564</v>
      </c>
      <c r="M866" s="3">
        <v>100</v>
      </c>
      <c r="N866" s="3" t="s">
        <v>19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563</v>
      </c>
      <c r="C867" s="3" t="s">
        <v>254</v>
      </c>
      <c r="D867" s="3"/>
      <c r="E867" s="3" t="s">
        <v>254</v>
      </c>
      <c r="F867" s="3"/>
      <c r="G867" s="3"/>
      <c r="H867" s="3"/>
      <c r="I867" s="3"/>
      <c r="J867" s="3"/>
      <c r="K867" s="3"/>
      <c r="L867" s="3" t="s">
        <v>564</v>
      </c>
      <c r="M867" s="3">
        <v>110</v>
      </c>
      <c r="N867" s="3" t="s">
        <v>101</v>
      </c>
      <c r="O867" s="3"/>
      <c r="P867" s="3"/>
      <c r="Q867" s="3">
        <v>0.65300000000000002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563</v>
      </c>
      <c r="C868" s="3" t="s">
        <v>254</v>
      </c>
      <c r="D868" s="3"/>
      <c r="E868" s="3" t="s">
        <v>254</v>
      </c>
      <c r="F868" s="3"/>
      <c r="G868" s="3"/>
      <c r="H868" s="3"/>
      <c r="I868" s="3"/>
      <c r="J868" s="3"/>
      <c r="K868" s="3"/>
      <c r="L868" s="3" t="s">
        <v>564</v>
      </c>
      <c r="M868" s="3">
        <v>120</v>
      </c>
      <c r="N868" s="3" t="s">
        <v>255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563</v>
      </c>
      <c r="C869" s="3" t="s">
        <v>256</v>
      </c>
      <c r="D869" s="3"/>
      <c r="E869" s="3" t="s">
        <v>256</v>
      </c>
      <c r="F869" s="3"/>
      <c r="G869" s="3"/>
      <c r="H869" s="3"/>
      <c r="I869" s="3"/>
      <c r="J869" s="3"/>
      <c r="K869" s="3"/>
      <c r="L869" s="3" t="s">
        <v>564</v>
      </c>
      <c r="M869" s="3">
        <v>10</v>
      </c>
      <c r="N869" s="3" t="s">
        <v>107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563</v>
      </c>
      <c r="C870" s="3" t="s">
        <v>256</v>
      </c>
      <c r="D870" s="3"/>
      <c r="E870" s="3" t="s">
        <v>256</v>
      </c>
      <c r="F870" s="3"/>
      <c r="G870" s="3"/>
      <c r="H870" s="3"/>
      <c r="I870" s="3"/>
      <c r="J870" s="3"/>
      <c r="K870" s="3"/>
      <c r="L870" s="3" t="s">
        <v>564</v>
      </c>
      <c r="M870" s="3">
        <v>20</v>
      </c>
      <c r="N870" s="3" t="s">
        <v>565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563</v>
      </c>
      <c r="C871" s="3" t="s">
        <v>256</v>
      </c>
      <c r="D871" s="3"/>
      <c r="E871" s="3" t="s">
        <v>256</v>
      </c>
      <c r="F871" s="3"/>
      <c r="G871" s="3"/>
      <c r="H871" s="3"/>
      <c r="I871" s="3"/>
      <c r="J871" s="3"/>
      <c r="K871" s="3"/>
      <c r="L871" s="3" t="s">
        <v>564</v>
      </c>
      <c r="M871" s="3">
        <v>30</v>
      </c>
      <c r="N871" s="3" t="s">
        <v>99</v>
      </c>
      <c r="O871" s="3"/>
      <c r="P871" s="3"/>
      <c r="Q871" s="3">
        <v>0.28100000000000003</v>
      </c>
      <c r="R871" s="3" t="s">
        <v>100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563</v>
      </c>
      <c r="C872" s="3" t="s">
        <v>256</v>
      </c>
      <c r="D872" s="3"/>
      <c r="E872" s="3" t="s">
        <v>256</v>
      </c>
      <c r="F872" s="3"/>
      <c r="G872" s="3"/>
      <c r="H872" s="3"/>
      <c r="I872" s="3"/>
      <c r="J872" s="3"/>
      <c r="K872" s="3"/>
      <c r="L872" s="3" t="s">
        <v>564</v>
      </c>
      <c r="M872" s="3">
        <v>40</v>
      </c>
      <c r="N872" s="3" t="s">
        <v>108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563</v>
      </c>
      <c r="C873" s="3" t="s">
        <v>256</v>
      </c>
      <c r="D873" s="3"/>
      <c r="E873" s="3" t="s">
        <v>256</v>
      </c>
      <c r="F873" s="3"/>
      <c r="G873" s="3"/>
      <c r="H873" s="3"/>
      <c r="I873" s="3"/>
      <c r="J873" s="3"/>
      <c r="K873" s="3"/>
      <c r="L873" s="3" t="s">
        <v>564</v>
      </c>
      <c r="M873" s="3">
        <v>50</v>
      </c>
      <c r="N873" s="3" t="s">
        <v>105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563</v>
      </c>
      <c r="C874" s="3" t="s">
        <v>256</v>
      </c>
      <c r="D874" s="3"/>
      <c r="E874" s="3" t="s">
        <v>256</v>
      </c>
      <c r="F874" s="3"/>
      <c r="G874" s="3"/>
      <c r="H874" s="3"/>
      <c r="I874" s="3"/>
      <c r="J874" s="3"/>
      <c r="K874" s="3"/>
      <c r="L874" s="3" t="s">
        <v>564</v>
      </c>
      <c r="M874" s="3">
        <v>60</v>
      </c>
      <c r="N874" s="3" t="s">
        <v>106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563</v>
      </c>
      <c r="C875" s="3" t="s">
        <v>256</v>
      </c>
      <c r="D875" s="3"/>
      <c r="E875" s="3" t="s">
        <v>256</v>
      </c>
      <c r="F875" s="3"/>
      <c r="G875" s="3"/>
      <c r="H875" s="3"/>
      <c r="I875" s="3"/>
      <c r="J875" s="3"/>
      <c r="K875" s="3"/>
      <c r="L875" s="3" t="s">
        <v>564</v>
      </c>
      <c r="M875" s="3">
        <v>70</v>
      </c>
      <c r="N875" s="3" t="s">
        <v>104</v>
      </c>
      <c r="O875" s="3"/>
      <c r="P875" s="3"/>
      <c r="Q875" s="3">
        <v>8.3000000000000004E-2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563</v>
      </c>
      <c r="C876" s="3" t="s">
        <v>256</v>
      </c>
      <c r="D876" s="3"/>
      <c r="E876" s="3" t="s">
        <v>256</v>
      </c>
      <c r="F876" s="3"/>
      <c r="G876" s="3"/>
      <c r="H876" s="3"/>
      <c r="I876" s="3"/>
      <c r="J876" s="3"/>
      <c r="K876" s="3"/>
      <c r="L876" s="3" t="s">
        <v>564</v>
      </c>
      <c r="M876" s="3">
        <v>80</v>
      </c>
      <c r="N876" s="3" t="s">
        <v>192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563</v>
      </c>
      <c r="C877" s="3" t="s">
        <v>256</v>
      </c>
      <c r="D877" s="3"/>
      <c r="E877" s="3" t="s">
        <v>256</v>
      </c>
      <c r="F877" s="3"/>
      <c r="G877" s="3"/>
      <c r="H877" s="3"/>
      <c r="I877" s="3"/>
      <c r="J877" s="3"/>
      <c r="K877" s="3"/>
      <c r="L877" s="3" t="s">
        <v>564</v>
      </c>
      <c r="M877" s="3">
        <v>90</v>
      </c>
      <c r="N877" s="3" t="s">
        <v>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563</v>
      </c>
      <c r="C878" s="3" t="s">
        <v>256</v>
      </c>
      <c r="D878" s="3"/>
      <c r="E878" s="3" t="s">
        <v>256</v>
      </c>
      <c r="F878" s="3"/>
      <c r="G878" s="3"/>
      <c r="H878" s="3"/>
      <c r="I878" s="3"/>
      <c r="J878" s="3"/>
      <c r="K878" s="3"/>
      <c r="L878" s="3" t="s">
        <v>564</v>
      </c>
      <c r="M878" s="3">
        <v>100</v>
      </c>
      <c r="N878" s="3" t="s">
        <v>19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563</v>
      </c>
      <c r="C879" s="3" t="s">
        <v>256</v>
      </c>
      <c r="D879" s="3"/>
      <c r="E879" s="3" t="s">
        <v>256</v>
      </c>
      <c r="F879" s="3"/>
      <c r="G879" s="3"/>
      <c r="H879" s="3"/>
      <c r="I879" s="3"/>
      <c r="J879" s="3"/>
      <c r="K879" s="3"/>
      <c r="L879" s="3" t="s">
        <v>564</v>
      </c>
      <c r="M879" s="3">
        <v>110</v>
      </c>
      <c r="N879" s="3" t="s">
        <v>101</v>
      </c>
      <c r="O879" s="3"/>
      <c r="P879" s="3"/>
      <c r="Q879" s="3">
        <v>0.68300000000000005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563</v>
      </c>
      <c r="C880" s="3" t="s">
        <v>256</v>
      </c>
      <c r="D880" s="3"/>
      <c r="E880" s="3" t="s">
        <v>256</v>
      </c>
      <c r="F880" s="3"/>
      <c r="G880" s="3"/>
      <c r="H880" s="3"/>
      <c r="I880" s="3"/>
      <c r="J880" s="3"/>
      <c r="K880" s="3"/>
      <c r="L880" s="3" t="s">
        <v>564</v>
      </c>
      <c r="M880" s="3">
        <v>120</v>
      </c>
      <c r="N880" s="3" t="s">
        <v>257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563</v>
      </c>
      <c r="C881" s="3" t="s">
        <v>258</v>
      </c>
      <c r="D881" s="3"/>
      <c r="E881" s="3" t="s">
        <v>258</v>
      </c>
      <c r="F881" s="3"/>
      <c r="G881" s="3"/>
      <c r="H881" s="3"/>
      <c r="I881" s="3"/>
      <c r="J881" s="3"/>
      <c r="K881" s="3"/>
      <c r="L881" s="3" t="s">
        <v>564</v>
      </c>
      <c r="M881" s="3">
        <v>10</v>
      </c>
      <c r="N881" s="3" t="s">
        <v>107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563</v>
      </c>
      <c r="C882" s="3" t="s">
        <v>258</v>
      </c>
      <c r="D882" s="3"/>
      <c r="E882" s="3" t="s">
        <v>258</v>
      </c>
      <c r="F882" s="3"/>
      <c r="G882" s="3"/>
      <c r="H882" s="3"/>
      <c r="I882" s="3"/>
      <c r="J882" s="3"/>
      <c r="K882" s="3"/>
      <c r="L882" s="3" t="s">
        <v>564</v>
      </c>
      <c r="M882" s="3">
        <v>20</v>
      </c>
      <c r="N882" s="3" t="s">
        <v>565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563</v>
      </c>
      <c r="C883" s="3" t="s">
        <v>258</v>
      </c>
      <c r="D883" s="3"/>
      <c r="E883" s="3" t="s">
        <v>258</v>
      </c>
      <c r="F883" s="3"/>
      <c r="G883" s="3"/>
      <c r="H883" s="3"/>
      <c r="I883" s="3"/>
      <c r="J883" s="3"/>
      <c r="K883" s="3"/>
      <c r="L883" s="3" t="s">
        <v>564</v>
      </c>
      <c r="M883" s="3">
        <v>30</v>
      </c>
      <c r="N883" s="3" t="s">
        <v>99</v>
      </c>
      <c r="O883" s="3"/>
      <c r="P883" s="3"/>
      <c r="Q883" s="3">
        <v>0.33200000000000002</v>
      </c>
      <c r="R883" s="3" t="s">
        <v>100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563</v>
      </c>
      <c r="C884" s="3" t="s">
        <v>258</v>
      </c>
      <c r="D884" s="3"/>
      <c r="E884" s="3" t="s">
        <v>258</v>
      </c>
      <c r="F884" s="3"/>
      <c r="G884" s="3"/>
      <c r="H884" s="3"/>
      <c r="I884" s="3"/>
      <c r="J884" s="3"/>
      <c r="K884" s="3"/>
      <c r="L884" s="3" t="s">
        <v>564</v>
      </c>
      <c r="M884" s="3">
        <v>40</v>
      </c>
      <c r="N884" s="3" t="s">
        <v>108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563</v>
      </c>
      <c r="C885" s="3" t="s">
        <v>258</v>
      </c>
      <c r="D885" s="3"/>
      <c r="E885" s="3" t="s">
        <v>258</v>
      </c>
      <c r="F885" s="3"/>
      <c r="G885" s="3"/>
      <c r="H885" s="3"/>
      <c r="I885" s="3"/>
      <c r="J885" s="3"/>
      <c r="K885" s="3"/>
      <c r="L885" s="3" t="s">
        <v>564</v>
      </c>
      <c r="M885" s="3">
        <v>50</v>
      </c>
      <c r="N885" s="3" t="s">
        <v>105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563</v>
      </c>
      <c r="C886" s="3" t="s">
        <v>258</v>
      </c>
      <c r="D886" s="3"/>
      <c r="E886" s="3" t="s">
        <v>258</v>
      </c>
      <c r="F886" s="3"/>
      <c r="G886" s="3"/>
      <c r="H886" s="3"/>
      <c r="I886" s="3"/>
      <c r="J886" s="3"/>
      <c r="K886" s="3"/>
      <c r="L886" s="3" t="s">
        <v>564</v>
      </c>
      <c r="M886" s="3">
        <v>60</v>
      </c>
      <c r="N886" s="3" t="s">
        <v>106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563</v>
      </c>
      <c r="C887" s="3" t="s">
        <v>258</v>
      </c>
      <c r="D887" s="3"/>
      <c r="E887" s="3" t="s">
        <v>258</v>
      </c>
      <c r="F887" s="3"/>
      <c r="G887" s="3"/>
      <c r="H887" s="3"/>
      <c r="I887" s="3"/>
      <c r="J887" s="3"/>
      <c r="K887" s="3"/>
      <c r="L887" s="3" t="s">
        <v>564</v>
      </c>
      <c r="M887" s="3">
        <v>70</v>
      </c>
      <c r="N887" s="3" t="s">
        <v>104</v>
      </c>
      <c r="O887" s="3"/>
      <c r="P887" s="3"/>
      <c r="Q887" s="3">
        <v>9.4E-2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563</v>
      </c>
      <c r="C888" s="3" t="s">
        <v>258</v>
      </c>
      <c r="D888" s="3"/>
      <c r="E888" s="3" t="s">
        <v>258</v>
      </c>
      <c r="F888" s="3"/>
      <c r="G888" s="3"/>
      <c r="H888" s="3"/>
      <c r="I888" s="3"/>
      <c r="J888" s="3"/>
      <c r="K888" s="3"/>
      <c r="L888" s="3" t="s">
        <v>564</v>
      </c>
      <c r="M888" s="3">
        <v>80</v>
      </c>
      <c r="N888" s="3" t="s">
        <v>192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563</v>
      </c>
      <c r="C889" s="3" t="s">
        <v>258</v>
      </c>
      <c r="D889" s="3"/>
      <c r="E889" s="3" t="s">
        <v>258</v>
      </c>
      <c r="F889" s="3"/>
      <c r="G889" s="3"/>
      <c r="H889" s="3"/>
      <c r="I889" s="3"/>
      <c r="J889" s="3"/>
      <c r="K889" s="3"/>
      <c r="L889" s="3" t="s">
        <v>564</v>
      </c>
      <c r="M889" s="3">
        <v>90</v>
      </c>
      <c r="N889" s="3" t="s">
        <v>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563</v>
      </c>
      <c r="C890" s="3" t="s">
        <v>258</v>
      </c>
      <c r="D890" s="3"/>
      <c r="E890" s="3" t="s">
        <v>258</v>
      </c>
      <c r="F890" s="3"/>
      <c r="G890" s="3"/>
      <c r="H890" s="3"/>
      <c r="I890" s="3"/>
      <c r="J890" s="3"/>
      <c r="K890" s="3"/>
      <c r="L890" s="3" t="s">
        <v>564</v>
      </c>
      <c r="M890" s="3">
        <v>100</v>
      </c>
      <c r="N890" s="3" t="s">
        <v>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563</v>
      </c>
      <c r="C891" s="3" t="s">
        <v>258</v>
      </c>
      <c r="D891" s="3"/>
      <c r="E891" s="3" t="s">
        <v>258</v>
      </c>
      <c r="F891" s="3"/>
      <c r="G891" s="3"/>
      <c r="H891" s="3"/>
      <c r="I891" s="3"/>
      <c r="J891" s="3"/>
      <c r="K891" s="3"/>
      <c r="L891" s="3" t="s">
        <v>564</v>
      </c>
      <c r="M891" s="3">
        <v>110</v>
      </c>
      <c r="N891" s="3" t="s">
        <v>101</v>
      </c>
      <c r="O891" s="3"/>
      <c r="P891" s="3"/>
      <c r="Q891" s="3">
        <v>0.68300000000000005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563</v>
      </c>
      <c r="C892" s="3" t="s">
        <v>258</v>
      </c>
      <c r="D892" s="3"/>
      <c r="E892" s="3" t="s">
        <v>258</v>
      </c>
      <c r="F892" s="3"/>
      <c r="G892" s="3"/>
      <c r="H892" s="3"/>
      <c r="I892" s="3"/>
      <c r="J892" s="3"/>
      <c r="K892" s="3"/>
      <c r="L892" s="3" t="s">
        <v>564</v>
      </c>
      <c r="M892" s="3">
        <v>120</v>
      </c>
      <c r="N892" s="3" t="s">
        <v>259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563</v>
      </c>
      <c r="C893" s="3" t="s">
        <v>260</v>
      </c>
      <c r="D893" s="3"/>
      <c r="E893" s="3" t="s">
        <v>260</v>
      </c>
      <c r="F893" s="3"/>
      <c r="G893" s="3"/>
      <c r="H893" s="3"/>
      <c r="I893" s="3"/>
      <c r="J893" s="3"/>
      <c r="K893" s="3"/>
      <c r="L893" s="3" t="s">
        <v>564</v>
      </c>
      <c r="M893" s="3">
        <v>10</v>
      </c>
      <c r="N893" s="3" t="s">
        <v>107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563</v>
      </c>
      <c r="C894" s="3" t="s">
        <v>260</v>
      </c>
      <c r="D894" s="3"/>
      <c r="E894" s="3" t="s">
        <v>260</v>
      </c>
      <c r="F894" s="3"/>
      <c r="G894" s="3"/>
      <c r="H894" s="3"/>
      <c r="I894" s="3"/>
      <c r="J894" s="3"/>
      <c r="K894" s="3"/>
      <c r="L894" s="3" t="s">
        <v>564</v>
      </c>
      <c r="M894" s="3">
        <v>20</v>
      </c>
      <c r="N894" s="3" t="s">
        <v>565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563</v>
      </c>
      <c r="C895" s="3" t="s">
        <v>260</v>
      </c>
      <c r="D895" s="3"/>
      <c r="E895" s="3" t="s">
        <v>260</v>
      </c>
      <c r="F895" s="3"/>
      <c r="G895" s="3"/>
      <c r="H895" s="3"/>
      <c r="I895" s="3"/>
      <c r="J895" s="3"/>
      <c r="K895" s="3"/>
      <c r="L895" s="3" t="s">
        <v>564</v>
      </c>
      <c r="M895" s="3">
        <v>30</v>
      </c>
      <c r="N895" s="3" t="s">
        <v>99</v>
      </c>
      <c r="O895" s="3"/>
      <c r="P895" s="3"/>
      <c r="Q895" s="3">
        <v>0.38300000000000001</v>
      </c>
      <c r="R895" s="3" t="s">
        <v>100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563</v>
      </c>
      <c r="C896" s="3" t="s">
        <v>260</v>
      </c>
      <c r="D896" s="3"/>
      <c r="E896" s="3" t="s">
        <v>260</v>
      </c>
      <c r="F896" s="3"/>
      <c r="G896" s="3"/>
      <c r="H896" s="3"/>
      <c r="I896" s="3"/>
      <c r="J896" s="3"/>
      <c r="K896" s="3"/>
      <c r="L896" s="3" t="s">
        <v>564</v>
      </c>
      <c r="M896" s="3">
        <v>40</v>
      </c>
      <c r="N896" s="3" t="s">
        <v>108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563</v>
      </c>
      <c r="C897" s="3" t="s">
        <v>260</v>
      </c>
      <c r="D897" s="3"/>
      <c r="E897" s="3" t="s">
        <v>260</v>
      </c>
      <c r="F897" s="3"/>
      <c r="G897" s="3"/>
      <c r="H897" s="3"/>
      <c r="I897" s="3"/>
      <c r="J897" s="3"/>
      <c r="K897" s="3"/>
      <c r="L897" s="3" t="s">
        <v>564</v>
      </c>
      <c r="M897" s="3">
        <v>50</v>
      </c>
      <c r="N897" s="3" t="s">
        <v>105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563</v>
      </c>
      <c r="C898" s="3" t="s">
        <v>260</v>
      </c>
      <c r="D898" s="3"/>
      <c r="E898" s="3" t="s">
        <v>260</v>
      </c>
      <c r="F898" s="3"/>
      <c r="G898" s="3"/>
      <c r="H898" s="3"/>
      <c r="I898" s="3"/>
      <c r="J898" s="3"/>
      <c r="K898" s="3"/>
      <c r="L898" s="3" t="s">
        <v>564</v>
      </c>
      <c r="M898" s="3">
        <v>60</v>
      </c>
      <c r="N898" s="3" t="s">
        <v>106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563</v>
      </c>
      <c r="C899" s="3" t="s">
        <v>260</v>
      </c>
      <c r="D899" s="3"/>
      <c r="E899" s="3" t="s">
        <v>260</v>
      </c>
      <c r="F899" s="3"/>
      <c r="G899" s="3"/>
      <c r="H899" s="3"/>
      <c r="I899" s="3"/>
      <c r="J899" s="3"/>
      <c r="K899" s="3"/>
      <c r="L899" s="3" t="s">
        <v>564</v>
      </c>
      <c r="M899" s="3">
        <v>70</v>
      </c>
      <c r="N899" s="3" t="s">
        <v>104</v>
      </c>
      <c r="O899" s="3"/>
      <c r="P899" s="3"/>
      <c r="Q899" s="3">
        <v>0.105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563</v>
      </c>
      <c r="C900" s="3" t="s">
        <v>260</v>
      </c>
      <c r="D900" s="3"/>
      <c r="E900" s="3" t="s">
        <v>260</v>
      </c>
      <c r="F900" s="3"/>
      <c r="G900" s="3"/>
      <c r="H900" s="3"/>
      <c r="I900" s="3"/>
      <c r="J900" s="3"/>
      <c r="K900" s="3"/>
      <c r="L900" s="3" t="s">
        <v>564</v>
      </c>
      <c r="M900" s="3">
        <v>80</v>
      </c>
      <c r="N900" s="3" t="s">
        <v>192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563</v>
      </c>
      <c r="C901" s="3" t="s">
        <v>260</v>
      </c>
      <c r="D901" s="3"/>
      <c r="E901" s="3" t="s">
        <v>260</v>
      </c>
      <c r="F901" s="3"/>
      <c r="G901" s="3"/>
      <c r="H901" s="3"/>
      <c r="I901" s="3"/>
      <c r="J901" s="3"/>
      <c r="K901" s="3"/>
      <c r="L901" s="3" t="s">
        <v>564</v>
      </c>
      <c r="M901" s="3">
        <v>90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563</v>
      </c>
      <c r="C902" s="3" t="s">
        <v>260</v>
      </c>
      <c r="D902" s="3"/>
      <c r="E902" s="3" t="s">
        <v>260</v>
      </c>
      <c r="F902" s="3"/>
      <c r="G902" s="3"/>
      <c r="H902" s="3"/>
      <c r="I902" s="3"/>
      <c r="J902" s="3"/>
      <c r="K902" s="3"/>
      <c r="L902" s="3" t="s">
        <v>564</v>
      </c>
      <c r="M902" s="3">
        <v>100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563</v>
      </c>
      <c r="C903" s="3" t="s">
        <v>260</v>
      </c>
      <c r="D903" s="3"/>
      <c r="E903" s="3" t="s">
        <v>260</v>
      </c>
      <c r="F903" s="3"/>
      <c r="G903" s="3"/>
      <c r="H903" s="3"/>
      <c r="I903" s="3"/>
      <c r="J903" s="3"/>
      <c r="K903" s="3"/>
      <c r="L903" s="3" t="s">
        <v>564</v>
      </c>
      <c r="M903" s="3">
        <v>110</v>
      </c>
      <c r="N903" s="3" t="s">
        <v>101</v>
      </c>
      <c r="O903" s="3"/>
      <c r="P903" s="3"/>
      <c r="Q903" s="3">
        <v>0.68300000000000005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563</v>
      </c>
      <c r="C904" s="3" t="s">
        <v>260</v>
      </c>
      <c r="D904" s="3"/>
      <c r="E904" s="3" t="s">
        <v>260</v>
      </c>
      <c r="F904" s="3"/>
      <c r="G904" s="3"/>
      <c r="H904" s="3"/>
      <c r="I904" s="3"/>
      <c r="J904" s="3"/>
      <c r="K904" s="3"/>
      <c r="L904" s="3" t="s">
        <v>564</v>
      </c>
      <c r="M904" s="3">
        <v>120</v>
      </c>
      <c r="N904" s="3" t="s">
        <v>261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563</v>
      </c>
      <c r="C905" s="3" t="s">
        <v>262</v>
      </c>
      <c r="D905" s="3"/>
      <c r="E905" s="3" t="s">
        <v>262</v>
      </c>
      <c r="F905" s="3"/>
      <c r="G905" s="3"/>
      <c r="H905" s="3"/>
      <c r="I905" s="3"/>
      <c r="J905" s="3"/>
      <c r="K905" s="3"/>
      <c r="L905" s="3" t="s">
        <v>564</v>
      </c>
      <c r="M905" s="3">
        <v>10</v>
      </c>
      <c r="N905" s="3" t="s">
        <v>107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563</v>
      </c>
      <c r="C906" s="3" t="s">
        <v>262</v>
      </c>
      <c r="D906" s="3"/>
      <c r="E906" s="3" t="s">
        <v>262</v>
      </c>
      <c r="F906" s="3"/>
      <c r="G906" s="3"/>
      <c r="H906" s="3"/>
      <c r="I906" s="3"/>
      <c r="J906" s="3"/>
      <c r="K906" s="3"/>
      <c r="L906" s="3" t="s">
        <v>564</v>
      </c>
      <c r="M906" s="3">
        <v>20</v>
      </c>
      <c r="N906" s="3" t="s">
        <v>565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563</v>
      </c>
      <c r="C907" s="3" t="s">
        <v>262</v>
      </c>
      <c r="D907" s="3"/>
      <c r="E907" s="3" t="s">
        <v>262</v>
      </c>
      <c r="F907" s="3"/>
      <c r="G907" s="3"/>
      <c r="H907" s="3"/>
      <c r="I907" s="3"/>
      <c r="J907" s="3"/>
      <c r="K907" s="3"/>
      <c r="L907" s="3" t="s">
        <v>564</v>
      </c>
      <c r="M907" s="3">
        <v>30</v>
      </c>
      <c r="N907" s="3" t="s">
        <v>99</v>
      </c>
      <c r="O907" s="3"/>
      <c r="P907" s="3"/>
      <c r="Q907" s="3">
        <v>0.434</v>
      </c>
      <c r="R907" s="3" t="s">
        <v>100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563</v>
      </c>
      <c r="C908" s="3" t="s">
        <v>262</v>
      </c>
      <c r="D908" s="3"/>
      <c r="E908" s="3" t="s">
        <v>262</v>
      </c>
      <c r="F908" s="3"/>
      <c r="G908" s="3"/>
      <c r="H908" s="3"/>
      <c r="I908" s="3"/>
      <c r="J908" s="3"/>
      <c r="K908" s="3"/>
      <c r="L908" s="3" t="s">
        <v>564</v>
      </c>
      <c r="M908" s="3">
        <v>40</v>
      </c>
      <c r="N908" s="3" t="s">
        <v>108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563</v>
      </c>
      <c r="C909" s="3" t="s">
        <v>262</v>
      </c>
      <c r="D909" s="3"/>
      <c r="E909" s="3" t="s">
        <v>262</v>
      </c>
      <c r="F909" s="3"/>
      <c r="G909" s="3"/>
      <c r="H909" s="3"/>
      <c r="I909" s="3"/>
      <c r="J909" s="3"/>
      <c r="K909" s="3"/>
      <c r="L909" s="3" t="s">
        <v>564</v>
      </c>
      <c r="M909" s="3">
        <v>50</v>
      </c>
      <c r="N909" s="3" t="s">
        <v>105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563</v>
      </c>
      <c r="C910" s="3" t="s">
        <v>262</v>
      </c>
      <c r="D910" s="3"/>
      <c r="E910" s="3" t="s">
        <v>262</v>
      </c>
      <c r="F910" s="3"/>
      <c r="G910" s="3"/>
      <c r="H910" s="3"/>
      <c r="I910" s="3"/>
      <c r="J910" s="3"/>
      <c r="K910" s="3"/>
      <c r="L910" s="3" t="s">
        <v>564</v>
      </c>
      <c r="M910" s="3">
        <v>60</v>
      </c>
      <c r="N910" s="3" t="s">
        <v>106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563</v>
      </c>
      <c r="C911" s="3" t="s">
        <v>262</v>
      </c>
      <c r="D911" s="3"/>
      <c r="E911" s="3" t="s">
        <v>262</v>
      </c>
      <c r="F911" s="3"/>
      <c r="G911" s="3"/>
      <c r="H911" s="3"/>
      <c r="I911" s="3"/>
      <c r="J911" s="3"/>
      <c r="K911" s="3"/>
      <c r="L911" s="3" t="s">
        <v>564</v>
      </c>
      <c r="M911" s="3">
        <v>70</v>
      </c>
      <c r="N911" s="3" t="s">
        <v>104</v>
      </c>
      <c r="O911" s="3"/>
      <c r="P911" s="3"/>
      <c r="Q911" s="3">
        <v>0.11700000000000001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563</v>
      </c>
      <c r="C912" s="3" t="s">
        <v>262</v>
      </c>
      <c r="D912" s="3"/>
      <c r="E912" s="3" t="s">
        <v>262</v>
      </c>
      <c r="F912" s="3"/>
      <c r="G912" s="3"/>
      <c r="H912" s="3"/>
      <c r="I912" s="3"/>
      <c r="J912" s="3"/>
      <c r="K912" s="3"/>
      <c r="L912" s="3" t="s">
        <v>564</v>
      </c>
      <c r="M912" s="3">
        <v>80</v>
      </c>
      <c r="N912" s="3" t="s">
        <v>192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563</v>
      </c>
      <c r="C913" s="3" t="s">
        <v>262</v>
      </c>
      <c r="D913" s="3"/>
      <c r="E913" s="3" t="s">
        <v>262</v>
      </c>
      <c r="F913" s="3"/>
      <c r="G913" s="3"/>
      <c r="H913" s="3"/>
      <c r="I913" s="3"/>
      <c r="J913" s="3"/>
      <c r="K913" s="3"/>
      <c r="L913" s="3" t="s">
        <v>564</v>
      </c>
      <c r="M913" s="3">
        <v>90</v>
      </c>
      <c r="N913" s="3" t="s">
        <v>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563</v>
      </c>
      <c r="C914" s="3" t="s">
        <v>262</v>
      </c>
      <c r="D914" s="3"/>
      <c r="E914" s="3" t="s">
        <v>262</v>
      </c>
      <c r="F914" s="3"/>
      <c r="G914" s="3"/>
      <c r="H914" s="3"/>
      <c r="I914" s="3"/>
      <c r="J914" s="3"/>
      <c r="K914" s="3"/>
      <c r="L914" s="3" t="s">
        <v>564</v>
      </c>
      <c r="M914" s="3">
        <v>100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563</v>
      </c>
      <c r="C915" s="3" t="s">
        <v>262</v>
      </c>
      <c r="D915" s="3"/>
      <c r="E915" s="3" t="s">
        <v>262</v>
      </c>
      <c r="F915" s="3"/>
      <c r="G915" s="3"/>
      <c r="H915" s="3"/>
      <c r="I915" s="3"/>
      <c r="J915" s="3"/>
      <c r="K915" s="3"/>
      <c r="L915" s="3" t="s">
        <v>564</v>
      </c>
      <c r="M915" s="3">
        <v>110</v>
      </c>
      <c r="N915" s="3" t="s">
        <v>101</v>
      </c>
      <c r="O915" s="3"/>
      <c r="P915" s="3"/>
      <c r="Q915" s="3">
        <v>0.68300000000000005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563</v>
      </c>
      <c r="C916" s="3" t="s">
        <v>262</v>
      </c>
      <c r="D916" s="3"/>
      <c r="E916" s="3" t="s">
        <v>262</v>
      </c>
      <c r="F916" s="3"/>
      <c r="G916" s="3"/>
      <c r="H916" s="3"/>
      <c r="I916" s="3"/>
      <c r="J916" s="3"/>
      <c r="K916" s="3"/>
      <c r="L916" s="3" t="s">
        <v>564</v>
      </c>
      <c r="M916" s="3">
        <v>120</v>
      </c>
      <c r="N916" s="3" t="s">
        <v>263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563</v>
      </c>
      <c r="C917" s="3" t="s">
        <v>264</v>
      </c>
      <c r="D917" s="3"/>
      <c r="E917" s="3" t="s">
        <v>264</v>
      </c>
      <c r="F917" s="3"/>
      <c r="G917" s="3"/>
      <c r="H917" s="3"/>
      <c r="I917" s="3"/>
      <c r="J917" s="3"/>
      <c r="K917" s="3"/>
      <c r="L917" s="3" t="s">
        <v>564</v>
      </c>
      <c r="M917" s="3">
        <v>10</v>
      </c>
      <c r="N917" s="3" t="s">
        <v>107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563</v>
      </c>
      <c r="C918" s="3" t="s">
        <v>264</v>
      </c>
      <c r="D918" s="3"/>
      <c r="E918" s="3" t="s">
        <v>264</v>
      </c>
      <c r="F918" s="3"/>
      <c r="G918" s="3"/>
      <c r="H918" s="3"/>
      <c r="I918" s="3"/>
      <c r="J918" s="3"/>
      <c r="K918" s="3"/>
      <c r="L918" s="3" t="s">
        <v>564</v>
      </c>
      <c r="M918" s="3">
        <v>20</v>
      </c>
      <c r="N918" s="3" t="s">
        <v>565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563</v>
      </c>
      <c r="C919" s="3" t="s">
        <v>264</v>
      </c>
      <c r="D919" s="3"/>
      <c r="E919" s="3" t="s">
        <v>264</v>
      </c>
      <c r="F919" s="3"/>
      <c r="G919" s="3"/>
      <c r="H919" s="3"/>
      <c r="I919" s="3"/>
      <c r="J919" s="3"/>
      <c r="K919" s="3"/>
      <c r="L919" s="3" t="s">
        <v>564</v>
      </c>
      <c r="M919" s="3">
        <v>30</v>
      </c>
      <c r="N919" s="3" t="s">
        <v>99</v>
      </c>
      <c r="O919" s="3"/>
      <c r="P919" s="3"/>
      <c r="Q919" s="3">
        <v>0.45900000000000002</v>
      </c>
      <c r="R919" s="3" t="s">
        <v>100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563</v>
      </c>
      <c r="C920" s="3" t="s">
        <v>264</v>
      </c>
      <c r="D920" s="3"/>
      <c r="E920" s="3" t="s">
        <v>264</v>
      </c>
      <c r="F920" s="3"/>
      <c r="G920" s="3"/>
      <c r="H920" s="3"/>
      <c r="I920" s="3"/>
      <c r="J920" s="3"/>
      <c r="K920" s="3"/>
      <c r="L920" s="3" t="s">
        <v>564</v>
      </c>
      <c r="M920" s="3">
        <v>40</v>
      </c>
      <c r="N920" s="3" t="s">
        <v>108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563</v>
      </c>
      <c r="C921" s="3" t="s">
        <v>264</v>
      </c>
      <c r="D921" s="3"/>
      <c r="E921" s="3" t="s">
        <v>264</v>
      </c>
      <c r="F921" s="3"/>
      <c r="G921" s="3"/>
      <c r="H921" s="3"/>
      <c r="I921" s="3"/>
      <c r="J921" s="3"/>
      <c r="K921" s="3"/>
      <c r="L921" s="3" t="s">
        <v>564</v>
      </c>
      <c r="M921" s="3">
        <v>50</v>
      </c>
      <c r="N921" s="3" t="s">
        <v>105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563</v>
      </c>
      <c r="C922" s="3" t="s">
        <v>264</v>
      </c>
      <c r="D922" s="3"/>
      <c r="E922" s="3" t="s">
        <v>264</v>
      </c>
      <c r="F922" s="3"/>
      <c r="G922" s="3"/>
      <c r="H922" s="3"/>
      <c r="I922" s="3"/>
      <c r="J922" s="3"/>
      <c r="K922" s="3"/>
      <c r="L922" s="3" t="s">
        <v>564</v>
      </c>
      <c r="M922" s="3">
        <v>60</v>
      </c>
      <c r="N922" s="3" t="s">
        <v>106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563</v>
      </c>
      <c r="C923" s="3" t="s">
        <v>264</v>
      </c>
      <c r="D923" s="3"/>
      <c r="E923" s="3" t="s">
        <v>264</v>
      </c>
      <c r="F923" s="3"/>
      <c r="G923" s="3"/>
      <c r="H923" s="3"/>
      <c r="I923" s="3"/>
      <c r="J923" s="3"/>
      <c r="K923" s="3"/>
      <c r="L923" s="3" t="s">
        <v>564</v>
      </c>
      <c r="M923" s="3">
        <v>70</v>
      </c>
      <c r="N923" s="3" t="s">
        <v>104</v>
      </c>
      <c r="O923" s="3"/>
      <c r="P923" s="3"/>
      <c r="Q923" s="3">
        <v>0.122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563</v>
      </c>
      <c r="C924" s="3" t="s">
        <v>264</v>
      </c>
      <c r="D924" s="3"/>
      <c r="E924" s="3" t="s">
        <v>264</v>
      </c>
      <c r="F924" s="3"/>
      <c r="G924" s="3"/>
      <c r="H924" s="3"/>
      <c r="I924" s="3"/>
      <c r="J924" s="3"/>
      <c r="K924" s="3"/>
      <c r="L924" s="3" t="s">
        <v>564</v>
      </c>
      <c r="M924" s="3">
        <v>80</v>
      </c>
      <c r="N924" s="3" t="s">
        <v>192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563</v>
      </c>
      <c r="C925" s="3" t="s">
        <v>264</v>
      </c>
      <c r="D925" s="3"/>
      <c r="E925" s="3" t="s">
        <v>264</v>
      </c>
      <c r="F925" s="3"/>
      <c r="G925" s="3"/>
      <c r="H925" s="3"/>
      <c r="I925" s="3"/>
      <c r="J925" s="3"/>
      <c r="K925" s="3"/>
      <c r="L925" s="3" t="s">
        <v>564</v>
      </c>
      <c r="M925" s="3">
        <v>90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563</v>
      </c>
      <c r="C926" s="3" t="s">
        <v>264</v>
      </c>
      <c r="D926" s="3"/>
      <c r="E926" s="3" t="s">
        <v>264</v>
      </c>
      <c r="F926" s="3"/>
      <c r="G926" s="3"/>
      <c r="H926" s="3"/>
      <c r="I926" s="3"/>
      <c r="J926" s="3"/>
      <c r="K926" s="3"/>
      <c r="L926" s="3" t="s">
        <v>564</v>
      </c>
      <c r="M926" s="3">
        <v>100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563</v>
      </c>
      <c r="C927" s="3" t="s">
        <v>264</v>
      </c>
      <c r="D927" s="3"/>
      <c r="E927" s="3" t="s">
        <v>264</v>
      </c>
      <c r="F927" s="3"/>
      <c r="G927" s="3"/>
      <c r="H927" s="3"/>
      <c r="I927" s="3"/>
      <c r="J927" s="3"/>
      <c r="K927" s="3"/>
      <c r="L927" s="3" t="s">
        <v>564</v>
      </c>
      <c r="M927" s="3">
        <v>110</v>
      </c>
      <c r="N927" s="3" t="s">
        <v>101</v>
      </c>
      <c r="O927" s="3"/>
      <c r="P927" s="3"/>
      <c r="Q927" s="3">
        <v>0.68300000000000005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563</v>
      </c>
      <c r="C928" s="3" t="s">
        <v>264</v>
      </c>
      <c r="D928" s="3"/>
      <c r="E928" s="3" t="s">
        <v>264</v>
      </c>
      <c r="F928" s="3"/>
      <c r="G928" s="3"/>
      <c r="H928" s="3"/>
      <c r="I928" s="3"/>
      <c r="J928" s="3"/>
      <c r="K928" s="3"/>
      <c r="L928" s="3" t="s">
        <v>564</v>
      </c>
      <c r="M928" s="3">
        <v>120</v>
      </c>
      <c r="N928" s="3" t="s">
        <v>265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563</v>
      </c>
      <c r="C929" s="3" t="s">
        <v>266</v>
      </c>
      <c r="D929" s="3"/>
      <c r="E929" s="3" t="s">
        <v>266</v>
      </c>
      <c r="F929" s="3"/>
      <c r="G929" s="3"/>
      <c r="H929" s="3"/>
      <c r="I929" s="3"/>
      <c r="J929" s="3"/>
      <c r="K929" s="3"/>
      <c r="L929" s="3" t="s">
        <v>564</v>
      </c>
      <c r="M929" s="3">
        <v>10</v>
      </c>
      <c r="N929" s="3" t="s">
        <v>107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563</v>
      </c>
      <c r="C930" s="3" t="s">
        <v>266</v>
      </c>
      <c r="D930" s="3"/>
      <c r="E930" s="3" t="s">
        <v>266</v>
      </c>
      <c r="F930" s="3"/>
      <c r="G930" s="3"/>
      <c r="H930" s="3"/>
      <c r="I930" s="3"/>
      <c r="J930" s="3"/>
      <c r="K930" s="3"/>
      <c r="L930" s="3" t="s">
        <v>564</v>
      </c>
      <c r="M930" s="3">
        <v>20</v>
      </c>
      <c r="N930" s="3" t="s">
        <v>565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563</v>
      </c>
      <c r="C931" s="3" t="s">
        <v>266</v>
      </c>
      <c r="D931" s="3"/>
      <c r="E931" s="3" t="s">
        <v>266</v>
      </c>
      <c r="F931" s="3"/>
      <c r="G931" s="3"/>
      <c r="H931" s="3"/>
      <c r="I931" s="3"/>
      <c r="J931" s="3"/>
      <c r="K931" s="3"/>
      <c r="L931" s="3" t="s">
        <v>564</v>
      </c>
      <c r="M931" s="3">
        <v>30</v>
      </c>
      <c r="N931" s="3" t="s">
        <v>99</v>
      </c>
      <c r="O931" s="3"/>
      <c r="P931" s="3"/>
      <c r="Q931" s="3">
        <v>0.48499999999999999</v>
      </c>
      <c r="R931" s="3" t="s">
        <v>100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563</v>
      </c>
      <c r="C932" s="3" t="s">
        <v>266</v>
      </c>
      <c r="D932" s="3"/>
      <c r="E932" s="3" t="s">
        <v>266</v>
      </c>
      <c r="F932" s="3"/>
      <c r="G932" s="3"/>
      <c r="H932" s="3"/>
      <c r="I932" s="3"/>
      <c r="J932" s="3"/>
      <c r="K932" s="3"/>
      <c r="L932" s="3" t="s">
        <v>564</v>
      </c>
      <c r="M932" s="3">
        <v>40</v>
      </c>
      <c r="N932" s="3" t="s">
        <v>108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563</v>
      </c>
      <c r="C933" s="3" t="s">
        <v>266</v>
      </c>
      <c r="D933" s="3"/>
      <c r="E933" s="3" t="s">
        <v>266</v>
      </c>
      <c r="F933" s="3"/>
      <c r="G933" s="3"/>
      <c r="H933" s="3"/>
      <c r="I933" s="3"/>
      <c r="J933" s="3"/>
      <c r="K933" s="3"/>
      <c r="L933" s="3" t="s">
        <v>564</v>
      </c>
      <c r="M933" s="3">
        <v>50</v>
      </c>
      <c r="N933" s="3" t="s">
        <v>105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563</v>
      </c>
      <c r="C934" s="3" t="s">
        <v>266</v>
      </c>
      <c r="D934" s="3"/>
      <c r="E934" s="3" t="s">
        <v>266</v>
      </c>
      <c r="F934" s="3"/>
      <c r="G934" s="3"/>
      <c r="H934" s="3"/>
      <c r="I934" s="3"/>
      <c r="J934" s="3"/>
      <c r="K934" s="3"/>
      <c r="L934" s="3" t="s">
        <v>564</v>
      </c>
      <c r="M934" s="3">
        <v>60</v>
      </c>
      <c r="N934" s="3" t="s">
        <v>106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563</v>
      </c>
      <c r="C935" s="3" t="s">
        <v>266</v>
      </c>
      <c r="D935" s="3"/>
      <c r="E935" s="3" t="s">
        <v>266</v>
      </c>
      <c r="F935" s="3"/>
      <c r="G935" s="3"/>
      <c r="H935" s="3"/>
      <c r="I935" s="3"/>
      <c r="J935" s="3"/>
      <c r="K935" s="3"/>
      <c r="L935" s="3" t="s">
        <v>564</v>
      </c>
      <c r="M935" s="3">
        <v>70</v>
      </c>
      <c r="N935" s="3" t="s">
        <v>104</v>
      </c>
      <c r="O935" s="3"/>
      <c r="P935" s="3"/>
      <c r="Q935" s="3">
        <v>0.128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563</v>
      </c>
      <c r="C936" s="3" t="s">
        <v>266</v>
      </c>
      <c r="D936" s="3"/>
      <c r="E936" s="3" t="s">
        <v>266</v>
      </c>
      <c r="F936" s="3"/>
      <c r="G936" s="3"/>
      <c r="H936" s="3"/>
      <c r="I936" s="3"/>
      <c r="J936" s="3"/>
      <c r="K936" s="3"/>
      <c r="L936" s="3" t="s">
        <v>564</v>
      </c>
      <c r="M936" s="3">
        <v>80</v>
      </c>
      <c r="N936" s="3" t="s">
        <v>192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563</v>
      </c>
      <c r="C937" s="3" t="s">
        <v>266</v>
      </c>
      <c r="D937" s="3"/>
      <c r="E937" s="3" t="s">
        <v>266</v>
      </c>
      <c r="F937" s="3"/>
      <c r="G937" s="3"/>
      <c r="H937" s="3"/>
      <c r="I937" s="3"/>
      <c r="J937" s="3"/>
      <c r="K937" s="3"/>
      <c r="L937" s="3" t="s">
        <v>564</v>
      </c>
      <c r="M937" s="3">
        <v>90</v>
      </c>
      <c r="N937" s="3" t="s">
        <v>18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563</v>
      </c>
      <c r="C938" s="3" t="s">
        <v>266</v>
      </c>
      <c r="D938" s="3"/>
      <c r="E938" s="3" t="s">
        <v>266</v>
      </c>
      <c r="F938" s="3"/>
      <c r="G938" s="3"/>
      <c r="H938" s="3"/>
      <c r="I938" s="3"/>
      <c r="J938" s="3"/>
      <c r="K938" s="3"/>
      <c r="L938" s="3" t="s">
        <v>564</v>
      </c>
      <c r="M938" s="3">
        <v>100</v>
      </c>
      <c r="N938" s="3" t="s">
        <v>19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563</v>
      </c>
      <c r="C939" s="3" t="s">
        <v>266</v>
      </c>
      <c r="D939" s="3"/>
      <c r="E939" s="3" t="s">
        <v>266</v>
      </c>
      <c r="F939" s="3"/>
      <c r="G939" s="3"/>
      <c r="H939" s="3"/>
      <c r="I939" s="3"/>
      <c r="J939" s="3"/>
      <c r="K939" s="3"/>
      <c r="L939" s="3" t="s">
        <v>564</v>
      </c>
      <c r="M939" s="3">
        <v>110</v>
      </c>
      <c r="N939" s="3" t="s">
        <v>101</v>
      </c>
      <c r="O939" s="3"/>
      <c r="P939" s="3"/>
      <c r="Q939" s="3">
        <v>0.68300000000000005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563</v>
      </c>
      <c r="C940" s="3" t="s">
        <v>266</v>
      </c>
      <c r="D940" s="3"/>
      <c r="E940" s="3" t="s">
        <v>266</v>
      </c>
      <c r="F940" s="3"/>
      <c r="G940" s="3"/>
      <c r="H940" s="3"/>
      <c r="I940" s="3"/>
      <c r="J940" s="3"/>
      <c r="K940" s="3"/>
      <c r="L940" s="3" t="s">
        <v>564</v>
      </c>
      <c r="M940" s="3">
        <v>120</v>
      </c>
      <c r="N940" s="3" t="s">
        <v>267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563</v>
      </c>
      <c r="C941" s="3" t="s">
        <v>268</v>
      </c>
      <c r="D941" s="3"/>
      <c r="E941" s="3" t="s">
        <v>268</v>
      </c>
      <c r="F941" s="3"/>
      <c r="G941" s="3"/>
      <c r="H941" s="3"/>
      <c r="I941" s="3"/>
      <c r="J941" s="3"/>
      <c r="K941" s="3"/>
      <c r="L941" s="3" t="s">
        <v>564</v>
      </c>
      <c r="M941" s="3">
        <v>10</v>
      </c>
      <c r="N941" s="3" t="s">
        <v>107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563</v>
      </c>
      <c r="C942" s="3" t="s">
        <v>268</v>
      </c>
      <c r="D942" s="3"/>
      <c r="E942" s="3" t="s">
        <v>268</v>
      </c>
      <c r="F942" s="3"/>
      <c r="G942" s="3"/>
      <c r="H942" s="3"/>
      <c r="I942" s="3"/>
      <c r="J942" s="3"/>
      <c r="K942" s="3"/>
      <c r="L942" s="3" t="s">
        <v>564</v>
      </c>
      <c r="M942" s="3">
        <v>20</v>
      </c>
      <c r="N942" s="3" t="s">
        <v>565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563</v>
      </c>
      <c r="C943" s="3" t="s">
        <v>268</v>
      </c>
      <c r="D943" s="3"/>
      <c r="E943" s="3" t="s">
        <v>268</v>
      </c>
      <c r="F943" s="3"/>
      <c r="G943" s="3"/>
      <c r="H943" s="3"/>
      <c r="I943" s="3"/>
      <c r="J943" s="3"/>
      <c r="K943" s="3"/>
      <c r="L943" s="3" t="s">
        <v>564</v>
      </c>
      <c r="M943" s="3">
        <v>30</v>
      </c>
      <c r="N943" s="3" t="s">
        <v>99</v>
      </c>
      <c r="O943" s="3"/>
      <c r="P943" s="3"/>
      <c r="Q943" s="3">
        <v>0.53600000000000003</v>
      </c>
      <c r="R943" s="3" t="s">
        <v>100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563</v>
      </c>
      <c r="C944" s="3" t="s">
        <v>268</v>
      </c>
      <c r="D944" s="3"/>
      <c r="E944" s="3" t="s">
        <v>268</v>
      </c>
      <c r="F944" s="3"/>
      <c r="G944" s="3"/>
      <c r="H944" s="3"/>
      <c r="I944" s="3"/>
      <c r="J944" s="3"/>
      <c r="K944" s="3"/>
      <c r="L944" s="3" t="s">
        <v>564</v>
      </c>
      <c r="M944" s="3">
        <v>40</v>
      </c>
      <c r="N944" s="3" t="s">
        <v>108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563</v>
      </c>
      <c r="C945" s="3" t="s">
        <v>268</v>
      </c>
      <c r="D945" s="3"/>
      <c r="E945" s="3" t="s">
        <v>268</v>
      </c>
      <c r="F945" s="3"/>
      <c r="G945" s="3"/>
      <c r="H945" s="3"/>
      <c r="I945" s="3"/>
      <c r="J945" s="3"/>
      <c r="K945" s="3"/>
      <c r="L945" s="3" t="s">
        <v>564</v>
      </c>
      <c r="M945" s="3">
        <v>50</v>
      </c>
      <c r="N945" s="3" t="s">
        <v>105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563</v>
      </c>
      <c r="C946" s="3" t="s">
        <v>268</v>
      </c>
      <c r="D946" s="3"/>
      <c r="E946" s="3" t="s">
        <v>268</v>
      </c>
      <c r="F946" s="3"/>
      <c r="G946" s="3"/>
      <c r="H946" s="3"/>
      <c r="I946" s="3"/>
      <c r="J946" s="3"/>
      <c r="K946" s="3"/>
      <c r="L946" s="3" t="s">
        <v>564</v>
      </c>
      <c r="M946" s="3">
        <v>60</v>
      </c>
      <c r="N946" s="3" t="s">
        <v>106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563</v>
      </c>
      <c r="C947" s="3" t="s">
        <v>268</v>
      </c>
      <c r="D947" s="3"/>
      <c r="E947" s="3" t="s">
        <v>268</v>
      </c>
      <c r="F947" s="3"/>
      <c r="G947" s="3"/>
      <c r="H947" s="3"/>
      <c r="I947" s="3"/>
      <c r="J947" s="3"/>
      <c r="K947" s="3"/>
      <c r="L947" s="3" t="s">
        <v>564</v>
      </c>
      <c r="M947" s="3">
        <v>70</v>
      </c>
      <c r="N947" s="3" t="s">
        <v>104</v>
      </c>
      <c r="O947" s="3"/>
      <c r="P947" s="3"/>
      <c r="Q947" s="3">
        <v>0.13900000000000001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563</v>
      </c>
      <c r="C948" s="3" t="s">
        <v>268</v>
      </c>
      <c r="D948" s="3"/>
      <c r="E948" s="3" t="s">
        <v>268</v>
      </c>
      <c r="F948" s="3"/>
      <c r="G948" s="3"/>
      <c r="H948" s="3"/>
      <c r="I948" s="3"/>
      <c r="J948" s="3"/>
      <c r="K948" s="3"/>
      <c r="L948" s="3" t="s">
        <v>564</v>
      </c>
      <c r="M948" s="3">
        <v>80</v>
      </c>
      <c r="N948" s="3" t="s">
        <v>192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563</v>
      </c>
      <c r="C949" s="3" t="s">
        <v>268</v>
      </c>
      <c r="D949" s="3"/>
      <c r="E949" s="3" t="s">
        <v>268</v>
      </c>
      <c r="F949" s="3"/>
      <c r="G949" s="3"/>
      <c r="H949" s="3"/>
      <c r="I949" s="3"/>
      <c r="J949" s="3"/>
      <c r="K949" s="3"/>
      <c r="L949" s="3" t="s">
        <v>564</v>
      </c>
      <c r="M949" s="3">
        <v>90</v>
      </c>
      <c r="N949" s="3" t="s">
        <v>18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563</v>
      </c>
      <c r="C950" s="3" t="s">
        <v>268</v>
      </c>
      <c r="D950" s="3"/>
      <c r="E950" s="3" t="s">
        <v>268</v>
      </c>
      <c r="F950" s="3"/>
      <c r="G950" s="3"/>
      <c r="H950" s="3"/>
      <c r="I950" s="3"/>
      <c r="J950" s="3"/>
      <c r="K950" s="3"/>
      <c r="L950" s="3" t="s">
        <v>564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563</v>
      </c>
      <c r="C951" s="3" t="s">
        <v>268</v>
      </c>
      <c r="D951" s="3"/>
      <c r="E951" s="3" t="s">
        <v>268</v>
      </c>
      <c r="F951" s="3"/>
      <c r="G951" s="3"/>
      <c r="H951" s="3"/>
      <c r="I951" s="3"/>
      <c r="J951" s="3"/>
      <c r="K951" s="3"/>
      <c r="L951" s="3" t="s">
        <v>564</v>
      </c>
      <c r="M951" s="3">
        <v>110</v>
      </c>
      <c r="N951" s="3" t="s">
        <v>101</v>
      </c>
      <c r="O951" s="3"/>
      <c r="P951" s="3"/>
      <c r="Q951" s="3">
        <v>0.68300000000000005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563</v>
      </c>
      <c r="C952" s="3" t="s">
        <v>268</v>
      </c>
      <c r="D952" s="3"/>
      <c r="E952" s="3" t="s">
        <v>268</v>
      </c>
      <c r="F952" s="3"/>
      <c r="G952" s="3"/>
      <c r="H952" s="3"/>
      <c r="I952" s="3"/>
      <c r="J952" s="3"/>
      <c r="K952" s="3"/>
      <c r="L952" s="3" t="s">
        <v>564</v>
      </c>
      <c r="M952" s="3">
        <v>120</v>
      </c>
      <c r="N952" s="3" t="s">
        <v>269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563</v>
      </c>
      <c r="C953" s="3" t="s">
        <v>270</v>
      </c>
      <c r="D953" s="3"/>
      <c r="E953" s="3" t="s">
        <v>270</v>
      </c>
      <c r="F953" s="3"/>
      <c r="G953" s="3"/>
      <c r="H953" s="3"/>
      <c r="I953" s="3"/>
      <c r="J953" s="3"/>
      <c r="K953" s="3"/>
      <c r="L953" s="3" t="s">
        <v>564</v>
      </c>
      <c r="M953" s="3">
        <v>10</v>
      </c>
      <c r="N953" s="3" t="s">
        <v>107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563</v>
      </c>
      <c r="C954" s="3" t="s">
        <v>270</v>
      </c>
      <c r="D954" s="3"/>
      <c r="E954" s="3" t="s">
        <v>270</v>
      </c>
      <c r="F954" s="3"/>
      <c r="G954" s="3"/>
      <c r="H954" s="3"/>
      <c r="I954" s="3"/>
      <c r="J954" s="3"/>
      <c r="K954" s="3"/>
      <c r="L954" s="3" t="s">
        <v>564</v>
      </c>
      <c r="M954" s="3">
        <v>20</v>
      </c>
      <c r="N954" s="3" t="s">
        <v>565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563</v>
      </c>
      <c r="C955" s="3" t="s">
        <v>270</v>
      </c>
      <c r="D955" s="3"/>
      <c r="E955" s="3" t="s">
        <v>270</v>
      </c>
      <c r="F955" s="3"/>
      <c r="G955" s="3"/>
      <c r="H955" s="3"/>
      <c r="I955" s="3"/>
      <c r="J955" s="3"/>
      <c r="K955" s="3"/>
      <c r="L955" s="3" t="s">
        <v>564</v>
      </c>
      <c r="M955" s="3">
        <v>30</v>
      </c>
      <c r="N955" s="3" t="s">
        <v>99</v>
      </c>
      <c r="O955" s="3"/>
      <c r="P955" s="3"/>
      <c r="Q955" s="3">
        <v>0.58699999999999997</v>
      </c>
      <c r="R955" s="3" t="s">
        <v>100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563</v>
      </c>
      <c r="C956" s="3" t="s">
        <v>270</v>
      </c>
      <c r="D956" s="3"/>
      <c r="E956" s="3" t="s">
        <v>270</v>
      </c>
      <c r="F956" s="3"/>
      <c r="G956" s="3"/>
      <c r="H956" s="3"/>
      <c r="I956" s="3"/>
      <c r="J956" s="3"/>
      <c r="K956" s="3"/>
      <c r="L956" s="3" t="s">
        <v>564</v>
      </c>
      <c r="M956" s="3">
        <v>40</v>
      </c>
      <c r="N956" s="3" t="s">
        <v>108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563</v>
      </c>
      <c r="C957" s="3" t="s">
        <v>270</v>
      </c>
      <c r="D957" s="3"/>
      <c r="E957" s="3" t="s">
        <v>270</v>
      </c>
      <c r="F957" s="3"/>
      <c r="G957" s="3"/>
      <c r="H957" s="3"/>
      <c r="I957" s="3"/>
      <c r="J957" s="3"/>
      <c r="K957" s="3"/>
      <c r="L957" s="3" t="s">
        <v>564</v>
      </c>
      <c r="M957" s="3">
        <v>50</v>
      </c>
      <c r="N957" s="3" t="s">
        <v>105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563</v>
      </c>
      <c r="C958" s="3" t="s">
        <v>270</v>
      </c>
      <c r="D958" s="3"/>
      <c r="E958" s="3" t="s">
        <v>270</v>
      </c>
      <c r="F958" s="3"/>
      <c r="G958" s="3"/>
      <c r="H958" s="3"/>
      <c r="I958" s="3"/>
      <c r="J958" s="3"/>
      <c r="K958" s="3"/>
      <c r="L958" s="3" t="s">
        <v>564</v>
      </c>
      <c r="M958" s="3">
        <v>60</v>
      </c>
      <c r="N958" s="3" t="s">
        <v>106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563</v>
      </c>
      <c r="C959" s="3" t="s">
        <v>270</v>
      </c>
      <c r="D959" s="3"/>
      <c r="E959" s="3" t="s">
        <v>270</v>
      </c>
      <c r="F959" s="3"/>
      <c r="G959" s="3"/>
      <c r="H959" s="3"/>
      <c r="I959" s="3"/>
      <c r="J959" s="3"/>
      <c r="K959" s="3"/>
      <c r="L959" s="3" t="s">
        <v>564</v>
      </c>
      <c r="M959" s="3">
        <v>70</v>
      </c>
      <c r="N959" s="3" t="s">
        <v>104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563</v>
      </c>
      <c r="C960" s="3" t="s">
        <v>270</v>
      </c>
      <c r="D960" s="3"/>
      <c r="E960" s="3" t="s">
        <v>270</v>
      </c>
      <c r="F960" s="3"/>
      <c r="G960" s="3"/>
      <c r="H960" s="3"/>
      <c r="I960" s="3"/>
      <c r="J960" s="3"/>
      <c r="K960" s="3"/>
      <c r="L960" s="3" t="s">
        <v>564</v>
      </c>
      <c r="M960" s="3">
        <v>80</v>
      </c>
      <c r="N960" s="3" t="s">
        <v>192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563</v>
      </c>
      <c r="C961" s="3" t="s">
        <v>270</v>
      </c>
      <c r="D961" s="3"/>
      <c r="E961" s="3" t="s">
        <v>270</v>
      </c>
      <c r="F961" s="3"/>
      <c r="G961" s="3"/>
      <c r="H961" s="3"/>
      <c r="I961" s="3"/>
      <c r="J961" s="3"/>
      <c r="K961" s="3"/>
      <c r="L961" s="3" t="s">
        <v>564</v>
      </c>
      <c r="M961" s="3">
        <v>90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563</v>
      </c>
      <c r="C962" s="3" t="s">
        <v>270</v>
      </c>
      <c r="D962" s="3"/>
      <c r="E962" s="3" t="s">
        <v>270</v>
      </c>
      <c r="F962" s="3"/>
      <c r="G962" s="3"/>
      <c r="H962" s="3"/>
      <c r="I962" s="3"/>
      <c r="J962" s="3"/>
      <c r="K962" s="3"/>
      <c r="L962" s="3" t="s">
        <v>564</v>
      </c>
      <c r="M962" s="3">
        <v>100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563</v>
      </c>
      <c r="C963" s="3" t="s">
        <v>270</v>
      </c>
      <c r="D963" s="3"/>
      <c r="E963" s="3" t="s">
        <v>270</v>
      </c>
      <c r="F963" s="3"/>
      <c r="G963" s="3"/>
      <c r="H963" s="3"/>
      <c r="I963" s="3"/>
      <c r="J963" s="3"/>
      <c r="K963" s="3"/>
      <c r="L963" s="3" t="s">
        <v>564</v>
      </c>
      <c r="M963" s="3">
        <v>110</v>
      </c>
      <c r="N963" s="3" t="s">
        <v>101</v>
      </c>
      <c r="O963" s="3"/>
      <c r="P963" s="3"/>
      <c r="Q963" s="3">
        <v>0.68300000000000005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563</v>
      </c>
      <c r="C964" s="3" t="s">
        <v>270</v>
      </c>
      <c r="D964" s="3"/>
      <c r="E964" s="3" t="s">
        <v>270</v>
      </c>
      <c r="F964" s="3"/>
      <c r="G964" s="3"/>
      <c r="H964" s="3"/>
      <c r="I964" s="3"/>
      <c r="J964" s="3"/>
      <c r="K964" s="3"/>
      <c r="L964" s="3" t="s">
        <v>564</v>
      </c>
      <c r="M964" s="3">
        <v>120</v>
      </c>
      <c r="N964" s="3" t="s">
        <v>271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563</v>
      </c>
      <c r="C965" s="3" t="s">
        <v>272</v>
      </c>
      <c r="D965" s="3"/>
      <c r="E965" s="3" t="s">
        <v>272</v>
      </c>
      <c r="F965" s="3"/>
      <c r="G965" s="3"/>
      <c r="H965" s="3"/>
      <c r="I965" s="3"/>
      <c r="J965" s="3"/>
      <c r="K965" s="3"/>
      <c r="L965" s="3" t="s">
        <v>564</v>
      </c>
      <c r="M965" s="3">
        <v>10</v>
      </c>
      <c r="N965" s="3" t="s">
        <v>107</v>
      </c>
      <c r="O965" s="3"/>
      <c r="P965" s="3"/>
      <c r="Q965" s="3">
        <v>0.86399999999999999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563</v>
      </c>
      <c r="C966" s="3" t="s">
        <v>272</v>
      </c>
      <c r="D966" s="3"/>
      <c r="E966" s="3" t="s">
        <v>272</v>
      </c>
      <c r="F966" s="3"/>
      <c r="G966" s="3"/>
      <c r="H966" s="3"/>
      <c r="I966" s="3"/>
      <c r="J966" s="3"/>
      <c r="K966" s="3"/>
      <c r="L966" s="3" t="s">
        <v>564</v>
      </c>
      <c r="M966" s="3">
        <v>20</v>
      </c>
      <c r="N966" s="3" t="s">
        <v>565</v>
      </c>
      <c r="O966" s="3"/>
      <c r="P966" s="3"/>
      <c r="Q966" s="3">
        <v>0.86399999999999999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563</v>
      </c>
      <c r="C967" s="3" t="s">
        <v>272</v>
      </c>
      <c r="D967" s="3"/>
      <c r="E967" s="3" t="s">
        <v>272</v>
      </c>
      <c r="F967" s="3"/>
      <c r="G967" s="3"/>
      <c r="H967" s="3"/>
      <c r="I967" s="3"/>
      <c r="J967" s="3"/>
      <c r="K967" s="3"/>
      <c r="L967" s="3" t="s">
        <v>564</v>
      </c>
      <c r="M967" s="3">
        <v>30</v>
      </c>
      <c r="N967" s="3" t="s">
        <v>99</v>
      </c>
      <c r="O967" s="3"/>
      <c r="P967" s="3"/>
      <c r="Q967" s="3">
        <v>0.24099999999999999</v>
      </c>
      <c r="R967" s="3" t="s">
        <v>100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563</v>
      </c>
      <c r="C968" s="3" t="s">
        <v>272</v>
      </c>
      <c r="D968" s="3"/>
      <c r="E968" s="3" t="s">
        <v>272</v>
      </c>
      <c r="F968" s="3"/>
      <c r="G968" s="3"/>
      <c r="H968" s="3"/>
      <c r="I968" s="3"/>
      <c r="J968" s="3"/>
      <c r="K968" s="3"/>
      <c r="L968" s="3" t="s">
        <v>564</v>
      </c>
      <c r="M968" s="3">
        <v>40</v>
      </c>
      <c r="N968" s="3" t="s">
        <v>108</v>
      </c>
      <c r="O968" s="3"/>
      <c r="P968" s="3"/>
      <c r="Q968" s="3">
        <v>11.074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563</v>
      </c>
      <c r="C969" s="3" t="s">
        <v>272</v>
      </c>
      <c r="D969" s="3"/>
      <c r="E969" s="3" t="s">
        <v>272</v>
      </c>
      <c r="F969" s="3"/>
      <c r="G969" s="3"/>
      <c r="H969" s="3"/>
      <c r="I969" s="3"/>
      <c r="J969" s="3"/>
      <c r="K969" s="3"/>
      <c r="L969" s="3" t="s">
        <v>564</v>
      </c>
      <c r="M969" s="3">
        <v>50</v>
      </c>
      <c r="N969" s="3" t="s">
        <v>105</v>
      </c>
      <c r="O969" s="3"/>
      <c r="P969" s="3"/>
      <c r="Q969" s="3">
        <v>68.108000000000004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563</v>
      </c>
      <c r="C970" s="3" t="s">
        <v>272</v>
      </c>
      <c r="D970" s="3"/>
      <c r="E970" s="3" t="s">
        <v>272</v>
      </c>
      <c r="F970" s="3"/>
      <c r="G970" s="3"/>
      <c r="H970" s="3"/>
      <c r="I970" s="3"/>
      <c r="J970" s="3"/>
      <c r="K970" s="3"/>
      <c r="L970" s="3" t="s">
        <v>564</v>
      </c>
      <c r="M970" s="3">
        <v>60</v>
      </c>
      <c r="N970" s="3" t="s">
        <v>106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563</v>
      </c>
      <c r="C971" s="3" t="s">
        <v>272</v>
      </c>
      <c r="D971" s="3"/>
      <c r="E971" s="3" t="s">
        <v>272</v>
      </c>
      <c r="F971" s="3"/>
      <c r="G971" s="3"/>
      <c r="H971" s="3"/>
      <c r="I971" s="3"/>
      <c r="J971" s="3"/>
      <c r="K971" s="3"/>
      <c r="L971" s="3" t="s">
        <v>564</v>
      </c>
      <c r="M971" s="3">
        <v>70</v>
      </c>
      <c r="N971" s="3" t="s">
        <v>104</v>
      </c>
      <c r="O971" s="3"/>
      <c r="P971" s="3"/>
      <c r="Q971" s="3">
        <v>8.5000000000000006E-2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563</v>
      </c>
      <c r="C972" s="3" t="s">
        <v>272</v>
      </c>
      <c r="D972" s="3"/>
      <c r="E972" s="3" t="s">
        <v>272</v>
      </c>
      <c r="F972" s="3"/>
      <c r="G972" s="3"/>
      <c r="H972" s="3"/>
      <c r="I972" s="3"/>
      <c r="J972" s="3"/>
      <c r="K972" s="3"/>
      <c r="L972" s="3" t="s">
        <v>564</v>
      </c>
      <c r="M972" s="3">
        <v>80</v>
      </c>
      <c r="N972" s="3" t="s">
        <v>273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563</v>
      </c>
      <c r="C973" s="3" t="s">
        <v>272</v>
      </c>
      <c r="D973" s="3"/>
      <c r="E973" s="3" t="s">
        <v>272</v>
      </c>
      <c r="F973" s="3"/>
      <c r="G973" s="3"/>
      <c r="H973" s="3"/>
      <c r="I973" s="3"/>
      <c r="J973" s="3"/>
      <c r="K973" s="3"/>
      <c r="L973" s="3" t="s">
        <v>564</v>
      </c>
      <c r="M973" s="3">
        <v>90</v>
      </c>
      <c r="N973" s="3" t="s">
        <v>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563</v>
      </c>
      <c r="C974" s="3" t="s">
        <v>272</v>
      </c>
      <c r="D974" s="3"/>
      <c r="E974" s="3" t="s">
        <v>272</v>
      </c>
      <c r="F974" s="3"/>
      <c r="G974" s="3"/>
      <c r="H974" s="3"/>
      <c r="I974" s="3"/>
      <c r="J974" s="3"/>
      <c r="K974" s="3"/>
      <c r="L974" s="3" t="s">
        <v>564</v>
      </c>
      <c r="M974" s="3">
        <v>100</v>
      </c>
      <c r="N974" s="3" t="s">
        <v>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563</v>
      </c>
      <c r="C975" s="3" t="s">
        <v>272</v>
      </c>
      <c r="D975" s="3"/>
      <c r="E975" s="3" t="s">
        <v>272</v>
      </c>
      <c r="F975" s="3"/>
      <c r="G975" s="3"/>
      <c r="H975" s="3"/>
      <c r="I975" s="3"/>
      <c r="J975" s="3"/>
      <c r="K975" s="3"/>
      <c r="L975" s="3" t="s">
        <v>564</v>
      </c>
      <c r="M975" s="3">
        <v>110</v>
      </c>
      <c r="N975" s="3" t="s">
        <v>101</v>
      </c>
      <c r="O975" s="3"/>
      <c r="P975" s="3"/>
      <c r="Q975" s="3">
        <v>0.308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563</v>
      </c>
      <c r="C976" s="3" t="s">
        <v>272</v>
      </c>
      <c r="D976" s="3"/>
      <c r="E976" s="3" t="s">
        <v>272</v>
      </c>
      <c r="F976" s="3"/>
      <c r="G976" s="3"/>
      <c r="H976" s="3"/>
      <c r="I976" s="3"/>
      <c r="J976" s="3"/>
      <c r="K976" s="3"/>
      <c r="L976" s="3" t="s">
        <v>564</v>
      </c>
      <c r="M976" s="3">
        <v>120</v>
      </c>
      <c r="N976" s="3" t="s">
        <v>274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563</v>
      </c>
      <c r="C977" s="3" t="s">
        <v>275</v>
      </c>
      <c r="D977" s="3"/>
      <c r="E977" s="3" t="s">
        <v>275</v>
      </c>
      <c r="F977" s="3"/>
      <c r="G977" s="3"/>
      <c r="H977" s="3"/>
      <c r="I977" s="3"/>
      <c r="J977" s="3"/>
      <c r="K977" s="3"/>
      <c r="L977" s="3" t="s">
        <v>564</v>
      </c>
      <c r="M977" s="3">
        <v>10</v>
      </c>
      <c r="N977" s="3" t="s">
        <v>107</v>
      </c>
      <c r="O977" s="3"/>
      <c r="P977" s="3"/>
      <c r="Q977" s="3">
        <v>1.016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563</v>
      </c>
      <c r="C978" s="3" t="s">
        <v>275</v>
      </c>
      <c r="D978" s="3"/>
      <c r="E978" s="3" t="s">
        <v>275</v>
      </c>
      <c r="F978" s="3"/>
      <c r="G978" s="3"/>
      <c r="H978" s="3"/>
      <c r="I978" s="3"/>
      <c r="J978" s="3"/>
      <c r="K978" s="3"/>
      <c r="L978" s="3" t="s">
        <v>564</v>
      </c>
      <c r="M978" s="3">
        <v>20</v>
      </c>
      <c r="N978" s="3" t="s">
        <v>565</v>
      </c>
      <c r="O978" s="3"/>
      <c r="P978" s="3"/>
      <c r="Q978" s="3">
        <v>1.016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563</v>
      </c>
      <c r="C979" s="3" t="s">
        <v>275</v>
      </c>
      <c r="D979" s="3"/>
      <c r="E979" s="3" t="s">
        <v>275</v>
      </c>
      <c r="F979" s="3"/>
      <c r="G979" s="3"/>
      <c r="H979" s="3"/>
      <c r="I979" s="3"/>
      <c r="J979" s="3"/>
      <c r="K979" s="3"/>
      <c r="L979" s="3" t="s">
        <v>564</v>
      </c>
      <c r="M979" s="3">
        <v>30</v>
      </c>
      <c r="N979" s="3" t="s">
        <v>99</v>
      </c>
      <c r="O979" s="3"/>
      <c r="P979" s="3"/>
      <c r="Q979" s="3">
        <v>0.28399999999999997</v>
      </c>
      <c r="R979" s="3" t="s">
        <v>100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563</v>
      </c>
      <c r="C980" s="3" t="s">
        <v>275</v>
      </c>
      <c r="D980" s="3"/>
      <c r="E980" s="3" t="s">
        <v>275</v>
      </c>
      <c r="F980" s="3"/>
      <c r="G980" s="3"/>
      <c r="H980" s="3"/>
      <c r="I980" s="3"/>
      <c r="J980" s="3"/>
      <c r="K980" s="3"/>
      <c r="L980" s="3" t="s">
        <v>564</v>
      </c>
      <c r="M980" s="3">
        <v>40</v>
      </c>
      <c r="N980" s="3" t="s">
        <v>108</v>
      </c>
      <c r="O980" s="3"/>
      <c r="P980" s="3"/>
      <c r="Q980" s="3">
        <v>11.683999999999999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563</v>
      </c>
      <c r="C981" s="3" t="s">
        <v>275</v>
      </c>
      <c r="D981" s="3"/>
      <c r="E981" s="3" t="s">
        <v>275</v>
      </c>
      <c r="F981" s="3"/>
      <c r="G981" s="3"/>
      <c r="H981" s="3"/>
      <c r="I981" s="3"/>
      <c r="J981" s="3"/>
      <c r="K981" s="3"/>
      <c r="L981" s="3" t="s">
        <v>564</v>
      </c>
      <c r="M981" s="3">
        <v>50</v>
      </c>
      <c r="N981" s="3" t="s">
        <v>105</v>
      </c>
      <c r="O981" s="3"/>
      <c r="P981" s="3"/>
      <c r="Q981" s="3">
        <v>71.856999999999999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563</v>
      </c>
      <c r="C982" s="3" t="s">
        <v>275</v>
      </c>
      <c r="D982" s="3"/>
      <c r="E982" s="3" t="s">
        <v>275</v>
      </c>
      <c r="F982" s="3"/>
      <c r="G982" s="3"/>
      <c r="H982" s="3"/>
      <c r="I982" s="3"/>
      <c r="J982" s="3"/>
      <c r="K982" s="3"/>
      <c r="L982" s="3" t="s">
        <v>564</v>
      </c>
      <c r="M982" s="3">
        <v>60</v>
      </c>
      <c r="N982" s="3" t="s">
        <v>106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563</v>
      </c>
      <c r="C983" s="3" t="s">
        <v>275</v>
      </c>
      <c r="D983" s="3"/>
      <c r="E983" s="3" t="s">
        <v>275</v>
      </c>
      <c r="F983" s="3"/>
      <c r="G983" s="3"/>
      <c r="H983" s="3"/>
      <c r="I983" s="3"/>
      <c r="J983" s="3"/>
      <c r="K983" s="3"/>
      <c r="L983" s="3" t="s">
        <v>564</v>
      </c>
      <c r="M983" s="3">
        <v>70</v>
      </c>
      <c r="N983" s="3" t="s">
        <v>104</v>
      </c>
      <c r="O983" s="3"/>
      <c r="P983" s="3"/>
      <c r="Q983" s="3">
        <v>9.6000000000000002E-2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563</v>
      </c>
      <c r="C984" s="3" t="s">
        <v>275</v>
      </c>
      <c r="D984" s="3"/>
      <c r="E984" s="3" t="s">
        <v>275</v>
      </c>
      <c r="F984" s="3"/>
      <c r="G984" s="3"/>
      <c r="H984" s="3"/>
      <c r="I984" s="3"/>
      <c r="J984" s="3"/>
      <c r="K984" s="3"/>
      <c r="L984" s="3" t="s">
        <v>564</v>
      </c>
      <c r="M984" s="3">
        <v>80</v>
      </c>
      <c r="N984" s="3" t="s">
        <v>273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563</v>
      </c>
      <c r="C985" s="3" t="s">
        <v>275</v>
      </c>
      <c r="D985" s="3"/>
      <c r="E985" s="3" t="s">
        <v>275</v>
      </c>
      <c r="F985" s="3"/>
      <c r="G985" s="3"/>
      <c r="H985" s="3"/>
      <c r="I985" s="3"/>
      <c r="J985" s="3"/>
      <c r="K985" s="3"/>
      <c r="L985" s="3" t="s">
        <v>564</v>
      </c>
      <c r="M985" s="3">
        <v>90</v>
      </c>
      <c r="N985" s="3" t="s">
        <v>18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563</v>
      </c>
      <c r="C986" s="3" t="s">
        <v>275</v>
      </c>
      <c r="D986" s="3"/>
      <c r="E986" s="3" t="s">
        <v>275</v>
      </c>
      <c r="F986" s="3"/>
      <c r="G986" s="3"/>
      <c r="H986" s="3"/>
      <c r="I986" s="3"/>
      <c r="J986" s="3"/>
      <c r="K986" s="3"/>
      <c r="L986" s="3" t="s">
        <v>564</v>
      </c>
      <c r="M986" s="3">
        <v>100</v>
      </c>
      <c r="N986" s="3" t="s">
        <v>19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563</v>
      </c>
      <c r="C987" s="3" t="s">
        <v>275</v>
      </c>
      <c r="D987" s="3"/>
      <c r="E987" s="3" t="s">
        <v>275</v>
      </c>
      <c r="F987" s="3"/>
      <c r="G987" s="3"/>
      <c r="H987" s="3"/>
      <c r="I987" s="3"/>
      <c r="J987" s="3"/>
      <c r="K987" s="3"/>
      <c r="L987" s="3" t="s">
        <v>564</v>
      </c>
      <c r="M987" s="3">
        <v>110</v>
      </c>
      <c r="N987" s="3" t="s">
        <v>101</v>
      </c>
      <c r="O987" s="3"/>
      <c r="P987" s="3"/>
      <c r="Q987" s="3">
        <v>0.35299999999999998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563</v>
      </c>
      <c r="C988" s="3" t="s">
        <v>275</v>
      </c>
      <c r="D988" s="3"/>
      <c r="E988" s="3" t="s">
        <v>275</v>
      </c>
      <c r="F988" s="3"/>
      <c r="G988" s="3"/>
      <c r="H988" s="3"/>
      <c r="I988" s="3"/>
      <c r="J988" s="3"/>
      <c r="K988" s="3"/>
      <c r="L988" s="3" t="s">
        <v>564</v>
      </c>
      <c r="M988" s="3">
        <v>120</v>
      </c>
      <c r="N988" s="3" t="s">
        <v>276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563</v>
      </c>
      <c r="C989" s="3" t="s">
        <v>277</v>
      </c>
      <c r="D989" s="3"/>
      <c r="E989" s="3" t="s">
        <v>277</v>
      </c>
      <c r="F989" s="3"/>
      <c r="G989" s="3"/>
      <c r="H989" s="3"/>
      <c r="I989" s="3"/>
      <c r="J989" s="3"/>
      <c r="K989" s="3"/>
      <c r="L989" s="3" t="s">
        <v>564</v>
      </c>
      <c r="M989" s="3">
        <v>10</v>
      </c>
      <c r="N989" s="3" t="s">
        <v>107</v>
      </c>
      <c r="O989" s="3"/>
      <c r="P989" s="3"/>
      <c r="Q989" s="3">
        <v>1.1679999999999999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563</v>
      </c>
      <c r="C990" s="3" t="s">
        <v>277</v>
      </c>
      <c r="D990" s="3"/>
      <c r="E990" s="3" t="s">
        <v>277</v>
      </c>
      <c r="F990" s="3"/>
      <c r="G990" s="3"/>
      <c r="H990" s="3"/>
      <c r="I990" s="3"/>
      <c r="J990" s="3"/>
      <c r="K990" s="3"/>
      <c r="L990" s="3" t="s">
        <v>564</v>
      </c>
      <c r="M990" s="3">
        <v>20</v>
      </c>
      <c r="N990" s="3" t="s">
        <v>565</v>
      </c>
      <c r="O990" s="3"/>
      <c r="P990" s="3"/>
      <c r="Q990" s="3">
        <v>1.1679999999999999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563</v>
      </c>
      <c r="C991" s="3" t="s">
        <v>277</v>
      </c>
      <c r="D991" s="3"/>
      <c r="E991" s="3" t="s">
        <v>277</v>
      </c>
      <c r="F991" s="3"/>
      <c r="G991" s="3"/>
      <c r="H991" s="3"/>
      <c r="I991" s="3"/>
      <c r="J991" s="3"/>
      <c r="K991" s="3"/>
      <c r="L991" s="3" t="s">
        <v>564</v>
      </c>
      <c r="M991" s="3">
        <v>30</v>
      </c>
      <c r="N991" s="3" t="s">
        <v>99</v>
      </c>
      <c r="O991" s="3"/>
      <c r="P991" s="3"/>
      <c r="Q991" s="3">
        <v>0.32800000000000001</v>
      </c>
      <c r="R991" s="3" t="s">
        <v>100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563</v>
      </c>
      <c r="C992" s="3" t="s">
        <v>277</v>
      </c>
      <c r="D992" s="3"/>
      <c r="E992" s="3" t="s">
        <v>277</v>
      </c>
      <c r="F992" s="3"/>
      <c r="G992" s="3"/>
      <c r="H992" s="3"/>
      <c r="I992" s="3"/>
      <c r="J992" s="3"/>
      <c r="K992" s="3"/>
      <c r="L992" s="3" t="s">
        <v>564</v>
      </c>
      <c r="M992" s="3">
        <v>40</v>
      </c>
      <c r="N992" s="3" t="s">
        <v>108</v>
      </c>
      <c r="O992" s="3"/>
      <c r="P992" s="3"/>
      <c r="Q992" s="3">
        <v>12.294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563</v>
      </c>
      <c r="C993" s="3" t="s">
        <v>277</v>
      </c>
      <c r="D993" s="3"/>
      <c r="E993" s="3" t="s">
        <v>277</v>
      </c>
      <c r="F993" s="3"/>
      <c r="G993" s="3"/>
      <c r="H993" s="3"/>
      <c r="I993" s="3"/>
      <c r="J993" s="3"/>
      <c r="K993" s="3"/>
      <c r="L993" s="3" t="s">
        <v>564</v>
      </c>
      <c r="M993" s="3">
        <v>50</v>
      </c>
      <c r="N993" s="3" t="s">
        <v>105</v>
      </c>
      <c r="O993" s="3"/>
      <c r="P993" s="3"/>
      <c r="Q993" s="3">
        <v>75.605999999999995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563</v>
      </c>
      <c r="C994" s="3" t="s">
        <v>277</v>
      </c>
      <c r="D994" s="3"/>
      <c r="E994" s="3" t="s">
        <v>277</v>
      </c>
      <c r="F994" s="3"/>
      <c r="G994" s="3"/>
      <c r="H994" s="3"/>
      <c r="I994" s="3"/>
      <c r="J994" s="3"/>
      <c r="K994" s="3"/>
      <c r="L994" s="3" t="s">
        <v>564</v>
      </c>
      <c r="M994" s="3">
        <v>60</v>
      </c>
      <c r="N994" s="3" t="s">
        <v>106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563</v>
      </c>
      <c r="C995" s="3" t="s">
        <v>277</v>
      </c>
      <c r="D995" s="3"/>
      <c r="E995" s="3" t="s">
        <v>277</v>
      </c>
      <c r="F995" s="3"/>
      <c r="G995" s="3"/>
      <c r="H995" s="3"/>
      <c r="I995" s="3"/>
      <c r="J995" s="3"/>
      <c r="K995" s="3"/>
      <c r="L995" s="3" t="s">
        <v>564</v>
      </c>
      <c r="M995" s="3">
        <v>70</v>
      </c>
      <c r="N995" s="3" t="s">
        <v>104</v>
      </c>
      <c r="O995" s="3"/>
      <c r="P995" s="3"/>
      <c r="Q995" s="3">
        <v>0.107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563</v>
      </c>
      <c r="C996" s="3" t="s">
        <v>277</v>
      </c>
      <c r="D996" s="3"/>
      <c r="E996" s="3" t="s">
        <v>277</v>
      </c>
      <c r="F996" s="3"/>
      <c r="G996" s="3"/>
      <c r="H996" s="3"/>
      <c r="I996" s="3"/>
      <c r="J996" s="3"/>
      <c r="K996" s="3"/>
      <c r="L996" s="3" t="s">
        <v>564</v>
      </c>
      <c r="M996" s="3">
        <v>80</v>
      </c>
      <c r="N996" s="3" t="s">
        <v>273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563</v>
      </c>
      <c r="C997" s="3" t="s">
        <v>277</v>
      </c>
      <c r="D997" s="3"/>
      <c r="E997" s="3" t="s">
        <v>277</v>
      </c>
      <c r="F997" s="3"/>
      <c r="G997" s="3"/>
      <c r="H997" s="3"/>
      <c r="I997" s="3"/>
      <c r="J997" s="3"/>
      <c r="K997" s="3"/>
      <c r="L997" s="3" t="s">
        <v>564</v>
      </c>
      <c r="M997" s="3">
        <v>90</v>
      </c>
      <c r="N997" s="3" t="s">
        <v>18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563</v>
      </c>
      <c r="C998" s="3" t="s">
        <v>277</v>
      </c>
      <c r="D998" s="3"/>
      <c r="E998" s="3" t="s">
        <v>277</v>
      </c>
      <c r="F998" s="3"/>
      <c r="G998" s="3"/>
      <c r="H998" s="3"/>
      <c r="I998" s="3"/>
      <c r="J998" s="3"/>
      <c r="K998" s="3"/>
      <c r="L998" s="3" t="s">
        <v>564</v>
      </c>
      <c r="M998" s="3">
        <v>100</v>
      </c>
      <c r="N998" s="3" t="s">
        <v>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563</v>
      </c>
      <c r="C999" s="3" t="s">
        <v>277</v>
      </c>
      <c r="D999" s="3"/>
      <c r="E999" s="3" t="s">
        <v>277</v>
      </c>
      <c r="F999" s="3"/>
      <c r="G999" s="3"/>
      <c r="H999" s="3"/>
      <c r="I999" s="3"/>
      <c r="J999" s="3"/>
      <c r="K999" s="3"/>
      <c r="L999" s="3" t="s">
        <v>564</v>
      </c>
      <c r="M999" s="3">
        <v>110</v>
      </c>
      <c r="N999" s="3" t="s">
        <v>101</v>
      </c>
      <c r="O999" s="3"/>
      <c r="P999" s="3"/>
      <c r="Q999" s="3">
        <v>0.39800000000000002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563</v>
      </c>
      <c r="C1000" s="3" t="s">
        <v>277</v>
      </c>
      <c r="D1000" s="3"/>
      <c r="E1000" s="3" t="s">
        <v>277</v>
      </c>
      <c r="F1000" s="3"/>
      <c r="G1000" s="3"/>
      <c r="H1000" s="3"/>
      <c r="I1000" s="3"/>
      <c r="J1000" s="3"/>
      <c r="K1000" s="3"/>
      <c r="L1000" s="3" t="s">
        <v>564</v>
      </c>
      <c r="M1000" s="3">
        <v>120</v>
      </c>
      <c r="N1000" s="3" t="s">
        <v>278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563</v>
      </c>
      <c r="C1001" s="3" t="s">
        <v>279</v>
      </c>
      <c r="D1001" s="3"/>
      <c r="E1001" s="3" t="s">
        <v>279</v>
      </c>
      <c r="F1001" s="3"/>
      <c r="G1001" s="3"/>
      <c r="H1001" s="3"/>
      <c r="I1001" s="3"/>
      <c r="J1001" s="3"/>
      <c r="K1001" s="3"/>
      <c r="L1001" s="3" t="s">
        <v>564</v>
      </c>
      <c r="M1001" s="3">
        <v>10</v>
      </c>
      <c r="N1001" s="3" t="s">
        <v>107</v>
      </c>
      <c r="O1001" s="3"/>
      <c r="P1001" s="3"/>
      <c r="Q1001" s="3">
        <v>1.321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563</v>
      </c>
      <c r="C1002" s="3" t="s">
        <v>279</v>
      </c>
      <c r="D1002" s="3"/>
      <c r="E1002" s="3" t="s">
        <v>279</v>
      </c>
      <c r="F1002" s="3"/>
      <c r="G1002" s="3"/>
      <c r="H1002" s="3"/>
      <c r="I1002" s="3"/>
      <c r="J1002" s="3"/>
      <c r="K1002" s="3"/>
      <c r="L1002" s="3" t="s">
        <v>564</v>
      </c>
      <c r="M1002" s="3">
        <v>20</v>
      </c>
      <c r="N1002" s="3" t="s">
        <v>565</v>
      </c>
      <c r="O1002" s="3"/>
      <c r="P1002" s="3"/>
      <c r="Q1002" s="3">
        <v>1.321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563</v>
      </c>
      <c r="C1003" s="3" t="s">
        <v>279</v>
      </c>
      <c r="D1003" s="3"/>
      <c r="E1003" s="3" t="s">
        <v>279</v>
      </c>
      <c r="F1003" s="3"/>
      <c r="G1003" s="3"/>
      <c r="H1003" s="3"/>
      <c r="I1003" s="3"/>
      <c r="J1003" s="3"/>
      <c r="K1003" s="3"/>
      <c r="L1003" s="3" t="s">
        <v>564</v>
      </c>
      <c r="M1003" s="3">
        <v>30</v>
      </c>
      <c r="N1003" s="3" t="s">
        <v>99</v>
      </c>
      <c r="O1003" s="3"/>
      <c r="P1003" s="3"/>
      <c r="Q1003" s="3">
        <v>0.372</v>
      </c>
      <c r="R1003" s="3" t="s">
        <v>100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563</v>
      </c>
      <c r="C1004" s="3" t="s">
        <v>279</v>
      </c>
      <c r="D1004" s="3"/>
      <c r="E1004" s="3" t="s">
        <v>279</v>
      </c>
      <c r="F1004" s="3"/>
      <c r="G1004" s="3"/>
      <c r="H1004" s="3"/>
      <c r="I1004" s="3"/>
      <c r="J1004" s="3"/>
      <c r="K1004" s="3"/>
      <c r="L1004" s="3" t="s">
        <v>564</v>
      </c>
      <c r="M1004" s="3">
        <v>40</v>
      </c>
      <c r="N1004" s="3" t="s">
        <v>108</v>
      </c>
      <c r="O1004" s="3"/>
      <c r="P1004" s="3"/>
      <c r="Q1004" s="3">
        <v>12.903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563</v>
      </c>
      <c r="C1005" s="3" t="s">
        <v>279</v>
      </c>
      <c r="D1005" s="3"/>
      <c r="E1005" s="3" t="s">
        <v>279</v>
      </c>
      <c r="F1005" s="3"/>
      <c r="G1005" s="3"/>
      <c r="H1005" s="3"/>
      <c r="I1005" s="3"/>
      <c r="J1005" s="3"/>
      <c r="K1005" s="3"/>
      <c r="L1005" s="3" t="s">
        <v>564</v>
      </c>
      <c r="M1005" s="3">
        <v>50</v>
      </c>
      <c r="N1005" s="3" t="s">
        <v>105</v>
      </c>
      <c r="O1005" s="3"/>
      <c r="P1005" s="3"/>
      <c r="Q1005" s="3">
        <v>79.355000000000004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563</v>
      </c>
      <c r="C1006" s="3" t="s">
        <v>279</v>
      </c>
      <c r="D1006" s="3"/>
      <c r="E1006" s="3" t="s">
        <v>279</v>
      </c>
      <c r="F1006" s="3"/>
      <c r="G1006" s="3"/>
      <c r="H1006" s="3"/>
      <c r="I1006" s="3"/>
      <c r="J1006" s="3"/>
      <c r="K1006" s="3"/>
      <c r="L1006" s="3" t="s">
        <v>564</v>
      </c>
      <c r="M1006" s="3">
        <v>60</v>
      </c>
      <c r="N1006" s="3" t="s">
        <v>106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563</v>
      </c>
      <c r="C1007" s="3" t="s">
        <v>279</v>
      </c>
      <c r="D1007" s="3"/>
      <c r="E1007" s="3" t="s">
        <v>279</v>
      </c>
      <c r="F1007" s="3"/>
      <c r="G1007" s="3"/>
      <c r="H1007" s="3"/>
      <c r="I1007" s="3"/>
      <c r="J1007" s="3"/>
      <c r="K1007" s="3"/>
      <c r="L1007" s="3" t="s">
        <v>564</v>
      </c>
      <c r="M1007" s="3">
        <v>70</v>
      </c>
      <c r="N1007" s="3" t="s">
        <v>104</v>
      </c>
      <c r="O1007" s="3"/>
      <c r="P1007" s="3"/>
      <c r="Q1007" s="3">
        <v>0.11799999999999999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563</v>
      </c>
      <c r="C1008" s="3" t="s">
        <v>279</v>
      </c>
      <c r="D1008" s="3"/>
      <c r="E1008" s="3" t="s">
        <v>279</v>
      </c>
      <c r="F1008" s="3"/>
      <c r="G1008" s="3"/>
      <c r="H1008" s="3"/>
      <c r="I1008" s="3"/>
      <c r="J1008" s="3"/>
      <c r="K1008" s="3"/>
      <c r="L1008" s="3" t="s">
        <v>564</v>
      </c>
      <c r="M1008" s="3">
        <v>80</v>
      </c>
      <c r="N1008" s="3" t="s">
        <v>273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563</v>
      </c>
      <c r="C1009" s="3" t="s">
        <v>279</v>
      </c>
      <c r="D1009" s="3"/>
      <c r="E1009" s="3" t="s">
        <v>279</v>
      </c>
      <c r="F1009" s="3"/>
      <c r="G1009" s="3"/>
      <c r="H1009" s="3"/>
      <c r="I1009" s="3"/>
      <c r="J1009" s="3"/>
      <c r="K1009" s="3"/>
      <c r="L1009" s="3" t="s">
        <v>564</v>
      </c>
      <c r="M1009" s="3">
        <v>90</v>
      </c>
      <c r="N1009" s="3" t="s">
        <v>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563</v>
      </c>
      <c r="C1010" s="3" t="s">
        <v>279</v>
      </c>
      <c r="D1010" s="3"/>
      <c r="E1010" s="3" t="s">
        <v>279</v>
      </c>
      <c r="F1010" s="3"/>
      <c r="G1010" s="3"/>
      <c r="H1010" s="3"/>
      <c r="I1010" s="3"/>
      <c r="J1010" s="3"/>
      <c r="K1010" s="3"/>
      <c r="L1010" s="3" t="s">
        <v>564</v>
      </c>
      <c r="M1010" s="3">
        <v>100</v>
      </c>
      <c r="N1010" s="3" t="s">
        <v>19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563</v>
      </c>
      <c r="C1011" s="3" t="s">
        <v>279</v>
      </c>
      <c r="D1011" s="3"/>
      <c r="E1011" s="3" t="s">
        <v>279</v>
      </c>
      <c r="F1011" s="3"/>
      <c r="G1011" s="3"/>
      <c r="H1011" s="3"/>
      <c r="I1011" s="3"/>
      <c r="J1011" s="3"/>
      <c r="K1011" s="3"/>
      <c r="L1011" s="3" t="s">
        <v>564</v>
      </c>
      <c r="M1011" s="3">
        <v>110</v>
      </c>
      <c r="N1011" s="3" t="s">
        <v>101</v>
      </c>
      <c r="O1011" s="3"/>
      <c r="P1011" s="3"/>
      <c r="Q1011" s="3">
        <v>0.443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563</v>
      </c>
      <c r="C1012" s="3" t="s">
        <v>279</v>
      </c>
      <c r="D1012" s="3"/>
      <c r="E1012" s="3" t="s">
        <v>279</v>
      </c>
      <c r="F1012" s="3"/>
      <c r="G1012" s="3"/>
      <c r="H1012" s="3"/>
      <c r="I1012" s="3"/>
      <c r="J1012" s="3"/>
      <c r="K1012" s="3"/>
      <c r="L1012" s="3" t="s">
        <v>564</v>
      </c>
      <c r="M1012" s="3">
        <v>120</v>
      </c>
      <c r="N1012" s="3" t="s">
        <v>280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563</v>
      </c>
      <c r="C1013" s="3" t="s">
        <v>281</v>
      </c>
      <c r="D1013" s="3"/>
      <c r="E1013" s="3" t="s">
        <v>281</v>
      </c>
      <c r="F1013" s="3"/>
      <c r="G1013" s="3"/>
      <c r="H1013" s="3"/>
      <c r="I1013" s="3"/>
      <c r="J1013" s="3"/>
      <c r="K1013" s="3"/>
      <c r="L1013" s="3" t="s">
        <v>564</v>
      </c>
      <c r="M1013" s="3">
        <v>10</v>
      </c>
      <c r="N1013" s="3" t="s">
        <v>107</v>
      </c>
      <c r="O1013" s="3"/>
      <c r="P1013" s="3"/>
      <c r="Q1013" s="3">
        <v>1.397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563</v>
      </c>
      <c r="C1014" s="3" t="s">
        <v>281</v>
      </c>
      <c r="D1014" s="3"/>
      <c r="E1014" s="3" t="s">
        <v>281</v>
      </c>
      <c r="F1014" s="3"/>
      <c r="G1014" s="3"/>
      <c r="H1014" s="3"/>
      <c r="I1014" s="3"/>
      <c r="J1014" s="3"/>
      <c r="K1014" s="3"/>
      <c r="L1014" s="3" t="s">
        <v>564</v>
      </c>
      <c r="M1014" s="3">
        <v>20</v>
      </c>
      <c r="N1014" s="3" t="s">
        <v>565</v>
      </c>
      <c r="O1014" s="3"/>
      <c r="P1014" s="3"/>
      <c r="Q1014" s="3">
        <v>1.397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563</v>
      </c>
      <c r="C1015" s="3" t="s">
        <v>281</v>
      </c>
      <c r="D1015" s="3"/>
      <c r="E1015" s="3" t="s">
        <v>281</v>
      </c>
      <c r="F1015" s="3"/>
      <c r="G1015" s="3"/>
      <c r="H1015" s="3"/>
      <c r="I1015" s="3"/>
      <c r="J1015" s="3"/>
      <c r="K1015" s="3"/>
      <c r="L1015" s="3" t="s">
        <v>564</v>
      </c>
      <c r="M1015" s="3">
        <v>30</v>
      </c>
      <c r="N1015" s="3" t="s">
        <v>99</v>
      </c>
      <c r="O1015" s="3"/>
      <c r="P1015" s="3"/>
      <c r="Q1015" s="3">
        <v>0.39400000000000002</v>
      </c>
      <c r="R1015" s="3" t="s">
        <v>100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563</v>
      </c>
      <c r="C1016" s="3" t="s">
        <v>281</v>
      </c>
      <c r="D1016" s="3"/>
      <c r="E1016" s="3" t="s">
        <v>281</v>
      </c>
      <c r="F1016" s="3"/>
      <c r="G1016" s="3"/>
      <c r="H1016" s="3"/>
      <c r="I1016" s="3"/>
      <c r="J1016" s="3"/>
      <c r="K1016" s="3"/>
      <c r="L1016" s="3" t="s">
        <v>564</v>
      </c>
      <c r="M1016" s="3">
        <v>40</v>
      </c>
      <c r="N1016" s="3" t="s">
        <v>108</v>
      </c>
      <c r="O1016" s="3"/>
      <c r="P1016" s="3"/>
      <c r="Q1016" s="3">
        <v>13.208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563</v>
      </c>
      <c r="C1017" s="3" t="s">
        <v>281</v>
      </c>
      <c r="D1017" s="3"/>
      <c r="E1017" s="3" t="s">
        <v>281</v>
      </c>
      <c r="F1017" s="3"/>
      <c r="G1017" s="3"/>
      <c r="H1017" s="3"/>
      <c r="I1017" s="3"/>
      <c r="J1017" s="3"/>
      <c r="K1017" s="3"/>
      <c r="L1017" s="3" t="s">
        <v>564</v>
      </c>
      <c r="M1017" s="3">
        <v>50</v>
      </c>
      <c r="N1017" s="3" t="s">
        <v>105</v>
      </c>
      <c r="O1017" s="3"/>
      <c r="P1017" s="3"/>
      <c r="Q1017" s="3">
        <v>81.228999999999999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563</v>
      </c>
      <c r="C1018" s="3" t="s">
        <v>281</v>
      </c>
      <c r="D1018" s="3"/>
      <c r="E1018" s="3" t="s">
        <v>281</v>
      </c>
      <c r="F1018" s="3"/>
      <c r="G1018" s="3"/>
      <c r="H1018" s="3"/>
      <c r="I1018" s="3"/>
      <c r="J1018" s="3"/>
      <c r="K1018" s="3"/>
      <c r="L1018" s="3" t="s">
        <v>564</v>
      </c>
      <c r="M1018" s="3">
        <v>60</v>
      </c>
      <c r="N1018" s="3" t="s">
        <v>106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563</v>
      </c>
      <c r="C1019" s="3" t="s">
        <v>281</v>
      </c>
      <c r="D1019" s="3"/>
      <c r="E1019" s="3" t="s">
        <v>281</v>
      </c>
      <c r="F1019" s="3"/>
      <c r="G1019" s="3"/>
      <c r="H1019" s="3"/>
      <c r="I1019" s="3"/>
      <c r="J1019" s="3"/>
      <c r="K1019" s="3"/>
      <c r="L1019" s="3" t="s">
        <v>564</v>
      </c>
      <c r="M1019" s="3">
        <v>70</v>
      </c>
      <c r="N1019" s="3" t="s">
        <v>104</v>
      </c>
      <c r="O1019" s="3"/>
      <c r="P1019" s="3"/>
      <c r="Q1019" s="3">
        <v>0.124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563</v>
      </c>
      <c r="C1020" s="3" t="s">
        <v>281</v>
      </c>
      <c r="D1020" s="3"/>
      <c r="E1020" s="3" t="s">
        <v>281</v>
      </c>
      <c r="F1020" s="3"/>
      <c r="G1020" s="3"/>
      <c r="H1020" s="3"/>
      <c r="I1020" s="3"/>
      <c r="J1020" s="3"/>
      <c r="K1020" s="3"/>
      <c r="L1020" s="3" t="s">
        <v>564</v>
      </c>
      <c r="M1020" s="3">
        <v>80</v>
      </c>
      <c r="N1020" s="3" t="s">
        <v>273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563</v>
      </c>
      <c r="C1021" s="3" t="s">
        <v>281</v>
      </c>
      <c r="D1021" s="3"/>
      <c r="E1021" s="3" t="s">
        <v>281</v>
      </c>
      <c r="F1021" s="3"/>
      <c r="G1021" s="3"/>
      <c r="H1021" s="3"/>
      <c r="I1021" s="3"/>
      <c r="J1021" s="3"/>
      <c r="K1021" s="3"/>
      <c r="L1021" s="3" t="s">
        <v>564</v>
      </c>
      <c r="M1021" s="3">
        <v>90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563</v>
      </c>
      <c r="C1022" s="3" t="s">
        <v>281</v>
      </c>
      <c r="D1022" s="3"/>
      <c r="E1022" s="3" t="s">
        <v>281</v>
      </c>
      <c r="F1022" s="3"/>
      <c r="G1022" s="3"/>
      <c r="H1022" s="3"/>
      <c r="I1022" s="3"/>
      <c r="J1022" s="3"/>
      <c r="K1022" s="3"/>
      <c r="L1022" s="3" t="s">
        <v>564</v>
      </c>
      <c r="M1022" s="3">
        <v>100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563</v>
      </c>
      <c r="C1023" s="3" t="s">
        <v>281</v>
      </c>
      <c r="D1023" s="3"/>
      <c r="E1023" s="3" t="s">
        <v>281</v>
      </c>
      <c r="F1023" s="3"/>
      <c r="G1023" s="3"/>
      <c r="H1023" s="3"/>
      <c r="I1023" s="3"/>
      <c r="J1023" s="3"/>
      <c r="K1023" s="3"/>
      <c r="L1023" s="3" t="s">
        <v>564</v>
      </c>
      <c r="M1023" s="3">
        <v>110</v>
      </c>
      <c r="N1023" s="3" t="s">
        <v>101</v>
      </c>
      <c r="O1023" s="3"/>
      <c r="P1023" s="3"/>
      <c r="Q1023" s="3">
        <v>0.46500000000000002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563</v>
      </c>
      <c r="C1024" s="3" t="s">
        <v>281</v>
      </c>
      <c r="D1024" s="3"/>
      <c r="E1024" s="3" t="s">
        <v>281</v>
      </c>
      <c r="F1024" s="3"/>
      <c r="G1024" s="3"/>
      <c r="H1024" s="3"/>
      <c r="I1024" s="3"/>
      <c r="J1024" s="3"/>
      <c r="K1024" s="3"/>
      <c r="L1024" s="3" t="s">
        <v>564</v>
      </c>
      <c r="M1024" s="3">
        <v>120</v>
      </c>
      <c r="N1024" s="3" t="s">
        <v>282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563</v>
      </c>
      <c r="C1025" s="3" t="s">
        <v>283</v>
      </c>
      <c r="D1025" s="3"/>
      <c r="E1025" s="3" t="s">
        <v>283</v>
      </c>
      <c r="F1025" s="3"/>
      <c r="G1025" s="3"/>
      <c r="H1025" s="3"/>
      <c r="I1025" s="3"/>
      <c r="J1025" s="3"/>
      <c r="K1025" s="3"/>
      <c r="L1025" s="3" t="s">
        <v>564</v>
      </c>
      <c r="M1025" s="3">
        <v>10</v>
      </c>
      <c r="N1025" s="3" t="s">
        <v>107</v>
      </c>
      <c r="O1025" s="3"/>
      <c r="P1025" s="3"/>
      <c r="Q1025" s="3">
        <v>1.4730000000000001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563</v>
      </c>
      <c r="C1026" s="3" t="s">
        <v>283</v>
      </c>
      <c r="D1026" s="3"/>
      <c r="E1026" s="3" t="s">
        <v>283</v>
      </c>
      <c r="F1026" s="3"/>
      <c r="G1026" s="3"/>
      <c r="H1026" s="3"/>
      <c r="I1026" s="3"/>
      <c r="J1026" s="3"/>
      <c r="K1026" s="3"/>
      <c r="L1026" s="3" t="s">
        <v>564</v>
      </c>
      <c r="M1026" s="3">
        <v>20</v>
      </c>
      <c r="N1026" s="3" t="s">
        <v>565</v>
      </c>
      <c r="O1026" s="3"/>
      <c r="P1026" s="3"/>
      <c r="Q1026" s="3">
        <v>1.4730000000000001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563</v>
      </c>
      <c r="C1027" s="3" t="s">
        <v>283</v>
      </c>
      <c r="D1027" s="3"/>
      <c r="E1027" s="3" t="s">
        <v>283</v>
      </c>
      <c r="F1027" s="3"/>
      <c r="G1027" s="3"/>
      <c r="H1027" s="3"/>
      <c r="I1027" s="3"/>
      <c r="J1027" s="3"/>
      <c r="K1027" s="3"/>
      <c r="L1027" s="3" t="s">
        <v>564</v>
      </c>
      <c r="M1027" s="3">
        <v>30</v>
      </c>
      <c r="N1027" s="3" t="s">
        <v>99</v>
      </c>
      <c r="O1027" s="3"/>
      <c r="P1027" s="3"/>
      <c r="Q1027" s="3">
        <v>0.41599999999999998</v>
      </c>
      <c r="R1027" s="3" t="s">
        <v>100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563</v>
      </c>
      <c r="C1028" s="3" t="s">
        <v>283</v>
      </c>
      <c r="D1028" s="3"/>
      <c r="E1028" s="3" t="s">
        <v>283</v>
      </c>
      <c r="F1028" s="3"/>
      <c r="G1028" s="3"/>
      <c r="H1028" s="3"/>
      <c r="I1028" s="3"/>
      <c r="J1028" s="3"/>
      <c r="K1028" s="3"/>
      <c r="L1028" s="3" t="s">
        <v>564</v>
      </c>
      <c r="M1028" s="3">
        <v>40</v>
      </c>
      <c r="N1028" s="3" t="s">
        <v>108</v>
      </c>
      <c r="O1028" s="3"/>
      <c r="P1028" s="3"/>
      <c r="Q1028" s="3">
        <v>13.513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563</v>
      </c>
      <c r="C1029" s="3" t="s">
        <v>283</v>
      </c>
      <c r="D1029" s="3"/>
      <c r="E1029" s="3" t="s">
        <v>283</v>
      </c>
      <c r="F1029" s="3"/>
      <c r="G1029" s="3"/>
      <c r="H1029" s="3"/>
      <c r="I1029" s="3"/>
      <c r="J1029" s="3"/>
      <c r="K1029" s="3"/>
      <c r="L1029" s="3" t="s">
        <v>564</v>
      </c>
      <c r="M1029" s="3">
        <v>50</v>
      </c>
      <c r="N1029" s="3" t="s">
        <v>105</v>
      </c>
      <c r="O1029" s="3"/>
      <c r="P1029" s="3"/>
      <c r="Q1029" s="3">
        <v>83.103999999999999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563</v>
      </c>
      <c r="C1030" s="3" t="s">
        <v>283</v>
      </c>
      <c r="D1030" s="3"/>
      <c r="E1030" s="3" t="s">
        <v>283</v>
      </c>
      <c r="F1030" s="3"/>
      <c r="G1030" s="3"/>
      <c r="H1030" s="3"/>
      <c r="I1030" s="3"/>
      <c r="J1030" s="3"/>
      <c r="K1030" s="3"/>
      <c r="L1030" s="3" t="s">
        <v>564</v>
      </c>
      <c r="M1030" s="3">
        <v>60</v>
      </c>
      <c r="N1030" s="3" t="s">
        <v>106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563</v>
      </c>
      <c r="C1031" s="3" t="s">
        <v>283</v>
      </c>
      <c r="D1031" s="3"/>
      <c r="E1031" s="3" t="s">
        <v>283</v>
      </c>
      <c r="F1031" s="3"/>
      <c r="G1031" s="3"/>
      <c r="H1031" s="3"/>
      <c r="I1031" s="3"/>
      <c r="J1031" s="3"/>
      <c r="K1031" s="3"/>
      <c r="L1031" s="3" t="s">
        <v>564</v>
      </c>
      <c r="M1031" s="3">
        <v>70</v>
      </c>
      <c r="N1031" s="3" t="s">
        <v>104</v>
      </c>
      <c r="O1031" s="3"/>
      <c r="P1031" s="3"/>
      <c r="Q1031" s="3">
        <v>0.13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563</v>
      </c>
      <c r="C1032" s="3" t="s">
        <v>283</v>
      </c>
      <c r="D1032" s="3"/>
      <c r="E1032" s="3" t="s">
        <v>283</v>
      </c>
      <c r="F1032" s="3"/>
      <c r="G1032" s="3"/>
      <c r="H1032" s="3"/>
      <c r="I1032" s="3"/>
      <c r="J1032" s="3"/>
      <c r="K1032" s="3"/>
      <c r="L1032" s="3" t="s">
        <v>564</v>
      </c>
      <c r="M1032" s="3">
        <v>80</v>
      </c>
      <c r="N1032" s="3" t="s">
        <v>273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563</v>
      </c>
      <c r="C1033" s="3" t="s">
        <v>283</v>
      </c>
      <c r="D1033" s="3"/>
      <c r="E1033" s="3" t="s">
        <v>283</v>
      </c>
      <c r="F1033" s="3"/>
      <c r="G1033" s="3"/>
      <c r="H1033" s="3"/>
      <c r="I1033" s="3"/>
      <c r="J1033" s="3"/>
      <c r="K1033" s="3"/>
      <c r="L1033" s="3" t="s">
        <v>564</v>
      </c>
      <c r="M1033" s="3">
        <v>90</v>
      </c>
      <c r="N1033" s="3" t="s">
        <v>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563</v>
      </c>
      <c r="C1034" s="3" t="s">
        <v>283</v>
      </c>
      <c r="D1034" s="3"/>
      <c r="E1034" s="3" t="s">
        <v>283</v>
      </c>
      <c r="F1034" s="3"/>
      <c r="G1034" s="3"/>
      <c r="H1034" s="3"/>
      <c r="I1034" s="3"/>
      <c r="J1034" s="3"/>
      <c r="K1034" s="3"/>
      <c r="L1034" s="3" t="s">
        <v>564</v>
      </c>
      <c r="M1034" s="3">
        <v>100</v>
      </c>
      <c r="N1034" s="3" t="s">
        <v>19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563</v>
      </c>
      <c r="C1035" s="3" t="s">
        <v>283</v>
      </c>
      <c r="D1035" s="3"/>
      <c r="E1035" s="3" t="s">
        <v>283</v>
      </c>
      <c r="F1035" s="3"/>
      <c r="G1035" s="3"/>
      <c r="H1035" s="3"/>
      <c r="I1035" s="3"/>
      <c r="J1035" s="3"/>
      <c r="K1035" s="3"/>
      <c r="L1035" s="3" t="s">
        <v>564</v>
      </c>
      <c r="M1035" s="3">
        <v>110</v>
      </c>
      <c r="N1035" s="3" t="s">
        <v>101</v>
      </c>
      <c r="O1035" s="3"/>
      <c r="P1035" s="3"/>
      <c r="Q1035" s="3">
        <v>0.48799999999999999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563</v>
      </c>
      <c r="C1036" s="3" t="s">
        <v>283</v>
      </c>
      <c r="D1036" s="3"/>
      <c r="E1036" s="3" t="s">
        <v>283</v>
      </c>
      <c r="F1036" s="3"/>
      <c r="G1036" s="3"/>
      <c r="H1036" s="3"/>
      <c r="I1036" s="3"/>
      <c r="J1036" s="3"/>
      <c r="K1036" s="3"/>
      <c r="L1036" s="3" t="s">
        <v>564</v>
      </c>
      <c r="M1036" s="3">
        <v>120</v>
      </c>
      <c r="N1036" s="3" t="s">
        <v>284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563</v>
      </c>
      <c r="C1037" s="3" t="s">
        <v>285</v>
      </c>
      <c r="D1037" s="3"/>
      <c r="E1037" s="3" t="s">
        <v>285</v>
      </c>
      <c r="F1037" s="3"/>
      <c r="G1037" s="3"/>
      <c r="H1037" s="3"/>
      <c r="I1037" s="3"/>
      <c r="J1037" s="3"/>
      <c r="K1037" s="3"/>
      <c r="L1037" s="3" t="s">
        <v>564</v>
      </c>
      <c r="M1037" s="3">
        <v>10</v>
      </c>
      <c r="N1037" s="3" t="s">
        <v>107</v>
      </c>
      <c r="O1037" s="3"/>
      <c r="P1037" s="3"/>
      <c r="Q1037" s="3">
        <v>1.6259999999999999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563</v>
      </c>
      <c r="C1038" s="3" t="s">
        <v>285</v>
      </c>
      <c r="D1038" s="3"/>
      <c r="E1038" s="3" t="s">
        <v>285</v>
      </c>
      <c r="F1038" s="3"/>
      <c r="G1038" s="3"/>
      <c r="H1038" s="3"/>
      <c r="I1038" s="3"/>
      <c r="J1038" s="3"/>
      <c r="K1038" s="3"/>
      <c r="L1038" s="3" t="s">
        <v>564</v>
      </c>
      <c r="M1038" s="3">
        <v>20</v>
      </c>
      <c r="N1038" s="3" t="s">
        <v>565</v>
      </c>
      <c r="O1038" s="3"/>
      <c r="P1038" s="3"/>
      <c r="Q1038" s="3">
        <v>1.6259999999999999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563</v>
      </c>
      <c r="C1039" s="3" t="s">
        <v>285</v>
      </c>
      <c r="D1039" s="3"/>
      <c r="E1039" s="3" t="s">
        <v>285</v>
      </c>
      <c r="F1039" s="3"/>
      <c r="G1039" s="3"/>
      <c r="H1039" s="3"/>
      <c r="I1039" s="3"/>
      <c r="J1039" s="3"/>
      <c r="K1039" s="3"/>
      <c r="L1039" s="3" t="s">
        <v>564</v>
      </c>
      <c r="M1039" s="3">
        <v>30</v>
      </c>
      <c r="N1039" s="3" t="s">
        <v>99</v>
      </c>
      <c r="O1039" s="3"/>
      <c r="P1039" s="3"/>
      <c r="Q1039" s="3">
        <v>0.45900000000000002</v>
      </c>
      <c r="R1039" s="3" t="s">
        <v>100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563</v>
      </c>
      <c r="C1040" s="3" t="s">
        <v>285</v>
      </c>
      <c r="D1040" s="3"/>
      <c r="E1040" s="3" t="s">
        <v>285</v>
      </c>
      <c r="F1040" s="3"/>
      <c r="G1040" s="3"/>
      <c r="H1040" s="3"/>
      <c r="I1040" s="3"/>
      <c r="J1040" s="3"/>
      <c r="K1040" s="3"/>
      <c r="L1040" s="3" t="s">
        <v>564</v>
      </c>
      <c r="M1040" s="3">
        <v>40</v>
      </c>
      <c r="N1040" s="3" t="s">
        <v>108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563</v>
      </c>
      <c r="C1041" s="3" t="s">
        <v>285</v>
      </c>
      <c r="D1041" s="3"/>
      <c r="E1041" s="3" t="s">
        <v>285</v>
      </c>
      <c r="F1041" s="3"/>
      <c r="G1041" s="3"/>
      <c r="H1041" s="3"/>
      <c r="I1041" s="3"/>
      <c r="J1041" s="3"/>
      <c r="K1041" s="3"/>
      <c r="L1041" s="3" t="s">
        <v>564</v>
      </c>
      <c r="M1041" s="3">
        <v>50</v>
      </c>
      <c r="N1041" s="3" t="s">
        <v>105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563</v>
      </c>
      <c r="C1042" s="3" t="s">
        <v>285</v>
      </c>
      <c r="D1042" s="3"/>
      <c r="E1042" s="3" t="s">
        <v>285</v>
      </c>
      <c r="F1042" s="3"/>
      <c r="G1042" s="3"/>
      <c r="H1042" s="3"/>
      <c r="I1042" s="3"/>
      <c r="J1042" s="3"/>
      <c r="K1042" s="3"/>
      <c r="L1042" s="3" t="s">
        <v>564</v>
      </c>
      <c r="M1042" s="3">
        <v>60</v>
      </c>
      <c r="N1042" s="3" t="s">
        <v>106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563</v>
      </c>
      <c r="C1043" s="3" t="s">
        <v>285</v>
      </c>
      <c r="D1043" s="3"/>
      <c r="E1043" s="3" t="s">
        <v>285</v>
      </c>
      <c r="F1043" s="3"/>
      <c r="G1043" s="3"/>
      <c r="H1043" s="3"/>
      <c r="I1043" s="3"/>
      <c r="J1043" s="3"/>
      <c r="K1043" s="3"/>
      <c r="L1043" s="3" t="s">
        <v>564</v>
      </c>
      <c r="M1043" s="3">
        <v>70</v>
      </c>
      <c r="N1043" s="3" t="s">
        <v>104</v>
      </c>
      <c r="O1043" s="3"/>
      <c r="P1043" s="3"/>
      <c r="Q1043" s="3">
        <v>0.14099999999999999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563</v>
      </c>
      <c r="C1044" s="3" t="s">
        <v>285</v>
      </c>
      <c r="D1044" s="3"/>
      <c r="E1044" s="3" t="s">
        <v>285</v>
      </c>
      <c r="F1044" s="3"/>
      <c r="G1044" s="3"/>
      <c r="H1044" s="3"/>
      <c r="I1044" s="3"/>
      <c r="J1044" s="3"/>
      <c r="K1044" s="3"/>
      <c r="L1044" s="3" t="s">
        <v>564</v>
      </c>
      <c r="M1044" s="3">
        <v>80</v>
      </c>
      <c r="N1044" s="3" t="s">
        <v>273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563</v>
      </c>
      <c r="C1045" s="3" t="s">
        <v>285</v>
      </c>
      <c r="D1045" s="3"/>
      <c r="E1045" s="3" t="s">
        <v>285</v>
      </c>
      <c r="F1045" s="3"/>
      <c r="G1045" s="3"/>
      <c r="H1045" s="3"/>
      <c r="I1045" s="3"/>
      <c r="J1045" s="3"/>
      <c r="K1045" s="3"/>
      <c r="L1045" s="3" t="s">
        <v>564</v>
      </c>
      <c r="M1045" s="3">
        <v>90</v>
      </c>
      <c r="N1045" s="3" t="s">
        <v>18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563</v>
      </c>
      <c r="C1046" s="3" t="s">
        <v>285</v>
      </c>
      <c r="D1046" s="3"/>
      <c r="E1046" s="3" t="s">
        <v>285</v>
      </c>
      <c r="F1046" s="3"/>
      <c r="G1046" s="3"/>
      <c r="H1046" s="3"/>
      <c r="I1046" s="3"/>
      <c r="J1046" s="3"/>
      <c r="K1046" s="3"/>
      <c r="L1046" s="3" t="s">
        <v>564</v>
      </c>
      <c r="M1046" s="3">
        <v>100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563</v>
      </c>
      <c r="C1047" s="3" t="s">
        <v>285</v>
      </c>
      <c r="D1047" s="3"/>
      <c r="E1047" s="3" t="s">
        <v>285</v>
      </c>
      <c r="F1047" s="3"/>
      <c r="G1047" s="3"/>
      <c r="H1047" s="3"/>
      <c r="I1047" s="3"/>
      <c r="J1047" s="3"/>
      <c r="K1047" s="3"/>
      <c r="L1047" s="3" t="s">
        <v>564</v>
      </c>
      <c r="M1047" s="3">
        <v>110</v>
      </c>
      <c r="N1047" s="3" t="s">
        <v>101</v>
      </c>
      <c r="O1047" s="3"/>
      <c r="P1047" s="3"/>
      <c r="Q1047" s="3">
        <v>0.53300000000000003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563</v>
      </c>
      <c r="C1048" s="3" t="s">
        <v>285</v>
      </c>
      <c r="D1048" s="3"/>
      <c r="E1048" s="3" t="s">
        <v>285</v>
      </c>
      <c r="F1048" s="3"/>
      <c r="G1048" s="3"/>
      <c r="H1048" s="3"/>
      <c r="I1048" s="3"/>
      <c r="J1048" s="3"/>
      <c r="K1048" s="3"/>
      <c r="L1048" s="3" t="s">
        <v>564</v>
      </c>
      <c r="M1048" s="3">
        <v>120</v>
      </c>
      <c r="N1048" s="3" t="s">
        <v>286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563</v>
      </c>
      <c r="C1049" s="3" t="s">
        <v>287</v>
      </c>
      <c r="D1049" s="3"/>
      <c r="E1049" s="3" t="s">
        <v>287</v>
      </c>
      <c r="F1049" s="3"/>
      <c r="G1049" s="3"/>
      <c r="H1049" s="3"/>
      <c r="I1049" s="3"/>
      <c r="J1049" s="3"/>
      <c r="K1049" s="3"/>
      <c r="L1049" s="3" t="s">
        <v>564</v>
      </c>
      <c r="M1049" s="3">
        <v>10</v>
      </c>
      <c r="N1049" s="3" t="s">
        <v>107</v>
      </c>
      <c r="O1049" s="3"/>
      <c r="P1049" s="3"/>
      <c r="Q1049" s="3">
        <v>1.778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563</v>
      </c>
      <c r="C1050" s="3" t="s">
        <v>287</v>
      </c>
      <c r="D1050" s="3"/>
      <c r="E1050" s="3" t="s">
        <v>287</v>
      </c>
      <c r="F1050" s="3"/>
      <c r="G1050" s="3"/>
      <c r="H1050" s="3"/>
      <c r="I1050" s="3"/>
      <c r="J1050" s="3"/>
      <c r="K1050" s="3"/>
      <c r="L1050" s="3" t="s">
        <v>564</v>
      </c>
      <c r="M1050" s="3">
        <v>20</v>
      </c>
      <c r="N1050" s="3" t="s">
        <v>565</v>
      </c>
      <c r="O1050" s="3"/>
      <c r="P1050" s="3"/>
      <c r="Q1050" s="3">
        <v>1.778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563</v>
      </c>
      <c r="C1051" s="3" t="s">
        <v>287</v>
      </c>
      <c r="D1051" s="3"/>
      <c r="E1051" s="3" t="s">
        <v>287</v>
      </c>
      <c r="F1051" s="3"/>
      <c r="G1051" s="3"/>
      <c r="H1051" s="3"/>
      <c r="I1051" s="3"/>
      <c r="J1051" s="3"/>
      <c r="K1051" s="3"/>
      <c r="L1051" s="3" t="s">
        <v>564</v>
      </c>
      <c r="M1051" s="3">
        <v>30</v>
      </c>
      <c r="N1051" s="3" t="s">
        <v>99</v>
      </c>
      <c r="O1051" s="3"/>
      <c r="P1051" s="3"/>
      <c r="Q1051" s="3">
        <v>0.503</v>
      </c>
      <c r="R1051" s="3" t="s">
        <v>100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563</v>
      </c>
      <c r="C1052" s="3" t="s">
        <v>287</v>
      </c>
      <c r="D1052" s="3"/>
      <c r="E1052" s="3" t="s">
        <v>287</v>
      </c>
      <c r="F1052" s="3"/>
      <c r="G1052" s="3"/>
      <c r="H1052" s="3"/>
      <c r="I1052" s="3"/>
      <c r="J1052" s="3"/>
      <c r="K1052" s="3"/>
      <c r="L1052" s="3" t="s">
        <v>564</v>
      </c>
      <c r="M1052" s="3">
        <v>40</v>
      </c>
      <c r="N1052" s="3" t="s">
        <v>108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563</v>
      </c>
      <c r="C1053" s="3" t="s">
        <v>287</v>
      </c>
      <c r="D1053" s="3"/>
      <c r="E1053" s="3" t="s">
        <v>287</v>
      </c>
      <c r="F1053" s="3"/>
      <c r="G1053" s="3"/>
      <c r="H1053" s="3"/>
      <c r="I1053" s="3"/>
      <c r="J1053" s="3"/>
      <c r="K1053" s="3"/>
      <c r="L1053" s="3" t="s">
        <v>564</v>
      </c>
      <c r="M1053" s="3">
        <v>50</v>
      </c>
      <c r="N1053" s="3" t="s">
        <v>105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563</v>
      </c>
      <c r="C1054" s="3" t="s">
        <v>287</v>
      </c>
      <c r="D1054" s="3"/>
      <c r="E1054" s="3" t="s">
        <v>287</v>
      </c>
      <c r="F1054" s="3"/>
      <c r="G1054" s="3"/>
      <c r="H1054" s="3"/>
      <c r="I1054" s="3"/>
      <c r="J1054" s="3"/>
      <c r="K1054" s="3"/>
      <c r="L1054" s="3" t="s">
        <v>564</v>
      </c>
      <c r="M1054" s="3">
        <v>60</v>
      </c>
      <c r="N1054" s="3" t="s">
        <v>106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563</v>
      </c>
      <c r="C1055" s="3" t="s">
        <v>287</v>
      </c>
      <c r="D1055" s="3"/>
      <c r="E1055" s="3" t="s">
        <v>287</v>
      </c>
      <c r="F1055" s="3"/>
      <c r="G1055" s="3"/>
      <c r="H1055" s="3"/>
      <c r="I1055" s="3"/>
      <c r="J1055" s="3"/>
      <c r="K1055" s="3"/>
      <c r="L1055" s="3" t="s">
        <v>564</v>
      </c>
      <c r="M1055" s="3">
        <v>70</v>
      </c>
      <c r="N1055" s="3" t="s">
        <v>104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563</v>
      </c>
      <c r="C1056" s="3" t="s">
        <v>287</v>
      </c>
      <c r="D1056" s="3"/>
      <c r="E1056" s="3" t="s">
        <v>287</v>
      </c>
      <c r="F1056" s="3"/>
      <c r="G1056" s="3"/>
      <c r="H1056" s="3"/>
      <c r="I1056" s="3"/>
      <c r="J1056" s="3"/>
      <c r="K1056" s="3"/>
      <c r="L1056" s="3" t="s">
        <v>564</v>
      </c>
      <c r="M1056" s="3">
        <v>80</v>
      </c>
      <c r="N1056" s="3" t="s">
        <v>273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563</v>
      </c>
      <c r="C1057" s="3" t="s">
        <v>287</v>
      </c>
      <c r="D1057" s="3"/>
      <c r="E1057" s="3" t="s">
        <v>287</v>
      </c>
      <c r="F1057" s="3"/>
      <c r="G1057" s="3"/>
      <c r="H1057" s="3"/>
      <c r="I1057" s="3"/>
      <c r="J1057" s="3"/>
      <c r="K1057" s="3"/>
      <c r="L1057" s="3" t="s">
        <v>564</v>
      </c>
      <c r="M1057" s="3">
        <v>90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563</v>
      </c>
      <c r="C1058" s="3" t="s">
        <v>287</v>
      </c>
      <c r="D1058" s="3"/>
      <c r="E1058" s="3" t="s">
        <v>287</v>
      </c>
      <c r="F1058" s="3"/>
      <c r="G1058" s="3"/>
      <c r="H1058" s="3"/>
      <c r="I1058" s="3"/>
      <c r="J1058" s="3"/>
      <c r="K1058" s="3"/>
      <c r="L1058" s="3" t="s">
        <v>564</v>
      </c>
      <c r="M1058" s="3">
        <v>100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563</v>
      </c>
      <c r="C1059" s="3" t="s">
        <v>287</v>
      </c>
      <c r="D1059" s="3"/>
      <c r="E1059" s="3" t="s">
        <v>287</v>
      </c>
      <c r="F1059" s="3"/>
      <c r="G1059" s="3"/>
      <c r="H1059" s="3"/>
      <c r="I1059" s="3"/>
      <c r="J1059" s="3"/>
      <c r="K1059" s="3"/>
      <c r="L1059" s="3" t="s">
        <v>564</v>
      </c>
      <c r="M1059" s="3">
        <v>110</v>
      </c>
      <c r="N1059" s="3" t="s">
        <v>101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563</v>
      </c>
      <c r="C1060" s="3" t="s">
        <v>287</v>
      </c>
      <c r="D1060" s="3"/>
      <c r="E1060" s="3" t="s">
        <v>287</v>
      </c>
      <c r="F1060" s="3"/>
      <c r="G1060" s="3"/>
      <c r="H1060" s="3"/>
      <c r="I1060" s="3"/>
      <c r="J1060" s="3"/>
      <c r="K1060" s="3"/>
      <c r="L1060" s="3" t="s">
        <v>564</v>
      </c>
      <c r="M1060" s="3">
        <v>120</v>
      </c>
      <c r="N1060" s="3" t="s">
        <v>288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563</v>
      </c>
      <c r="C1061" s="3" t="s">
        <v>289</v>
      </c>
      <c r="D1061" s="3"/>
      <c r="E1061" s="3" t="s">
        <v>289</v>
      </c>
      <c r="F1061" s="3"/>
      <c r="G1061" s="3"/>
      <c r="H1061" s="3"/>
      <c r="I1061" s="3"/>
      <c r="J1061" s="3"/>
      <c r="K1061" s="3"/>
      <c r="L1061" s="3" t="s">
        <v>564</v>
      </c>
      <c r="M1061" s="3">
        <v>10</v>
      </c>
      <c r="N1061" s="3" t="s">
        <v>107</v>
      </c>
      <c r="O1061" s="3"/>
      <c r="P1061" s="3"/>
      <c r="Q1061" s="3">
        <v>0.86399999999999999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563</v>
      </c>
      <c r="C1062" s="3" t="s">
        <v>289</v>
      </c>
      <c r="D1062" s="3"/>
      <c r="E1062" s="3" t="s">
        <v>289</v>
      </c>
      <c r="F1062" s="3"/>
      <c r="G1062" s="3"/>
      <c r="H1062" s="3"/>
      <c r="I1062" s="3"/>
      <c r="J1062" s="3"/>
      <c r="K1062" s="3"/>
      <c r="L1062" s="3" t="s">
        <v>564</v>
      </c>
      <c r="M1062" s="3">
        <v>20</v>
      </c>
      <c r="N1062" s="3" t="s">
        <v>565</v>
      </c>
      <c r="O1062" s="3"/>
      <c r="P1062" s="3"/>
      <c r="Q1062" s="3">
        <v>0.86399999999999999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563</v>
      </c>
      <c r="C1063" s="3" t="s">
        <v>289</v>
      </c>
      <c r="D1063" s="3"/>
      <c r="E1063" s="3" t="s">
        <v>289</v>
      </c>
      <c r="F1063" s="3"/>
      <c r="G1063" s="3"/>
      <c r="H1063" s="3"/>
      <c r="I1063" s="3"/>
      <c r="J1063" s="3"/>
      <c r="K1063" s="3"/>
      <c r="L1063" s="3" t="s">
        <v>564</v>
      </c>
      <c r="M1063" s="3">
        <v>30</v>
      </c>
      <c r="N1063" s="3" t="s">
        <v>99</v>
      </c>
      <c r="O1063" s="3"/>
      <c r="P1063" s="3"/>
      <c r="Q1063" s="3">
        <v>0.251</v>
      </c>
      <c r="R1063" s="3" t="s">
        <v>100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563</v>
      </c>
      <c r="C1064" s="3" t="s">
        <v>289</v>
      </c>
      <c r="D1064" s="3"/>
      <c r="E1064" s="3" t="s">
        <v>289</v>
      </c>
      <c r="F1064" s="3"/>
      <c r="G1064" s="3"/>
      <c r="H1064" s="3"/>
      <c r="I1064" s="3"/>
      <c r="J1064" s="3"/>
      <c r="K1064" s="3"/>
      <c r="L1064" s="3" t="s">
        <v>564</v>
      </c>
      <c r="M1064" s="3">
        <v>40</v>
      </c>
      <c r="N1064" s="3" t="s">
        <v>108</v>
      </c>
      <c r="O1064" s="3"/>
      <c r="P1064" s="3"/>
      <c r="Q1064" s="3">
        <v>11.379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563</v>
      </c>
      <c r="C1065" s="3" t="s">
        <v>289</v>
      </c>
      <c r="D1065" s="3"/>
      <c r="E1065" s="3" t="s">
        <v>289</v>
      </c>
      <c r="F1065" s="3"/>
      <c r="G1065" s="3"/>
      <c r="H1065" s="3"/>
      <c r="I1065" s="3"/>
      <c r="J1065" s="3"/>
      <c r="K1065" s="3"/>
      <c r="L1065" s="3" t="s">
        <v>564</v>
      </c>
      <c r="M1065" s="3">
        <v>50</v>
      </c>
      <c r="N1065" s="3" t="s">
        <v>105</v>
      </c>
      <c r="O1065" s="3"/>
      <c r="P1065" s="3"/>
      <c r="Q1065" s="3">
        <v>69.981999999999999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563</v>
      </c>
      <c r="C1066" s="3" t="s">
        <v>289</v>
      </c>
      <c r="D1066" s="3"/>
      <c r="E1066" s="3" t="s">
        <v>289</v>
      </c>
      <c r="F1066" s="3"/>
      <c r="G1066" s="3"/>
      <c r="H1066" s="3"/>
      <c r="I1066" s="3"/>
      <c r="J1066" s="3"/>
      <c r="K1066" s="3"/>
      <c r="L1066" s="3" t="s">
        <v>564</v>
      </c>
      <c r="M1066" s="3">
        <v>60</v>
      </c>
      <c r="N1066" s="3" t="s">
        <v>106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563</v>
      </c>
      <c r="C1067" s="3" t="s">
        <v>289</v>
      </c>
      <c r="D1067" s="3"/>
      <c r="E1067" s="3" t="s">
        <v>289</v>
      </c>
      <c r="F1067" s="3"/>
      <c r="G1067" s="3"/>
      <c r="H1067" s="3"/>
      <c r="I1067" s="3"/>
      <c r="J1067" s="3"/>
      <c r="K1067" s="3"/>
      <c r="L1067" s="3" t="s">
        <v>564</v>
      </c>
      <c r="M1067" s="3">
        <v>70</v>
      </c>
      <c r="N1067" s="3" t="s">
        <v>104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563</v>
      </c>
      <c r="C1068" s="3" t="s">
        <v>289</v>
      </c>
      <c r="D1068" s="3"/>
      <c r="E1068" s="3" t="s">
        <v>289</v>
      </c>
      <c r="F1068" s="3"/>
      <c r="G1068" s="3"/>
      <c r="H1068" s="3"/>
      <c r="I1068" s="3"/>
      <c r="J1068" s="3"/>
      <c r="K1068" s="3"/>
      <c r="L1068" s="3" t="s">
        <v>564</v>
      </c>
      <c r="M1068" s="3">
        <v>80</v>
      </c>
      <c r="N1068" s="3" t="s">
        <v>273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563</v>
      </c>
      <c r="C1069" s="3" t="s">
        <v>289</v>
      </c>
      <c r="D1069" s="3"/>
      <c r="E1069" s="3" t="s">
        <v>289</v>
      </c>
      <c r="F1069" s="3"/>
      <c r="G1069" s="3"/>
      <c r="H1069" s="3"/>
      <c r="I1069" s="3"/>
      <c r="J1069" s="3"/>
      <c r="K1069" s="3"/>
      <c r="L1069" s="3" t="s">
        <v>564</v>
      </c>
      <c r="M1069" s="3">
        <v>90</v>
      </c>
      <c r="N1069" s="3" t="s">
        <v>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563</v>
      </c>
      <c r="C1070" s="3" t="s">
        <v>289</v>
      </c>
      <c r="D1070" s="3"/>
      <c r="E1070" s="3" t="s">
        <v>289</v>
      </c>
      <c r="F1070" s="3"/>
      <c r="G1070" s="3"/>
      <c r="H1070" s="3"/>
      <c r="I1070" s="3"/>
      <c r="J1070" s="3"/>
      <c r="K1070" s="3"/>
      <c r="L1070" s="3" t="s">
        <v>564</v>
      </c>
      <c r="M1070" s="3">
        <v>100</v>
      </c>
      <c r="N1070" s="3" t="s">
        <v>19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563</v>
      </c>
      <c r="C1071" s="3" t="s">
        <v>289</v>
      </c>
      <c r="D1071" s="3"/>
      <c r="E1071" s="3" t="s">
        <v>289</v>
      </c>
      <c r="F1071" s="3"/>
      <c r="G1071" s="3"/>
      <c r="H1071" s="3"/>
      <c r="I1071" s="3"/>
      <c r="J1071" s="3"/>
      <c r="K1071" s="3"/>
      <c r="L1071" s="3" t="s">
        <v>564</v>
      </c>
      <c r="M1071" s="3">
        <v>110</v>
      </c>
      <c r="N1071" s="3" t="s">
        <v>101</v>
      </c>
      <c r="O1071" s="3"/>
      <c r="P1071" s="3"/>
      <c r="Q1071" s="3">
        <v>0.308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563</v>
      </c>
      <c r="C1072" s="3" t="s">
        <v>289</v>
      </c>
      <c r="D1072" s="3"/>
      <c r="E1072" s="3" t="s">
        <v>289</v>
      </c>
      <c r="F1072" s="3"/>
      <c r="G1072" s="3"/>
      <c r="H1072" s="3"/>
      <c r="I1072" s="3"/>
      <c r="J1072" s="3"/>
      <c r="K1072" s="3"/>
      <c r="L1072" s="3" t="s">
        <v>564</v>
      </c>
      <c r="M1072" s="3">
        <v>120</v>
      </c>
      <c r="N1072" s="3" t="s">
        <v>290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563</v>
      </c>
      <c r="C1073" s="3" t="s">
        <v>291</v>
      </c>
      <c r="D1073" s="3"/>
      <c r="E1073" s="3" t="s">
        <v>291</v>
      </c>
      <c r="F1073" s="3"/>
      <c r="G1073" s="3"/>
      <c r="H1073" s="3"/>
      <c r="I1073" s="3"/>
      <c r="J1073" s="3"/>
      <c r="K1073" s="3"/>
      <c r="L1073" s="3" t="s">
        <v>564</v>
      </c>
      <c r="M1073" s="3">
        <v>10</v>
      </c>
      <c r="N1073" s="3" t="s">
        <v>107</v>
      </c>
      <c r="O1073" s="3"/>
      <c r="P1073" s="3"/>
      <c r="Q1073" s="3">
        <v>1.016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563</v>
      </c>
      <c r="C1074" s="3" t="s">
        <v>291</v>
      </c>
      <c r="D1074" s="3"/>
      <c r="E1074" s="3" t="s">
        <v>291</v>
      </c>
      <c r="F1074" s="3"/>
      <c r="G1074" s="3"/>
      <c r="H1074" s="3"/>
      <c r="I1074" s="3"/>
      <c r="J1074" s="3"/>
      <c r="K1074" s="3"/>
      <c r="L1074" s="3" t="s">
        <v>564</v>
      </c>
      <c r="M1074" s="3">
        <v>20</v>
      </c>
      <c r="N1074" s="3" t="s">
        <v>565</v>
      </c>
      <c r="O1074" s="3"/>
      <c r="P1074" s="3"/>
      <c r="Q1074" s="3">
        <v>1.016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563</v>
      </c>
      <c r="C1075" s="3" t="s">
        <v>291</v>
      </c>
      <c r="D1075" s="3"/>
      <c r="E1075" s="3" t="s">
        <v>291</v>
      </c>
      <c r="F1075" s="3"/>
      <c r="G1075" s="3"/>
      <c r="H1075" s="3"/>
      <c r="I1075" s="3"/>
      <c r="J1075" s="3"/>
      <c r="K1075" s="3"/>
      <c r="L1075" s="3" t="s">
        <v>564</v>
      </c>
      <c r="M1075" s="3">
        <v>30</v>
      </c>
      <c r="N1075" s="3" t="s">
        <v>99</v>
      </c>
      <c r="O1075" s="3"/>
      <c r="P1075" s="3"/>
      <c r="Q1075" s="3">
        <v>0.29599999999999999</v>
      </c>
      <c r="R1075" s="3" t="s">
        <v>100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563</v>
      </c>
      <c r="C1076" s="3" t="s">
        <v>291</v>
      </c>
      <c r="D1076" s="3"/>
      <c r="E1076" s="3" t="s">
        <v>291</v>
      </c>
      <c r="F1076" s="3"/>
      <c r="G1076" s="3"/>
      <c r="H1076" s="3"/>
      <c r="I1076" s="3"/>
      <c r="J1076" s="3"/>
      <c r="K1076" s="3"/>
      <c r="L1076" s="3" t="s">
        <v>564</v>
      </c>
      <c r="M1076" s="3">
        <v>40</v>
      </c>
      <c r="N1076" s="3" t="s">
        <v>108</v>
      </c>
      <c r="O1076" s="3"/>
      <c r="P1076" s="3"/>
      <c r="Q1076" s="3">
        <v>11.989000000000001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563</v>
      </c>
      <c r="C1077" s="3" t="s">
        <v>291</v>
      </c>
      <c r="D1077" s="3"/>
      <c r="E1077" s="3" t="s">
        <v>291</v>
      </c>
      <c r="F1077" s="3"/>
      <c r="G1077" s="3"/>
      <c r="H1077" s="3"/>
      <c r="I1077" s="3"/>
      <c r="J1077" s="3"/>
      <c r="K1077" s="3"/>
      <c r="L1077" s="3" t="s">
        <v>564</v>
      </c>
      <c r="M1077" s="3">
        <v>50</v>
      </c>
      <c r="N1077" s="3" t="s">
        <v>105</v>
      </c>
      <c r="O1077" s="3"/>
      <c r="P1077" s="3"/>
      <c r="Q1077" s="3">
        <v>73.730999999999995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563</v>
      </c>
      <c r="C1078" s="3" t="s">
        <v>291</v>
      </c>
      <c r="D1078" s="3"/>
      <c r="E1078" s="3" t="s">
        <v>291</v>
      </c>
      <c r="F1078" s="3"/>
      <c r="G1078" s="3"/>
      <c r="H1078" s="3"/>
      <c r="I1078" s="3"/>
      <c r="J1078" s="3"/>
      <c r="K1078" s="3"/>
      <c r="L1078" s="3" t="s">
        <v>564</v>
      </c>
      <c r="M1078" s="3">
        <v>60</v>
      </c>
      <c r="N1078" s="3" t="s">
        <v>106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563</v>
      </c>
      <c r="C1079" s="3" t="s">
        <v>291</v>
      </c>
      <c r="D1079" s="3"/>
      <c r="E1079" s="3" t="s">
        <v>291</v>
      </c>
      <c r="F1079" s="3"/>
      <c r="G1079" s="3"/>
      <c r="H1079" s="3"/>
      <c r="I1079" s="3"/>
      <c r="J1079" s="3"/>
      <c r="K1079" s="3"/>
      <c r="L1079" s="3" t="s">
        <v>564</v>
      </c>
      <c r="M1079" s="3">
        <v>70</v>
      </c>
      <c r="N1079" s="3" t="s">
        <v>104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563</v>
      </c>
      <c r="C1080" s="3" t="s">
        <v>291</v>
      </c>
      <c r="D1080" s="3"/>
      <c r="E1080" s="3" t="s">
        <v>291</v>
      </c>
      <c r="F1080" s="3"/>
      <c r="G1080" s="3"/>
      <c r="H1080" s="3"/>
      <c r="I1080" s="3"/>
      <c r="J1080" s="3"/>
      <c r="K1080" s="3"/>
      <c r="L1080" s="3" t="s">
        <v>564</v>
      </c>
      <c r="M1080" s="3">
        <v>80</v>
      </c>
      <c r="N1080" s="3" t="s">
        <v>273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563</v>
      </c>
      <c r="C1081" s="3" t="s">
        <v>291</v>
      </c>
      <c r="D1081" s="3"/>
      <c r="E1081" s="3" t="s">
        <v>291</v>
      </c>
      <c r="F1081" s="3"/>
      <c r="G1081" s="3"/>
      <c r="H1081" s="3"/>
      <c r="I1081" s="3"/>
      <c r="J1081" s="3"/>
      <c r="K1081" s="3"/>
      <c r="L1081" s="3" t="s">
        <v>564</v>
      </c>
      <c r="M1081" s="3">
        <v>90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563</v>
      </c>
      <c r="C1082" s="3" t="s">
        <v>291</v>
      </c>
      <c r="D1082" s="3"/>
      <c r="E1082" s="3" t="s">
        <v>291</v>
      </c>
      <c r="F1082" s="3"/>
      <c r="G1082" s="3"/>
      <c r="H1082" s="3"/>
      <c r="I1082" s="3"/>
      <c r="J1082" s="3"/>
      <c r="K1082" s="3"/>
      <c r="L1082" s="3" t="s">
        <v>564</v>
      </c>
      <c r="M1082" s="3">
        <v>100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563</v>
      </c>
      <c r="C1083" s="3" t="s">
        <v>291</v>
      </c>
      <c r="D1083" s="3"/>
      <c r="E1083" s="3" t="s">
        <v>291</v>
      </c>
      <c r="F1083" s="3"/>
      <c r="G1083" s="3"/>
      <c r="H1083" s="3"/>
      <c r="I1083" s="3"/>
      <c r="J1083" s="3"/>
      <c r="K1083" s="3"/>
      <c r="L1083" s="3" t="s">
        <v>564</v>
      </c>
      <c r="M1083" s="3">
        <v>110</v>
      </c>
      <c r="N1083" s="3" t="s">
        <v>101</v>
      </c>
      <c r="O1083" s="3"/>
      <c r="P1083" s="3"/>
      <c r="Q1083" s="3">
        <v>0.35299999999999998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563</v>
      </c>
      <c r="C1084" s="3" t="s">
        <v>291</v>
      </c>
      <c r="D1084" s="3"/>
      <c r="E1084" s="3" t="s">
        <v>291</v>
      </c>
      <c r="F1084" s="3"/>
      <c r="G1084" s="3"/>
      <c r="H1084" s="3"/>
      <c r="I1084" s="3"/>
      <c r="J1084" s="3"/>
      <c r="K1084" s="3"/>
      <c r="L1084" s="3" t="s">
        <v>564</v>
      </c>
      <c r="M1084" s="3">
        <v>120</v>
      </c>
      <c r="N1084" s="3" t="s">
        <v>292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563</v>
      </c>
      <c r="C1085" s="3" t="s">
        <v>293</v>
      </c>
      <c r="D1085" s="3"/>
      <c r="E1085" s="3" t="s">
        <v>293</v>
      </c>
      <c r="F1085" s="3"/>
      <c r="G1085" s="3"/>
      <c r="H1085" s="3"/>
      <c r="I1085" s="3"/>
      <c r="J1085" s="3"/>
      <c r="K1085" s="3"/>
      <c r="L1085" s="3" t="s">
        <v>564</v>
      </c>
      <c r="M1085" s="3">
        <v>10</v>
      </c>
      <c r="N1085" s="3" t="s">
        <v>107</v>
      </c>
      <c r="O1085" s="3"/>
      <c r="P1085" s="3"/>
      <c r="Q1085" s="3">
        <v>1.1679999999999999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563</v>
      </c>
      <c r="C1086" s="3" t="s">
        <v>293</v>
      </c>
      <c r="D1086" s="3"/>
      <c r="E1086" s="3" t="s">
        <v>293</v>
      </c>
      <c r="F1086" s="3"/>
      <c r="G1086" s="3"/>
      <c r="H1086" s="3"/>
      <c r="I1086" s="3"/>
      <c r="J1086" s="3"/>
      <c r="K1086" s="3"/>
      <c r="L1086" s="3" t="s">
        <v>564</v>
      </c>
      <c r="M1086" s="3">
        <v>20</v>
      </c>
      <c r="N1086" s="3" t="s">
        <v>565</v>
      </c>
      <c r="O1086" s="3"/>
      <c r="P1086" s="3"/>
      <c r="Q1086" s="3">
        <v>1.1679999999999999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563</v>
      </c>
      <c r="C1087" s="3" t="s">
        <v>293</v>
      </c>
      <c r="D1087" s="3"/>
      <c r="E1087" s="3" t="s">
        <v>293</v>
      </c>
      <c r="F1087" s="3"/>
      <c r="G1087" s="3"/>
      <c r="H1087" s="3"/>
      <c r="I1087" s="3"/>
      <c r="J1087" s="3"/>
      <c r="K1087" s="3"/>
      <c r="L1087" s="3" t="s">
        <v>564</v>
      </c>
      <c r="M1087" s="3">
        <v>30</v>
      </c>
      <c r="N1087" s="3" t="s">
        <v>99</v>
      </c>
      <c r="O1087" s="3"/>
      <c r="P1087" s="3"/>
      <c r="Q1087" s="3">
        <v>0.34200000000000003</v>
      </c>
      <c r="R1087" s="3" t="s">
        <v>100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563</v>
      </c>
      <c r="C1088" s="3" t="s">
        <v>293</v>
      </c>
      <c r="D1088" s="3"/>
      <c r="E1088" s="3" t="s">
        <v>293</v>
      </c>
      <c r="F1088" s="3"/>
      <c r="G1088" s="3"/>
      <c r="H1088" s="3"/>
      <c r="I1088" s="3"/>
      <c r="J1088" s="3"/>
      <c r="K1088" s="3"/>
      <c r="L1088" s="3" t="s">
        <v>564</v>
      </c>
      <c r="M1088" s="3">
        <v>40</v>
      </c>
      <c r="N1088" s="3" t="s">
        <v>108</v>
      </c>
      <c r="O1088" s="3"/>
      <c r="P1088" s="3"/>
      <c r="Q1088" s="3">
        <v>12.598000000000001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563</v>
      </c>
      <c r="C1089" s="3" t="s">
        <v>293</v>
      </c>
      <c r="D1089" s="3"/>
      <c r="E1089" s="3" t="s">
        <v>293</v>
      </c>
      <c r="F1089" s="3"/>
      <c r="G1089" s="3"/>
      <c r="H1089" s="3"/>
      <c r="I1089" s="3"/>
      <c r="J1089" s="3"/>
      <c r="K1089" s="3"/>
      <c r="L1089" s="3" t="s">
        <v>564</v>
      </c>
      <c r="M1089" s="3">
        <v>50</v>
      </c>
      <c r="N1089" s="3" t="s">
        <v>105</v>
      </c>
      <c r="O1089" s="3"/>
      <c r="P1089" s="3"/>
      <c r="Q1089" s="3">
        <v>77.48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563</v>
      </c>
      <c r="C1090" s="3" t="s">
        <v>293</v>
      </c>
      <c r="D1090" s="3"/>
      <c r="E1090" s="3" t="s">
        <v>293</v>
      </c>
      <c r="F1090" s="3"/>
      <c r="G1090" s="3"/>
      <c r="H1090" s="3"/>
      <c r="I1090" s="3"/>
      <c r="J1090" s="3"/>
      <c r="K1090" s="3"/>
      <c r="L1090" s="3" t="s">
        <v>564</v>
      </c>
      <c r="M1090" s="3">
        <v>60</v>
      </c>
      <c r="N1090" s="3" t="s">
        <v>106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563</v>
      </c>
      <c r="C1091" s="3" t="s">
        <v>293</v>
      </c>
      <c r="D1091" s="3"/>
      <c r="E1091" s="3" t="s">
        <v>293</v>
      </c>
      <c r="F1091" s="3"/>
      <c r="G1091" s="3"/>
      <c r="H1091" s="3"/>
      <c r="I1091" s="3"/>
      <c r="J1091" s="3"/>
      <c r="K1091" s="3"/>
      <c r="L1091" s="3" t="s">
        <v>564</v>
      </c>
      <c r="M1091" s="3">
        <v>70</v>
      </c>
      <c r="N1091" s="3" t="s">
        <v>104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563</v>
      </c>
      <c r="C1092" s="3" t="s">
        <v>293</v>
      </c>
      <c r="D1092" s="3"/>
      <c r="E1092" s="3" t="s">
        <v>293</v>
      </c>
      <c r="F1092" s="3"/>
      <c r="G1092" s="3"/>
      <c r="H1092" s="3"/>
      <c r="I1092" s="3"/>
      <c r="J1092" s="3"/>
      <c r="K1092" s="3"/>
      <c r="L1092" s="3" t="s">
        <v>564</v>
      </c>
      <c r="M1092" s="3">
        <v>80</v>
      </c>
      <c r="N1092" s="3" t="s">
        <v>273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563</v>
      </c>
      <c r="C1093" s="3" t="s">
        <v>293</v>
      </c>
      <c r="D1093" s="3"/>
      <c r="E1093" s="3" t="s">
        <v>293</v>
      </c>
      <c r="F1093" s="3"/>
      <c r="G1093" s="3"/>
      <c r="H1093" s="3"/>
      <c r="I1093" s="3"/>
      <c r="J1093" s="3"/>
      <c r="K1093" s="3"/>
      <c r="L1093" s="3" t="s">
        <v>564</v>
      </c>
      <c r="M1093" s="3">
        <v>90</v>
      </c>
      <c r="N1093" s="3" t="s">
        <v>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563</v>
      </c>
      <c r="C1094" s="3" t="s">
        <v>293</v>
      </c>
      <c r="D1094" s="3"/>
      <c r="E1094" s="3" t="s">
        <v>293</v>
      </c>
      <c r="F1094" s="3"/>
      <c r="G1094" s="3"/>
      <c r="H1094" s="3"/>
      <c r="I1094" s="3"/>
      <c r="J1094" s="3"/>
      <c r="K1094" s="3"/>
      <c r="L1094" s="3" t="s">
        <v>564</v>
      </c>
      <c r="M1094" s="3">
        <v>100</v>
      </c>
      <c r="N1094" s="3" t="s">
        <v>19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563</v>
      </c>
      <c r="C1095" s="3" t="s">
        <v>293</v>
      </c>
      <c r="D1095" s="3"/>
      <c r="E1095" s="3" t="s">
        <v>293</v>
      </c>
      <c r="F1095" s="3"/>
      <c r="G1095" s="3"/>
      <c r="H1095" s="3"/>
      <c r="I1095" s="3"/>
      <c r="J1095" s="3"/>
      <c r="K1095" s="3"/>
      <c r="L1095" s="3" t="s">
        <v>564</v>
      </c>
      <c r="M1095" s="3">
        <v>110</v>
      </c>
      <c r="N1095" s="3" t="s">
        <v>101</v>
      </c>
      <c r="O1095" s="3"/>
      <c r="P1095" s="3"/>
      <c r="Q1095" s="3">
        <v>0.39800000000000002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563</v>
      </c>
      <c r="C1096" s="3" t="s">
        <v>293</v>
      </c>
      <c r="D1096" s="3"/>
      <c r="E1096" s="3" t="s">
        <v>293</v>
      </c>
      <c r="F1096" s="3"/>
      <c r="G1096" s="3"/>
      <c r="H1096" s="3"/>
      <c r="I1096" s="3"/>
      <c r="J1096" s="3"/>
      <c r="K1096" s="3"/>
      <c r="L1096" s="3" t="s">
        <v>564</v>
      </c>
      <c r="M1096" s="3">
        <v>120</v>
      </c>
      <c r="N1096" s="3" t="s">
        <v>294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563</v>
      </c>
      <c r="C1097" s="3" t="s">
        <v>295</v>
      </c>
      <c r="D1097" s="3"/>
      <c r="E1097" s="3" t="s">
        <v>295</v>
      </c>
      <c r="F1097" s="3"/>
      <c r="G1097" s="3"/>
      <c r="H1097" s="3"/>
      <c r="I1097" s="3"/>
      <c r="J1097" s="3"/>
      <c r="K1097" s="3"/>
      <c r="L1097" s="3" t="s">
        <v>564</v>
      </c>
      <c r="M1097" s="3">
        <v>10</v>
      </c>
      <c r="N1097" s="3" t="s">
        <v>107</v>
      </c>
      <c r="O1097" s="3"/>
      <c r="P1097" s="3"/>
      <c r="Q1097" s="3">
        <v>1.321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563</v>
      </c>
      <c r="C1098" s="3" t="s">
        <v>295</v>
      </c>
      <c r="D1098" s="3"/>
      <c r="E1098" s="3" t="s">
        <v>295</v>
      </c>
      <c r="F1098" s="3"/>
      <c r="G1098" s="3"/>
      <c r="H1098" s="3"/>
      <c r="I1098" s="3"/>
      <c r="J1098" s="3"/>
      <c r="K1098" s="3"/>
      <c r="L1098" s="3" t="s">
        <v>564</v>
      </c>
      <c r="M1098" s="3">
        <v>20</v>
      </c>
      <c r="N1098" s="3" t="s">
        <v>565</v>
      </c>
      <c r="O1098" s="3"/>
      <c r="P1098" s="3"/>
      <c r="Q1098" s="3">
        <v>1.321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563</v>
      </c>
      <c r="C1099" s="3" t="s">
        <v>295</v>
      </c>
      <c r="D1099" s="3"/>
      <c r="E1099" s="3" t="s">
        <v>295</v>
      </c>
      <c r="F1099" s="3"/>
      <c r="G1099" s="3"/>
      <c r="H1099" s="3"/>
      <c r="I1099" s="3"/>
      <c r="J1099" s="3"/>
      <c r="K1099" s="3"/>
      <c r="L1099" s="3" t="s">
        <v>564</v>
      </c>
      <c r="M1099" s="3">
        <v>30</v>
      </c>
      <c r="N1099" s="3" t="s">
        <v>99</v>
      </c>
      <c r="O1099" s="3"/>
      <c r="P1099" s="3"/>
      <c r="Q1099" s="3">
        <v>0.38700000000000001</v>
      </c>
      <c r="R1099" s="3" t="s">
        <v>100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563</v>
      </c>
      <c r="C1100" s="3" t="s">
        <v>295</v>
      </c>
      <c r="D1100" s="3"/>
      <c r="E1100" s="3" t="s">
        <v>295</v>
      </c>
      <c r="F1100" s="3"/>
      <c r="G1100" s="3"/>
      <c r="H1100" s="3"/>
      <c r="I1100" s="3"/>
      <c r="J1100" s="3"/>
      <c r="K1100" s="3"/>
      <c r="L1100" s="3" t="s">
        <v>564</v>
      </c>
      <c r="M1100" s="3">
        <v>40</v>
      </c>
      <c r="N1100" s="3" t="s">
        <v>108</v>
      </c>
      <c r="O1100" s="3"/>
      <c r="P1100" s="3"/>
      <c r="Q1100" s="3">
        <v>13.208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563</v>
      </c>
      <c r="C1101" s="3" t="s">
        <v>295</v>
      </c>
      <c r="D1101" s="3"/>
      <c r="E1101" s="3" t="s">
        <v>295</v>
      </c>
      <c r="F1101" s="3"/>
      <c r="G1101" s="3"/>
      <c r="H1101" s="3"/>
      <c r="I1101" s="3"/>
      <c r="J1101" s="3"/>
      <c r="K1101" s="3"/>
      <c r="L1101" s="3" t="s">
        <v>564</v>
      </c>
      <c r="M1101" s="3">
        <v>50</v>
      </c>
      <c r="N1101" s="3" t="s">
        <v>105</v>
      </c>
      <c r="O1101" s="3"/>
      <c r="P1101" s="3"/>
      <c r="Q1101" s="3">
        <v>81.228999999999999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563</v>
      </c>
      <c r="C1102" s="3" t="s">
        <v>295</v>
      </c>
      <c r="D1102" s="3"/>
      <c r="E1102" s="3" t="s">
        <v>295</v>
      </c>
      <c r="F1102" s="3"/>
      <c r="G1102" s="3"/>
      <c r="H1102" s="3"/>
      <c r="I1102" s="3"/>
      <c r="J1102" s="3"/>
      <c r="K1102" s="3"/>
      <c r="L1102" s="3" t="s">
        <v>564</v>
      </c>
      <c r="M1102" s="3">
        <v>60</v>
      </c>
      <c r="N1102" s="3" t="s">
        <v>106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563</v>
      </c>
      <c r="C1103" s="3" t="s">
        <v>295</v>
      </c>
      <c r="D1103" s="3"/>
      <c r="E1103" s="3" t="s">
        <v>295</v>
      </c>
      <c r="F1103" s="3"/>
      <c r="G1103" s="3"/>
      <c r="H1103" s="3"/>
      <c r="I1103" s="3"/>
      <c r="J1103" s="3"/>
      <c r="K1103" s="3"/>
      <c r="L1103" s="3" t="s">
        <v>564</v>
      </c>
      <c r="M1103" s="3">
        <v>70</v>
      </c>
      <c r="N1103" s="3" t="s">
        <v>104</v>
      </c>
      <c r="O1103" s="3"/>
      <c r="P1103" s="3"/>
      <c r="Q1103" s="3">
        <v>0.11799999999999999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563</v>
      </c>
      <c r="C1104" s="3" t="s">
        <v>295</v>
      </c>
      <c r="D1104" s="3"/>
      <c r="E1104" s="3" t="s">
        <v>295</v>
      </c>
      <c r="F1104" s="3"/>
      <c r="G1104" s="3"/>
      <c r="H1104" s="3"/>
      <c r="I1104" s="3"/>
      <c r="J1104" s="3"/>
      <c r="K1104" s="3"/>
      <c r="L1104" s="3" t="s">
        <v>564</v>
      </c>
      <c r="M1104" s="3">
        <v>80</v>
      </c>
      <c r="N1104" s="3" t="s">
        <v>273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563</v>
      </c>
      <c r="C1105" s="3" t="s">
        <v>295</v>
      </c>
      <c r="D1105" s="3"/>
      <c r="E1105" s="3" t="s">
        <v>295</v>
      </c>
      <c r="F1105" s="3"/>
      <c r="G1105" s="3"/>
      <c r="H1105" s="3"/>
      <c r="I1105" s="3"/>
      <c r="J1105" s="3"/>
      <c r="K1105" s="3"/>
      <c r="L1105" s="3" t="s">
        <v>564</v>
      </c>
      <c r="M1105" s="3">
        <v>90</v>
      </c>
      <c r="N1105" s="3" t="s">
        <v>18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563</v>
      </c>
      <c r="C1106" s="3" t="s">
        <v>295</v>
      </c>
      <c r="D1106" s="3"/>
      <c r="E1106" s="3" t="s">
        <v>295</v>
      </c>
      <c r="F1106" s="3"/>
      <c r="G1106" s="3"/>
      <c r="H1106" s="3"/>
      <c r="I1106" s="3"/>
      <c r="J1106" s="3"/>
      <c r="K1106" s="3"/>
      <c r="L1106" s="3" t="s">
        <v>564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563</v>
      </c>
      <c r="C1107" s="3" t="s">
        <v>295</v>
      </c>
      <c r="D1107" s="3"/>
      <c r="E1107" s="3" t="s">
        <v>295</v>
      </c>
      <c r="F1107" s="3"/>
      <c r="G1107" s="3"/>
      <c r="H1107" s="3"/>
      <c r="I1107" s="3"/>
      <c r="J1107" s="3"/>
      <c r="K1107" s="3"/>
      <c r="L1107" s="3" t="s">
        <v>564</v>
      </c>
      <c r="M1107" s="3">
        <v>110</v>
      </c>
      <c r="N1107" s="3" t="s">
        <v>101</v>
      </c>
      <c r="O1107" s="3"/>
      <c r="P1107" s="3"/>
      <c r="Q1107" s="3">
        <v>0.443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563</v>
      </c>
      <c r="C1108" s="3" t="s">
        <v>295</v>
      </c>
      <c r="D1108" s="3"/>
      <c r="E1108" s="3" t="s">
        <v>295</v>
      </c>
      <c r="F1108" s="3"/>
      <c r="G1108" s="3"/>
      <c r="H1108" s="3"/>
      <c r="I1108" s="3"/>
      <c r="J1108" s="3"/>
      <c r="K1108" s="3"/>
      <c r="L1108" s="3" t="s">
        <v>564</v>
      </c>
      <c r="M1108" s="3">
        <v>120</v>
      </c>
      <c r="N1108" s="3" t="s">
        <v>296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563</v>
      </c>
      <c r="C1109" s="3" t="s">
        <v>297</v>
      </c>
      <c r="D1109" s="3"/>
      <c r="E1109" s="3" t="s">
        <v>297</v>
      </c>
      <c r="F1109" s="3"/>
      <c r="G1109" s="3"/>
      <c r="H1109" s="3"/>
      <c r="I1109" s="3"/>
      <c r="J1109" s="3"/>
      <c r="K1109" s="3"/>
      <c r="L1109" s="3" t="s">
        <v>564</v>
      </c>
      <c r="M1109" s="3">
        <v>10</v>
      </c>
      <c r="N1109" s="3" t="s">
        <v>107</v>
      </c>
      <c r="O1109" s="3"/>
      <c r="P1109" s="3"/>
      <c r="Q1109" s="3">
        <v>1.397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563</v>
      </c>
      <c r="C1110" s="3" t="s">
        <v>297</v>
      </c>
      <c r="D1110" s="3"/>
      <c r="E1110" s="3" t="s">
        <v>297</v>
      </c>
      <c r="F1110" s="3"/>
      <c r="G1110" s="3"/>
      <c r="H1110" s="3"/>
      <c r="I1110" s="3"/>
      <c r="J1110" s="3"/>
      <c r="K1110" s="3"/>
      <c r="L1110" s="3" t="s">
        <v>564</v>
      </c>
      <c r="M1110" s="3">
        <v>20</v>
      </c>
      <c r="N1110" s="3" t="s">
        <v>565</v>
      </c>
      <c r="O1110" s="3"/>
      <c r="P1110" s="3"/>
      <c r="Q1110" s="3">
        <v>1.397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563</v>
      </c>
      <c r="C1111" s="3" t="s">
        <v>297</v>
      </c>
      <c r="D1111" s="3"/>
      <c r="E1111" s="3" t="s">
        <v>297</v>
      </c>
      <c r="F1111" s="3"/>
      <c r="G1111" s="3"/>
      <c r="H1111" s="3"/>
      <c r="I1111" s="3"/>
      <c r="J1111" s="3"/>
      <c r="K1111" s="3"/>
      <c r="L1111" s="3" t="s">
        <v>564</v>
      </c>
      <c r="M1111" s="3">
        <v>30</v>
      </c>
      <c r="N1111" s="3" t="s">
        <v>99</v>
      </c>
      <c r="O1111" s="3"/>
      <c r="P1111" s="3"/>
      <c r="Q1111" s="3">
        <v>0.41</v>
      </c>
      <c r="R1111" s="3" t="s">
        <v>100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563</v>
      </c>
      <c r="C1112" s="3" t="s">
        <v>297</v>
      </c>
      <c r="D1112" s="3"/>
      <c r="E1112" s="3" t="s">
        <v>297</v>
      </c>
      <c r="F1112" s="3"/>
      <c r="G1112" s="3"/>
      <c r="H1112" s="3"/>
      <c r="I1112" s="3"/>
      <c r="J1112" s="3"/>
      <c r="K1112" s="3"/>
      <c r="L1112" s="3" t="s">
        <v>564</v>
      </c>
      <c r="M1112" s="3">
        <v>40</v>
      </c>
      <c r="N1112" s="3" t="s">
        <v>108</v>
      </c>
      <c r="O1112" s="3"/>
      <c r="P1112" s="3"/>
      <c r="Q1112" s="3">
        <v>13.513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563</v>
      </c>
      <c r="C1113" s="3" t="s">
        <v>297</v>
      </c>
      <c r="D1113" s="3"/>
      <c r="E1113" s="3" t="s">
        <v>297</v>
      </c>
      <c r="F1113" s="3"/>
      <c r="G1113" s="3"/>
      <c r="H1113" s="3"/>
      <c r="I1113" s="3"/>
      <c r="J1113" s="3"/>
      <c r="K1113" s="3"/>
      <c r="L1113" s="3" t="s">
        <v>564</v>
      </c>
      <c r="M1113" s="3">
        <v>50</v>
      </c>
      <c r="N1113" s="3" t="s">
        <v>105</v>
      </c>
      <c r="O1113" s="3"/>
      <c r="P1113" s="3"/>
      <c r="Q1113" s="3">
        <v>83.103999999999999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563</v>
      </c>
      <c r="C1114" s="3" t="s">
        <v>297</v>
      </c>
      <c r="D1114" s="3"/>
      <c r="E1114" s="3" t="s">
        <v>297</v>
      </c>
      <c r="F1114" s="3"/>
      <c r="G1114" s="3"/>
      <c r="H1114" s="3"/>
      <c r="I1114" s="3"/>
      <c r="J1114" s="3"/>
      <c r="K1114" s="3"/>
      <c r="L1114" s="3" t="s">
        <v>564</v>
      </c>
      <c r="M1114" s="3">
        <v>60</v>
      </c>
      <c r="N1114" s="3" t="s">
        <v>106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563</v>
      </c>
      <c r="C1115" s="3" t="s">
        <v>297</v>
      </c>
      <c r="D1115" s="3"/>
      <c r="E1115" s="3" t="s">
        <v>297</v>
      </c>
      <c r="F1115" s="3"/>
      <c r="G1115" s="3"/>
      <c r="H1115" s="3"/>
      <c r="I1115" s="3"/>
      <c r="J1115" s="3"/>
      <c r="K1115" s="3"/>
      <c r="L1115" s="3" t="s">
        <v>564</v>
      </c>
      <c r="M1115" s="3">
        <v>70</v>
      </c>
      <c r="N1115" s="3" t="s">
        <v>104</v>
      </c>
      <c r="O1115" s="3"/>
      <c r="P1115" s="3"/>
      <c r="Q1115" s="3">
        <v>0.124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563</v>
      </c>
      <c r="C1116" s="3" t="s">
        <v>297</v>
      </c>
      <c r="D1116" s="3"/>
      <c r="E1116" s="3" t="s">
        <v>297</v>
      </c>
      <c r="F1116" s="3"/>
      <c r="G1116" s="3"/>
      <c r="H1116" s="3"/>
      <c r="I1116" s="3"/>
      <c r="J1116" s="3"/>
      <c r="K1116" s="3"/>
      <c r="L1116" s="3" t="s">
        <v>564</v>
      </c>
      <c r="M1116" s="3">
        <v>80</v>
      </c>
      <c r="N1116" s="3" t="s">
        <v>273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563</v>
      </c>
      <c r="C1117" s="3" t="s">
        <v>297</v>
      </c>
      <c r="D1117" s="3"/>
      <c r="E1117" s="3" t="s">
        <v>297</v>
      </c>
      <c r="F1117" s="3"/>
      <c r="G1117" s="3"/>
      <c r="H1117" s="3"/>
      <c r="I1117" s="3"/>
      <c r="J1117" s="3"/>
      <c r="K1117" s="3"/>
      <c r="L1117" s="3" t="s">
        <v>564</v>
      </c>
      <c r="M1117" s="3">
        <v>90</v>
      </c>
      <c r="N1117" s="3" t="s">
        <v>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563</v>
      </c>
      <c r="C1118" s="3" t="s">
        <v>297</v>
      </c>
      <c r="D1118" s="3"/>
      <c r="E1118" s="3" t="s">
        <v>297</v>
      </c>
      <c r="F1118" s="3"/>
      <c r="G1118" s="3"/>
      <c r="H1118" s="3"/>
      <c r="I1118" s="3"/>
      <c r="J1118" s="3"/>
      <c r="K1118" s="3"/>
      <c r="L1118" s="3" t="s">
        <v>564</v>
      </c>
      <c r="M1118" s="3">
        <v>100</v>
      </c>
      <c r="N1118" s="3" t="s">
        <v>19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563</v>
      </c>
      <c r="C1119" s="3" t="s">
        <v>297</v>
      </c>
      <c r="D1119" s="3"/>
      <c r="E1119" s="3" t="s">
        <v>297</v>
      </c>
      <c r="F1119" s="3"/>
      <c r="G1119" s="3"/>
      <c r="H1119" s="3"/>
      <c r="I1119" s="3"/>
      <c r="J1119" s="3"/>
      <c r="K1119" s="3"/>
      <c r="L1119" s="3" t="s">
        <v>564</v>
      </c>
      <c r="M1119" s="3">
        <v>110</v>
      </c>
      <c r="N1119" s="3" t="s">
        <v>101</v>
      </c>
      <c r="O1119" s="3"/>
      <c r="P1119" s="3"/>
      <c r="Q1119" s="3">
        <v>0.46500000000000002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563</v>
      </c>
      <c r="C1120" s="3" t="s">
        <v>297</v>
      </c>
      <c r="D1120" s="3"/>
      <c r="E1120" s="3" t="s">
        <v>297</v>
      </c>
      <c r="F1120" s="3"/>
      <c r="G1120" s="3"/>
      <c r="H1120" s="3"/>
      <c r="I1120" s="3"/>
      <c r="J1120" s="3"/>
      <c r="K1120" s="3"/>
      <c r="L1120" s="3" t="s">
        <v>564</v>
      </c>
      <c r="M1120" s="3">
        <v>120</v>
      </c>
      <c r="N1120" s="3" t="s">
        <v>298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563</v>
      </c>
      <c r="C1121" s="3" t="s">
        <v>299</v>
      </c>
      <c r="D1121" s="3"/>
      <c r="E1121" s="3" t="s">
        <v>299</v>
      </c>
      <c r="F1121" s="3"/>
      <c r="G1121" s="3"/>
      <c r="H1121" s="3"/>
      <c r="I1121" s="3"/>
      <c r="J1121" s="3"/>
      <c r="K1121" s="3"/>
      <c r="L1121" s="3" t="s">
        <v>564</v>
      </c>
      <c r="M1121" s="3">
        <v>10</v>
      </c>
      <c r="N1121" s="3" t="s">
        <v>107</v>
      </c>
      <c r="O1121" s="3"/>
      <c r="P1121" s="3"/>
      <c r="Q1121" s="3">
        <v>1.4730000000000001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563</v>
      </c>
      <c r="C1122" s="3" t="s">
        <v>299</v>
      </c>
      <c r="D1122" s="3"/>
      <c r="E1122" s="3" t="s">
        <v>299</v>
      </c>
      <c r="F1122" s="3"/>
      <c r="G1122" s="3"/>
      <c r="H1122" s="3"/>
      <c r="I1122" s="3"/>
      <c r="J1122" s="3"/>
      <c r="K1122" s="3"/>
      <c r="L1122" s="3" t="s">
        <v>564</v>
      </c>
      <c r="M1122" s="3">
        <v>20</v>
      </c>
      <c r="N1122" s="3" t="s">
        <v>565</v>
      </c>
      <c r="O1122" s="3"/>
      <c r="P1122" s="3"/>
      <c r="Q1122" s="3">
        <v>1.4730000000000001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563</v>
      </c>
      <c r="C1123" s="3" t="s">
        <v>299</v>
      </c>
      <c r="D1123" s="3"/>
      <c r="E1123" s="3" t="s">
        <v>299</v>
      </c>
      <c r="F1123" s="3"/>
      <c r="G1123" s="3"/>
      <c r="H1123" s="3"/>
      <c r="I1123" s="3"/>
      <c r="J1123" s="3"/>
      <c r="K1123" s="3"/>
      <c r="L1123" s="3" t="s">
        <v>564</v>
      </c>
      <c r="M1123" s="3">
        <v>30</v>
      </c>
      <c r="N1123" s="3" t="s">
        <v>99</v>
      </c>
      <c r="O1123" s="3"/>
      <c r="P1123" s="3"/>
      <c r="Q1123" s="3">
        <v>0.433</v>
      </c>
      <c r="R1123" s="3" t="s">
        <v>100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563</v>
      </c>
      <c r="C1124" s="3" t="s">
        <v>299</v>
      </c>
      <c r="D1124" s="3"/>
      <c r="E1124" s="3" t="s">
        <v>299</v>
      </c>
      <c r="F1124" s="3"/>
      <c r="G1124" s="3"/>
      <c r="H1124" s="3"/>
      <c r="I1124" s="3"/>
      <c r="J1124" s="3"/>
      <c r="K1124" s="3"/>
      <c r="L1124" s="3" t="s">
        <v>564</v>
      </c>
      <c r="M1124" s="3">
        <v>40</v>
      </c>
      <c r="N1124" s="3" t="s">
        <v>108</v>
      </c>
      <c r="O1124" s="3"/>
      <c r="P1124" s="3"/>
      <c r="Q1124" s="3">
        <v>13.818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563</v>
      </c>
      <c r="C1125" s="3" t="s">
        <v>299</v>
      </c>
      <c r="D1125" s="3"/>
      <c r="E1125" s="3" t="s">
        <v>299</v>
      </c>
      <c r="F1125" s="3"/>
      <c r="G1125" s="3"/>
      <c r="H1125" s="3"/>
      <c r="I1125" s="3"/>
      <c r="J1125" s="3"/>
      <c r="K1125" s="3"/>
      <c r="L1125" s="3" t="s">
        <v>564</v>
      </c>
      <c r="M1125" s="3">
        <v>50</v>
      </c>
      <c r="N1125" s="3" t="s">
        <v>105</v>
      </c>
      <c r="O1125" s="3"/>
      <c r="P1125" s="3"/>
      <c r="Q1125" s="3">
        <v>84.977999999999994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563</v>
      </c>
      <c r="C1126" s="3" t="s">
        <v>299</v>
      </c>
      <c r="D1126" s="3"/>
      <c r="E1126" s="3" t="s">
        <v>299</v>
      </c>
      <c r="F1126" s="3"/>
      <c r="G1126" s="3"/>
      <c r="H1126" s="3"/>
      <c r="I1126" s="3"/>
      <c r="J1126" s="3"/>
      <c r="K1126" s="3"/>
      <c r="L1126" s="3" t="s">
        <v>564</v>
      </c>
      <c r="M1126" s="3">
        <v>60</v>
      </c>
      <c r="N1126" s="3" t="s">
        <v>106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563</v>
      </c>
      <c r="C1127" s="3" t="s">
        <v>299</v>
      </c>
      <c r="D1127" s="3"/>
      <c r="E1127" s="3" t="s">
        <v>299</v>
      </c>
      <c r="F1127" s="3"/>
      <c r="G1127" s="3"/>
      <c r="H1127" s="3"/>
      <c r="I1127" s="3"/>
      <c r="J1127" s="3"/>
      <c r="K1127" s="3"/>
      <c r="L1127" s="3" t="s">
        <v>564</v>
      </c>
      <c r="M1127" s="3">
        <v>70</v>
      </c>
      <c r="N1127" s="3" t="s">
        <v>104</v>
      </c>
      <c r="O1127" s="3"/>
      <c r="P1127" s="3"/>
      <c r="Q1127" s="3">
        <v>0.13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563</v>
      </c>
      <c r="C1128" s="3" t="s">
        <v>299</v>
      </c>
      <c r="D1128" s="3"/>
      <c r="E1128" s="3" t="s">
        <v>299</v>
      </c>
      <c r="F1128" s="3"/>
      <c r="G1128" s="3"/>
      <c r="H1128" s="3"/>
      <c r="I1128" s="3"/>
      <c r="J1128" s="3"/>
      <c r="K1128" s="3"/>
      <c r="L1128" s="3" t="s">
        <v>564</v>
      </c>
      <c r="M1128" s="3">
        <v>80</v>
      </c>
      <c r="N1128" s="3" t="s">
        <v>273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563</v>
      </c>
      <c r="C1129" s="3" t="s">
        <v>299</v>
      </c>
      <c r="D1129" s="3"/>
      <c r="E1129" s="3" t="s">
        <v>299</v>
      </c>
      <c r="F1129" s="3"/>
      <c r="G1129" s="3"/>
      <c r="H1129" s="3"/>
      <c r="I1129" s="3"/>
      <c r="J1129" s="3"/>
      <c r="K1129" s="3"/>
      <c r="L1129" s="3" t="s">
        <v>564</v>
      </c>
      <c r="M1129" s="3">
        <v>90</v>
      </c>
      <c r="N1129" s="3" t="s">
        <v>18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563</v>
      </c>
      <c r="C1130" s="3" t="s">
        <v>299</v>
      </c>
      <c r="D1130" s="3"/>
      <c r="E1130" s="3" t="s">
        <v>299</v>
      </c>
      <c r="F1130" s="3"/>
      <c r="G1130" s="3"/>
      <c r="H1130" s="3"/>
      <c r="I1130" s="3"/>
      <c r="J1130" s="3"/>
      <c r="K1130" s="3"/>
      <c r="L1130" s="3" t="s">
        <v>564</v>
      </c>
      <c r="M1130" s="3">
        <v>100</v>
      </c>
      <c r="N1130" s="3" t="s">
        <v>19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563</v>
      </c>
      <c r="C1131" s="3" t="s">
        <v>299</v>
      </c>
      <c r="D1131" s="3"/>
      <c r="E1131" s="3" t="s">
        <v>299</v>
      </c>
      <c r="F1131" s="3"/>
      <c r="G1131" s="3"/>
      <c r="H1131" s="3"/>
      <c r="I1131" s="3"/>
      <c r="J1131" s="3"/>
      <c r="K1131" s="3"/>
      <c r="L1131" s="3" t="s">
        <v>564</v>
      </c>
      <c r="M1131" s="3">
        <v>110</v>
      </c>
      <c r="N1131" s="3" t="s">
        <v>101</v>
      </c>
      <c r="O1131" s="3"/>
      <c r="P1131" s="3"/>
      <c r="Q1131" s="3">
        <v>0.48799999999999999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563</v>
      </c>
      <c r="C1132" s="3" t="s">
        <v>299</v>
      </c>
      <c r="D1132" s="3"/>
      <c r="E1132" s="3" t="s">
        <v>299</v>
      </c>
      <c r="F1132" s="3"/>
      <c r="G1132" s="3"/>
      <c r="H1132" s="3"/>
      <c r="I1132" s="3"/>
      <c r="J1132" s="3"/>
      <c r="K1132" s="3"/>
      <c r="L1132" s="3" t="s">
        <v>564</v>
      </c>
      <c r="M1132" s="3">
        <v>120</v>
      </c>
      <c r="N1132" s="3" t="s">
        <v>300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563</v>
      </c>
      <c r="C1133" s="3" t="s">
        <v>301</v>
      </c>
      <c r="D1133" s="3"/>
      <c r="E1133" s="3" t="s">
        <v>301</v>
      </c>
      <c r="F1133" s="3"/>
      <c r="G1133" s="3"/>
      <c r="H1133" s="3"/>
      <c r="I1133" s="3"/>
      <c r="J1133" s="3"/>
      <c r="K1133" s="3"/>
      <c r="L1133" s="3" t="s">
        <v>564</v>
      </c>
      <c r="M1133" s="3">
        <v>10</v>
      </c>
      <c r="N1133" s="3" t="s">
        <v>107</v>
      </c>
      <c r="O1133" s="3"/>
      <c r="P1133" s="3"/>
      <c r="Q1133" s="3">
        <v>1.6259999999999999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563</v>
      </c>
      <c r="C1134" s="3" t="s">
        <v>301</v>
      </c>
      <c r="D1134" s="3"/>
      <c r="E1134" s="3" t="s">
        <v>301</v>
      </c>
      <c r="F1134" s="3"/>
      <c r="G1134" s="3"/>
      <c r="H1134" s="3"/>
      <c r="I1134" s="3"/>
      <c r="J1134" s="3"/>
      <c r="K1134" s="3"/>
      <c r="L1134" s="3" t="s">
        <v>564</v>
      </c>
      <c r="M1134" s="3">
        <v>20</v>
      </c>
      <c r="N1134" s="3" t="s">
        <v>565</v>
      </c>
      <c r="O1134" s="3"/>
      <c r="P1134" s="3"/>
      <c r="Q1134" s="3">
        <v>1.6259999999999999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563</v>
      </c>
      <c r="C1135" s="3" t="s">
        <v>301</v>
      </c>
      <c r="D1135" s="3"/>
      <c r="E1135" s="3" t="s">
        <v>301</v>
      </c>
      <c r="F1135" s="3"/>
      <c r="G1135" s="3"/>
      <c r="H1135" s="3"/>
      <c r="I1135" s="3"/>
      <c r="J1135" s="3"/>
      <c r="K1135" s="3"/>
      <c r="L1135" s="3" t="s">
        <v>564</v>
      </c>
      <c r="M1135" s="3">
        <v>30</v>
      </c>
      <c r="N1135" s="3" t="s">
        <v>99</v>
      </c>
      <c r="O1135" s="3"/>
      <c r="P1135" s="3"/>
      <c r="Q1135" s="3">
        <v>0.47799999999999998</v>
      </c>
      <c r="R1135" s="3" t="s">
        <v>100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563</v>
      </c>
      <c r="C1136" s="3" t="s">
        <v>301</v>
      </c>
      <c r="D1136" s="3"/>
      <c r="E1136" s="3" t="s">
        <v>301</v>
      </c>
      <c r="F1136" s="3"/>
      <c r="G1136" s="3"/>
      <c r="H1136" s="3"/>
      <c r="I1136" s="3"/>
      <c r="J1136" s="3"/>
      <c r="K1136" s="3"/>
      <c r="L1136" s="3" t="s">
        <v>564</v>
      </c>
      <c r="M1136" s="3">
        <v>40</v>
      </c>
      <c r="N1136" s="3" t="s">
        <v>108</v>
      </c>
      <c r="O1136" s="3"/>
      <c r="P1136" s="3"/>
      <c r="Q1136" s="3">
        <v>14.427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563</v>
      </c>
      <c r="C1137" s="3" t="s">
        <v>301</v>
      </c>
      <c r="D1137" s="3"/>
      <c r="E1137" s="3" t="s">
        <v>301</v>
      </c>
      <c r="F1137" s="3"/>
      <c r="G1137" s="3"/>
      <c r="H1137" s="3"/>
      <c r="I1137" s="3"/>
      <c r="J1137" s="3"/>
      <c r="K1137" s="3"/>
      <c r="L1137" s="3" t="s">
        <v>564</v>
      </c>
      <c r="M1137" s="3">
        <v>50</v>
      </c>
      <c r="N1137" s="3" t="s">
        <v>105</v>
      </c>
      <c r="O1137" s="3"/>
      <c r="P1137" s="3"/>
      <c r="Q1137" s="3">
        <v>88.727000000000004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563</v>
      </c>
      <c r="C1138" s="3" t="s">
        <v>301</v>
      </c>
      <c r="D1138" s="3"/>
      <c r="E1138" s="3" t="s">
        <v>301</v>
      </c>
      <c r="F1138" s="3"/>
      <c r="G1138" s="3"/>
      <c r="H1138" s="3"/>
      <c r="I1138" s="3"/>
      <c r="J1138" s="3"/>
      <c r="K1138" s="3"/>
      <c r="L1138" s="3" t="s">
        <v>564</v>
      </c>
      <c r="M1138" s="3">
        <v>60</v>
      </c>
      <c r="N1138" s="3" t="s">
        <v>106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563</v>
      </c>
      <c r="C1139" s="3" t="s">
        <v>301</v>
      </c>
      <c r="D1139" s="3"/>
      <c r="E1139" s="3" t="s">
        <v>301</v>
      </c>
      <c r="F1139" s="3"/>
      <c r="G1139" s="3"/>
      <c r="H1139" s="3"/>
      <c r="I1139" s="3"/>
      <c r="J1139" s="3"/>
      <c r="K1139" s="3"/>
      <c r="L1139" s="3" t="s">
        <v>564</v>
      </c>
      <c r="M1139" s="3">
        <v>70</v>
      </c>
      <c r="N1139" s="3" t="s">
        <v>104</v>
      </c>
      <c r="O1139" s="3"/>
      <c r="P1139" s="3"/>
      <c r="Q1139" s="3">
        <v>0.14099999999999999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563</v>
      </c>
      <c r="C1140" s="3" t="s">
        <v>301</v>
      </c>
      <c r="D1140" s="3"/>
      <c r="E1140" s="3" t="s">
        <v>301</v>
      </c>
      <c r="F1140" s="3"/>
      <c r="G1140" s="3"/>
      <c r="H1140" s="3"/>
      <c r="I1140" s="3"/>
      <c r="J1140" s="3"/>
      <c r="K1140" s="3"/>
      <c r="L1140" s="3" t="s">
        <v>564</v>
      </c>
      <c r="M1140" s="3">
        <v>80</v>
      </c>
      <c r="N1140" s="3" t="s">
        <v>273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563</v>
      </c>
      <c r="C1141" s="3" t="s">
        <v>301</v>
      </c>
      <c r="D1141" s="3"/>
      <c r="E1141" s="3" t="s">
        <v>301</v>
      </c>
      <c r="F1141" s="3"/>
      <c r="G1141" s="3"/>
      <c r="H1141" s="3"/>
      <c r="I1141" s="3"/>
      <c r="J1141" s="3"/>
      <c r="K1141" s="3"/>
      <c r="L1141" s="3" t="s">
        <v>564</v>
      </c>
      <c r="M1141" s="3">
        <v>90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563</v>
      </c>
      <c r="C1142" s="3" t="s">
        <v>301</v>
      </c>
      <c r="D1142" s="3"/>
      <c r="E1142" s="3" t="s">
        <v>301</v>
      </c>
      <c r="F1142" s="3"/>
      <c r="G1142" s="3"/>
      <c r="H1142" s="3"/>
      <c r="I1142" s="3"/>
      <c r="J1142" s="3"/>
      <c r="K1142" s="3"/>
      <c r="L1142" s="3" t="s">
        <v>564</v>
      </c>
      <c r="M1142" s="3">
        <v>100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563</v>
      </c>
      <c r="C1143" s="3" t="s">
        <v>301</v>
      </c>
      <c r="D1143" s="3"/>
      <c r="E1143" s="3" t="s">
        <v>301</v>
      </c>
      <c r="F1143" s="3"/>
      <c r="G1143" s="3"/>
      <c r="H1143" s="3"/>
      <c r="I1143" s="3"/>
      <c r="J1143" s="3"/>
      <c r="K1143" s="3"/>
      <c r="L1143" s="3" t="s">
        <v>564</v>
      </c>
      <c r="M1143" s="3">
        <v>110</v>
      </c>
      <c r="N1143" s="3" t="s">
        <v>101</v>
      </c>
      <c r="O1143" s="3"/>
      <c r="P1143" s="3"/>
      <c r="Q1143" s="3">
        <v>0.53300000000000003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563</v>
      </c>
      <c r="C1144" s="3" t="s">
        <v>301</v>
      </c>
      <c r="D1144" s="3"/>
      <c r="E1144" s="3" t="s">
        <v>301</v>
      </c>
      <c r="F1144" s="3"/>
      <c r="G1144" s="3"/>
      <c r="H1144" s="3"/>
      <c r="I1144" s="3"/>
      <c r="J1144" s="3"/>
      <c r="K1144" s="3"/>
      <c r="L1144" s="3" t="s">
        <v>564</v>
      </c>
      <c r="M1144" s="3">
        <v>120</v>
      </c>
      <c r="N1144" s="3" t="s">
        <v>302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563</v>
      </c>
      <c r="C1145" s="3" t="s">
        <v>303</v>
      </c>
      <c r="D1145" s="3"/>
      <c r="E1145" s="3" t="s">
        <v>303</v>
      </c>
      <c r="F1145" s="3"/>
      <c r="G1145" s="3"/>
      <c r="H1145" s="3"/>
      <c r="I1145" s="3"/>
      <c r="J1145" s="3"/>
      <c r="K1145" s="3"/>
      <c r="L1145" s="3" t="s">
        <v>564</v>
      </c>
      <c r="M1145" s="3">
        <v>10</v>
      </c>
      <c r="N1145" s="3" t="s">
        <v>107</v>
      </c>
      <c r="O1145" s="3"/>
      <c r="P1145" s="3"/>
      <c r="Q1145" s="3">
        <v>1.778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563</v>
      </c>
      <c r="C1146" s="3" t="s">
        <v>303</v>
      </c>
      <c r="D1146" s="3"/>
      <c r="E1146" s="3" t="s">
        <v>303</v>
      </c>
      <c r="F1146" s="3"/>
      <c r="G1146" s="3"/>
      <c r="H1146" s="3"/>
      <c r="I1146" s="3"/>
      <c r="J1146" s="3"/>
      <c r="K1146" s="3"/>
      <c r="L1146" s="3" t="s">
        <v>564</v>
      </c>
      <c r="M1146" s="3">
        <v>20</v>
      </c>
      <c r="N1146" s="3" t="s">
        <v>565</v>
      </c>
      <c r="O1146" s="3"/>
      <c r="P1146" s="3"/>
      <c r="Q1146" s="3">
        <v>1.778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563</v>
      </c>
      <c r="C1147" s="3" t="s">
        <v>303</v>
      </c>
      <c r="D1147" s="3"/>
      <c r="E1147" s="3" t="s">
        <v>303</v>
      </c>
      <c r="F1147" s="3"/>
      <c r="G1147" s="3"/>
      <c r="H1147" s="3"/>
      <c r="I1147" s="3"/>
      <c r="J1147" s="3"/>
      <c r="K1147" s="3"/>
      <c r="L1147" s="3" t="s">
        <v>564</v>
      </c>
      <c r="M1147" s="3">
        <v>30</v>
      </c>
      <c r="N1147" s="3" t="s">
        <v>99</v>
      </c>
      <c r="O1147" s="3"/>
      <c r="P1147" s="3"/>
      <c r="Q1147" s="3">
        <v>0.52400000000000002</v>
      </c>
      <c r="R1147" s="3" t="s">
        <v>100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563</v>
      </c>
      <c r="C1148" s="3" t="s">
        <v>303</v>
      </c>
      <c r="D1148" s="3"/>
      <c r="E1148" s="3" t="s">
        <v>303</v>
      </c>
      <c r="F1148" s="3"/>
      <c r="G1148" s="3"/>
      <c r="H1148" s="3"/>
      <c r="I1148" s="3"/>
      <c r="J1148" s="3"/>
      <c r="K1148" s="3"/>
      <c r="L1148" s="3" t="s">
        <v>564</v>
      </c>
      <c r="M1148" s="3">
        <v>40</v>
      </c>
      <c r="N1148" s="3" t="s">
        <v>108</v>
      </c>
      <c r="O1148" s="3"/>
      <c r="P1148" s="3"/>
      <c r="Q1148" s="3">
        <v>15.037000000000001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563</v>
      </c>
      <c r="C1149" s="3" t="s">
        <v>303</v>
      </c>
      <c r="D1149" s="3"/>
      <c r="E1149" s="3" t="s">
        <v>303</v>
      </c>
      <c r="F1149" s="3"/>
      <c r="G1149" s="3"/>
      <c r="H1149" s="3"/>
      <c r="I1149" s="3"/>
      <c r="J1149" s="3"/>
      <c r="K1149" s="3"/>
      <c r="L1149" s="3" t="s">
        <v>564</v>
      </c>
      <c r="M1149" s="3">
        <v>50</v>
      </c>
      <c r="N1149" s="3" t="s">
        <v>105</v>
      </c>
      <c r="O1149" s="3"/>
      <c r="P1149" s="3"/>
      <c r="Q1149" s="3">
        <v>92.475999999999999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563</v>
      </c>
      <c r="C1150" s="3" t="s">
        <v>303</v>
      </c>
      <c r="D1150" s="3"/>
      <c r="E1150" s="3" t="s">
        <v>303</v>
      </c>
      <c r="F1150" s="3"/>
      <c r="G1150" s="3"/>
      <c r="H1150" s="3"/>
      <c r="I1150" s="3"/>
      <c r="J1150" s="3"/>
      <c r="K1150" s="3"/>
      <c r="L1150" s="3" t="s">
        <v>564</v>
      </c>
      <c r="M1150" s="3">
        <v>60</v>
      </c>
      <c r="N1150" s="3" t="s">
        <v>106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563</v>
      </c>
      <c r="C1151" s="3" t="s">
        <v>303</v>
      </c>
      <c r="D1151" s="3"/>
      <c r="E1151" s="3" t="s">
        <v>303</v>
      </c>
      <c r="F1151" s="3"/>
      <c r="G1151" s="3"/>
      <c r="H1151" s="3"/>
      <c r="I1151" s="3"/>
      <c r="J1151" s="3"/>
      <c r="K1151" s="3"/>
      <c r="L1151" s="3" t="s">
        <v>564</v>
      </c>
      <c r="M1151" s="3">
        <v>70</v>
      </c>
      <c r="N1151" s="3" t="s">
        <v>104</v>
      </c>
      <c r="O1151" s="3"/>
      <c r="P1151" s="3"/>
      <c r="Q1151" s="3">
        <v>0.152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563</v>
      </c>
      <c r="C1152" s="3" t="s">
        <v>303</v>
      </c>
      <c r="D1152" s="3"/>
      <c r="E1152" s="3" t="s">
        <v>303</v>
      </c>
      <c r="F1152" s="3"/>
      <c r="G1152" s="3"/>
      <c r="H1152" s="3"/>
      <c r="I1152" s="3"/>
      <c r="J1152" s="3"/>
      <c r="K1152" s="3"/>
      <c r="L1152" s="3" t="s">
        <v>564</v>
      </c>
      <c r="M1152" s="3">
        <v>80</v>
      </c>
      <c r="N1152" s="3" t="s">
        <v>273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563</v>
      </c>
      <c r="C1153" s="3" t="s">
        <v>303</v>
      </c>
      <c r="D1153" s="3"/>
      <c r="E1153" s="3" t="s">
        <v>303</v>
      </c>
      <c r="F1153" s="3"/>
      <c r="G1153" s="3"/>
      <c r="H1153" s="3"/>
      <c r="I1153" s="3"/>
      <c r="J1153" s="3"/>
      <c r="K1153" s="3"/>
      <c r="L1153" s="3" t="s">
        <v>564</v>
      </c>
      <c r="M1153" s="3">
        <v>90</v>
      </c>
      <c r="N1153" s="3" t="s">
        <v>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563</v>
      </c>
      <c r="C1154" s="3" t="s">
        <v>303</v>
      </c>
      <c r="D1154" s="3"/>
      <c r="E1154" s="3" t="s">
        <v>303</v>
      </c>
      <c r="F1154" s="3"/>
      <c r="G1154" s="3"/>
      <c r="H1154" s="3"/>
      <c r="I1154" s="3"/>
      <c r="J1154" s="3"/>
      <c r="K1154" s="3"/>
      <c r="L1154" s="3" t="s">
        <v>564</v>
      </c>
      <c r="M1154" s="3">
        <v>100</v>
      </c>
      <c r="N1154" s="3" t="s">
        <v>19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563</v>
      </c>
      <c r="C1155" s="3" t="s">
        <v>303</v>
      </c>
      <c r="D1155" s="3"/>
      <c r="E1155" s="3" t="s">
        <v>303</v>
      </c>
      <c r="F1155" s="3"/>
      <c r="G1155" s="3"/>
      <c r="H1155" s="3"/>
      <c r="I1155" s="3"/>
      <c r="J1155" s="3"/>
      <c r="K1155" s="3"/>
      <c r="L1155" s="3" t="s">
        <v>564</v>
      </c>
      <c r="M1155" s="3">
        <v>110</v>
      </c>
      <c r="N1155" s="3" t="s">
        <v>101</v>
      </c>
      <c r="O1155" s="3"/>
      <c r="P1155" s="3"/>
      <c r="Q1155" s="3">
        <v>0.57799999999999996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563</v>
      </c>
      <c r="C1156" s="3" t="s">
        <v>303</v>
      </c>
      <c r="D1156" s="3"/>
      <c r="E1156" s="3" t="s">
        <v>303</v>
      </c>
      <c r="F1156" s="3"/>
      <c r="G1156" s="3"/>
      <c r="H1156" s="3"/>
      <c r="I1156" s="3"/>
      <c r="J1156" s="3"/>
      <c r="K1156" s="3"/>
      <c r="L1156" s="3" t="s">
        <v>564</v>
      </c>
      <c r="M1156" s="3">
        <v>120</v>
      </c>
      <c r="N1156" s="3" t="s">
        <v>304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563</v>
      </c>
      <c r="C1157" s="3" t="s">
        <v>305</v>
      </c>
      <c r="D1157" s="3"/>
      <c r="E1157" s="3" t="s">
        <v>305</v>
      </c>
      <c r="F1157" s="3"/>
      <c r="G1157" s="3"/>
      <c r="H1157" s="3"/>
      <c r="I1157" s="3"/>
      <c r="J1157" s="3"/>
      <c r="K1157" s="3"/>
      <c r="L1157" s="3" t="s">
        <v>564</v>
      </c>
      <c r="M1157" s="3">
        <v>10</v>
      </c>
      <c r="N1157" s="3" t="s">
        <v>107</v>
      </c>
      <c r="O1157" s="3"/>
      <c r="P1157" s="3"/>
      <c r="Q1157" s="3">
        <v>0.86399999999999999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563</v>
      </c>
      <c r="C1158" s="3" t="s">
        <v>305</v>
      </c>
      <c r="D1158" s="3"/>
      <c r="E1158" s="3" t="s">
        <v>305</v>
      </c>
      <c r="F1158" s="3"/>
      <c r="G1158" s="3"/>
      <c r="H1158" s="3"/>
      <c r="I1158" s="3"/>
      <c r="J1158" s="3"/>
      <c r="K1158" s="3"/>
      <c r="L1158" s="3" t="s">
        <v>564</v>
      </c>
      <c r="M1158" s="3">
        <v>20</v>
      </c>
      <c r="N1158" s="3" t="s">
        <v>565</v>
      </c>
      <c r="O1158" s="3"/>
      <c r="P1158" s="3"/>
      <c r="Q1158" s="3">
        <v>0.86399999999999999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563</v>
      </c>
      <c r="C1159" s="3" t="s">
        <v>305</v>
      </c>
      <c r="D1159" s="3"/>
      <c r="E1159" s="3" t="s">
        <v>305</v>
      </c>
      <c r="F1159" s="3"/>
      <c r="G1159" s="3"/>
      <c r="H1159" s="3"/>
      <c r="I1159" s="3"/>
      <c r="J1159" s="3"/>
      <c r="K1159" s="3"/>
      <c r="L1159" s="3" t="s">
        <v>564</v>
      </c>
      <c r="M1159" s="3">
        <v>30</v>
      </c>
      <c r="N1159" s="3" t="s">
        <v>99</v>
      </c>
      <c r="O1159" s="3"/>
      <c r="P1159" s="3"/>
      <c r="Q1159" s="3">
        <v>0.26100000000000001</v>
      </c>
      <c r="R1159" s="3" t="s">
        <v>100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563</v>
      </c>
      <c r="C1160" s="3" t="s">
        <v>305</v>
      </c>
      <c r="D1160" s="3"/>
      <c r="E1160" s="3" t="s">
        <v>305</v>
      </c>
      <c r="F1160" s="3"/>
      <c r="G1160" s="3"/>
      <c r="H1160" s="3"/>
      <c r="I1160" s="3"/>
      <c r="J1160" s="3"/>
      <c r="K1160" s="3"/>
      <c r="L1160" s="3" t="s">
        <v>564</v>
      </c>
      <c r="M1160" s="3">
        <v>40</v>
      </c>
      <c r="N1160" s="3" t="s">
        <v>108</v>
      </c>
      <c r="O1160" s="3"/>
      <c r="P1160" s="3"/>
      <c r="Q1160" s="3">
        <v>11.683999999999999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563</v>
      </c>
      <c r="C1161" s="3" t="s">
        <v>305</v>
      </c>
      <c r="D1161" s="3"/>
      <c r="E1161" s="3" t="s">
        <v>305</v>
      </c>
      <c r="F1161" s="3"/>
      <c r="G1161" s="3"/>
      <c r="H1161" s="3"/>
      <c r="I1161" s="3"/>
      <c r="J1161" s="3"/>
      <c r="K1161" s="3"/>
      <c r="L1161" s="3" t="s">
        <v>564</v>
      </c>
      <c r="M1161" s="3">
        <v>50</v>
      </c>
      <c r="N1161" s="3" t="s">
        <v>105</v>
      </c>
      <c r="O1161" s="3"/>
      <c r="P1161" s="3"/>
      <c r="Q1161" s="3">
        <v>71.856999999999999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563</v>
      </c>
      <c r="C1162" s="3" t="s">
        <v>305</v>
      </c>
      <c r="D1162" s="3"/>
      <c r="E1162" s="3" t="s">
        <v>305</v>
      </c>
      <c r="F1162" s="3"/>
      <c r="G1162" s="3"/>
      <c r="H1162" s="3"/>
      <c r="I1162" s="3"/>
      <c r="J1162" s="3"/>
      <c r="K1162" s="3"/>
      <c r="L1162" s="3" t="s">
        <v>564</v>
      </c>
      <c r="M1162" s="3">
        <v>60</v>
      </c>
      <c r="N1162" s="3" t="s">
        <v>106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563</v>
      </c>
      <c r="C1163" s="3" t="s">
        <v>305</v>
      </c>
      <c r="D1163" s="3"/>
      <c r="E1163" s="3" t="s">
        <v>305</v>
      </c>
      <c r="F1163" s="3"/>
      <c r="G1163" s="3"/>
      <c r="H1163" s="3"/>
      <c r="I1163" s="3"/>
      <c r="J1163" s="3"/>
      <c r="K1163" s="3"/>
      <c r="L1163" s="3" t="s">
        <v>564</v>
      </c>
      <c r="M1163" s="3">
        <v>70</v>
      </c>
      <c r="N1163" s="3" t="s">
        <v>104</v>
      </c>
      <c r="O1163" s="3"/>
      <c r="P1163" s="3"/>
      <c r="Q1163" s="3">
        <v>8.5000000000000006E-2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563</v>
      </c>
      <c r="C1164" s="3" t="s">
        <v>305</v>
      </c>
      <c r="D1164" s="3"/>
      <c r="E1164" s="3" t="s">
        <v>305</v>
      </c>
      <c r="F1164" s="3"/>
      <c r="G1164" s="3"/>
      <c r="H1164" s="3"/>
      <c r="I1164" s="3"/>
      <c r="J1164" s="3"/>
      <c r="K1164" s="3"/>
      <c r="L1164" s="3" t="s">
        <v>564</v>
      </c>
      <c r="M1164" s="3">
        <v>80</v>
      </c>
      <c r="N1164" s="3" t="s">
        <v>273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563</v>
      </c>
      <c r="C1165" s="3" t="s">
        <v>305</v>
      </c>
      <c r="D1165" s="3"/>
      <c r="E1165" s="3" t="s">
        <v>305</v>
      </c>
      <c r="F1165" s="3"/>
      <c r="G1165" s="3"/>
      <c r="H1165" s="3"/>
      <c r="I1165" s="3"/>
      <c r="J1165" s="3"/>
      <c r="K1165" s="3"/>
      <c r="L1165" s="3" t="s">
        <v>564</v>
      </c>
      <c r="M1165" s="3">
        <v>90</v>
      </c>
      <c r="N1165" s="3" t="s">
        <v>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563</v>
      </c>
      <c r="C1166" s="3" t="s">
        <v>305</v>
      </c>
      <c r="D1166" s="3"/>
      <c r="E1166" s="3" t="s">
        <v>305</v>
      </c>
      <c r="F1166" s="3"/>
      <c r="G1166" s="3"/>
      <c r="H1166" s="3"/>
      <c r="I1166" s="3"/>
      <c r="J1166" s="3"/>
      <c r="K1166" s="3"/>
      <c r="L1166" s="3" t="s">
        <v>564</v>
      </c>
      <c r="M1166" s="3">
        <v>100</v>
      </c>
      <c r="N1166" s="3" t="s">
        <v>19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563</v>
      </c>
      <c r="C1167" s="3" t="s">
        <v>305</v>
      </c>
      <c r="D1167" s="3"/>
      <c r="E1167" s="3" t="s">
        <v>305</v>
      </c>
      <c r="F1167" s="3"/>
      <c r="G1167" s="3"/>
      <c r="H1167" s="3"/>
      <c r="I1167" s="3"/>
      <c r="J1167" s="3"/>
      <c r="K1167" s="3"/>
      <c r="L1167" s="3" t="s">
        <v>564</v>
      </c>
      <c r="M1167" s="3">
        <v>110</v>
      </c>
      <c r="N1167" s="3" t="s">
        <v>101</v>
      </c>
      <c r="O1167" s="3"/>
      <c r="P1167" s="3"/>
      <c r="Q1167" s="3">
        <v>0.308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563</v>
      </c>
      <c r="C1168" s="3" t="s">
        <v>305</v>
      </c>
      <c r="D1168" s="3"/>
      <c r="E1168" s="3" t="s">
        <v>305</v>
      </c>
      <c r="F1168" s="3"/>
      <c r="G1168" s="3"/>
      <c r="H1168" s="3"/>
      <c r="I1168" s="3"/>
      <c r="J1168" s="3"/>
      <c r="K1168" s="3"/>
      <c r="L1168" s="3" t="s">
        <v>564</v>
      </c>
      <c r="M1168" s="3">
        <v>120</v>
      </c>
      <c r="N1168" s="3" t="s">
        <v>306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563</v>
      </c>
      <c r="C1169" s="3" t="s">
        <v>307</v>
      </c>
      <c r="D1169" s="3"/>
      <c r="E1169" s="3" t="s">
        <v>307</v>
      </c>
      <c r="F1169" s="3"/>
      <c r="G1169" s="3"/>
      <c r="H1169" s="3"/>
      <c r="I1169" s="3"/>
      <c r="J1169" s="3"/>
      <c r="K1169" s="3"/>
      <c r="L1169" s="3" t="s">
        <v>564</v>
      </c>
      <c r="M1169" s="3">
        <v>10</v>
      </c>
      <c r="N1169" s="3" t="s">
        <v>107</v>
      </c>
      <c r="O1169" s="3"/>
      <c r="P1169" s="3"/>
      <c r="Q1169" s="3">
        <v>1.016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563</v>
      </c>
      <c r="C1170" s="3" t="s">
        <v>307</v>
      </c>
      <c r="D1170" s="3"/>
      <c r="E1170" s="3" t="s">
        <v>307</v>
      </c>
      <c r="F1170" s="3"/>
      <c r="G1170" s="3"/>
      <c r="H1170" s="3"/>
      <c r="I1170" s="3"/>
      <c r="J1170" s="3"/>
      <c r="K1170" s="3"/>
      <c r="L1170" s="3" t="s">
        <v>564</v>
      </c>
      <c r="M1170" s="3">
        <v>20</v>
      </c>
      <c r="N1170" s="3" t="s">
        <v>565</v>
      </c>
      <c r="O1170" s="3"/>
      <c r="P1170" s="3"/>
      <c r="Q1170" s="3">
        <v>1.016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563</v>
      </c>
      <c r="C1171" s="3" t="s">
        <v>307</v>
      </c>
      <c r="D1171" s="3"/>
      <c r="E1171" s="3" t="s">
        <v>307</v>
      </c>
      <c r="F1171" s="3"/>
      <c r="G1171" s="3"/>
      <c r="H1171" s="3"/>
      <c r="I1171" s="3"/>
      <c r="J1171" s="3"/>
      <c r="K1171" s="3"/>
      <c r="L1171" s="3" t="s">
        <v>564</v>
      </c>
      <c r="M1171" s="3">
        <v>30</v>
      </c>
      <c r="N1171" s="3" t="s">
        <v>99</v>
      </c>
      <c r="O1171" s="3"/>
      <c r="P1171" s="3"/>
      <c r="Q1171" s="3">
        <v>0.308</v>
      </c>
      <c r="R1171" s="3" t="s">
        <v>100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563</v>
      </c>
      <c r="C1172" s="3" t="s">
        <v>307</v>
      </c>
      <c r="D1172" s="3"/>
      <c r="E1172" s="3" t="s">
        <v>307</v>
      </c>
      <c r="F1172" s="3"/>
      <c r="G1172" s="3"/>
      <c r="H1172" s="3"/>
      <c r="I1172" s="3"/>
      <c r="J1172" s="3"/>
      <c r="K1172" s="3"/>
      <c r="L1172" s="3" t="s">
        <v>564</v>
      </c>
      <c r="M1172" s="3">
        <v>40</v>
      </c>
      <c r="N1172" s="3" t="s">
        <v>108</v>
      </c>
      <c r="O1172" s="3"/>
      <c r="P1172" s="3"/>
      <c r="Q1172" s="3">
        <v>12.294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563</v>
      </c>
      <c r="C1173" s="3" t="s">
        <v>307</v>
      </c>
      <c r="D1173" s="3"/>
      <c r="E1173" s="3" t="s">
        <v>307</v>
      </c>
      <c r="F1173" s="3"/>
      <c r="G1173" s="3"/>
      <c r="H1173" s="3"/>
      <c r="I1173" s="3"/>
      <c r="J1173" s="3"/>
      <c r="K1173" s="3"/>
      <c r="L1173" s="3" t="s">
        <v>564</v>
      </c>
      <c r="M1173" s="3">
        <v>50</v>
      </c>
      <c r="N1173" s="3" t="s">
        <v>105</v>
      </c>
      <c r="O1173" s="3"/>
      <c r="P1173" s="3"/>
      <c r="Q1173" s="3">
        <v>75.605999999999995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563</v>
      </c>
      <c r="C1174" s="3" t="s">
        <v>307</v>
      </c>
      <c r="D1174" s="3"/>
      <c r="E1174" s="3" t="s">
        <v>307</v>
      </c>
      <c r="F1174" s="3"/>
      <c r="G1174" s="3"/>
      <c r="H1174" s="3"/>
      <c r="I1174" s="3"/>
      <c r="J1174" s="3"/>
      <c r="K1174" s="3"/>
      <c r="L1174" s="3" t="s">
        <v>564</v>
      </c>
      <c r="M1174" s="3">
        <v>60</v>
      </c>
      <c r="N1174" s="3" t="s">
        <v>106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563</v>
      </c>
      <c r="C1175" s="3" t="s">
        <v>307</v>
      </c>
      <c r="D1175" s="3"/>
      <c r="E1175" s="3" t="s">
        <v>307</v>
      </c>
      <c r="F1175" s="3"/>
      <c r="G1175" s="3"/>
      <c r="H1175" s="3"/>
      <c r="I1175" s="3"/>
      <c r="J1175" s="3"/>
      <c r="K1175" s="3"/>
      <c r="L1175" s="3" t="s">
        <v>564</v>
      </c>
      <c r="M1175" s="3">
        <v>70</v>
      </c>
      <c r="N1175" s="3" t="s">
        <v>104</v>
      </c>
      <c r="O1175" s="3"/>
      <c r="P1175" s="3"/>
      <c r="Q1175" s="3">
        <v>9.6000000000000002E-2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563</v>
      </c>
      <c r="C1176" s="3" t="s">
        <v>307</v>
      </c>
      <c r="D1176" s="3"/>
      <c r="E1176" s="3" t="s">
        <v>307</v>
      </c>
      <c r="F1176" s="3"/>
      <c r="G1176" s="3"/>
      <c r="H1176" s="3"/>
      <c r="I1176" s="3"/>
      <c r="J1176" s="3"/>
      <c r="K1176" s="3"/>
      <c r="L1176" s="3" t="s">
        <v>564</v>
      </c>
      <c r="M1176" s="3">
        <v>80</v>
      </c>
      <c r="N1176" s="3" t="s">
        <v>273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563</v>
      </c>
      <c r="C1177" s="3" t="s">
        <v>307</v>
      </c>
      <c r="D1177" s="3"/>
      <c r="E1177" s="3" t="s">
        <v>307</v>
      </c>
      <c r="F1177" s="3"/>
      <c r="G1177" s="3"/>
      <c r="H1177" s="3"/>
      <c r="I1177" s="3"/>
      <c r="J1177" s="3"/>
      <c r="K1177" s="3"/>
      <c r="L1177" s="3" t="s">
        <v>564</v>
      </c>
      <c r="M1177" s="3">
        <v>90</v>
      </c>
      <c r="N1177" s="3" t="s">
        <v>18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563</v>
      </c>
      <c r="C1178" s="3" t="s">
        <v>307</v>
      </c>
      <c r="D1178" s="3"/>
      <c r="E1178" s="3" t="s">
        <v>307</v>
      </c>
      <c r="F1178" s="3"/>
      <c r="G1178" s="3"/>
      <c r="H1178" s="3"/>
      <c r="I1178" s="3"/>
      <c r="J1178" s="3"/>
      <c r="K1178" s="3"/>
      <c r="L1178" s="3" t="s">
        <v>564</v>
      </c>
      <c r="M1178" s="3">
        <v>100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563</v>
      </c>
      <c r="C1179" s="3" t="s">
        <v>307</v>
      </c>
      <c r="D1179" s="3"/>
      <c r="E1179" s="3" t="s">
        <v>307</v>
      </c>
      <c r="F1179" s="3"/>
      <c r="G1179" s="3"/>
      <c r="H1179" s="3"/>
      <c r="I1179" s="3"/>
      <c r="J1179" s="3"/>
      <c r="K1179" s="3"/>
      <c r="L1179" s="3" t="s">
        <v>564</v>
      </c>
      <c r="M1179" s="3">
        <v>110</v>
      </c>
      <c r="N1179" s="3" t="s">
        <v>101</v>
      </c>
      <c r="O1179" s="3"/>
      <c r="P1179" s="3"/>
      <c r="Q1179" s="3">
        <v>0.35299999999999998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563</v>
      </c>
      <c r="C1180" s="3" t="s">
        <v>307</v>
      </c>
      <c r="D1180" s="3"/>
      <c r="E1180" s="3" t="s">
        <v>307</v>
      </c>
      <c r="F1180" s="3"/>
      <c r="G1180" s="3"/>
      <c r="H1180" s="3"/>
      <c r="I1180" s="3"/>
      <c r="J1180" s="3"/>
      <c r="K1180" s="3"/>
      <c r="L1180" s="3" t="s">
        <v>564</v>
      </c>
      <c r="M1180" s="3">
        <v>120</v>
      </c>
      <c r="N1180" s="3" t="s">
        <v>308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563</v>
      </c>
      <c r="C1181" s="3" t="s">
        <v>309</v>
      </c>
      <c r="D1181" s="3"/>
      <c r="E1181" s="3" t="s">
        <v>309</v>
      </c>
      <c r="F1181" s="3"/>
      <c r="G1181" s="3"/>
      <c r="H1181" s="3"/>
      <c r="I1181" s="3"/>
      <c r="J1181" s="3"/>
      <c r="K1181" s="3"/>
      <c r="L1181" s="3" t="s">
        <v>564</v>
      </c>
      <c r="M1181" s="3">
        <v>10</v>
      </c>
      <c r="N1181" s="3" t="s">
        <v>107</v>
      </c>
      <c r="O1181" s="3"/>
      <c r="P1181" s="3"/>
      <c r="Q1181" s="3">
        <v>1.1679999999999999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563</v>
      </c>
      <c r="C1182" s="3" t="s">
        <v>309</v>
      </c>
      <c r="D1182" s="3"/>
      <c r="E1182" s="3" t="s">
        <v>309</v>
      </c>
      <c r="F1182" s="3"/>
      <c r="G1182" s="3"/>
      <c r="H1182" s="3"/>
      <c r="I1182" s="3"/>
      <c r="J1182" s="3"/>
      <c r="K1182" s="3"/>
      <c r="L1182" s="3" t="s">
        <v>564</v>
      </c>
      <c r="M1182" s="3">
        <v>20</v>
      </c>
      <c r="N1182" s="3" t="s">
        <v>565</v>
      </c>
      <c r="O1182" s="3"/>
      <c r="P1182" s="3"/>
      <c r="Q1182" s="3">
        <v>1.1679999999999999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563</v>
      </c>
      <c r="C1183" s="3" t="s">
        <v>309</v>
      </c>
      <c r="D1183" s="3"/>
      <c r="E1183" s="3" t="s">
        <v>309</v>
      </c>
      <c r="F1183" s="3"/>
      <c r="G1183" s="3"/>
      <c r="H1183" s="3"/>
      <c r="I1183" s="3"/>
      <c r="J1183" s="3"/>
      <c r="K1183" s="3"/>
      <c r="L1183" s="3" t="s">
        <v>564</v>
      </c>
      <c r="M1183" s="3">
        <v>30</v>
      </c>
      <c r="N1183" s="3" t="s">
        <v>99</v>
      </c>
      <c r="O1183" s="3"/>
      <c r="P1183" s="3"/>
      <c r="Q1183" s="3">
        <v>0.35499999999999998</v>
      </c>
      <c r="R1183" s="3" t="s">
        <v>100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563</v>
      </c>
      <c r="C1184" s="3" t="s">
        <v>309</v>
      </c>
      <c r="D1184" s="3"/>
      <c r="E1184" s="3" t="s">
        <v>309</v>
      </c>
      <c r="F1184" s="3"/>
      <c r="G1184" s="3"/>
      <c r="H1184" s="3"/>
      <c r="I1184" s="3"/>
      <c r="J1184" s="3"/>
      <c r="K1184" s="3"/>
      <c r="L1184" s="3" t="s">
        <v>564</v>
      </c>
      <c r="M1184" s="3">
        <v>40</v>
      </c>
      <c r="N1184" s="3" t="s">
        <v>108</v>
      </c>
      <c r="O1184" s="3"/>
      <c r="P1184" s="3"/>
      <c r="Q1184" s="3">
        <v>12.903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563</v>
      </c>
      <c r="C1185" s="3" t="s">
        <v>309</v>
      </c>
      <c r="D1185" s="3"/>
      <c r="E1185" s="3" t="s">
        <v>309</v>
      </c>
      <c r="F1185" s="3"/>
      <c r="G1185" s="3"/>
      <c r="H1185" s="3"/>
      <c r="I1185" s="3"/>
      <c r="J1185" s="3"/>
      <c r="K1185" s="3"/>
      <c r="L1185" s="3" t="s">
        <v>564</v>
      </c>
      <c r="M1185" s="3">
        <v>50</v>
      </c>
      <c r="N1185" s="3" t="s">
        <v>105</v>
      </c>
      <c r="O1185" s="3"/>
      <c r="P1185" s="3"/>
      <c r="Q1185" s="3">
        <v>79.355000000000004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563</v>
      </c>
      <c r="C1186" s="3" t="s">
        <v>309</v>
      </c>
      <c r="D1186" s="3"/>
      <c r="E1186" s="3" t="s">
        <v>309</v>
      </c>
      <c r="F1186" s="3"/>
      <c r="G1186" s="3"/>
      <c r="H1186" s="3"/>
      <c r="I1186" s="3"/>
      <c r="J1186" s="3"/>
      <c r="K1186" s="3"/>
      <c r="L1186" s="3" t="s">
        <v>564</v>
      </c>
      <c r="M1186" s="3">
        <v>60</v>
      </c>
      <c r="N1186" s="3" t="s">
        <v>106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563</v>
      </c>
      <c r="C1187" s="3" t="s">
        <v>309</v>
      </c>
      <c r="D1187" s="3"/>
      <c r="E1187" s="3" t="s">
        <v>309</v>
      </c>
      <c r="F1187" s="3"/>
      <c r="G1187" s="3"/>
      <c r="H1187" s="3"/>
      <c r="I1187" s="3"/>
      <c r="J1187" s="3"/>
      <c r="K1187" s="3"/>
      <c r="L1187" s="3" t="s">
        <v>564</v>
      </c>
      <c r="M1187" s="3">
        <v>70</v>
      </c>
      <c r="N1187" s="3" t="s">
        <v>104</v>
      </c>
      <c r="O1187" s="3"/>
      <c r="P1187" s="3"/>
      <c r="Q1187" s="3">
        <v>0.107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563</v>
      </c>
      <c r="C1188" s="3" t="s">
        <v>309</v>
      </c>
      <c r="D1188" s="3"/>
      <c r="E1188" s="3" t="s">
        <v>309</v>
      </c>
      <c r="F1188" s="3"/>
      <c r="G1188" s="3"/>
      <c r="H1188" s="3"/>
      <c r="I1188" s="3"/>
      <c r="J1188" s="3"/>
      <c r="K1188" s="3"/>
      <c r="L1188" s="3" t="s">
        <v>564</v>
      </c>
      <c r="M1188" s="3">
        <v>80</v>
      </c>
      <c r="N1188" s="3" t="s">
        <v>273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563</v>
      </c>
      <c r="C1189" s="3" t="s">
        <v>309</v>
      </c>
      <c r="D1189" s="3"/>
      <c r="E1189" s="3" t="s">
        <v>309</v>
      </c>
      <c r="F1189" s="3"/>
      <c r="G1189" s="3"/>
      <c r="H1189" s="3"/>
      <c r="I1189" s="3"/>
      <c r="J1189" s="3"/>
      <c r="K1189" s="3"/>
      <c r="L1189" s="3" t="s">
        <v>564</v>
      </c>
      <c r="M1189" s="3">
        <v>90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563</v>
      </c>
      <c r="C1190" s="3" t="s">
        <v>309</v>
      </c>
      <c r="D1190" s="3"/>
      <c r="E1190" s="3" t="s">
        <v>309</v>
      </c>
      <c r="F1190" s="3"/>
      <c r="G1190" s="3"/>
      <c r="H1190" s="3"/>
      <c r="I1190" s="3"/>
      <c r="J1190" s="3"/>
      <c r="K1190" s="3"/>
      <c r="L1190" s="3" t="s">
        <v>564</v>
      </c>
      <c r="M1190" s="3">
        <v>100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563</v>
      </c>
      <c r="C1191" s="3" t="s">
        <v>309</v>
      </c>
      <c r="D1191" s="3"/>
      <c r="E1191" s="3" t="s">
        <v>309</v>
      </c>
      <c r="F1191" s="3"/>
      <c r="G1191" s="3"/>
      <c r="H1191" s="3"/>
      <c r="I1191" s="3"/>
      <c r="J1191" s="3"/>
      <c r="K1191" s="3"/>
      <c r="L1191" s="3" t="s">
        <v>564</v>
      </c>
      <c r="M1191" s="3">
        <v>110</v>
      </c>
      <c r="N1191" s="3" t="s">
        <v>101</v>
      </c>
      <c r="O1191" s="3"/>
      <c r="P1191" s="3"/>
      <c r="Q1191" s="3">
        <v>0.39800000000000002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563</v>
      </c>
      <c r="C1192" s="3" t="s">
        <v>309</v>
      </c>
      <c r="D1192" s="3"/>
      <c r="E1192" s="3" t="s">
        <v>309</v>
      </c>
      <c r="F1192" s="3"/>
      <c r="G1192" s="3"/>
      <c r="H1192" s="3"/>
      <c r="I1192" s="3"/>
      <c r="J1192" s="3"/>
      <c r="K1192" s="3"/>
      <c r="L1192" s="3" t="s">
        <v>564</v>
      </c>
      <c r="M1192" s="3">
        <v>120</v>
      </c>
      <c r="N1192" s="3" t="s">
        <v>310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563</v>
      </c>
      <c r="C1193" s="3" t="s">
        <v>311</v>
      </c>
      <c r="D1193" s="3"/>
      <c r="E1193" s="3" t="s">
        <v>311</v>
      </c>
      <c r="F1193" s="3"/>
      <c r="G1193" s="3"/>
      <c r="H1193" s="3"/>
      <c r="I1193" s="3"/>
      <c r="J1193" s="3"/>
      <c r="K1193" s="3"/>
      <c r="L1193" s="3" t="s">
        <v>564</v>
      </c>
      <c r="M1193" s="3">
        <v>10</v>
      </c>
      <c r="N1193" s="3" t="s">
        <v>107</v>
      </c>
      <c r="O1193" s="3"/>
      <c r="P1193" s="3"/>
      <c r="Q1193" s="3">
        <v>1.321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563</v>
      </c>
      <c r="C1194" s="3" t="s">
        <v>311</v>
      </c>
      <c r="D1194" s="3"/>
      <c r="E1194" s="3" t="s">
        <v>311</v>
      </c>
      <c r="F1194" s="3"/>
      <c r="G1194" s="3"/>
      <c r="H1194" s="3"/>
      <c r="I1194" s="3"/>
      <c r="J1194" s="3"/>
      <c r="K1194" s="3"/>
      <c r="L1194" s="3" t="s">
        <v>564</v>
      </c>
      <c r="M1194" s="3">
        <v>20</v>
      </c>
      <c r="N1194" s="3" t="s">
        <v>565</v>
      </c>
      <c r="O1194" s="3"/>
      <c r="P1194" s="3"/>
      <c r="Q1194" s="3">
        <v>1.321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563</v>
      </c>
      <c r="C1195" s="3" t="s">
        <v>311</v>
      </c>
      <c r="D1195" s="3"/>
      <c r="E1195" s="3" t="s">
        <v>311</v>
      </c>
      <c r="F1195" s="3"/>
      <c r="G1195" s="3"/>
      <c r="H1195" s="3"/>
      <c r="I1195" s="3"/>
      <c r="J1195" s="3"/>
      <c r="K1195" s="3"/>
      <c r="L1195" s="3" t="s">
        <v>564</v>
      </c>
      <c r="M1195" s="3">
        <v>30</v>
      </c>
      <c r="N1195" s="3" t="s">
        <v>99</v>
      </c>
      <c r="O1195" s="3"/>
      <c r="P1195" s="3"/>
      <c r="Q1195" s="3">
        <v>0.40300000000000002</v>
      </c>
      <c r="R1195" s="3" t="s">
        <v>100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563</v>
      </c>
      <c r="C1196" s="3" t="s">
        <v>311</v>
      </c>
      <c r="D1196" s="3"/>
      <c r="E1196" s="3" t="s">
        <v>311</v>
      </c>
      <c r="F1196" s="3"/>
      <c r="G1196" s="3"/>
      <c r="H1196" s="3"/>
      <c r="I1196" s="3"/>
      <c r="J1196" s="3"/>
      <c r="K1196" s="3"/>
      <c r="L1196" s="3" t="s">
        <v>564</v>
      </c>
      <c r="M1196" s="3">
        <v>40</v>
      </c>
      <c r="N1196" s="3" t="s">
        <v>108</v>
      </c>
      <c r="O1196" s="3"/>
      <c r="P1196" s="3"/>
      <c r="Q1196" s="3">
        <v>13.513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563</v>
      </c>
      <c r="C1197" s="3" t="s">
        <v>311</v>
      </c>
      <c r="D1197" s="3"/>
      <c r="E1197" s="3" t="s">
        <v>311</v>
      </c>
      <c r="F1197" s="3"/>
      <c r="G1197" s="3"/>
      <c r="H1197" s="3"/>
      <c r="I1197" s="3"/>
      <c r="J1197" s="3"/>
      <c r="K1197" s="3"/>
      <c r="L1197" s="3" t="s">
        <v>564</v>
      </c>
      <c r="M1197" s="3">
        <v>50</v>
      </c>
      <c r="N1197" s="3" t="s">
        <v>105</v>
      </c>
      <c r="O1197" s="3"/>
      <c r="P1197" s="3"/>
      <c r="Q1197" s="3">
        <v>83.103999999999999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563</v>
      </c>
      <c r="C1198" s="3" t="s">
        <v>311</v>
      </c>
      <c r="D1198" s="3"/>
      <c r="E1198" s="3" t="s">
        <v>311</v>
      </c>
      <c r="F1198" s="3"/>
      <c r="G1198" s="3"/>
      <c r="H1198" s="3"/>
      <c r="I1198" s="3"/>
      <c r="J1198" s="3"/>
      <c r="K1198" s="3"/>
      <c r="L1198" s="3" t="s">
        <v>564</v>
      </c>
      <c r="M1198" s="3">
        <v>60</v>
      </c>
      <c r="N1198" s="3" t="s">
        <v>106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563</v>
      </c>
      <c r="C1199" s="3" t="s">
        <v>311</v>
      </c>
      <c r="D1199" s="3"/>
      <c r="E1199" s="3" t="s">
        <v>311</v>
      </c>
      <c r="F1199" s="3"/>
      <c r="G1199" s="3"/>
      <c r="H1199" s="3"/>
      <c r="I1199" s="3"/>
      <c r="J1199" s="3"/>
      <c r="K1199" s="3"/>
      <c r="L1199" s="3" t="s">
        <v>564</v>
      </c>
      <c r="M1199" s="3">
        <v>70</v>
      </c>
      <c r="N1199" s="3" t="s">
        <v>104</v>
      </c>
      <c r="O1199" s="3"/>
      <c r="P1199" s="3"/>
      <c r="Q1199" s="3">
        <v>0.11799999999999999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563</v>
      </c>
      <c r="C1200" s="3" t="s">
        <v>311</v>
      </c>
      <c r="D1200" s="3"/>
      <c r="E1200" s="3" t="s">
        <v>311</v>
      </c>
      <c r="F1200" s="3"/>
      <c r="G1200" s="3"/>
      <c r="H1200" s="3"/>
      <c r="I1200" s="3"/>
      <c r="J1200" s="3"/>
      <c r="K1200" s="3"/>
      <c r="L1200" s="3" t="s">
        <v>564</v>
      </c>
      <c r="M1200" s="3">
        <v>80</v>
      </c>
      <c r="N1200" s="3" t="s">
        <v>273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563</v>
      </c>
      <c r="C1201" s="3" t="s">
        <v>311</v>
      </c>
      <c r="D1201" s="3"/>
      <c r="E1201" s="3" t="s">
        <v>311</v>
      </c>
      <c r="F1201" s="3"/>
      <c r="G1201" s="3"/>
      <c r="H1201" s="3"/>
      <c r="I1201" s="3"/>
      <c r="J1201" s="3"/>
      <c r="K1201" s="3"/>
      <c r="L1201" s="3" t="s">
        <v>564</v>
      </c>
      <c r="M1201" s="3">
        <v>90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563</v>
      </c>
      <c r="C1202" s="3" t="s">
        <v>311</v>
      </c>
      <c r="D1202" s="3"/>
      <c r="E1202" s="3" t="s">
        <v>311</v>
      </c>
      <c r="F1202" s="3"/>
      <c r="G1202" s="3"/>
      <c r="H1202" s="3"/>
      <c r="I1202" s="3"/>
      <c r="J1202" s="3"/>
      <c r="K1202" s="3"/>
      <c r="L1202" s="3" t="s">
        <v>564</v>
      </c>
      <c r="M1202" s="3">
        <v>100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563</v>
      </c>
      <c r="C1203" s="3" t="s">
        <v>311</v>
      </c>
      <c r="D1203" s="3"/>
      <c r="E1203" s="3" t="s">
        <v>311</v>
      </c>
      <c r="F1203" s="3"/>
      <c r="G1203" s="3"/>
      <c r="H1203" s="3"/>
      <c r="I1203" s="3"/>
      <c r="J1203" s="3"/>
      <c r="K1203" s="3"/>
      <c r="L1203" s="3" t="s">
        <v>564</v>
      </c>
      <c r="M1203" s="3">
        <v>110</v>
      </c>
      <c r="N1203" s="3" t="s">
        <v>101</v>
      </c>
      <c r="O1203" s="3"/>
      <c r="P1203" s="3"/>
      <c r="Q1203" s="3">
        <v>0.443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563</v>
      </c>
      <c r="C1204" s="3" t="s">
        <v>311</v>
      </c>
      <c r="D1204" s="3"/>
      <c r="E1204" s="3" t="s">
        <v>311</v>
      </c>
      <c r="F1204" s="3"/>
      <c r="G1204" s="3"/>
      <c r="H1204" s="3"/>
      <c r="I1204" s="3"/>
      <c r="J1204" s="3"/>
      <c r="K1204" s="3"/>
      <c r="L1204" s="3" t="s">
        <v>564</v>
      </c>
      <c r="M1204" s="3">
        <v>120</v>
      </c>
      <c r="N1204" s="3" t="s">
        <v>312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563</v>
      </c>
      <c r="C1205" s="3" t="s">
        <v>313</v>
      </c>
      <c r="D1205" s="3"/>
      <c r="E1205" s="3" t="s">
        <v>313</v>
      </c>
      <c r="F1205" s="3"/>
      <c r="G1205" s="3"/>
      <c r="H1205" s="3"/>
      <c r="I1205" s="3"/>
      <c r="J1205" s="3"/>
      <c r="K1205" s="3"/>
      <c r="L1205" s="3" t="s">
        <v>564</v>
      </c>
      <c r="M1205" s="3">
        <v>10</v>
      </c>
      <c r="N1205" s="3" t="s">
        <v>107</v>
      </c>
      <c r="O1205" s="3"/>
      <c r="P1205" s="3"/>
      <c r="Q1205" s="3">
        <v>1.397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563</v>
      </c>
      <c r="C1206" s="3" t="s">
        <v>313</v>
      </c>
      <c r="D1206" s="3"/>
      <c r="E1206" s="3" t="s">
        <v>313</v>
      </c>
      <c r="F1206" s="3"/>
      <c r="G1206" s="3"/>
      <c r="H1206" s="3"/>
      <c r="I1206" s="3"/>
      <c r="J1206" s="3"/>
      <c r="K1206" s="3"/>
      <c r="L1206" s="3" t="s">
        <v>564</v>
      </c>
      <c r="M1206" s="3">
        <v>20</v>
      </c>
      <c r="N1206" s="3" t="s">
        <v>565</v>
      </c>
      <c r="O1206" s="3"/>
      <c r="P1206" s="3"/>
      <c r="Q1206" s="3">
        <v>1.397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563</v>
      </c>
      <c r="C1207" s="3" t="s">
        <v>313</v>
      </c>
      <c r="D1207" s="3"/>
      <c r="E1207" s="3" t="s">
        <v>313</v>
      </c>
      <c r="F1207" s="3"/>
      <c r="G1207" s="3"/>
      <c r="H1207" s="3"/>
      <c r="I1207" s="3"/>
      <c r="J1207" s="3"/>
      <c r="K1207" s="3"/>
      <c r="L1207" s="3" t="s">
        <v>564</v>
      </c>
      <c r="M1207" s="3">
        <v>30</v>
      </c>
      <c r="N1207" s="3" t="s">
        <v>99</v>
      </c>
      <c r="O1207" s="3"/>
      <c r="P1207" s="3"/>
      <c r="Q1207" s="3">
        <v>0.42599999999999999</v>
      </c>
      <c r="R1207" s="3" t="s">
        <v>100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563</v>
      </c>
      <c r="C1208" s="3" t="s">
        <v>313</v>
      </c>
      <c r="D1208" s="3"/>
      <c r="E1208" s="3" t="s">
        <v>313</v>
      </c>
      <c r="F1208" s="3"/>
      <c r="G1208" s="3"/>
      <c r="H1208" s="3"/>
      <c r="I1208" s="3"/>
      <c r="J1208" s="3"/>
      <c r="K1208" s="3"/>
      <c r="L1208" s="3" t="s">
        <v>564</v>
      </c>
      <c r="M1208" s="3">
        <v>40</v>
      </c>
      <c r="N1208" s="3" t="s">
        <v>108</v>
      </c>
      <c r="O1208" s="3"/>
      <c r="P1208" s="3"/>
      <c r="Q1208" s="3">
        <v>13.818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563</v>
      </c>
      <c r="C1209" s="3" t="s">
        <v>313</v>
      </c>
      <c r="D1209" s="3"/>
      <c r="E1209" s="3" t="s">
        <v>313</v>
      </c>
      <c r="F1209" s="3"/>
      <c r="G1209" s="3"/>
      <c r="H1209" s="3"/>
      <c r="I1209" s="3"/>
      <c r="J1209" s="3"/>
      <c r="K1209" s="3"/>
      <c r="L1209" s="3" t="s">
        <v>564</v>
      </c>
      <c r="M1209" s="3">
        <v>50</v>
      </c>
      <c r="N1209" s="3" t="s">
        <v>105</v>
      </c>
      <c r="O1209" s="3"/>
      <c r="P1209" s="3"/>
      <c r="Q1209" s="3">
        <v>84.977999999999994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563</v>
      </c>
      <c r="C1210" s="3" t="s">
        <v>313</v>
      </c>
      <c r="D1210" s="3"/>
      <c r="E1210" s="3" t="s">
        <v>313</v>
      </c>
      <c r="F1210" s="3"/>
      <c r="G1210" s="3"/>
      <c r="H1210" s="3"/>
      <c r="I1210" s="3"/>
      <c r="J1210" s="3"/>
      <c r="K1210" s="3"/>
      <c r="L1210" s="3" t="s">
        <v>564</v>
      </c>
      <c r="M1210" s="3">
        <v>60</v>
      </c>
      <c r="N1210" s="3" t="s">
        <v>106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563</v>
      </c>
      <c r="C1211" s="3" t="s">
        <v>313</v>
      </c>
      <c r="D1211" s="3"/>
      <c r="E1211" s="3" t="s">
        <v>313</v>
      </c>
      <c r="F1211" s="3"/>
      <c r="G1211" s="3"/>
      <c r="H1211" s="3"/>
      <c r="I1211" s="3"/>
      <c r="J1211" s="3"/>
      <c r="K1211" s="3"/>
      <c r="L1211" s="3" t="s">
        <v>564</v>
      </c>
      <c r="M1211" s="3">
        <v>70</v>
      </c>
      <c r="N1211" s="3" t="s">
        <v>104</v>
      </c>
      <c r="O1211" s="3"/>
      <c r="P1211" s="3"/>
      <c r="Q1211" s="3">
        <v>0.124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563</v>
      </c>
      <c r="C1212" s="3" t="s">
        <v>313</v>
      </c>
      <c r="D1212" s="3"/>
      <c r="E1212" s="3" t="s">
        <v>313</v>
      </c>
      <c r="F1212" s="3"/>
      <c r="G1212" s="3"/>
      <c r="H1212" s="3"/>
      <c r="I1212" s="3"/>
      <c r="J1212" s="3"/>
      <c r="K1212" s="3"/>
      <c r="L1212" s="3" t="s">
        <v>564</v>
      </c>
      <c r="M1212" s="3">
        <v>80</v>
      </c>
      <c r="N1212" s="3" t="s">
        <v>273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563</v>
      </c>
      <c r="C1213" s="3" t="s">
        <v>313</v>
      </c>
      <c r="D1213" s="3"/>
      <c r="E1213" s="3" t="s">
        <v>313</v>
      </c>
      <c r="F1213" s="3"/>
      <c r="G1213" s="3"/>
      <c r="H1213" s="3"/>
      <c r="I1213" s="3"/>
      <c r="J1213" s="3"/>
      <c r="K1213" s="3"/>
      <c r="L1213" s="3" t="s">
        <v>564</v>
      </c>
      <c r="M1213" s="3">
        <v>90</v>
      </c>
      <c r="N1213" s="3" t="s">
        <v>18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563</v>
      </c>
      <c r="C1214" s="3" t="s">
        <v>313</v>
      </c>
      <c r="D1214" s="3"/>
      <c r="E1214" s="3" t="s">
        <v>313</v>
      </c>
      <c r="F1214" s="3"/>
      <c r="G1214" s="3"/>
      <c r="H1214" s="3"/>
      <c r="I1214" s="3"/>
      <c r="J1214" s="3"/>
      <c r="K1214" s="3"/>
      <c r="L1214" s="3" t="s">
        <v>564</v>
      </c>
      <c r="M1214" s="3">
        <v>100</v>
      </c>
      <c r="N1214" s="3" t="s">
        <v>19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563</v>
      </c>
      <c r="C1215" s="3" t="s">
        <v>313</v>
      </c>
      <c r="D1215" s="3"/>
      <c r="E1215" s="3" t="s">
        <v>313</v>
      </c>
      <c r="F1215" s="3"/>
      <c r="G1215" s="3"/>
      <c r="H1215" s="3"/>
      <c r="I1215" s="3"/>
      <c r="J1215" s="3"/>
      <c r="K1215" s="3"/>
      <c r="L1215" s="3" t="s">
        <v>564</v>
      </c>
      <c r="M1215" s="3">
        <v>110</v>
      </c>
      <c r="N1215" s="3" t="s">
        <v>101</v>
      </c>
      <c r="O1215" s="3"/>
      <c r="P1215" s="3"/>
      <c r="Q1215" s="3">
        <v>0.46500000000000002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563</v>
      </c>
      <c r="C1216" s="3" t="s">
        <v>313</v>
      </c>
      <c r="D1216" s="3"/>
      <c r="E1216" s="3" t="s">
        <v>313</v>
      </c>
      <c r="F1216" s="3"/>
      <c r="G1216" s="3"/>
      <c r="H1216" s="3"/>
      <c r="I1216" s="3"/>
      <c r="J1216" s="3"/>
      <c r="K1216" s="3"/>
      <c r="L1216" s="3" t="s">
        <v>564</v>
      </c>
      <c r="M1216" s="3">
        <v>120</v>
      </c>
      <c r="N1216" s="3" t="s">
        <v>314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563</v>
      </c>
      <c r="C1217" s="3" t="s">
        <v>315</v>
      </c>
      <c r="D1217" s="3"/>
      <c r="E1217" s="3" t="s">
        <v>315</v>
      </c>
      <c r="F1217" s="3"/>
      <c r="G1217" s="3"/>
      <c r="H1217" s="3"/>
      <c r="I1217" s="3"/>
      <c r="J1217" s="3"/>
      <c r="K1217" s="3"/>
      <c r="L1217" s="3" t="s">
        <v>564</v>
      </c>
      <c r="M1217" s="3">
        <v>10</v>
      </c>
      <c r="N1217" s="3" t="s">
        <v>107</v>
      </c>
      <c r="O1217" s="3"/>
      <c r="P1217" s="3"/>
      <c r="Q1217" s="3">
        <v>1.4730000000000001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563</v>
      </c>
      <c r="C1218" s="3" t="s">
        <v>315</v>
      </c>
      <c r="D1218" s="3"/>
      <c r="E1218" s="3" t="s">
        <v>315</v>
      </c>
      <c r="F1218" s="3"/>
      <c r="G1218" s="3"/>
      <c r="H1218" s="3"/>
      <c r="I1218" s="3"/>
      <c r="J1218" s="3"/>
      <c r="K1218" s="3"/>
      <c r="L1218" s="3" t="s">
        <v>564</v>
      </c>
      <c r="M1218" s="3">
        <v>20</v>
      </c>
      <c r="N1218" s="3" t="s">
        <v>565</v>
      </c>
      <c r="O1218" s="3"/>
      <c r="P1218" s="3"/>
      <c r="Q1218" s="3">
        <v>1.4730000000000001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563</v>
      </c>
      <c r="C1219" s="3" t="s">
        <v>315</v>
      </c>
      <c r="D1219" s="3"/>
      <c r="E1219" s="3" t="s">
        <v>315</v>
      </c>
      <c r="F1219" s="3"/>
      <c r="G1219" s="3"/>
      <c r="H1219" s="3"/>
      <c r="I1219" s="3"/>
      <c r="J1219" s="3"/>
      <c r="K1219" s="3"/>
      <c r="L1219" s="3" t="s">
        <v>564</v>
      </c>
      <c r="M1219" s="3">
        <v>30</v>
      </c>
      <c r="N1219" s="3" t="s">
        <v>99</v>
      </c>
      <c r="O1219" s="3"/>
      <c r="P1219" s="3"/>
      <c r="Q1219" s="3">
        <v>0.45</v>
      </c>
      <c r="R1219" s="3" t="s">
        <v>100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563</v>
      </c>
      <c r="C1220" s="3" t="s">
        <v>315</v>
      </c>
      <c r="D1220" s="3"/>
      <c r="E1220" s="3" t="s">
        <v>315</v>
      </c>
      <c r="F1220" s="3"/>
      <c r="G1220" s="3"/>
      <c r="H1220" s="3"/>
      <c r="I1220" s="3"/>
      <c r="J1220" s="3"/>
      <c r="K1220" s="3"/>
      <c r="L1220" s="3" t="s">
        <v>564</v>
      </c>
      <c r="M1220" s="3">
        <v>40</v>
      </c>
      <c r="N1220" s="3" t="s">
        <v>108</v>
      </c>
      <c r="O1220" s="3"/>
      <c r="P1220" s="3"/>
      <c r="Q1220" s="3">
        <v>14.122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563</v>
      </c>
      <c r="C1221" s="3" t="s">
        <v>315</v>
      </c>
      <c r="D1221" s="3"/>
      <c r="E1221" s="3" t="s">
        <v>315</v>
      </c>
      <c r="F1221" s="3"/>
      <c r="G1221" s="3"/>
      <c r="H1221" s="3"/>
      <c r="I1221" s="3"/>
      <c r="J1221" s="3"/>
      <c r="K1221" s="3"/>
      <c r="L1221" s="3" t="s">
        <v>564</v>
      </c>
      <c r="M1221" s="3">
        <v>50</v>
      </c>
      <c r="N1221" s="3" t="s">
        <v>105</v>
      </c>
      <c r="O1221" s="3"/>
      <c r="P1221" s="3"/>
      <c r="Q1221" s="3">
        <v>86.852999999999994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563</v>
      </c>
      <c r="C1222" s="3" t="s">
        <v>315</v>
      </c>
      <c r="D1222" s="3"/>
      <c r="E1222" s="3" t="s">
        <v>315</v>
      </c>
      <c r="F1222" s="3"/>
      <c r="G1222" s="3"/>
      <c r="H1222" s="3"/>
      <c r="I1222" s="3"/>
      <c r="J1222" s="3"/>
      <c r="K1222" s="3"/>
      <c r="L1222" s="3" t="s">
        <v>564</v>
      </c>
      <c r="M1222" s="3">
        <v>60</v>
      </c>
      <c r="N1222" s="3" t="s">
        <v>106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563</v>
      </c>
      <c r="C1223" s="3" t="s">
        <v>315</v>
      </c>
      <c r="D1223" s="3"/>
      <c r="E1223" s="3" t="s">
        <v>315</v>
      </c>
      <c r="F1223" s="3"/>
      <c r="G1223" s="3"/>
      <c r="H1223" s="3"/>
      <c r="I1223" s="3"/>
      <c r="J1223" s="3"/>
      <c r="K1223" s="3"/>
      <c r="L1223" s="3" t="s">
        <v>564</v>
      </c>
      <c r="M1223" s="3">
        <v>70</v>
      </c>
      <c r="N1223" s="3" t="s">
        <v>104</v>
      </c>
      <c r="O1223" s="3"/>
      <c r="P1223" s="3"/>
      <c r="Q1223" s="3">
        <v>0.13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563</v>
      </c>
      <c r="C1224" s="3" t="s">
        <v>315</v>
      </c>
      <c r="D1224" s="3"/>
      <c r="E1224" s="3" t="s">
        <v>315</v>
      </c>
      <c r="F1224" s="3"/>
      <c r="G1224" s="3"/>
      <c r="H1224" s="3"/>
      <c r="I1224" s="3"/>
      <c r="J1224" s="3"/>
      <c r="K1224" s="3"/>
      <c r="L1224" s="3" t="s">
        <v>564</v>
      </c>
      <c r="M1224" s="3">
        <v>80</v>
      </c>
      <c r="N1224" s="3" t="s">
        <v>273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563</v>
      </c>
      <c r="C1225" s="3" t="s">
        <v>315</v>
      </c>
      <c r="D1225" s="3"/>
      <c r="E1225" s="3" t="s">
        <v>315</v>
      </c>
      <c r="F1225" s="3"/>
      <c r="G1225" s="3"/>
      <c r="H1225" s="3"/>
      <c r="I1225" s="3"/>
      <c r="J1225" s="3"/>
      <c r="K1225" s="3"/>
      <c r="L1225" s="3" t="s">
        <v>564</v>
      </c>
      <c r="M1225" s="3">
        <v>90</v>
      </c>
      <c r="N1225" s="3" t="s">
        <v>18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563</v>
      </c>
      <c r="C1226" s="3" t="s">
        <v>315</v>
      </c>
      <c r="D1226" s="3"/>
      <c r="E1226" s="3" t="s">
        <v>315</v>
      </c>
      <c r="F1226" s="3"/>
      <c r="G1226" s="3"/>
      <c r="H1226" s="3"/>
      <c r="I1226" s="3"/>
      <c r="J1226" s="3"/>
      <c r="K1226" s="3"/>
      <c r="L1226" s="3" t="s">
        <v>564</v>
      </c>
      <c r="M1226" s="3">
        <v>100</v>
      </c>
      <c r="N1226" s="3" t="s">
        <v>19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563</v>
      </c>
      <c r="C1227" s="3" t="s">
        <v>315</v>
      </c>
      <c r="D1227" s="3"/>
      <c r="E1227" s="3" t="s">
        <v>315</v>
      </c>
      <c r="F1227" s="3"/>
      <c r="G1227" s="3"/>
      <c r="H1227" s="3"/>
      <c r="I1227" s="3"/>
      <c r="J1227" s="3"/>
      <c r="K1227" s="3"/>
      <c r="L1227" s="3" t="s">
        <v>564</v>
      </c>
      <c r="M1227" s="3">
        <v>110</v>
      </c>
      <c r="N1227" s="3" t="s">
        <v>101</v>
      </c>
      <c r="O1227" s="3"/>
      <c r="P1227" s="3"/>
      <c r="Q1227" s="3">
        <v>0.48799999999999999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563</v>
      </c>
      <c r="C1228" s="3" t="s">
        <v>315</v>
      </c>
      <c r="D1228" s="3"/>
      <c r="E1228" s="3" t="s">
        <v>315</v>
      </c>
      <c r="F1228" s="3"/>
      <c r="G1228" s="3"/>
      <c r="H1228" s="3"/>
      <c r="I1228" s="3"/>
      <c r="J1228" s="3"/>
      <c r="K1228" s="3"/>
      <c r="L1228" s="3" t="s">
        <v>564</v>
      </c>
      <c r="M1228" s="3">
        <v>120</v>
      </c>
      <c r="N1228" s="3" t="s">
        <v>316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563</v>
      </c>
      <c r="C1229" s="3" t="s">
        <v>317</v>
      </c>
      <c r="D1229" s="3"/>
      <c r="E1229" s="3" t="s">
        <v>317</v>
      </c>
      <c r="F1229" s="3"/>
      <c r="G1229" s="3"/>
      <c r="H1229" s="3"/>
      <c r="I1229" s="3"/>
      <c r="J1229" s="3"/>
      <c r="K1229" s="3"/>
      <c r="L1229" s="3" t="s">
        <v>564</v>
      </c>
      <c r="M1229" s="3">
        <v>10</v>
      </c>
      <c r="N1229" s="3" t="s">
        <v>107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563</v>
      </c>
      <c r="C1230" s="3" t="s">
        <v>317</v>
      </c>
      <c r="D1230" s="3"/>
      <c r="E1230" s="3" t="s">
        <v>317</v>
      </c>
      <c r="F1230" s="3"/>
      <c r="G1230" s="3"/>
      <c r="H1230" s="3"/>
      <c r="I1230" s="3"/>
      <c r="J1230" s="3"/>
      <c r="K1230" s="3"/>
      <c r="L1230" s="3" t="s">
        <v>564</v>
      </c>
      <c r="M1230" s="3">
        <v>20</v>
      </c>
      <c r="N1230" s="3" t="s">
        <v>565</v>
      </c>
      <c r="O1230" s="3"/>
      <c r="P1230" s="3"/>
      <c r="Q1230" s="3">
        <v>1.6259999999999999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563</v>
      </c>
      <c r="C1231" s="3" t="s">
        <v>317</v>
      </c>
      <c r="D1231" s="3"/>
      <c r="E1231" s="3" t="s">
        <v>317</v>
      </c>
      <c r="F1231" s="3"/>
      <c r="G1231" s="3"/>
      <c r="H1231" s="3"/>
      <c r="I1231" s="3"/>
      <c r="J1231" s="3"/>
      <c r="K1231" s="3"/>
      <c r="L1231" s="3" t="s">
        <v>564</v>
      </c>
      <c r="M1231" s="3">
        <v>30</v>
      </c>
      <c r="N1231" s="3" t="s">
        <v>99</v>
      </c>
      <c r="O1231" s="3"/>
      <c r="P1231" s="3"/>
      <c r="Q1231" s="3">
        <v>0.498</v>
      </c>
      <c r="R1231" s="3" t="s">
        <v>100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563</v>
      </c>
      <c r="C1232" s="3" t="s">
        <v>317</v>
      </c>
      <c r="D1232" s="3"/>
      <c r="E1232" s="3" t="s">
        <v>317</v>
      </c>
      <c r="F1232" s="3"/>
      <c r="G1232" s="3"/>
      <c r="H1232" s="3"/>
      <c r="I1232" s="3"/>
      <c r="J1232" s="3"/>
      <c r="K1232" s="3"/>
      <c r="L1232" s="3" t="s">
        <v>564</v>
      </c>
      <c r="M1232" s="3">
        <v>40</v>
      </c>
      <c r="N1232" s="3" t="s">
        <v>108</v>
      </c>
      <c r="O1232" s="3"/>
      <c r="P1232" s="3"/>
      <c r="Q1232" s="3">
        <v>14.731999999999999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563</v>
      </c>
      <c r="C1233" s="3" t="s">
        <v>317</v>
      </c>
      <c r="D1233" s="3"/>
      <c r="E1233" s="3" t="s">
        <v>317</v>
      </c>
      <c r="F1233" s="3"/>
      <c r="G1233" s="3"/>
      <c r="H1233" s="3"/>
      <c r="I1233" s="3"/>
      <c r="J1233" s="3"/>
      <c r="K1233" s="3"/>
      <c r="L1233" s="3" t="s">
        <v>564</v>
      </c>
      <c r="M1233" s="3">
        <v>50</v>
      </c>
      <c r="N1233" s="3" t="s">
        <v>105</v>
      </c>
      <c r="O1233" s="3"/>
      <c r="P1233" s="3"/>
      <c r="Q1233" s="3">
        <v>90.602000000000004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563</v>
      </c>
      <c r="C1234" s="3" t="s">
        <v>317</v>
      </c>
      <c r="D1234" s="3"/>
      <c r="E1234" s="3" t="s">
        <v>317</v>
      </c>
      <c r="F1234" s="3"/>
      <c r="G1234" s="3"/>
      <c r="H1234" s="3"/>
      <c r="I1234" s="3"/>
      <c r="J1234" s="3"/>
      <c r="K1234" s="3"/>
      <c r="L1234" s="3" t="s">
        <v>564</v>
      </c>
      <c r="M1234" s="3">
        <v>60</v>
      </c>
      <c r="N1234" s="3" t="s">
        <v>106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563</v>
      </c>
      <c r="C1235" s="3" t="s">
        <v>317</v>
      </c>
      <c r="D1235" s="3"/>
      <c r="E1235" s="3" t="s">
        <v>317</v>
      </c>
      <c r="F1235" s="3"/>
      <c r="G1235" s="3"/>
      <c r="H1235" s="3"/>
      <c r="I1235" s="3"/>
      <c r="J1235" s="3"/>
      <c r="K1235" s="3"/>
      <c r="L1235" s="3" t="s">
        <v>564</v>
      </c>
      <c r="M1235" s="3">
        <v>70</v>
      </c>
      <c r="N1235" s="3" t="s">
        <v>104</v>
      </c>
      <c r="O1235" s="3"/>
      <c r="P1235" s="3"/>
      <c r="Q1235" s="3">
        <v>0.14099999999999999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563</v>
      </c>
      <c r="C1236" s="3" t="s">
        <v>317</v>
      </c>
      <c r="D1236" s="3"/>
      <c r="E1236" s="3" t="s">
        <v>317</v>
      </c>
      <c r="F1236" s="3"/>
      <c r="G1236" s="3"/>
      <c r="H1236" s="3"/>
      <c r="I1236" s="3"/>
      <c r="J1236" s="3"/>
      <c r="K1236" s="3"/>
      <c r="L1236" s="3" t="s">
        <v>564</v>
      </c>
      <c r="M1236" s="3">
        <v>80</v>
      </c>
      <c r="N1236" s="3" t="s">
        <v>273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563</v>
      </c>
      <c r="C1237" s="3" t="s">
        <v>317</v>
      </c>
      <c r="D1237" s="3"/>
      <c r="E1237" s="3" t="s">
        <v>317</v>
      </c>
      <c r="F1237" s="3"/>
      <c r="G1237" s="3"/>
      <c r="H1237" s="3"/>
      <c r="I1237" s="3"/>
      <c r="J1237" s="3"/>
      <c r="K1237" s="3"/>
      <c r="L1237" s="3" t="s">
        <v>564</v>
      </c>
      <c r="M1237" s="3">
        <v>90</v>
      </c>
      <c r="N1237" s="3" t="s">
        <v>18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563</v>
      </c>
      <c r="C1238" s="3" t="s">
        <v>317</v>
      </c>
      <c r="D1238" s="3"/>
      <c r="E1238" s="3" t="s">
        <v>317</v>
      </c>
      <c r="F1238" s="3"/>
      <c r="G1238" s="3"/>
      <c r="H1238" s="3"/>
      <c r="I1238" s="3"/>
      <c r="J1238" s="3"/>
      <c r="K1238" s="3"/>
      <c r="L1238" s="3" t="s">
        <v>564</v>
      </c>
      <c r="M1238" s="3">
        <v>100</v>
      </c>
      <c r="N1238" s="3" t="s">
        <v>19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563</v>
      </c>
      <c r="C1239" s="3" t="s">
        <v>317</v>
      </c>
      <c r="D1239" s="3"/>
      <c r="E1239" s="3" t="s">
        <v>317</v>
      </c>
      <c r="F1239" s="3"/>
      <c r="G1239" s="3"/>
      <c r="H1239" s="3"/>
      <c r="I1239" s="3"/>
      <c r="J1239" s="3"/>
      <c r="K1239" s="3"/>
      <c r="L1239" s="3" t="s">
        <v>564</v>
      </c>
      <c r="M1239" s="3">
        <v>110</v>
      </c>
      <c r="N1239" s="3" t="s">
        <v>101</v>
      </c>
      <c r="O1239" s="3"/>
      <c r="P1239" s="3"/>
      <c r="Q1239" s="3">
        <v>0.53300000000000003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563</v>
      </c>
      <c r="C1240" s="3" t="s">
        <v>317</v>
      </c>
      <c r="D1240" s="3"/>
      <c r="E1240" s="3" t="s">
        <v>317</v>
      </c>
      <c r="F1240" s="3"/>
      <c r="G1240" s="3"/>
      <c r="H1240" s="3"/>
      <c r="I1240" s="3"/>
      <c r="J1240" s="3"/>
      <c r="K1240" s="3"/>
      <c r="L1240" s="3" t="s">
        <v>564</v>
      </c>
      <c r="M1240" s="3">
        <v>120</v>
      </c>
      <c r="N1240" s="3" t="s">
        <v>318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563</v>
      </c>
      <c r="C1241" s="3" t="s">
        <v>319</v>
      </c>
      <c r="D1241" s="3"/>
      <c r="E1241" s="3" t="s">
        <v>319</v>
      </c>
      <c r="F1241" s="3"/>
      <c r="G1241" s="3"/>
      <c r="H1241" s="3"/>
      <c r="I1241" s="3"/>
      <c r="J1241" s="3"/>
      <c r="K1241" s="3"/>
      <c r="L1241" s="3" t="s">
        <v>564</v>
      </c>
      <c r="M1241" s="3">
        <v>10</v>
      </c>
      <c r="N1241" s="3" t="s">
        <v>107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563</v>
      </c>
      <c r="C1242" s="3" t="s">
        <v>319</v>
      </c>
      <c r="D1242" s="3"/>
      <c r="E1242" s="3" t="s">
        <v>319</v>
      </c>
      <c r="F1242" s="3"/>
      <c r="G1242" s="3"/>
      <c r="H1242" s="3"/>
      <c r="I1242" s="3"/>
      <c r="J1242" s="3"/>
      <c r="K1242" s="3"/>
      <c r="L1242" s="3" t="s">
        <v>564</v>
      </c>
      <c r="M1242" s="3">
        <v>20</v>
      </c>
      <c r="N1242" s="3" t="s">
        <v>565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563</v>
      </c>
      <c r="C1243" s="3" t="s">
        <v>319</v>
      </c>
      <c r="D1243" s="3"/>
      <c r="E1243" s="3" t="s">
        <v>319</v>
      </c>
      <c r="F1243" s="3"/>
      <c r="G1243" s="3"/>
      <c r="H1243" s="3"/>
      <c r="I1243" s="3"/>
      <c r="J1243" s="3"/>
      <c r="K1243" s="3"/>
      <c r="L1243" s="3" t="s">
        <v>564</v>
      </c>
      <c r="M1243" s="3">
        <v>30</v>
      </c>
      <c r="N1243" s="3" t="s">
        <v>99</v>
      </c>
      <c r="O1243" s="3"/>
      <c r="P1243" s="3"/>
      <c r="Q1243" s="3">
        <v>0.54500000000000004</v>
      </c>
      <c r="R1243" s="3" t="s">
        <v>100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563</v>
      </c>
      <c r="C1244" s="3" t="s">
        <v>319</v>
      </c>
      <c r="D1244" s="3"/>
      <c r="E1244" s="3" t="s">
        <v>319</v>
      </c>
      <c r="F1244" s="3"/>
      <c r="G1244" s="3"/>
      <c r="H1244" s="3"/>
      <c r="I1244" s="3"/>
      <c r="J1244" s="3"/>
      <c r="K1244" s="3"/>
      <c r="L1244" s="3" t="s">
        <v>564</v>
      </c>
      <c r="M1244" s="3">
        <v>40</v>
      </c>
      <c r="N1244" s="3" t="s">
        <v>108</v>
      </c>
      <c r="O1244" s="3"/>
      <c r="P1244" s="3"/>
      <c r="Q1244" s="3">
        <v>15.342000000000001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563</v>
      </c>
      <c r="C1245" s="3" t="s">
        <v>319</v>
      </c>
      <c r="D1245" s="3"/>
      <c r="E1245" s="3" t="s">
        <v>319</v>
      </c>
      <c r="F1245" s="3"/>
      <c r="G1245" s="3"/>
      <c r="H1245" s="3"/>
      <c r="I1245" s="3"/>
      <c r="J1245" s="3"/>
      <c r="K1245" s="3"/>
      <c r="L1245" s="3" t="s">
        <v>564</v>
      </c>
      <c r="M1245" s="3">
        <v>50</v>
      </c>
      <c r="N1245" s="3" t="s">
        <v>105</v>
      </c>
      <c r="O1245" s="3"/>
      <c r="P1245" s="3"/>
      <c r="Q1245" s="3">
        <v>94.350999999999999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563</v>
      </c>
      <c r="C1246" s="3" t="s">
        <v>319</v>
      </c>
      <c r="D1246" s="3"/>
      <c r="E1246" s="3" t="s">
        <v>319</v>
      </c>
      <c r="F1246" s="3"/>
      <c r="G1246" s="3"/>
      <c r="H1246" s="3"/>
      <c r="I1246" s="3"/>
      <c r="J1246" s="3"/>
      <c r="K1246" s="3"/>
      <c r="L1246" s="3" t="s">
        <v>564</v>
      </c>
      <c r="M1246" s="3">
        <v>60</v>
      </c>
      <c r="N1246" s="3" t="s">
        <v>106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563</v>
      </c>
      <c r="C1247" s="3" t="s">
        <v>319</v>
      </c>
      <c r="D1247" s="3"/>
      <c r="E1247" s="3" t="s">
        <v>319</v>
      </c>
      <c r="F1247" s="3"/>
      <c r="G1247" s="3"/>
      <c r="H1247" s="3"/>
      <c r="I1247" s="3"/>
      <c r="J1247" s="3"/>
      <c r="K1247" s="3"/>
      <c r="L1247" s="3" t="s">
        <v>564</v>
      </c>
      <c r="M1247" s="3">
        <v>70</v>
      </c>
      <c r="N1247" s="3" t="s">
        <v>104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563</v>
      </c>
      <c r="C1248" s="3" t="s">
        <v>319</v>
      </c>
      <c r="D1248" s="3"/>
      <c r="E1248" s="3" t="s">
        <v>319</v>
      </c>
      <c r="F1248" s="3"/>
      <c r="G1248" s="3"/>
      <c r="H1248" s="3"/>
      <c r="I1248" s="3"/>
      <c r="J1248" s="3"/>
      <c r="K1248" s="3"/>
      <c r="L1248" s="3" t="s">
        <v>564</v>
      </c>
      <c r="M1248" s="3">
        <v>80</v>
      </c>
      <c r="N1248" s="3" t="s">
        <v>273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563</v>
      </c>
      <c r="C1249" s="3" t="s">
        <v>319</v>
      </c>
      <c r="D1249" s="3"/>
      <c r="E1249" s="3" t="s">
        <v>319</v>
      </c>
      <c r="F1249" s="3"/>
      <c r="G1249" s="3"/>
      <c r="H1249" s="3"/>
      <c r="I1249" s="3"/>
      <c r="J1249" s="3"/>
      <c r="K1249" s="3"/>
      <c r="L1249" s="3" t="s">
        <v>564</v>
      </c>
      <c r="M1249" s="3">
        <v>90</v>
      </c>
      <c r="N1249" s="3" t="s">
        <v>18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563</v>
      </c>
      <c r="C1250" s="3" t="s">
        <v>319</v>
      </c>
      <c r="D1250" s="3"/>
      <c r="E1250" s="3" t="s">
        <v>319</v>
      </c>
      <c r="F1250" s="3"/>
      <c r="G1250" s="3"/>
      <c r="H1250" s="3"/>
      <c r="I1250" s="3"/>
      <c r="J1250" s="3"/>
      <c r="K1250" s="3"/>
      <c r="L1250" s="3" t="s">
        <v>564</v>
      </c>
      <c r="M1250" s="3">
        <v>100</v>
      </c>
      <c r="N1250" s="3" t="s">
        <v>19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563</v>
      </c>
      <c r="C1251" s="3" t="s">
        <v>319</v>
      </c>
      <c r="D1251" s="3"/>
      <c r="E1251" s="3" t="s">
        <v>319</v>
      </c>
      <c r="F1251" s="3"/>
      <c r="G1251" s="3"/>
      <c r="H1251" s="3"/>
      <c r="I1251" s="3"/>
      <c r="J1251" s="3"/>
      <c r="K1251" s="3"/>
      <c r="L1251" s="3" t="s">
        <v>564</v>
      </c>
      <c r="M1251" s="3">
        <v>110</v>
      </c>
      <c r="N1251" s="3" t="s">
        <v>101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563</v>
      </c>
      <c r="C1252" s="3" t="s">
        <v>319</v>
      </c>
      <c r="D1252" s="3"/>
      <c r="E1252" s="3" t="s">
        <v>319</v>
      </c>
      <c r="F1252" s="3"/>
      <c r="G1252" s="3"/>
      <c r="H1252" s="3"/>
      <c r="I1252" s="3"/>
      <c r="J1252" s="3"/>
      <c r="K1252" s="3"/>
      <c r="L1252" s="3" t="s">
        <v>564</v>
      </c>
      <c r="M1252" s="3">
        <v>120</v>
      </c>
      <c r="N1252" s="3" t="s">
        <v>320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563</v>
      </c>
      <c r="C1253" s="3" t="s">
        <v>321</v>
      </c>
      <c r="D1253" s="3"/>
      <c r="E1253" s="3" t="s">
        <v>321</v>
      </c>
      <c r="F1253" s="3"/>
      <c r="G1253" s="3"/>
      <c r="H1253" s="3"/>
      <c r="I1253" s="3"/>
      <c r="J1253" s="3"/>
      <c r="K1253" s="3"/>
      <c r="L1253" s="3" t="s">
        <v>564</v>
      </c>
      <c r="M1253" s="3">
        <v>10</v>
      </c>
      <c r="N1253" s="3" t="s">
        <v>107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563</v>
      </c>
      <c r="C1254" s="3" t="s">
        <v>321</v>
      </c>
      <c r="D1254" s="3"/>
      <c r="E1254" s="3" t="s">
        <v>321</v>
      </c>
      <c r="F1254" s="3"/>
      <c r="G1254" s="3"/>
      <c r="H1254" s="3"/>
      <c r="I1254" s="3"/>
      <c r="J1254" s="3"/>
      <c r="K1254" s="3"/>
      <c r="L1254" s="3" t="s">
        <v>564</v>
      </c>
      <c r="M1254" s="3">
        <v>20</v>
      </c>
      <c r="N1254" s="3" t="s">
        <v>565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563</v>
      </c>
      <c r="C1255" s="3" t="s">
        <v>321</v>
      </c>
      <c r="D1255" s="3"/>
      <c r="E1255" s="3" t="s">
        <v>321</v>
      </c>
      <c r="F1255" s="3"/>
      <c r="G1255" s="3"/>
      <c r="H1255" s="3"/>
      <c r="I1255" s="3"/>
      <c r="J1255" s="3"/>
      <c r="K1255" s="3"/>
      <c r="L1255" s="3" t="s">
        <v>564</v>
      </c>
      <c r="M1255" s="3">
        <v>30</v>
      </c>
      <c r="N1255" s="3" t="s">
        <v>99</v>
      </c>
      <c r="O1255" s="3"/>
      <c r="P1255" s="3"/>
      <c r="Q1255" s="3">
        <v>0.26700000000000002</v>
      </c>
      <c r="R1255" s="3" t="s">
        <v>100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563</v>
      </c>
      <c r="C1256" s="3" t="s">
        <v>321</v>
      </c>
      <c r="D1256" s="3"/>
      <c r="E1256" s="3" t="s">
        <v>321</v>
      </c>
      <c r="F1256" s="3"/>
      <c r="G1256" s="3"/>
      <c r="H1256" s="3"/>
      <c r="I1256" s="3"/>
      <c r="J1256" s="3"/>
      <c r="K1256" s="3"/>
      <c r="L1256" s="3" t="s">
        <v>564</v>
      </c>
      <c r="M1256" s="3">
        <v>40</v>
      </c>
      <c r="N1256" s="3" t="s">
        <v>108</v>
      </c>
      <c r="O1256" s="3"/>
      <c r="P1256" s="3"/>
      <c r="Q1256" s="3">
        <v>11.887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563</v>
      </c>
      <c r="C1257" s="3" t="s">
        <v>321</v>
      </c>
      <c r="D1257" s="3"/>
      <c r="E1257" s="3" t="s">
        <v>321</v>
      </c>
      <c r="F1257" s="3"/>
      <c r="G1257" s="3"/>
      <c r="H1257" s="3"/>
      <c r="I1257" s="3"/>
      <c r="J1257" s="3"/>
      <c r="K1257" s="3"/>
      <c r="L1257" s="3" t="s">
        <v>564</v>
      </c>
      <c r="M1257" s="3">
        <v>50</v>
      </c>
      <c r="N1257" s="3" t="s">
        <v>105</v>
      </c>
      <c r="O1257" s="3"/>
      <c r="P1257" s="3"/>
      <c r="Q1257" s="3">
        <v>73.105999999999995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563</v>
      </c>
      <c r="C1258" s="3" t="s">
        <v>321</v>
      </c>
      <c r="D1258" s="3"/>
      <c r="E1258" s="3" t="s">
        <v>321</v>
      </c>
      <c r="F1258" s="3"/>
      <c r="G1258" s="3"/>
      <c r="H1258" s="3"/>
      <c r="I1258" s="3"/>
      <c r="J1258" s="3"/>
      <c r="K1258" s="3"/>
      <c r="L1258" s="3" t="s">
        <v>564</v>
      </c>
      <c r="M1258" s="3">
        <v>60</v>
      </c>
      <c r="N1258" s="3" t="s">
        <v>106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563</v>
      </c>
      <c r="C1259" s="3" t="s">
        <v>321</v>
      </c>
      <c r="D1259" s="3"/>
      <c r="E1259" s="3" t="s">
        <v>321</v>
      </c>
      <c r="F1259" s="3"/>
      <c r="G1259" s="3"/>
      <c r="H1259" s="3"/>
      <c r="I1259" s="3"/>
      <c r="J1259" s="3"/>
      <c r="K1259" s="3"/>
      <c r="L1259" s="3" t="s">
        <v>564</v>
      </c>
      <c r="M1259" s="3">
        <v>70</v>
      </c>
      <c r="N1259" s="3" t="s">
        <v>104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563</v>
      </c>
      <c r="C1260" s="3" t="s">
        <v>321</v>
      </c>
      <c r="D1260" s="3"/>
      <c r="E1260" s="3" t="s">
        <v>321</v>
      </c>
      <c r="F1260" s="3"/>
      <c r="G1260" s="3"/>
      <c r="H1260" s="3"/>
      <c r="I1260" s="3"/>
      <c r="J1260" s="3"/>
      <c r="K1260" s="3"/>
      <c r="L1260" s="3" t="s">
        <v>564</v>
      </c>
      <c r="M1260" s="3">
        <v>80</v>
      </c>
      <c r="N1260" s="3" t="s">
        <v>273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563</v>
      </c>
      <c r="C1261" s="3" t="s">
        <v>321</v>
      </c>
      <c r="D1261" s="3"/>
      <c r="E1261" s="3" t="s">
        <v>321</v>
      </c>
      <c r="F1261" s="3"/>
      <c r="G1261" s="3"/>
      <c r="H1261" s="3"/>
      <c r="I1261" s="3"/>
      <c r="J1261" s="3"/>
      <c r="K1261" s="3"/>
      <c r="L1261" s="3" t="s">
        <v>564</v>
      </c>
      <c r="M1261" s="3">
        <v>90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563</v>
      </c>
      <c r="C1262" s="3" t="s">
        <v>321</v>
      </c>
      <c r="D1262" s="3"/>
      <c r="E1262" s="3" t="s">
        <v>321</v>
      </c>
      <c r="F1262" s="3"/>
      <c r="G1262" s="3"/>
      <c r="H1262" s="3"/>
      <c r="I1262" s="3"/>
      <c r="J1262" s="3"/>
      <c r="K1262" s="3"/>
      <c r="L1262" s="3" t="s">
        <v>564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563</v>
      </c>
      <c r="C1263" s="3" t="s">
        <v>321</v>
      </c>
      <c r="D1263" s="3"/>
      <c r="E1263" s="3" t="s">
        <v>321</v>
      </c>
      <c r="F1263" s="3"/>
      <c r="G1263" s="3"/>
      <c r="H1263" s="3"/>
      <c r="I1263" s="3"/>
      <c r="J1263" s="3"/>
      <c r="K1263" s="3"/>
      <c r="L1263" s="3" t="s">
        <v>564</v>
      </c>
      <c r="M1263" s="3">
        <v>110</v>
      </c>
      <c r="N1263" s="3" t="s">
        <v>101</v>
      </c>
      <c r="O1263" s="3"/>
      <c r="P1263" s="3"/>
      <c r="Q1263" s="3">
        <v>0.66100000000000003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563</v>
      </c>
      <c r="C1264" s="3" t="s">
        <v>321</v>
      </c>
      <c r="D1264" s="3"/>
      <c r="E1264" s="3" t="s">
        <v>321</v>
      </c>
      <c r="F1264" s="3"/>
      <c r="G1264" s="3"/>
      <c r="H1264" s="3"/>
      <c r="I1264" s="3"/>
      <c r="J1264" s="3"/>
      <c r="K1264" s="3"/>
      <c r="L1264" s="3" t="s">
        <v>564</v>
      </c>
      <c r="M1264" s="3">
        <v>120</v>
      </c>
      <c r="N1264" s="3" t="s">
        <v>322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563</v>
      </c>
      <c r="C1265" s="3" t="s">
        <v>323</v>
      </c>
      <c r="D1265" s="3"/>
      <c r="E1265" s="3" t="s">
        <v>323</v>
      </c>
      <c r="F1265" s="3"/>
      <c r="G1265" s="3"/>
      <c r="H1265" s="3"/>
      <c r="I1265" s="3"/>
      <c r="J1265" s="3"/>
      <c r="K1265" s="3"/>
      <c r="L1265" s="3" t="s">
        <v>564</v>
      </c>
      <c r="M1265" s="3">
        <v>10</v>
      </c>
      <c r="N1265" s="3" t="s">
        <v>107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563</v>
      </c>
      <c r="C1266" s="3" t="s">
        <v>323</v>
      </c>
      <c r="D1266" s="3"/>
      <c r="E1266" s="3" t="s">
        <v>323</v>
      </c>
      <c r="F1266" s="3"/>
      <c r="G1266" s="3"/>
      <c r="H1266" s="3"/>
      <c r="I1266" s="3"/>
      <c r="J1266" s="3"/>
      <c r="K1266" s="3"/>
      <c r="L1266" s="3" t="s">
        <v>564</v>
      </c>
      <c r="M1266" s="3">
        <v>20</v>
      </c>
      <c r="N1266" s="3" t="s">
        <v>565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563</v>
      </c>
      <c r="C1267" s="3" t="s">
        <v>323</v>
      </c>
      <c r="D1267" s="3"/>
      <c r="E1267" s="3" t="s">
        <v>323</v>
      </c>
      <c r="F1267" s="3"/>
      <c r="G1267" s="3"/>
      <c r="H1267" s="3"/>
      <c r="I1267" s="3"/>
      <c r="J1267" s="3"/>
      <c r="K1267" s="3"/>
      <c r="L1267" s="3" t="s">
        <v>564</v>
      </c>
      <c r="M1267" s="3">
        <v>30</v>
      </c>
      <c r="N1267" s="3" t="s">
        <v>99</v>
      </c>
      <c r="O1267" s="3"/>
      <c r="P1267" s="3"/>
      <c r="Q1267" s="3">
        <v>0.316</v>
      </c>
      <c r="R1267" s="3" t="s">
        <v>100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563</v>
      </c>
      <c r="C1268" s="3" t="s">
        <v>323</v>
      </c>
      <c r="D1268" s="3"/>
      <c r="E1268" s="3" t="s">
        <v>323</v>
      </c>
      <c r="F1268" s="3"/>
      <c r="G1268" s="3"/>
      <c r="H1268" s="3"/>
      <c r="I1268" s="3"/>
      <c r="J1268" s="3"/>
      <c r="K1268" s="3"/>
      <c r="L1268" s="3" t="s">
        <v>564</v>
      </c>
      <c r="M1268" s="3">
        <v>40</v>
      </c>
      <c r="N1268" s="3" t="s">
        <v>108</v>
      </c>
      <c r="O1268" s="3"/>
      <c r="P1268" s="3"/>
      <c r="Q1268" s="3">
        <v>12.497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563</v>
      </c>
      <c r="C1269" s="3" t="s">
        <v>323</v>
      </c>
      <c r="D1269" s="3"/>
      <c r="E1269" s="3" t="s">
        <v>323</v>
      </c>
      <c r="F1269" s="3"/>
      <c r="G1269" s="3"/>
      <c r="H1269" s="3"/>
      <c r="I1269" s="3"/>
      <c r="J1269" s="3"/>
      <c r="K1269" s="3"/>
      <c r="L1269" s="3" t="s">
        <v>564</v>
      </c>
      <c r="M1269" s="3">
        <v>50</v>
      </c>
      <c r="N1269" s="3" t="s">
        <v>105</v>
      </c>
      <c r="O1269" s="3"/>
      <c r="P1269" s="3"/>
      <c r="Q1269" s="3">
        <v>76.855000000000004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563</v>
      </c>
      <c r="C1270" s="3" t="s">
        <v>323</v>
      </c>
      <c r="D1270" s="3"/>
      <c r="E1270" s="3" t="s">
        <v>323</v>
      </c>
      <c r="F1270" s="3"/>
      <c r="G1270" s="3"/>
      <c r="H1270" s="3"/>
      <c r="I1270" s="3"/>
      <c r="J1270" s="3"/>
      <c r="K1270" s="3"/>
      <c r="L1270" s="3" t="s">
        <v>564</v>
      </c>
      <c r="M1270" s="3">
        <v>60</v>
      </c>
      <c r="N1270" s="3" t="s">
        <v>106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563</v>
      </c>
      <c r="C1271" s="3" t="s">
        <v>323</v>
      </c>
      <c r="D1271" s="3"/>
      <c r="E1271" s="3" t="s">
        <v>323</v>
      </c>
      <c r="F1271" s="3"/>
      <c r="G1271" s="3"/>
      <c r="H1271" s="3"/>
      <c r="I1271" s="3"/>
      <c r="J1271" s="3"/>
      <c r="K1271" s="3"/>
      <c r="L1271" s="3" t="s">
        <v>564</v>
      </c>
      <c r="M1271" s="3">
        <v>70</v>
      </c>
      <c r="N1271" s="3" t="s">
        <v>104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563</v>
      </c>
      <c r="C1272" s="3" t="s">
        <v>323</v>
      </c>
      <c r="D1272" s="3"/>
      <c r="E1272" s="3" t="s">
        <v>323</v>
      </c>
      <c r="F1272" s="3"/>
      <c r="G1272" s="3"/>
      <c r="H1272" s="3"/>
      <c r="I1272" s="3"/>
      <c r="J1272" s="3"/>
      <c r="K1272" s="3"/>
      <c r="L1272" s="3" t="s">
        <v>564</v>
      </c>
      <c r="M1272" s="3">
        <v>80</v>
      </c>
      <c r="N1272" s="3" t="s">
        <v>273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563</v>
      </c>
      <c r="C1273" s="3" t="s">
        <v>323</v>
      </c>
      <c r="D1273" s="3"/>
      <c r="E1273" s="3" t="s">
        <v>323</v>
      </c>
      <c r="F1273" s="3"/>
      <c r="G1273" s="3"/>
      <c r="H1273" s="3"/>
      <c r="I1273" s="3"/>
      <c r="J1273" s="3"/>
      <c r="K1273" s="3"/>
      <c r="L1273" s="3" t="s">
        <v>564</v>
      </c>
      <c r="M1273" s="3">
        <v>90</v>
      </c>
      <c r="N1273" s="3" t="s">
        <v>18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563</v>
      </c>
      <c r="C1274" s="3" t="s">
        <v>323</v>
      </c>
      <c r="D1274" s="3"/>
      <c r="E1274" s="3" t="s">
        <v>323</v>
      </c>
      <c r="F1274" s="3"/>
      <c r="G1274" s="3"/>
      <c r="H1274" s="3"/>
      <c r="I1274" s="3"/>
      <c r="J1274" s="3"/>
      <c r="K1274" s="3"/>
      <c r="L1274" s="3" t="s">
        <v>564</v>
      </c>
      <c r="M1274" s="3">
        <v>100</v>
      </c>
      <c r="N1274" s="3" t="s">
        <v>19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563</v>
      </c>
      <c r="C1275" s="3" t="s">
        <v>323</v>
      </c>
      <c r="D1275" s="3"/>
      <c r="E1275" s="3" t="s">
        <v>323</v>
      </c>
      <c r="F1275" s="3"/>
      <c r="G1275" s="3"/>
      <c r="H1275" s="3"/>
      <c r="I1275" s="3"/>
      <c r="J1275" s="3"/>
      <c r="K1275" s="3"/>
      <c r="L1275" s="3" t="s">
        <v>564</v>
      </c>
      <c r="M1275" s="3">
        <v>110</v>
      </c>
      <c r="N1275" s="3" t="s">
        <v>101</v>
      </c>
      <c r="O1275" s="3"/>
      <c r="P1275" s="3"/>
      <c r="Q1275" s="3">
        <v>0.66100000000000003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563</v>
      </c>
      <c r="C1276" s="3" t="s">
        <v>323</v>
      </c>
      <c r="D1276" s="3"/>
      <c r="E1276" s="3" t="s">
        <v>323</v>
      </c>
      <c r="F1276" s="3"/>
      <c r="G1276" s="3"/>
      <c r="H1276" s="3"/>
      <c r="I1276" s="3"/>
      <c r="J1276" s="3"/>
      <c r="K1276" s="3"/>
      <c r="L1276" s="3" t="s">
        <v>564</v>
      </c>
      <c r="M1276" s="3">
        <v>120</v>
      </c>
      <c r="N1276" s="3" t="s">
        <v>324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563</v>
      </c>
      <c r="C1277" s="3" t="s">
        <v>325</v>
      </c>
      <c r="D1277" s="3"/>
      <c r="E1277" s="3" t="s">
        <v>325</v>
      </c>
      <c r="F1277" s="3"/>
      <c r="G1277" s="3"/>
      <c r="H1277" s="3"/>
      <c r="I1277" s="3"/>
      <c r="J1277" s="3"/>
      <c r="K1277" s="3"/>
      <c r="L1277" s="3" t="s">
        <v>564</v>
      </c>
      <c r="M1277" s="3">
        <v>10</v>
      </c>
      <c r="N1277" s="3" t="s">
        <v>107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563</v>
      </c>
      <c r="C1278" s="3" t="s">
        <v>325</v>
      </c>
      <c r="D1278" s="3"/>
      <c r="E1278" s="3" t="s">
        <v>325</v>
      </c>
      <c r="F1278" s="3"/>
      <c r="G1278" s="3"/>
      <c r="H1278" s="3"/>
      <c r="I1278" s="3"/>
      <c r="J1278" s="3"/>
      <c r="K1278" s="3"/>
      <c r="L1278" s="3" t="s">
        <v>564</v>
      </c>
      <c r="M1278" s="3">
        <v>20</v>
      </c>
      <c r="N1278" s="3" t="s">
        <v>565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563</v>
      </c>
      <c r="C1279" s="3" t="s">
        <v>325</v>
      </c>
      <c r="D1279" s="3"/>
      <c r="E1279" s="3" t="s">
        <v>325</v>
      </c>
      <c r="F1279" s="3"/>
      <c r="G1279" s="3"/>
      <c r="H1279" s="3"/>
      <c r="I1279" s="3"/>
      <c r="J1279" s="3"/>
      <c r="K1279" s="3"/>
      <c r="L1279" s="3" t="s">
        <v>564</v>
      </c>
      <c r="M1279" s="3">
        <v>30</v>
      </c>
      <c r="N1279" s="3" t="s">
        <v>99</v>
      </c>
      <c r="O1279" s="3"/>
      <c r="P1279" s="3"/>
      <c r="Q1279" s="3">
        <v>0.36499999999999999</v>
      </c>
      <c r="R1279" s="3" t="s">
        <v>100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563</v>
      </c>
      <c r="C1280" s="3" t="s">
        <v>325</v>
      </c>
      <c r="D1280" s="3"/>
      <c r="E1280" s="3" t="s">
        <v>325</v>
      </c>
      <c r="F1280" s="3"/>
      <c r="G1280" s="3"/>
      <c r="H1280" s="3"/>
      <c r="I1280" s="3"/>
      <c r="J1280" s="3"/>
      <c r="K1280" s="3"/>
      <c r="L1280" s="3" t="s">
        <v>564</v>
      </c>
      <c r="M1280" s="3">
        <v>40</v>
      </c>
      <c r="N1280" s="3" t="s">
        <v>108</v>
      </c>
      <c r="O1280" s="3"/>
      <c r="P1280" s="3"/>
      <c r="Q1280" s="3">
        <v>13.106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563</v>
      </c>
      <c r="C1281" s="3" t="s">
        <v>325</v>
      </c>
      <c r="D1281" s="3"/>
      <c r="E1281" s="3" t="s">
        <v>325</v>
      </c>
      <c r="F1281" s="3"/>
      <c r="G1281" s="3"/>
      <c r="H1281" s="3"/>
      <c r="I1281" s="3"/>
      <c r="J1281" s="3"/>
      <c r="K1281" s="3"/>
      <c r="L1281" s="3" t="s">
        <v>564</v>
      </c>
      <c r="M1281" s="3">
        <v>50</v>
      </c>
      <c r="N1281" s="3" t="s">
        <v>105</v>
      </c>
      <c r="O1281" s="3"/>
      <c r="P1281" s="3"/>
      <c r="Q1281" s="3">
        <v>80.603999999999999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563</v>
      </c>
      <c r="C1282" s="3" t="s">
        <v>325</v>
      </c>
      <c r="D1282" s="3"/>
      <c r="E1282" s="3" t="s">
        <v>325</v>
      </c>
      <c r="F1282" s="3"/>
      <c r="G1282" s="3"/>
      <c r="H1282" s="3"/>
      <c r="I1282" s="3"/>
      <c r="J1282" s="3"/>
      <c r="K1282" s="3"/>
      <c r="L1282" s="3" t="s">
        <v>564</v>
      </c>
      <c r="M1282" s="3">
        <v>60</v>
      </c>
      <c r="N1282" s="3" t="s">
        <v>106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563</v>
      </c>
      <c r="C1283" s="3" t="s">
        <v>325</v>
      </c>
      <c r="D1283" s="3"/>
      <c r="E1283" s="3" t="s">
        <v>325</v>
      </c>
      <c r="F1283" s="3"/>
      <c r="G1283" s="3"/>
      <c r="H1283" s="3"/>
      <c r="I1283" s="3"/>
      <c r="J1283" s="3"/>
      <c r="K1283" s="3"/>
      <c r="L1283" s="3" t="s">
        <v>564</v>
      </c>
      <c r="M1283" s="3">
        <v>70</v>
      </c>
      <c r="N1283" s="3" t="s">
        <v>104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563</v>
      </c>
      <c r="C1284" s="3" t="s">
        <v>325</v>
      </c>
      <c r="D1284" s="3"/>
      <c r="E1284" s="3" t="s">
        <v>325</v>
      </c>
      <c r="F1284" s="3"/>
      <c r="G1284" s="3"/>
      <c r="H1284" s="3"/>
      <c r="I1284" s="3"/>
      <c r="J1284" s="3"/>
      <c r="K1284" s="3"/>
      <c r="L1284" s="3" t="s">
        <v>564</v>
      </c>
      <c r="M1284" s="3">
        <v>80</v>
      </c>
      <c r="N1284" s="3" t="s">
        <v>273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563</v>
      </c>
      <c r="C1285" s="3" t="s">
        <v>325</v>
      </c>
      <c r="D1285" s="3"/>
      <c r="E1285" s="3" t="s">
        <v>325</v>
      </c>
      <c r="F1285" s="3"/>
      <c r="G1285" s="3"/>
      <c r="H1285" s="3"/>
      <c r="I1285" s="3"/>
      <c r="J1285" s="3"/>
      <c r="K1285" s="3"/>
      <c r="L1285" s="3" t="s">
        <v>564</v>
      </c>
      <c r="M1285" s="3">
        <v>90</v>
      </c>
      <c r="N1285" s="3" t="s">
        <v>18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563</v>
      </c>
      <c r="C1286" s="3" t="s">
        <v>325</v>
      </c>
      <c r="D1286" s="3"/>
      <c r="E1286" s="3" t="s">
        <v>325</v>
      </c>
      <c r="F1286" s="3"/>
      <c r="G1286" s="3"/>
      <c r="H1286" s="3"/>
      <c r="I1286" s="3"/>
      <c r="J1286" s="3"/>
      <c r="K1286" s="3"/>
      <c r="L1286" s="3" t="s">
        <v>564</v>
      </c>
      <c r="M1286" s="3">
        <v>100</v>
      </c>
      <c r="N1286" s="3" t="s">
        <v>19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563</v>
      </c>
      <c r="C1287" s="3" t="s">
        <v>325</v>
      </c>
      <c r="D1287" s="3"/>
      <c r="E1287" s="3" t="s">
        <v>325</v>
      </c>
      <c r="F1287" s="3"/>
      <c r="G1287" s="3"/>
      <c r="H1287" s="3"/>
      <c r="I1287" s="3"/>
      <c r="J1287" s="3"/>
      <c r="K1287" s="3"/>
      <c r="L1287" s="3" t="s">
        <v>564</v>
      </c>
      <c r="M1287" s="3">
        <v>110</v>
      </c>
      <c r="N1287" s="3" t="s">
        <v>101</v>
      </c>
      <c r="O1287" s="3"/>
      <c r="P1287" s="3"/>
      <c r="Q1287" s="3">
        <v>0.66100000000000003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563</v>
      </c>
      <c r="C1288" s="3" t="s">
        <v>325</v>
      </c>
      <c r="D1288" s="3"/>
      <c r="E1288" s="3" t="s">
        <v>325</v>
      </c>
      <c r="F1288" s="3"/>
      <c r="G1288" s="3"/>
      <c r="H1288" s="3"/>
      <c r="I1288" s="3"/>
      <c r="J1288" s="3"/>
      <c r="K1288" s="3"/>
      <c r="L1288" s="3" t="s">
        <v>564</v>
      </c>
      <c r="M1288" s="3">
        <v>120</v>
      </c>
      <c r="N1288" s="3" t="s">
        <v>326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563</v>
      </c>
      <c r="C1289" s="3" t="s">
        <v>327</v>
      </c>
      <c r="D1289" s="3"/>
      <c r="E1289" s="3" t="s">
        <v>327</v>
      </c>
      <c r="F1289" s="3"/>
      <c r="G1289" s="3"/>
      <c r="H1289" s="3"/>
      <c r="I1289" s="3"/>
      <c r="J1289" s="3"/>
      <c r="K1289" s="3"/>
      <c r="L1289" s="3" t="s">
        <v>564</v>
      </c>
      <c r="M1289" s="3">
        <v>10</v>
      </c>
      <c r="N1289" s="3" t="s">
        <v>107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563</v>
      </c>
      <c r="C1290" s="3" t="s">
        <v>327</v>
      </c>
      <c r="D1290" s="3"/>
      <c r="E1290" s="3" t="s">
        <v>327</v>
      </c>
      <c r="F1290" s="3"/>
      <c r="G1290" s="3"/>
      <c r="H1290" s="3"/>
      <c r="I1290" s="3"/>
      <c r="J1290" s="3"/>
      <c r="K1290" s="3"/>
      <c r="L1290" s="3" t="s">
        <v>564</v>
      </c>
      <c r="M1290" s="3">
        <v>20</v>
      </c>
      <c r="N1290" s="3" t="s">
        <v>565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563</v>
      </c>
      <c r="C1291" s="3" t="s">
        <v>327</v>
      </c>
      <c r="D1291" s="3"/>
      <c r="E1291" s="3" t="s">
        <v>327</v>
      </c>
      <c r="F1291" s="3"/>
      <c r="G1291" s="3"/>
      <c r="H1291" s="3"/>
      <c r="I1291" s="3"/>
      <c r="J1291" s="3"/>
      <c r="K1291" s="3"/>
      <c r="L1291" s="3" t="s">
        <v>564</v>
      </c>
      <c r="M1291" s="3">
        <v>30</v>
      </c>
      <c r="N1291" s="3" t="s">
        <v>99</v>
      </c>
      <c r="O1291" s="3"/>
      <c r="P1291" s="3"/>
      <c r="Q1291" s="3">
        <v>0.41299999999999998</v>
      </c>
      <c r="R1291" s="3" t="s">
        <v>100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563</v>
      </c>
      <c r="C1292" s="3" t="s">
        <v>327</v>
      </c>
      <c r="D1292" s="3"/>
      <c r="E1292" s="3" t="s">
        <v>327</v>
      </c>
      <c r="F1292" s="3"/>
      <c r="G1292" s="3"/>
      <c r="H1292" s="3"/>
      <c r="I1292" s="3"/>
      <c r="J1292" s="3"/>
      <c r="K1292" s="3"/>
      <c r="L1292" s="3" t="s">
        <v>564</v>
      </c>
      <c r="M1292" s="3">
        <v>40</v>
      </c>
      <c r="N1292" s="3" t="s">
        <v>108</v>
      </c>
      <c r="O1292" s="3"/>
      <c r="P1292" s="3"/>
      <c r="Q1292" s="3">
        <v>13.715999999999999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563</v>
      </c>
      <c r="C1293" s="3" t="s">
        <v>327</v>
      </c>
      <c r="D1293" s="3"/>
      <c r="E1293" s="3" t="s">
        <v>327</v>
      </c>
      <c r="F1293" s="3"/>
      <c r="G1293" s="3"/>
      <c r="H1293" s="3"/>
      <c r="I1293" s="3"/>
      <c r="J1293" s="3"/>
      <c r="K1293" s="3"/>
      <c r="L1293" s="3" t="s">
        <v>564</v>
      </c>
      <c r="M1293" s="3">
        <v>50</v>
      </c>
      <c r="N1293" s="3" t="s">
        <v>105</v>
      </c>
      <c r="O1293" s="3"/>
      <c r="P1293" s="3"/>
      <c r="Q1293" s="3">
        <v>84.352999999999994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563</v>
      </c>
      <c r="C1294" s="3" t="s">
        <v>327</v>
      </c>
      <c r="D1294" s="3"/>
      <c r="E1294" s="3" t="s">
        <v>327</v>
      </c>
      <c r="F1294" s="3"/>
      <c r="G1294" s="3"/>
      <c r="H1294" s="3"/>
      <c r="I1294" s="3"/>
      <c r="J1294" s="3"/>
      <c r="K1294" s="3"/>
      <c r="L1294" s="3" t="s">
        <v>564</v>
      </c>
      <c r="M1294" s="3">
        <v>60</v>
      </c>
      <c r="N1294" s="3" t="s">
        <v>106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563</v>
      </c>
      <c r="C1295" s="3" t="s">
        <v>327</v>
      </c>
      <c r="D1295" s="3"/>
      <c r="E1295" s="3" t="s">
        <v>327</v>
      </c>
      <c r="F1295" s="3"/>
      <c r="G1295" s="3"/>
      <c r="H1295" s="3"/>
      <c r="I1295" s="3"/>
      <c r="J1295" s="3"/>
      <c r="K1295" s="3"/>
      <c r="L1295" s="3" t="s">
        <v>564</v>
      </c>
      <c r="M1295" s="3">
        <v>70</v>
      </c>
      <c r="N1295" s="3" t="s">
        <v>104</v>
      </c>
      <c r="O1295" s="3"/>
      <c r="P1295" s="3"/>
      <c r="Q1295" s="3">
        <v>0.11799999999999999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563</v>
      </c>
      <c r="C1296" s="3" t="s">
        <v>327</v>
      </c>
      <c r="D1296" s="3"/>
      <c r="E1296" s="3" t="s">
        <v>327</v>
      </c>
      <c r="F1296" s="3"/>
      <c r="G1296" s="3"/>
      <c r="H1296" s="3"/>
      <c r="I1296" s="3"/>
      <c r="J1296" s="3"/>
      <c r="K1296" s="3"/>
      <c r="L1296" s="3" t="s">
        <v>564</v>
      </c>
      <c r="M1296" s="3">
        <v>80</v>
      </c>
      <c r="N1296" s="3" t="s">
        <v>273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563</v>
      </c>
      <c r="C1297" s="3" t="s">
        <v>327</v>
      </c>
      <c r="D1297" s="3"/>
      <c r="E1297" s="3" t="s">
        <v>327</v>
      </c>
      <c r="F1297" s="3"/>
      <c r="G1297" s="3"/>
      <c r="H1297" s="3"/>
      <c r="I1297" s="3"/>
      <c r="J1297" s="3"/>
      <c r="K1297" s="3"/>
      <c r="L1297" s="3" t="s">
        <v>564</v>
      </c>
      <c r="M1297" s="3">
        <v>90</v>
      </c>
      <c r="N1297" s="3" t="s">
        <v>18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563</v>
      </c>
      <c r="C1298" s="3" t="s">
        <v>327</v>
      </c>
      <c r="D1298" s="3"/>
      <c r="E1298" s="3" t="s">
        <v>327</v>
      </c>
      <c r="F1298" s="3"/>
      <c r="G1298" s="3"/>
      <c r="H1298" s="3"/>
      <c r="I1298" s="3"/>
      <c r="J1298" s="3"/>
      <c r="K1298" s="3"/>
      <c r="L1298" s="3" t="s">
        <v>564</v>
      </c>
      <c r="M1298" s="3">
        <v>100</v>
      </c>
      <c r="N1298" s="3" t="s">
        <v>19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563</v>
      </c>
      <c r="C1299" s="3" t="s">
        <v>327</v>
      </c>
      <c r="D1299" s="3"/>
      <c r="E1299" s="3" t="s">
        <v>327</v>
      </c>
      <c r="F1299" s="3"/>
      <c r="G1299" s="3"/>
      <c r="H1299" s="3"/>
      <c r="I1299" s="3"/>
      <c r="J1299" s="3"/>
      <c r="K1299" s="3"/>
      <c r="L1299" s="3" t="s">
        <v>564</v>
      </c>
      <c r="M1299" s="3">
        <v>110</v>
      </c>
      <c r="N1299" s="3" t="s">
        <v>101</v>
      </c>
      <c r="O1299" s="3"/>
      <c r="P1299" s="3"/>
      <c r="Q1299" s="3">
        <v>0.66100000000000003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563</v>
      </c>
      <c r="C1300" s="3" t="s">
        <v>327</v>
      </c>
      <c r="D1300" s="3"/>
      <c r="E1300" s="3" t="s">
        <v>327</v>
      </c>
      <c r="F1300" s="3"/>
      <c r="G1300" s="3"/>
      <c r="H1300" s="3"/>
      <c r="I1300" s="3"/>
      <c r="J1300" s="3"/>
      <c r="K1300" s="3"/>
      <c r="L1300" s="3" t="s">
        <v>564</v>
      </c>
      <c r="M1300" s="3">
        <v>120</v>
      </c>
      <c r="N1300" s="3" t="s">
        <v>328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563</v>
      </c>
      <c r="C1301" s="3" t="s">
        <v>329</v>
      </c>
      <c r="D1301" s="3"/>
      <c r="E1301" s="3" t="s">
        <v>329</v>
      </c>
      <c r="F1301" s="3"/>
      <c r="G1301" s="3"/>
      <c r="H1301" s="3"/>
      <c r="I1301" s="3"/>
      <c r="J1301" s="3"/>
      <c r="K1301" s="3"/>
      <c r="L1301" s="3" t="s">
        <v>564</v>
      </c>
      <c r="M1301" s="3">
        <v>10</v>
      </c>
      <c r="N1301" s="3" t="s">
        <v>107</v>
      </c>
      <c r="O1301" s="3"/>
      <c r="P1301" s="3"/>
      <c r="Q1301" s="3">
        <v>2.0569999999999999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563</v>
      </c>
      <c r="C1302" s="3" t="s">
        <v>329</v>
      </c>
      <c r="D1302" s="3"/>
      <c r="E1302" s="3" t="s">
        <v>329</v>
      </c>
      <c r="F1302" s="3"/>
      <c r="G1302" s="3"/>
      <c r="H1302" s="3"/>
      <c r="I1302" s="3"/>
      <c r="J1302" s="3"/>
      <c r="K1302" s="3"/>
      <c r="L1302" s="3" t="s">
        <v>564</v>
      </c>
      <c r="M1302" s="3">
        <v>20</v>
      </c>
      <c r="N1302" s="3" t="s">
        <v>565</v>
      </c>
      <c r="O1302" s="3"/>
      <c r="P1302" s="3"/>
      <c r="Q1302" s="3">
        <v>2.0569999999999999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563</v>
      </c>
      <c r="C1303" s="3" t="s">
        <v>329</v>
      </c>
      <c r="D1303" s="3"/>
      <c r="E1303" s="3" t="s">
        <v>329</v>
      </c>
      <c r="F1303" s="3"/>
      <c r="G1303" s="3"/>
      <c r="H1303" s="3"/>
      <c r="I1303" s="3"/>
      <c r="J1303" s="3"/>
      <c r="K1303" s="3"/>
      <c r="L1303" s="3" t="s">
        <v>564</v>
      </c>
      <c r="M1303" s="3">
        <v>30</v>
      </c>
      <c r="N1303" s="3" t="s">
        <v>99</v>
      </c>
      <c r="O1303" s="3"/>
      <c r="P1303" s="3"/>
      <c r="Q1303" s="3">
        <v>0.437</v>
      </c>
      <c r="R1303" s="3" t="s">
        <v>100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563</v>
      </c>
      <c r="C1304" s="3" t="s">
        <v>329</v>
      </c>
      <c r="D1304" s="3"/>
      <c r="E1304" s="3" t="s">
        <v>329</v>
      </c>
      <c r="F1304" s="3"/>
      <c r="G1304" s="3"/>
      <c r="H1304" s="3"/>
      <c r="I1304" s="3"/>
      <c r="J1304" s="3"/>
      <c r="K1304" s="3"/>
      <c r="L1304" s="3" t="s">
        <v>564</v>
      </c>
      <c r="M1304" s="3">
        <v>40</v>
      </c>
      <c r="N1304" s="3" t="s">
        <v>108</v>
      </c>
      <c r="O1304" s="3"/>
      <c r="P1304" s="3"/>
      <c r="Q1304" s="3">
        <v>14.021000000000001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563</v>
      </c>
      <c r="C1305" s="3" t="s">
        <v>329</v>
      </c>
      <c r="D1305" s="3"/>
      <c r="E1305" s="3" t="s">
        <v>329</v>
      </c>
      <c r="F1305" s="3"/>
      <c r="G1305" s="3"/>
      <c r="H1305" s="3"/>
      <c r="I1305" s="3"/>
      <c r="J1305" s="3"/>
      <c r="K1305" s="3"/>
      <c r="L1305" s="3" t="s">
        <v>564</v>
      </c>
      <c r="M1305" s="3">
        <v>50</v>
      </c>
      <c r="N1305" s="3" t="s">
        <v>105</v>
      </c>
      <c r="O1305" s="3"/>
      <c r="P1305" s="3"/>
      <c r="Q1305" s="3">
        <v>86.227999999999994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563</v>
      </c>
      <c r="C1306" s="3" t="s">
        <v>329</v>
      </c>
      <c r="D1306" s="3"/>
      <c r="E1306" s="3" t="s">
        <v>329</v>
      </c>
      <c r="F1306" s="3"/>
      <c r="G1306" s="3"/>
      <c r="H1306" s="3"/>
      <c r="I1306" s="3"/>
      <c r="J1306" s="3"/>
      <c r="K1306" s="3"/>
      <c r="L1306" s="3" t="s">
        <v>564</v>
      </c>
      <c r="M1306" s="3">
        <v>60</v>
      </c>
      <c r="N1306" s="3" t="s">
        <v>106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563</v>
      </c>
      <c r="C1307" s="3" t="s">
        <v>329</v>
      </c>
      <c r="D1307" s="3"/>
      <c r="E1307" s="3" t="s">
        <v>329</v>
      </c>
      <c r="F1307" s="3"/>
      <c r="G1307" s="3"/>
      <c r="H1307" s="3"/>
      <c r="I1307" s="3"/>
      <c r="J1307" s="3"/>
      <c r="K1307" s="3"/>
      <c r="L1307" s="3" t="s">
        <v>564</v>
      </c>
      <c r="M1307" s="3">
        <v>70</v>
      </c>
      <c r="N1307" s="3" t="s">
        <v>104</v>
      </c>
      <c r="O1307" s="3"/>
      <c r="P1307" s="3"/>
      <c r="Q1307" s="3">
        <v>0.124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563</v>
      </c>
      <c r="C1308" s="3" t="s">
        <v>329</v>
      </c>
      <c r="D1308" s="3"/>
      <c r="E1308" s="3" t="s">
        <v>329</v>
      </c>
      <c r="F1308" s="3"/>
      <c r="G1308" s="3"/>
      <c r="H1308" s="3"/>
      <c r="I1308" s="3"/>
      <c r="J1308" s="3"/>
      <c r="K1308" s="3"/>
      <c r="L1308" s="3" t="s">
        <v>564</v>
      </c>
      <c r="M1308" s="3">
        <v>80</v>
      </c>
      <c r="N1308" s="3" t="s">
        <v>273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563</v>
      </c>
      <c r="C1309" s="3" t="s">
        <v>329</v>
      </c>
      <c r="D1309" s="3"/>
      <c r="E1309" s="3" t="s">
        <v>329</v>
      </c>
      <c r="F1309" s="3"/>
      <c r="G1309" s="3"/>
      <c r="H1309" s="3"/>
      <c r="I1309" s="3"/>
      <c r="J1309" s="3"/>
      <c r="K1309" s="3"/>
      <c r="L1309" s="3" t="s">
        <v>564</v>
      </c>
      <c r="M1309" s="3">
        <v>90</v>
      </c>
      <c r="N1309" s="3" t="s">
        <v>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563</v>
      </c>
      <c r="C1310" s="3" t="s">
        <v>329</v>
      </c>
      <c r="D1310" s="3"/>
      <c r="E1310" s="3" t="s">
        <v>329</v>
      </c>
      <c r="F1310" s="3"/>
      <c r="G1310" s="3"/>
      <c r="H1310" s="3"/>
      <c r="I1310" s="3"/>
      <c r="J1310" s="3"/>
      <c r="K1310" s="3"/>
      <c r="L1310" s="3" t="s">
        <v>564</v>
      </c>
      <c r="M1310" s="3">
        <v>100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563</v>
      </c>
      <c r="C1311" s="3" t="s">
        <v>329</v>
      </c>
      <c r="D1311" s="3"/>
      <c r="E1311" s="3" t="s">
        <v>329</v>
      </c>
      <c r="F1311" s="3"/>
      <c r="G1311" s="3"/>
      <c r="H1311" s="3"/>
      <c r="I1311" s="3"/>
      <c r="J1311" s="3"/>
      <c r="K1311" s="3"/>
      <c r="L1311" s="3" t="s">
        <v>564</v>
      </c>
      <c r="M1311" s="3">
        <v>110</v>
      </c>
      <c r="N1311" s="3" t="s">
        <v>101</v>
      </c>
      <c r="O1311" s="3"/>
      <c r="P1311" s="3"/>
      <c r="Q1311" s="3">
        <v>0.66100000000000003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563</v>
      </c>
      <c r="C1312" s="3" t="s">
        <v>329</v>
      </c>
      <c r="D1312" s="3"/>
      <c r="E1312" s="3" t="s">
        <v>329</v>
      </c>
      <c r="F1312" s="3"/>
      <c r="G1312" s="3"/>
      <c r="H1312" s="3"/>
      <c r="I1312" s="3"/>
      <c r="J1312" s="3"/>
      <c r="K1312" s="3"/>
      <c r="L1312" s="3" t="s">
        <v>564</v>
      </c>
      <c r="M1312" s="3">
        <v>120</v>
      </c>
      <c r="N1312" s="3" t="s">
        <v>330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563</v>
      </c>
      <c r="C1313" s="3" t="s">
        <v>331</v>
      </c>
      <c r="D1313" s="3"/>
      <c r="E1313" s="3" t="s">
        <v>331</v>
      </c>
      <c r="F1313" s="3"/>
      <c r="G1313" s="3"/>
      <c r="H1313" s="3"/>
      <c r="I1313" s="3"/>
      <c r="J1313" s="3"/>
      <c r="K1313" s="3"/>
      <c r="L1313" s="3" t="s">
        <v>564</v>
      </c>
      <c r="M1313" s="3">
        <v>10</v>
      </c>
      <c r="N1313" s="3" t="s">
        <v>107</v>
      </c>
      <c r="O1313" s="3"/>
      <c r="P1313" s="3"/>
      <c r="Q1313" s="3">
        <v>2.0569999999999999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563</v>
      </c>
      <c r="C1314" s="3" t="s">
        <v>331</v>
      </c>
      <c r="D1314" s="3"/>
      <c r="E1314" s="3" t="s">
        <v>331</v>
      </c>
      <c r="F1314" s="3"/>
      <c r="G1314" s="3"/>
      <c r="H1314" s="3"/>
      <c r="I1314" s="3"/>
      <c r="J1314" s="3"/>
      <c r="K1314" s="3"/>
      <c r="L1314" s="3" t="s">
        <v>564</v>
      </c>
      <c r="M1314" s="3">
        <v>20</v>
      </c>
      <c r="N1314" s="3" t="s">
        <v>565</v>
      </c>
      <c r="O1314" s="3"/>
      <c r="P1314" s="3"/>
      <c r="Q1314" s="3">
        <v>2.0569999999999999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563</v>
      </c>
      <c r="C1315" s="3" t="s">
        <v>331</v>
      </c>
      <c r="D1315" s="3"/>
      <c r="E1315" s="3" t="s">
        <v>331</v>
      </c>
      <c r="F1315" s="3"/>
      <c r="G1315" s="3"/>
      <c r="H1315" s="3"/>
      <c r="I1315" s="3"/>
      <c r="J1315" s="3"/>
      <c r="K1315" s="3"/>
      <c r="L1315" s="3" t="s">
        <v>564</v>
      </c>
      <c r="M1315" s="3">
        <v>30</v>
      </c>
      <c r="N1315" s="3" t="s">
        <v>99</v>
      </c>
      <c r="O1315" s="3"/>
      <c r="P1315" s="3"/>
      <c r="Q1315" s="3">
        <v>0.46200000000000002</v>
      </c>
      <c r="R1315" s="3" t="s">
        <v>100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563</v>
      </c>
      <c r="C1316" s="3" t="s">
        <v>331</v>
      </c>
      <c r="D1316" s="3"/>
      <c r="E1316" s="3" t="s">
        <v>331</v>
      </c>
      <c r="F1316" s="3"/>
      <c r="G1316" s="3"/>
      <c r="H1316" s="3"/>
      <c r="I1316" s="3"/>
      <c r="J1316" s="3"/>
      <c r="K1316" s="3"/>
      <c r="L1316" s="3" t="s">
        <v>564</v>
      </c>
      <c r="M1316" s="3">
        <v>40</v>
      </c>
      <c r="N1316" s="3" t="s">
        <v>108</v>
      </c>
      <c r="O1316" s="3"/>
      <c r="P1316" s="3"/>
      <c r="Q1316" s="3">
        <v>14.326000000000001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563</v>
      </c>
      <c r="C1317" s="3" t="s">
        <v>331</v>
      </c>
      <c r="D1317" s="3"/>
      <c r="E1317" s="3" t="s">
        <v>331</v>
      </c>
      <c r="F1317" s="3"/>
      <c r="G1317" s="3"/>
      <c r="H1317" s="3"/>
      <c r="I1317" s="3"/>
      <c r="J1317" s="3"/>
      <c r="K1317" s="3"/>
      <c r="L1317" s="3" t="s">
        <v>564</v>
      </c>
      <c r="M1317" s="3">
        <v>50</v>
      </c>
      <c r="N1317" s="3" t="s">
        <v>105</v>
      </c>
      <c r="O1317" s="3"/>
      <c r="P1317" s="3"/>
      <c r="Q1317" s="3">
        <v>88.102000000000004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563</v>
      </c>
      <c r="C1318" s="3" t="s">
        <v>331</v>
      </c>
      <c r="D1318" s="3"/>
      <c r="E1318" s="3" t="s">
        <v>331</v>
      </c>
      <c r="F1318" s="3"/>
      <c r="G1318" s="3"/>
      <c r="H1318" s="3"/>
      <c r="I1318" s="3"/>
      <c r="J1318" s="3"/>
      <c r="K1318" s="3"/>
      <c r="L1318" s="3" t="s">
        <v>564</v>
      </c>
      <c r="M1318" s="3">
        <v>60</v>
      </c>
      <c r="N1318" s="3" t="s">
        <v>106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563</v>
      </c>
      <c r="C1319" s="3" t="s">
        <v>331</v>
      </c>
      <c r="D1319" s="3"/>
      <c r="E1319" s="3" t="s">
        <v>331</v>
      </c>
      <c r="F1319" s="3"/>
      <c r="G1319" s="3"/>
      <c r="H1319" s="3"/>
      <c r="I1319" s="3"/>
      <c r="J1319" s="3"/>
      <c r="K1319" s="3"/>
      <c r="L1319" s="3" t="s">
        <v>564</v>
      </c>
      <c r="M1319" s="3">
        <v>70</v>
      </c>
      <c r="N1319" s="3" t="s">
        <v>104</v>
      </c>
      <c r="O1319" s="3"/>
      <c r="P1319" s="3"/>
      <c r="Q1319" s="3">
        <v>0.13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563</v>
      </c>
      <c r="C1320" s="3" t="s">
        <v>331</v>
      </c>
      <c r="D1320" s="3"/>
      <c r="E1320" s="3" t="s">
        <v>331</v>
      </c>
      <c r="F1320" s="3"/>
      <c r="G1320" s="3"/>
      <c r="H1320" s="3"/>
      <c r="I1320" s="3"/>
      <c r="J1320" s="3"/>
      <c r="K1320" s="3"/>
      <c r="L1320" s="3" t="s">
        <v>564</v>
      </c>
      <c r="M1320" s="3">
        <v>80</v>
      </c>
      <c r="N1320" s="3" t="s">
        <v>273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563</v>
      </c>
      <c r="C1321" s="3" t="s">
        <v>331</v>
      </c>
      <c r="D1321" s="3"/>
      <c r="E1321" s="3" t="s">
        <v>331</v>
      </c>
      <c r="F1321" s="3"/>
      <c r="G1321" s="3"/>
      <c r="H1321" s="3"/>
      <c r="I1321" s="3"/>
      <c r="J1321" s="3"/>
      <c r="K1321" s="3"/>
      <c r="L1321" s="3" t="s">
        <v>564</v>
      </c>
      <c r="M1321" s="3">
        <v>90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563</v>
      </c>
      <c r="C1322" s="3" t="s">
        <v>331</v>
      </c>
      <c r="D1322" s="3"/>
      <c r="E1322" s="3" t="s">
        <v>331</v>
      </c>
      <c r="F1322" s="3"/>
      <c r="G1322" s="3"/>
      <c r="H1322" s="3"/>
      <c r="I1322" s="3"/>
      <c r="J1322" s="3"/>
      <c r="K1322" s="3"/>
      <c r="L1322" s="3" t="s">
        <v>564</v>
      </c>
      <c r="M1322" s="3">
        <v>100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563</v>
      </c>
      <c r="C1323" s="3" t="s">
        <v>331</v>
      </c>
      <c r="D1323" s="3"/>
      <c r="E1323" s="3" t="s">
        <v>331</v>
      </c>
      <c r="F1323" s="3"/>
      <c r="G1323" s="3"/>
      <c r="H1323" s="3"/>
      <c r="I1323" s="3"/>
      <c r="J1323" s="3"/>
      <c r="K1323" s="3"/>
      <c r="L1323" s="3" t="s">
        <v>564</v>
      </c>
      <c r="M1323" s="3">
        <v>110</v>
      </c>
      <c r="N1323" s="3" t="s">
        <v>101</v>
      </c>
      <c r="O1323" s="3"/>
      <c r="P1323" s="3"/>
      <c r="Q1323" s="3">
        <v>0.66100000000000003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563</v>
      </c>
      <c r="C1324" s="3" t="s">
        <v>331</v>
      </c>
      <c r="D1324" s="3"/>
      <c r="E1324" s="3" t="s">
        <v>331</v>
      </c>
      <c r="F1324" s="3"/>
      <c r="G1324" s="3"/>
      <c r="H1324" s="3"/>
      <c r="I1324" s="3"/>
      <c r="J1324" s="3"/>
      <c r="K1324" s="3"/>
      <c r="L1324" s="3" t="s">
        <v>564</v>
      </c>
      <c r="M1324" s="3">
        <v>120</v>
      </c>
      <c r="N1324" s="3" t="s">
        <v>332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563</v>
      </c>
      <c r="C1325" s="3" t="s">
        <v>333</v>
      </c>
      <c r="D1325" s="3"/>
      <c r="E1325" s="3" t="s">
        <v>333</v>
      </c>
      <c r="F1325" s="3"/>
      <c r="G1325" s="3"/>
      <c r="H1325" s="3"/>
      <c r="I1325" s="3"/>
      <c r="J1325" s="3"/>
      <c r="K1325" s="3"/>
      <c r="L1325" s="3" t="s">
        <v>564</v>
      </c>
      <c r="M1325" s="3">
        <v>10</v>
      </c>
      <c r="N1325" s="3" t="s">
        <v>107</v>
      </c>
      <c r="O1325" s="3"/>
      <c r="P1325" s="3"/>
      <c r="Q1325" s="3">
        <v>2.0569999999999999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563</v>
      </c>
      <c r="C1326" s="3" t="s">
        <v>333</v>
      </c>
      <c r="D1326" s="3"/>
      <c r="E1326" s="3" t="s">
        <v>333</v>
      </c>
      <c r="F1326" s="3"/>
      <c r="G1326" s="3"/>
      <c r="H1326" s="3"/>
      <c r="I1326" s="3"/>
      <c r="J1326" s="3"/>
      <c r="K1326" s="3"/>
      <c r="L1326" s="3" t="s">
        <v>564</v>
      </c>
      <c r="M1326" s="3">
        <v>20</v>
      </c>
      <c r="N1326" s="3" t="s">
        <v>565</v>
      </c>
      <c r="O1326" s="3"/>
      <c r="P1326" s="3"/>
      <c r="Q1326" s="3">
        <v>2.0569999999999999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563</v>
      </c>
      <c r="C1327" s="3" t="s">
        <v>333</v>
      </c>
      <c r="D1327" s="3"/>
      <c r="E1327" s="3" t="s">
        <v>333</v>
      </c>
      <c r="F1327" s="3"/>
      <c r="G1327" s="3"/>
      <c r="H1327" s="3"/>
      <c r="I1327" s="3"/>
      <c r="J1327" s="3"/>
      <c r="K1327" s="3"/>
      <c r="L1327" s="3" t="s">
        <v>564</v>
      </c>
      <c r="M1327" s="3">
        <v>30</v>
      </c>
      <c r="N1327" s="3" t="s">
        <v>99</v>
      </c>
      <c r="O1327" s="3"/>
      <c r="P1327" s="3"/>
      <c r="Q1327" s="3">
        <v>0.51</v>
      </c>
      <c r="R1327" s="3" t="s">
        <v>100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563</v>
      </c>
      <c r="C1328" s="3" t="s">
        <v>333</v>
      </c>
      <c r="D1328" s="3"/>
      <c r="E1328" s="3" t="s">
        <v>333</v>
      </c>
      <c r="F1328" s="3"/>
      <c r="G1328" s="3"/>
      <c r="H1328" s="3"/>
      <c r="I1328" s="3"/>
      <c r="J1328" s="3"/>
      <c r="K1328" s="3"/>
      <c r="L1328" s="3" t="s">
        <v>564</v>
      </c>
      <c r="M1328" s="3">
        <v>40</v>
      </c>
      <c r="N1328" s="3" t="s">
        <v>108</v>
      </c>
      <c r="O1328" s="3"/>
      <c r="P1328" s="3"/>
      <c r="Q1328" s="3">
        <v>14.935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563</v>
      </c>
      <c r="C1329" s="3" t="s">
        <v>333</v>
      </c>
      <c r="D1329" s="3"/>
      <c r="E1329" s="3" t="s">
        <v>333</v>
      </c>
      <c r="F1329" s="3"/>
      <c r="G1329" s="3"/>
      <c r="H1329" s="3"/>
      <c r="I1329" s="3"/>
      <c r="J1329" s="3"/>
      <c r="K1329" s="3"/>
      <c r="L1329" s="3" t="s">
        <v>564</v>
      </c>
      <c r="M1329" s="3">
        <v>50</v>
      </c>
      <c r="N1329" s="3" t="s">
        <v>105</v>
      </c>
      <c r="O1329" s="3"/>
      <c r="P1329" s="3"/>
      <c r="Q1329" s="3">
        <v>91.850999999999999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563</v>
      </c>
      <c r="C1330" s="3" t="s">
        <v>333</v>
      </c>
      <c r="D1330" s="3"/>
      <c r="E1330" s="3" t="s">
        <v>333</v>
      </c>
      <c r="F1330" s="3"/>
      <c r="G1330" s="3"/>
      <c r="H1330" s="3"/>
      <c r="I1330" s="3"/>
      <c r="J1330" s="3"/>
      <c r="K1330" s="3"/>
      <c r="L1330" s="3" t="s">
        <v>564</v>
      </c>
      <c r="M1330" s="3">
        <v>60</v>
      </c>
      <c r="N1330" s="3" t="s">
        <v>106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563</v>
      </c>
      <c r="C1331" s="3" t="s">
        <v>333</v>
      </c>
      <c r="D1331" s="3"/>
      <c r="E1331" s="3" t="s">
        <v>333</v>
      </c>
      <c r="F1331" s="3"/>
      <c r="G1331" s="3"/>
      <c r="H1331" s="3"/>
      <c r="I1331" s="3"/>
      <c r="J1331" s="3"/>
      <c r="K1331" s="3"/>
      <c r="L1331" s="3" t="s">
        <v>564</v>
      </c>
      <c r="M1331" s="3">
        <v>70</v>
      </c>
      <c r="N1331" s="3" t="s">
        <v>104</v>
      </c>
      <c r="O1331" s="3"/>
      <c r="P1331" s="3"/>
      <c r="Q1331" s="3">
        <v>0.14099999999999999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563</v>
      </c>
      <c r="C1332" s="3" t="s">
        <v>333</v>
      </c>
      <c r="D1332" s="3"/>
      <c r="E1332" s="3" t="s">
        <v>333</v>
      </c>
      <c r="F1332" s="3"/>
      <c r="G1332" s="3"/>
      <c r="H1332" s="3"/>
      <c r="I1332" s="3"/>
      <c r="J1332" s="3"/>
      <c r="K1332" s="3"/>
      <c r="L1332" s="3" t="s">
        <v>564</v>
      </c>
      <c r="M1332" s="3">
        <v>80</v>
      </c>
      <c r="N1332" s="3" t="s">
        <v>273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563</v>
      </c>
      <c r="C1333" s="3" t="s">
        <v>333</v>
      </c>
      <c r="D1333" s="3"/>
      <c r="E1333" s="3" t="s">
        <v>333</v>
      </c>
      <c r="F1333" s="3"/>
      <c r="G1333" s="3"/>
      <c r="H1333" s="3"/>
      <c r="I1333" s="3"/>
      <c r="J1333" s="3"/>
      <c r="K1333" s="3"/>
      <c r="L1333" s="3" t="s">
        <v>564</v>
      </c>
      <c r="M1333" s="3">
        <v>90</v>
      </c>
      <c r="N1333" s="3" t="s">
        <v>18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563</v>
      </c>
      <c r="C1334" s="3" t="s">
        <v>333</v>
      </c>
      <c r="D1334" s="3"/>
      <c r="E1334" s="3" t="s">
        <v>333</v>
      </c>
      <c r="F1334" s="3"/>
      <c r="G1334" s="3"/>
      <c r="H1334" s="3"/>
      <c r="I1334" s="3"/>
      <c r="J1334" s="3"/>
      <c r="K1334" s="3"/>
      <c r="L1334" s="3" t="s">
        <v>564</v>
      </c>
      <c r="M1334" s="3">
        <v>100</v>
      </c>
      <c r="N1334" s="3" t="s">
        <v>19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563</v>
      </c>
      <c r="C1335" s="3" t="s">
        <v>333</v>
      </c>
      <c r="D1335" s="3"/>
      <c r="E1335" s="3" t="s">
        <v>333</v>
      </c>
      <c r="F1335" s="3"/>
      <c r="G1335" s="3"/>
      <c r="H1335" s="3"/>
      <c r="I1335" s="3"/>
      <c r="J1335" s="3"/>
      <c r="K1335" s="3"/>
      <c r="L1335" s="3" t="s">
        <v>564</v>
      </c>
      <c r="M1335" s="3">
        <v>110</v>
      </c>
      <c r="N1335" s="3" t="s">
        <v>101</v>
      </c>
      <c r="O1335" s="3"/>
      <c r="P1335" s="3"/>
      <c r="Q1335" s="3">
        <v>0.66100000000000003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563</v>
      </c>
      <c r="C1336" s="3" t="s">
        <v>333</v>
      </c>
      <c r="D1336" s="3"/>
      <c r="E1336" s="3" t="s">
        <v>333</v>
      </c>
      <c r="F1336" s="3"/>
      <c r="G1336" s="3"/>
      <c r="H1336" s="3"/>
      <c r="I1336" s="3"/>
      <c r="J1336" s="3"/>
      <c r="K1336" s="3"/>
      <c r="L1336" s="3" t="s">
        <v>564</v>
      </c>
      <c r="M1336" s="3">
        <v>120</v>
      </c>
      <c r="N1336" s="3" t="s">
        <v>334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563</v>
      </c>
      <c r="C1337" s="3" t="s">
        <v>335</v>
      </c>
      <c r="D1337" s="3"/>
      <c r="E1337" s="3" t="s">
        <v>335</v>
      </c>
      <c r="F1337" s="3"/>
      <c r="G1337" s="3"/>
      <c r="H1337" s="3"/>
      <c r="I1337" s="3"/>
      <c r="J1337" s="3"/>
      <c r="K1337" s="3"/>
      <c r="L1337" s="3" t="s">
        <v>564</v>
      </c>
      <c r="M1337" s="3">
        <v>10</v>
      </c>
      <c r="N1337" s="3" t="s">
        <v>107</v>
      </c>
      <c r="O1337" s="3"/>
      <c r="P1337" s="3"/>
      <c r="Q1337" s="3">
        <v>2.0569999999999999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563</v>
      </c>
      <c r="C1338" s="3" t="s">
        <v>335</v>
      </c>
      <c r="D1338" s="3"/>
      <c r="E1338" s="3" t="s">
        <v>335</v>
      </c>
      <c r="F1338" s="3"/>
      <c r="G1338" s="3"/>
      <c r="H1338" s="3"/>
      <c r="I1338" s="3"/>
      <c r="J1338" s="3"/>
      <c r="K1338" s="3"/>
      <c r="L1338" s="3" t="s">
        <v>564</v>
      </c>
      <c r="M1338" s="3">
        <v>20</v>
      </c>
      <c r="N1338" s="3" t="s">
        <v>565</v>
      </c>
      <c r="O1338" s="3"/>
      <c r="P1338" s="3"/>
      <c r="Q1338" s="3">
        <v>2.0569999999999999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563</v>
      </c>
      <c r="C1339" s="3" t="s">
        <v>335</v>
      </c>
      <c r="D1339" s="3"/>
      <c r="E1339" s="3" t="s">
        <v>335</v>
      </c>
      <c r="F1339" s="3"/>
      <c r="G1339" s="3"/>
      <c r="H1339" s="3"/>
      <c r="I1339" s="3"/>
      <c r="J1339" s="3"/>
      <c r="K1339" s="3"/>
      <c r="L1339" s="3" t="s">
        <v>564</v>
      </c>
      <c r="M1339" s="3">
        <v>30</v>
      </c>
      <c r="N1339" s="3" t="s">
        <v>99</v>
      </c>
      <c r="O1339" s="3"/>
      <c r="P1339" s="3"/>
      <c r="Q1339" s="3">
        <v>0.55900000000000005</v>
      </c>
      <c r="R1339" s="3" t="s">
        <v>100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563</v>
      </c>
      <c r="C1340" s="3" t="s">
        <v>335</v>
      </c>
      <c r="D1340" s="3"/>
      <c r="E1340" s="3" t="s">
        <v>335</v>
      </c>
      <c r="F1340" s="3"/>
      <c r="G1340" s="3"/>
      <c r="H1340" s="3"/>
      <c r="I1340" s="3"/>
      <c r="J1340" s="3"/>
      <c r="K1340" s="3"/>
      <c r="L1340" s="3" t="s">
        <v>564</v>
      </c>
      <c r="M1340" s="3">
        <v>40</v>
      </c>
      <c r="N1340" s="3" t="s">
        <v>108</v>
      </c>
      <c r="O1340" s="3"/>
      <c r="P1340" s="3"/>
      <c r="Q1340" s="3">
        <v>15.545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563</v>
      </c>
      <c r="C1341" s="3" t="s">
        <v>335</v>
      </c>
      <c r="D1341" s="3"/>
      <c r="E1341" s="3" t="s">
        <v>335</v>
      </c>
      <c r="F1341" s="3"/>
      <c r="G1341" s="3"/>
      <c r="H1341" s="3"/>
      <c r="I1341" s="3"/>
      <c r="J1341" s="3"/>
      <c r="K1341" s="3"/>
      <c r="L1341" s="3" t="s">
        <v>564</v>
      </c>
      <c r="M1341" s="3">
        <v>50</v>
      </c>
      <c r="N1341" s="3" t="s">
        <v>105</v>
      </c>
      <c r="O1341" s="3"/>
      <c r="P1341" s="3"/>
      <c r="Q1341" s="3">
        <v>95.600999999999999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563</v>
      </c>
      <c r="C1342" s="3" t="s">
        <v>335</v>
      </c>
      <c r="D1342" s="3"/>
      <c r="E1342" s="3" t="s">
        <v>335</v>
      </c>
      <c r="F1342" s="3"/>
      <c r="G1342" s="3"/>
      <c r="H1342" s="3"/>
      <c r="I1342" s="3"/>
      <c r="J1342" s="3"/>
      <c r="K1342" s="3"/>
      <c r="L1342" s="3" t="s">
        <v>564</v>
      </c>
      <c r="M1342" s="3">
        <v>60</v>
      </c>
      <c r="N1342" s="3" t="s">
        <v>106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563</v>
      </c>
      <c r="C1343" s="3" t="s">
        <v>335</v>
      </c>
      <c r="D1343" s="3"/>
      <c r="E1343" s="3" t="s">
        <v>335</v>
      </c>
      <c r="F1343" s="3"/>
      <c r="G1343" s="3"/>
      <c r="H1343" s="3"/>
      <c r="I1343" s="3"/>
      <c r="J1343" s="3"/>
      <c r="K1343" s="3"/>
      <c r="L1343" s="3" t="s">
        <v>564</v>
      </c>
      <c r="M1343" s="3">
        <v>70</v>
      </c>
      <c r="N1343" s="3" t="s">
        <v>104</v>
      </c>
      <c r="O1343" s="3"/>
      <c r="P1343" s="3"/>
      <c r="Q1343" s="3">
        <v>0.152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563</v>
      </c>
      <c r="C1344" s="3" t="s">
        <v>335</v>
      </c>
      <c r="D1344" s="3"/>
      <c r="E1344" s="3" t="s">
        <v>335</v>
      </c>
      <c r="F1344" s="3"/>
      <c r="G1344" s="3"/>
      <c r="H1344" s="3"/>
      <c r="I1344" s="3"/>
      <c r="J1344" s="3"/>
      <c r="K1344" s="3"/>
      <c r="L1344" s="3" t="s">
        <v>564</v>
      </c>
      <c r="M1344" s="3">
        <v>80</v>
      </c>
      <c r="N1344" s="3" t="s">
        <v>273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563</v>
      </c>
      <c r="C1345" s="3" t="s">
        <v>335</v>
      </c>
      <c r="D1345" s="3"/>
      <c r="E1345" s="3" t="s">
        <v>335</v>
      </c>
      <c r="F1345" s="3"/>
      <c r="G1345" s="3"/>
      <c r="H1345" s="3"/>
      <c r="I1345" s="3"/>
      <c r="J1345" s="3"/>
      <c r="K1345" s="3"/>
      <c r="L1345" s="3" t="s">
        <v>564</v>
      </c>
      <c r="M1345" s="3">
        <v>90</v>
      </c>
      <c r="N1345" s="3" t="s">
        <v>18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563</v>
      </c>
      <c r="C1346" s="3" t="s">
        <v>335</v>
      </c>
      <c r="D1346" s="3"/>
      <c r="E1346" s="3" t="s">
        <v>335</v>
      </c>
      <c r="F1346" s="3"/>
      <c r="G1346" s="3"/>
      <c r="H1346" s="3"/>
      <c r="I1346" s="3"/>
      <c r="J1346" s="3"/>
      <c r="K1346" s="3"/>
      <c r="L1346" s="3" t="s">
        <v>564</v>
      </c>
      <c r="M1346" s="3">
        <v>100</v>
      </c>
      <c r="N1346" s="3" t="s">
        <v>19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563</v>
      </c>
      <c r="C1347" s="3" t="s">
        <v>335</v>
      </c>
      <c r="D1347" s="3"/>
      <c r="E1347" s="3" t="s">
        <v>335</v>
      </c>
      <c r="F1347" s="3"/>
      <c r="G1347" s="3"/>
      <c r="H1347" s="3"/>
      <c r="I1347" s="3"/>
      <c r="J1347" s="3"/>
      <c r="K1347" s="3"/>
      <c r="L1347" s="3" t="s">
        <v>564</v>
      </c>
      <c r="M1347" s="3">
        <v>110</v>
      </c>
      <c r="N1347" s="3" t="s">
        <v>101</v>
      </c>
      <c r="O1347" s="3"/>
      <c r="P1347" s="3"/>
      <c r="Q1347" s="3">
        <v>0.66100000000000003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563</v>
      </c>
      <c r="C1348" s="3" t="s">
        <v>335</v>
      </c>
      <c r="D1348" s="3"/>
      <c r="E1348" s="3" t="s">
        <v>335</v>
      </c>
      <c r="F1348" s="3"/>
      <c r="G1348" s="3"/>
      <c r="H1348" s="3"/>
      <c r="I1348" s="3"/>
      <c r="J1348" s="3"/>
      <c r="K1348" s="3"/>
      <c r="L1348" s="3" t="s">
        <v>564</v>
      </c>
      <c r="M1348" s="3">
        <v>120</v>
      </c>
      <c r="N1348" s="3" t="s">
        <v>336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563</v>
      </c>
      <c r="C1349" s="3" t="s">
        <v>337</v>
      </c>
      <c r="D1349" s="3"/>
      <c r="E1349" s="3" t="s">
        <v>337</v>
      </c>
      <c r="F1349" s="3"/>
      <c r="G1349" s="3"/>
      <c r="H1349" s="3"/>
      <c r="I1349" s="3"/>
      <c r="J1349" s="3"/>
      <c r="K1349" s="3"/>
      <c r="L1349" s="3" t="s">
        <v>564</v>
      </c>
      <c r="M1349" s="3">
        <v>10</v>
      </c>
      <c r="N1349" s="3" t="s">
        <v>107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563</v>
      </c>
      <c r="C1350" s="3" t="s">
        <v>337</v>
      </c>
      <c r="D1350" s="3"/>
      <c r="E1350" s="3" t="s">
        <v>337</v>
      </c>
      <c r="F1350" s="3"/>
      <c r="G1350" s="3"/>
      <c r="H1350" s="3"/>
      <c r="I1350" s="3"/>
      <c r="J1350" s="3"/>
      <c r="K1350" s="3"/>
      <c r="L1350" s="3" t="s">
        <v>564</v>
      </c>
      <c r="M1350" s="3">
        <v>20</v>
      </c>
      <c r="N1350" s="3" t="s">
        <v>565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563</v>
      </c>
      <c r="C1351" s="3" t="s">
        <v>337</v>
      </c>
      <c r="D1351" s="3"/>
      <c r="E1351" s="3" t="s">
        <v>337</v>
      </c>
      <c r="F1351" s="3"/>
      <c r="G1351" s="3"/>
      <c r="H1351" s="3"/>
      <c r="I1351" s="3"/>
      <c r="J1351" s="3"/>
      <c r="K1351" s="3"/>
      <c r="L1351" s="3" t="s">
        <v>564</v>
      </c>
      <c r="M1351" s="3">
        <v>30</v>
      </c>
      <c r="N1351" s="3" t="s">
        <v>99</v>
      </c>
      <c r="O1351" s="3"/>
      <c r="P1351" s="3"/>
      <c r="Q1351" s="3">
        <v>0.28100000000000003</v>
      </c>
      <c r="R1351" s="3" t="s">
        <v>100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563</v>
      </c>
      <c r="C1352" s="3" t="s">
        <v>337</v>
      </c>
      <c r="D1352" s="3"/>
      <c r="E1352" s="3" t="s">
        <v>337</v>
      </c>
      <c r="F1352" s="3"/>
      <c r="G1352" s="3"/>
      <c r="H1352" s="3"/>
      <c r="I1352" s="3"/>
      <c r="J1352" s="3"/>
      <c r="K1352" s="3"/>
      <c r="L1352" s="3" t="s">
        <v>564</v>
      </c>
      <c r="M1352" s="3">
        <v>40</v>
      </c>
      <c r="N1352" s="3" t="s">
        <v>108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563</v>
      </c>
      <c r="C1353" s="3" t="s">
        <v>337</v>
      </c>
      <c r="D1353" s="3"/>
      <c r="E1353" s="3" t="s">
        <v>337</v>
      </c>
      <c r="F1353" s="3"/>
      <c r="G1353" s="3"/>
      <c r="H1353" s="3"/>
      <c r="I1353" s="3"/>
      <c r="J1353" s="3"/>
      <c r="K1353" s="3"/>
      <c r="L1353" s="3" t="s">
        <v>564</v>
      </c>
      <c r="M1353" s="3">
        <v>50</v>
      </c>
      <c r="N1353" s="3" t="s">
        <v>105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563</v>
      </c>
      <c r="C1354" s="3" t="s">
        <v>337</v>
      </c>
      <c r="D1354" s="3"/>
      <c r="E1354" s="3" t="s">
        <v>337</v>
      </c>
      <c r="F1354" s="3"/>
      <c r="G1354" s="3"/>
      <c r="H1354" s="3"/>
      <c r="I1354" s="3"/>
      <c r="J1354" s="3"/>
      <c r="K1354" s="3"/>
      <c r="L1354" s="3" t="s">
        <v>564</v>
      </c>
      <c r="M1354" s="3">
        <v>60</v>
      </c>
      <c r="N1354" s="3" t="s">
        <v>106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563</v>
      </c>
      <c r="C1355" s="3" t="s">
        <v>337</v>
      </c>
      <c r="D1355" s="3"/>
      <c r="E1355" s="3" t="s">
        <v>337</v>
      </c>
      <c r="F1355" s="3"/>
      <c r="G1355" s="3"/>
      <c r="H1355" s="3"/>
      <c r="I1355" s="3"/>
      <c r="J1355" s="3"/>
      <c r="K1355" s="3"/>
      <c r="L1355" s="3" t="s">
        <v>564</v>
      </c>
      <c r="M1355" s="3">
        <v>70</v>
      </c>
      <c r="N1355" s="3" t="s">
        <v>104</v>
      </c>
      <c r="O1355" s="3"/>
      <c r="P1355" s="3"/>
      <c r="Q1355" s="3">
        <v>8.5000000000000006E-2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563</v>
      </c>
      <c r="C1356" s="3" t="s">
        <v>337</v>
      </c>
      <c r="D1356" s="3"/>
      <c r="E1356" s="3" t="s">
        <v>337</v>
      </c>
      <c r="F1356" s="3"/>
      <c r="G1356" s="3"/>
      <c r="H1356" s="3"/>
      <c r="I1356" s="3"/>
      <c r="J1356" s="3"/>
      <c r="K1356" s="3"/>
      <c r="L1356" s="3" t="s">
        <v>564</v>
      </c>
      <c r="M1356" s="3">
        <v>80</v>
      </c>
      <c r="N1356" s="3" t="s">
        <v>273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563</v>
      </c>
      <c r="C1357" s="3" t="s">
        <v>337</v>
      </c>
      <c r="D1357" s="3"/>
      <c r="E1357" s="3" t="s">
        <v>337</v>
      </c>
      <c r="F1357" s="3"/>
      <c r="G1357" s="3"/>
      <c r="H1357" s="3"/>
      <c r="I1357" s="3"/>
      <c r="J1357" s="3"/>
      <c r="K1357" s="3"/>
      <c r="L1357" s="3" t="s">
        <v>564</v>
      </c>
      <c r="M1357" s="3">
        <v>90</v>
      </c>
      <c r="N1357" s="3" t="s">
        <v>18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563</v>
      </c>
      <c r="C1358" s="3" t="s">
        <v>337</v>
      </c>
      <c r="D1358" s="3"/>
      <c r="E1358" s="3" t="s">
        <v>337</v>
      </c>
      <c r="F1358" s="3"/>
      <c r="G1358" s="3"/>
      <c r="H1358" s="3"/>
      <c r="I1358" s="3"/>
      <c r="J1358" s="3"/>
      <c r="K1358" s="3"/>
      <c r="L1358" s="3" t="s">
        <v>564</v>
      </c>
      <c r="M1358" s="3">
        <v>100</v>
      </c>
      <c r="N1358" s="3" t="s">
        <v>19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563</v>
      </c>
      <c r="C1359" s="3" t="s">
        <v>337</v>
      </c>
      <c r="D1359" s="3"/>
      <c r="E1359" s="3" t="s">
        <v>337</v>
      </c>
      <c r="F1359" s="3"/>
      <c r="G1359" s="3"/>
      <c r="H1359" s="3"/>
      <c r="I1359" s="3"/>
      <c r="J1359" s="3"/>
      <c r="K1359" s="3"/>
      <c r="L1359" s="3" t="s">
        <v>564</v>
      </c>
      <c r="M1359" s="3">
        <v>110</v>
      </c>
      <c r="N1359" s="3" t="s">
        <v>101</v>
      </c>
      <c r="O1359" s="3"/>
      <c r="P1359" s="3"/>
      <c r="Q1359" s="3">
        <v>0.69099999999999995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563</v>
      </c>
      <c r="C1360" s="3" t="s">
        <v>337</v>
      </c>
      <c r="D1360" s="3"/>
      <c r="E1360" s="3" t="s">
        <v>337</v>
      </c>
      <c r="F1360" s="3"/>
      <c r="G1360" s="3"/>
      <c r="H1360" s="3"/>
      <c r="I1360" s="3"/>
      <c r="J1360" s="3"/>
      <c r="K1360" s="3"/>
      <c r="L1360" s="3" t="s">
        <v>564</v>
      </c>
      <c r="M1360" s="3">
        <v>120</v>
      </c>
      <c r="N1360" s="3" t="s">
        <v>338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563</v>
      </c>
      <c r="C1361" s="3" t="s">
        <v>339</v>
      </c>
      <c r="D1361" s="3"/>
      <c r="E1361" s="3" t="s">
        <v>339</v>
      </c>
      <c r="F1361" s="3"/>
      <c r="G1361" s="3"/>
      <c r="H1361" s="3"/>
      <c r="I1361" s="3"/>
      <c r="J1361" s="3"/>
      <c r="K1361" s="3"/>
      <c r="L1361" s="3" t="s">
        <v>564</v>
      </c>
      <c r="M1361" s="3">
        <v>10</v>
      </c>
      <c r="N1361" s="3" t="s">
        <v>107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563</v>
      </c>
      <c r="C1362" s="3" t="s">
        <v>339</v>
      </c>
      <c r="D1362" s="3"/>
      <c r="E1362" s="3" t="s">
        <v>339</v>
      </c>
      <c r="F1362" s="3"/>
      <c r="G1362" s="3"/>
      <c r="H1362" s="3"/>
      <c r="I1362" s="3"/>
      <c r="J1362" s="3"/>
      <c r="K1362" s="3"/>
      <c r="L1362" s="3" t="s">
        <v>564</v>
      </c>
      <c r="M1362" s="3">
        <v>20</v>
      </c>
      <c r="N1362" s="3" t="s">
        <v>565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563</v>
      </c>
      <c r="C1363" s="3" t="s">
        <v>339</v>
      </c>
      <c r="D1363" s="3"/>
      <c r="E1363" s="3" t="s">
        <v>339</v>
      </c>
      <c r="F1363" s="3"/>
      <c r="G1363" s="3"/>
      <c r="H1363" s="3"/>
      <c r="I1363" s="3"/>
      <c r="J1363" s="3"/>
      <c r="K1363" s="3"/>
      <c r="L1363" s="3" t="s">
        <v>564</v>
      </c>
      <c r="M1363" s="3">
        <v>30</v>
      </c>
      <c r="N1363" s="3" t="s">
        <v>99</v>
      </c>
      <c r="O1363" s="3"/>
      <c r="P1363" s="3"/>
      <c r="Q1363" s="3">
        <v>0.33200000000000002</v>
      </c>
      <c r="R1363" s="3" t="s">
        <v>100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563</v>
      </c>
      <c r="C1364" s="3" t="s">
        <v>339</v>
      </c>
      <c r="D1364" s="3"/>
      <c r="E1364" s="3" t="s">
        <v>339</v>
      </c>
      <c r="F1364" s="3"/>
      <c r="G1364" s="3"/>
      <c r="H1364" s="3"/>
      <c r="I1364" s="3"/>
      <c r="J1364" s="3"/>
      <c r="K1364" s="3"/>
      <c r="L1364" s="3" t="s">
        <v>564</v>
      </c>
      <c r="M1364" s="3">
        <v>40</v>
      </c>
      <c r="N1364" s="3" t="s">
        <v>108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563</v>
      </c>
      <c r="C1365" s="3" t="s">
        <v>339</v>
      </c>
      <c r="D1365" s="3"/>
      <c r="E1365" s="3" t="s">
        <v>339</v>
      </c>
      <c r="F1365" s="3"/>
      <c r="G1365" s="3"/>
      <c r="H1365" s="3"/>
      <c r="I1365" s="3"/>
      <c r="J1365" s="3"/>
      <c r="K1365" s="3"/>
      <c r="L1365" s="3" t="s">
        <v>564</v>
      </c>
      <c r="M1365" s="3">
        <v>50</v>
      </c>
      <c r="N1365" s="3" t="s">
        <v>105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563</v>
      </c>
      <c r="C1366" s="3" t="s">
        <v>339</v>
      </c>
      <c r="D1366" s="3"/>
      <c r="E1366" s="3" t="s">
        <v>339</v>
      </c>
      <c r="F1366" s="3"/>
      <c r="G1366" s="3"/>
      <c r="H1366" s="3"/>
      <c r="I1366" s="3"/>
      <c r="J1366" s="3"/>
      <c r="K1366" s="3"/>
      <c r="L1366" s="3" t="s">
        <v>564</v>
      </c>
      <c r="M1366" s="3">
        <v>60</v>
      </c>
      <c r="N1366" s="3" t="s">
        <v>106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563</v>
      </c>
      <c r="C1367" s="3" t="s">
        <v>339</v>
      </c>
      <c r="D1367" s="3"/>
      <c r="E1367" s="3" t="s">
        <v>339</v>
      </c>
      <c r="F1367" s="3"/>
      <c r="G1367" s="3"/>
      <c r="H1367" s="3"/>
      <c r="I1367" s="3"/>
      <c r="J1367" s="3"/>
      <c r="K1367" s="3"/>
      <c r="L1367" s="3" t="s">
        <v>564</v>
      </c>
      <c r="M1367" s="3">
        <v>70</v>
      </c>
      <c r="N1367" s="3" t="s">
        <v>104</v>
      </c>
      <c r="O1367" s="3"/>
      <c r="P1367" s="3"/>
      <c r="Q1367" s="3">
        <v>9.6000000000000002E-2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563</v>
      </c>
      <c r="C1368" s="3" t="s">
        <v>339</v>
      </c>
      <c r="D1368" s="3"/>
      <c r="E1368" s="3" t="s">
        <v>339</v>
      </c>
      <c r="F1368" s="3"/>
      <c r="G1368" s="3"/>
      <c r="H1368" s="3"/>
      <c r="I1368" s="3"/>
      <c r="J1368" s="3"/>
      <c r="K1368" s="3"/>
      <c r="L1368" s="3" t="s">
        <v>564</v>
      </c>
      <c r="M1368" s="3">
        <v>80</v>
      </c>
      <c r="N1368" s="3" t="s">
        <v>273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563</v>
      </c>
      <c r="C1369" s="3" t="s">
        <v>339</v>
      </c>
      <c r="D1369" s="3"/>
      <c r="E1369" s="3" t="s">
        <v>339</v>
      </c>
      <c r="F1369" s="3"/>
      <c r="G1369" s="3"/>
      <c r="H1369" s="3"/>
      <c r="I1369" s="3"/>
      <c r="J1369" s="3"/>
      <c r="K1369" s="3"/>
      <c r="L1369" s="3" t="s">
        <v>564</v>
      </c>
      <c r="M1369" s="3">
        <v>90</v>
      </c>
      <c r="N1369" s="3" t="s">
        <v>18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563</v>
      </c>
      <c r="C1370" s="3" t="s">
        <v>339</v>
      </c>
      <c r="D1370" s="3"/>
      <c r="E1370" s="3" t="s">
        <v>339</v>
      </c>
      <c r="F1370" s="3"/>
      <c r="G1370" s="3"/>
      <c r="H1370" s="3"/>
      <c r="I1370" s="3"/>
      <c r="J1370" s="3"/>
      <c r="K1370" s="3"/>
      <c r="L1370" s="3" t="s">
        <v>564</v>
      </c>
      <c r="M1370" s="3">
        <v>100</v>
      </c>
      <c r="N1370" s="3" t="s">
        <v>19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563</v>
      </c>
      <c r="C1371" s="3" t="s">
        <v>339</v>
      </c>
      <c r="D1371" s="3"/>
      <c r="E1371" s="3" t="s">
        <v>339</v>
      </c>
      <c r="F1371" s="3"/>
      <c r="G1371" s="3"/>
      <c r="H1371" s="3"/>
      <c r="I1371" s="3"/>
      <c r="J1371" s="3"/>
      <c r="K1371" s="3"/>
      <c r="L1371" s="3" t="s">
        <v>564</v>
      </c>
      <c r="M1371" s="3">
        <v>110</v>
      </c>
      <c r="N1371" s="3" t="s">
        <v>101</v>
      </c>
      <c r="O1371" s="3"/>
      <c r="P1371" s="3"/>
      <c r="Q1371" s="3">
        <v>0.69099999999999995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563</v>
      </c>
      <c r="C1372" s="3" t="s">
        <v>339</v>
      </c>
      <c r="D1372" s="3"/>
      <c r="E1372" s="3" t="s">
        <v>339</v>
      </c>
      <c r="F1372" s="3"/>
      <c r="G1372" s="3"/>
      <c r="H1372" s="3"/>
      <c r="I1372" s="3"/>
      <c r="J1372" s="3"/>
      <c r="K1372" s="3"/>
      <c r="L1372" s="3" t="s">
        <v>564</v>
      </c>
      <c r="M1372" s="3">
        <v>120</v>
      </c>
      <c r="N1372" s="3" t="s">
        <v>340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563</v>
      </c>
      <c r="C1373" s="3" t="s">
        <v>341</v>
      </c>
      <c r="D1373" s="3"/>
      <c r="E1373" s="3" t="s">
        <v>341</v>
      </c>
      <c r="F1373" s="3"/>
      <c r="G1373" s="3"/>
      <c r="H1373" s="3"/>
      <c r="I1373" s="3"/>
      <c r="J1373" s="3"/>
      <c r="K1373" s="3"/>
      <c r="L1373" s="3" t="s">
        <v>564</v>
      </c>
      <c r="M1373" s="3">
        <v>10</v>
      </c>
      <c r="N1373" s="3" t="s">
        <v>107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563</v>
      </c>
      <c r="C1374" s="3" t="s">
        <v>341</v>
      </c>
      <c r="D1374" s="3"/>
      <c r="E1374" s="3" t="s">
        <v>341</v>
      </c>
      <c r="F1374" s="3"/>
      <c r="G1374" s="3"/>
      <c r="H1374" s="3"/>
      <c r="I1374" s="3"/>
      <c r="J1374" s="3"/>
      <c r="K1374" s="3"/>
      <c r="L1374" s="3" t="s">
        <v>564</v>
      </c>
      <c r="M1374" s="3">
        <v>20</v>
      </c>
      <c r="N1374" s="3" t="s">
        <v>565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563</v>
      </c>
      <c r="C1375" s="3" t="s">
        <v>341</v>
      </c>
      <c r="D1375" s="3"/>
      <c r="E1375" s="3" t="s">
        <v>341</v>
      </c>
      <c r="F1375" s="3"/>
      <c r="G1375" s="3"/>
      <c r="H1375" s="3"/>
      <c r="I1375" s="3"/>
      <c r="J1375" s="3"/>
      <c r="K1375" s="3"/>
      <c r="L1375" s="3" t="s">
        <v>564</v>
      </c>
      <c r="M1375" s="3">
        <v>30</v>
      </c>
      <c r="N1375" s="3" t="s">
        <v>99</v>
      </c>
      <c r="O1375" s="3"/>
      <c r="P1375" s="3"/>
      <c r="Q1375" s="3">
        <v>0.38300000000000001</v>
      </c>
      <c r="R1375" s="3" t="s">
        <v>100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563</v>
      </c>
      <c r="C1376" s="3" t="s">
        <v>341</v>
      </c>
      <c r="D1376" s="3"/>
      <c r="E1376" s="3" t="s">
        <v>341</v>
      </c>
      <c r="F1376" s="3"/>
      <c r="G1376" s="3"/>
      <c r="H1376" s="3"/>
      <c r="I1376" s="3"/>
      <c r="J1376" s="3"/>
      <c r="K1376" s="3"/>
      <c r="L1376" s="3" t="s">
        <v>564</v>
      </c>
      <c r="M1376" s="3">
        <v>40</v>
      </c>
      <c r="N1376" s="3" t="s">
        <v>108</v>
      </c>
      <c r="O1376" s="3"/>
      <c r="P1376" s="3"/>
      <c r="Q1376" s="3">
        <v>13.513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563</v>
      </c>
      <c r="C1377" s="3" t="s">
        <v>341</v>
      </c>
      <c r="D1377" s="3"/>
      <c r="E1377" s="3" t="s">
        <v>341</v>
      </c>
      <c r="F1377" s="3"/>
      <c r="G1377" s="3"/>
      <c r="H1377" s="3"/>
      <c r="I1377" s="3"/>
      <c r="J1377" s="3"/>
      <c r="K1377" s="3"/>
      <c r="L1377" s="3" t="s">
        <v>564</v>
      </c>
      <c r="M1377" s="3">
        <v>50</v>
      </c>
      <c r="N1377" s="3" t="s">
        <v>105</v>
      </c>
      <c r="O1377" s="3"/>
      <c r="P1377" s="3"/>
      <c r="Q1377" s="3">
        <v>83.103999999999999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563</v>
      </c>
      <c r="C1378" s="3" t="s">
        <v>341</v>
      </c>
      <c r="D1378" s="3"/>
      <c r="E1378" s="3" t="s">
        <v>341</v>
      </c>
      <c r="F1378" s="3"/>
      <c r="G1378" s="3"/>
      <c r="H1378" s="3"/>
      <c r="I1378" s="3"/>
      <c r="J1378" s="3"/>
      <c r="K1378" s="3"/>
      <c r="L1378" s="3" t="s">
        <v>564</v>
      </c>
      <c r="M1378" s="3">
        <v>60</v>
      </c>
      <c r="N1378" s="3" t="s">
        <v>106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563</v>
      </c>
      <c r="C1379" s="3" t="s">
        <v>341</v>
      </c>
      <c r="D1379" s="3"/>
      <c r="E1379" s="3" t="s">
        <v>341</v>
      </c>
      <c r="F1379" s="3"/>
      <c r="G1379" s="3"/>
      <c r="H1379" s="3"/>
      <c r="I1379" s="3"/>
      <c r="J1379" s="3"/>
      <c r="K1379" s="3"/>
      <c r="L1379" s="3" t="s">
        <v>564</v>
      </c>
      <c r="M1379" s="3">
        <v>70</v>
      </c>
      <c r="N1379" s="3" t="s">
        <v>104</v>
      </c>
      <c r="O1379" s="3"/>
      <c r="P1379" s="3"/>
      <c r="Q1379" s="3">
        <v>0.107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563</v>
      </c>
      <c r="C1380" s="3" t="s">
        <v>341</v>
      </c>
      <c r="D1380" s="3"/>
      <c r="E1380" s="3" t="s">
        <v>341</v>
      </c>
      <c r="F1380" s="3"/>
      <c r="G1380" s="3"/>
      <c r="H1380" s="3"/>
      <c r="I1380" s="3"/>
      <c r="J1380" s="3"/>
      <c r="K1380" s="3"/>
      <c r="L1380" s="3" t="s">
        <v>564</v>
      </c>
      <c r="M1380" s="3">
        <v>80</v>
      </c>
      <c r="N1380" s="3" t="s">
        <v>273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563</v>
      </c>
      <c r="C1381" s="3" t="s">
        <v>341</v>
      </c>
      <c r="D1381" s="3"/>
      <c r="E1381" s="3" t="s">
        <v>341</v>
      </c>
      <c r="F1381" s="3"/>
      <c r="G1381" s="3"/>
      <c r="H1381" s="3"/>
      <c r="I1381" s="3"/>
      <c r="J1381" s="3"/>
      <c r="K1381" s="3"/>
      <c r="L1381" s="3" t="s">
        <v>564</v>
      </c>
      <c r="M1381" s="3">
        <v>90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563</v>
      </c>
      <c r="C1382" s="3" t="s">
        <v>341</v>
      </c>
      <c r="D1382" s="3"/>
      <c r="E1382" s="3" t="s">
        <v>341</v>
      </c>
      <c r="F1382" s="3"/>
      <c r="G1382" s="3"/>
      <c r="H1382" s="3"/>
      <c r="I1382" s="3"/>
      <c r="J1382" s="3"/>
      <c r="K1382" s="3"/>
      <c r="L1382" s="3" t="s">
        <v>564</v>
      </c>
      <c r="M1382" s="3">
        <v>100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563</v>
      </c>
      <c r="C1383" s="3" t="s">
        <v>341</v>
      </c>
      <c r="D1383" s="3"/>
      <c r="E1383" s="3" t="s">
        <v>341</v>
      </c>
      <c r="F1383" s="3"/>
      <c r="G1383" s="3"/>
      <c r="H1383" s="3"/>
      <c r="I1383" s="3"/>
      <c r="J1383" s="3"/>
      <c r="K1383" s="3"/>
      <c r="L1383" s="3" t="s">
        <v>564</v>
      </c>
      <c r="M1383" s="3">
        <v>110</v>
      </c>
      <c r="N1383" s="3" t="s">
        <v>101</v>
      </c>
      <c r="O1383" s="3"/>
      <c r="P1383" s="3"/>
      <c r="Q1383" s="3">
        <v>0.69099999999999995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563</v>
      </c>
      <c r="C1384" s="3" t="s">
        <v>341</v>
      </c>
      <c r="D1384" s="3"/>
      <c r="E1384" s="3" t="s">
        <v>341</v>
      </c>
      <c r="F1384" s="3"/>
      <c r="G1384" s="3"/>
      <c r="H1384" s="3"/>
      <c r="I1384" s="3"/>
      <c r="J1384" s="3"/>
      <c r="K1384" s="3"/>
      <c r="L1384" s="3" t="s">
        <v>564</v>
      </c>
      <c r="M1384" s="3">
        <v>120</v>
      </c>
      <c r="N1384" s="3" t="s">
        <v>342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563</v>
      </c>
      <c r="C1385" s="3" t="s">
        <v>343</v>
      </c>
      <c r="D1385" s="3"/>
      <c r="E1385" s="3" t="s">
        <v>343</v>
      </c>
      <c r="F1385" s="3"/>
      <c r="G1385" s="3"/>
      <c r="H1385" s="3"/>
      <c r="I1385" s="3"/>
      <c r="J1385" s="3"/>
      <c r="K1385" s="3"/>
      <c r="L1385" s="3" t="s">
        <v>564</v>
      </c>
      <c r="M1385" s="3">
        <v>10</v>
      </c>
      <c r="N1385" s="3" t="s">
        <v>107</v>
      </c>
      <c r="O1385" s="3"/>
      <c r="P1385" s="3"/>
      <c r="Q1385" s="3">
        <v>2.1589999999999998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563</v>
      </c>
      <c r="C1386" s="3" t="s">
        <v>343</v>
      </c>
      <c r="D1386" s="3"/>
      <c r="E1386" s="3" t="s">
        <v>343</v>
      </c>
      <c r="F1386" s="3"/>
      <c r="G1386" s="3"/>
      <c r="H1386" s="3"/>
      <c r="I1386" s="3"/>
      <c r="J1386" s="3"/>
      <c r="K1386" s="3"/>
      <c r="L1386" s="3" t="s">
        <v>564</v>
      </c>
      <c r="M1386" s="3">
        <v>20</v>
      </c>
      <c r="N1386" s="3" t="s">
        <v>565</v>
      </c>
      <c r="O1386" s="3"/>
      <c r="P1386" s="3"/>
      <c r="Q1386" s="3">
        <v>2.1589999999999998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563</v>
      </c>
      <c r="C1387" s="3" t="s">
        <v>343</v>
      </c>
      <c r="D1387" s="3"/>
      <c r="E1387" s="3" t="s">
        <v>343</v>
      </c>
      <c r="F1387" s="3"/>
      <c r="G1387" s="3"/>
      <c r="H1387" s="3"/>
      <c r="I1387" s="3"/>
      <c r="J1387" s="3"/>
      <c r="K1387" s="3"/>
      <c r="L1387" s="3" t="s">
        <v>564</v>
      </c>
      <c r="M1387" s="3">
        <v>30</v>
      </c>
      <c r="N1387" s="3" t="s">
        <v>99</v>
      </c>
      <c r="O1387" s="3"/>
      <c r="P1387" s="3"/>
      <c r="Q1387" s="3">
        <v>0.434</v>
      </c>
      <c r="R1387" s="3" t="s">
        <v>100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563</v>
      </c>
      <c r="C1388" s="3" t="s">
        <v>343</v>
      </c>
      <c r="D1388" s="3"/>
      <c r="E1388" s="3" t="s">
        <v>343</v>
      </c>
      <c r="F1388" s="3"/>
      <c r="G1388" s="3"/>
      <c r="H1388" s="3"/>
      <c r="I1388" s="3"/>
      <c r="J1388" s="3"/>
      <c r="K1388" s="3"/>
      <c r="L1388" s="3" t="s">
        <v>564</v>
      </c>
      <c r="M1388" s="3">
        <v>40</v>
      </c>
      <c r="N1388" s="3" t="s">
        <v>108</v>
      </c>
      <c r="O1388" s="3"/>
      <c r="P1388" s="3"/>
      <c r="Q1388" s="3">
        <v>14.122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563</v>
      </c>
      <c r="C1389" s="3" t="s">
        <v>343</v>
      </c>
      <c r="D1389" s="3"/>
      <c r="E1389" s="3" t="s">
        <v>343</v>
      </c>
      <c r="F1389" s="3"/>
      <c r="G1389" s="3"/>
      <c r="H1389" s="3"/>
      <c r="I1389" s="3"/>
      <c r="J1389" s="3"/>
      <c r="K1389" s="3"/>
      <c r="L1389" s="3" t="s">
        <v>564</v>
      </c>
      <c r="M1389" s="3">
        <v>50</v>
      </c>
      <c r="N1389" s="3" t="s">
        <v>105</v>
      </c>
      <c r="O1389" s="3"/>
      <c r="P1389" s="3"/>
      <c r="Q1389" s="3">
        <v>86.852999999999994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563</v>
      </c>
      <c r="C1390" s="3" t="s">
        <v>343</v>
      </c>
      <c r="D1390" s="3"/>
      <c r="E1390" s="3" t="s">
        <v>343</v>
      </c>
      <c r="F1390" s="3"/>
      <c r="G1390" s="3"/>
      <c r="H1390" s="3"/>
      <c r="I1390" s="3"/>
      <c r="J1390" s="3"/>
      <c r="K1390" s="3"/>
      <c r="L1390" s="3" t="s">
        <v>564</v>
      </c>
      <c r="M1390" s="3">
        <v>60</v>
      </c>
      <c r="N1390" s="3" t="s">
        <v>106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563</v>
      </c>
      <c r="C1391" s="3" t="s">
        <v>343</v>
      </c>
      <c r="D1391" s="3"/>
      <c r="E1391" s="3" t="s">
        <v>343</v>
      </c>
      <c r="F1391" s="3"/>
      <c r="G1391" s="3"/>
      <c r="H1391" s="3"/>
      <c r="I1391" s="3"/>
      <c r="J1391" s="3"/>
      <c r="K1391" s="3"/>
      <c r="L1391" s="3" t="s">
        <v>564</v>
      </c>
      <c r="M1391" s="3">
        <v>70</v>
      </c>
      <c r="N1391" s="3" t="s">
        <v>104</v>
      </c>
      <c r="O1391" s="3"/>
      <c r="P1391" s="3"/>
      <c r="Q1391" s="3">
        <v>0.11799999999999999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563</v>
      </c>
      <c r="C1392" s="3" t="s">
        <v>343</v>
      </c>
      <c r="D1392" s="3"/>
      <c r="E1392" s="3" t="s">
        <v>343</v>
      </c>
      <c r="F1392" s="3"/>
      <c r="G1392" s="3"/>
      <c r="H1392" s="3"/>
      <c r="I1392" s="3"/>
      <c r="J1392" s="3"/>
      <c r="K1392" s="3"/>
      <c r="L1392" s="3" t="s">
        <v>564</v>
      </c>
      <c r="M1392" s="3">
        <v>80</v>
      </c>
      <c r="N1392" s="3" t="s">
        <v>273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563</v>
      </c>
      <c r="C1393" s="3" t="s">
        <v>343</v>
      </c>
      <c r="D1393" s="3"/>
      <c r="E1393" s="3" t="s">
        <v>343</v>
      </c>
      <c r="F1393" s="3"/>
      <c r="G1393" s="3"/>
      <c r="H1393" s="3"/>
      <c r="I1393" s="3"/>
      <c r="J1393" s="3"/>
      <c r="K1393" s="3"/>
      <c r="L1393" s="3" t="s">
        <v>564</v>
      </c>
      <c r="M1393" s="3">
        <v>90</v>
      </c>
      <c r="N1393" s="3" t="s">
        <v>18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563</v>
      </c>
      <c r="C1394" s="3" t="s">
        <v>343</v>
      </c>
      <c r="D1394" s="3"/>
      <c r="E1394" s="3" t="s">
        <v>343</v>
      </c>
      <c r="F1394" s="3"/>
      <c r="G1394" s="3"/>
      <c r="H1394" s="3"/>
      <c r="I1394" s="3"/>
      <c r="J1394" s="3"/>
      <c r="K1394" s="3"/>
      <c r="L1394" s="3" t="s">
        <v>564</v>
      </c>
      <c r="M1394" s="3">
        <v>100</v>
      </c>
      <c r="N1394" s="3" t="s">
        <v>19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563</v>
      </c>
      <c r="C1395" s="3" t="s">
        <v>343</v>
      </c>
      <c r="D1395" s="3"/>
      <c r="E1395" s="3" t="s">
        <v>343</v>
      </c>
      <c r="F1395" s="3"/>
      <c r="G1395" s="3"/>
      <c r="H1395" s="3"/>
      <c r="I1395" s="3"/>
      <c r="J1395" s="3"/>
      <c r="K1395" s="3"/>
      <c r="L1395" s="3" t="s">
        <v>564</v>
      </c>
      <c r="M1395" s="3">
        <v>110</v>
      </c>
      <c r="N1395" s="3" t="s">
        <v>101</v>
      </c>
      <c r="O1395" s="3"/>
      <c r="P1395" s="3"/>
      <c r="Q1395" s="3">
        <v>0.69099999999999995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563</v>
      </c>
      <c r="C1396" s="3" t="s">
        <v>343</v>
      </c>
      <c r="D1396" s="3"/>
      <c r="E1396" s="3" t="s">
        <v>343</v>
      </c>
      <c r="F1396" s="3"/>
      <c r="G1396" s="3"/>
      <c r="H1396" s="3"/>
      <c r="I1396" s="3"/>
      <c r="J1396" s="3"/>
      <c r="K1396" s="3"/>
      <c r="L1396" s="3" t="s">
        <v>564</v>
      </c>
      <c r="M1396" s="3">
        <v>120</v>
      </c>
      <c r="N1396" s="3" t="s">
        <v>344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563</v>
      </c>
      <c r="C1397" s="3" t="s">
        <v>345</v>
      </c>
      <c r="D1397" s="3"/>
      <c r="E1397" s="3" t="s">
        <v>345</v>
      </c>
      <c r="F1397" s="3"/>
      <c r="G1397" s="3"/>
      <c r="H1397" s="3"/>
      <c r="I1397" s="3"/>
      <c r="J1397" s="3"/>
      <c r="K1397" s="3"/>
      <c r="L1397" s="3" t="s">
        <v>564</v>
      </c>
      <c r="M1397" s="3">
        <v>10</v>
      </c>
      <c r="N1397" s="3" t="s">
        <v>107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563</v>
      </c>
      <c r="C1398" s="3" t="s">
        <v>345</v>
      </c>
      <c r="D1398" s="3"/>
      <c r="E1398" s="3" t="s">
        <v>345</v>
      </c>
      <c r="F1398" s="3"/>
      <c r="G1398" s="3"/>
      <c r="H1398" s="3"/>
      <c r="I1398" s="3"/>
      <c r="J1398" s="3"/>
      <c r="K1398" s="3"/>
      <c r="L1398" s="3" t="s">
        <v>564</v>
      </c>
      <c r="M1398" s="3">
        <v>20</v>
      </c>
      <c r="N1398" s="3" t="s">
        <v>565</v>
      </c>
      <c r="O1398" s="3"/>
      <c r="P1398" s="3"/>
      <c r="Q1398" s="3">
        <v>2.1589999999999998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563</v>
      </c>
      <c r="C1399" s="3" t="s">
        <v>345</v>
      </c>
      <c r="D1399" s="3"/>
      <c r="E1399" s="3" t="s">
        <v>345</v>
      </c>
      <c r="F1399" s="3"/>
      <c r="G1399" s="3"/>
      <c r="H1399" s="3"/>
      <c r="I1399" s="3"/>
      <c r="J1399" s="3"/>
      <c r="K1399" s="3"/>
      <c r="L1399" s="3" t="s">
        <v>564</v>
      </c>
      <c r="M1399" s="3">
        <v>30</v>
      </c>
      <c r="N1399" s="3" t="s">
        <v>99</v>
      </c>
      <c r="O1399" s="3"/>
      <c r="P1399" s="3"/>
      <c r="Q1399" s="3">
        <v>0.45900000000000002</v>
      </c>
      <c r="R1399" s="3" t="s">
        <v>100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563</v>
      </c>
      <c r="C1400" s="3" t="s">
        <v>345</v>
      </c>
      <c r="D1400" s="3"/>
      <c r="E1400" s="3" t="s">
        <v>345</v>
      </c>
      <c r="F1400" s="3"/>
      <c r="G1400" s="3"/>
      <c r="H1400" s="3"/>
      <c r="I1400" s="3"/>
      <c r="J1400" s="3"/>
      <c r="K1400" s="3"/>
      <c r="L1400" s="3" t="s">
        <v>564</v>
      </c>
      <c r="M1400" s="3">
        <v>40</v>
      </c>
      <c r="N1400" s="3" t="s">
        <v>108</v>
      </c>
      <c r="O1400" s="3"/>
      <c r="P1400" s="3"/>
      <c r="Q1400" s="3">
        <v>14.427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563</v>
      </c>
      <c r="C1401" s="3" t="s">
        <v>345</v>
      </c>
      <c r="D1401" s="3"/>
      <c r="E1401" s="3" t="s">
        <v>345</v>
      </c>
      <c r="F1401" s="3"/>
      <c r="G1401" s="3"/>
      <c r="H1401" s="3"/>
      <c r="I1401" s="3"/>
      <c r="J1401" s="3"/>
      <c r="K1401" s="3"/>
      <c r="L1401" s="3" t="s">
        <v>564</v>
      </c>
      <c r="M1401" s="3">
        <v>50</v>
      </c>
      <c r="N1401" s="3" t="s">
        <v>105</v>
      </c>
      <c r="O1401" s="3"/>
      <c r="P1401" s="3"/>
      <c r="Q1401" s="3">
        <v>88.727000000000004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563</v>
      </c>
      <c r="C1402" s="3" t="s">
        <v>345</v>
      </c>
      <c r="D1402" s="3"/>
      <c r="E1402" s="3" t="s">
        <v>345</v>
      </c>
      <c r="F1402" s="3"/>
      <c r="G1402" s="3"/>
      <c r="H1402" s="3"/>
      <c r="I1402" s="3"/>
      <c r="J1402" s="3"/>
      <c r="K1402" s="3"/>
      <c r="L1402" s="3" t="s">
        <v>564</v>
      </c>
      <c r="M1402" s="3">
        <v>60</v>
      </c>
      <c r="N1402" s="3" t="s">
        <v>106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563</v>
      </c>
      <c r="C1403" s="3" t="s">
        <v>345</v>
      </c>
      <c r="D1403" s="3"/>
      <c r="E1403" s="3" t="s">
        <v>345</v>
      </c>
      <c r="F1403" s="3"/>
      <c r="G1403" s="3"/>
      <c r="H1403" s="3"/>
      <c r="I1403" s="3"/>
      <c r="J1403" s="3"/>
      <c r="K1403" s="3"/>
      <c r="L1403" s="3" t="s">
        <v>564</v>
      </c>
      <c r="M1403" s="3">
        <v>70</v>
      </c>
      <c r="N1403" s="3" t="s">
        <v>104</v>
      </c>
      <c r="O1403" s="3"/>
      <c r="P1403" s="3"/>
      <c r="Q1403" s="3">
        <v>0.124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563</v>
      </c>
      <c r="C1404" s="3" t="s">
        <v>345</v>
      </c>
      <c r="D1404" s="3"/>
      <c r="E1404" s="3" t="s">
        <v>345</v>
      </c>
      <c r="F1404" s="3"/>
      <c r="G1404" s="3"/>
      <c r="H1404" s="3"/>
      <c r="I1404" s="3"/>
      <c r="J1404" s="3"/>
      <c r="K1404" s="3"/>
      <c r="L1404" s="3" t="s">
        <v>564</v>
      </c>
      <c r="M1404" s="3">
        <v>80</v>
      </c>
      <c r="N1404" s="3" t="s">
        <v>273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563</v>
      </c>
      <c r="C1405" s="3" t="s">
        <v>345</v>
      </c>
      <c r="D1405" s="3"/>
      <c r="E1405" s="3" t="s">
        <v>345</v>
      </c>
      <c r="F1405" s="3"/>
      <c r="G1405" s="3"/>
      <c r="H1405" s="3"/>
      <c r="I1405" s="3"/>
      <c r="J1405" s="3"/>
      <c r="K1405" s="3"/>
      <c r="L1405" s="3" t="s">
        <v>564</v>
      </c>
      <c r="M1405" s="3">
        <v>90</v>
      </c>
      <c r="N1405" s="3" t="s">
        <v>18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563</v>
      </c>
      <c r="C1406" s="3" t="s">
        <v>345</v>
      </c>
      <c r="D1406" s="3"/>
      <c r="E1406" s="3" t="s">
        <v>345</v>
      </c>
      <c r="F1406" s="3"/>
      <c r="G1406" s="3"/>
      <c r="H1406" s="3"/>
      <c r="I1406" s="3"/>
      <c r="J1406" s="3"/>
      <c r="K1406" s="3"/>
      <c r="L1406" s="3" t="s">
        <v>564</v>
      </c>
      <c r="M1406" s="3">
        <v>100</v>
      </c>
      <c r="N1406" s="3" t="s">
        <v>19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563</v>
      </c>
      <c r="C1407" s="3" t="s">
        <v>345</v>
      </c>
      <c r="D1407" s="3"/>
      <c r="E1407" s="3" t="s">
        <v>345</v>
      </c>
      <c r="F1407" s="3"/>
      <c r="G1407" s="3"/>
      <c r="H1407" s="3"/>
      <c r="I1407" s="3"/>
      <c r="J1407" s="3"/>
      <c r="K1407" s="3"/>
      <c r="L1407" s="3" t="s">
        <v>564</v>
      </c>
      <c r="M1407" s="3">
        <v>110</v>
      </c>
      <c r="N1407" s="3" t="s">
        <v>101</v>
      </c>
      <c r="O1407" s="3"/>
      <c r="P1407" s="3"/>
      <c r="Q1407" s="3">
        <v>0.69099999999999995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563</v>
      </c>
      <c r="C1408" s="3" t="s">
        <v>345</v>
      </c>
      <c r="D1408" s="3"/>
      <c r="E1408" s="3" t="s">
        <v>345</v>
      </c>
      <c r="F1408" s="3"/>
      <c r="G1408" s="3"/>
      <c r="H1408" s="3"/>
      <c r="I1408" s="3"/>
      <c r="J1408" s="3"/>
      <c r="K1408" s="3"/>
      <c r="L1408" s="3" t="s">
        <v>564</v>
      </c>
      <c r="M1408" s="3">
        <v>120</v>
      </c>
      <c r="N1408" s="3" t="s">
        <v>346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563</v>
      </c>
      <c r="C1409" s="3" t="s">
        <v>347</v>
      </c>
      <c r="D1409" s="3"/>
      <c r="E1409" s="3" t="s">
        <v>347</v>
      </c>
      <c r="F1409" s="3"/>
      <c r="G1409" s="3"/>
      <c r="H1409" s="3"/>
      <c r="I1409" s="3"/>
      <c r="J1409" s="3"/>
      <c r="K1409" s="3"/>
      <c r="L1409" s="3" t="s">
        <v>564</v>
      </c>
      <c r="M1409" s="3">
        <v>10</v>
      </c>
      <c r="N1409" s="3" t="s">
        <v>107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563</v>
      </c>
      <c r="C1410" s="3" t="s">
        <v>347</v>
      </c>
      <c r="D1410" s="3"/>
      <c r="E1410" s="3" t="s">
        <v>347</v>
      </c>
      <c r="F1410" s="3"/>
      <c r="G1410" s="3"/>
      <c r="H1410" s="3"/>
      <c r="I1410" s="3"/>
      <c r="J1410" s="3"/>
      <c r="K1410" s="3"/>
      <c r="L1410" s="3" t="s">
        <v>564</v>
      </c>
      <c r="M1410" s="3">
        <v>20</v>
      </c>
      <c r="N1410" s="3" t="s">
        <v>565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563</v>
      </c>
      <c r="C1411" s="3" t="s">
        <v>347</v>
      </c>
      <c r="D1411" s="3"/>
      <c r="E1411" s="3" t="s">
        <v>347</v>
      </c>
      <c r="F1411" s="3"/>
      <c r="G1411" s="3"/>
      <c r="H1411" s="3"/>
      <c r="I1411" s="3"/>
      <c r="J1411" s="3"/>
      <c r="K1411" s="3"/>
      <c r="L1411" s="3" t="s">
        <v>564</v>
      </c>
      <c r="M1411" s="3">
        <v>30</v>
      </c>
      <c r="N1411" s="3" t="s">
        <v>99</v>
      </c>
      <c r="O1411" s="3"/>
      <c r="P1411" s="3"/>
      <c r="Q1411" s="3">
        <v>0.48499999999999999</v>
      </c>
      <c r="R1411" s="3" t="s">
        <v>100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563</v>
      </c>
      <c r="C1412" s="3" t="s">
        <v>347</v>
      </c>
      <c r="D1412" s="3"/>
      <c r="E1412" s="3" t="s">
        <v>347</v>
      </c>
      <c r="F1412" s="3"/>
      <c r="G1412" s="3"/>
      <c r="H1412" s="3"/>
      <c r="I1412" s="3"/>
      <c r="J1412" s="3"/>
      <c r="K1412" s="3"/>
      <c r="L1412" s="3" t="s">
        <v>564</v>
      </c>
      <c r="M1412" s="3">
        <v>40</v>
      </c>
      <c r="N1412" s="3" t="s">
        <v>108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563</v>
      </c>
      <c r="C1413" s="3" t="s">
        <v>347</v>
      </c>
      <c r="D1413" s="3"/>
      <c r="E1413" s="3" t="s">
        <v>347</v>
      </c>
      <c r="F1413" s="3"/>
      <c r="G1413" s="3"/>
      <c r="H1413" s="3"/>
      <c r="I1413" s="3"/>
      <c r="J1413" s="3"/>
      <c r="K1413" s="3"/>
      <c r="L1413" s="3" t="s">
        <v>564</v>
      </c>
      <c r="M1413" s="3">
        <v>50</v>
      </c>
      <c r="N1413" s="3" t="s">
        <v>105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563</v>
      </c>
      <c r="C1414" s="3" t="s">
        <v>347</v>
      </c>
      <c r="D1414" s="3"/>
      <c r="E1414" s="3" t="s">
        <v>347</v>
      </c>
      <c r="F1414" s="3"/>
      <c r="G1414" s="3"/>
      <c r="H1414" s="3"/>
      <c r="I1414" s="3"/>
      <c r="J1414" s="3"/>
      <c r="K1414" s="3"/>
      <c r="L1414" s="3" t="s">
        <v>564</v>
      </c>
      <c r="M1414" s="3">
        <v>60</v>
      </c>
      <c r="N1414" s="3" t="s">
        <v>106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563</v>
      </c>
      <c r="C1415" s="3" t="s">
        <v>347</v>
      </c>
      <c r="D1415" s="3"/>
      <c r="E1415" s="3" t="s">
        <v>347</v>
      </c>
      <c r="F1415" s="3"/>
      <c r="G1415" s="3"/>
      <c r="H1415" s="3"/>
      <c r="I1415" s="3"/>
      <c r="J1415" s="3"/>
      <c r="K1415" s="3"/>
      <c r="L1415" s="3" t="s">
        <v>564</v>
      </c>
      <c r="M1415" s="3">
        <v>70</v>
      </c>
      <c r="N1415" s="3" t="s">
        <v>104</v>
      </c>
      <c r="O1415" s="3"/>
      <c r="P1415" s="3"/>
      <c r="Q1415" s="3">
        <v>0.13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563</v>
      </c>
      <c r="C1416" s="3" t="s">
        <v>347</v>
      </c>
      <c r="D1416" s="3"/>
      <c r="E1416" s="3" t="s">
        <v>347</v>
      </c>
      <c r="F1416" s="3"/>
      <c r="G1416" s="3"/>
      <c r="H1416" s="3"/>
      <c r="I1416" s="3"/>
      <c r="J1416" s="3"/>
      <c r="K1416" s="3"/>
      <c r="L1416" s="3" t="s">
        <v>564</v>
      </c>
      <c r="M1416" s="3">
        <v>80</v>
      </c>
      <c r="N1416" s="3" t="s">
        <v>273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563</v>
      </c>
      <c r="C1417" s="3" t="s">
        <v>347</v>
      </c>
      <c r="D1417" s="3"/>
      <c r="E1417" s="3" t="s">
        <v>347</v>
      </c>
      <c r="F1417" s="3"/>
      <c r="G1417" s="3"/>
      <c r="H1417" s="3"/>
      <c r="I1417" s="3"/>
      <c r="J1417" s="3"/>
      <c r="K1417" s="3"/>
      <c r="L1417" s="3" t="s">
        <v>564</v>
      </c>
      <c r="M1417" s="3">
        <v>90</v>
      </c>
      <c r="N1417" s="3" t="s">
        <v>18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563</v>
      </c>
      <c r="C1418" s="3" t="s">
        <v>347</v>
      </c>
      <c r="D1418" s="3"/>
      <c r="E1418" s="3" t="s">
        <v>347</v>
      </c>
      <c r="F1418" s="3"/>
      <c r="G1418" s="3"/>
      <c r="H1418" s="3"/>
      <c r="I1418" s="3"/>
      <c r="J1418" s="3"/>
      <c r="K1418" s="3"/>
      <c r="L1418" s="3" t="s">
        <v>564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563</v>
      </c>
      <c r="C1419" s="3" t="s">
        <v>347</v>
      </c>
      <c r="D1419" s="3"/>
      <c r="E1419" s="3" t="s">
        <v>347</v>
      </c>
      <c r="F1419" s="3"/>
      <c r="G1419" s="3"/>
      <c r="H1419" s="3"/>
      <c r="I1419" s="3"/>
      <c r="J1419" s="3"/>
      <c r="K1419" s="3"/>
      <c r="L1419" s="3" t="s">
        <v>564</v>
      </c>
      <c r="M1419" s="3">
        <v>110</v>
      </c>
      <c r="N1419" s="3" t="s">
        <v>101</v>
      </c>
      <c r="O1419" s="3"/>
      <c r="P1419" s="3"/>
      <c r="Q1419" s="3">
        <v>0.69099999999999995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563</v>
      </c>
      <c r="C1420" s="3" t="s">
        <v>347</v>
      </c>
      <c r="D1420" s="3"/>
      <c r="E1420" s="3" t="s">
        <v>347</v>
      </c>
      <c r="F1420" s="3"/>
      <c r="G1420" s="3"/>
      <c r="H1420" s="3"/>
      <c r="I1420" s="3"/>
      <c r="J1420" s="3"/>
      <c r="K1420" s="3"/>
      <c r="L1420" s="3" t="s">
        <v>564</v>
      </c>
      <c r="M1420" s="3">
        <v>120</v>
      </c>
      <c r="N1420" s="3" t="s">
        <v>348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563</v>
      </c>
      <c r="C1421" s="3" t="s">
        <v>349</v>
      </c>
      <c r="D1421" s="3"/>
      <c r="E1421" s="3" t="s">
        <v>349</v>
      </c>
      <c r="F1421" s="3"/>
      <c r="G1421" s="3"/>
      <c r="H1421" s="3"/>
      <c r="I1421" s="3"/>
      <c r="J1421" s="3"/>
      <c r="K1421" s="3"/>
      <c r="L1421" s="3" t="s">
        <v>564</v>
      </c>
      <c r="M1421" s="3">
        <v>10</v>
      </c>
      <c r="N1421" s="3" t="s">
        <v>107</v>
      </c>
      <c r="O1421" s="3"/>
      <c r="P1421" s="3"/>
      <c r="Q1421" s="3">
        <v>2.1589999999999998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563</v>
      </c>
      <c r="C1422" s="3" t="s">
        <v>349</v>
      </c>
      <c r="D1422" s="3"/>
      <c r="E1422" s="3" t="s">
        <v>349</v>
      </c>
      <c r="F1422" s="3"/>
      <c r="G1422" s="3"/>
      <c r="H1422" s="3"/>
      <c r="I1422" s="3"/>
      <c r="J1422" s="3"/>
      <c r="K1422" s="3"/>
      <c r="L1422" s="3" t="s">
        <v>564</v>
      </c>
      <c r="M1422" s="3">
        <v>20</v>
      </c>
      <c r="N1422" s="3" t="s">
        <v>565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563</v>
      </c>
      <c r="C1423" s="3" t="s">
        <v>349</v>
      </c>
      <c r="D1423" s="3"/>
      <c r="E1423" s="3" t="s">
        <v>349</v>
      </c>
      <c r="F1423" s="3"/>
      <c r="G1423" s="3"/>
      <c r="H1423" s="3"/>
      <c r="I1423" s="3"/>
      <c r="J1423" s="3"/>
      <c r="K1423" s="3"/>
      <c r="L1423" s="3" t="s">
        <v>564</v>
      </c>
      <c r="M1423" s="3">
        <v>30</v>
      </c>
      <c r="N1423" s="3" t="s">
        <v>99</v>
      </c>
      <c r="O1423" s="3"/>
      <c r="P1423" s="3"/>
      <c r="Q1423" s="3">
        <v>0.53600000000000003</v>
      </c>
      <c r="R1423" s="3" t="s">
        <v>100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563</v>
      </c>
      <c r="C1424" s="3" t="s">
        <v>349</v>
      </c>
      <c r="D1424" s="3"/>
      <c r="E1424" s="3" t="s">
        <v>349</v>
      </c>
      <c r="F1424" s="3"/>
      <c r="G1424" s="3"/>
      <c r="H1424" s="3"/>
      <c r="I1424" s="3"/>
      <c r="J1424" s="3"/>
      <c r="K1424" s="3"/>
      <c r="L1424" s="3" t="s">
        <v>564</v>
      </c>
      <c r="M1424" s="3">
        <v>40</v>
      </c>
      <c r="N1424" s="3" t="s">
        <v>108</v>
      </c>
      <c r="O1424" s="3"/>
      <c r="P1424" s="3"/>
      <c r="Q1424" s="3">
        <v>15.342000000000001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563</v>
      </c>
      <c r="C1425" s="3" t="s">
        <v>349</v>
      </c>
      <c r="D1425" s="3"/>
      <c r="E1425" s="3" t="s">
        <v>349</v>
      </c>
      <c r="F1425" s="3"/>
      <c r="G1425" s="3"/>
      <c r="H1425" s="3"/>
      <c r="I1425" s="3"/>
      <c r="J1425" s="3"/>
      <c r="K1425" s="3"/>
      <c r="L1425" s="3" t="s">
        <v>564</v>
      </c>
      <c r="M1425" s="3">
        <v>50</v>
      </c>
      <c r="N1425" s="3" t="s">
        <v>105</v>
      </c>
      <c r="O1425" s="3"/>
      <c r="P1425" s="3"/>
      <c r="Q1425" s="3">
        <v>94.350999999999999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563</v>
      </c>
      <c r="C1426" s="3" t="s">
        <v>349</v>
      </c>
      <c r="D1426" s="3"/>
      <c r="E1426" s="3" t="s">
        <v>349</v>
      </c>
      <c r="F1426" s="3"/>
      <c r="G1426" s="3"/>
      <c r="H1426" s="3"/>
      <c r="I1426" s="3"/>
      <c r="J1426" s="3"/>
      <c r="K1426" s="3"/>
      <c r="L1426" s="3" t="s">
        <v>564</v>
      </c>
      <c r="M1426" s="3">
        <v>60</v>
      </c>
      <c r="N1426" s="3" t="s">
        <v>106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563</v>
      </c>
      <c r="C1427" s="3" t="s">
        <v>349</v>
      </c>
      <c r="D1427" s="3"/>
      <c r="E1427" s="3" t="s">
        <v>349</v>
      </c>
      <c r="F1427" s="3"/>
      <c r="G1427" s="3"/>
      <c r="H1427" s="3"/>
      <c r="I1427" s="3"/>
      <c r="J1427" s="3"/>
      <c r="K1427" s="3"/>
      <c r="L1427" s="3" t="s">
        <v>564</v>
      </c>
      <c r="M1427" s="3">
        <v>70</v>
      </c>
      <c r="N1427" s="3" t="s">
        <v>104</v>
      </c>
      <c r="O1427" s="3"/>
      <c r="P1427" s="3"/>
      <c r="Q1427" s="3">
        <v>0.14099999999999999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563</v>
      </c>
      <c r="C1428" s="3" t="s">
        <v>349</v>
      </c>
      <c r="D1428" s="3"/>
      <c r="E1428" s="3" t="s">
        <v>349</v>
      </c>
      <c r="F1428" s="3"/>
      <c r="G1428" s="3"/>
      <c r="H1428" s="3"/>
      <c r="I1428" s="3"/>
      <c r="J1428" s="3"/>
      <c r="K1428" s="3"/>
      <c r="L1428" s="3" t="s">
        <v>564</v>
      </c>
      <c r="M1428" s="3">
        <v>80</v>
      </c>
      <c r="N1428" s="3" t="s">
        <v>273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563</v>
      </c>
      <c r="C1429" s="3" t="s">
        <v>349</v>
      </c>
      <c r="D1429" s="3"/>
      <c r="E1429" s="3" t="s">
        <v>349</v>
      </c>
      <c r="F1429" s="3"/>
      <c r="G1429" s="3"/>
      <c r="H1429" s="3"/>
      <c r="I1429" s="3"/>
      <c r="J1429" s="3"/>
      <c r="K1429" s="3"/>
      <c r="L1429" s="3" t="s">
        <v>564</v>
      </c>
      <c r="M1429" s="3">
        <v>90</v>
      </c>
      <c r="N1429" s="3" t="s">
        <v>18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563</v>
      </c>
      <c r="C1430" s="3" t="s">
        <v>349</v>
      </c>
      <c r="D1430" s="3"/>
      <c r="E1430" s="3" t="s">
        <v>349</v>
      </c>
      <c r="F1430" s="3"/>
      <c r="G1430" s="3"/>
      <c r="H1430" s="3"/>
      <c r="I1430" s="3"/>
      <c r="J1430" s="3"/>
      <c r="K1430" s="3"/>
      <c r="L1430" s="3" t="s">
        <v>564</v>
      </c>
      <c r="M1430" s="3">
        <v>100</v>
      </c>
      <c r="N1430" s="3" t="s">
        <v>19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563</v>
      </c>
      <c r="C1431" s="3" t="s">
        <v>349</v>
      </c>
      <c r="D1431" s="3"/>
      <c r="E1431" s="3" t="s">
        <v>349</v>
      </c>
      <c r="F1431" s="3"/>
      <c r="G1431" s="3"/>
      <c r="H1431" s="3"/>
      <c r="I1431" s="3"/>
      <c r="J1431" s="3"/>
      <c r="K1431" s="3"/>
      <c r="L1431" s="3" t="s">
        <v>564</v>
      </c>
      <c r="M1431" s="3">
        <v>110</v>
      </c>
      <c r="N1431" s="3" t="s">
        <v>101</v>
      </c>
      <c r="O1431" s="3"/>
      <c r="P1431" s="3"/>
      <c r="Q1431" s="3">
        <v>0.69099999999999995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563</v>
      </c>
      <c r="C1432" s="3" t="s">
        <v>349</v>
      </c>
      <c r="D1432" s="3"/>
      <c r="E1432" s="3" t="s">
        <v>349</v>
      </c>
      <c r="F1432" s="3"/>
      <c r="G1432" s="3"/>
      <c r="H1432" s="3"/>
      <c r="I1432" s="3"/>
      <c r="J1432" s="3"/>
      <c r="K1432" s="3"/>
      <c r="L1432" s="3" t="s">
        <v>564</v>
      </c>
      <c r="M1432" s="3">
        <v>120</v>
      </c>
      <c r="N1432" s="3" t="s">
        <v>350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563</v>
      </c>
      <c r="C1433" s="3" t="s">
        <v>351</v>
      </c>
      <c r="D1433" s="3"/>
      <c r="E1433" s="3" t="s">
        <v>351</v>
      </c>
      <c r="F1433" s="3"/>
      <c r="G1433" s="3"/>
      <c r="H1433" s="3"/>
      <c r="I1433" s="3"/>
      <c r="J1433" s="3"/>
      <c r="K1433" s="3"/>
      <c r="L1433" s="3" t="s">
        <v>564</v>
      </c>
      <c r="M1433" s="3">
        <v>10</v>
      </c>
      <c r="N1433" s="3" t="s">
        <v>107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563</v>
      </c>
      <c r="C1434" s="3" t="s">
        <v>351</v>
      </c>
      <c r="D1434" s="3"/>
      <c r="E1434" s="3" t="s">
        <v>351</v>
      </c>
      <c r="F1434" s="3"/>
      <c r="G1434" s="3"/>
      <c r="H1434" s="3"/>
      <c r="I1434" s="3"/>
      <c r="J1434" s="3"/>
      <c r="K1434" s="3"/>
      <c r="L1434" s="3" t="s">
        <v>564</v>
      </c>
      <c r="M1434" s="3">
        <v>20</v>
      </c>
      <c r="N1434" s="3" t="s">
        <v>565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563</v>
      </c>
      <c r="C1435" s="3" t="s">
        <v>351</v>
      </c>
      <c r="D1435" s="3"/>
      <c r="E1435" s="3" t="s">
        <v>351</v>
      </c>
      <c r="F1435" s="3"/>
      <c r="G1435" s="3"/>
      <c r="H1435" s="3"/>
      <c r="I1435" s="3"/>
      <c r="J1435" s="3"/>
      <c r="K1435" s="3"/>
      <c r="L1435" s="3" t="s">
        <v>564</v>
      </c>
      <c r="M1435" s="3">
        <v>30</v>
      </c>
      <c r="N1435" s="3" t="s">
        <v>99</v>
      </c>
      <c r="O1435" s="3"/>
      <c r="P1435" s="3"/>
      <c r="Q1435" s="3">
        <v>0.58699999999999997</v>
      </c>
      <c r="R1435" s="3" t="s">
        <v>100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563</v>
      </c>
      <c r="C1436" s="3" t="s">
        <v>351</v>
      </c>
      <c r="D1436" s="3"/>
      <c r="E1436" s="3" t="s">
        <v>351</v>
      </c>
      <c r="F1436" s="3"/>
      <c r="G1436" s="3"/>
      <c r="H1436" s="3"/>
      <c r="I1436" s="3"/>
      <c r="J1436" s="3"/>
      <c r="K1436" s="3"/>
      <c r="L1436" s="3" t="s">
        <v>564</v>
      </c>
      <c r="M1436" s="3">
        <v>40</v>
      </c>
      <c r="N1436" s="3" t="s">
        <v>108</v>
      </c>
      <c r="O1436" s="3"/>
      <c r="P1436" s="3"/>
      <c r="Q1436" s="3">
        <v>15.951000000000001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563</v>
      </c>
      <c r="C1437" s="3" t="s">
        <v>351</v>
      </c>
      <c r="D1437" s="3"/>
      <c r="E1437" s="3" t="s">
        <v>351</v>
      </c>
      <c r="F1437" s="3"/>
      <c r="G1437" s="3"/>
      <c r="H1437" s="3"/>
      <c r="I1437" s="3"/>
      <c r="J1437" s="3"/>
      <c r="K1437" s="3"/>
      <c r="L1437" s="3" t="s">
        <v>564</v>
      </c>
      <c r="M1437" s="3">
        <v>50</v>
      </c>
      <c r="N1437" s="3" t="s">
        <v>105</v>
      </c>
      <c r="O1437" s="3"/>
      <c r="P1437" s="3"/>
      <c r="Q1437" s="3">
        <v>98.1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563</v>
      </c>
      <c r="C1438" s="3" t="s">
        <v>351</v>
      </c>
      <c r="D1438" s="3"/>
      <c r="E1438" s="3" t="s">
        <v>351</v>
      </c>
      <c r="F1438" s="3"/>
      <c r="G1438" s="3"/>
      <c r="H1438" s="3"/>
      <c r="I1438" s="3"/>
      <c r="J1438" s="3"/>
      <c r="K1438" s="3"/>
      <c r="L1438" s="3" t="s">
        <v>564</v>
      </c>
      <c r="M1438" s="3">
        <v>60</v>
      </c>
      <c r="N1438" s="3" t="s">
        <v>106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563</v>
      </c>
      <c r="C1439" s="3" t="s">
        <v>351</v>
      </c>
      <c r="D1439" s="3"/>
      <c r="E1439" s="3" t="s">
        <v>351</v>
      </c>
      <c r="F1439" s="3"/>
      <c r="G1439" s="3"/>
      <c r="H1439" s="3"/>
      <c r="I1439" s="3"/>
      <c r="J1439" s="3"/>
      <c r="K1439" s="3"/>
      <c r="L1439" s="3" t="s">
        <v>564</v>
      </c>
      <c r="M1439" s="3">
        <v>70</v>
      </c>
      <c r="N1439" s="3" t="s">
        <v>104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563</v>
      </c>
      <c r="C1440" s="3" t="s">
        <v>351</v>
      </c>
      <c r="D1440" s="3"/>
      <c r="E1440" s="3" t="s">
        <v>351</v>
      </c>
      <c r="F1440" s="3"/>
      <c r="G1440" s="3"/>
      <c r="H1440" s="3"/>
      <c r="I1440" s="3"/>
      <c r="J1440" s="3"/>
      <c r="K1440" s="3"/>
      <c r="L1440" s="3" t="s">
        <v>564</v>
      </c>
      <c r="M1440" s="3">
        <v>80</v>
      </c>
      <c r="N1440" s="3" t="s">
        <v>273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563</v>
      </c>
      <c r="C1441" s="3" t="s">
        <v>351</v>
      </c>
      <c r="D1441" s="3"/>
      <c r="E1441" s="3" t="s">
        <v>351</v>
      </c>
      <c r="F1441" s="3"/>
      <c r="G1441" s="3"/>
      <c r="H1441" s="3"/>
      <c r="I1441" s="3"/>
      <c r="J1441" s="3"/>
      <c r="K1441" s="3"/>
      <c r="L1441" s="3" t="s">
        <v>564</v>
      </c>
      <c r="M1441" s="3">
        <v>90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563</v>
      </c>
      <c r="C1442" s="3" t="s">
        <v>351</v>
      </c>
      <c r="D1442" s="3"/>
      <c r="E1442" s="3" t="s">
        <v>351</v>
      </c>
      <c r="F1442" s="3"/>
      <c r="G1442" s="3"/>
      <c r="H1442" s="3"/>
      <c r="I1442" s="3"/>
      <c r="J1442" s="3"/>
      <c r="K1442" s="3"/>
      <c r="L1442" s="3" t="s">
        <v>564</v>
      </c>
      <c r="M1442" s="3">
        <v>100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563</v>
      </c>
      <c r="C1443" s="3" t="s">
        <v>351</v>
      </c>
      <c r="D1443" s="3"/>
      <c r="E1443" s="3" t="s">
        <v>351</v>
      </c>
      <c r="F1443" s="3"/>
      <c r="G1443" s="3"/>
      <c r="H1443" s="3"/>
      <c r="I1443" s="3"/>
      <c r="J1443" s="3"/>
      <c r="K1443" s="3"/>
      <c r="L1443" s="3" t="s">
        <v>564</v>
      </c>
      <c r="M1443" s="3">
        <v>110</v>
      </c>
      <c r="N1443" s="3" t="s">
        <v>101</v>
      </c>
      <c r="O1443" s="3"/>
      <c r="P1443" s="3"/>
      <c r="Q1443" s="3">
        <v>0.69099999999999995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563</v>
      </c>
      <c r="C1444" s="3" t="s">
        <v>351</v>
      </c>
      <c r="D1444" s="3"/>
      <c r="E1444" s="3" t="s">
        <v>351</v>
      </c>
      <c r="F1444" s="3"/>
      <c r="G1444" s="3"/>
      <c r="H1444" s="3"/>
      <c r="I1444" s="3"/>
      <c r="J1444" s="3"/>
      <c r="K1444" s="3"/>
      <c r="L1444" s="3" t="s">
        <v>564</v>
      </c>
      <c r="M1444" s="3">
        <v>120</v>
      </c>
      <c r="N1444" s="3" t="s">
        <v>352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563</v>
      </c>
      <c r="C1445" s="3" t="s">
        <v>353</v>
      </c>
      <c r="D1445" s="3"/>
      <c r="E1445" s="3" t="s">
        <v>353</v>
      </c>
      <c r="F1445" s="3"/>
      <c r="G1445" s="3"/>
      <c r="H1445" s="3"/>
      <c r="I1445" s="3"/>
      <c r="J1445" s="3"/>
      <c r="K1445" s="3"/>
      <c r="L1445" s="3" t="s">
        <v>564</v>
      </c>
      <c r="M1445" s="3">
        <v>10</v>
      </c>
      <c r="N1445" s="3" t="s">
        <v>107</v>
      </c>
      <c r="O1445" s="3"/>
      <c r="P1445" s="3"/>
      <c r="Q1445" s="3">
        <v>0.78700000000000003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563</v>
      </c>
      <c r="C1446" s="3" t="s">
        <v>353</v>
      </c>
      <c r="D1446" s="3"/>
      <c r="E1446" s="3" t="s">
        <v>353</v>
      </c>
      <c r="F1446" s="3"/>
      <c r="G1446" s="3"/>
      <c r="H1446" s="3"/>
      <c r="I1446" s="3"/>
      <c r="J1446" s="3"/>
      <c r="K1446" s="3"/>
      <c r="L1446" s="3" t="s">
        <v>564</v>
      </c>
      <c r="M1446" s="3">
        <v>20</v>
      </c>
      <c r="N1446" s="3" t="s">
        <v>565</v>
      </c>
      <c r="O1446" s="3"/>
      <c r="P1446" s="3"/>
      <c r="Q1446" s="3">
        <v>0.78700000000000003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563</v>
      </c>
      <c r="C1447" s="3" t="s">
        <v>353</v>
      </c>
      <c r="D1447" s="3"/>
      <c r="E1447" s="3" t="s">
        <v>353</v>
      </c>
      <c r="F1447" s="3"/>
      <c r="G1447" s="3"/>
      <c r="H1447" s="3"/>
      <c r="I1447" s="3"/>
      <c r="J1447" s="3"/>
      <c r="K1447" s="3"/>
      <c r="L1447" s="3" t="s">
        <v>564</v>
      </c>
      <c r="M1447" s="3">
        <v>30</v>
      </c>
      <c r="N1447" s="3" t="s">
        <v>99</v>
      </c>
      <c r="O1447" s="3"/>
      <c r="P1447" s="3"/>
      <c r="Q1447" s="3">
        <v>0.219</v>
      </c>
      <c r="R1447" s="3" t="s">
        <v>100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563</v>
      </c>
      <c r="C1448" s="3" t="s">
        <v>353</v>
      </c>
      <c r="D1448" s="3"/>
      <c r="E1448" s="3" t="s">
        <v>353</v>
      </c>
      <c r="F1448" s="3"/>
      <c r="G1448" s="3"/>
      <c r="H1448" s="3"/>
      <c r="I1448" s="3"/>
      <c r="J1448" s="3"/>
      <c r="K1448" s="3"/>
      <c r="L1448" s="3" t="s">
        <v>564</v>
      </c>
      <c r="M1448" s="3">
        <v>40</v>
      </c>
      <c r="N1448" s="3" t="s">
        <v>108</v>
      </c>
      <c r="O1448" s="3"/>
      <c r="P1448" s="3"/>
      <c r="Q1448" s="3">
        <v>10.77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563</v>
      </c>
      <c r="C1449" s="3" t="s">
        <v>353</v>
      </c>
      <c r="D1449" s="3"/>
      <c r="E1449" s="3" t="s">
        <v>353</v>
      </c>
      <c r="F1449" s="3"/>
      <c r="G1449" s="3"/>
      <c r="H1449" s="3"/>
      <c r="I1449" s="3"/>
      <c r="J1449" s="3"/>
      <c r="K1449" s="3"/>
      <c r="L1449" s="3" t="s">
        <v>564</v>
      </c>
      <c r="M1449" s="3">
        <v>50</v>
      </c>
      <c r="N1449" s="3" t="s">
        <v>105</v>
      </c>
      <c r="O1449" s="3"/>
      <c r="P1449" s="3"/>
      <c r="Q1449" s="3">
        <v>66.233000000000004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563</v>
      </c>
      <c r="C1450" s="3" t="s">
        <v>353</v>
      </c>
      <c r="D1450" s="3"/>
      <c r="E1450" s="3" t="s">
        <v>353</v>
      </c>
      <c r="F1450" s="3"/>
      <c r="G1450" s="3"/>
      <c r="H1450" s="3"/>
      <c r="I1450" s="3"/>
      <c r="J1450" s="3"/>
      <c r="K1450" s="3"/>
      <c r="L1450" s="3" t="s">
        <v>564</v>
      </c>
      <c r="M1450" s="3">
        <v>60</v>
      </c>
      <c r="N1450" s="3" t="s">
        <v>106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563</v>
      </c>
      <c r="C1451" s="3" t="s">
        <v>353</v>
      </c>
      <c r="D1451" s="3"/>
      <c r="E1451" s="3" t="s">
        <v>353</v>
      </c>
      <c r="F1451" s="3"/>
      <c r="G1451" s="3"/>
      <c r="H1451" s="3"/>
      <c r="I1451" s="3"/>
      <c r="J1451" s="3"/>
      <c r="K1451" s="3"/>
      <c r="L1451" s="3" t="s">
        <v>564</v>
      </c>
      <c r="M1451" s="3">
        <v>70</v>
      </c>
      <c r="N1451" s="3" t="s">
        <v>104</v>
      </c>
      <c r="O1451" s="3"/>
      <c r="P1451" s="3"/>
      <c r="Q1451" s="3">
        <v>7.4999999999999997E-2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563</v>
      </c>
      <c r="C1452" s="3" t="s">
        <v>353</v>
      </c>
      <c r="D1452" s="3"/>
      <c r="E1452" s="3" t="s">
        <v>353</v>
      </c>
      <c r="F1452" s="3"/>
      <c r="G1452" s="3"/>
      <c r="H1452" s="3"/>
      <c r="I1452" s="3"/>
      <c r="J1452" s="3"/>
      <c r="K1452" s="3"/>
      <c r="L1452" s="3" t="s">
        <v>564</v>
      </c>
      <c r="M1452" s="3">
        <v>80</v>
      </c>
      <c r="N1452" s="3" t="s">
        <v>111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563</v>
      </c>
      <c r="C1453" s="3" t="s">
        <v>353</v>
      </c>
      <c r="D1453" s="3"/>
      <c r="E1453" s="3" t="s">
        <v>353</v>
      </c>
      <c r="F1453" s="3"/>
      <c r="G1453" s="3"/>
      <c r="H1453" s="3"/>
      <c r="I1453" s="3"/>
      <c r="J1453" s="3"/>
      <c r="K1453" s="3"/>
      <c r="L1453" s="3" t="s">
        <v>564</v>
      </c>
      <c r="M1453" s="3">
        <v>90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563</v>
      </c>
      <c r="C1454" s="3" t="s">
        <v>353</v>
      </c>
      <c r="D1454" s="3"/>
      <c r="E1454" s="3" t="s">
        <v>353</v>
      </c>
      <c r="F1454" s="3"/>
      <c r="G1454" s="3"/>
      <c r="H1454" s="3"/>
      <c r="I1454" s="3"/>
      <c r="J1454" s="3"/>
      <c r="K1454" s="3"/>
      <c r="L1454" s="3" t="s">
        <v>564</v>
      </c>
      <c r="M1454" s="3">
        <v>100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563</v>
      </c>
      <c r="C1455" s="3" t="s">
        <v>353</v>
      </c>
      <c r="D1455" s="3"/>
      <c r="E1455" s="3" t="s">
        <v>353</v>
      </c>
      <c r="F1455" s="3"/>
      <c r="G1455" s="3"/>
      <c r="H1455" s="3"/>
      <c r="I1455" s="3"/>
      <c r="J1455" s="3"/>
      <c r="K1455" s="3"/>
      <c r="L1455" s="3" t="s">
        <v>564</v>
      </c>
      <c r="M1455" s="3">
        <v>110</v>
      </c>
      <c r="N1455" s="3" t="s">
        <v>101</v>
      </c>
      <c r="O1455" s="3"/>
      <c r="P1455" s="3"/>
      <c r="Q1455" s="3">
        <v>0.27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563</v>
      </c>
      <c r="C1456" s="3" t="s">
        <v>353</v>
      </c>
      <c r="D1456" s="3"/>
      <c r="E1456" s="3" t="s">
        <v>353</v>
      </c>
      <c r="F1456" s="3"/>
      <c r="G1456" s="3"/>
      <c r="H1456" s="3"/>
      <c r="I1456" s="3"/>
      <c r="J1456" s="3"/>
      <c r="K1456" s="3"/>
      <c r="L1456" s="3" t="s">
        <v>564</v>
      </c>
      <c r="M1456" s="3">
        <v>120</v>
      </c>
      <c r="N1456" s="3" t="s">
        <v>354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563</v>
      </c>
      <c r="C1457" s="3" t="s">
        <v>355</v>
      </c>
      <c r="D1457" s="3"/>
      <c r="E1457" s="3" t="s">
        <v>355</v>
      </c>
      <c r="F1457" s="3"/>
      <c r="G1457" s="3"/>
      <c r="H1457" s="3"/>
      <c r="I1457" s="3"/>
      <c r="J1457" s="3"/>
      <c r="K1457" s="3"/>
      <c r="L1457" s="3" t="s">
        <v>564</v>
      </c>
      <c r="M1457" s="3">
        <v>10</v>
      </c>
      <c r="N1457" s="3" t="s">
        <v>107</v>
      </c>
      <c r="O1457" s="3"/>
      <c r="P1457" s="3"/>
      <c r="Q1457" s="3">
        <v>0.94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563</v>
      </c>
      <c r="C1458" s="3" t="s">
        <v>355</v>
      </c>
      <c r="D1458" s="3"/>
      <c r="E1458" s="3" t="s">
        <v>355</v>
      </c>
      <c r="F1458" s="3"/>
      <c r="G1458" s="3"/>
      <c r="H1458" s="3"/>
      <c r="I1458" s="3"/>
      <c r="J1458" s="3"/>
      <c r="K1458" s="3"/>
      <c r="L1458" s="3" t="s">
        <v>564</v>
      </c>
      <c r="M1458" s="3">
        <v>20</v>
      </c>
      <c r="N1458" s="3" t="s">
        <v>565</v>
      </c>
      <c r="O1458" s="3"/>
      <c r="P1458" s="3"/>
      <c r="Q1458" s="3">
        <v>0.94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563</v>
      </c>
      <c r="C1459" s="3" t="s">
        <v>355</v>
      </c>
      <c r="D1459" s="3"/>
      <c r="E1459" s="3" t="s">
        <v>355</v>
      </c>
      <c r="F1459" s="3"/>
      <c r="G1459" s="3"/>
      <c r="H1459" s="3"/>
      <c r="I1459" s="3"/>
      <c r="J1459" s="3"/>
      <c r="K1459" s="3"/>
      <c r="L1459" s="3" t="s">
        <v>564</v>
      </c>
      <c r="M1459" s="3">
        <v>30</v>
      </c>
      <c r="N1459" s="3" t="s">
        <v>99</v>
      </c>
      <c r="O1459" s="3"/>
      <c r="P1459" s="3"/>
      <c r="Q1459" s="3">
        <v>0.26200000000000001</v>
      </c>
      <c r="R1459" s="3" t="s">
        <v>100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563</v>
      </c>
      <c r="C1460" s="3" t="s">
        <v>355</v>
      </c>
      <c r="D1460" s="3"/>
      <c r="E1460" s="3" t="s">
        <v>355</v>
      </c>
      <c r="F1460" s="3"/>
      <c r="G1460" s="3"/>
      <c r="H1460" s="3"/>
      <c r="I1460" s="3"/>
      <c r="J1460" s="3"/>
      <c r="K1460" s="3"/>
      <c r="L1460" s="3" t="s">
        <v>564</v>
      </c>
      <c r="M1460" s="3">
        <v>40</v>
      </c>
      <c r="N1460" s="3" t="s">
        <v>108</v>
      </c>
      <c r="O1460" s="3"/>
      <c r="P1460" s="3"/>
      <c r="Q1460" s="3">
        <v>11.379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563</v>
      </c>
      <c r="C1461" s="3" t="s">
        <v>355</v>
      </c>
      <c r="D1461" s="3"/>
      <c r="E1461" s="3" t="s">
        <v>355</v>
      </c>
      <c r="F1461" s="3"/>
      <c r="G1461" s="3"/>
      <c r="H1461" s="3"/>
      <c r="I1461" s="3"/>
      <c r="J1461" s="3"/>
      <c r="K1461" s="3"/>
      <c r="L1461" s="3" t="s">
        <v>564</v>
      </c>
      <c r="M1461" s="3">
        <v>50</v>
      </c>
      <c r="N1461" s="3" t="s">
        <v>105</v>
      </c>
      <c r="O1461" s="3"/>
      <c r="P1461" s="3"/>
      <c r="Q1461" s="3">
        <v>69.981999999999999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563</v>
      </c>
      <c r="C1462" s="3" t="s">
        <v>355</v>
      </c>
      <c r="D1462" s="3"/>
      <c r="E1462" s="3" t="s">
        <v>355</v>
      </c>
      <c r="F1462" s="3"/>
      <c r="G1462" s="3"/>
      <c r="H1462" s="3"/>
      <c r="I1462" s="3"/>
      <c r="J1462" s="3"/>
      <c r="K1462" s="3"/>
      <c r="L1462" s="3" t="s">
        <v>564</v>
      </c>
      <c r="M1462" s="3">
        <v>60</v>
      </c>
      <c r="N1462" s="3" t="s">
        <v>106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563</v>
      </c>
      <c r="C1463" s="3" t="s">
        <v>355</v>
      </c>
      <c r="D1463" s="3"/>
      <c r="E1463" s="3" t="s">
        <v>355</v>
      </c>
      <c r="F1463" s="3"/>
      <c r="G1463" s="3"/>
      <c r="H1463" s="3"/>
      <c r="I1463" s="3"/>
      <c r="J1463" s="3"/>
      <c r="K1463" s="3"/>
      <c r="L1463" s="3" t="s">
        <v>564</v>
      </c>
      <c r="M1463" s="3">
        <v>70</v>
      </c>
      <c r="N1463" s="3" t="s">
        <v>104</v>
      </c>
      <c r="O1463" s="3"/>
      <c r="P1463" s="3"/>
      <c r="Q1463" s="3">
        <v>8.5999999999999993E-2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563</v>
      </c>
      <c r="C1464" s="3" t="s">
        <v>355</v>
      </c>
      <c r="D1464" s="3"/>
      <c r="E1464" s="3" t="s">
        <v>355</v>
      </c>
      <c r="F1464" s="3"/>
      <c r="G1464" s="3"/>
      <c r="H1464" s="3"/>
      <c r="I1464" s="3"/>
      <c r="J1464" s="3"/>
      <c r="K1464" s="3"/>
      <c r="L1464" s="3" t="s">
        <v>564</v>
      </c>
      <c r="M1464" s="3">
        <v>80</v>
      </c>
      <c r="N1464" s="3" t="s">
        <v>111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563</v>
      </c>
      <c r="C1465" s="3" t="s">
        <v>355</v>
      </c>
      <c r="D1465" s="3"/>
      <c r="E1465" s="3" t="s">
        <v>355</v>
      </c>
      <c r="F1465" s="3"/>
      <c r="G1465" s="3"/>
      <c r="H1465" s="3"/>
      <c r="I1465" s="3"/>
      <c r="J1465" s="3"/>
      <c r="K1465" s="3"/>
      <c r="L1465" s="3" t="s">
        <v>564</v>
      </c>
      <c r="M1465" s="3">
        <v>90</v>
      </c>
      <c r="N1465" s="3" t="s">
        <v>18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563</v>
      </c>
      <c r="C1466" s="3" t="s">
        <v>355</v>
      </c>
      <c r="D1466" s="3"/>
      <c r="E1466" s="3" t="s">
        <v>355</v>
      </c>
      <c r="F1466" s="3"/>
      <c r="G1466" s="3"/>
      <c r="H1466" s="3"/>
      <c r="I1466" s="3"/>
      <c r="J1466" s="3"/>
      <c r="K1466" s="3"/>
      <c r="L1466" s="3" t="s">
        <v>564</v>
      </c>
      <c r="M1466" s="3">
        <v>100</v>
      </c>
      <c r="N1466" s="3" t="s">
        <v>19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563</v>
      </c>
      <c r="C1467" s="3" t="s">
        <v>355</v>
      </c>
      <c r="D1467" s="3"/>
      <c r="E1467" s="3" t="s">
        <v>355</v>
      </c>
      <c r="F1467" s="3"/>
      <c r="G1467" s="3"/>
      <c r="H1467" s="3"/>
      <c r="I1467" s="3"/>
      <c r="J1467" s="3"/>
      <c r="K1467" s="3"/>
      <c r="L1467" s="3" t="s">
        <v>564</v>
      </c>
      <c r="M1467" s="3">
        <v>110</v>
      </c>
      <c r="N1467" s="3" t="s">
        <v>101</v>
      </c>
      <c r="O1467" s="3"/>
      <c r="P1467" s="3"/>
      <c r="Q1467" s="3">
        <v>0.315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563</v>
      </c>
      <c r="C1468" s="3" t="s">
        <v>355</v>
      </c>
      <c r="D1468" s="3"/>
      <c r="E1468" s="3" t="s">
        <v>355</v>
      </c>
      <c r="F1468" s="3"/>
      <c r="G1468" s="3"/>
      <c r="H1468" s="3"/>
      <c r="I1468" s="3"/>
      <c r="J1468" s="3"/>
      <c r="K1468" s="3"/>
      <c r="L1468" s="3" t="s">
        <v>564</v>
      </c>
      <c r="M1468" s="3">
        <v>120</v>
      </c>
      <c r="N1468" s="3" t="s">
        <v>356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563</v>
      </c>
      <c r="C1469" s="3" t="s">
        <v>357</v>
      </c>
      <c r="D1469" s="3"/>
      <c r="E1469" s="3" t="s">
        <v>357</v>
      </c>
      <c r="F1469" s="3"/>
      <c r="G1469" s="3"/>
      <c r="H1469" s="3"/>
      <c r="I1469" s="3"/>
      <c r="J1469" s="3"/>
      <c r="K1469" s="3"/>
      <c r="L1469" s="3" t="s">
        <v>564</v>
      </c>
      <c r="M1469" s="3">
        <v>10</v>
      </c>
      <c r="N1469" s="3" t="s">
        <v>107</v>
      </c>
      <c r="O1469" s="3"/>
      <c r="P1469" s="3"/>
      <c r="Q1469" s="3">
        <v>1.0920000000000001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563</v>
      </c>
      <c r="C1470" s="3" t="s">
        <v>357</v>
      </c>
      <c r="D1470" s="3"/>
      <c r="E1470" s="3" t="s">
        <v>357</v>
      </c>
      <c r="F1470" s="3"/>
      <c r="G1470" s="3"/>
      <c r="H1470" s="3"/>
      <c r="I1470" s="3"/>
      <c r="J1470" s="3"/>
      <c r="K1470" s="3"/>
      <c r="L1470" s="3" t="s">
        <v>564</v>
      </c>
      <c r="M1470" s="3">
        <v>20</v>
      </c>
      <c r="N1470" s="3" t="s">
        <v>565</v>
      </c>
      <c r="O1470" s="3"/>
      <c r="P1470" s="3"/>
      <c r="Q1470" s="3">
        <v>1.0920000000000001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563</v>
      </c>
      <c r="C1471" s="3" t="s">
        <v>357</v>
      </c>
      <c r="D1471" s="3"/>
      <c r="E1471" s="3" t="s">
        <v>357</v>
      </c>
      <c r="F1471" s="3"/>
      <c r="G1471" s="3"/>
      <c r="H1471" s="3"/>
      <c r="I1471" s="3"/>
      <c r="J1471" s="3"/>
      <c r="K1471" s="3"/>
      <c r="L1471" s="3" t="s">
        <v>564</v>
      </c>
      <c r="M1471" s="3">
        <v>30</v>
      </c>
      <c r="N1471" s="3" t="s">
        <v>99</v>
      </c>
      <c r="O1471" s="3"/>
      <c r="P1471" s="3"/>
      <c r="Q1471" s="3">
        <v>0.30599999999999999</v>
      </c>
      <c r="R1471" s="3" t="s">
        <v>100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563</v>
      </c>
      <c r="C1472" s="3" t="s">
        <v>357</v>
      </c>
      <c r="D1472" s="3"/>
      <c r="E1472" s="3" t="s">
        <v>357</v>
      </c>
      <c r="F1472" s="3"/>
      <c r="G1472" s="3"/>
      <c r="H1472" s="3"/>
      <c r="I1472" s="3"/>
      <c r="J1472" s="3"/>
      <c r="K1472" s="3"/>
      <c r="L1472" s="3" t="s">
        <v>564</v>
      </c>
      <c r="M1472" s="3">
        <v>40</v>
      </c>
      <c r="N1472" s="3" t="s">
        <v>108</v>
      </c>
      <c r="O1472" s="3"/>
      <c r="P1472" s="3"/>
      <c r="Q1472" s="3">
        <v>11.989000000000001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563</v>
      </c>
      <c r="C1473" s="3" t="s">
        <v>357</v>
      </c>
      <c r="D1473" s="3"/>
      <c r="E1473" s="3" t="s">
        <v>357</v>
      </c>
      <c r="F1473" s="3"/>
      <c r="G1473" s="3"/>
      <c r="H1473" s="3"/>
      <c r="I1473" s="3"/>
      <c r="J1473" s="3"/>
      <c r="K1473" s="3"/>
      <c r="L1473" s="3" t="s">
        <v>564</v>
      </c>
      <c r="M1473" s="3">
        <v>50</v>
      </c>
      <c r="N1473" s="3" t="s">
        <v>105</v>
      </c>
      <c r="O1473" s="3"/>
      <c r="P1473" s="3"/>
      <c r="Q1473" s="3">
        <v>73.730999999999995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563</v>
      </c>
      <c r="C1474" s="3" t="s">
        <v>357</v>
      </c>
      <c r="D1474" s="3"/>
      <c r="E1474" s="3" t="s">
        <v>357</v>
      </c>
      <c r="F1474" s="3"/>
      <c r="G1474" s="3"/>
      <c r="H1474" s="3"/>
      <c r="I1474" s="3"/>
      <c r="J1474" s="3"/>
      <c r="K1474" s="3"/>
      <c r="L1474" s="3" t="s">
        <v>564</v>
      </c>
      <c r="M1474" s="3">
        <v>60</v>
      </c>
      <c r="N1474" s="3" t="s">
        <v>106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563</v>
      </c>
      <c r="C1475" s="3" t="s">
        <v>357</v>
      </c>
      <c r="D1475" s="3"/>
      <c r="E1475" s="3" t="s">
        <v>357</v>
      </c>
      <c r="F1475" s="3"/>
      <c r="G1475" s="3"/>
      <c r="H1475" s="3"/>
      <c r="I1475" s="3"/>
      <c r="J1475" s="3"/>
      <c r="K1475" s="3"/>
      <c r="L1475" s="3" t="s">
        <v>564</v>
      </c>
      <c r="M1475" s="3">
        <v>70</v>
      </c>
      <c r="N1475" s="3" t="s">
        <v>104</v>
      </c>
      <c r="O1475" s="3"/>
      <c r="P1475" s="3"/>
      <c r="Q1475" s="3">
        <v>9.8000000000000004E-2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563</v>
      </c>
      <c r="C1476" s="3" t="s">
        <v>357</v>
      </c>
      <c r="D1476" s="3"/>
      <c r="E1476" s="3" t="s">
        <v>357</v>
      </c>
      <c r="F1476" s="3"/>
      <c r="G1476" s="3"/>
      <c r="H1476" s="3"/>
      <c r="I1476" s="3"/>
      <c r="J1476" s="3"/>
      <c r="K1476" s="3"/>
      <c r="L1476" s="3" t="s">
        <v>564</v>
      </c>
      <c r="M1476" s="3">
        <v>80</v>
      </c>
      <c r="N1476" s="3" t="s">
        <v>111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563</v>
      </c>
      <c r="C1477" s="3" t="s">
        <v>357</v>
      </c>
      <c r="D1477" s="3"/>
      <c r="E1477" s="3" t="s">
        <v>357</v>
      </c>
      <c r="F1477" s="3"/>
      <c r="G1477" s="3"/>
      <c r="H1477" s="3"/>
      <c r="I1477" s="3"/>
      <c r="J1477" s="3"/>
      <c r="K1477" s="3"/>
      <c r="L1477" s="3" t="s">
        <v>564</v>
      </c>
      <c r="M1477" s="3">
        <v>90</v>
      </c>
      <c r="N1477" s="3" t="s">
        <v>18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563</v>
      </c>
      <c r="C1478" s="3" t="s">
        <v>357</v>
      </c>
      <c r="D1478" s="3"/>
      <c r="E1478" s="3" t="s">
        <v>357</v>
      </c>
      <c r="F1478" s="3"/>
      <c r="G1478" s="3"/>
      <c r="H1478" s="3"/>
      <c r="I1478" s="3"/>
      <c r="J1478" s="3"/>
      <c r="K1478" s="3"/>
      <c r="L1478" s="3" t="s">
        <v>564</v>
      </c>
      <c r="M1478" s="3">
        <v>100</v>
      </c>
      <c r="N1478" s="3" t="s">
        <v>19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563</v>
      </c>
      <c r="C1479" s="3" t="s">
        <v>357</v>
      </c>
      <c r="D1479" s="3"/>
      <c r="E1479" s="3" t="s">
        <v>357</v>
      </c>
      <c r="F1479" s="3"/>
      <c r="G1479" s="3"/>
      <c r="H1479" s="3"/>
      <c r="I1479" s="3"/>
      <c r="J1479" s="3"/>
      <c r="K1479" s="3"/>
      <c r="L1479" s="3" t="s">
        <v>564</v>
      </c>
      <c r="M1479" s="3">
        <v>110</v>
      </c>
      <c r="N1479" s="3" t="s">
        <v>101</v>
      </c>
      <c r="O1479" s="3"/>
      <c r="P1479" s="3"/>
      <c r="Q1479" s="3">
        <v>0.36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563</v>
      </c>
      <c r="C1480" s="3" t="s">
        <v>357</v>
      </c>
      <c r="D1480" s="3"/>
      <c r="E1480" s="3" t="s">
        <v>357</v>
      </c>
      <c r="F1480" s="3"/>
      <c r="G1480" s="3"/>
      <c r="H1480" s="3"/>
      <c r="I1480" s="3"/>
      <c r="J1480" s="3"/>
      <c r="K1480" s="3"/>
      <c r="L1480" s="3" t="s">
        <v>564</v>
      </c>
      <c r="M1480" s="3">
        <v>120</v>
      </c>
      <c r="N1480" s="3" t="s">
        <v>358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563</v>
      </c>
      <c r="C1481" s="3" t="s">
        <v>359</v>
      </c>
      <c r="D1481" s="3"/>
      <c r="E1481" s="3" t="s">
        <v>359</v>
      </c>
      <c r="F1481" s="3"/>
      <c r="G1481" s="3"/>
      <c r="H1481" s="3"/>
      <c r="I1481" s="3"/>
      <c r="J1481" s="3"/>
      <c r="K1481" s="3"/>
      <c r="L1481" s="3" t="s">
        <v>564</v>
      </c>
      <c r="M1481" s="3">
        <v>10</v>
      </c>
      <c r="N1481" s="3" t="s">
        <v>107</v>
      </c>
      <c r="O1481" s="3"/>
      <c r="P1481" s="3"/>
      <c r="Q1481" s="3">
        <v>1.2450000000000001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563</v>
      </c>
      <c r="C1482" s="3" t="s">
        <v>359</v>
      </c>
      <c r="D1482" s="3"/>
      <c r="E1482" s="3" t="s">
        <v>359</v>
      </c>
      <c r="F1482" s="3"/>
      <c r="G1482" s="3"/>
      <c r="H1482" s="3"/>
      <c r="I1482" s="3"/>
      <c r="J1482" s="3"/>
      <c r="K1482" s="3"/>
      <c r="L1482" s="3" t="s">
        <v>564</v>
      </c>
      <c r="M1482" s="3">
        <v>20</v>
      </c>
      <c r="N1482" s="3" t="s">
        <v>565</v>
      </c>
      <c r="O1482" s="3"/>
      <c r="P1482" s="3"/>
      <c r="Q1482" s="3">
        <v>1.2450000000000001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563</v>
      </c>
      <c r="C1483" s="3" t="s">
        <v>359</v>
      </c>
      <c r="D1483" s="3"/>
      <c r="E1483" s="3" t="s">
        <v>359</v>
      </c>
      <c r="F1483" s="3"/>
      <c r="G1483" s="3"/>
      <c r="H1483" s="3"/>
      <c r="I1483" s="3"/>
      <c r="J1483" s="3"/>
      <c r="K1483" s="3"/>
      <c r="L1483" s="3" t="s">
        <v>564</v>
      </c>
      <c r="M1483" s="3">
        <v>30</v>
      </c>
      <c r="N1483" s="3" t="s">
        <v>99</v>
      </c>
      <c r="O1483" s="3"/>
      <c r="P1483" s="3"/>
      <c r="Q1483" s="3">
        <v>0.35</v>
      </c>
      <c r="R1483" s="3" t="s">
        <v>100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563</v>
      </c>
      <c r="C1484" s="3" t="s">
        <v>359</v>
      </c>
      <c r="D1484" s="3"/>
      <c r="E1484" s="3" t="s">
        <v>359</v>
      </c>
      <c r="F1484" s="3"/>
      <c r="G1484" s="3"/>
      <c r="H1484" s="3"/>
      <c r="I1484" s="3"/>
      <c r="J1484" s="3"/>
      <c r="K1484" s="3"/>
      <c r="L1484" s="3" t="s">
        <v>564</v>
      </c>
      <c r="M1484" s="3">
        <v>40</v>
      </c>
      <c r="N1484" s="3" t="s">
        <v>108</v>
      </c>
      <c r="O1484" s="3"/>
      <c r="P1484" s="3"/>
      <c r="Q1484" s="3">
        <v>12.598000000000001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563</v>
      </c>
      <c r="C1485" s="3" t="s">
        <v>359</v>
      </c>
      <c r="D1485" s="3"/>
      <c r="E1485" s="3" t="s">
        <v>359</v>
      </c>
      <c r="F1485" s="3"/>
      <c r="G1485" s="3"/>
      <c r="H1485" s="3"/>
      <c r="I1485" s="3"/>
      <c r="J1485" s="3"/>
      <c r="K1485" s="3"/>
      <c r="L1485" s="3" t="s">
        <v>564</v>
      </c>
      <c r="M1485" s="3">
        <v>50</v>
      </c>
      <c r="N1485" s="3" t="s">
        <v>105</v>
      </c>
      <c r="O1485" s="3"/>
      <c r="P1485" s="3"/>
      <c r="Q1485" s="3">
        <v>77.48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563</v>
      </c>
      <c r="C1486" s="3" t="s">
        <v>359</v>
      </c>
      <c r="D1486" s="3"/>
      <c r="E1486" s="3" t="s">
        <v>359</v>
      </c>
      <c r="F1486" s="3"/>
      <c r="G1486" s="3"/>
      <c r="H1486" s="3"/>
      <c r="I1486" s="3"/>
      <c r="J1486" s="3"/>
      <c r="K1486" s="3"/>
      <c r="L1486" s="3" t="s">
        <v>564</v>
      </c>
      <c r="M1486" s="3">
        <v>60</v>
      </c>
      <c r="N1486" s="3" t="s">
        <v>106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563</v>
      </c>
      <c r="C1487" s="3" t="s">
        <v>359</v>
      </c>
      <c r="D1487" s="3"/>
      <c r="E1487" s="3" t="s">
        <v>359</v>
      </c>
      <c r="F1487" s="3"/>
      <c r="G1487" s="3"/>
      <c r="H1487" s="3"/>
      <c r="I1487" s="3"/>
      <c r="J1487" s="3"/>
      <c r="K1487" s="3"/>
      <c r="L1487" s="3" t="s">
        <v>564</v>
      </c>
      <c r="M1487" s="3">
        <v>70</v>
      </c>
      <c r="N1487" s="3" t="s">
        <v>104</v>
      </c>
      <c r="O1487" s="3"/>
      <c r="P1487" s="3"/>
      <c r="Q1487" s="3">
        <v>0.109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563</v>
      </c>
      <c r="C1488" s="3" t="s">
        <v>359</v>
      </c>
      <c r="D1488" s="3"/>
      <c r="E1488" s="3" t="s">
        <v>359</v>
      </c>
      <c r="F1488" s="3"/>
      <c r="G1488" s="3"/>
      <c r="H1488" s="3"/>
      <c r="I1488" s="3"/>
      <c r="J1488" s="3"/>
      <c r="K1488" s="3"/>
      <c r="L1488" s="3" t="s">
        <v>564</v>
      </c>
      <c r="M1488" s="3">
        <v>80</v>
      </c>
      <c r="N1488" s="3" t="s">
        <v>111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563</v>
      </c>
      <c r="C1489" s="3" t="s">
        <v>359</v>
      </c>
      <c r="D1489" s="3"/>
      <c r="E1489" s="3" t="s">
        <v>359</v>
      </c>
      <c r="F1489" s="3"/>
      <c r="G1489" s="3"/>
      <c r="H1489" s="3"/>
      <c r="I1489" s="3"/>
      <c r="J1489" s="3"/>
      <c r="K1489" s="3"/>
      <c r="L1489" s="3" t="s">
        <v>564</v>
      </c>
      <c r="M1489" s="3">
        <v>90</v>
      </c>
      <c r="N1489" s="3" t="s">
        <v>18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563</v>
      </c>
      <c r="C1490" s="3" t="s">
        <v>359</v>
      </c>
      <c r="D1490" s="3"/>
      <c r="E1490" s="3" t="s">
        <v>359</v>
      </c>
      <c r="F1490" s="3"/>
      <c r="G1490" s="3"/>
      <c r="H1490" s="3"/>
      <c r="I1490" s="3"/>
      <c r="J1490" s="3"/>
      <c r="K1490" s="3"/>
      <c r="L1490" s="3" t="s">
        <v>564</v>
      </c>
      <c r="M1490" s="3">
        <v>100</v>
      </c>
      <c r="N1490" s="3" t="s">
        <v>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563</v>
      </c>
      <c r="C1491" s="3" t="s">
        <v>359</v>
      </c>
      <c r="D1491" s="3"/>
      <c r="E1491" s="3" t="s">
        <v>359</v>
      </c>
      <c r="F1491" s="3"/>
      <c r="G1491" s="3"/>
      <c r="H1491" s="3"/>
      <c r="I1491" s="3"/>
      <c r="J1491" s="3"/>
      <c r="K1491" s="3"/>
      <c r="L1491" s="3" t="s">
        <v>564</v>
      </c>
      <c r="M1491" s="3">
        <v>110</v>
      </c>
      <c r="N1491" s="3" t="s">
        <v>101</v>
      </c>
      <c r="O1491" s="3"/>
      <c r="P1491" s="3"/>
      <c r="Q1491" s="3">
        <v>0.40500000000000003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563</v>
      </c>
      <c r="C1492" s="3" t="s">
        <v>359</v>
      </c>
      <c r="D1492" s="3"/>
      <c r="E1492" s="3" t="s">
        <v>359</v>
      </c>
      <c r="F1492" s="3"/>
      <c r="G1492" s="3"/>
      <c r="H1492" s="3"/>
      <c r="I1492" s="3"/>
      <c r="J1492" s="3"/>
      <c r="K1492" s="3"/>
      <c r="L1492" s="3" t="s">
        <v>564</v>
      </c>
      <c r="M1492" s="3">
        <v>120</v>
      </c>
      <c r="N1492" s="3" t="s">
        <v>360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563</v>
      </c>
      <c r="C1493" s="3" t="s">
        <v>361</v>
      </c>
      <c r="D1493" s="3"/>
      <c r="E1493" s="3" t="s">
        <v>361</v>
      </c>
      <c r="F1493" s="3"/>
      <c r="G1493" s="3"/>
      <c r="H1493" s="3"/>
      <c r="I1493" s="3"/>
      <c r="J1493" s="3"/>
      <c r="K1493" s="3"/>
      <c r="L1493" s="3" t="s">
        <v>564</v>
      </c>
      <c r="M1493" s="3">
        <v>10</v>
      </c>
      <c r="N1493" s="3" t="s">
        <v>107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563</v>
      </c>
      <c r="C1494" s="3" t="s">
        <v>361</v>
      </c>
      <c r="D1494" s="3"/>
      <c r="E1494" s="3" t="s">
        <v>361</v>
      </c>
      <c r="F1494" s="3"/>
      <c r="G1494" s="3"/>
      <c r="H1494" s="3"/>
      <c r="I1494" s="3"/>
      <c r="J1494" s="3"/>
      <c r="K1494" s="3"/>
      <c r="L1494" s="3" t="s">
        <v>564</v>
      </c>
      <c r="M1494" s="3">
        <v>20</v>
      </c>
      <c r="N1494" s="3" t="s">
        <v>565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563</v>
      </c>
      <c r="C1495" s="3" t="s">
        <v>361</v>
      </c>
      <c r="D1495" s="3"/>
      <c r="E1495" s="3" t="s">
        <v>361</v>
      </c>
      <c r="F1495" s="3"/>
      <c r="G1495" s="3"/>
      <c r="H1495" s="3"/>
      <c r="I1495" s="3"/>
      <c r="J1495" s="3"/>
      <c r="K1495" s="3"/>
      <c r="L1495" s="3" t="s">
        <v>564</v>
      </c>
      <c r="M1495" s="3">
        <v>30</v>
      </c>
      <c r="N1495" s="3" t="s">
        <v>99</v>
      </c>
      <c r="O1495" s="3"/>
      <c r="P1495" s="3"/>
      <c r="Q1495" s="3">
        <v>0.437</v>
      </c>
      <c r="R1495" s="3" t="s">
        <v>100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563</v>
      </c>
      <c r="C1496" s="3" t="s">
        <v>361</v>
      </c>
      <c r="D1496" s="3"/>
      <c r="E1496" s="3" t="s">
        <v>361</v>
      </c>
      <c r="F1496" s="3"/>
      <c r="G1496" s="3"/>
      <c r="H1496" s="3"/>
      <c r="I1496" s="3"/>
      <c r="J1496" s="3"/>
      <c r="K1496" s="3"/>
      <c r="L1496" s="3" t="s">
        <v>564</v>
      </c>
      <c r="M1496" s="3">
        <v>40</v>
      </c>
      <c r="N1496" s="3" t="s">
        <v>108</v>
      </c>
      <c r="O1496" s="3"/>
      <c r="P1496" s="3"/>
      <c r="Q1496" s="3">
        <v>13.818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563</v>
      </c>
      <c r="C1497" s="3" t="s">
        <v>361</v>
      </c>
      <c r="D1497" s="3"/>
      <c r="E1497" s="3" t="s">
        <v>361</v>
      </c>
      <c r="F1497" s="3"/>
      <c r="G1497" s="3"/>
      <c r="H1497" s="3"/>
      <c r="I1497" s="3"/>
      <c r="J1497" s="3"/>
      <c r="K1497" s="3"/>
      <c r="L1497" s="3" t="s">
        <v>564</v>
      </c>
      <c r="M1497" s="3">
        <v>50</v>
      </c>
      <c r="N1497" s="3" t="s">
        <v>105</v>
      </c>
      <c r="O1497" s="3"/>
      <c r="P1497" s="3"/>
      <c r="Q1497" s="3">
        <v>84.977999999999994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563</v>
      </c>
      <c r="C1498" s="3" t="s">
        <v>361</v>
      </c>
      <c r="D1498" s="3"/>
      <c r="E1498" s="3" t="s">
        <v>361</v>
      </c>
      <c r="F1498" s="3"/>
      <c r="G1498" s="3"/>
      <c r="H1498" s="3"/>
      <c r="I1498" s="3"/>
      <c r="J1498" s="3"/>
      <c r="K1498" s="3"/>
      <c r="L1498" s="3" t="s">
        <v>564</v>
      </c>
      <c r="M1498" s="3">
        <v>60</v>
      </c>
      <c r="N1498" s="3" t="s">
        <v>106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563</v>
      </c>
      <c r="C1499" s="3" t="s">
        <v>361</v>
      </c>
      <c r="D1499" s="3"/>
      <c r="E1499" s="3" t="s">
        <v>361</v>
      </c>
      <c r="F1499" s="3"/>
      <c r="G1499" s="3"/>
      <c r="H1499" s="3"/>
      <c r="I1499" s="3"/>
      <c r="J1499" s="3"/>
      <c r="K1499" s="3"/>
      <c r="L1499" s="3" t="s">
        <v>564</v>
      </c>
      <c r="M1499" s="3">
        <v>70</v>
      </c>
      <c r="N1499" s="3" t="s">
        <v>104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563</v>
      </c>
      <c r="C1500" s="3" t="s">
        <v>361</v>
      </c>
      <c r="D1500" s="3"/>
      <c r="E1500" s="3" t="s">
        <v>361</v>
      </c>
      <c r="F1500" s="3"/>
      <c r="G1500" s="3"/>
      <c r="H1500" s="3"/>
      <c r="I1500" s="3"/>
      <c r="J1500" s="3"/>
      <c r="K1500" s="3"/>
      <c r="L1500" s="3" t="s">
        <v>564</v>
      </c>
      <c r="M1500" s="3">
        <v>80</v>
      </c>
      <c r="N1500" s="3" t="s">
        <v>111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563</v>
      </c>
      <c r="C1501" s="3" t="s">
        <v>361</v>
      </c>
      <c r="D1501" s="3"/>
      <c r="E1501" s="3" t="s">
        <v>361</v>
      </c>
      <c r="F1501" s="3"/>
      <c r="G1501" s="3"/>
      <c r="H1501" s="3"/>
      <c r="I1501" s="3"/>
      <c r="J1501" s="3"/>
      <c r="K1501" s="3"/>
      <c r="L1501" s="3" t="s">
        <v>564</v>
      </c>
      <c r="M1501" s="3">
        <v>90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563</v>
      </c>
      <c r="C1502" s="3" t="s">
        <v>361</v>
      </c>
      <c r="D1502" s="3"/>
      <c r="E1502" s="3" t="s">
        <v>361</v>
      </c>
      <c r="F1502" s="3"/>
      <c r="G1502" s="3"/>
      <c r="H1502" s="3"/>
      <c r="I1502" s="3"/>
      <c r="J1502" s="3"/>
      <c r="K1502" s="3"/>
      <c r="L1502" s="3" t="s">
        <v>564</v>
      </c>
      <c r="M1502" s="3">
        <v>100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563</v>
      </c>
      <c r="C1503" s="3" t="s">
        <v>361</v>
      </c>
      <c r="D1503" s="3"/>
      <c r="E1503" s="3" t="s">
        <v>361</v>
      </c>
      <c r="F1503" s="3"/>
      <c r="G1503" s="3"/>
      <c r="H1503" s="3"/>
      <c r="I1503" s="3"/>
      <c r="J1503" s="3"/>
      <c r="K1503" s="3"/>
      <c r="L1503" s="3" t="s">
        <v>564</v>
      </c>
      <c r="M1503" s="3">
        <v>110</v>
      </c>
      <c r="N1503" s="3" t="s">
        <v>101</v>
      </c>
      <c r="O1503" s="3"/>
      <c r="P1503" s="3"/>
      <c r="Q1503" s="3">
        <v>0.495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563</v>
      </c>
      <c r="C1504" s="3" t="s">
        <v>361</v>
      </c>
      <c r="D1504" s="3"/>
      <c r="E1504" s="3" t="s">
        <v>361</v>
      </c>
      <c r="F1504" s="3"/>
      <c r="G1504" s="3"/>
      <c r="H1504" s="3"/>
      <c r="I1504" s="3"/>
      <c r="J1504" s="3"/>
      <c r="K1504" s="3"/>
      <c r="L1504" s="3" t="s">
        <v>564</v>
      </c>
      <c r="M1504" s="3">
        <v>120</v>
      </c>
      <c r="N1504" s="3" t="s">
        <v>362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563</v>
      </c>
      <c r="C1505" s="3" t="s">
        <v>363</v>
      </c>
      <c r="D1505" s="3"/>
      <c r="E1505" s="3" t="s">
        <v>363</v>
      </c>
      <c r="F1505" s="3"/>
      <c r="G1505" s="3"/>
      <c r="H1505" s="3"/>
      <c r="I1505" s="3"/>
      <c r="J1505" s="3"/>
      <c r="K1505" s="3"/>
      <c r="L1505" s="3" t="s">
        <v>564</v>
      </c>
      <c r="M1505" s="3">
        <v>10</v>
      </c>
      <c r="N1505" s="3" t="s">
        <v>107</v>
      </c>
      <c r="O1505" s="3"/>
      <c r="P1505" s="3"/>
      <c r="Q1505" s="3">
        <v>1.702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563</v>
      </c>
      <c r="C1506" s="3" t="s">
        <v>363</v>
      </c>
      <c r="D1506" s="3"/>
      <c r="E1506" s="3" t="s">
        <v>363</v>
      </c>
      <c r="F1506" s="3"/>
      <c r="G1506" s="3"/>
      <c r="H1506" s="3"/>
      <c r="I1506" s="3"/>
      <c r="J1506" s="3"/>
      <c r="K1506" s="3"/>
      <c r="L1506" s="3" t="s">
        <v>564</v>
      </c>
      <c r="M1506" s="3">
        <v>20</v>
      </c>
      <c r="N1506" s="3" t="s">
        <v>565</v>
      </c>
      <c r="O1506" s="3"/>
      <c r="P1506" s="3"/>
      <c r="Q1506" s="3">
        <v>1.702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563</v>
      </c>
      <c r="C1507" s="3" t="s">
        <v>363</v>
      </c>
      <c r="D1507" s="3"/>
      <c r="E1507" s="3" t="s">
        <v>363</v>
      </c>
      <c r="F1507" s="3"/>
      <c r="G1507" s="3"/>
      <c r="H1507" s="3"/>
      <c r="I1507" s="3"/>
      <c r="J1507" s="3"/>
      <c r="K1507" s="3"/>
      <c r="L1507" s="3" t="s">
        <v>564</v>
      </c>
      <c r="M1507" s="3">
        <v>30</v>
      </c>
      <c r="N1507" s="3" t="s">
        <v>99</v>
      </c>
      <c r="O1507" s="3"/>
      <c r="P1507" s="3"/>
      <c r="Q1507" s="3">
        <v>0.48099999999999998</v>
      </c>
      <c r="R1507" s="3" t="s">
        <v>100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563</v>
      </c>
      <c r="C1508" s="3" t="s">
        <v>363</v>
      </c>
      <c r="D1508" s="3"/>
      <c r="E1508" s="3" t="s">
        <v>363</v>
      </c>
      <c r="F1508" s="3"/>
      <c r="G1508" s="3"/>
      <c r="H1508" s="3"/>
      <c r="I1508" s="3"/>
      <c r="J1508" s="3"/>
      <c r="K1508" s="3"/>
      <c r="L1508" s="3" t="s">
        <v>564</v>
      </c>
      <c r="M1508" s="3">
        <v>40</v>
      </c>
      <c r="N1508" s="3" t="s">
        <v>108</v>
      </c>
      <c r="O1508" s="3"/>
      <c r="P1508" s="3"/>
      <c r="Q1508" s="3">
        <v>14.427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563</v>
      </c>
      <c r="C1509" s="3" t="s">
        <v>363</v>
      </c>
      <c r="D1509" s="3"/>
      <c r="E1509" s="3" t="s">
        <v>363</v>
      </c>
      <c r="F1509" s="3"/>
      <c r="G1509" s="3"/>
      <c r="H1509" s="3"/>
      <c r="I1509" s="3"/>
      <c r="J1509" s="3"/>
      <c r="K1509" s="3"/>
      <c r="L1509" s="3" t="s">
        <v>564</v>
      </c>
      <c r="M1509" s="3">
        <v>50</v>
      </c>
      <c r="N1509" s="3" t="s">
        <v>105</v>
      </c>
      <c r="O1509" s="3"/>
      <c r="P1509" s="3"/>
      <c r="Q1509" s="3">
        <v>88.727000000000004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563</v>
      </c>
      <c r="C1510" s="3" t="s">
        <v>363</v>
      </c>
      <c r="D1510" s="3"/>
      <c r="E1510" s="3" t="s">
        <v>363</v>
      </c>
      <c r="F1510" s="3"/>
      <c r="G1510" s="3"/>
      <c r="H1510" s="3"/>
      <c r="I1510" s="3"/>
      <c r="J1510" s="3"/>
      <c r="K1510" s="3"/>
      <c r="L1510" s="3" t="s">
        <v>564</v>
      </c>
      <c r="M1510" s="3">
        <v>60</v>
      </c>
      <c r="N1510" s="3" t="s">
        <v>106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563</v>
      </c>
      <c r="C1511" s="3" t="s">
        <v>363</v>
      </c>
      <c r="D1511" s="3"/>
      <c r="E1511" s="3" t="s">
        <v>363</v>
      </c>
      <c r="F1511" s="3"/>
      <c r="G1511" s="3"/>
      <c r="H1511" s="3"/>
      <c r="I1511" s="3"/>
      <c r="J1511" s="3"/>
      <c r="K1511" s="3"/>
      <c r="L1511" s="3" t="s">
        <v>564</v>
      </c>
      <c r="M1511" s="3">
        <v>70</v>
      </c>
      <c r="N1511" s="3" t="s">
        <v>104</v>
      </c>
      <c r="O1511" s="3"/>
      <c r="P1511" s="3"/>
      <c r="Q1511" s="3">
        <v>0.14299999999999999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563</v>
      </c>
      <c r="C1512" s="3" t="s">
        <v>363</v>
      </c>
      <c r="D1512" s="3"/>
      <c r="E1512" s="3" t="s">
        <v>363</v>
      </c>
      <c r="F1512" s="3"/>
      <c r="G1512" s="3"/>
      <c r="H1512" s="3"/>
      <c r="I1512" s="3"/>
      <c r="J1512" s="3"/>
      <c r="K1512" s="3"/>
      <c r="L1512" s="3" t="s">
        <v>564</v>
      </c>
      <c r="M1512" s="3">
        <v>80</v>
      </c>
      <c r="N1512" s="3" t="s">
        <v>111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563</v>
      </c>
      <c r="C1513" s="3" t="s">
        <v>363</v>
      </c>
      <c r="D1513" s="3"/>
      <c r="E1513" s="3" t="s">
        <v>363</v>
      </c>
      <c r="F1513" s="3"/>
      <c r="G1513" s="3"/>
      <c r="H1513" s="3"/>
      <c r="I1513" s="3"/>
      <c r="J1513" s="3"/>
      <c r="K1513" s="3"/>
      <c r="L1513" s="3" t="s">
        <v>564</v>
      </c>
      <c r="M1513" s="3">
        <v>90</v>
      </c>
      <c r="N1513" s="3" t="s">
        <v>18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563</v>
      </c>
      <c r="C1514" s="3" t="s">
        <v>363</v>
      </c>
      <c r="D1514" s="3"/>
      <c r="E1514" s="3" t="s">
        <v>363</v>
      </c>
      <c r="F1514" s="3"/>
      <c r="G1514" s="3"/>
      <c r="H1514" s="3"/>
      <c r="I1514" s="3"/>
      <c r="J1514" s="3"/>
      <c r="K1514" s="3"/>
      <c r="L1514" s="3" t="s">
        <v>564</v>
      </c>
      <c r="M1514" s="3">
        <v>100</v>
      </c>
      <c r="N1514" s="3" t="s">
        <v>19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563</v>
      </c>
      <c r="C1515" s="3" t="s">
        <v>363</v>
      </c>
      <c r="D1515" s="3"/>
      <c r="E1515" s="3" t="s">
        <v>363</v>
      </c>
      <c r="F1515" s="3"/>
      <c r="G1515" s="3"/>
      <c r="H1515" s="3"/>
      <c r="I1515" s="3"/>
      <c r="J1515" s="3"/>
      <c r="K1515" s="3"/>
      <c r="L1515" s="3" t="s">
        <v>564</v>
      </c>
      <c r="M1515" s="3">
        <v>110</v>
      </c>
      <c r="N1515" s="3" t="s">
        <v>101</v>
      </c>
      <c r="O1515" s="3"/>
      <c r="P1515" s="3"/>
      <c r="Q1515" s="3">
        <v>0.54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563</v>
      </c>
      <c r="C1516" s="3" t="s">
        <v>363</v>
      </c>
      <c r="D1516" s="3"/>
      <c r="E1516" s="3" t="s">
        <v>363</v>
      </c>
      <c r="F1516" s="3"/>
      <c r="G1516" s="3"/>
      <c r="H1516" s="3"/>
      <c r="I1516" s="3"/>
      <c r="J1516" s="3"/>
      <c r="K1516" s="3"/>
      <c r="L1516" s="3" t="s">
        <v>564</v>
      </c>
      <c r="M1516" s="3">
        <v>120</v>
      </c>
      <c r="N1516" s="3" t="s">
        <v>364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563</v>
      </c>
      <c r="C1517" s="3" t="s">
        <v>365</v>
      </c>
      <c r="D1517" s="3"/>
      <c r="E1517" s="3" t="s">
        <v>365</v>
      </c>
      <c r="F1517" s="3"/>
      <c r="G1517" s="3"/>
      <c r="H1517" s="3"/>
      <c r="I1517" s="3"/>
      <c r="J1517" s="3"/>
      <c r="K1517" s="3"/>
      <c r="L1517" s="3" t="s">
        <v>564</v>
      </c>
      <c r="M1517" s="3">
        <v>10</v>
      </c>
      <c r="N1517" s="3" t="s">
        <v>107</v>
      </c>
      <c r="O1517" s="3"/>
      <c r="P1517" s="3"/>
      <c r="Q1517" s="3">
        <v>1.8540000000000001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563</v>
      </c>
      <c r="C1518" s="3" t="s">
        <v>365</v>
      </c>
      <c r="D1518" s="3"/>
      <c r="E1518" s="3" t="s">
        <v>365</v>
      </c>
      <c r="F1518" s="3"/>
      <c r="G1518" s="3"/>
      <c r="H1518" s="3"/>
      <c r="I1518" s="3"/>
      <c r="J1518" s="3"/>
      <c r="K1518" s="3"/>
      <c r="L1518" s="3" t="s">
        <v>564</v>
      </c>
      <c r="M1518" s="3">
        <v>20</v>
      </c>
      <c r="N1518" s="3" t="s">
        <v>565</v>
      </c>
      <c r="O1518" s="3"/>
      <c r="P1518" s="3"/>
      <c r="Q1518" s="3">
        <v>1.8540000000000001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563</v>
      </c>
      <c r="C1519" s="3" t="s">
        <v>365</v>
      </c>
      <c r="D1519" s="3"/>
      <c r="E1519" s="3" t="s">
        <v>365</v>
      </c>
      <c r="F1519" s="3"/>
      <c r="G1519" s="3"/>
      <c r="H1519" s="3"/>
      <c r="I1519" s="3"/>
      <c r="J1519" s="3"/>
      <c r="K1519" s="3"/>
      <c r="L1519" s="3" t="s">
        <v>564</v>
      </c>
      <c r="M1519" s="3">
        <v>30</v>
      </c>
      <c r="N1519" s="3" t="s">
        <v>99</v>
      </c>
      <c r="O1519" s="3"/>
      <c r="P1519" s="3"/>
      <c r="Q1519" s="3">
        <v>0.52500000000000002</v>
      </c>
      <c r="R1519" s="3" t="s">
        <v>100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563</v>
      </c>
      <c r="C1520" s="3" t="s">
        <v>365</v>
      </c>
      <c r="D1520" s="3"/>
      <c r="E1520" s="3" t="s">
        <v>365</v>
      </c>
      <c r="F1520" s="3"/>
      <c r="G1520" s="3"/>
      <c r="H1520" s="3"/>
      <c r="I1520" s="3"/>
      <c r="J1520" s="3"/>
      <c r="K1520" s="3"/>
      <c r="L1520" s="3" t="s">
        <v>564</v>
      </c>
      <c r="M1520" s="3">
        <v>40</v>
      </c>
      <c r="N1520" s="3" t="s">
        <v>108</v>
      </c>
      <c r="O1520" s="3"/>
      <c r="P1520" s="3"/>
      <c r="Q1520" s="3">
        <v>15.037000000000001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563</v>
      </c>
      <c r="C1521" s="3" t="s">
        <v>365</v>
      </c>
      <c r="D1521" s="3"/>
      <c r="E1521" s="3" t="s">
        <v>365</v>
      </c>
      <c r="F1521" s="3"/>
      <c r="G1521" s="3"/>
      <c r="H1521" s="3"/>
      <c r="I1521" s="3"/>
      <c r="J1521" s="3"/>
      <c r="K1521" s="3"/>
      <c r="L1521" s="3" t="s">
        <v>564</v>
      </c>
      <c r="M1521" s="3">
        <v>50</v>
      </c>
      <c r="N1521" s="3" t="s">
        <v>105</v>
      </c>
      <c r="O1521" s="3"/>
      <c r="P1521" s="3"/>
      <c r="Q1521" s="3">
        <v>92.475999999999999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563</v>
      </c>
      <c r="C1522" s="3" t="s">
        <v>365</v>
      </c>
      <c r="D1522" s="3"/>
      <c r="E1522" s="3" t="s">
        <v>365</v>
      </c>
      <c r="F1522" s="3"/>
      <c r="G1522" s="3"/>
      <c r="H1522" s="3"/>
      <c r="I1522" s="3"/>
      <c r="J1522" s="3"/>
      <c r="K1522" s="3"/>
      <c r="L1522" s="3" t="s">
        <v>564</v>
      </c>
      <c r="M1522" s="3">
        <v>60</v>
      </c>
      <c r="N1522" s="3" t="s">
        <v>106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563</v>
      </c>
      <c r="C1523" s="3" t="s">
        <v>365</v>
      </c>
      <c r="D1523" s="3"/>
      <c r="E1523" s="3" t="s">
        <v>365</v>
      </c>
      <c r="F1523" s="3"/>
      <c r="G1523" s="3"/>
      <c r="H1523" s="3"/>
      <c r="I1523" s="3"/>
      <c r="J1523" s="3"/>
      <c r="K1523" s="3"/>
      <c r="L1523" s="3" t="s">
        <v>564</v>
      </c>
      <c r="M1523" s="3">
        <v>70</v>
      </c>
      <c r="N1523" s="3" t="s">
        <v>104</v>
      </c>
      <c r="O1523" s="3"/>
      <c r="P1523" s="3"/>
      <c r="Q1523" s="3">
        <v>0.154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563</v>
      </c>
      <c r="C1524" s="3" t="s">
        <v>365</v>
      </c>
      <c r="D1524" s="3"/>
      <c r="E1524" s="3" t="s">
        <v>365</v>
      </c>
      <c r="F1524" s="3"/>
      <c r="G1524" s="3"/>
      <c r="H1524" s="3"/>
      <c r="I1524" s="3"/>
      <c r="J1524" s="3"/>
      <c r="K1524" s="3"/>
      <c r="L1524" s="3" t="s">
        <v>564</v>
      </c>
      <c r="M1524" s="3">
        <v>80</v>
      </c>
      <c r="N1524" s="3" t="s">
        <v>111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563</v>
      </c>
      <c r="C1525" s="3" t="s">
        <v>365</v>
      </c>
      <c r="D1525" s="3"/>
      <c r="E1525" s="3" t="s">
        <v>365</v>
      </c>
      <c r="F1525" s="3"/>
      <c r="G1525" s="3"/>
      <c r="H1525" s="3"/>
      <c r="I1525" s="3"/>
      <c r="J1525" s="3"/>
      <c r="K1525" s="3"/>
      <c r="L1525" s="3" t="s">
        <v>564</v>
      </c>
      <c r="M1525" s="3">
        <v>90</v>
      </c>
      <c r="N1525" s="3" t="s">
        <v>18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563</v>
      </c>
      <c r="C1526" s="3" t="s">
        <v>365</v>
      </c>
      <c r="D1526" s="3"/>
      <c r="E1526" s="3" t="s">
        <v>365</v>
      </c>
      <c r="F1526" s="3"/>
      <c r="G1526" s="3"/>
      <c r="H1526" s="3"/>
      <c r="I1526" s="3"/>
      <c r="J1526" s="3"/>
      <c r="K1526" s="3"/>
      <c r="L1526" s="3" t="s">
        <v>564</v>
      </c>
      <c r="M1526" s="3">
        <v>100</v>
      </c>
      <c r="N1526" s="3" t="s">
        <v>19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563</v>
      </c>
      <c r="C1527" s="3" t="s">
        <v>365</v>
      </c>
      <c r="D1527" s="3"/>
      <c r="E1527" s="3" t="s">
        <v>365</v>
      </c>
      <c r="F1527" s="3"/>
      <c r="G1527" s="3"/>
      <c r="H1527" s="3"/>
      <c r="I1527" s="3"/>
      <c r="J1527" s="3"/>
      <c r="K1527" s="3"/>
      <c r="L1527" s="3" t="s">
        <v>564</v>
      </c>
      <c r="M1527" s="3">
        <v>110</v>
      </c>
      <c r="N1527" s="3" t="s">
        <v>101</v>
      </c>
      <c r="O1527" s="3"/>
      <c r="P1527" s="3"/>
      <c r="Q1527" s="3">
        <v>0.58599999999999997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563</v>
      </c>
      <c r="C1528" s="3" t="s">
        <v>365</v>
      </c>
      <c r="D1528" s="3"/>
      <c r="E1528" s="3" t="s">
        <v>365</v>
      </c>
      <c r="F1528" s="3"/>
      <c r="G1528" s="3"/>
      <c r="H1528" s="3"/>
      <c r="I1528" s="3"/>
      <c r="J1528" s="3"/>
      <c r="K1528" s="3"/>
      <c r="L1528" s="3" t="s">
        <v>564</v>
      </c>
      <c r="M1528" s="3">
        <v>120</v>
      </c>
      <c r="N1528" s="3" t="s">
        <v>366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563</v>
      </c>
      <c r="C1529" s="3" t="s">
        <v>367</v>
      </c>
      <c r="D1529" s="3"/>
      <c r="E1529" s="3" t="s">
        <v>367</v>
      </c>
      <c r="F1529" s="3"/>
      <c r="G1529" s="3"/>
      <c r="H1529" s="3"/>
      <c r="I1529" s="3"/>
      <c r="J1529" s="3"/>
      <c r="K1529" s="3"/>
      <c r="L1529" s="3" t="s">
        <v>564</v>
      </c>
      <c r="M1529" s="3">
        <v>10</v>
      </c>
      <c r="N1529" s="3" t="s">
        <v>107</v>
      </c>
      <c r="O1529" s="3"/>
      <c r="P1529" s="3"/>
      <c r="Q1529" s="3">
        <v>0.78700000000000003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563</v>
      </c>
      <c r="C1530" s="3" t="s">
        <v>367</v>
      </c>
      <c r="D1530" s="3"/>
      <c r="E1530" s="3" t="s">
        <v>367</v>
      </c>
      <c r="F1530" s="3"/>
      <c r="G1530" s="3"/>
      <c r="H1530" s="3"/>
      <c r="I1530" s="3"/>
      <c r="J1530" s="3"/>
      <c r="K1530" s="3"/>
      <c r="L1530" s="3" t="s">
        <v>564</v>
      </c>
      <c r="M1530" s="3">
        <v>20</v>
      </c>
      <c r="N1530" s="3" t="s">
        <v>565</v>
      </c>
      <c r="O1530" s="3"/>
      <c r="P1530" s="3"/>
      <c r="Q1530" s="3">
        <v>0.78700000000000003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563</v>
      </c>
      <c r="C1531" s="3" t="s">
        <v>367</v>
      </c>
      <c r="D1531" s="3"/>
      <c r="E1531" s="3" t="s">
        <v>367</v>
      </c>
      <c r="F1531" s="3"/>
      <c r="G1531" s="3"/>
      <c r="H1531" s="3"/>
      <c r="I1531" s="3"/>
      <c r="J1531" s="3"/>
      <c r="K1531" s="3"/>
      <c r="L1531" s="3" t="s">
        <v>564</v>
      </c>
      <c r="M1531" s="3">
        <v>30</v>
      </c>
      <c r="N1531" s="3" t="s">
        <v>99</v>
      </c>
      <c r="O1531" s="3"/>
      <c r="P1531" s="3"/>
      <c r="Q1531" s="3">
        <v>0.22800000000000001</v>
      </c>
      <c r="R1531" s="3" t="s">
        <v>100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563</v>
      </c>
      <c r="C1532" s="3" t="s">
        <v>367</v>
      </c>
      <c r="D1532" s="3"/>
      <c r="E1532" s="3" t="s">
        <v>367</v>
      </c>
      <c r="F1532" s="3"/>
      <c r="G1532" s="3"/>
      <c r="H1532" s="3"/>
      <c r="I1532" s="3"/>
      <c r="J1532" s="3"/>
      <c r="K1532" s="3"/>
      <c r="L1532" s="3" t="s">
        <v>564</v>
      </c>
      <c r="M1532" s="3">
        <v>40</v>
      </c>
      <c r="N1532" s="3" t="s">
        <v>108</v>
      </c>
      <c r="O1532" s="3"/>
      <c r="P1532" s="3"/>
      <c r="Q1532" s="3">
        <v>11.074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563</v>
      </c>
      <c r="C1533" s="3" t="s">
        <v>367</v>
      </c>
      <c r="D1533" s="3"/>
      <c r="E1533" s="3" t="s">
        <v>367</v>
      </c>
      <c r="F1533" s="3"/>
      <c r="G1533" s="3"/>
      <c r="H1533" s="3"/>
      <c r="I1533" s="3"/>
      <c r="J1533" s="3"/>
      <c r="K1533" s="3"/>
      <c r="L1533" s="3" t="s">
        <v>564</v>
      </c>
      <c r="M1533" s="3">
        <v>50</v>
      </c>
      <c r="N1533" s="3" t="s">
        <v>105</v>
      </c>
      <c r="O1533" s="3"/>
      <c r="P1533" s="3"/>
      <c r="Q1533" s="3">
        <v>68.108000000000004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563</v>
      </c>
      <c r="C1534" s="3" t="s">
        <v>367</v>
      </c>
      <c r="D1534" s="3"/>
      <c r="E1534" s="3" t="s">
        <v>367</v>
      </c>
      <c r="F1534" s="3"/>
      <c r="G1534" s="3"/>
      <c r="H1534" s="3"/>
      <c r="I1534" s="3"/>
      <c r="J1534" s="3"/>
      <c r="K1534" s="3"/>
      <c r="L1534" s="3" t="s">
        <v>564</v>
      </c>
      <c r="M1534" s="3">
        <v>60</v>
      </c>
      <c r="N1534" s="3" t="s">
        <v>106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563</v>
      </c>
      <c r="C1535" s="3" t="s">
        <v>367</v>
      </c>
      <c r="D1535" s="3"/>
      <c r="E1535" s="3" t="s">
        <v>367</v>
      </c>
      <c r="F1535" s="3"/>
      <c r="G1535" s="3"/>
      <c r="H1535" s="3"/>
      <c r="I1535" s="3"/>
      <c r="J1535" s="3"/>
      <c r="K1535" s="3"/>
      <c r="L1535" s="3" t="s">
        <v>564</v>
      </c>
      <c r="M1535" s="3">
        <v>70</v>
      </c>
      <c r="N1535" s="3" t="s">
        <v>104</v>
      </c>
      <c r="O1535" s="3"/>
      <c r="P1535" s="3"/>
      <c r="Q1535" s="3">
        <v>7.4999999999999997E-2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563</v>
      </c>
      <c r="C1536" s="3" t="s">
        <v>367</v>
      </c>
      <c r="D1536" s="3"/>
      <c r="E1536" s="3" t="s">
        <v>367</v>
      </c>
      <c r="F1536" s="3"/>
      <c r="G1536" s="3"/>
      <c r="H1536" s="3"/>
      <c r="I1536" s="3"/>
      <c r="J1536" s="3"/>
      <c r="K1536" s="3"/>
      <c r="L1536" s="3" t="s">
        <v>564</v>
      </c>
      <c r="M1536" s="3">
        <v>80</v>
      </c>
      <c r="N1536" s="3" t="s">
        <v>111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563</v>
      </c>
      <c r="C1537" s="3" t="s">
        <v>367</v>
      </c>
      <c r="D1537" s="3"/>
      <c r="E1537" s="3" t="s">
        <v>367</v>
      </c>
      <c r="F1537" s="3"/>
      <c r="G1537" s="3"/>
      <c r="H1537" s="3"/>
      <c r="I1537" s="3"/>
      <c r="J1537" s="3"/>
      <c r="K1537" s="3"/>
      <c r="L1537" s="3" t="s">
        <v>564</v>
      </c>
      <c r="M1537" s="3">
        <v>90</v>
      </c>
      <c r="N1537" s="3" t="s">
        <v>18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563</v>
      </c>
      <c r="C1538" s="3" t="s">
        <v>367</v>
      </c>
      <c r="D1538" s="3"/>
      <c r="E1538" s="3" t="s">
        <v>367</v>
      </c>
      <c r="F1538" s="3"/>
      <c r="G1538" s="3"/>
      <c r="H1538" s="3"/>
      <c r="I1538" s="3"/>
      <c r="J1538" s="3"/>
      <c r="K1538" s="3"/>
      <c r="L1538" s="3" t="s">
        <v>564</v>
      </c>
      <c r="M1538" s="3">
        <v>100</v>
      </c>
      <c r="N1538" s="3" t="s">
        <v>19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563</v>
      </c>
      <c r="C1539" s="3" t="s">
        <v>367</v>
      </c>
      <c r="D1539" s="3"/>
      <c r="E1539" s="3" t="s">
        <v>367</v>
      </c>
      <c r="F1539" s="3"/>
      <c r="G1539" s="3"/>
      <c r="H1539" s="3"/>
      <c r="I1539" s="3"/>
      <c r="J1539" s="3"/>
      <c r="K1539" s="3"/>
      <c r="L1539" s="3" t="s">
        <v>564</v>
      </c>
      <c r="M1539" s="3">
        <v>110</v>
      </c>
      <c r="N1539" s="3" t="s">
        <v>101</v>
      </c>
      <c r="O1539" s="3"/>
      <c r="P1539" s="3"/>
      <c r="Q1539" s="3">
        <v>0.27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563</v>
      </c>
      <c r="C1540" s="3" t="s">
        <v>367</v>
      </c>
      <c r="D1540" s="3"/>
      <c r="E1540" s="3" t="s">
        <v>367</v>
      </c>
      <c r="F1540" s="3"/>
      <c r="G1540" s="3"/>
      <c r="H1540" s="3"/>
      <c r="I1540" s="3"/>
      <c r="J1540" s="3"/>
      <c r="K1540" s="3"/>
      <c r="L1540" s="3" t="s">
        <v>564</v>
      </c>
      <c r="M1540" s="3">
        <v>120</v>
      </c>
      <c r="N1540" s="3" t="s">
        <v>368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563</v>
      </c>
      <c r="C1541" s="3" t="s">
        <v>369</v>
      </c>
      <c r="D1541" s="3"/>
      <c r="E1541" s="3" t="s">
        <v>369</v>
      </c>
      <c r="F1541" s="3"/>
      <c r="G1541" s="3"/>
      <c r="H1541" s="3"/>
      <c r="I1541" s="3"/>
      <c r="J1541" s="3"/>
      <c r="K1541" s="3"/>
      <c r="L1541" s="3" t="s">
        <v>564</v>
      </c>
      <c r="M1541" s="3">
        <v>10</v>
      </c>
      <c r="N1541" s="3" t="s">
        <v>107</v>
      </c>
      <c r="O1541" s="3"/>
      <c r="P1541" s="3"/>
      <c r="Q1541" s="3">
        <v>0.94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563</v>
      </c>
      <c r="C1542" s="3" t="s">
        <v>369</v>
      </c>
      <c r="D1542" s="3"/>
      <c r="E1542" s="3" t="s">
        <v>369</v>
      </c>
      <c r="F1542" s="3"/>
      <c r="G1542" s="3"/>
      <c r="H1542" s="3"/>
      <c r="I1542" s="3"/>
      <c r="J1542" s="3"/>
      <c r="K1542" s="3"/>
      <c r="L1542" s="3" t="s">
        <v>564</v>
      </c>
      <c r="M1542" s="3">
        <v>20</v>
      </c>
      <c r="N1542" s="3" t="s">
        <v>565</v>
      </c>
      <c r="O1542" s="3"/>
      <c r="P1542" s="3"/>
      <c r="Q1542" s="3">
        <v>0.94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563</v>
      </c>
      <c r="C1543" s="3" t="s">
        <v>369</v>
      </c>
      <c r="D1543" s="3"/>
      <c r="E1543" s="3" t="s">
        <v>369</v>
      </c>
      <c r="F1543" s="3"/>
      <c r="G1543" s="3"/>
      <c r="H1543" s="3"/>
      <c r="I1543" s="3"/>
      <c r="J1543" s="3"/>
      <c r="K1543" s="3"/>
      <c r="L1543" s="3" t="s">
        <v>564</v>
      </c>
      <c r="M1543" s="3">
        <v>30</v>
      </c>
      <c r="N1543" s="3" t="s">
        <v>99</v>
      </c>
      <c r="O1543" s="3"/>
      <c r="P1543" s="3"/>
      <c r="Q1543" s="3">
        <v>0.27300000000000002</v>
      </c>
      <c r="R1543" s="3" t="s">
        <v>100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563</v>
      </c>
      <c r="C1544" s="3" t="s">
        <v>369</v>
      </c>
      <c r="D1544" s="3"/>
      <c r="E1544" s="3" t="s">
        <v>369</v>
      </c>
      <c r="F1544" s="3"/>
      <c r="G1544" s="3"/>
      <c r="H1544" s="3"/>
      <c r="I1544" s="3"/>
      <c r="J1544" s="3"/>
      <c r="K1544" s="3"/>
      <c r="L1544" s="3" t="s">
        <v>564</v>
      </c>
      <c r="M1544" s="3">
        <v>40</v>
      </c>
      <c r="N1544" s="3" t="s">
        <v>108</v>
      </c>
      <c r="O1544" s="3"/>
      <c r="P1544" s="3"/>
      <c r="Q1544" s="3">
        <v>11.683999999999999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563</v>
      </c>
      <c r="C1545" s="3" t="s">
        <v>369</v>
      </c>
      <c r="D1545" s="3"/>
      <c r="E1545" s="3" t="s">
        <v>369</v>
      </c>
      <c r="F1545" s="3"/>
      <c r="G1545" s="3"/>
      <c r="H1545" s="3"/>
      <c r="I1545" s="3"/>
      <c r="J1545" s="3"/>
      <c r="K1545" s="3"/>
      <c r="L1545" s="3" t="s">
        <v>564</v>
      </c>
      <c r="M1545" s="3">
        <v>50</v>
      </c>
      <c r="N1545" s="3" t="s">
        <v>105</v>
      </c>
      <c r="O1545" s="3"/>
      <c r="P1545" s="3"/>
      <c r="Q1545" s="3">
        <v>71.856999999999999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563</v>
      </c>
      <c r="C1546" s="3" t="s">
        <v>369</v>
      </c>
      <c r="D1546" s="3"/>
      <c r="E1546" s="3" t="s">
        <v>369</v>
      </c>
      <c r="F1546" s="3"/>
      <c r="G1546" s="3"/>
      <c r="H1546" s="3"/>
      <c r="I1546" s="3"/>
      <c r="J1546" s="3"/>
      <c r="K1546" s="3"/>
      <c r="L1546" s="3" t="s">
        <v>564</v>
      </c>
      <c r="M1546" s="3">
        <v>60</v>
      </c>
      <c r="N1546" s="3" t="s">
        <v>106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563</v>
      </c>
      <c r="C1547" s="3" t="s">
        <v>369</v>
      </c>
      <c r="D1547" s="3"/>
      <c r="E1547" s="3" t="s">
        <v>369</v>
      </c>
      <c r="F1547" s="3"/>
      <c r="G1547" s="3"/>
      <c r="H1547" s="3"/>
      <c r="I1547" s="3"/>
      <c r="J1547" s="3"/>
      <c r="K1547" s="3"/>
      <c r="L1547" s="3" t="s">
        <v>564</v>
      </c>
      <c r="M1547" s="3">
        <v>70</v>
      </c>
      <c r="N1547" s="3" t="s">
        <v>104</v>
      </c>
      <c r="O1547" s="3"/>
      <c r="P1547" s="3"/>
      <c r="Q1547" s="3">
        <v>8.5999999999999993E-2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563</v>
      </c>
      <c r="C1548" s="3" t="s">
        <v>369</v>
      </c>
      <c r="D1548" s="3"/>
      <c r="E1548" s="3" t="s">
        <v>369</v>
      </c>
      <c r="F1548" s="3"/>
      <c r="G1548" s="3"/>
      <c r="H1548" s="3"/>
      <c r="I1548" s="3"/>
      <c r="J1548" s="3"/>
      <c r="K1548" s="3"/>
      <c r="L1548" s="3" t="s">
        <v>564</v>
      </c>
      <c r="M1548" s="3">
        <v>80</v>
      </c>
      <c r="N1548" s="3" t="s">
        <v>111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563</v>
      </c>
      <c r="C1549" s="3" t="s">
        <v>369</v>
      </c>
      <c r="D1549" s="3"/>
      <c r="E1549" s="3" t="s">
        <v>369</v>
      </c>
      <c r="F1549" s="3"/>
      <c r="G1549" s="3"/>
      <c r="H1549" s="3"/>
      <c r="I1549" s="3"/>
      <c r="J1549" s="3"/>
      <c r="K1549" s="3"/>
      <c r="L1549" s="3" t="s">
        <v>564</v>
      </c>
      <c r="M1549" s="3">
        <v>90</v>
      </c>
      <c r="N1549" s="3" t="s">
        <v>18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563</v>
      </c>
      <c r="C1550" s="3" t="s">
        <v>369</v>
      </c>
      <c r="D1550" s="3"/>
      <c r="E1550" s="3" t="s">
        <v>369</v>
      </c>
      <c r="F1550" s="3"/>
      <c r="G1550" s="3"/>
      <c r="H1550" s="3"/>
      <c r="I1550" s="3"/>
      <c r="J1550" s="3"/>
      <c r="K1550" s="3"/>
      <c r="L1550" s="3" t="s">
        <v>564</v>
      </c>
      <c r="M1550" s="3">
        <v>100</v>
      </c>
      <c r="N1550" s="3" t="s">
        <v>19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563</v>
      </c>
      <c r="C1551" s="3" t="s">
        <v>369</v>
      </c>
      <c r="D1551" s="3"/>
      <c r="E1551" s="3" t="s">
        <v>369</v>
      </c>
      <c r="F1551" s="3"/>
      <c r="G1551" s="3"/>
      <c r="H1551" s="3"/>
      <c r="I1551" s="3"/>
      <c r="J1551" s="3"/>
      <c r="K1551" s="3"/>
      <c r="L1551" s="3" t="s">
        <v>564</v>
      </c>
      <c r="M1551" s="3">
        <v>110</v>
      </c>
      <c r="N1551" s="3" t="s">
        <v>101</v>
      </c>
      <c r="O1551" s="3"/>
      <c r="P1551" s="3"/>
      <c r="Q1551" s="3">
        <v>0.315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563</v>
      </c>
      <c r="C1552" s="3" t="s">
        <v>369</v>
      </c>
      <c r="D1552" s="3"/>
      <c r="E1552" s="3" t="s">
        <v>369</v>
      </c>
      <c r="F1552" s="3"/>
      <c r="G1552" s="3"/>
      <c r="H1552" s="3"/>
      <c r="I1552" s="3"/>
      <c r="J1552" s="3"/>
      <c r="K1552" s="3"/>
      <c r="L1552" s="3" t="s">
        <v>564</v>
      </c>
      <c r="M1552" s="3">
        <v>120</v>
      </c>
      <c r="N1552" s="3" t="s">
        <v>370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563</v>
      </c>
      <c r="C1553" s="3" t="s">
        <v>371</v>
      </c>
      <c r="D1553" s="3"/>
      <c r="E1553" s="3" t="s">
        <v>371</v>
      </c>
      <c r="F1553" s="3"/>
      <c r="G1553" s="3"/>
      <c r="H1553" s="3"/>
      <c r="I1553" s="3"/>
      <c r="J1553" s="3"/>
      <c r="K1553" s="3"/>
      <c r="L1553" s="3" t="s">
        <v>564</v>
      </c>
      <c r="M1553" s="3">
        <v>10</v>
      </c>
      <c r="N1553" s="3" t="s">
        <v>107</v>
      </c>
      <c r="O1553" s="3"/>
      <c r="P1553" s="3"/>
      <c r="Q1553" s="3">
        <v>1.0920000000000001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563</v>
      </c>
      <c r="C1554" s="3" t="s">
        <v>371</v>
      </c>
      <c r="D1554" s="3"/>
      <c r="E1554" s="3" t="s">
        <v>371</v>
      </c>
      <c r="F1554" s="3"/>
      <c r="G1554" s="3"/>
      <c r="H1554" s="3"/>
      <c r="I1554" s="3"/>
      <c r="J1554" s="3"/>
      <c r="K1554" s="3"/>
      <c r="L1554" s="3" t="s">
        <v>564</v>
      </c>
      <c r="M1554" s="3">
        <v>20</v>
      </c>
      <c r="N1554" s="3" t="s">
        <v>565</v>
      </c>
      <c r="O1554" s="3"/>
      <c r="P1554" s="3"/>
      <c r="Q1554" s="3">
        <v>1.0920000000000001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563</v>
      </c>
      <c r="C1555" s="3" t="s">
        <v>371</v>
      </c>
      <c r="D1555" s="3"/>
      <c r="E1555" s="3" t="s">
        <v>371</v>
      </c>
      <c r="F1555" s="3"/>
      <c r="G1555" s="3"/>
      <c r="H1555" s="3"/>
      <c r="I1555" s="3"/>
      <c r="J1555" s="3"/>
      <c r="K1555" s="3"/>
      <c r="L1555" s="3" t="s">
        <v>564</v>
      </c>
      <c r="M1555" s="3">
        <v>30</v>
      </c>
      <c r="N1555" s="3" t="s">
        <v>99</v>
      </c>
      <c r="O1555" s="3"/>
      <c r="P1555" s="3"/>
      <c r="Q1555" s="3">
        <v>0.31900000000000001</v>
      </c>
      <c r="R1555" s="3" t="s">
        <v>100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563</v>
      </c>
      <c r="C1556" s="3" t="s">
        <v>371</v>
      </c>
      <c r="D1556" s="3"/>
      <c r="E1556" s="3" t="s">
        <v>371</v>
      </c>
      <c r="F1556" s="3"/>
      <c r="G1556" s="3"/>
      <c r="H1556" s="3"/>
      <c r="I1556" s="3"/>
      <c r="J1556" s="3"/>
      <c r="K1556" s="3"/>
      <c r="L1556" s="3" t="s">
        <v>564</v>
      </c>
      <c r="M1556" s="3">
        <v>40</v>
      </c>
      <c r="N1556" s="3" t="s">
        <v>108</v>
      </c>
      <c r="O1556" s="3"/>
      <c r="P1556" s="3"/>
      <c r="Q1556" s="3">
        <v>12.294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563</v>
      </c>
      <c r="C1557" s="3" t="s">
        <v>371</v>
      </c>
      <c r="D1557" s="3"/>
      <c r="E1557" s="3" t="s">
        <v>371</v>
      </c>
      <c r="F1557" s="3"/>
      <c r="G1557" s="3"/>
      <c r="H1557" s="3"/>
      <c r="I1557" s="3"/>
      <c r="J1557" s="3"/>
      <c r="K1557" s="3"/>
      <c r="L1557" s="3" t="s">
        <v>564</v>
      </c>
      <c r="M1557" s="3">
        <v>50</v>
      </c>
      <c r="N1557" s="3" t="s">
        <v>105</v>
      </c>
      <c r="O1557" s="3"/>
      <c r="P1557" s="3"/>
      <c r="Q1557" s="3">
        <v>75.605999999999995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563</v>
      </c>
      <c r="C1558" s="3" t="s">
        <v>371</v>
      </c>
      <c r="D1558" s="3"/>
      <c r="E1558" s="3" t="s">
        <v>371</v>
      </c>
      <c r="F1558" s="3"/>
      <c r="G1558" s="3"/>
      <c r="H1558" s="3"/>
      <c r="I1558" s="3"/>
      <c r="J1558" s="3"/>
      <c r="K1558" s="3"/>
      <c r="L1558" s="3" t="s">
        <v>564</v>
      </c>
      <c r="M1558" s="3">
        <v>60</v>
      </c>
      <c r="N1558" s="3" t="s">
        <v>106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563</v>
      </c>
      <c r="C1559" s="3" t="s">
        <v>371</v>
      </c>
      <c r="D1559" s="3"/>
      <c r="E1559" s="3" t="s">
        <v>371</v>
      </c>
      <c r="F1559" s="3"/>
      <c r="G1559" s="3"/>
      <c r="H1559" s="3"/>
      <c r="I1559" s="3"/>
      <c r="J1559" s="3"/>
      <c r="K1559" s="3"/>
      <c r="L1559" s="3" t="s">
        <v>564</v>
      </c>
      <c r="M1559" s="3">
        <v>70</v>
      </c>
      <c r="N1559" s="3" t="s">
        <v>104</v>
      </c>
      <c r="O1559" s="3"/>
      <c r="P1559" s="3"/>
      <c r="Q1559" s="3">
        <v>9.8000000000000004E-2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563</v>
      </c>
      <c r="C1560" s="3" t="s">
        <v>371</v>
      </c>
      <c r="D1560" s="3"/>
      <c r="E1560" s="3" t="s">
        <v>371</v>
      </c>
      <c r="F1560" s="3"/>
      <c r="G1560" s="3"/>
      <c r="H1560" s="3"/>
      <c r="I1560" s="3"/>
      <c r="J1560" s="3"/>
      <c r="K1560" s="3"/>
      <c r="L1560" s="3" t="s">
        <v>564</v>
      </c>
      <c r="M1560" s="3">
        <v>80</v>
      </c>
      <c r="N1560" s="3" t="s">
        <v>111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563</v>
      </c>
      <c r="C1561" s="3" t="s">
        <v>371</v>
      </c>
      <c r="D1561" s="3"/>
      <c r="E1561" s="3" t="s">
        <v>371</v>
      </c>
      <c r="F1561" s="3"/>
      <c r="G1561" s="3"/>
      <c r="H1561" s="3"/>
      <c r="I1561" s="3"/>
      <c r="J1561" s="3"/>
      <c r="K1561" s="3"/>
      <c r="L1561" s="3" t="s">
        <v>564</v>
      </c>
      <c r="M1561" s="3">
        <v>90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563</v>
      </c>
      <c r="C1562" s="3" t="s">
        <v>371</v>
      </c>
      <c r="D1562" s="3"/>
      <c r="E1562" s="3" t="s">
        <v>371</v>
      </c>
      <c r="F1562" s="3"/>
      <c r="G1562" s="3"/>
      <c r="H1562" s="3"/>
      <c r="I1562" s="3"/>
      <c r="J1562" s="3"/>
      <c r="K1562" s="3"/>
      <c r="L1562" s="3" t="s">
        <v>564</v>
      </c>
      <c r="M1562" s="3">
        <v>100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563</v>
      </c>
      <c r="C1563" s="3" t="s">
        <v>371</v>
      </c>
      <c r="D1563" s="3"/>
      <c r="E1563" s="3" t="s">
        <v>371</v>
      </c>
      <c r="F1563" s="3"/>
      <c r="G1563" s="3"/>
      <c r="H1563" s="3"/>
      <c r="I1563" s="3"/>
      <c r="J1563" s="3"/>
      <c r="K1563" s="3"/>
      <c r="L1563" s="3" t="s">
        <v>564</v>
      </c>
      <c r="M1563" s="3">
        <v>110</v>
      </c>
      <c r="N1563" s="3" t="s">
        <v>101</v>
      </c>
      <c r="O1563" s="3"/>
      <c r="P1563" s="3"/>
      <c r="Q1563" s="3">
        <v>0.36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563</v>
      </c>
      <c r="C1564" s="3" t="s">
        <v>371</v>
      </c>
      <c r="D1564" s="3"/>
      <c r="E1564" s="3" t="s">
        <v>371</v>
      </c>
      <c r="F1564" s="3"/>
      <c r="G1564" s="3"/>
      <c r="H1564" s="3"/>
      <c r="I1564" s="3"/>
      <c r="J1564" s="3"/>
      <c r="K1564" s="3"/>
      <c r="L1564" s="3" t="s">
        <v>564</v>
      </c>
      <c r="M1564" s="3">
        <v>120</v>
      </c>
      <c r="N1564" s="3" t="s">
        <v>372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563</v>
      </c>
      <c r="C1565" s="3" t="s">
        <v>373</v>
      </c>
      <c r="D1565" s="3"/>
      <c r="E1565" s="3" t="s">
        <v>373</v>
      </c>
      <c r="F1565" s="3"/>
      <c r="G1565" s="3"/>
      <c r="H1565" s="3"/>
      <c r="I1565" s="3"/>
      <c r="J1565" s="3"/>
      <c r="K1565" s="3"/>
      <c r="L1565" s="3" t="s">
        <v>564</v>
      </c>
      <c r="M1565" s="3">
        <v>10</v>
      </c>
      <c r="N1565" s="3" t="s">
        <v>107</v>
      </c>
      <c r="O1565" s="3"/>
      <c r="P1565" s="3"/>
      <c r="Q1565" s="3">
        <v>1.2450000000000001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563</v>
      </c>
      <c r="C1566" s="3" t="s">
        <v>373</v>
      </c>
      <c r="D1566" s="3"/>
      <c r="E1566" s="3" t="s">
        <v>373</v>
      </c>
      <c r="F1566" s="3"/>
      <c r="G1566" s="3"/>
      <c r="H1566" s="3"/>
      <c r="I1566" s="3"/>
      <c r="J1566" s="3"/>
      <c r="K1566" s="3"/>
      <c r="L1566" s="3" t="s">
        <v>564</v>
      </c>
      <c r="M1566" s="3">
        <v>20</v>
      </c>
      <c r="N1566" s="3" t="s">
        <v>565</v>
      </c>
      <c r="O1566" s="3"/>
      <c r="P1566" s="3"/>
      <c r="Q1566" s="3">
        <v>1.2450000000000001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563</v>
      </c>
      <c r="C1567" s="3" t="s">
        <v>373</v>
      </c>
      <c r="D1567" s="3"/>
      <c r="E1567" s="3" t="s">
        <v>373</v>
      </c>
      <c r="F1567" s="3"/>
      <c r="G1567" s="3"/>
      <c r="H1567" s="3"/>
      <c r="I1567" s="3"/>
      <c r="J1567" s="3"/>
      <c r="K1567" s="3"/>
      <c r="L1567" s="3" t="s">
        <v>564</v>
      </c>
      <c r="M1567" s="3">
        <v>30</v>
      </c>
      <c r="N1567" s="3" t="s">
        <v>99</v>
      </c>
      <c r="O1567" s="3"/>
      <c r="P1567" s="3"/>
      <c r="Q1567" s="3">
        <v>0.36499999999999999</v>
      </c>
      <c r="R1567" s="3" t="s">
        <v>100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563</v>
      </c>
      <c r="C1568" s="3" t="s">
        <v>373</v>
      </c>
      <c r="D1568" s="3"/>
      <c r="E1568" s="3" t="s">
        <v>373</v>
      </c>
      <c r="F1568" s="3"/>
      <c r="G1568" s="3"/>
      <c r="H1568" s="3"/>
      <c r="I1568" s="3"/>
      <c r="J1568" s="3"/>
      <c r="K1568" s="3"/>
      <c r="L1568" s="3" t="s">
        <v>564</v>
      </c>
      <c r="M1568" s="3">
        <v>40</v>
      </c>
      <c r="N1568" s="3" t="s">
        <v>108</v>
      </c>
      <c r="O1568" s="3"/>
      <c r="P1568" s="3"/>
      <c r="Q1568" s="3">
        <v>12.903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563</v>
      </c>
      <c r="C1569" s="3" t="s">
        <v>373</v>
      </c>
      <c r="D1569" s="3"/>
      <c r="E1569" s="3" t="s">
        <v>373</v>
      </c>
      <c r="F1569" s="3"/>
      <c r="G1569" s="3"/>
      <c r="H1569" s="3"/>
      <c r="I1569" s="3"/>
      <c r="J1569" s="3"/>
      <c r="K1569" s="3"/>
      <c r="L1569" s="3" t="s">
        <v>564</v>
      </c>
      <c r="M1569" s="3">
        <v>50</v>
      </c>
      <c r="N1569" s="3" t="s">
        <v>105</v>
      </c>
      <c r="O1569" s="3"/>
      <c r="P1569" s="3"/>
      <c r="Q1569" s="3">
        <v>79.355000000000004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563</v>
      </c>
      <c r="C1570" s="3" t="s">
        <v>373</v>
      </c>
      <c r="D1570" s="3"/>
      <c r="E1570" s="3" t="s">
        <v>373</v>
      </c>
      <c r="F1570" s="3"/>
      <c r="G1570" s="3"/>
      <c r="H1570" s="3"/>
      <c r="I1570" s="3"/>
      <c r="J1570" s="3"/>
      <c r="K1570" s="3"/>
      <c r="L1570" s="3" t="s">
        <v>564</v>
      </c>
      <c r="M1570" s="3">
        <v>60</v>
      </c>
      <c r="N1570" s="3" t="s">
        <v>106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563</v>
      </c>
      <c r="C1571" s="3" t="s">
        <v>373</v>
      </c>
      <c r="D1571" s="3"/>
      <c r="E1571" s="3" t="s">
        <v>373</v>
      </c>
      <c r="F1571" s="3"/>
      <c r="G1571" s="3"/>
      <c r="H1571" s="3"/>
      <c r="I1571" s="3"/>
      <c r="J1571" s="3"/>
      <c r="K1571" s="3"/>
      <c r="L1571" s="3" t="s">
        <v>564</v>
      </c>
      <c r="M1571" s="3">
        <v>70</v>
      </c>
      <c r="N1571" s="3" t="s">
        <v>104</v>
      </c>
      <c r="O1571" s="3"/>
      <c r="P1571" s="3"/>
      <c r="Q1571" s="3">
        <v>0.109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563</v>
      </c>
      <c r="C1572" s="3" t="s">
        <v>373</v>
      </c>
      <c r="D1572" s="3"/>
      <c r="E1572" s="3" t="s">
        <v>373</v>
      </c>
      <c r="F1572" s="3"/>
      <c r="G1572" s="3"/>
      <c r="H1572" s="3"/>
      <c r="I1572" s="3"/>
      <c r="J1572" s="3"/>
      <c r="K1572" s="3"/>
      <c r="L1572" s="3" t="s">
        <v>564</v>
      </c>
      <c r="M1572" s="3">
        <v>80</v>
      </c>
      <c r="N1572" s="3" t="s">
        <v>111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563</v>
      </c>
      <c r="C1573" s="3" t="s">
        <v>373</v>
      </c>
      <c r="D1573" s="3"/>
      <c r="E1573" s="3" t="s">
        <v>373</v>
      </c>
      <c r="F1573" s="3"/>
      <c r="G1573" s="3"/>
      <c r="H1573" s="3"/>
      <c r="I1573" s="3"/>
      <c r="J1573" s="3"/>
      <c r="K1573" s="3"/>
      <c r="L1573" s="3" t="s">
        <v>564</v>
      </c>
      <c r="M1573" s="3">
        <v>90</v>
      </c>
      <c r="N1573" s="3" t="s">
        <v>18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563</v>
      </c>
      <c r="C1574" s="3" t="s">
        <v>373</v>
      </c>
      <c r="D1574" s="3"/>
      <c r="E1574" s="3" t="s">
        <v>373</v>
      </c>
      <c r="F1574" s="3"/>
      <c r="G1574" s="3"/>
      <c r="H1574" s="3"/>
      <c r="I1574" s="3"/>
      <c r="J1574" s="3"/>
      <c r="K1574" s="3"/>
      <c r="L1574" s="3" t="s">
        <v>564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563</v>
      </c>
      <c r="C1575" s="3" t="s">
        <v>373</v>
      </c>
      <c r="D1575" s="3"/>
      <c r="E1575" s="3" t="s">
        <v>373</v>
      </c>
      <c r="F1575" s="3"/>
      <c r="G1575" s="3"/>
      <c r="H1575" s="3"/>
      <c r="I1575" s="3"/>
      <c r="J1575" s="3"/>
      <c r="K1575" s="3"/>
      <c r="L1575" s="3" t="s">
        <v>564</v>
      </c>
      <c r="M1575" s="3">
        <v>110</v>
      </c>
      <c r="N1575" s="3" t="s">
        <v>101</v>
      </c>
      <c r="O1575" s="3"/>
      <c r="P1575" s="3"/>
      <c r="Q1575" s="3">
        <v>0.40500000000000003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563</v>
      </c>
      <c r="C1576" s="3" t="s">
        <v>373</v>
      </c>
      <c r="D1576" s="3"/>
      <c r="E1576" s="3" t="s">
        <v>373</v>
      </c>
      <c r="F1576" s="3"/>
      <c r="G1576" s="3"/>
      <c r="H1576" s="3"/>
      <c r="I1576" s="3"/>
      <c r="J1576" s="3"/>
      <c r="K1576" s="3"/>
      <c r="L1576" s="3" t="s">
        <v>564</v>
      </c>
      <c r="M1576" s="3">
        <v>120</v>
      </c>
      <c r="N1576" s="3" t="s">
        <v>374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563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564</v>
      </c>
      <c r="M1577" s="3">
        <v>10</v>
      </c>
      <c r="N1577" s="3" t="s">
        <v>107</v>
      </c>
      <c r="O1577" s="3"/>
      <c r="P1577" s="3"/>
      <c r="Q1577" s="3">
        <v>1.5489999999999999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563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564</v>
      </c>
      <c r="M1578" s="3">
        <v>20</v>
      </c>
      <c r="N1578" s="3" t="s">
        <v>565</v>
      </c>
      <c r="O1578" s="3"/>
      <c r="P1578" s="3"/>
      <c r="Q1578" s="3">
        <v>1.5489999999999999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563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564</v>
      </c>
      <c r="M1579" s="3">
        <v>30</v>
      </c>
      <c r="N1579" s="3" t="s">
        <v>99</v>
      </c>
      <c r="O1579" s="3"/>
      <c r="P1579" s="3"/>
      <c r="Q1579" s="3">
        <v>0.45600000000000002</v>
      </c>
      <c r="R1579" s="3" t="s">
        <v>100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563</v>
      </c>
      <c r="C1580" s="3" t="s">
        <v>375</v>
      </c>
      <c r="D1580" s="3"/>
      <c r="E1580" s="3" t="s">
        <v>375</v>
      </c>
      <c r="F1580" s="3"/>
      <c r="G1580" s="3"/>
      <c r="H1580" s="3"/>
      <c r="I1580" s="3"/>
      <c r="J1580" s="3"/>
      <c r="K1580" s="3"/>
      <c r="L1580" s="3" t="s">
        <v>564</v>
      </c>
      <c r="M1580" s="3">
        <v>40</v>
      </c>
      <c r="N1580" s="3" t="s">
        <v>108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563</v>
      </c>
      <c r="C1581" s="3" t="s">
        <v>375</v>
      </c>
      <c r="D1581" s="3"/>
      <c r="E1581" s="3" t="s">
        <v>375</v>
      </c>
      <c r="F1581" s="3"/>
      <c r="G1581" s="3"/>
      <c r="H1581" s="3"/>
      <c r="I1581" s="3"/>
      <c r="J1581" s="3"/>
      <c r="K1581" s="3"/>
      <c r="L1581" s="3" t="s">
        <v>564</v>
      </c>
      <c r="M1581" s="3">
        <v>50</v>
      </c>
      <c r="N1581" s="3" t="s">
        <v>105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563</v>
      </c>
      <c r="C1582" s="3" t="s">
        <v>375</v>
      </c>
      <c r="D1582" s="3"/>
      <c r="E1582" s="3" t="s">
        <v>375</v>
      </c>
      <c r="F1582" s="3"/>
      <c r="G1582" s="3"/>
      <c r="H1582" s="3"/>
      <c r="I1582" s="3"/>
      <c r="J1582" s="3"/>
      <c r="K1582" s="3"/>
      <c r="L1582" s="3" t="s">
        <v>564</v>
      </c>
      <c r="M1582" s="3">
        <v>60</v>
      </c>
      <c r="N1582" s="3" t="s">
        <v>106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563</v>
      </c>
      <c r="C1583" s="3" t="s">
        <v>375</v>
      </c>
      <c r="D1583" s="3"/>
      <c r="E1583" s="3" t="s">
        <v>375</v>
      </c>
      <c r="F1583" s="3"/>
      <c r="G1583" s="3"/>
      <c r="H1583" s="3"/>
      <c r="I1583" s="3"/>
      <c r="J1583" s="3"/>
      <c r="K1583" s="3"/>
      <c r="L1583" s="3" t="s">
        <v>564</v>
      </c>
      <c r="M1583" s="3">
        <v>70</v>
      </c>
      <c r="N1583" s="3" t="s">
        <v>104</v>
      </c>
      <c r="O1583" s="3"/>
      <c r="P1583" s="3"/>
      <c r="Q1583" s="3">
        <v>0.13200000000000001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563</v>
      </c>
      <c r="C1584" s="3" t="s">
        <v>375</v>
      </c>
      <c r="D1584" s="3"/>
      <c r="E1584" s="3" t="s">
        <v>375</v>
      </c>
      <c r="F1584" s="3"/>
      <c r="G1584" s="3"/>
      <c r="H1584" s="3"/>
      <c r="I1584" s="3"/>
      <c r="J1584" s="3"/>
      <c r="K1584" s="3"/>
      <c r="L1584" s="3" t="s">
        <v>564</v>
      </c>
      <c r="M1584" s="3">
        <v>80</v>
      </c>
      <c r="N1584" s="3" t="s">
        <v>111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563</v>
      </c>
      <c r="C1585" s="3" t="s">
        <v>375</v>
      </c>
      <c r="D1585" s="3"/>
      <c r="E1585" s="3" t="s">
        <v>375</v>
      </c>
      <c r="F1585" s="3"/>
      <c r="G1585" s="3"/>
      <c r="H1585" s="3"/>
      <c r="I1585" s="3"/>
      <c r="J1585" s="3"/>
      <c r="K1585" s="3"/>
      <c r="L1585" s="3" t="s">
        <v>564</v>
      </c>
      <c r="M1585" s="3">
        <v>90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563</v>
      </c>
      <c r="C1586" s="3" t="s">
        <v>375</v>
      </c>
      <c r="D1586" s="3"/>
      <c r="E1586" s="3" t="s">
        <v>375</v>
      </c>
      <c r="F1586" s="3"/>
      <c r="G1586" s="3"/>
      <c r="H1586" s="3"/>
      <c r="I1586" s="3"/>
      <c r="J1586" s="3"/>
      <c r="K1586" s="3"/>
      <c r="L1586" s="3" t="s">
        <v>564</v>
      </c>
      <c r="M1586" s="3">
        <v>100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563</v>
      </c>
      <c r="C1587" s="3" t="s">
        <v>375</v>
      </c>
      <c r="D1587" s="3"/>
      <c r="E1587" s="3" t="s">
        <v>375</v>
      </c>
      <c r="F1587" s="3"/>
      <c r="G1587" s="3"/>
      <c r="H1587" s="3"/>
      <c r="I1587" s="3"/>
      <c r="J1587" s="3"/>
      <c r="K1587" s="3"/>
      <c r="L1587" s="3" t="s">
        <v>564</v>
      </c>
      <c r="M1587" s="3">
        <v>110</v>
      </c>
      <c r="N1587" s="3" t="s">
        <v>101</v>
      </c>
      <c r="O1587" s="3"/>
      <c r="P1587" s="3"/>
      <c r="Q1587" s="3">
        <v>0.495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563</v>
      </c>
      <c r="C1588" s="3" t="s">
        <v>375</v>
      </c>
      <c r="D1588" s="3"/>
      <c r="E1588" s="3" t="s">
        <v>375</v>
      </c>
      <c r="F1588" s="3"/>
      <c r="G1588" s="3"/>
      <c r="H1588" s="3"/>
      <c r="I1588" s="3"/>
      <c r="J1588" s="3"/>
      <c r="K1588" s="3"/>
      <c r="L1588" s="3" t="s">
        <v>564</v>
      </c>
      <c r="M1588" s="3">
        <v>120</v>
      </c>
      <c r="N1588" s="3" t="s">
        <v>376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563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564</v>
      </c>
      <c r="M1589" s="3">
        <v>10</v>
      </c>
      <c r="N1589" s="3" t="s">
        <v>107</v>
      </c>
      <c r="O1589" s="3"/>
      <c r="P1589" s="3"/>
      <c r="Q1589" s="3">
        <v>1.702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563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564</v>
      </c>
      <c r="M1590" s="3">
        <v>20</v>
      </c>
      <c r="N1590" s="3" t="s">
        <v>565</v>
      </c>
      <c r="O1590" s="3"/>
      <c r="P1590" s="3"/>
      <c r="Q1590" s="3">
        <v>1.702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563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564</v>
      </c>
      <c r="M1591" s="3">
        <v>30</v>
      </c>
      <c r="N1591" s="3" t="s">
        <v>99</v>
      </c>
      <c r="O1591" s="3"/>
      <c r="P1591" s="3"/>
      <c r="Q1591" s="3">
        <v>0.501</v>
      </c>
      <c r="R1591" s="3" t="s">
        <v>100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563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564</v>
      </c>
      <c r="M1592" s="3">
        <v>40</v>
      </c>
      <c r="N1592" s="3" t="s">
        <v>108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563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564</v>
      </c>
      <c r="M1593" s="3">
        <v>50</v>
      </c>
      <c r="N1593" s="3" t="s">
        <v>105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563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564</v>
      </c>
      <c r="M1594" s="3">
        <v>60</v>
      </c>
      <c r="N1594" s="3" t="s">
        <v>106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563</v>
      </c>
      <c r="C1595" s="3" t="s">
        <v>377</v>
      </c>
      <c r="D1595" s="3"/>
      <c r="E1595" s="3" t="s">
        <v>377</v>
      </c>
      <c r="F1595" s="3"/>
      <c r="G1595" s="3"/>
      <c r="H1595" s="3"/>
      <c r="I1595" s="3"/>
      <c r="J1595" s="3"/>
      <c r="K1595" s="3"/>
      <c r="L1595" s="3" t="s">
        <v>564</v>
      </c>
      <c r="M1595" s="3">
        <v>70</v>
      </c>
      <c r="N1595" s="3" t="s">
        <v>104</v>
      </c>
      <c r="O1595" s="3"/>
      <c r="P1595" s="3"/>
      <c r="Q1595" s="3">
        <v>0.14299999999999999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563</v>
      </c>
      <c r="C1596" s="3" t="s">
        <v>377</v>
      </c>
      <c r="D1596" s="3"/>
      <c r="E1596" s="3" t="s">
        <v>377</v>
      </c>
      <c r="F1596" s="3"/>
      <c r="G1596" s="3"/>
      <c r="H1596" s="3"/>
      <c r="I1596" s="3"/>
      <c r="J1596" s="3"/>
      <c r="K1596" s="3"/>
      <c r="L1596" s="3" t="s">
        <v>564</v>
      </c>
      <c r="M1596" s="3">
        <v>80</v>
      </c>
      <c r="N1596" s="3" t="s">
        <v>111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563</v>
      </c>
      <c r="C1597" s="3" t="s">
        <v>377</v>
      </c>
      <c r="D1597" s="3"/>
      <c r="E1597" s="3" t="s">
        <v>377</v>
      </c>
      <c r="F1597" s="3"/>
      <c r="G1597" s="3"/>
      <c r="H1597" s="3"/>
      <c r="I1597" s="3"/>
      <c r="J1597" s="3"/>
      <c r="K1597" s="3"/>
      <c r="L1597" s="3" t="s">
        <v>564</v>
      </c>
      <c r="M1597" s="3">
        <v>90</v>
      </c>
      <c r="N1597" s="3" t="s">
        <v>18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563</v>
      </c>
      <c r="C1598" s="3" t="s">
        <v>377</v>
      </c>
      <c r="D1598" s="3"/>
      <c r="E1598" s="3" t="s">
        <v>377</v>
      </c>
      <c r="F1598" s="3"/>
      <c r="G1598" s="3"/>
      <c r="H1598" s="3"/>
      <c r="I1598" s="3"/>
      <c r="J1598" s="3"/>
      <c r="K1598" s="3"/>
      <c r="L1598" s="3" t="s">
        <v>564</v>
      </c>
      <c r="M1598" s="3">
        <v>100</v>
      </c>
      <c r="N1598" s="3" t="s">
        <v>19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563</v>
      </c>
      <c r="C1599" s="3" t="s">
        <v>377</v>
      </c>
      <c r="D1599" s="3"/>
      <c r="E1599" s="3" t="s">
        <v>377</v>
      </c>
      <c r="F1599" s="3"/>
      <c r="G1599" s="3"/>
      <c r="H1599" s="3"/>
      <c r="I1599" s="3"/>
      <c r="J1599" s="3"/>
      <c r="K1599" s="3"/>
      <c r="L1599" s="3" t="s">
        <v>564</v>
      </c>
      <c r="M1599" s="3">
        <v>110</v>
      </c>
      <c r="N1599" s="3" t="s">
        <v>101</v>
      </c>
      <c r="O1599" s="3"/>
      <c r="P1599" s="3"/>
      <c r="Q1599" s="3">
        <v>0.54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563</v>
      </c>
      <c r="C1600" s="3" t="s">
        <v>377</v>
      </c>
      <c r="D1600" s="3"/>
      <c r="E1600" s="3" t="s">
        <v>377</v>
      </c>
      <c r="F1600" s="3"/>
      <c r="G1600" s="3"/>
      <c r="H1600" s="3"/>
      <c r="I1600" s="3"/>
      <c r="J1600" s="3"/>
      <c r="K1600" s="3"/>
      <c r="L1600" s="3" t="s">
        <v>564</v>
      </c>
      <c r="M1600" s="3">
        <v>120</v>
      </c>
      <c r="N1600" s="3" t="s">
        <v>378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563</v>
      </c>
      <c r="C1601" s="3" t="s">
        <v>379</v>
      </c>
      <c r="D1601" s="3"/>
      <c r="E1601" s="3" t="s">
        <v>379</v>
      </c>
      <c r="F1601" s="3"/>
      <c r="G1601" s="3"/>
      <c r="H1601" s="3"/>
      <c r="I1601" s="3"/>
      <c r="J1601" s="3"/>
      <c r="K1601" s="3"/>
      <c r="L1601" s="3" t="s">
        <v>564</v>
      </c>
      <c r="M1601" s="3">
        <v>10</v>
      </c>
      <c r="N1601" s="3" t="s">
        <v>107</v>
      </c>
      <c r="O1601" s="3"/>
      <c r="P1601" s="3"/>
      <c r="Q1601" s="3">
        <v>1.8540000000000001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563</v>
      </c>
      <c r="C1602" s="3" t="s">
        <v>379</v>
      </c>
      <c r="D1602" s="3"/>
      <c r="E1602" s="3" t="s">
        <v>379</v>
      </c>
      <c r="F1602" s="3"/>
      <c r="G1602" s="3"/>
      <c r="H1602" s="3"/>
      <c r="I1602" s="3"/>
      <c r="J1602" s="3"/>
      <c r="K1602" s="3"/>
      <c r="L1602" s="3" t="s">
        <v>564</v>
      </c>
      <c r="M1602" s="3">
        <v>20</v>
      </c>
      <c r="N1602" s="3" t="s">
        <v>565</v>
      </c>
      <c r="O1602" s="3"/>
      <c r="P1602" s="3"/>
      <c r="Q1602" s="3">
        <v>1.8540000000000001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563</v>
      </c>
      <c r="C1603" s="3" t="s">
        <v>379</v>
      </c>
      <c r="D1603" s="3"/>
      <c r="E1603" s="3" t="s">
        <v>379</v>
      </c>
      <c r="F1603" s="3"/>
      <c r="G1603" s="3"/>
      <c r="H1603" s="3"/>
      <c r="I1603" s="3"/>
      <c r="J1603" s="3"/>
      <c r="K1603" s="3"/>
      <c r="L1603" s="3" t="s">
        <v>564</v>
      </c>
      <c r="M1603" s="3">
        <v>30</v>
      </c>
      <c r="N1603" s="3" t="s">
        <v>99</v>
      </c>
      <c r="O1603" s="3"/>
      <c r="P1603" s="3"/>
      <c r="Q1603" s="3">
        <v>0.54700000000000004</v>
      </c>
      <c r="R1603" s="3" t="s">
        <v>100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563</v>
      </c>
      <c r="C1604" s="3" t="s">
        <v>379</v>
      </c>
      <c r="D1604" s="3"/>
      <c r="E1604" s="3" t="s">
        <v>379</v>
      </c>
      <c r="F1604" s="3"/>
      <c r="G1604" s="3"/>
      <c r="H1604" s="3"/>
      <c r="I1604" s="3"/>
      <c r="J1604" s="3"/>
      <c r="K1604" s="3"/>
      <c r="L1604" s="3" t="s">
        <v>564</v>
      </c>
      <c r="M1604" s="3">
        <v>40</v>
      </c>
      <c r="N1604" s="3" t="s">
        <v>108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563</v>
      </c>
      <c r="C1605" s="3" t="s">
        <v>379</v>
      </c>
      <c r="D1605" s="3"/>
      <c r="E1605" s="3" t="s">
        <v>379</v>
      </c>
      <c r="F1605" s="3"/>
      <c r="G1605" s="3"/>
      <c r="H1605" s="3"/>
      <c r="I1605" s="3"/>
      <c r="J1605" s="3"/>
      <c r="K1605" s="3"/>
      <c r="L1605" s="3" t="s">
        <v>564</v>
      </c>
      <c r="M1605" s="3">
        <v>50</v>
      </c>
      <c r="N1605" s="3" t="s">
        <v>105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563</v>
      </c>
      <c r="C1606" s="3" t="s">
        <v>379</v>
      </c>
      <c r="D1606" s="3"/>
      <c r="E1606" s="3" t="s">
        <v>379</v>
      </c>
      <c r="F1606" s="3"/>
      <c r="G1606" s="3"/>
      <c r="H1606" s="3"/>
      <c r="I1606" s="3"/>
      <c r="J1606" s="3"/>
      <c r="K1606" s="3"/>
      <c r="L1606" s="3" t="s">
        <v>564</v>
      </c>
      <c r="M1606" s="3">
        <v>60</v>
      </c>
      <c r="N1606" s="3" t="s">
        <v>106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563</v>
      </c>
      <c r="C1607" s="3" t="s">
        <v>379</v>
      </c>
      <c r="D1607" s="3"/>
      <c r="E1607" s="3" t="s">
        <v>379</v>
      </c>
      <c r="F1607" s="3"/>
      <c r="G1607" s="3"/>
      <c r="H1607" s="3"/>
      <c r="I1607" s="3"/>
      <c r="J1607" s="3"/>
      <c r="K1607" s="3"/>
      <c r="L1607" s="3" t="s">
        <v>564</v>
      </c>
      <c r="M1607" s="3">
        <v>70</v>
      </c>
      <c r="N1607" s="3" t="s">
        <v>104</v>
      </c>
      <c r="O1607" s="3"/>
      <c r="P1607" s="3"/>
      <c r="Q1607" s="3">
        <v>0.154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563</v>
      </c>
      <c r="C1608" s="3" t="s">
        <v>379</v>
      </c>
      <c r="D1608" s="3"/>
      <c r="E1608" s="3" t="s">
        <v>379</v>
      </c>
      <c r="F1608" s="3"/>
      <c r="G1608" s="3"/>
      <c r="H1608" s="3"/>
      <c r="I1608" s="3"/>
      <c r="J1608" s="3"/>
      <c r="K1608" s="3"/>
      <c r="L1608" s="3" t="s">
        <v>564</v>
      </c>
      <c r="M1608" s="3">
        <v>80</v>
      </c>
      <c r="N1608" s="3" t="s">
        <v>111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563</v>
      </c>
      <c r="C1609" s="3" t="s">
        <v>379</v>
      </c>
      <c r="D1609" s="3"/>
      <c r="E1609" s="3" t="s">
        <v>379</v>
      </c>
      <c r="F1609" s="3"/>
      <c r="G1609" s="3"/>
      <c r="H1609" s="3"/>
      <c r="I1609" s="3"/>
      <c r="J1609" s="3"/>
      <c r="K1609" s="3"/>
      <c r="L1609" s="3" t="s">
        <v>564</v>
      </c>
      <c r="M1609" s="3">
        <v>90</v>
      </c>
      <c r="N1609" s="3" t="s">
        <v>18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563</v>
      </c>
      <c r="C1610" s="3" t="s">
        <v>379</v>
      </c>
      <c r="D1610" s="3"/>
      <c r="E1610" s="3" t="s">
        <v>379</v>
      </c>
      <c r="F1610" s="3"/>
      <c r="G1610" s="3"/>
      <c r="H1610" s="3"/>
      <c r="I1610" s="3"/>
      <c r="J1610" s="3"/>
      <c r="K1610" s="3"/>
      <c r="L1610" s="3" t="s">
        <v>564</v>
      </c>
      <c r="M1610" s="3">
        <v>100</v>
      </c>
      <c r="N1610" s="3" t="s">
        <v>19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563</v>
      </c>
      <c r="C1611" s="3" t="s">
        <v>379</v>
      </c>
      <c r="D1611" s="3"/>
      <c r="E1611" s="3" t="s">
        <v>379</v>
      </c>
      <c r="F1611" s="3"/>
      <c r="G1611" s="3"/>
      <c r="H1611" s="3"/>
      <c r="I1611" s="3"/>
      <c r="J1611" s="3"/>
      <c r="K1611" s="3"/>
      <c r="L1611" s="3" t="s">
        <v>564</v>
      </c>
      <c r="M1611" s="3">
        <v>110</v>
      </c>
      <c r="N1611" s="3" t="s">
        <v>101</v>
      </c>
      <c r="O1611" s="3"/>
      <c r="P1611" s="3"/>
      <c r="Q1611" s="3">
        <v>0.58599999999999997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563</v>
      </c>
      <c r="C1612" s="3" t="s">
        <v>379</v>
      </c>
      <c r="D1612" s="3"/>
      <c r="E1612" s="3" t="s">
        <v>379</v>
      </c>
      <c r="F1612" s="3"/>
      <c r="G1612" s="3"/>
      <c r="H1612" s="3"/>
      <c r="I1612" s="3"/>
      <c r="J1612" s="3"/>
      <c r="K1612" s="3"/>
      <c r="L1612" s="3" t="s">
        <v>564</v>
      </c>
      <c r="M1612" s="3">
        <v>120</v>
      </c>
      <c r="N1612" s="3" t="s">
        <v>380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563</v>
      </c>
      <c r="C1613" s="3" t="s">
        <v>381</v>
      </c>
      <c r="D1613" s="3"/>
      <c r="E1613" s="3" t="s">
        <v>381</v>
      </c>
      <c r="F1613" s="3"/>
      <c r="G1613" s="3"/>
      <c r="H1613" s="3"/>
      <c r="I1613" s="3"/>
      <c r="J1613" s="3"/>
      <c r="K1613" s="3"/>
      <c r="L1613" s="3" t="s">
        <v>564</v>
      </c>
      <c r="M1613" s="3">
        <v>10</v>
      </c>
      <c r="N1613" s="3" t="s">
        <v>107</v>
      </c>
      <c r="O1613" s="3"/>
      <c r="P1613" s="3"/>
      <c r="Q1613" s="3">
        <v>0.78700000000000003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563</v>
      </c>
      <c r="C1614" s="3" t="s">
        <v>381</v>
      </c>
      <c r="D1614" s="3"/>
      <c r="E1614" s="3" t="s">
        <v>381</v>
      </c>
      <c r="F1614" s="3"/>
      <c r="G1614" s="3"/>
      <c r="H1614" s="3"/>
      <c r="I1614" s="3"/>
      <c r="J1614" s="3"/>
      <c r="K1614" s="3"/>
      <c r="L1614" s="3" t="s">
        <v>564</v>
      </c>
      <c r="M1614" s="3">
        <v>20</v>
      </c>
      <c r="N1614" s="3" t="s">
        <v>565</v>
      </c>
      <c r="O1614" s="3"/>
      <c r="P1614" s="3"/>
      <c r="Q1614" s="3">
        <v>0.78700000000000003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563</v>
      </c>
      <c r="C1615" s="3" t="s">
        <v>381</v>
      </c>
      <c r="D1615" s="3"/>
      <c r="E1615" s="3" t="s">
        <v>381</v>
      </c>
      <c r="F1615" s="3"/>
      <c r="G1615" s="3"/>
      <c r="H1615" s="3"/>
      <c r="I1615" s="3"/>
      <c r="J1615" s="3"/>
      <c r="K1615" s="3"/>
      <c r="L1615" s="3" t="s">
        <v>564</v>
      </c>
      <c r="M1615" s="3">
        <v>30</v>
      </c>
      <c r="N1615" s="3" t="s">
        <v>99</v>
      </c>
      <c r="O1615" s="3"/>
      <c r="P1615" s="3"/>
      <c r="Q1615" s="3">
        <v>0.23699999999999999</v>
      </c>
      <c r="R1615" s="3" t="s">
        <v>100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563</v>
      </c>
      <c r="C1616" s="3" t="s">
        <v>381</v>
      </c>
      <c r="D1616" s="3"/>
      <c r="E1616" s="3" t="s">
        <v>381</v>
      </c>
      <c r="F1616" s="3"/>
      <c r="G1616" s="3"/>
      <c r="H1616" s="3"/>
      <c r="I1616" s="3"/>
      <c r="J1616" s="3"/>
      <c r="K1616" s="3"/>
      <c r="L1616" s="3" t="s">
        <v>564</v>
      </c>
      <c r="M1616" s="3">
        <v>40</v>
      </c>
      <c r="N1616" s="3" t="s">
        <v>108</v>
      </c>
      <c r="O1616" s="3"/>
      <c r="P1616" s="3"/>
      <c r="Q1616" s="3">
        <v>11.379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563</v>
      </c>
      <c r="C1617" s="3" t="s">
        <v>381</v>
      </c>
      <c r="D1617" s="3"/>
      <c r="E1617" s="3" t="s">
        <v>381</v>
      </c>
      <c r="F1617" s="3"/>
      <c r="G1617" s="3"/>
      <c r="H1617" s="3"/>
      <c r="I1617" s="3"/>
      <c r="J1617" s="3"/>
      <c r="K1617" s="3"/>
      <c r="L1617" s="3" t="s">
        <v>564</v>
      </c>
      <c r="M1617" s="3">
        <v>50</v>
      </c>
      <c r="N1617" s="3" t="s">
        <v>105</v>
      </c>
      <c r="O1617" s="3"/>
      <c r="P1617" s="3"/>
      <c r="Q1617" s="3">
        <v>69.981999999999999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563</v>
      </c>
      <c r="C1618" s="3" t="s">
        <v>381</v>
      </c>
      <c r="D1618" s="3"/>
      <c r="E1618" s="3" t="s">
        <v>381</v>
      </c>
      <c r="F1618" s="3"/>
      <c r="G1618" s="3"/>
      <c r="H1618" s="3"/>
      <c r="I1618" s="3"/>
      <c r="J1618" s="3"/>
      <c r="K1618" s="3"/>
      <c r="L1618" s="3" t="s">
        <v>564</v>
      </c>
      <c r="M1618" s="3">
        <v>60</v>
      </c>
      <c r="N1618" s="3" t="s">
        <v>106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563</v>
      </c>
      <c r="C1619" s="3" t="s">
        <v>381</v>
      </c>
      <c r="D1619" s="3"/>
      <c r="E1619" s="3" t="s">
        <v>381</v>
      </c>
      <c r="F1619" s="3"/>
      <c r="G1619" s="3"/>
      <c r="H1619" s="3"/>
      <c r="I1619" s="3"/>
      <c r="J1619" s="3"/>
      <c r="K1619" s="3"/>
      <c r="L1619" s="3" t="s">
        <v>564</v>
      </c>
      <c r="M1619" s="3">
        <v>70</v>
      </c>
      <c r="N1619" s="3" t="s">
        <v>104</v>
      </c>
      <c r="O1619" s="3"/>
      <c r="P1619" s="3"/>
      <c r="Q1619" s="3">
        <v>7.4999999999999997E-2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563</v>
      </c>
      <c r="C1620" s="3" t="s">
        <v>381</v>
      </c>
      <c r="D1620" s="3"/>
      <c r="E1620" s="3" t="s">
        <v>381</v>
      </c>
      <c r="F1620" s="3"/>
      <c r="G1620" s="3"/>
      <c r="H1620" s="3"/>
      <c r="I1620" s="3"/>
      <c r="J1620" s="3"/>
      <c r="K1620" s="3"/>
      <c r="L1620" s="3" t="s">
        <v>564</v>
      </c>
      <c r="M1620" s="3">
        <v>80</v>
      </c>
      <c r="N1620" s="3" t="s">
        <v>111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563</v>
      </c>
      <c r="C1621" s="3" t="s">
        <v>381</v>
      </c>
      <c r="D1621" s="3"/>
      <c r="E1621" s="3" t="s">
        <v>381</v>
      </c>
      <c r="F1621" s="3"/>
      <c r="G1621" s="3"/>
      <c r="H1621" s="3"/>
      <c r="I1621" s="3"/>
      <c r="J1621" s="3"/>
      <c r="K1621" s="3"/>
      <c r="L1621" s="3" t="s">
        <v>564</v>
      </c>
      <c r="M1621" s="3">
        <v>90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563</v>
      </c>
      <c r="C1622" s="3" t="s">
        <v>381</v>
      </c>
      <c r="D1622" s="3"/>
      <c r="E1622" s="3" t="s">
        <v>381</v>
      </c>
      <c r="F1622" s="3"/>
      <c r="G1622" s="3"/>
      <c r="H1622" s="3"/>
      <c r="I1622" s="3"/>
      <c r="J1622" s="3"/>
      <c r="K1622" s="3"/>
      <c r="L1622" s="3" t="s">
        <v>564</v>
      </c>
      <c r="M1622" s="3">
        <v>100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563</v>
      </c>
      <c r="C1623" s="3" t="s">
        <v>381</v>
      </c>
      <c r="D1623" s="3"/>
      <c r="E1623" s="3" t="s">
        <v>381</v>
      </c>
      <c r="F1623" s="3"/>
      <c r="G1623" s="3"/>
      <c r="H1623" s="3"/>
      <c r="I1623" s="3"/>
      <c r="J1623" s="3"/>
      <c r="K1623" s="3"/>
      <c r="L1623" s="3" t="s">
        <v>564</v>
      </c>
      <c r="M1623" s="3">
        <v>110</v>
      </c>
      <c r="N1623" s="3" t="s">
        <v>101</v>
      </c>
      <c r="O1623" s="3"/>
      <c r="P1623" s="3"/>
      <c r="Q1623" s="3">
        <v>0.27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563</v>
      </c>
      <c r="C1624" s="3" t="s">
        <v>381</v>
      </c>
      <c r="D1624" s="3"/>
      <c r="E1624" s="3" t="s">
        <v>381</v>
      </c>
      <c r="F1624" s="3"/>
      <c r="G1624" s="3"/>
      <c r="H1624" s="3"/>
      <c r="I1624" s="3"/>
      <c r="J1624" s="3"/>
      <c r="K1624" s="3"/>
      <c r="L1624" s="3" t="s">
        <v>564</v>
      </c>
      <c r="M1624" s="3">
        <v>120</v>
      </c>
      <c r="N1624" s="3" t="s">
        <v>382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563</v>
      </c>
      <c r="C1625" s="3" t="s">
        <v>383</v>
      </c>
      <c r="D1625" s="3"/>
      <c r="E1625" s="3" t="s">
        <v>383</v>
      </c>
      <c r="F1625" s="3"/>
      <c r="G1625" s="3"/>
      <c r="H1625" s="3"/>
      <c r="I1625" s="3"/>
      <c r="J1625" s="3"/>
      <c r="K1625" s="3"/>
      <c r="L1625" s="3" t="s">
        <v>564</v>
      </c>
      <c r="M1625" s="3">
        <v>10</v>
      </c>
      <c r="N1625" s="3" t="s">
        <v>107</v>
      </c>
      <c r="O1625" s="3"/>
      <c r="P1625" s="3"/>
      <c r="Q1625" s="3">
        <v>0.94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563</v>
      </c>
      <c r="C1626" s="3" t="s">
        <v>383</v>
      </c>
      <c r="D1626" s="3"/>
      <c r="E1626" s="3" t="s">
        <v>383</v>
      </c>
      <c r="F1626" s="3"/>
      <c r="G1626" s="3"/>
      <c r="H1626" s="3"/>
      <c r="I1626" s="3"/>
      <c r="J1626" s="3"/>
      <c r="K1626" s="3"/>
      <c r="L1626" s="3" t="s">
        <v>564</v>
      </c>
      <c r="M1626" s="3">
        <v>20</v>
      </c>
      <c r="N1626" s="3" t="s">
        <v>565</v>
      </c>
      <c r="O1626" s="3"/>
      <c r="P1626" s="3"/>
      <c r="Q1626" s="3">
        <v>0.94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563</v>
      </c>
      <c r="C1627" s="3" t="s">
        <v>383</v>
      </c>
      <c r="D1627" s="3"/>
      <c r="E1627" s="3" t="s">
        <v>383</v>
      </c>
      <c r="F1627" s="3"/>
      <c r="G1627" s="3"/>
      <c r="H1627" s="3"/>
      <c r="I1627" s="3"/>
      <c r="J1627" s="3"/>
      <c r="K1627" s="3"/>
      <c r="L1627" s="3" t="s">
        <v>564</v>
      </c>
      <c r="M1627" s="3">
        <v>30</v>
      </c>
      <c r="N1627" s="3" t="s">
        <v>99</v>
      </c>
      <c r="O1627" s="3"/>
      <c r="P1627" s="3"/>
      <c r="Q1627" s="3">
        <v>0.28399999999999997</v>
      </c>
      <c r="R1627" s="3" t="s">
        <v>100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563</v>
      </c>
      <c r="C1628" s="3" t="s">
        <v>383</v>
      </c>
      <c r="D1628" s="3"/>
      <c r="E1628" s="3" t="s">
        <v>383</v>
      </c>
      <c r="F1628" s="3"/>
      <c r="G1628" s="3"/>
      <c r="H1628" s="3"/>
      <c r="I1628" s="3"/>
      <c r="J1628" s="3"/>
      <c r="K1628" s="3"/>
      <c r="L1628" s="3" t="s">
        <v>564</v>
      </c>
      <c r="M1628" s="3">
        <v>40</v>
      </c>
      <c r="N1628" s="3" t="s">
        <v>108</v>
      </c>
      <c r="O1628" s="3"/>
      <c r="P1628" s="3"/>
      <c r="Q1628" s="3">
        <v>11.989000000000001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563</v>
      </c>
      <c r="C1629" s="3" t="s">
        <v>383</v>
      </c>
      <c r="D1629" s="3"/>
      <c r="E1629" s="3" t="s">
        <v>383</v>
      </c>
      <c r="F1629" s="3"/>
      <c r="G1629" s="3"/>
      <c r="H1629" s="3"/>
      <c r="I1629" s="3"/>
      <c r="J1629" s="3"/>
      <c r="K1629" s="3"/>
      <c r="L1629" s="3" t="s">
        <v>564</v>
      </c>
      <c r="M1629" s="3">
        <v>50</v>
      </c>
      <c r="N1629" s="3" t="s">
        <v>105</v>
      </c>
      <c r="O1629" s="3"/>
      <c r="P1629" s="3"/>
      <c r="Q1629" s="3">
        <v>73.730999999999995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563</v>
      </c>
      <c r="C1630" s="3" t="s">
        <v>383</v>
      </c>
      <c r="D1630" s="3"/>
      <c r="E1630" s="3" t="s">
        <v>383</v>
      </c>
      <c r="F1630" s="3"/>
      <c r="G1630" s="3"/>
      <c r="H1630" s="3"/>
      <c r="I1630" s="3"/>
      <c r="J1630" s="3"/>
      <c r="K1630" s="3"/>
      <c r="L1630" s="3" t="s">
        <v>564</v>
      </c>
      <c r="M1630" s="3">
        <v>60</v>
      </c>
      <c r="N1630" s="3" t="s">
        <v>106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563</v>
      </c>
      <c r="C1631" s="3" t="s">
        <v>383</v>
      </c>
      <c r="D1631" s="3"/>
      <c r="E1631" s="3" t="s">
        <v>383</v>
      </c>
      <c r="F1631" s="3"/>
      <c r="G1631" s="3"/>
      <c r="H1631" s="3"/>
      <c r="I1631" s="3"/>
      <c r="J1631" s="3"/>
      <c r="K1631" s="3"/>
      <c r="L1631" s="3" t="s">
        <v>564</v>
      </c>
      <c r="M1631" s="3">
        <v>70</v>
      </c>
      <c r="N1631" s="3" t="s">
        <v>104</v>
      </c>
      <c r="O1631" s="3"/>
      <c r="P1631" s="3"/>
      <c r="Q1631" s="3">
        <v>8.5999999999999993E-2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563</v>
      </c>
      <c r="C1632" s="3" t="s">
        <v>383</v>
      </c>
      <c r="D1632" s="3"/>
      <c r="E1632" s="3" t="s">
        <v>383</v>
      </c>
      <c r="F1632" s="3"/>
      <c r="G1632" s="3"/>
      <c r="H1632" s="3"/>
      <c r="I1632" s="3"/>
      <c r="J1632" s="3"/>
      <c r="K1632" s="3"/>
      <c r="L1632" s="3" t="s">
        <v>564</v>
      </c>
      <c r="M1632" s="3">
        <v>80</v>
      </c>
      <c r="N1632" s="3" t="s">
        <v>111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563</v>
      </c>
      <c r="C1633" s="3" t="s">
        <v>383</v>
      </c>
      <c r="D1633" s="3"/>
      <c r="E1633" s="3" t="s">
        <v>383</v>
      </c>
      <c r="F1633" s="3"/>
      <c r="G1633" s="3"/>
      <c r="H1633" s="3"/>
      <c r="I1633" s="3"/>
      <c r="J1633" s="3"/>
      <c r="K1633" s="3"/>
      <c r="L1633" s="3" t="s">
        <v>564</v>
      </c>
      <c r="M1633" s="3">
        <v>90</v>
      </c>
      <c r="N1633" s="3" t="s">
        <v>18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563</v>
      </c>
      <c r="C1634" s="3" t="s">
        <v>383</v>
      </c>
      <c r="D1634" s="3"/>
      <c r="E1634" s="3" t="s">
        <v>383</v>
      </c>
      <c r="F1634" s="3"/>
      <c r="G1634" s="3"/>
      <c r="H1634" s="3"/>
      <c r="I1634" s="3"/>
      <c r="J1634" s="3"/>
      <c r="K1634" s="3"/>
      <c r="L1634" s="3" t="s">
        <v>564</v>
      </c>
      <c r="M1634" s="3">
        <v>100</v>
      </c>
      <c r="N1634" s="3" t="s">
        <v>19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563</v>
      </c>
      <c r="C1635" s="3" t="s">
        <v>383</v>
      </c>
      <c r="D1635" s="3"/>
      <c r="E1635" s="3" t="s">
        <v>383</v>
      </c>
      <c r="F1635" s="3"/>
      <c r="G1635" s="3"/>
      <c r="H1635" s="3"/>
      <c r="I1635" s="3"/>
      <c r="J1635" s="3"/>
      <c r="K1635" s="3"/>
      <c r="L1635" s="3" t="s">
        <v>564</v>
      </c>
      <c r="M1635" s="3">
        <v>110</v>
      </c>
      <c r="N1635" s="3" t="s">
        <v>101</v>
      </c>
      <c r="O1635" s="3"/>
      <c r="P1635" s="3"/>
      <c r="Q1635" s="3">
        <v>0.315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563</v>
      </c>
      <c r="C1636" s="3" t="s">
        <v>383</v>
      </c>
      <c r="D1636" s="3"/>
      <c r="E1636" s="3" t="s">
        <v>383</v>
      </c>
      <c r="F1636" s="3"/>
      <c r="G1636" s="3"/>
      <c r="H1636" s="3"/>
      <c r="I1636" s="3"/>
      <c r="J1636" s="3"/>
      <c r="K1636" s="3"/>
      <c r="L1636" s="3" t="s">
        <v>564</v>
      </c>
      <c r="M1636" s="3">
        <v>120</v>
      </c>
      <c r="N1636" s="3" t="s">
        <v>384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563</v>
      </c>
      <c r="C1637" s="3" t="s">
        <v>385</v>
      </c>
      <c r="D1637" s="3"/>
      <c r="E1637" s="3" t="s">
        <v>385</v>
      </c>
      <c r="F1637" s="3"/>
      <c r="G1637" s="3"/>
      <c r="H1637" s="3"/>
      <c r="I1637" s="3"/>
      <c r="J1637" s="3"/>
      <c r="K1637" s="3"/>
      <c r="L1637" s="3" t="s">
        <v>564</v>
      </c>
      <c r="M1637" s="3">
        <v>10</v>
      </c>
      <c r="N1637" s="3" t="s">
        <v>107</v>
      </c>
      <c r="O1637" s="3"/>
      <c r="P1637" s="3"/>
      <c r="Q1637" s="3">
        <v>1.0920000000000001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563</v>
      </c>
      <c r="C1638" s="3" t="s">
        <v>385</v>
      </c>
      <c r="D1638" s="3"/>
      <c r="E1638" s="3" t="s">
        <v>385</v>
      </c>
      <c r="F1638" s="3"/>
      <c r="G1638" s="3"/>
      <c r="H1638" s="3"/>
      <c r="I1638" s="3"/>
      <c r="J1638" s="3"/>
      <c r="K1638" s="3"/>
      <c r="L1638" s="3" t="s">
        <v>564</v>
      </c>
      <c r="M1638" s="3">
        <v>20</v>
      </c>
      <c r="N1638" s="3" t="s">
        <v>565</v>
      </c>
      <c r="O1638" s="3"/>
      <c r="P1638" s="3"/>
      <c r="Q1638" s="3">
        <v>1.0920000000000001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563</v>
      </c>
      <c r="C1639" s="3" t="s">
        <v>385</v>
      </c>
      <c r="D1639" s="3"/>
      <c r="E1639" s="3" t="s">
        <v>385</v>
      </c>
      <c r="F1639" s="3"/>
      <c r="G1639" s="3"/>
      <c r="H1639" s="3"/>
      <c r="I1639" s="3"/>
      <c r="J1639" s="3"/>
      <c r="K1639" s="3"/>
      <c r="L1639" s="3" t="s">
        <v>564</v>
      </c>
      <c r="M1639" s="3">
        <v>30</v>
      </c>
      <c r="N1639" s="3" t="s">
        <v>99</v>
      </c>
      <c r="O1639" s="3"/>
      <c r="P1639" s="3"/>
      <c r="Q1639" s="3">
        <v>0.33200000000000002</v>
      </c>
      <c r="R1639" s="3" t="s">
        <v>100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563</v>
      </c>
      <c r="C1640" s="3" t="s">
        <v>385</v>
      </c>
      <c r="D1640" s="3"/>
      <c r="E1640" s="3" t="s">
        <v>385</v>
      </c>
      <c r="F1640" s="3"/>
      <c r="G1640" s="3"/>
      <c r="H1640" s="3"/>
      <c r="I1640" s="3"/>
      <c r="J1640" s="3"/>
      <c r="K1640" s="3"/>
      <c r="L1640" s="3" t="s">
        <v>564</v>
      </c>
      <c r="M1640" s="3">
        <v>40</v>
      </c>
      <c r="N1640" s="3" t="s">
        <v>108</v>
      </c>
      <c r="O1640" s="3"/>
      <c r="P1640" s="3"/>
      <c r="Q1640" s="3">
        <v>12.598000000000001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563</v>
      </c>
      <c r="C1641" s="3" t="s">
        <v>385</v>
      </c>
      <c r="D1641" s="3"/>
      <c r="E1641" s="3" t="s">
        <v>385</v>
      </c>
      <c r="F1641" s="3"/>
      <c r="G1641" s="3"/>
      <c r="H1641" s="3"/>
      <c r="I1641" s="3"/>
      <c r="J1641" s="3"/>
      <c r="K1641" s="3"/>
      <c r="L1641" s="3" t="s">
        <v>564</v>
      </c>
      <c r="M1641" s="3">
        <v>50</v>
      </c>
      <c r="N1641" s="3" t="s">
        <v>105</v>
      </c>
      <c r="O1641" s="3"/>
      <c r="P1641" s="3"/>
      <c r="Q1641" s="3">
        <v>77.48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563</v>
      </c>
      <c r="C1642" s="3" t="s">
        <v>385</v>
      </c>
      <c r="D1642" s="3"/>
      <c r="E1642" s="3" t="s">
        <v>385</v>
      </c>
      <c r="F1642" s="3"/>
      <c r="G1642" s="3"/>
      <c r="H1642" s="3"/>
      <c r="I1642" s="3"/>
      <c r="J1642" s="3"/>
      <c r="K1642" s="3"/>
      <c r="L1642" s="3" t="s">
        <v>564</v>
      </c>
      <c r="M1642" s="3">
        <v>60</v>
      </c>
      <c r="N1642" s="3" t="s">
        <v>106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563</v>
      </c>
      <c r="C1643" s="3" t="s">
        <v>385</v>
      </c>
      <c r="D1643" s="3"/>
      <c r="E1643" s="3" t="s">
        <v>385</v>
      </c>
      <c r="F1643" s="3"/>
      <c r="G1643" s="3"/>
      <c r="H1643" s="3"/>
      <c r="I1643" s="3"/>
      <c r="J1643" s="3"/>
      <c r="K1643" s="3"/>
      <c r="L1643" s="3" t="s">
        <v>564</v>
      </c>
      <c r="M1643" s="3">
        <v>70</v>
      </c>
      <c r="N1643" s="3" t="s">
        <v>104</v>
      </c>
      <c r="O1643" s="3"/>
      <c r="P1643" s="3"/>
      <c r="Q1643" s="3">
        <v>9.8000000000000004E-2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563</v>
      </c>
      <c r="C1644" s="3" t="s">
        <v>385</v>
      </c>
      <c r="D1644" s="3"/>
      <c r="E1644" s="3" t="s">
        <v>385</v>
      </c>
      <c r="F1644" s="3"/>
      <c r="G1644" s="3"/>
      <c r="H1644" s="3"/>
      <c r="I1644" s="3"/>
      <c r="J1644" s="3"/>
      <c r="K1644" s="3"/>
      <c r="L1644" s="3" t="s">
        <v>564</v>
      </c>
      <c r="M1644" s="3">
        <v>80</v>
      </c>
      <c r="N1644" s="3" t="s">
        <v>111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563</v>
      </c>
      <c r="C1645" s="3" t="s">
        <v>385</v>
      </c>
      <c r="D1645" s="3"/>
      <c r="E1645" s="3" t="s">
        <v>385</v>
      </c>
      <c r="F1645" s="3"/>
      <c r="G1645" s="3"/>
      <c r="H1645" s="3"/>
      <c r="I1645" s="3"/>
      <c r="J1645" s="3"/>
      <c r="K1645" s="3"/>
      <c r="L1645" s="3" t="s">
        <v>564</v>
      </c>
      <c r="M1645" s="3">
        <v>90</v>
      </c>
      <c r="N1645" s="3" t="s">
        <v>18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563</v>
      </c>
      <c r="C1646" s="3" t="s">
        <v>385</v>
      </c>
      <c r="D1646" s="3"/>
      <c r="E1646" s="3" t="s">
        <v>385</v>
      </c>
      <c r="F1646" s="3"/>
      <c r="G1646" s="3"/>
      <c r="H1646" s="3"/>
      <c r="I1646" s="3"/>
      <c r="J1646" s="3"/>
      <c r="K1646" s="3"/>
      <c r="L1646" s="3" t="s">
        <v>564</v>
      </c>
      <c r="M1646" s="3">
        <v>100</v>
      </c>
      <c r="N1646" s="3" t="s">
        <v>19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563</v>
      </c>
      <c r="C1647" s="3" t="s">
        <v>385</v>
      </c>
      <c r="D1647" s="3"/>
      <c r="E1647" s="3" t="s">
        <v>385</v>
      </c>
      <c r="F1647" s="3"/>
      <c r="G1647" s="3"/>
      <c r="H1647" s="3"/>
      <c r="I1647" s="3"/>
      <c r="J1647" s="3"/>
      <c r="K1647" s="3"/>
      <c r="L1647" s="3" t="s">
        <v>564</v>
      </c>
      <c r="M1647" s="3">
        <v>110</v>
      </c>
      <c r="N1647" s="3" t="s">
        <v>101</v>
      </c>
      <c r="O1647" s="3"/>
      <c r="P1647" s="3"/>
      <c r="Q1647" s="3">
        <v>0.36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563</v>
      </c>
      <c r="C1648" s="3" t="s">
        <v>385</v>
      </c>
      <c r="D1648" s="3"/>
      <c r="E1648" s="3" t="s">
        <v>385</v>
      </c>
      <c r="F1648" s="3"/>
      <c r="G1648" s="3"/>
      <c r="H1648" s="3"/>
      <c r="I1648" s="3"/>
      <c r="J1648" s="3"/>
      <c r="K1648" s="3"/>
      <c r="L1648" s="3" t="s">
        <v>564</v>
      </c>
      <c r="M1648" s="3">
        <v>120</v>
      </c>
      <c r="N1648" s="3" t="s">
        <v>386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563</v>
      </c>
      <c r="C1649" s="3" t="s">
        <v>387</v>
      </c>
      <c r="D1649" s="3"/>
      <c r="E1649" s="3" t="s">
        <v>387</v>
      </c>
      <c r="F1649" s="3"/>
      <c r="G1649" s="3"/>
      <c r="H1649" s="3"/>
      <c r="I1649" s="3"/>
      <c r="J1649" s="3"/>
      <c r="K1649" s="3"/>
      <c r="L1649" s="3" t="s">
        <v>564</v>
      </c>
      <c r="M1649" s="3">
        <v>10</v>
      </c>
      <c r="N1649" s="3" t="s">
        <v>107</v>
      </c>
      <c r="O1649" s="3"/>
      <c r="P1649" s="3"/>
      <c r="Q1649" s="3">
        <v>1.2450000000000001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563</v>
      </c>
      <c r="C1650" s="3" t="s">
        <v>387</v>
      </c>
      <c r="D1650" s="3"/>
      <c r="E1650" s="3" t="s">
        <v>387</v>
      </c>
      <c r="F1650" s="3"/>
      <c r="G1650" s="3"/>
      <c r="H1650" s="3"/>
      <c r="I1650" s="3"/>
      <c r="J1650" s="3"/>
      <c r="K1650" s="3"/>
      <c r="L1650" s="3" t="s">
        <v>564</v>
      </c>
      <c r="M1650" s="3">
        <v>20</v>
      </c>
      <c r="N1650" s="3" t="s">
        <v>565</v>
      </c>
      <c r="O1650" s="3"/>
      <c r="P1650" s="3"/>
      <c r="Q1650" s="3">
        <v>1.2450000000000001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563</v>
      </c>
      <c r="C1651" s="3" t="s">
        <v>387</v>
      </c>
      <c r="D1651" s="3"/>
      <c r="E1651" s="3" t="s">
        <v>387</v>
      </c>
      <c r="F1651" s="3"/>
      <c r="G1651" s="3"/>
      <c r="H1651" s="3"/>
      <c r="I1651" s="3"/>
      <c r="J1651" s="3"/>
      <c r="K1651" s="3"/>
      <c r="L1651" s="3" t="s">
        <v>564</v>
      </c>
      <c r="M1651" s="3">
        <v>30</v>
      </c>
      <c r="N1651" s="3" t="s">
        <v>99</v>
      </c>
      <c r="O1651" s="3"/>
      <c r="P1651" s="3"/>
      <c r="Q1651" s="3">
        <v>0.379</v>
      </c>
      <c r="R1651" s="3" t="s">
        <v>100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563</v>
      </c>
      <c r="C1652" s="3" t="s">
        <v>387</v>
      </c>
      <c r="D1652" s="3"/>
      <c r="E1652" s="3" t="s">
        <v>387</v>
      </c>
      <c r="F1652" s="3"/>
      <c r="G1652" s="3"/>
      <c r="H1652" s="3"/>
      <c r="I1652" s="3"/>
      <c r="J1652" s="3"/>
      <c r="K1652" s="3"/>
      <c r="L1652" s="3" t="s">
        <v>564</v>
      </c>
      <c r="M1652" s="3">
        <v>40</v>
      </c>
      <c r="N1652" s="3" t="s">
        <v>108</v>
      </c>
      <c r="O1652" s="3"/>
      <c r="P1652" s="3"/>
      <c r="Q1652" s="3">
        <v>13.208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563</v>
      </c>
      <c r="C1653" s="3" t="s">
        <v>387</v>
      </c>
      <c r="D1653" s="3"/>
      <c r="E1653" s="3" t="s">
        <v>387</v>
      </c>
      <c r="F1653" s="3"/>
      <c r="G1653" s="3"/>
      <c r="H1653" s="3"/>
      <c r="I1653" s="3"/>
      <c r="J1653" s="3"/>
      <c r="K1653" s="3"/>
      <c r="L1653" s="3" t="s">
        <v>564</v>
      </c>
      <c r="M1653" s="3">
        <v>50</v>
      </c>
      <c r="N1653" s="3" t="s">
        <v>105</v>
      </c>
      <c r="O1653" s="3"/>
      <c r="P1653" s="3"/>
      <c r="Q1653" s="3">
        <v>81.228999999999999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563</v>
      </c>
      <c r="C1654" s="3" t="s">
        <v>387</v>
      </c>
      <c r="D1654" s="3"/>
      <c r="E1654" s="3" t="s">
        <v>387</v>
      </c>
      <c r="F1654" s="3"/>
      <c r="G1654" s="3"/>
      <c r="H1654" s="3"/>
      <c r="I1654" s="3"/>
      <c r="J1654" s="3"/>
      <c r="K1654" s="3"/>
      <c r="L1654" s="3" t="s">
        <v>564</v>
      </c>
      <c r="M1654" s="3">
        <v>60</v>
      </c>
      <c r="N1654" s="3" t="s">
        <v>106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563</v>
      </c>
      <c r="C1655" s="3" t="s">
        <v>387</v>
      </c>
      <c r="D1655" s="3"/>
      <c r="E1655" s="3" t="s">
        <v>387</v>
      </c>
      <c r="F1655" s="3"/>
      <c r="G1655" s="3"/>
      <c r="H1655" s="3"/>
      <c r="I1655" s="3"/>
      <c r="J1655" s="3"/>
      <c r="K1655" s="3"/>
      <c r="L1655" s="3" t="s">
        <v>564</v>
      </c>
      <c r="M1655" s="3">
        <v>70</v>
      </c>
      <c r="N1655" s="3" t="s">
        <v>104</v>
      </c>
      <c r="O1655" s="3"/>
      <c r="P1655" s="3"/>
      <c r="Q1655" s="3">
        <v>0.109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563</v>
      </c>
      <c r="C1656" s="3" t="s">
        <v>387</v>
      </c>
      <c r="D1656" s="3"/>
      <c r="E1656" s="3" t="s">
        <v>387</v>
      </c>
      <c r="F1656" s="3"/>
      <c r="G1656" s="3"/>
      <c r="H1656" s="3"/>
      <c r="I1656" s="3"/>
      <c r="J1656" s="3"/>
      <c r="K1656" s="3"/>
      <c r="L1656" s="3" t="s">
        <v>564</v>
      </c>
      <c r="M1656" s="3">
        <v>80</v>
      </c>
      <c r="N1656" s="3" t="s">
        <v>111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563</v>
      </c>
      <c r="C1657" s="3" t="s">
        <v>387</v>
      </c>
      <c r="D1657" s="3"/>
      <c r="E1657" s="3" t="s">
        <v>387</v>
      </c>
      <c r="F1657" s="3"/>
      <c r="G1657" s="3"/>
      <c r="H1657" s="3"/>
      <c r="I1657" s="3"/>
      <c r="J1657" s="3"/>
      <c r="K1657" s="3"/>
      <c r="L1657" s="3" t="s">
        <v>564</v>
      </c>
      <c r="M1657" s="3">
        <v>90</v>
      </c>
      <c r="N1657" s="3" t="s">
        <v>18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563</v>
      </c>
      <c r="C1658" s="3" t="s">
        <v>387</v>
      </c>
      <c r="D1658" s="3"/>
      <c r="E1658" s="3" t="s">
        <v>387</v>
      </c>
      <c r="F1658" s="3"/>
      <c r="G1658" s="3"/>
      <c r="H1658" s="3"/>
      <c r="I1658" s="3"/>
      <c r="J1658" s="3"/>
      <c r="K1658" s="3"/>
      <c r="L1658" s="3" t="s">
        <v>564</v>
      </c>
      <c r="M1658" s="3">
        <v>100</v>
      </c>
      <c r="N1658" s="3" t="s">
        <v>19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563</v>
      </c>
      <c r="C1659" s="3" t="s">
        <v>387</v>
      </c>
      <c r="D1659" s="3"/>
      <c r="E1659" s="3" t="s">
        <v>387</v>
      </c>
      <c r="F1659" s="3"/>
      <c r="G1659" s="3"/>
      <c r="H1659" s="3"/>
      <c r="I1659" s="3"/>
      <c r="J1659" s="3"/>
      <c r="K1659" s="3"/>
      <c r="L1659" s="3" t="s">
        <v>564</v>
      </c>
      <c r="M1659" s="3">
        <v>110</v>
      </c>
      <c r="N1659" s="3" t="s">
        <v>101</v>
      </c>
      <c r="O1659" s="3"/>
      <c r="P1659" s="3"/>
      <c r="Q1659" s="3">
        <v>0.40500000000000003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563</v>
      </c>
      <c r="C1660" s="3" t="s">
        <v>387</v>
      </c>
      <c r="D1660" s="3"/>
      <c r="E1660" s="3" t="s">
        <v>387</v>
      </c>
      <c r="F1660" s="3"/>
      <c r="G1660" s="3"/>
      <c r="H1660" s="3"/>
      <c r="I1660" s="3"/>
      <c r="J1660" s="3"/>
      <c r="K1660" s="3"/>
      <c r="L1660" s="3" t="s">
        <v>564</v>
      </c>
      <c r="M1660" s="3">
        <v>120</v>
      </c>
      <c r="N1660" s="3" t="s">
        <v>388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563</v>
      </c>
      <c r="C1661" s="3" t="s">
        <v>389</v>
      </c>
      <c r="D1661" s="3"/>
      <c r="E1661" s="3" t="s">
        <v>389</v>
      </c>
      <c r="F1661" s="3"/>
      <c r="G1661" s="3"/>
      <c r="H1661" s="3"/>
      <c r="I1661" s="3"/>
      <c r="J1661" s="3"/>
      <c r="K1661" s="3"/>
      <c r="L1661" s="3" t="s">
        <v>564</v>
      </c>
      <c r="M1661" s="3">
        <v>10</v>
      </c>
      <c r="N1661" s="3" t="s">
        <v>107</v>
      </c>
      <c r="O1661" s="3"/>
      <c r="P1661" s="3"/>
      <c r="Q1661" s="3">
        <v>1.5489999999999999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563</v>
      </c>
      <c r="C1662" s="3" t="s">
        <v>389</v>
      </c>
      <c r="D1662" s="3"/>
      <c r="E1662" s="3" t="s">
        <v>389</v>
      </c>
      <c r="F1662" s="3"/>
      <c r="G1662" s="3"/>
      <c r="H1662" s="3"/>
      <c r="I1662" s="3"/>
      <c r="J1662" s="3"/>
      <c r="K1662" s="3"/>
      <c r="L1662" s="3" t="s">
        <v>564</v>
      </c>
      <c r="M1662" s="3">
        <v>20</v>
      </c>
      <c r="N1662" s="3" t="s">
        <v>565</v>
      </c>
      <c r="O1662" s="3"/>
      <c r="P1662" s="3"/>
      <c r="Q1662" s="3">
        <v>1.5489999999999999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563</v>
      </c>
      <c r="C1663" s="3" t="s">
        <v>389</v>
      </c>
      <c r="D1663" s="3"/>
      <c r="E1663" s="3" t="s">
        <v>389</v>
      </c>
      <c r="F1663" s="3"/>
      <c r="G1663" s="3"/>
      <c r="H1663" s="3"/>
      <c r="I1663" s="3"/>
      <c r="J1663" s="3"/>
      <c r="K1663" s="3"/>
      <c r="L1663" s="3" t="s">
        <v>564</v>
      </c>
      <c r="M1663" s="3">
        <v>30</v>
      </c>
      <c r="N1663" s="3" t="s">
        <v>99</v>
      </c>
      <c r="O1663" s="3"/>
      <c r="P1663" s="3"/>
      <c r="Q1663" s="3">
        <v>0.47399999999999998</v>
      </c>
      <c r="R1663" s="3" t="s">
        <v>100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563</v>
      </c>
      <c r="C1664" s="3" t="s">
        <v>389</v>
      </c>
      <c r="D1664" s="3"/>
      <c r="E1664" s="3" t="s">
        <v>389</v>
      </c>
      <c r="F1664" s="3"/>
      <c r="G1664" s="3"/>
      <c r="H1664" s="3"/>
      <c r="I1664" s="3"/>
      <c r="J1664" s="3"/>
      <c r="K1664" s="3"/>
      <c r="L1664" s="3" t="s">
        <v>564</v>
      </c>
      <c r="M1664" s="3">
        <v>40</v>
      </c>
      <c r="N1664" s="3" t="s">
        <v>108</v>
      </c>
      <c r="O1664" s="3"/>
      <c r="P1664" s="3"/>
      <c r="Q1664" s="3">
        <v>14.427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563</v>
      </c>
      <c r="C1665" s="3" t="s">
        <v>389</v>
      </c>
      <c r="D1665" s="3"/>
      <c r="E1665" s="3" t="s">
        <v>389</v>
      </c>
      <c r="F1665" s="3"/>
      <c r="G1665" s="3"/>
      <c r="H1665" s="3"/>
      <c r="I1665" s="3"/>
      <c r="J1665" s="3"/>
      <c r="K1665" s="3"/>
      <c r="L1665" s="3" t="s">
        <v>564</v>
      </c>
      <c r="M1665" s="3">
        <v>50</v>
      </c>
      <c r="N1665" s="3" t="s">
        <v>105</v>
      </c>
      <c r="O1665" s="3"/>
      <c r="P1665" s="3"/>
      <c r="Q1665" s="3">
        <v>88.727000000000004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563</v>
      </c>
      <c r="C1666" s="3" t="s">
        <v>389</v>
      </c>
      <c r="D1666" s="3"/>
      <c r="E1666" s="3" t="s">
        <v>389</v>
      </c>
      <c r="F1666" s="3"/>
      <c r="G1666" s="3"/>
      <c r="H1666" s="3"/>
      <c r="I1666" s="3"/>
      <c r="J1666" s="3"/>
      <c r="K1666" s="3"/>
      <c r="L1666" s="3" t="s">
        <v>564</v>
      </c>
      <c r="M1666" s="3">
        <v>60</v>
      </c>
      <c r="N1666" s="3" t="s">
        <v>106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563</v>
      </c>
      <c r="C1667" s="3" t="s">
        <v>389</v>
      </c>
      <c r="D1667" s="3"/>
      <c r="E1667" s="3" t="s">
        <v>389</v>
      </c>
      <c r="F1667" s="3"/>
      <c r="G1667" s="3"/>
      <c r="H1667" s="3"/>
      <c r="I1667" s="3"/>
      <c r="J1667" s="3"/>
      <c r="K1667" s="3"/>
      <c r="L1667" s="3" t="s">
        <v>564</v>
      </c>
      <c r="M1667" s="3">
        <v>70</v>
      </c>
      <c r="N1667" s="3" t="s">
        <v>104</v>
      </c>
      <c r="O1667" s="3"/>
      <c r="P1667" s="3"/>
      <c r="Q1667" s="3">
        <v>0.13200000000000001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563</v>
      </c>
      <c r="C1668" s="3" t="s">
        <v>389</v>
      </c>
      <c r="D1668" s="3"/>
      <c r="E1668" s="3" t="s">
        <v>389</v>
      </c>
      <c r="F1668" s="3"/>
      <c r="G1668" s="3"/>
      <c r="H1668" s="3"/>
      <c r="I1668" s="3"/>
      <c r="J1668" s="3"/>
      <c r="K1668" s="3"/>
      <c r="L1668" s="3" t="s">
        <v>564</v>
      </c>
      <c r="M1668" s="3">
        <v>80</v>
      </c>
      <c r="N1668" s="3" t="s">
        <v>111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563</v>
      </c>
      <c r="C1669" s="3" t="s">
        <v>389</v>
      </c>
      <c r="D1669" s="3"/>
      <c r="E1669" s="3" t="s">
        <v>389</v>
      </c>
      <c r="F1669" s="3"/>
      <c r="G1669" s="3"/>
      <c r="H1669" s="3"/>
      <c r="I1669" s="3"/>
      <c r="J1669" s="3"/>
      <c r="K1669" s="3"/>
      <c r="L1669" s="3" t="s">
        <v>564</v>
      </c>
      <c r="M1669" s="3">
        <v>90</v>
      </c>
      <c r="N1669" s="3" t="s">
        <v>18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563</v>
      </c>
      <c r="C1670" s="3" t="s">
        <v>389</v>
      </c>
      <c r="D1670" s="3"/>
      <c r="E1670" s="3" t="s">
        <v>389</v>
      </c>
      <c r="F1670" s="3"/>
      <c r="G1670" s="3"/>
      <c r="H1670" s="3"/>
      <c r="I1670" s="3"/>
      <c r="J1670" s="3"/>
      <c r="K1670" s="3"/>
      <c r="L1670" s="3" t="s">
        <v>564</v>
      </c>
      <c r="M1670" s="3">
        <v>100</v>
      </c>
      <c r="N1670" s="3" t="s">
        <v>19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563</v>
      </c>
      <c r="C1671" s="3" t="s">
        <v>389</v>
      </c>
      <c r="D1671" s="3"/>
      <c r="E1671" s="3" t="s">
        <v>389</v>
      </c>
      <c r="F1671" s="3"/>
      <c r="G1671" s="3"/>
      <c r="H1671" s="3"/>
      <c r="I1671" s="3"/>
      <c r="J1671" s="3"/>
      <c r="K1671" s="3"/>
      <c r="L1671" s="3" t="s">
        <v>564</v>
      </c>
      <c r="M1671" s="3">
        <v>110</v>
      </c>
      <c r="N1671" s="3" t="s">
        <v>101</v>
      </c>
      <c r="O1671" s="3"/>
      <c r="P1671" s="3"/>
      <c r="Q1671" s="3">
        <v>0.495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563</v>
      </c>
      <c r="C1672" s="3" t="s">
        <v>389</v>
      </c>
      <c r="D1672" s="3"/>
      <c r="E1672" s="3" t="s">
        <v>389</v>
      </c>
      <c r="F1672" s="3"/>
      <c r="G1672" s="3"/>
      <c r="H1672" s="3"/>
      <c r="I1672" s="3"/>
      <c r="J1672" s="3"/>
      <c r="K1672" s="3"/>
      <c r="L1672" s="3" t="s">
        <v>564</v>
      </c>
      <c r="M1672" s="3">
        <v>120</v>
      </c>
      <c r="N1672" s="3" t="s">
        <v>390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563</v>
      </c>
      <c r="C1673" s="3" t="s">
        <v>391</v>
      </c>
      <c r="D1673" s="3"/>
      <c r="E1673" s="3" t="s">
        <v>391</v>
      </c>
      <c r="F1673" s="3"/>
      <c r="G1673" s="3"/>
      <c r="H1673" s="3"/>
      <c r="I1673" s="3"/>
      <c r="J1673" s="3"/>
      <c r="K1673" s="3"/>
      <c r="L1673" s="3" t="s">
        <v>564</v>
      </c>
      <c r="M1673" s="3">
        <v>10</v>
      </c>
      <c r="N1673" s="3" t="s">
        <v>107</v>
      </c>
      <c r="O1673" s="3"/>
      <c r="P1673" s="3"/>
      <c r="Q1673" s="3">
        <v>1.702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563</v>
      </c>
      <c r="C1674" s="3" t="s">
        <v>391</v>
      </c>
      <c r="D1674" s="3"/>
      <c r="E1674" s="3" t="s">
        <v>391</v>
      </c>
      <c r="F1674" s="3"/>
      <c r="G1674" s="3"/>
      <c r="H1674" s="3"/>
      <c r="I1674" s="3"/>
      <c r="J1674" s="3"/>
      <c r="K1674" s="3"/>
      <c r="L1674" s="3" t="s">
        <v>564</v>
      </c>
      <c r="M1674" s="3">
        <v>20</v>
      </c>
      <c r="N1674" s="3" t="s">
        <v>565</v>
      </c>
      <c r="O1674" s="3"/>
      <c r="P1674" s="3"/>
      <c r="Q1674" s="3">
        <v>1.702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563</v>
      </c>
      <c r="C1675" s="3" t="s">
        <v>391</v>
      </c>
      <c r="D1675" s="3"/>
      <c r="E1675" s="3" t="s">
        <v>391</v>
      </c>
      <c r="F1675" s="3"/>
      <c r="G1675" s="3"/>
      <c r="H1675" s="3"/>
      <c r="I1675" s="3"/>
      <c r="J1675" s="3"/>
      <c r="K1675" s="3"/>
      <c r="L1675" s="3" t="s">
        <v>564</v>
      </c>
      <c r="M1675" s="3">
        <v>30</v>
      </c>
      <c r="N1675" s="3" t="s">
        <v>99</v>
      </c>
      <c r="O1675" s="3"/>
      <c r="P1675" s="3"/>
      <c r="Q1675" s="3">
        <v>0.52100000000000002</v>
      </c>
      <c r="R1675" s="3" t="s">
        <v>100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563</v>
      </c>
      <c r="C1676" s="3" t="s">
        <v>391</v>
      </c>
      <c r="D1676" s="3"/>
      <c r="E1676" s="3" t="s">
        <v>391</v>
      </c>
      <c r="F1676" s="3"/>
      <c r="G1676" s="3"/>
      <c r="H1676" s="3"/>
      <c r="I1676" s="3"/>
      <c r="J1676" s="3"/>
      <c r="K1676" s="3"/>
      <c r="L1676" s="3" t="s">
        <v>564</v>
      </c>
      <c r="M1676" s="3">
        <v>40</v>
      </c>
      <c r="N1676" s="3" t="s">
        <v>108</v>
      </c>
      <c r="O1676" s="3"/>
      <c r="P1676" s="3"/>
      <c r="Q1676" s="3">
        <v>15.037000000000001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563</v>
      </c>
      <c r="C1677" s="3" t="s">
        <v>391</v>
      </c>
      <c r="D1677" s="3"/>
      <c r="E1677" s="3" t="s">
        <v>391</v>
      </c>
      <c r="F1677" s="3"/>
      <c r="G1677" s="3"/>
      <c r="H1677" s="3"/>
      <c r="I1677" s="3"/>
      <c r="J1677" s="3"/>
      <c r="K1677" s="3"/>
      <c r="L1677" s="3" t="s">
        <v>564</v>
      </c>
      <c r="M1677" s="3">
        <v>50</v>
      </c>
      <c r="N1677" s="3" t="s">
        <v>105</v>
      </c>
      <c r="O1677" s="3"/>
      <c r="P1677" s="3"/>
      <c r="Q1677" s="3">
        <v>92.475999999999999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563</v>
      </c>
      <c r="C1678" s="3" t="s">
        <v>391</v>
      </c>
      <c r="D1678" s="3"/>
      <c r="E1678" s="3" t="s">
        <v>391</v>
      </c>
      <c r="F1678" s="3"/>
      <c r="G1678" s="3"/>
      <c r="H1678" s="3"/>
      <c r="I1678" s="3"/>
      <c r="J1678" s="3"/>
      <c r="K1678" s="3"/>
      <c r="L1678" s="3" t="s">
        <v>564</v>
      </c>
      <c r="M1678" s="3">
        <v>60</v>
      </c>
      <c r="N1678" s="3" t="s">
        <v>106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563</v>
      </c>
      <c r="C1679" s="3" t="s">
        <v>391</v>
      </c>
      <c r="D1679" s="3"/>
      <c r="E1679" s="3" t="s">
        <v>391</v>
      </c>
      <c r="F1679" s="3"/>
      <c r="G1679" s="3"/>
      <c r="H1679" s="3"/>
      <c r="I1679" s="3"/>
      <c r="J1679" s="3"/>
      <c r="K1679" s="3"/>
      <c r="L1679" s="3" t="s">
        <v>564</v>
      </c>
      <c r="M1679" s="3">
        <v>70</v>
      </c>
      <c r="N1679" s="3" t="s">
        <v>104</v>
      </c>
      <c r="O1679" s="3"/>
      <c r="P1679" s="3"/>
      <c r="Q1679" s="3">
        <v>0.14299999999999999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563</v>
      </c>
      <c r="C1680" s="3" t="s">
        <v>391</v>
      </c>
      <c r="D1680" s="3"/>
      <c r="E1680" s="3" t="s">
        <v>391</v>
      </c>
      <c r="F1680" s="3"/>
      <c r="G1680" s="3"/>
      <c r="H1680" s="3"/>
      <c r="I1680" s="3"/>
      <c r="J1680" s="3"/>
      <c r="K1680" s="3"/>
      <c r="L1680" s="3" t="s">
        <v>564</v>
      </c>
      <c r="M1680" s="3">
        <v>80</v>
      </c>
      <c r="N1680" s="3" t="s">
        <v>111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563</v>
      </c>
      <c r="C1681" s="3" t="s">
        <v>391</v>
      </c>
      <c r="D1681" s="3"/>
      <c r="E1681" s="3" t="s">
        <v>391</v>
      </c>
      <c r="F1681" s="3"/>
      <c r="G1681" s="3"/>
      <c r="H1681" s="3"/>
      <c r="I1681" s="3"/>
      <c r="J1681" s="3"/>
      <c r="K1681" s="3"/>
      <c r="L1681" s="3" t="s">
        <v>564</v>
      </c>
      <c r="M1681" s="3">
        <v>90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563</v>
      </c>
      <c r="C1682" s="3" t="s">
        <v>391</v>
      </c>
      <c r="D1682" s="3"/>
      <c r="E1682" s="3" t="s">
        <v>391</v>
      </c>
      <c r="F1682" s="3"/>
      <c r="G1682" s="3"/>
      <c r="H1682" s="3"/>
      <c r="I1682" s="3"/>
      <c r="J1682" s="3"/>
      <c r="K1682" s="3"/>
      <c r="L1682" s="3" t="s">
        <v>564</v>
      </c>
      <c r="M1682" s="3">
        <v>100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563</v>
      </c>
      <c r="C1683" s="3" t="s">
        <v>391</v>
      </c>
      <c r="D1683" s="3"/>
      <c r="E1683" s="3" t="s">
        <v>391</v>
      </c>
      <c r="F1683" s="3"/>
      <c r="G1683" s="3"/>
      <c r="H1683" s="3"/>
      <c r="I1683" s="3"/>
      <c r="J1683" s="3"/>
      <c r="K1683" s="3"/>
      <c r="L1683" s="3" t="s">
        <v>564</v>
      </c>
      <c r="M1683" s="3">
        <v>110</v>
      </c>
      <c r="N1683" s="3" t="s">
        <v>101</v>
      </c>
      <c r="O1683" s="3"/>
      <c r="P1683" s="3"/>
      <c r="Q1683" s="3">
        <v>0.54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563</v>
      </c>
      <c r="C1684" s="3" t="s">
        <v>391</v>
      </c>
      <c r="D1684" s="3"/>
      <c r="E1684" s="3" t="s">
        <v>391</v>
      </c>
      <c r="F1684" s="3"/>
      <c r="G1684" s="3"/>
      <c r="H1684" s="3"/>
      <c r="I1684" s="3"/>
      <c r="J1684" s="3"/>
      <c r="K1684" s="3"/>
      <c r="L1684" s="3" t="s">
        <v>564</v>
      </c>
      <c r="M1684" s="3">
        <v>120</v>
      </c>
      <c r="N1684" s="3" t="s">
        <v>392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563</v>
      </c>
      <c r="C1685" s="3" t="s">
        <v>393</v>
      </c>
      <c r="D1685" s="3"/>
      <c r="E1685" s="3" t="s">
        <v>393</v>
      </c>
      <c r="F1685" s="3"/>
      <c r="G1685" s="3"/>
      <c r="H1685" s="3"/>
      <c r="I1685" s="3"/>
      <c r="J1685" s="3"/>
      <c r="K1685" s="3"/>
      <c r="L1685" s="3" t="s">
        <v>564</v>
      </c>
      <c r="M1685" s="3">
        <v>10</v>
      </c>
      <c r="N1685" s="3" t="s">
        <v>107</v>
      </c>
      <c r="O1685" s="3"/>
      <c r="P1685" s="3"/>
      <c r="Q1685" s="3">
        <v>1.8540000000000001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563</v>
      </c>
      <c r="C1686" s="3" t="s">
        <v>393</v>
      </c>
      <c r="D1686" s="3"/>
      <c r="E1686" s="3" t="s">
        <v>393</v>
      </c>
      <c r="F1686" s="3"/>
      <c r="G1686" s="3"/>
      <c r="H1686" s="3"/>
      <c r="I1686" s="3"/>
      <c r="J1686" s="3"/>
      <c r="K1686" s="3"/>
      <c r="L1686" s="3" t="s">
        <v>564</v>
      </c>
      <c r="M1686" s="3">
        <v>20</v>
      </c>
      <c r="N1686" s="3" t="s">
        <v>565</v>
      </c>
      <c r="O1686" s="3"/>
      <c r="P1686" s="3"/>
      <c r="Q1686" s="3">
        <v>1.8540000000000001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563</v>
      </c>
      <c r="C1687" s="3" t="s">
        <v>393</v>
      </c>
      <c r="D1687" s="3"/>
      <c r="E1687" s="3" t="s">
        <v>393</v>
      </c>
      <c r="F1687" s="3"/>
      <c r="G1687" s="3"/>
      <c r="H1687" s="3"/>
      <c r="I1687" s="3"/>
      <c r="J1687" s="3"/>
      <c r="K1687" s="3"/>
      <c r="L1687" s="3" t="s">
        <v>564</v>
      </c>
      <c r="M1687" s="3">
        <v>30</v>
      </c>
      <c r="N1687" s="3" t="s">
        <v>99</v>
      </c>
      <c r="O1687" s="3"/>
      <c r="P1687" s="3"/>
      <c r="Q1687" s="3">
        <v>0.56899999999999995</v>
      </c>
      <c r="R1687" s="3" t="s">
        <v>100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563</v>
      </c>
      <c r="C1688" s="3" t="s">
        <v>393</v>
      </c>
      <c r="D1688" s="3"/>
      <c r="E1688" s="3" t="s">
        <v>393</v>
      </c>
      <c r="F1688" s="3"/>
      <c r="G1688" s="3"/>
      <c r="H1688" s="3"/>
      <c r="I1688" s="3"/>
      <c r="J1688" s="3"/>
      <c r="K1688" s="3"/>
      <c r="L1688" s="3" t="s">
        <v>564</v>
      </c>
      <c r="M1688" s="3">
        <v>40</v>
      </c>
      <c r="N1688" s="3" t="s">
        <v>108</v>
      </c>
      <c r="O1688" s="3"/>
      <c r="P1688" s="3"/>
      <c r="Q1688" s="3">
        <v>15.646000000000001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563</v>
      </c>
      <c r="C1689" s="3" t="s">
        <v>393</v>
      </c>
      <c r="D1689" s="3"/>
      <c r="E1689" s="3" t="s">
        <v>393</v>
      </c>
      <c r="F1689" s="3"/>
      <c r="G1689" s="3"/>
      <c r="H1689" s="3"/>
      <c r="I1689" s="3"/>
      <c r="J1689" s="3"/>
      <c r="K1689" s="3"/>
      <c r="L1689" s="3" t="s">
        <v>564</v>
      </c>
      <c r="M1689" s="3">
        <v>50</v>
      </c>
      <c r="N1689" s="3" t="s">
        <v>105</v>
      </c>
      <c r="O1689" s="3"/>
      <c r="P1689" s="3"/>
      <c r="Q1689" s="3">
        <v>96.224999999999994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563</v>
      </c>
      <c r="C1690" s="3" t="s">
        <v>393</v>
      </c>
      <c r="D1690" s="3"/>
      <c r="E1690" s="3" t="s">
        <v>393</v>
      </c>
      <c r="F1690" s="3"/>
      <c r="G1690" s="3"/>
      <c r="H1690" s="3"/>
      <c r="I1690" s="3"/>
      <c r="J1690" s="3"/>
      <c r="K1690" s="3"/>
      <c r="L1690" s="3" t="s">
        <v>564</v>
      </c>
      <c r="M1690" s="3">
        <v>60</v>
      </c>
      <c r="N1690" s="3" t="s">
        <v>106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563</v>
      </c>
      <c r="C1691" s="3" t="s">
        <v>393</v>
      </c>
      <c r="D1691" s="3"/>
      <c r="E1691" s="3" t="s">
        <v>393</v>
      </c>
      <c r="F1691" s="3"/>
      <c r="G1691" s="3"/>
      <c r="H1691" s="3"/>
      <c r="I1691" s="3"/>
      <c r="J1691" s="3"/>
      <c r="K1691" s="3"/>
      <c r="L1691" s="3" t="s">
        <v>564</v>
      </c>
      <c r="M1691" s="3">
        <v>70</v>
      </c>
      <c r="N1691" s="3" t="s">
        <v>104</v>
      </c>
      <c r="O1691" s="3"/>
      <c r="P1691" s="3"/>
      <c r="Q1691" s="3">
        <v>0.154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563</v>
      </c>
      <c r="C1692" s="3" t="s">
        <v>393</v>
      </c>
      <c r="D1692" s="3"/>
      <c r="E1692" s="3" t="s">
        <v>393</v>
      </c>
      <c r="F1692" s="3"/>
      <c r="G1692" s="3"/>
      <c r="H1692" s="3"/>
      <c r="I1692" s="3"/>
      <c r="J1692" s="3"/>
      <c r="K1692" s="3"/>
      <c r="L1692" s="3" t="s">
        <v>564</v>
      </c>
      <c r="M1692" s="3">
        <v>80</v>
      </c>
      <c r="N1692" s="3" t="s">
        <v>111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563</v>
      </c>
      <c r="C1693" s="3" t="s">
        <v>393</v>
      </c>
      <c r="D1693" s="3"/>
      <c r="E1693" s="3" t="s">
        <v>393</v>
      </c>
      <c r="F1693" s="3"/>
      <c r="G1693" s="3"/>
      <c r="H1693" s="3"/>
      <c r="I1693" s="3"/>
      <c r="J1693" s="3"/>
      <c r="K1693" s="3"/>
      <c r="L1693" s="3" t="s">
        <v>564</v>
      </c>
      <c r="M1693" s="3">
        <v>90</v>
      </c>
      <c r="N1693" s="3" t="s">
        <v>18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563</v>
      </c>
      <c r="C1694" s="3" t="s">
        <v>393</v>
      </c>
      <c r="D1694" s="3"/>
      <c r="E1694" s="3" t="s">
        <v>393</v>
      </c>
      <c r="F1694" s="3"/>
      <c r="G1694" s="3"/>
      <c r="H1694" s="3"/>
      <c r="I1694" s="3"/>
      <c r="J1694" s="3"/>
      <c r="K1694" s="3"/>
      <c r="L1694" s="3" t="s">
        <v>564</v>
      </c>
      <c r="M1694" s="3">
        <v>100</v>
      </c>
      <c r="N1694" s="3" t="s">
        <v>19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563</v>
      </c>
      <c r="C1695" s="3" t="s">
        <v>393</v>
      </c>
      <c r="D1695" s="3"/>
      <c r="E1695" s="3" t="s">
        <v>393</v>
      </c>
      <c r="F1695" s="3"/>
      <c r="G1695" s="3"/>
      <c r="H1695" s="3"/>
      <c r="I1695" s="3"/>
      <c r="J1695" s="3"/>
      <c r="K1695" s="3"/>
      <c r="L1695" s="3" t="s">
        <v>564</v>
      </c>
      <c r="M1695" s="3">
        <v>110</v>
      </c>
      <c r="N1695" s="3" t="s">
        <v>101</v>
      </c>
      <c r="O1695" s="3"/>
      <c r="P1695" s="3"/>
      <c r="Q1695" s="3">
        <v>0.58599999999999997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563</v>
      </c>
      <c r="C1696" s="3" t="s">
        <v>393</v>
      </c>
      <c r="D1696" s="3"/>
      <c r="E1696" s="3" t="s">
        <v>393</v>
      </c>
      <c r="F1696" s="3"/>
      <c r="G1696" s="3"/>
      <c r="H1696" s="3"/>
      <c r="I1696" s="3"/>
      <c r="J1696" s="3"/>
      <c r="K1696" s="3"/>
      <c r="L1696" s="3" t="s">
        <v>564</v>
      </c>
      <c r="M1696" s="3">
        <v>120</v>
      </c>
      <c r="N1696" s="3" t="s">
        <v>394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563</v>
      </c>
      <c r="C1697" s="3" t="s">
        <v>395</v>
      </c>
      <c r="D1697" s="3"/>
      <c r="E1697" s="3" t="s">
        <v>395</v>
      </c>
      <c r="F1697" s="3"/>
      <c r="G1697" s="3"/>
      <c r="H1697" s="3"/>
      <c r="I1697" s="3"/>
      <c r="J1697" s="3"/>
      <c r="K1697" s="3"/>
      <c r="L1697" s="3" t="s">
        <v>564</v>
      </c>
      <c r="M1697" s="3">
        <v>10</v>
      </c>
      <c r="N1697" s="3" t="s">
        <v>107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563</v>
      </c>
      <c r="C1698" s="3" t="s">
        <v>395</v>
      </c>
      <c r="D1698" s="3"/>
      <c r="E1698" s="3" t="s">
        <v>395</v>
      </c>
      <c r="F1698" s="3"/>
      <c r="G1698" s="3"/>
      <c r="H1698" s="3"/>
      <c r="I1698" s="3"/>
      <c r="J1698" s="3"/>
      <c r="K1698" s="3"/>
      <c r="L1698" s="3" t="s">
        <v>564</v>
      </c>
      <c r="M1698" s="3">
        <v>20</v>
      </c>
      <c r="N1698" s="3" t="s">
        <v>565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563</v>
      </c>
      <c r="C1699" s="3" t="s">
        <v>395</v>
      </c>
      <c r="D1699" s="3"/>
      <c r="E1699" s="3" t="s">
        <v>395</v>
      </c>
      <c r="F1699" s="3"/>
      <c r="G1699" s="3"/>
      <c r="H1699" s="3"/>
      <c r="I1699" s="3"/>
      <c r="J1699" s="3"/>
      <c r="K1699" s="3"/>
      <c r="L1699" s="3" t="s">
        <v>564</v>
      </c>
      <c r="M1699" s="3">
        <v>30</v>
      </c>
      <c r="N1699" s="3" t="s">
        <v>99</v>
      </c>
      <c r="O1699" s="3"/>
      <c r="P1699" s="3"/>
      <c r="Q1699" s="3">
        <v>0.24299999999999999</v>
      </c>
      <c r="R1699" s="3" t="s">
        <v>100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563</v>
      </c>
      <c r="C1700" s="3" t="s">
        <v>395</v>
      </c>
      <c r="D1700" s="3"/>
      <c r="E1700" s="3" t="s">
        <v>395</v>
      </c>
      <c r="F1700" s="3"/>
      <c r="G1700" s="3"/>
      <c r="H1700" s="3"/>
      <c r="I1700" s="3"/>
      <c r="J1700" s="3"/>
      <c r="K1700" s="3"/>
      <c r="L1700" s="3" t="s">
        <v>564</v>
      </c>
      <c r="M1700" s="3">
        <v>40</v>
      </c>
      <c r="N1700" s="3" t="s">
        <v>108</v>
      </c>
      <c r="O1700" s="3"/>
      <c r="P1700" s="3"/>
      <c r="Q1700" s="3">
        <v>11.582000000000001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563</v>
      </c>
      <c r="C1701" s="3" t="s">
        <v>395</v>
      </c>
      <c r="D1701" s="3"/>
      <c r="E1701" s="3" t="s">
        <v>395</v>
      </c>
      <c r="F1701" s="3"/>
      <c r="G1701" s="3"/>
      <c r="H1701" s="3"/>
      <c r="I1701" s="3"/>
      <c r="J1701" s="3"/>
      <c r="K1701" s="3"/>
      <c r="L1701" s="3" t="s">
        <v>564</v>
      </c>
      <c r="M1701" s="3">
        <v>50</v>
      </c>
      <c r="N1701" s="3" t="s">
        <v>105</v>
      </c>
      <c r="O1701" s="3"/>
      <c r="P1701" s="3"/>
      <c r="Q1701" s="3">
        <v>71.231999999999999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563</v>
      </c>
      <c r="C1702" s="3" t="s">
        <v>395</v>
      </c>
      <c r="D1702" s="3"/>
      <c r="E1702" s="3" t="s">
        <v>395</v>
      </c>
      <c r="F1702" s="3"/>
      <c r="G1702" s="3"/>
      <c r="H1702" s="3"/>
      <c r="I1702" s="3"/>
      <c r="J1702" s="3"/>
      <c r="K1702" s="3"/>
      <c r="L1702" s="3" t="s">
        <v>564</v>
      </c>
      <c r="M1702" s="3">
        <v>60</v>
      </c>
      <c r="N1702" s="3" t="s">
        <v>106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563</v>
      </c>
      <c r="C1703" s="3" t="s">
        <v>395</v>
      </c>
      <c r="D1703" s="3"/>
      <c r="E1703" s="3" t="s">
        <v>395</v>
      </c>
      <c r="F1703" s="3"/>
      <c r="G1703" s="3"/>
      <c r="H1703" s="3"/>
      <c r="I1703" s="3"/>
      <c r="J1703" s="3"/>
      <c r="K1703" s="3"/>
      <c r="L1703" s="3" t="s">
        <v>564</v>
      </c>
      <c r="M1703" s="3">
        <v>70</v>
      </c>
      <c r="N1703" s="3" t="s">
        <v>104</v>
      </c>
      <c r="O1703" s="3"/>
      <c r="P1703" s="3"/>
      <c r="Q1703" s="3">
        <v>7.4999999999999997E-2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563</v>
      </c>
      <c r="C1704" s="3" t="s">
        <v>395</v>
      </c>
      <c r="D1704" s="3"/>
      <c r="E1704" s="3" t="s">
        <v>395</v>
      </c>
      <c r="F1704" s="3"/>
      <c r="G1704" s="3"/>
      <c r="H1704" s="3"/>
      <c r="I1704" s="3"/>
      <c r="J1704" s="3"/>
      <c r="K1704" s="3"/>
      <c r="L1704" s="3" t="s">
        <v>564</v>
      </c>
      <c r="M1704" s="3">
        <v>80</v>
      </c>
      <c r="N1704" s="3" t="s">
        <v>111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563</v>
      </c>
      <c r="C1705" s="3" t="s">
        <v>395</v>
      </c>
      <c r="D1705" s="3"/>
      <c r="E1705" s="3" t="s">
        <v>395</v>
      </c>
      <c r="F1705" s="3"/>
      <c r="G1705" s="3"/>
      <c r="H1705" s="3"/>
      <c r="I1705" s="3"/>
      <c r="J1705" s="3"/>
      <c r="K1705" s="3"/>
      <c r="L1705" s="3" t="s">
        <v>564</v>
      </c>
      <c r="M1705" s="3">
        <v>90</v>
      </c>
      <c r="N1705" s="3" t="s">
        <v>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563</v>
      </c>
      <c r="C1706" s="3" t="s">
        <v>395</v>
      </c>
      <c r="D1706" s="3"/>
      <c r="E1706" s="3" t="s">
        <v>395</v>
      </c>
      <c r="F1706" s="3"/>
      <c r="G1706" s="3"/>
      <c r="H1706" s="3"/>
      <c r="I1706" s="3"/>
      <c r="J1706" s="3"/>
      <c r="K1706" s="3"/>
      <c r="L1706" s="3" t="s">
        <v>564</v>
      </c>
      <c r="M1706" s="3">
        <v>100</v>
      </c>
      <c r="N1706" s="3" t="s">
        <v>19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563</v>
      </c>
      <c r="C1707" s="3" t="s">
        <v>395</v>
      </c>
      <c r="D1707" s="3"/>
      <c r="E1707" s="3" t="s">
        <v>395</v>
      </c>
      <c r="F1707" s="3"/>
      <c r="G1707" s="3"/>
      <c r="H1707" s="3"/>
      <c r="I1707" s="3"/>
      <c r="J1707" s="3"/>
      <c r="K1707" s="3"/>
      <c r="L1707" s="3" t="s">
        <v>564</v>
      </c>
      <c r="M1707" s="3">
        <v>110</v>
      </c>
      <c r="N1707" s="3" t="s">
        <v>101</v>
      </c>
      <c r="O1707" s="3"/>
      <c r="P1707" s="3"/>
      <c r="Q1707" s="3">
        <v>0.64600000000000002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563</v>
      </c>
      <c r="C1708" s="3" t="s">
        <v>395</v>
      </c>
      <c r="D1708" s="3"/>
      <c r="E1708" s="3" t="s">
        <v>395</v>
      </c>
      <c r="F1708" s="3"/>
      <c r="G1708" s="3"/>
      <c r="H1708" s="3"/>
      <c r="I1708" s="3"/>
      <c r="J1708" s="3"/>
      <c r="K1708" s="3"/>
      <c r="L1708" s="3" t="s">
        <v>564</v>
      </c>
      <c r="M1708" s="3">
        <v>120</v>
      </c>
      <c r="N1708" s="3" t="s">
        <v>396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563</v>
      </c>
      <c r="C1709" s="3" t="s">
        <v>397</v>
      </c>
      <c r="D1709" s="3"/>
      <c r="E1709" s="3" t="s">
        <v>397</v>
      </c>
      <c r="F1709" s="3"/>
      <c r="G1709" s="3"/>
      <c r="H1709" s="3"/>
      <c r="I1709" s="3"/>
      <c r="J1709" s="3"/>
      <c r="K1709" s="3"/>
      <c r="L1709" s="3" t="s">
        <v>564</v>
      </c>
      <c r="M1709" s="3">
        <v>10</v>
      </c>
      <c r="N1709" s="3" t="s">
        <v>107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563</v>
      </c>
      <c r="C1710" s="3" t="s">
        <v>397</v>
      </c>
      <c r="D1710" s="3"/>
      <c r="E1710" s="3" t="s">
        <v>397</v>
      </c>
      <c r="F1710" s="3"/>
      <c r="G1710" s="3"/>
      <c r="H1710" s="3"/>
      <c r="I1710" s="3"/>
      <c r="J1710" s="3"/>
      <c r="K1710" s="3"/>
      <c r="L1710" s="3" t="s">
        <v>564</v>
      </c>
      <c r="M1710" s="3">
        <v>20</v>
      </c>
      <c r="N1710" s="3" t="s">
        <v>565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563</v>
      </c>
      <c r="C1711" s="3" t="s">
        <v>397</v>
      </c>
      <c r="D1711" s="3"/>
      <c r="E1711" s="3" t="s">
        <v>397</v>
      </c>
      <c r="F1711" s="3"/>
      <c r="G1711" s="3"/>
      <c r="H1711" s="3"/>
      <c r="I1711" s="3"/>
      <c r="J1711" s="3"/>
      <c r="K1711" s="3"/>
      <c r="L1711" s="3" t="s">
        <v>564</v>
      </c>
      <c r="M1711" s="3">
        <v>30</v>
      </c>
      <c r="N1711" s="3" t="s">
        <v>99</v>
      </c>
      <c r="O1711" s="3"/>
      <c r="P1711" s="3"/>
      <c r="Q1711" s="3">
        <v>0.29199999999999998</v>
      </c>
      <c r="R1711" s="3" t="s">
        <v>100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563</v>
      </c>
      <c r="C1712" s="3" t="s">
        <v>397</v>
      </c>
      <c r="D1712" s="3"/>
      <c r="E1712" s="3" t="s">
        <v>397</v>
      </c>
      <c r="F1712" s="3"/>
      <c r="G1712" s="3"/>
      <c r="H1712" s="3"/>
      <c r="I1712" s="3"/>
      <c r="J1712" s="3"/>
      <c r="K1712" s="3"/>
      <c r="L1712" s="3" t="s">
        <v>564</v>
      </c>
      <c r="M1712" s="3">
        <v>40</v>
      </c>
      <c r="N1712" s="3" t="s">
        <v>108</v>
      </c>
      <c r="O1712" s="3"/>
      <c r="P1712" s="3"/>
      <c r="Q1712" s="3">
        <v>12.192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563</v>
      </c>
      <c r="C1713" s="3" t="s">
        <v>397</v>
      </c>
      <c r="D1713" s="3"/>
      <c r="E1713" s="3" t="s">
        <v>397</v>
      </c>
      <c r="F1713" s="3"/>
      <c r="G1713" s="3"/>
      <c r="H1713" s="3"/>
      <c r="I1713" s="3"/>
      <c r="J1713" s="3"/>
      <c r="K1713" s="3"/>
      <c r="L1713" s="3" t="s">
        <v>564</v>
      </c>
      <c r="M1713" s="3">
        <v>50</v>
      </c>
      <c r="N1713" s="3" t="s">
        <v>105</v>
      </c>
      <c r="O1713" s="3"/>
      <c r="P1713" s="3"/>
      <c r="Q1713" s="3">
        <v>74.980999999999995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563</v>
      </c>
      <c r="C1714" s="3" t="s">
        <v>397</v>
      </c>
      <c r="D1714" s="3"/>
      <c r="E1714" s="3" t="s">
        <v>397</v>
      </c>
      <c r="F1714" s="3"/>
      <c r="G1714" s="3"/>
      <c r="H1714" s="3"/>
      <c r="I1714" s="3"/>
      <c r="J1714" s="3"/>
      <c r="K1714" s="3"/>
      <c r="L1714" s="3" t="s">
        <v>564</v>
      </c>
      <c r="M1714" s="3">
        <v>60</v>
      </c>
      <c r="N1714" s="3" t="s">
        <v>106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563</v>
      </c>
      <c r="C1715" s="3" t="s">
        <v>397</v>
      </c>
      <c r="D1715" s="3"/>
      <c r="E1715" s="3" t="s">
        <v>397</v>
      </c>
      <c r="F1715" s="3"/>
      <c r="G1715" s="3"/>
      <c r="H1715" s="3"/>
      <c r="I1715" s="3"/>
      <c r="J1715" s="3"/>
      <c r="K1715" s="3"/>
      <c r="L1715" s="3" t="s">
        <v>564</v>
      </c>
      <c r="M1715" s="3">
        <v>70</v>
      </c>
      <c r="N1715" s="3" t="s">
        <v>104</v>
      </c>
      <c r="O1715" s="3"/>
      <c r="P1715" s="3"/>
      <c r="Q1715" s="3">
        <v>8.5999999999999993E-2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563</v>
      </c>
      <c r="C1716" s="3" t="s">
        <v>397</v>
      </c>
      <c r="D1716" s="3"/>
      <c r="E1716" s="3" t="s">
        <v>397</v>
      </c>
      <c r="F1716" s="3"/>
      <c r="G1716" s="3"/>
      <c r="H1716" s="3"/>
      <c r="I1716" s="3"/>
      <c r="J1716" s="3"/>
      <c r="K1716" s="3"/>
      <c r="L1716" s="3" t="s">
        <v>564</v>
      </c>
      <c r="M1716" s="3">
        <v>80</v>
      </c>
      <c r="N1716" s="3" t="s">
        <v>111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563</v>
      </c>
      <c r="C1717" s="3" t="s">
        <v>397</v>
      </c>
      <c r="D1717" s="3"/>
      <c r="E1717" s="3" t="s">
        <v>397</v>
      </c>
      <c r="F1717" s="3"/>
      <c r="G1717" s="3"/>
      <c r="H1717" s="3"/>
      <c r="I1717" s="3"/>
      <c r="J1717" s="3"/>
      <c r="K1717" s="3"/>
      <c r="L1717" s="3" t="s">
        <v>564</v>
      </c>
      <c r="M1717" s="3">
        <v>90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563</v>
      </c>
      <c r="C1718" s="3" t="s">
        <v>397</v>
      </c>
      <c r="D1718" s="3"/>
      <c r="E1718" s="3" t="s">
        <v>397</v>
      </c>
      <c r="F1718" s="3"/>
      <c r="G1718" s="3"/>
      <c r="H1718" s="3"/>
      <c r="I1718" s="3"/>
      <c r="J1718" s="3"/>
      <c r="K1718" s="3"/>
      <c r="L1718" s="3" t="s">
        <v>564</v>
      </c>
      <c r="M1718" s="3">
        <v>100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563</v>
      </c>
      <c r="C1719" s="3" t="s">
        <v>397</v>
      </c>
      <c r="D1719" s="3"/>
      <c r="E1719" s="3" t="s">
        <v>397</v>
      </c>
      <c r="F1719" s="3"/>
      <c r="G1719" s="3"/>
      <c r="H1719" s="3"/>
      <c r="I1719" s="3"/>
      <c r="J1719" s="3"/>
      <c r="K1719" s="3"/>
      <c r="L1719" s="3" t="s">
        <v>564</v>
      </c>
      <c r="M1719" s="3">
        <v>110</v>
      </c>
      <c r="N1719" s="3" t="s">
        <v>101</v>
      </c>
      <c r="O1719" s="3"/>
      <c r="P1719" s="3"/>
      <c r="Q1719" s="3">
        <v>0.64600000000000002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563</v>
      </c>
      <c r="C1720" s="3" t="s">
        <v>397</v>
      </c>
      <c r="D1720" s="3"/>
      <c r="E1720" s="3" t="s">
        <v>397</v>
      </c>
      <c r="F1720" s="3"/>
      <c r="G1720" s="3"/>
      <c r="H1720" s="3"/>
      <c r="I1720" s="3"/>
      <c r="J1720" s="3"/>
      <c r="K1720" s="3"/>
      <c r="L1720" s="3" t="s">
        <v>564</v>
      </c>
      <c r="M1720" s="3">
        <v>120</v>
      </c>
      <c r="N1720" s="3" t="s">
        <v>398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563</v>
      </c>
      <c r="C1721" s="3" t="s">
        <v>399</v>
      </c>
      <c r="D1721" s="3"/>
      <c r="E1721" s="3" t="s">
        <v>399</v>
      </c>
      <c r="F1721" s="3"/>
      <c r="G1721" s="3"/>
      <c r="H1721" s="3"/>
      <c r="I1721" s="3"/>
      <c r="J1721" s="3"/>
      <c r="K1721" s="3"/>
      <c r="L1721" s="3" t="s">
        <v>564</v>
      </c>
      <c r="M1721" s="3">
        <v>10</v>
      </c>
      <c r="N1721" s="3" t="s">
        <v>107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563</v>
      </c>
      <c r="C1722" s="3" t="s">
        <v>399</v>
      </c>
      <c r="D1722" s="3"/>
      <c r="E1722" s="3" t="s">
        <v>399</v>
      </c>
      <c r="F1722" s="3"/>
      <c r="G1722" s="3"/>
      <c r="H1722" s="3"/>
      <c r="I1722" s="3"/>
      <c r="J1722" s="3"/>
      <c r="K1722" s="3"/>
      <c r="L1722" s="3" t="s">
        <v>564</v>
      </c>
      <c r="M1722" s="3">
        <v>20</v>
      </c>
      <c r="N1722" s="3" t="s">
        <v>565</v>
      </c>
      <c r="O1722" s="3"/>
      <c r="P1722" s="3"/>
      <c r="Q1722" s="3">
        <v>2.0569999999999999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563</v>
      </c>
      <c r="C1723" s="3" t="s">
        <v>399</v>
      </c>
      <c r="D1723" s="3"/>
      <c r="E1723" s="3" t="s">
        <v>399</v>
      </c>
      <c r="F1723" s="3"/>
      <c r="G1723" s="3"/>
      <c r="H1723" s="3"/>
      <c r="I1723" s="3"/>
      <c r="J1723" s="3"/>
      <c r="K1723" s="3"/>
      <c r="L1723" s="3" t="s">
        <v>564</v>
      </c>
      <c r="M1723" s="3">
        <v>30</v>
      </c>
      <c r="N1723" s="3" t="s">
        <v>99</v>
      </c>
      <c r="O1723" s="3"/>
      <c r="P1723" s="3"/>
      <c r="Q1723" s="3">
        <v>0.34</v>
      </c>
      <c r="R1723" s="3" t="s">
        <v>100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563</v>
      </c>
      <c r="C1724" s="3" t="s">
        <v>399</v>
      </c>
      <c r="D1724" s="3"/>
      <c r="E1724" s="3" t="s">
        <v>399</v>
      </c>
      <c r="F1724" s="3"/>
      <c r="G1724" s="3"/>
      <c r="H1724" s="3"/>
      <c r="I1724" s="3"/>
      <c r="J1724" s="3"/>
      <c r="K1724" s="3"/>
      <c r="L1724" s="3" t="s">
        <v>564</v>
      </c>
      <c r="M1724" s="3">
        <v>40</v>
      </c>
      <c r="N1724" s="3" t="s">
        <v>108</v>
      </c>
      <c r="O1724" s="3"/>
      <c r="P1724" s="3"/>
      <c r="Q1724" s="3">
        <v>12.802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563</v>
      </c>
      <c r="C1725" s="3" t="s">
        <v>399</v>
      </c>
      <c r="D1725" s="3"/>
      <c r="E1725" s="3" t="s">
        <v>399</v>
      </c>
      <c r="F1725" s="3"/>
      <c r="G1725" s="3"/>
      <c r="H1725" s="3"/>
      <c r="I1725" s="3"/>
      <c r="J1725" s="3"/>
      <c r="K1725" s="3"/>
      <c r="L1725" s="3" t="s">
        <v>564</v>
      </c>
      <c r="M1725" s="3">
        <v>50</v>
      </c>
      <c r="N1725" s="3" t="s">
        <v>105</v>
      </c>
      <c r="O1725" s="3"/>
      <c r="P1725" s="3"/>
      <c r="Q1725" s="3">
        <v>78.73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563</v>
      </c>
      <c r="C1726" s="3" t="s">
        <v>399</v>
      </c>
      <c r="D1726" s="3"/>
      <c r="E1726" s="3" t="s">
        <v>399</v>
      </c>
      <c r="F1726" s="3"/>
      <c r="G1726" s="3"/>
      <c r="H1726" s="3"/>
      <c r="I1726" s="3"/>
      <c r="J1726" s="3"/>
      <c r="K1726" s="3"/>
      <c r="L1726" s="3" t="s">
        <v>564</v>
      </c>
      <c r="M1726" s="3">
        <v>60</v>
      </c>
      <c r="N1726" s="3" t="s">
        <v>106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563</v>
      </c>
      <c r="C1727" s="3" t="s">
        <v>399</v>
      </c>
      <c r="D1727" s="3"/>
      <c r="E1727" s="3" t="s">
        <v>399</v>
      </c>
      <c r="F1727" s="3"/>
      <c r="G1727" s="3"/>
      <c r="H1727" s="3"/>
      <c r="I1727" s="3"/>
      <c r="J1727" s="3"/>
      <c r="K1727" s="3"/>
      <c r="L1727" s="3" t="s">
        <v>564</v>
      </c>
      <c r="M1727" s="3">
        <v>70</v>
      </c>
      <c r="N1727" s="3" t="s">
        <v>104</v>
      </c>
      <c r="O1727" s="3"/>
      <c r="P1727" s="3"/>
      <c r="Q1727" s="3">
        <v>9.8000000000000004E-2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563</v>
      </c>
      <c r="C1728" s="3" t="s">
        <v>399</v>
      </c>
      <c r="D1728" s="3"/>
      <c r="E1728" s="3" t="s">
        <v>399</v>
      </c>
      <c r="F1728" s="3"/>
      <c r="G1728" s="3"/>
      <c r="H1728" s="3"/>
      <c r="I1728" s="3"/>
      <c r="J1728" s="3"/>
      <c r="K1728" s="3"/>
      <c r="L1728" s="3" t="s">
        <v>564</v>
      </c>
      <c r="M1728" s="3">
        <v>80</v>
      </c>
      <c r="N1728" s="3" t="s">
        <v>111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563</v>
      </c>
      <c r="C1729" s="3" t="s">
        <v>399</v>
      </c>
      <c r="D1729" s="3"/>
      <c r="E1729" s="3" t="s">
        <v>399</v>
      </c>
      <c r="F1729" s="3"/>
      <c r="G1729" s="3"/>
      <c r="H1729" s="3"/>
      <c r="I1729" s="3"/>
      <c r="J1729" s="3"/>
      <c r="K1729" s="3"/>
      <c r="L1729" s="3" t="s">
        <v>564</v>
      </c>
      <c r="M1729" s="3">
        <v>90</v>
      </c>
      <c r="N1729" s="3" t="s">
        <v>18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563</v>
      </c>
      <c r="C1730" s="3" t="s">
        <v>399</v>
      </c>
      <c r="D1730" s="3"/>
      <c r="E1730" s="3" t="s">
        <v>399</v>
      </c>
      <c r="F1730" s="3"/>
      <c r="G1730" s="3"/>
      <c r="H1730" s="3"/>
      <c r="I1730" s="3"/>
      <c r="J1730" s="3"/>
      <c r="K1730" s="3"/>
      <c r="L1730" s="3" t="s">
        <v>564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563</v>
      </c>
      <c r="C1731" s="3" t="s">
        <v>399</v>
      </c>
      <c r="D1731" s="3"/>
      <c r="E1731" s="3" t="s">
        <v>399</v>
      </c>
      <c r="F1731" s="3"/>
      <c r="G1731" s="3"/>
      <c r="H1731" s="3"/>
      <c r="I1731" s="3"/>
      <c r="J1731" s="3"/>
      <c r="K1731" s="3"/>
      <c r="L1731" s="3" t="s">
        <v>564</v>
      </c>
      <c r="M1731" s="3">
        <v>110</v>
      </c>
      <c r="N1731" s="3" t="s">
        <v>101</v>
      </c>
      <c r="O1731" s="3"/>
      <c r="P1731" s="3"/>
      <c r="Q1731" s="3">
        <v>0.64600000000000002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563</v>
      </c>
      <c r="C1732" s="3" t="s">
        <v>399</v>
      </c>
      <c r="D1732" s="3"/>
      <c r="E1732" s="3" t="s">
        <v>399</v>
      </c>
      <c r="F1732" s="3"/>
      <c r="G1732" s="3"/>
      <c r="H1732" s="3"/>
      <c r="I1732" s="3"/>
      <c r="J1732" s="3"/>
      <c r="K1732" s="3"/>
      <c r="L1732" s="3" t="s">
        <v>564</v>
      </c>
      <c r="M1732" s="3">
        <v>120</v>
      </c>
      <c r="N1732" s="3" t="s">
        <v>400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563</v>
      </c>
      <c r="C1733" s="3" t="s">
        <v>401</v>
      </c>
      <c r="D1733" s="3"/>
      <c r="E1733" s="3" t="s">
        <v>401</v>
      </c>
      <c r="F1733" s="3"/>
      <c r="G1733" s="3"/>
      <c r="H1733" s="3"/>
      <c r="I1733" s="3"/>
      <c r="J1733" s="3"/>
      <c r="K1733" s="3"/>
      <c r="L1733" s="3" t="s">
        <v>564</v>
      </c>
      <c r="M1733" s="3">
        <v>10</v>
      </c>
      <c r="N1733" s="3" t="s">
        <v>107</v>
      </c>
      <c r="O1733" s="3"/>
      <c r="P1733" s="3"/>
      <c r="Q1733" s="3">
        <v>2.0569999999999999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563</v>
      </c>
      <c r="C1734" s="3" t="s">
        <v>401</v>
      </c>
      <c r="D1734" s="3"/>
      <c r="E1734" s="3" t="s">
        <v>401</v>
      </c>
      <c r="F1734" s="3"/>
      <c r="G1734" s="3"/>
      <c r="H1734" s="3"/>
      <c r="I1734" s="3"/>
      <c r="J1734" s="3"/>
      <c r="K1734" s="3"/>
      <c r="L1734" s="3" t="s">
        <v>564</v>
      </c>
      <c r="M1734" s="3">
        <v>20</v>
      </c>
      <c r="N1734" s="3" t="s">
        <v>565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563</v>
      </c>
      <c r="C1735" s="3" t="s">
        <v>401</v>
      </c>
      <c r="D1735" s="3"/>
      <c r="E1735" s="3" t="s">
        <v>401</v>
      </c>
      <c r="F1735" s="3"/>
      <c r="G1735" s="3"/>
      <c r="H1735" s="3"/>
      <c r="I1735" s="3"/>
      <c r="J1735" s="3"/>
      <c r="K1735" s="3"/>
      <c r="L1735" s="3" t="s">
        <v>564</v>
      </c>
      <c r="M1735" s="3">
        <v>30</v>
      </c>
      <c r="N1735" s="3" t="s">
        <v>99</v>
      </c>
      <c r="O1735" s="3"/>
      <c r="P1735" s="3"/>
      <c r="Q1735" s="3">
        <v>0.38900000000000001</v>
      </c>
      <c r="R1735" s="3" t="s">
        <v>100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563</v>
      </c>
      <c r="C1736" s="3" t="s">
        <v>401</v>
      </c>
      <c r="D1736" s="3"/>
      <c r="E1736" s="3" t="s">
        <v>401</v>
      </c>
      <c r="F1736" s="3"/>
      <c r="G1736" s="3"/>
      <c r="H1736" s="3"/>
      <c r="I1736" s="3"/>
      <c r="J1736" s="3"/>
      <c r="K1736" s="3"/>
      <c r="L1736" s="3" t="s">
        <v>564</v>
      </c>
      <c r="M1736" s="3">
        <v>40</v>
      </c>
      <c r="N1736" s="3" t="s">
        <v>108</v>
      </c>
      <c r="O1736" s="3"/>
      <c r="P1736" s="3"/>
      <c r="Q1736" s="3">
        <v>13.411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563</v>
      </c>
      <c r="C1737" s="3" t="s">
        <v>401</v>
      </c>
      <c r="D1737" s="3"/>
      <c r="E1737" s="3" t="s">
        <v>401</v>
      </c>
      <c r="F1737" s="3"/>
      <c r="G1737" s="3"/>
      <c r="H1737" s="3"/>
      <c r="I1737" s="3"/>
      <c r="J1737" s="3"/>
      <c r="K1737" s="3"/>
      <c r="L1737" s="3" t="s">
        <v>564</v>
      </c>
      <c r="M1737" s="3">
        <v>50</v>
      </c>
      <c r="N1737" s="3" t="s">
        <v>105</v>
      </c>
      <c r="O1737" s="3"/>
      <c r="P1737" s="3"/>
      <c r="Q1737" s="3">
        <v>82.478999999999999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563</v>
      </c>
      <c r="C1738" s="3" t="s">
        <v>401</v>
      </c>
      <c r="D1738" s="3"/>
      <c r="E1738" s="3" t="s">
        <v>401</v>
      </c>
      <c r="F1738" s="3"/>
      <c r="G1738" s="3"/>
      <c r="H1738" s="3"/>
      <c r="I1738" s="3"/>
      <c r="J1738" s="3"/>
      <c r="K1738" s="3"/>
      <c r="L1738" s="3" t="s">
        <v>564</v>
      </c>
      <c r="M1738" s="3">
        <v>60</v>
      </c>
      <c r="N1738" s="3" t="s">
        <v>106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563</v>
      </c>
      <c r="C1739" s="3" t="s">
        <v>401</v>
      </c>
      <c r="D1739" s="3"/>
      <c r="E1739" s="3" t="s">
        <v>401</v>
      </c>
      <c r="F1739" s="3"/>
      <c r="G1739" s="3"/>
      <c r="H1739" s="3"/>
      <c r="I1739" s="3"/>
      <c r="J1739" s="3"/>
      <c r="K1739" s="3"/>
      <c r="L1739" s="3" t="s">
        <v>564</v>
      </c>
      <c r="M1739" s="3">
        <v>70</v>
      </c>
      <c r="N1739" s="3" t="s">
        <v>104</v>
      </c>
      <c r="O1739" s="3"/>
      <c r="P1739" s="3"/>
      <c r="Q1739" s="3">
        <v>0.109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563</v>
      </c>
      <c r="C1740" s="3" t="s">
        <v>401</v>
      </c>
      <c r="D1740" s="3"/>
      <c r="E1740" s="3" t="s">
        <v>401</v>
      </c>
      <c r="F1740" s="3"/>
      <c r="G1740" s="3"/>
      <c r="H1740" s="3"/>
      <c r="I1740" s="3"/>
      <c r="J1740" s="3"/>
      <c r="K1740" s="3"/>
      <c r="L1740" s="3" t="s">
        <v>564</v>
      </c>
      <c r="M1740" s="3">
        <v>80</v>
      </c>
      <c r="N1740" s="3" t="s">
        <v>111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563</v>
      </c>
      <c r="C1741" s="3" t="s">
        <v>401</v>
      </c>
      <c r="D1741" s="3"/>
      <c r="E1741" s="3" t="s">
        <v>401</v>
      </c>
      <c r="F1741" s="3"/>
      <c r="G1741" s="3"/>
      <c r="H1741" s="3"/>
      <c r="I1741" s="3"/>
      <c r="J1741" s="3"/>
      <c r="K1741" s="3"/>
      <c r="L1741" s="3" t="s">
        <v>564</v>
      </c>
      <c r="M1741" s="3">
        <v>90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563</v>
      </c>
      <c r="C1742" s="3" t="s">
        <v>401</v>
      </c>
      <c r="D1742" s="3"/>
      <c r="E1742" s="3" t="s">
        <v>401</v>
      </c>
      <c r="F1742" s="3"/>
      <c r="G1742" s="3"/>
      <c r="H1742" s="3"/>
      <c r="I1742" s="3"/>
      <c r="J1742" s="3"/>
      <c r="K1742" s="3"/>
      <c r="L1742" s="3" t="s">
        <v>564</v>
      </c>
      <c r="M1742" s="3">
        <v>100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563</v>
      </c>
      <c r="C1743" s="3" t="s">
        <v>401</v>
      </c>
      <c r="D1743" s="3"/>
      <c r="E1743" s="3" t="s">
        <v>401</v>
      </c>
      <c r="F1743" s="3"/>
      <c r="G1743" s="3"/>
      <c r="H1743" s="3"/>
      <c r="I1743" s="3"/>
      <c r="J1743" s="3"/>
      <c r="K1743" s="3"/>
      <c r="L1743" s="3" t="s">
        <v>564</v>
      </c>
      <c r="M1743" s="3">
        <v>110</v>
      </c>
      <c r="N1743" s="3" t="s">
        <v>101</v>
      </c>
      <c r="O1743" s="3"/>
      <c r="P1743" s="3"/>
      <c r="Q1743" s="3">
        <v>0.64600000000000002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563</v>
      </c>
      <c r="C1744" s="3" t="s">
        <v>401</v>
      </c>
      <c r="D1744" s="3"/>
      <c r="E1744" s="3" t="s">
        <v>401</v>
      </c>
      <c r="F1744" s="3"/>
      <c r="G1744" s="3"/>
      <c r="H1744" s="3"/>
      <c r="I1744" s="3"/>
      <c r="J1744" s="3"/>
      <c r="K1744" s="3"/>
      <c r="L1744" s="3" t="s">
        <v>564</v>
      </c>
      <c r="M1744" s="3">
        <v>120</v>
      </c>
      <c r="N1744" s="3" t="s">
        <v>402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563</v>
      </c>
      <c r="C1745" s="3" t="s">
        <v>403</v>
      </c>
      <c r="D1745" s="3"/>
      <c r="E1745" s="3" t="s">
        <v>403</v>
      </c>
      <c r="F1745" s="3"/>
      <c r="G1745" s="3"/>
      <c r="H1745" s="3"/>
      <c r="I1745" s="3"/>
      <c r="J1745" s="3"/>
      <c r="K1745" s="3"/>
      <c r="L1745" s="3" t="s">
        <v>564</v>
      </c>
      <c r="M1745" s="3">
        <v>10</v>
      </c>
      <c r="N1745" s="3" t="s">
        <v>107</v>
      </c>
      <c r="O1745" s="3"/>
      <c r="P1745" s="3"/>
      <c r="Q1745" s="3">
        <v>2.0569999999999999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563</v>
      </c>
      <c r="C1746" s="3" t="s">
        <v>403</v>
      </c>
      <c r="D1746" s="3"/>
      <c r="E1746" s="3" t="s">
        <v>403</v>
      </c>
      <c r="F1746" s="3"/>
      <c r="G1746" s="3"/>
      <c r="H1746" s="3"/>
      <c r="I1746" s="3"/>
      <c r="J1746" s="3"/>
      <c r="K1746" s="3"/>
      <c r="L1746" s="3" t="s">
        <v>564</v>
      </c>
      <c r="M1746" s="3">
        <v>20</v>
      </c>
      <c r="N1746" s="3" t="s">
        <v>565</v>
      </c>
      <c r="O1746" s="3"/>
      <c r="P1746" s="3"/>
      <c r="Q1746" s="3">
        <v>2.0569999999999999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563</v>
      </c>
      <c r="C1747" s="3" t="s">
        <v>403</v>
      </c>
      <c r="D1747" s="3"/>
      <c r="E1747" s="3" t="s">
        <v>403</v>
      </c>
      <c r="F1747" s="3"/>
      <c r="G1747" s="3"/>
      <c r="H1747" s="3"/>
      <c r="I1747" s="3"/>
      <c r="J1747" s="3"/>
      <c r="K1747" s="3"/>
      <c r="L1747" s="3" t="s">
        <v>564</v>
      </c>
      <c r="M1747" s="3">
        <v>30</v>
      </c>
      <c r="N1747" s="3" t="s">
        <v>99</v>
      </c>
      <c r="O1747" s="3"/>
      <c r="P1747" s="3"/>
      <c r="Q1747" s="3">
        <v>0.48599999999999999</v>
      </c>
      <c r="R1747" s="3" t="s">
        <v>100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563</v>
      </c>
      <c r="C1748" s="3" t="s">
        <v>403</v>
      </c>
      <c r="D1748" s="3"/>
      <c r="E1748" s="3" t="s">
        <v>403</v>
      </c>
      <c r="F1748" s="3"/>
      <c r="G1748" s="3"/>
      <c r="H1748" s="3"/>
      <c r="I1748" s="3"/>
      <c r="J1748" s="3"/>
      <c r="K1748" s="3"/>
      <c r="L1748" s="3" t="s">
        <v>564</v>
      </c>
      <c r="M1748" s="3">
        <v>40</v>
      </c>
      <c r="N1748" s="3" t="s">
        <v>108</v>
      </c>
      <c r="O1748" s="3"/>
      <c r="P1748" s="3"/>
      <c r="Q1748" s="3">
        <v>14.63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563</v>
      </c>
      <c r="C1749" s="3" t="s">
        <v>403</v>
      </c>
      <c r="D1749" s="3"/>
      <c r="E1749" s="3" t="s">
        <v>403</v>
      </c>
      <c r="F1749" s="3"/>
      <c r="G1749" s="3"/>
      <c r="H1749" s="3"/>
      <c r="I1749" s="3"/>
      <c r="J1749" s="3"/>
      <c r="K1749" s="3"/>
      <c r="L1749" s="3" t="s">
        <v>564</v>
      </c>
      <c r="M1749" s="3">
        <v>50</v>
      </c>
      <c r="N1749" s="3" t="s">
        <v>105</v>
      </c>
      <c r="O1749" s="3"/>
      <c r="P1749" s="3"/>
      <c r="Q1749" s="3">
        <v>89.977000000000004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563</v>
      </c>
      <c r="C1750" s="3" t="s">
        <v>403</v>
      </c>
      <c r="D1750" s="3"/>
      <c r="E1750" s="3" t="s">
        <v>403</v>
      </c>
      <c r="F1750" s="3"/>
      <c r="G1750" s="3"/>
      <c r="H1750" s="3"/>
      <c r="I1750" s="3"/>
      <c r="J1750" s="3"/>
      <c r="K1750" s="3"/>
      <c r="L1750" s="3" t="s">
        <v>564</v>
      </c>
      <c r="M1750" s="3">
        <v>60</v>
      </c>
      <c r="N1750" s="3" t="s">
        <v>106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563</v>
      </c>
      <c r="C1751" s="3" t="s">
        <v>403</v>
      </c>
      <c r="D1751" s="3"/>
      <c r="E1751" s="3" t="s">
        <v>403</v>
      </c>
      <c r="F1751" s="3"/>
      <c r="G1751" s="3"/>
      <c r="H1751" s="3"/>
      <c r="I1751" s="3"/>
      <c r="J1751" s="3"/>
      <c r="K1751" s="3"/>
      <c r="L1751" s="3" t="s">
        <v>564</v>
      </c>
      <c r="M1751" s="3">
        <v>70</v>
      </c>
      <c r="N1751" s="3" t="s">
        <v>104</v>
      </c>
      <c r="O1751" s="3"/>
      <c r="P1751" s="3"/>
      <c r="Q1751" s="3">
        <v>0.13200000000000001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563</v>
      </c>
      <c r="C1752" s="3" t="s">
        <v>403</v>
      </c>
      <c r="D1752" s="3"/>
      <c r="E1752" s="3" t="s">
        <v>403</v>
      </c>
      <c r="F1752" s="3"/>
      <c r="G1752" s="3"/>
      <c r="H1752" s="3"/>
      <c r="I1752" s="3"/>
      <c r="J1752" s="3"/>
      <c r="K1752" s="3"/>
      <c r="L1752" s="3" t="s">
        <v>564</v>
      </c>
      <c r="M1752" s="3">
        <v>80</v>
      </c>
      <c r="N1752" s="3" t="s">
        <v>111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563</v>
      </c>
      <c r="C1753" s="3" t="s">
        <v>403</v>
      </c>
      <c r="D1753" s="3"/>
      <c r="E1753" s="3" t="s">
        <v>403</v>
      </c>
      <c r="F1753" s="3"/>
      <c r="G1753" s="3"/>
      <c r="H1753" s="3"/>
      <c r="I1753" s="3"/>
      <c r="J1753" s="3"/>
      <c r="K1753" s="3"/>
      <c r="L1753" s="3" t="s">
        <v>564</v>
      </c>
      <c r="M1753" s="3">
        <v>90</v>
      </c>
      <c r="N1753" s="3" t="s">
        <v>18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563</v>
      </c>
      <c r="C1754" s="3" t="s">
        <v>403</v>
      </c>
      <c r="D1754" s="3"/>
      <c r="E1754" s="3" t="s">
        <v>403</v>
      </c>
      <c r="F1754" s="3"/>
      <c r="G1754" s="3"/>
      <c r="H1754" s="3"/>
      <c r="I1754" s="3"/>
      <c r="J1754" s="3"/>
      <c r="K1754" s="3"/>
      <c r="L1754" s="3" t="s">
        <v>564</v>
      </c>
      <c r="M1754" s="3">
        <v>100</v>
      </c>
      <c r="N1754" s="3" t="s">
        <v>19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563</v>
      </c>
      <c r="C1755" s="3" t="s">
        <v>403</v>
      </c>
      <c r="D1755" s="3"/>
      <c r="E1755" s="3" t="s">
        <v>403</v>
      </c>
      <c r="F1755" s="3"/>
      <c r="G1755" s="3"/>
      <c r="H1755" s="3"/>
      <c r="I1755" s="3"/>
      <c r="J1755" s="3"/>
      <c r="K1755" s="3"/>
      <c r="L1755" s="3" t="s">
        <v>564</v>
      </c>
      <c r="M1755" s="3">
        <v>110</v>
      </c>
      <c r="N1755" s="3" t="s">
        <v>101</v>
      </c>
      <c r="O1755" s="3"/>
      <c r="P1755" s="3"/>
      <c r="Q1755" s="3">
        <v>0.64600000000000002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563</v>
      </c>
      <c r="C1756" s="3" t="s">
        <v>403</v>
      </c>
      <c r="D1756" s="3"/>
      <c r="E1756" s="3" t="s">
        <v>403</v>
      </c>
      <c r="F1756" s="3"/>
      <c r="G1756" s="3"/>
      <c r="H1756" s="3"/>
      <c r="I1756" s="3"/>
      <c r="J1756" s="3"/>
      <c r="K1756" s="3"/>
      <c r="L1756" s="3" t="s">
        <v>564</v>
      </c>
      <c r="M1756" s="3">
        <v>120</v>
      </c>
      <c r="N1756" s="3" t="s">
        <v>404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563</v>
      </c>
      <c r="C1757" s="3" t="s">
        <v>405</v>
      </c>
      <c r="D1757" s="3"/>
      <c r="E1757" s="3" t="s">
        <v>405</v>
      </c>
      <c r="F1757" s="3"/>
      <c r="G1757" s="3"/>
      <c r="H1757" s="3"/>
      <c r="I1757" s="3"/>
      <c r="J1757" s="3"/>
      <c r="K1757" s="3"/>
      <c r="L1757" s="3" t="s">
        <v>564</v>
      </c>
      <c r="M1757" s="3">
        <v>10</v>
      </c>
      <c r="N1757" s="3" t="s">
        <v>107</v>
      </c>
      <c r="O1757" s="3"/>
      <c r="P1757" s="3"/>
      <c r="Q1757" s="3">
        <v>2.0569999999999999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563</v>
      </c>
      <c r="C1758" s="3" t="s">
        <v>405</v>
      </c>
      <c r="D1758" s="3"/>
      <c r="E1758" s="3" t="s">
        <v>405</v>
      </c>
      <c r="F1758" s="3"/>
      <c r="G1758" s="3"/>
      <c r="H1758" s="3"/>
      <c r="I1758" s="3"/>
      <c r="J1758" s="3"/>
      <c r="K1758" s="3"/>
      <c r="L1758" s="3" t="s">
        <v>564</v>
      </c>
      <c r="M1758" s="3">
        <v>20</v>
      </c>
      <c r="N1758" s="3" t="s">
        <v>565</v>
      </c>
      <c r="O1758" s="3"/>
      <c r="P1758" s="3"/>
      <c r="Q1758" s="3">
        <v>2.0569999999999999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563</v>
      </c>
      <c r="C1759" s="3" t="s">
        <v>405</v>
      </c>
      <c r="D1759" s="3"/>
      <c r="E1759" s="3" t="s">
        <v>405</v>
      </c>
      <c r="F1759" s="3"/>
      <c r="G1759" s="3"/>
      <c r="H1759" s="3"/>
      <c r="I1759" s="3"/>
      <c r="J1759" s="3"/>
      <c r="K1759" s="3"/>
      <c r="L1759" s="3" t="s">
        <v>564</v>
      </c>
      <c r="M1759" s="3">
        <v>30</v>
      </c>
      <c r="N1759" s="3" t="s">
        <v>99</v>
      </c>
      <c r="O1759" s="3"/>
      <c r="P1759" s="3"/>
      <c r="Q1759" s="3">
        <v>0.53500000000000003</v>
      </c>
      <c r="R1759" s="3" t="s">
        <v>100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563</v>
      </c>
      <c r="C1760" s="3" t="s">
        <v>405</v>
      </c>
      <c r="D1760" s="3"/>
      <c r="E1760" s="3" t="s">
        <v>405</v>
      </c>
      <c r="F1760" s="3"/>
      <c r="G1760" s="3"/>
      <c r="H1760" s="3"/>
      <c r="I1760" s="3"/>
      <c r="J1760" s="3"/>
      <c r="K1760" s="3"/>
      <c r="L1760" s="3" t="s">
        <v>564</v>
      </c>
      <c r="M1760" s="3">
        <v>40</v>
      </c>
      <c r="N1760" s="3" t="s">
        <v>108</v>
      </c>
      <c r="O1760" s="3"/>
      <c r="P1760" s="3"/>
      <c r="Q1760" s="3">
        <v>15.24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563</v>
      </c>
      <c r="C1761" s="3" t="s">
        <v>405</v>
      </c>
      <c r="D1761" s="3"/>
      <c r="E1761" s="3" t="s">
        <v>405</v>
      </c>
      <c r="F1761" s="3"/>
      <c r="G1761" s="3"/>
      <c r="H1761" s="3"/>
      <c r="I1761" s="3"/>
      <c r="J1761" s="3"/>
      <c r="K1761" s="3"/>
      <c r="L1761" s="3" t="s">
        <v>564</v>
      </c>
      <c r="M1761" s="3">
        <v>50</v>
      </c>
      <c r="N1761" s="3" t="s">
        <v>105</v>
      </c>
      <c r="O1761" s="3"/>
      <c r="P1761" s="3"/>
      <c r="Q1761" s="3">
        <v>93.725999999999999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563</v>
      </c>
      <c r="C1762" s="3" t="s">
        <v>405</v>
      </c>
      <c r="D1762" s="3"/>
      <c r="E1762" s="3" t="s">
        <v>405</v>
      </c>
      <c r="F1762" s="3"/>
      <c r="G1762" s="3"/>
      <c r="H1762" s="3"/>
      <c r="I1762" s="3"/>
      <c r="J1762" s="3"/>
      <c r="K1762" s="3"/>
      <c r="L1762" s="3" t="s">
        <v>564</v>
      </c>
      <c r="M1762" s="3">
        <v>60</v>
      </c>
      <c r="N1762" s="3" t="s">
        <v>106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563</v>
      </c>
      <c r="C1763" s="3" t="s">
        <v>405</v>
      </c>
      <c r="D1763" s="3"/>
      <c r="E1763" s="3" t="s">
        <v>405</v>
      </c>
      <c r="F1763" s="3"/>
      <c r="G1763" s="3"/>
      <c r="H1763" s="3"/>
      <c r="I1763" s="3"/>
      <c r="J1763" s="3"/>
      <c r="K1763" s="3"/>
      <c r="L1763" s="3" t="s">
        <v>564</v>
      </c>
      <c r="M1763" s="3">
        <v>70</v>
      </c>
      <c r="N1763" s="3" t="s">
        <v>104</v>
      </c>
      <c r="O1763" s="3"/>
      <c r="P1763" s="3"/>
      <c r="Q1763" s="3">
        <v>0.14299999999999999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563</v>
      </c>
      <c r="C1764" s="3" t="s">
        <v>405</v>
      </c>
      <c r="D1764" s="3"/>
      <c r="E1764" s="3" t="s">
        <v>405</v>
      </c>
      <c r="F1764" s="3"/>
      <c r="G1764" s="3"/>
      <c r="H1764" s="3"/>
      <c r="I1764" s="3"/>
      <c r="J1764" s="3"/>
      <c r="K1764" s="3"/>
      <c r="L1764" s="3" t="s">
        <v>564</v>
      </c>
      <c r="M1764" s="3">
        <v>80</v>
      </c>
      <c r="N1764" s="3" t="s">
        <v>111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563</v>
      </c>
      <c r="C1765" s="3" t="s">
        <v>405</v>
      </c>
      <c r="D1765" s="3"/>
      <c r="E1765" s="3" t="s">
        <v>405</v>
      </c>
      <c r="F1765" s="3"/>
      <c r="G1765" s="3"/>
      <c r="H1765" s="3"/>
      <c r="I1765" s="3"/>
      <c r="J1765" s="3"/>
      <c r="K1765" s="3"/>
      <c r="L1765" s="3" t="s">
        <v>564</v>
      </c>
      <c r="M1765" s="3">
        <v>90</v>
      </c>
      <c r="N1765" s="3" t="s">
        <v>18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563</v>
      </c>
      <c r="C1766" s="3" t="s">
        <v>405</v>
      </c>
      <c r="D1766" s="3"/>
      <c r="E1766" s="3" t="s">
        <v>405</v>
      </c>
      <c r="F1766" s="3"/>
      <c r="G1766" s="3"/>
      <c r="H1766" s="3"/>
      <c r="I1766" s="3"/>
      <c r="J1766" s="3"/>
      <c r="K1766" s="3"/>
      <c r="L1766" s="3" t="s">
        <v>564</v>
      </c>
      <c r="M1766" s="3">
        <v>100</v>
      </c>
      <c r="N1766" s="3" t="s">
        <v>19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563</v>
      </c>
      <c r="C1767" s="3" t="s">
        <v>405</v>
      </c>
      <c r="D1767" s="3"/>
      <c r="E1767" s="3" t="s">
        <v>405</v>
      </c>
      <c r="F1767" s="3"/>
      <c r="G1767" s="3"/>
      <c r="H1767" s="3"/>
      <c r="I1767" s="3"/>
      <c r="J1767" s="3"/>
      <c r="K1767" s="3"/>
      <c r="L1767" s="3" t="s">
        <v>564</v>
      </c>
      <c r="M1767" s="3">
        <v>110</v>
      </c>
      <c r="N1767" s="3" t="s">
        <v>101</v>
      </c>
      <c r="O1767" s="3"/>
      <c r="P1767" s="3"/>
      <c r="Q1767" s="3">
        <v>0.64600000000000002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563</v>
      </c>
      <c r="C1768" s="3" t="s">
        <v>405</v>
      </c>
      <c r="D1768" s="3"/>
      <c r="E1768" s="3" t="s">
        <v>405</v>
      </c>
      <c r="F1768" s="3"/>
      <c r="G1768" s="3"/>
      <c r="H1768" s="3"/>
      <c r="I1768" s="3"/>
      <c r="J1768" s="3"/>
      <c r="K1768" s="3"/>
      <c r="L1768" s="3" t="s">
        <v>564</v>
      </c>
      <c r="M1768" s="3">
        <v>120</v>
      </c>
      <c r="N1768" s="3" t="s">
        <v>406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563</v>
      </c>
      <c r="C1769" s="3" t="s">
        <v>407</v>
      </c>
      <c r="D1769" s="3"/>
      <c r="E1769" s="3" t="s">
        <v>407</v>
      </c>
      <c r="F1769" s="3"/>
      <c r="G1769" s="3"/>
      <c r="H1769" s="3"/>
      <c r="I1769" s="3"/>
      <c r="J1769" s="3"/>
      <c r="K1769" s="3"/>
      <c r="L1769" s="3" t="s">
        <v>564</v>
      </c>
      <c r="M1769" s="3">
        <v>10</v>
      </c>
      <c r="N1769" s="3" t="s">
        <v>107</v>
      </c>
      <c r="O1769" s="3"/>
      <c r="P1769" s="3"/>
      <c r="Q1769" s="3">
        <v>2.0569999999999999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563</v>
      </c>
      <c r="C1770" s="3" t="s">
        <v>407</v>
      </c>
      <c r="D1770" s="3"/>
      <c r="E1770" s="3" t="s">
        <v>407</v>
      </c>
      <c r="F1770" s="3"/>
      <c r="G1770" s="3"/>
      <c r="H1770" s="3"/>
      <c r="I1770" s="3"/>
      <c r="J1770" s="3"/>
      <c r="K1770" s="3"/>
      <c r="L1770" s="3" t="s">
        <v>564</v>
      </c>
      <c r="M1770" s="3">
        <v>20</v>
      </c>
      <c r="N1770" s="3" t="s">
        <v>565</v>
      </c>
      <c r="O1770" s="3"/>
      <c r="P1770" s="3"/>
      <c r="Q1770" s="3">
        <v>2.0569999999999999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563</v>
      </c>
      <c r="C1771" s="3" t="s">
        <v>407</v>
      </c>
      <c r="D1771" s="3"/>
      <c r="E1771" s="3" t="s">
        <v>407</v>
      </c>
      <c r="F1771" s="3"/>
      <c r="G1771" s="3"/>
      <c r="H1771" s="3"/>
      <c r="I1771" s="3"/>
      <c r="J1771" s="3"/>
      <c r="K1771" s="3"/>
      <c r="L1771" s="3" t="s">
        <v>564</v>
      </c>
      <c r="M1771" s="3">
        <v>30</v>
      </c>
      <c r="N1771" s="3" t="s">
        <v>99</v>
      </c>
      <c r="O1771" s="3"/>
      <c r="P1771" s="3"/>
      <c r="Q1771" s="3">
        <v>0.58299999999999996</v>
      </c>
      <c r="R1771" s="3" t="s">
        <v>100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563</v>
      </c>
      <c r="C1772" s="3" t="s">
        <v>407</v>
      </c>
      <c r="D1772" s="3"/>
      <c r="E1772" s="3" t="s">
        <v>407</v>
      </c>
      <c r="F1772" s="3"/>
      <c r="G1772" s="3"/>
      <c r="H1772" s="3"/>
      <c r="I1772" s="3"/>
      <c r="J1772" s="3"/>
      <c r="K1772" s="3"/>
      <c r="L1772" s="3" t="s">
        <v>564</v>
      </c>
      <c r="M1772" s="3">
        <v>40</v>
      </c>
      <c r="N1772" s="3" t="s">
        <v>108</v>
      </c>
      <c r="O1772" s="3"/>
      <c r="P1772" s="3"/>
      <c r="Q1772" s="3">
        <v>15.85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563</v>
      </c>
      <c r="C1773" s="3" t="s">
        <v>407</v>
      </c>
      <c r="D1773" s="3"/>
      <c r="E1773" s="3" t="s">
        <v>407</v>
      </c>
      <c r="F1773" s="3"/>
      <c r="G1773" s="3"/>
      <c r="H1773" s="3"/>
      <c r="I1773" s="3"/>
      <c r="J1773" s="3"/>
      <c r="K1773" s="3"/>
      <c r="L1773" s="3" t="s">
        <v>564</v>
      </c>
      <c r="M1773" s="3">
        <v>50</v>
      </c>
      <c r="N1773" s="3" t="s">
        <v>105</v>
      </c>
      <c r="O1773" s="3"/>
      <c r="P1773" s="3"/>
      <c r="Q1773" s="3">
        <v>97.474999999999994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563</v>
      </c>
      <c r="C1774" s="3" t="s">
        <v>407</v>
      </c>
      <c r="D1774" s="3"/>
      <c r="E1774" s="3" t="s">
        <v>407</v>
      </c>
      <c r="F1774" s="3"/>
      <c r="G1774" s="3"/>
      <c r="H1774" s="3"/>
      <c r="I1774" s="3"/>
      <c r="J1774" s="3"/>
      <c r="K1774" s="3"/>
      <c r="L1774" s="3" t="s">
        <v>564</v>
      </c>
      <c r="M1774" s="3">
        <v>60</v>
      </c>
      <c r="N1774" s="3" t="s">
        <v>106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563</v>
      </c>
      <c r="C1775" s="3" t="s">
        <v>407</v>
      </c>
      <c r="D1775" s="3"/>
      <c r="E1775" s="3" t="s">
        <v>407</v>
      </c>
      <c r="F1775" s="3"/>
      <c r="G1775" s="3"/>
      <c r="H1775" s="3"/>
      <c r="I1775" s="3"/>
      <c r="J1775" s="3"/>
      <c r="K1775" s="3"/>
      <c r="L1775" s="3" t="s">
        <v>564</v>
      </c>
      <c r="M1775" s="3">
        <v>70</v>
      </c>
      <c r="N1775" s="3" t="s">
        <v>104</v>
      </c>
      <c r="O1775" s="3"/>
      <c r="P1775" s="3"/>
      <c r="Q1775" s="3">
        <v>0.154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563</v>
      </c>
      <c r="C1776" s="3" t="s">
        <v>407</v>
      </c>
      <c r="D1776" s="3"/>
      <c r="E1776" s="3" t="s">
        <v>407</v>
      </c>
      <c r="F1776" s="3"/>
      <c r="G1776" s="3"/>
      <c r="H1776" s="3"/>
      <c r="I1776" s="3"/>
      <c r="J1776" s="3"/>
      <c r="K1776" s="3"/>
      <c r="L1776" s="3" t="s">
        <v>564</v>
      </c>
      <c r="M1776" s="3">
        <v>80</v>
      </c>
      <c r="N1776" s="3" t="s">
        <v>111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563</v>
      </c>
      <c r="C1777" s="3" t="s">
        <v>407</v>
      </c>
      <c r="D1777" s="3"/>
      <c r="E1777" s="3" t="s">
        <v>407</v>
      </c>
      <c r="F1777" s="3"/>
      <c r="G1777" s="3"/>
      <c r="H1777" s="3"/>
      <c r="I1777" s="3"/>
      <c r="J1777" s="3"/>
      <c r="K1777" s="3"/>
      <c r="L1777" s="3" t="s">
        <v>564</v>
      </c>
      <c r="M1777" s="3">
        <v>90</v>
      </c>
      <c r="N1777" s="3" t="s">
        <v>18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563</v>
      </c>
      <c r="C1778" s="3" t="s">
        <v>407</v>
      </c>
      <c r="D1778" s="3"/>
      <c r="E1778" s="3" t="s">
        <v>407</v>
      </c>
      <c r="F1778" s="3"/>
      <c r="G1778" s="3"/>
      <c r="H1778" s="3"/>
      <c r="I1778" s="3"/>
      <c r="J1778" s="3"/>
      <c r="K1778" s="3"/>
      <c r="L1778" s="3" t="s">
        <v>564</v>
      </c>
      <c r="M1778" s="3">
        <v>100</v>
      </c>
      <c r="N1778" s="3" t="s">
        <v>19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563</v>
      </c>
      <c r="C1779" s="3" t="s">
        <v>407</v>
      </c>
      <c r="D1779" s="3"/>
      <c r="E1779" s="3" t="s">
        <v>407</v>
      </c>
      <c r="F1779" s="3"/>
      <c r="G1779" s="3"/>
      <c r="H1779" s="3"/>
      <c r="I1779" s="3"/>
      <c r="J1779" s="3"/>
      <c r="K1779" s="3"/>
      <c r="L1779" s="3" t="s">
        <v>564</v>
      </c>
      <c r="M1779" s="3">
        <v>110</v>
      </c>
      <c r="N1779" s="3" t="s">
        <v>101</v>
      </c>
      <c r="O1779" s="3"/>
      <c r="P1779" s="3"/>
      <c r="Q1779" s="3">
        <v>0.64600000000000002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563</v>
      </c>
      <c r="C1780" s="3" t="s">
        <v>407</v>
      </c>
      <c r="D1780" s="3"/>
      <c r="E1780" s="3" t="s">
        <v>407</v>
      </c>
      <c r="F1780" s="3"/>
      <c r="G1780" s="3"/>
      <c r="H1780" s="3"/>
      <c r="I1780" s="3"/>
      <c r="J1780" s="3"/>
      <c r="K1780" s="3"/>
      <c r="L1780" s="3" t="s">
        <v>564</v>
      </c>
      <c r="M1780" s="3">
        <v>120</v>
      </c>
      <c r="N1780" s="3" t="s">
        <v>408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563</v>
      </c>
      <c r="C1781" s="3" t="s">
        <v>409</v>
      </c>
      <c r="D1781" s="3"/>
      <c r="E1781" s="3" t="s">
        <v>409</v>
      </c>
      <c r="F1781" s="3"/>
      <c r="G1781" s="3"/>
      <c r="H1781" s="3"/>
      <c r="I1781" s="3"/>
      <c r="J1781" s="3"/>
      <c r="K1781" s="3"/>
      <c r="L1781" s="3" t="s">
        <v>564</v>
      </c>
      <c r="M1781" s="3">
        <v>10</v>
      </c>
      <c r="N1781" s="3" t="s">
        <v>107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563</v>
      </c>
      <c r="C1782" s="3" t="s">
        <v>409</v>
      </c>
      <c r="D1782" s="3"/>
      <c r="E1782" s="3" t="s">
        <v>409</v>
      </c>
      <c r="F1782" s="3"/>
      <c r="G1782" s="3"/>
      <c r="H1782" s="3"/>
      <c r="I1782" s="3"/>
      <c r="J1782" s="3"/>
      <c r="K1782" s="3"/>
      <c r="L1782" s="3" t="s">
        <v>564</v>
      </c>
      <c r="M1782" s="3">
        <v>20</v>
      </c>
      <c r="N1782" s="3" t="s">
        <v>565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563</v>
      </c>
      <c r="C1783" s="3" t="s">
        <v>409</v>
      </c>
      <c r="D1783" s="3"/>
      <c r="E1783" s="3" t="s">
        <v>409</v>
      </c>
      <c r="F1783" s="3"/>
      <c r="G1783" s="3"/>
      <c r="H1783" s="3"/>
      <c r="I1783" s="3"/>
      <c r="J1783" s="3"/>
      <c r="K1783" s="3"/>
      <c r="L1783" s="3" t="s">
        <v>564</v>
      </c>
      <c r="M1783" s="3">
        <v>30</v>
      </c>
      <c r="N1783" s="3" t="s">
        <v>99</v>
      </c>
      <c r="O1783" s="3"/>
      <c r="P1783" s="3"/>
      <c r="Q1783" s="3">
        <v>0.255</v>
      </c>
      <c r="R1783" s="3" t="s">
        <v>100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563</v>
      </c>
      <c r="C1784" s="3" t="s">
        <v>409</v>
      </c>
      <c r="D1784" s="3"/>
      <c r="E1784" s="3" t="s">
        <v>409</v>
      </c>
      <c r="F1784" s="3"/>
      <c r="G1784" s="3"/>
      <c r="H1784" s="3"/>
      <c r="I1784" s="3"/>
      <c r="J1784" s="3"/>
      <c r="K1784" s="3"/>
      <c r="L1784" s="3" t="s">
        <v>564</v>
      </c>
      <c r="M1784" s="3">
        <v>40</v>
      </c>
      <c r="N1784" s="3" t="s">
        <v>108</v>
      </c>
      <c r="O1784" s="3"/>
      <c r="P1784" s="3"/>
      <c r="Q1784" s="3">
        <v>11.989000000000001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563</v>
      </c>
      <c r="C1785" s="3" t="s">
        <v>409</v>
      </c>
      <c r="D1785" s="3"/>
      <c r="E1785" s="3" t="s">
        <v>409</v>
      </c>
      <c r="F1785" s="3"/>
      <c r="G1785" s="3"/>
      <c r="H1785" s="3"/>
      <c r="I1785" s="3"/>
      <c r="J1785" s="3"/>
      <c r="K1785" s="3"/>
      <c r="L1785" s="3" t="s">
        <v>564</v>
      </c>
      <c r="M1785" s="3">
        <v>50</v>
      </c>
      <c r="N1785" s="3" t="s">
        <v>105</v>
      </c>
      <c r="O1785" s="3"/>
      <c r="P1785" s="3"/>
      <c r="Q1785" s="3">
        <v>73.730999999999995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563</v>
      </c>
      <c r="C1786" s="3" t="s">
        <v>409</v>
      </c>
      <c r="D1786" s="3"/>
      <c r="E1786" s="3" t="s">
        <v>409</v>
      </c>
      <c r="F1786" s="3"/>
      <c r="G1786" s="3"/>
      <c r="H1786" s="3"/>
      <c r="I1786" s="3"/>
      <c r="J1786" s="3"/>
      <c r="K1786" s="3"/>
      <c r="L1786" s="3" t="s">
        <v>564</v>
      </c>
      <c r="M1786" s="3">
        <v>60</v>
      </c>
      <c r="N1786" s="3" t="s">
        <v>106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563</v>
      </c>
      <c r="C1787" s="3" t="s">
        <v>409</v>
      </c>
      <c r="D1787" s="3"/>
      <c r="E1787" s="3" t="s">
        <v>409</v>
      </c>
      <c r="F1787" s="3"/>
      <c r="G1787" s="3"/>
      <c r="H1787" s="3"/>
      <c r="I1787" s="3"/>
      <c r="J1787" s="3"/>
      <c r="K1787" s="3"/>
      <c r="L1787" s="3" t="s">
        <v>564</v>
      </c>
      <c r="M1787" s="3">
        <v>70</v>
      </c>
      <c r="N1787" s="3" t="s">
        <v>104</v>
      </c>
      <c r="O1787" s="3"/>
      <c r="P1787" s="3"/>
      <c r="Q1787" s="3">
        <v>7.4999999999999997E-2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563</v>
      </c>
      <c r="C1788" s="3" t="s">
        <v>409</v>
      </c>
      <c r="D1788" s="3"/>
      <c r="E1788" s="3" t="s">
        <v>409</v>
      </c>
      <c r="F1788" s="3"/>
      <c r="G1788" s="3"/>
      <c r="H1788" s="3"/>
      <c r="I1788" s="3"/>
      <c r="J1788" s="3"/>
      <c r="K1788" s="3"/>
      <c r="L1788" s="3" t="s">
        <v>564</v>
      </c>
      <c r="M1788" s="3">
        <v>80</v>
      </c>
      <c r="N1788" s="3" t="s">
        <v>111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563</v>
      </c>
      <c r="C1789" s="3" t="s">
        <v>409</v>
      </c>
      <c r="D1789" s="3"/>
      <c r="E1789" s="3" t="s">
        <v>409</v>
      </c>
      <c r="F1789" s="3"/>
      <c r="G1789" s="3"/>
      <c r="H1789" s="3"/>
      <c r="I1789" s="3"/>
      <c r="J1789" s="3"/>
      <c r="K1789" s="3"/>
      <c r="L1789" s="3" t="s">
        <v>564</v>
      </c>
      <c r="M1789" s="3">
        <v>90</v>
      </c>
      <c r="N1789" s="3" t="s">
        <v>18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563</v>
      </c>
      <c r="C1790" s="3" t="s">
        <v>409</v>
      </c>
      <c r="D1790" s="3"/>
      <c r="E1790" s="3" t="s">
        <v>409</v>
      </c>
      <c r="F1790" s="3"/>
      <c r="G1790" s="3"/>
      <c r="H1790" s="3"/>
      <c r="I1790" s="3"/>
      <c r="J1790" s="3"/>
      <c r="K1790" s="3"/>
      <c r="L1790" s="3" t="s">
        <v>564</v>
      </c>
      <c r="M1790" s="3">
        <v>100</v>
      </c>
      <c r="N1790" s="3" t="s">
        <v>19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563</v>
      </c>
      <c r="C1791" s="3" t="s">
        <v>409</v>
      </c>
      <c r="D1791" s="3"/>
      <c r="E1791" s="3" t="s">
        <v>409</v>
      </c>
      <c r="F1791" s="3"/>
      <c r="G1791" s="3"/>
      <c r="H1791" s="3"/>
      <c r="I1791" s="3"/>
      <c r="J1791" s="3"/>
      <c r="K1791" s="3"/>
      <c r="L1791" s="3" t="s">
        <v>564</v>
      </c>
      <c r="M1791" s="3">
        <v>110</v>
      </c>
      <c r="N1791" s="3" t="s">
        <v>101</v>
      </c>
      <c r="O1791" s="3"/>
      <c r="P1791" s="3"/>
      <c r="Q1791" s="3">
        <v>0.67600000000000005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563</v>
      </c>
      <c r="C1792" s="3" t="s">
        <v>409</v>
      </c>
      <c r="D1792" s="3"/>
      <c r="E1792" s="3" t="s">
        <v>409</v>
      </c>
      <c r="F1792" s="3"/>
      <c r="G1792" s="3"/>
      <c r="H1792" s="3"/>
      <c r="I1792" s="3"/>
      <c r="J1792" s="3"/>
      <c r="K1792" s="3"/>
      <c r="L1792" s="3" t="s">
        <v>564</v>
      </c>
      <c r="M1792" s="3">
        <v>120</v>
      </c>
      <c r="N1792" s="3" t="s">
        <v>410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563</v>
      </c>
      <c r="C1793" s="3" t="s">
        <v>411</v>
      </c>
      <c r="D1793" s="3"/>
      <c r="E1793" s="3" t="s">
        <v>411</v>
      </c>
      <c r="F1793" s="3"/>
      <c r="G1793" s="3"/>
      <c r="H1793" s="3"/>
      <c r="I1793" s="3"/>
      <c r="J1793" s="3"/>
      <c r="K1793" s="3"/>
      <c r="L1793" s="3" t="s">
        <v>564</v>
      </c>
      <c r="M1793" s="3">
        <v>10</v>
      </c>
      <c r="N1793" s="3" t="s">
        <v>107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563</v>
      </c>
      <c r="C1794" s="3" t="s">
        <v>411</v>
      </c>
      <c r="D1794" s="3"/>
      <c r="E1794" s="3" t="s">
        <v>411</v>
      </c>
      <c r="F1794" s="3"/>
      <c r="G1794" s="3"/>
      <c r="H1794" s="3"/>
      <c r="I1794" s="3"/>
      <c r="J1794" s="3"/>
      <c r="K1794" s="3"/>
      <c r="L1794" s="3" t="s">
        <v>564</v>
      </c>
      <c r="M1794" s="3">
        <v>20</v>
      </c>
      <c r="N1794" s="3" t="s">
        <v>565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563</v>
      </c>
      <c r="C1795" s="3" t="s">
        <v>411</v>
      </c>
      <c r="D1795" s="3"/>
      <c r="E1795" s="3" t="s">
        <v>411</v>
      </c>
      <c r="F1795" s="3"/>
      <c r="G1795" s="3"/>
      <c r="H1795" s="3"/>
      <c r="I1795" s="3"/>
      <c r="J1795" s="3"/>
      <c r="K1795" s="3"/>
      <c r="L1795" s="3" t="s">
        <v>564</v>
      </c>
      <c r="M1795" s="3">
        <v>30</v>
      </c>
      <c r="N1795" s="3" t="s">
        <v>99</v>
      </c>
      <c r="O1795" s="3"/>
      <c r="P1795" s="3"/>
      <c r="Q1795" s="3">
        <v>0.30599999999999999</v>
      </c>
      <c r="R1795" s="3" t="s">
        <v>100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563</v>
      </c>
      <c r="C1796" s="3" t="s">
        <v>411</v>
      </c>
      <c r="D1796" s="3"/>
      <c r="E1796" s="3" t="s">
        <v>411</v>
      </c>
      <c r="F1796" s="3"/>
      <c r="G1796" s="3"/>
      <c r="H1796" s="3"/>
      <c r="I1796" s="3"/>
      <c r="J1796" s="3"/>
      <c r="K1796" s="3"/>
      <c r="L1796" s="3" t="s">
        <v>564</v>
      </c>
      <c r="M1796" s="3">
        <v>40</v>
      </c>
      <c r="N1796" s="3" t="s">
        <v>108</v>
      </c>
      <c r="O1796" s="3"/>
      <c r="P1796" s="3"/>
      <c r="Q1796" s="3">
        <v>12.598000000000001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563</v>
      </c>
      <c r="C1797" s="3" t="s">
        <v>411</v>
      </c>
      <c r="D1797" s="3"/>
      <c r="E1797" s="3" t="s">
        <v>411</v>
      </c>
      <c r="F1797" s="3"/>
      <c r="G1797" s="3"/>
      <c r="H1797" s="3"/>
      <c r="I1797" s="3"/>
      <c r="J1797" s="3"/>
      <c r="K1797" s="3"/>
      <c r="L1797" s="3" t="s">
        <v>564</v>
      </c>
      <c r="M1797" s="3">
        <v>50</v>
      </c>
      <c r="N1797" s="3" t="s">
        <v>105</v>
      </c>
      <c r="O1797" s="3"/>
      <c r="P1797" s="3"/>
      <c r="Q1797" s="3">
        <v>77.48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563</v>
      </c>
      <c r="C1798" s="3" t="s">
        <v>411</v>
      </c>
      <c r="D1798" s="3"/>
      <c r="E1798" s="3" t="s">
        <v>411</v>
      </c>
      <c r="F1798" s="3"/>
      <c r="G1798" s="3"/>
      <c r="H1798" s="3"/>
      <c r="I1798" s="3"/>
      <c r="J1798" s="3"/>
      <c r="K1798" s="3"/>
      <c r="L1798" s="3" t="s">
        <v>564</v>
      </c>
      <c r="M1798" s="3">
        <v>60</v>
      </c>
      <c r="N1798" s="3" t="s">
        <v>106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563</v>
      </c>
      <c r="C1799" s="3" t="s">
        <v>411</v>
      </c>
      <c r="D1799" s="3"/>
      <c r="E1799" s="3" t="s">
        <v>411</v>
      </c>
      <c r="F1799" s="3"/>
      <c r="G1799" s="3"/>
      <c r="H1799" s="3"/>
      <c r="I1799" s="3"/>
      <c r="J1799" s="3"/>
      <c r="K1799" s="3"/>
      <c r="L1799" s="3" t="s">
        <v>564</v>
      </c>
      <c r="M1799" s="3">
        <v>70</v>
      </c>
      <c r="N1799" s="3" t="s">
        <v>104</v>
      </c>
      <c r="O1799" s="3"/>
      <c r="P1799" s="3"/>
      <c r="Q1799" s="3">
        <v>8.5999999999999993E-2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563</v>
      </c>
      <c r="C1800" s="3" t="s">
        <v>411</v>
      </c>
      <c r="D1800" s="3"/>
      <c r="E1800" s="3" t="s">
        <v>411</v>
      </c>
      <c r="F1800" s="3"/>
      <c r="G1800" s="3"/>
      <c r="H1800" s="3"/>
      <c r="I1800" s="3"/>
      <c r="J1800" s="3"/>
      <c r="K1800" s="3"/>
      <c r="L1800" s="3" t="s">
        <v>564</v>
      </c>
      <c r="M1800" s="3">
        <v>80</v>
      </c>
      <c r="N1800" s="3" t="s">
        <v>111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563</v>
      </c>
      <c r="C1801" s="3" t="s">
        <v>411</v>
      </c>
      <c r="D1801" s="3"/>
      <c r="E1801" s="3" t="s">
        <v>411</v>
      </c>
      <c r="F1801" s="3"/>
      <c r="G1801" s="3"/>
      <c r="H1801" s="3"/>
      <c r="I1801" s="3"/>
      <c r="J1801" s="3"/>
      <c r="K1801" s="3"/>
      <c r="L1801" s="3" t="s">
        <v>564</v>
      </c>
      <c r="M1801" s="3">
        <v>90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563</v>
      </c>
      <c r="C1802" s="3" t="s">
        <v>411</v>
      </c>
      <c r="D1802" s="3"/>
      <c r="E1802" s="3" t="s">
        <v>411</v>
      </c>
      <c r="F1802" s="3"/>
      <c r="G1802" s="3"/>
      <c r="H1802" s="3"/>
      <c r="I1802" s="3"/>
      <c r="J1802" s="3"/>
      <c r="K1802" s="3"/>
      <c r="L1802" s="3" t="s">
        <v>564</v>
      </c>
      <c r="M1802" s="3">
        <v>100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563</v>
      </c>
      <c r="C1803" s="3" t="s">
        <v>411</v>
      </c>
      <c r="D1803" s="3"/>
      <c r="E1803" s="3" t="s">
        <v>411</v>
      </c>
      <c r="F1803" s="3"/>
      <c r="G1803" s="3"/>
      <c r="H1803" s="3"/>
      <c r="I1803" s="3"/>
      <c r="J1803" s="3"/>
      <c r="K1803" s="3"/>
      <c r="L1803" s="3" t="s">
        <v>564</v>
      </c>
      <c r="M1803" s="3">
        <v>110</v>
      </c>
      <c r="N1803" s="3" t="s">
        <v>101</v>
      </c>
      <c r="O1803" s="3"/>
      <c r="P1803" s="3"/>
      <c r="Q1803" s="3">
        <v>0.67600000000000005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563</v>
      </c>
      <c r="C1804" s="3" t="s">
        <v>411</v>
      </c>
      <c r="D1804" s="3"/>
      <c r="E1804" s="3" t="s">
        <v>411</v>
      </c>
      <c r="F1804" s="3"/>
      <c r="G1804" s="3"/>
      <c r="H1804" s="3"/>
      <c r="I1804" s="3"/>
      <c r="J1804" s="3"/>
      <c r="K1804" s="3"/>
      <c r="L1804" s="3" t="s">
        <v>564</v>
      </c>
      <c r="M1804" s="3">
        <v>120</v>
      </c>
      <c r="N1804" s="3" t="s">
        <v>412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563</v>
      </c>
      <c r="C1805" s="3" t="s">
        <v>413</v>
      </c>
      <c r="D1805" s="3"/>
      <c r="E1805" s="3" t="s">
        <v>413</v>
      </c>
      <c r="F1805" s="3"/>
      <c r="G1805" s="3"/>
      <c r="H1805" s="3"/>
      <c r="I1805" s="3"/>
      <c r="J1805" s="3"/>
      <c r="K1805" s="3"/>
      <c r="L1805" s="3" t="s">
        <v>564</v>
      </c>
      <c r="M1805" s="3">
        <v>10</v>
      </c>
      <c r="N1805" s="3" t="s">
        <v>107</v>
      </c>
      <c r="O1805" s="3"/>
      <c r="P1805" s="3"/>
      <c r="Q1805" s="3">
        <v>2.1589999999999998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563</v>
      </c>
      <c r="C1806" s="3" t="s">
        <v>413</v>
      </c>
      <c r="D1806" s="3"/>
      <c r="E1806" s="3" t="s">
        <v>413</v>
      </c>
      <c r="F1806" s="3"/>
      <c r="G1806" s="3"/>
      <c r="H1806" s="3"/>
      <c r="I1806" s="3"/>
      <c r="J1806" s="3"/>
      <c r="K1806" s="3"/>
      <c r="L1806" s="3" t="s">
        <v>564</v>
      </c>
      <c r="M1806" s="3">
        <v>20</v>
      </c>
      <c r="N1806" s="3" t="s">
        <v>565</v>
      </c>
      <c r="O1806" s="3"/>
      <c r="P1806" s="3"/>
      <c r="Q1806" s="3">
        <v>2.1589999999999998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563</v>
      </c>
      <c r="C1807" s="3" t="s">
        <v>413</v>
      </c>
      <c r="D1807" s="3"/>
      <c r="E1807" s="3" t="s">
        <v>413</v>
      </c>
      <c r="F1807" s="3"/>
      <c r="G1807" s="3"/>
      <c r="H1807" s="3"/>
      <c r="I1807" s="3"/>
      <c r="J1807" s="3"/>
      <c r="K1807" s="3"/>
      <c r="L1807" s="3" t="s">
        <v>564</v>
      </c>
      <c r="M1807" s="3">
        <v>30</v>
      </c>
      <c r="N1807" s="3" t="s">
        <v>99</v>
      </c>
      <c r="O1807" s="3"/>
      <c r="P1807" s="3"/>
      <c r="Q1807" s="3">
        <v>0.35699999999999998</v>
      </c>
      <c r="R1807" s="3" t="s">
        <v>100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563</v>
      </c>
      <c r="C1808" s="3" t="s">
        <v>413</v>
      </c>
      <c r="D1808" s="3"/>
      <c r="E1808" s="3" t="s">
        <v>413</v>
      </c>
      <c r="F1808" s="3"/>
      <c r="G1808" s="3"/>
      <c r="H1808" s="3"/>
      <c r="I1808" s="3"/>
      <c r="J1808" s="3"/>
      <c r="K1808" s="3"/>
      <c r="L1808" s="3" t="s">
        <v>564</v>
      </c>
      <c r="M1808" s="3">
        <v>40</v>
      </c>
      <c r="N1808" s="3" t="s">
        <v>108</v>
      </c>
      <c r="O1808" s="3"/>
      <c r="P1808" s="3"/>
      <c r="Q1808" s="3">
        <v>13.208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563</v>
      </c>
      <c r="C1809" s="3" t="s">
        <v>413</v>
      </c>
      <c r="D1809" s="3"/>
      <c r="E1809" s="3" t="s">
        <v>413</v>
      </c>
      <c r="F1809" s="3"/>
      <c r="G1809" s="3"/>
      <c r="H1809" s="3"/>
      <c r="I1809" s="3"/>
      <c r="J1809" s="3"/>
      <c r="K1809" s="3"/>
      <c r="L1809" s="3" t="s">
        <v>564</v>
      </c>
      <c r="M1809" s="3">
        <v>50</v>
      </c>
      <c r="N1809" s="3" t="s">
        <v>105</v>
      </c>
      <c r="O1809" s="3"/>
      <c r="P1809" s="3"/>
      <c r="Q1809" s="3">
        <v>81.228999999999999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563</v>
      </c>
      <c r="C1810" s="3" t="s">
        <v>413</v>
      </c>
      <c r="D1810" s="3"/>
      <c r="E1810" s="3" t="s">
        <v>413</v>
      </c>
      <c r="F1810" s="3"/>
      <c r="G1810" s="3"/>
      <c r="H1810" s="3"/>
      <c r="I1810" s="3"/>
      <c r="J1810" s="3"/>
      <c r="K1810" s="3"/>
      <c r="L1810" s="3" t="s">
        <v>564</v>
      </c>
      <c r="M1810" s="3">
        <v>60</v>
      </c>
      <c r="N1810" s="3" t="s">
        <v>106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563</v>
      </c>
      <c r="C1811" s="3" t="s">
        <v>413</v>
      </c>
      <c r="D1811" s="3"/>
      <c r="E1811" s="3" t="s">
        <v>413</v>
      </c>
      <c r="F1811" s="3"/>
      <c r="G1811" s="3"/>
      <c r="H1811" s="3"/>
      <c r="I1811" s="3"/>
      <c r="J1811" s="3"/>
      <c r="K1811" s="3"/>
      <c r="L1811" s="3" t="s">
        <v>564</v>
      </c>
      <c r="M1811" s="3">
        <v>70</v>
      </c>
      <c r="N1811" s="3" t="s">
        <v>104</v>
      </c>
      <c r="O1811" s="3"/>
      <c r="P1811" s="3"/>
      <c r="Q1811" s="3">
        <v>9.8000000000000004E-2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563</v>
      </c>
      <c r="C1812" s="3" t="s">
        <v>413</v>
      </c>
      <c r="D1812" s="3"/>
      <c r="E1812" s="3" t="s">
        <v>413</v>
      </c>
      <c r="F1812" s="3"/>
      <c r="G1812" s="3"/>
      <c r="H1812" s="3"/>
      <c r="I1812" s="3"/>
      <c r="J1812" s="3"/>
      <c r="K1812" s="3"/>
      <c r="L1812" s="3" t="s">
        <v>564</v>
      </c>
      <c r="M1812" s="3">
        <v>80</v>
      </c>
      <c r="N1812" s="3" t="s">
        <v>111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563</v>
      </c>
      <c r="C1813" s="3" t="s">
        <v>413</v>
      </c>
      <c r="D1813" s="3"/>
      <c r="E1813" s="3" t="s">
        <v>413</v>
      </c>
      <c r="F1813" s="3"/>
      <c r="G1813" s="3"/>
      <c r="H1813" s="3"/>
      <c r="I1813" s="3"/>
      <c r="J1813" s="3"/>
      <c r="K1813" s="3"/>
      <c r="L1813" s="3" t="s">
        <v>564</v>
      </c>
      <c r="M1813" s="3">
        <v>90</v>
      </c>
      <c r="N1813" s="3" t="s">
        <v>18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563</v>
      </c>
      <c r="C1814" s="3" t="s">
        <v>413</v>
      </c>
      <c r="D1814" s="3"/>
      <c r="E1814" s="3" t="s">
        <v>413</v>
      </c>
      <c r="F1814" s="3"/>
      <c r="G1814" s="3"/>
      <c r="H1814" s="3"/>
      <c r="I1814" s="3"/>
      <c r="J1814" s="3"/>
      <c r="K1814" s="3"/>
      <c r="L1814" s="3" t="s">
        <v>564</v>
      </c>
      <c r="M1814" s="3">
        <v>100</v>
      </c>
      <c r="N1814" s="3" t="s">
        <v>19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563</v>
      </c>
      <c r="C1815" s="3" t="s">
        <v>413</v>
      </c>
      <c r="D1815" s="3"/>
      <c r="E1815" s="3" t="s">
        <v>413</v>
      </c>
      <c r="F1815" s="3"/>
      <c r="G1815" s="3"/>
      <c r="H1815" s="3"/>
      <c r="I1815" s="3"/>
      <c r="J1815" s="3"/>
      <c r="K1815" s="3"/>
      <c r="L1815" s="3" t="s">
        <v>564</v>
      </c>
      <c r="M1815" s="3">
        <v>110</v>
      </c>
      <c r="N1815" s="3" t="s">
        <v>101</v>
      </c>
      <c r="O1815" s="3"/>
      <c r="P1815" s="3"/>
      <c r="Q1815" s="3">
        <v>0.67600000000000005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563</v>
      </c>
      <c r="C1816" s="3" t="s">
        <v>413</v>
      </c>
      <c r="D1816" s="3"/>
      <c r="E1816" s="3" t="s">
        <v>413</v>
      </c>
      <c r="F1816" s="3"/>
      <c r="G1816" s="3"/>
      <c r="H1816" s="3"/>
      <c r="I1816" s="3"/>
      <c r="J1816" s="3"/>
      <c r="K1816" s="3"/>
      <c r="L1816" s="3" t="s">
        <v>564</v>
      </c>
      <c r="M1816" s="3">
        <v>120</v>
      </c>
      <c r="N1816" s="3" t="s">
        <v>414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563</v>
      </c>
      <c r="C1817" s="3" t="s">
        <v>415</v>
      </c>
      <c r="D1817" s="3"/>
      <c r="E1817" s="3" t="s">
        <v>415</v>
      </c>
      <c r="F1817" s="3"/>
      <c r="G1817" s="3"/>
      <c r="H1817" s="3"/>
      <c r="I1817" s="3"/>
      <c r="J1817" s="3"/>
      <c r="K1817" s="3"/>
      <c r="L1817" s="3" t="s">
        <v>564</v>
      </c>
      <c r="M1817" s="3">
        <v>10</v>
      </c>
      <c r="N1817" s="3" t="s">
        <v>107</v>
      </c>
      <c r="O1817" s="3"/>
      <c r="P1817" s="3"/>
      <c r="Q1817" s="3">
        <v>2.1589999999999998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563</v>
      </c>
      <c r="C1818" s="3" t="s">
        <v>415</v>
      </c>
      <c r="D1818" s="3"/>
      <c r="E1818" s="3" t="s">
        <v>415</v>
      </c>
      <c r="F1818" s="3"/>
      <c r="G1818" s="3"/>
      <c r="H1818" s="3"/>
      <c r="I1818" s="3"/>
      <c r="J1818" s="3"/>
      <c r="K1818" s="3"/>
      <c r="L1818" s="3" t="s">
        <v>564</v>
      </c>
      <c r="M1818" s="3">
        <v>20</v>
      </c>
      <c r="N1818" s="3" t="s">
        <v>565</v>
      </c>
      <c r="O1818" s="3"/>
      <c r="P1818" s="3"/>
      <c r="Q1818" s="3">
        <v>2.1589999999999998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563</v>
      </c>
      <c r="C1819" s="3" t="s">
        <v>415</v>
      </c>
      <c r="D1819" s="3"/>
      <c r="E1819" s="3" t="s">
        <v>415</v>
      </c>
      <c r="F1819" s="3"/>
      <c r="G1819" s="3"/>
      <c r="H1819" s="3"/>
      <c r="I1819" s="3"/>
      <c r="J1819" s="3"/>
      <c r="K1819" s="3"/>
      <c r="L1819" s="3" t="s">
        <v>564</v>
      </c>
      <c r="M1819" s="3">
        <v>30</v>
      </c>
      <c r="N1819" s="3" t="s">
        <v>99</v>
      </c>
      <c r="O1819" s="3"/>
      <c r="P1819" s="3"/>
      <c r="Q1819" s="3">
        <v>0.40799999999999997</v>
      </c>
      <c r="R1819" s="3" t="s">
        <v>100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563</v>
      </c>
      <c r="C1820" s="3" t="s">
        <v>415</v>
      </c>
      <c r="D1820" s="3"/>
      <c r="E1820" s="3" t="s">
        <v>415</v>
      </c>
      <c r="F1820" s="3"/>
      <c r="G1820" s="3"/>
      <c r="H1820" s="3"/>
      <c r="I1820" s="3"/>
      <c r="J1820" s="3"/>
      <c r="K1820" s="3"/>
      <c r="L1820" s="3" t="s">
        <v>564</v>
      </c>
      <c r="M1820" s="3">
        <v>40</v>
      </c>
      <c r="N1820" s="3" t="s">
        <v>108</v>
      </c>
      <c r="O1820" s="3"/>
      <c r="P1820" s="3"/>
      <c r="Q1820" s="3">
        <v>13.818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563</v>
      </c>
      <c r="C1821" s="3" t="s">
        <v>415</v>
      </c>
      <c r="D1821" s="3"/>
      <c r="E1821" s="3" t="s">
        <v>415</v>
      </c>
      <c r="F1821" s="3"/>
      <c r="G1821" s="3"/>
      <c r="H1821" s="3"/>
      <c r="I1821" s="3"/>
      <c r="J1821" s="3"/>
      <c r="K1821" s="3"/>
      <c r="L1821" s="3" t="s">
        <v>564</v>
      </c>
      <c r="M1821" s="3">
        <v>50</v>
      </c>
      <c r="N1821" s="3" t="s">
        <v>105</v>
      </c>
      <c r="O1821" s="3"/>
      <c r="P1821" s="3"/>
      <c r="Q1821" s="3">
        <v>84.977999999999994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563</v>
      </c>
      <c r="C1822" s="3" t="s">
        <v>415</v>
      </c>
      <c r="D1822" s="3"/>
      <c r="E1822" s="3" t="s">
        <v>415</v>
      </c>
      <c r="F1822" s="3"/>
      <c r="G1822" s="3"/>
      <c r="H1822" s="3"/>
      <c r="I1822" s="3"/>
      <c r="J1822" s="3"/>
      <c r="K1822" s="3"/>
      <c r="L1822" s="3" t="s">
        <v>564</v>
      </c>
      <c r="M1822" s="3">
        <v>60</v>
      </c>
      <c r="N1822" s="3" t="s">
        <v>106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563</v>
      </c>
      <c r="C1823" s="3" t="s">
        <v>415</v>
      </c>
      <c r="D1823" s="3"/>
      <c r="E1823" s="3" t="s">
        <v>415</v>
      </c>
      <c r="F1823" s="3"/>
      <c r="G1823" s="3"/>
      <c r="H1823" s="3"/>
      <c r="I1823" s="3"/>
      <c r="J1823" s="3"/>
      <c r="K1823" s="3"/>
      <c r="L1823" s="3" t="s">
        <v>564</v>
      </c>
      <c r="M1823" s="3">
        <v>70</v>
      </c>
      <c r="N1823" s="3" t="s">
        <v>104</v>
      </c>
      <c r="O1823" s="3"/>
      <c r="P1823" s="3"/>
      <c r="Q1823" s="3">
        <v>0.109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563</v>
      </c>
      <c r="C1824" s="3" t="s">
        <v>415</v>
      </c>
      <c r="D1824" s="3"/>
      <c r="E1824" s="3" t="s">
        <v>415</v>
      </c>
      <c r="F1824" s="3"/>
      <c r="G1824" s="3"/>
      <c r="H1824" s="3"/>
      <c r="I1824" s="3"/>
      <c r="J1824" s="3"/>
      <c r="K1824" s="3"/>
      <c r="L1824" s="3" t="s">
        <v>564</v>
      </c>
      <c r="M1824" s="3">
        <v>80</v>
      </c>
      <c r="N1824" s="3" t="s">
        <v>111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563</v>
      </c>
      <c r="C1825" s="3" t="s">
        <v>415</v>
      </c>
      <c r="D1825" s="3"/>
      <c r="E1825" s="3" t="s">
        <v>415</v>
      </c>
      <c r="F1825" s="3"/>
      <c r="G1825" s="3"/>
      <c r="H1825" s="3"/>
      <c r="I1825" s="3"/>
      <c r="J1825" s="3"/>
      <c r="K1825" s="3"/>
      <c r="L1825" s="3" t="s">
        <v>564</v>
      </c>
      <c r="M1825" s="3">
        <v>90</v>
      </c>
      <c r="N1825" s="3" t="s">
        <v>18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563</v>
      </c>
      <c r="C1826" s="3" t="s">
        <v>415</v>
      </c>
      <c r="D1826" s="3"/>
      <c r="E1826" s="3" t="s">
        <v>415</v>
      </c>
      <c r="F1826" s="3"/>
      <c r="G1826" s="3"/>
      <c r="H1826" s="3"/>
      <c r="I1826" s="3"/>
      <c r="J1826" s="3"/>
      <c r="K1826" s="3"/>
      <c r="L1826" s="3" t="s">
        <v>564</v>
      </c>
      <c r="M1826" s="3">
        <v>100</v>
      </c>
      <c r="N1826" s="3" t="s">
        <v>19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563</v>
      </c>
      <c r="C1827" s="3" t="s">
        <v>415</v>
      </c>
      <c r="D1827" s="3"/>
      <c r="E1827" s="3" t="s">
        <v>415</v>
      </c>
      <c r="F1827" s="3"/>
      <c r="G1827" s="3"/>
      <c r="H1827" s="3"/>
      <c r="I1827" s="3"/>
      <c r="J1827" s="3"/>
      <c r="K1827" s="3"/>
      <c r="L1827" s="3" t="s">
        <v>564</v>
      </c>
      <c r="M1827" s="3">
        <v>110</v>
      </c>
      <c r="N1827" s="3" t="s">
        <v>101</v>
      </c>
      <c r="O1827" s="3"/>
      <c r="P1827" s="3"/>
      <c r="Q1827" s="3">
        <v>0.67600000000000005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563</v>
      </c>
      <c r="C1828" s="3" t="s">
        <v>415</v>
      </c>
      <c r="D1828" s="3"/>
      <c r="E1828" s="3" t="s">
        <v>415</v>
      </c>
      <c r="F1828" s="3"/>
      <c r="G1828" s="3"/>
      <c r="H1828" s="3"/>
      <c r="I1828" s="3"/>
      <c r="J1828" s="3"/>
      <c r="K1828" s="3"/>
      <c r="L1828" s="3" t="s">
        <v>564</v>
      </c>
      <c r="M1828" s="3">
        <v>120</v>
      </c>
      <c r="N1828" s="3" t="s">
        <v>416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563</v>
      </c>
      <c r="C1829" s="3" t="s">
        <v>417</v>
      </c>
      <c r="D1829" s="3"/>
      <c r="E1829" s="3" t="s">
        <v>417</v>
      </c>
      <c r="F1829" s="3"/>
      <c r="G1829" s="3"/>
      <c r="H1829" s="3"/>
      <c r="I1829" s="3"/>
      <c r="J1829" s="3"/>
      <c r="K1829" s="3"/>
      <c r="L1829" s="3" t="s">
        <v>564</v>
      </c>
      <c r="M1829" s="3">
        <v>10</v>
      </c>
      <c r="N1829" s="3" t="s">
        <v>107</v>
      </c>
      <c r="O1829" s="3"/>
      <c r="P1829" s="3"/>
      <c r="Q1829" s="3">
        <v>2.1589999999999998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563</v>
      </c>
      <c r="C1830" s="3" t="s">
        <v>417</v>
      </c>
      <c r="D1830" s="3"/>
      <c r="E1830" s="3" t="s">
        <v>417</v>
      </c>
      <c r="F1830" s="3"/>
      <c r="G1830" s="3"/>
      <c r="H1830" s="3"/>
      <c r="I1830" s="3"/>
      <c r="J1830" s="3"/>
      <c r="K1830" s="3"/>
      <c r="L1830" s="3" t="s">
        <v>564</v>
      </c>
      <c r="M1830" s="3">
        <v>20</v>
      </c>
      <c r="N1830" s="3" t="s">
        <v>565</v>
      </c>
      <c r="O1830" s="3"/>
      <c r="P1830" s="3"/>
      <c r="Q1830" s="3">
        <v>2.1589999999999998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563</v>
      </c>
      <c r="C1831" s="3" t="s">
        <v>417</v>
      </c>
      <c r="D1831" s="3"/>
      <c r="E1831" s="3" t="s">
        <v>417</v>
      </c>
      <c r="F1831" s="3"/>
      <c r="G1831" s="3"/>
      <c r="H1831" s="3"/>
      <c r="I1831" s="3"/>
      <c r="J1831" s="3"/>
      <c r="K1831" s="3"/>
      <c r="L1831" s="3" t="s">
        <v>564</v>
      </c>
      <c r="M1831" s="3">
        <v>30</v>
      </c>
      <c r="N1831" s="3" t="s">
        <v>99</v>
      </c>
      <c r="O1831" s="3"/>
      <c r="P1831" s="3"/>
      <c r="Q1831" s="3">
        <v>0.51</v>
      </c>
      <c r="R1831" s="3" t="s">
        <v>100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563</v>
      </c>
      <c r="C1832" s="3" t="s">
        <v>417</v>
      </c>
      <c r="D1832" s="3"/>
      <c r="E1832" s="3" t="s">
        <v>417</v>
      </c>
      <c r="F1832" s="3"/>
      <c r="G1832" s="3"/>
      <c r="H1832" s="3"/>
      <c r="I1832" s="3"/>
      <c r="J1832" s="3"/>
      <c r="K1832" s="3"/>
      <c r="L1832" s="3" t="s">
        <v>564</v>
      </c>
      <c r="M1832" s="3">
        <v>40</v>
      </c>
      <c r="N1832" s="3" t="s">
        <v>108</v>
      </c>
      <c r="O1832" s="3"/>
      <c r="P1832" s="3"/>
      <c r="Q1832" s="3">
        <v>15.037000000000001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563</v>
      </c>
      <c r="C1833" s="3" t="s">
        <v>417</v>
      </c>
      <c r="D1833" s="3"/>
      <c r="E1833" s="3" t="s">
        <v>417</v>
      </c>
      <c r="F1833" s="3"/>
      <c r="G1833" s="3"/>
      <c r="H1833" s="3"/>
      <c r="I1833" s="3"/>
      <c r="J1833" s="3"/>
      <c r="K1833" s="3"/>
      <c r="L1833" s="3" t="s">
        <v>564</v>
      </c>
      <c r="M1833" s="3">
        <v>50</v>
      </c>
      <c r="N1833" s="3" t="s">
        <v>105</v>
      </c>
      <c r="O1833" s="3"/>
      <c r="P1833" s="3"/>
      <c r="Q1833" s="3">
        <v>92.475999999999999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563</v>
      </c>
      <c r="C1834" s="3" t="s">
        <v>417</v>
      </c>
      <c r="D1834" s="3"/>
      <c r="E1834" s="3" t="s">
        <v>417</v>
      </c>
      <c r="F1834" s="3"/>
      <c r="G1834" s="3"/>
      <c r="H1834" s="3"/>
      <c r="I1834" s="3"/>
      <c r="J1834" s="3"/>
      <c r="K1834" s="3"/>
      <c r="L1834" s="3" t="s">
        <v>564</v>
      </c>
      <c r="M1834" s="3">
        <v>60</v>
      </c>
      <c r="N1834" s="3" t="s">
        <v>106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563</v>
      </c>
      <c r="C1835" s="3" t="s">
        <v>417</v>
      </c>
      <c r="D1835" s="3"/>
      <c r="E1835" s="3" t="s">
        <v>417</v>
      </c>
      <c r="F1835" s="3"/>
      <c r="G1835" s="3"/>
      <c r="H1835" s="3"/>
      <c r="I1835" s="3"/>
      <c r="J1835" s="3"/>
      <c r="K1835" s="3"/>
      <c r="L1835" s="3" t="s">
        <v>564</v>
      </c>
      <c r="M1835" s="3">
        <v>70</v>
      </c>
      <c r="N1835" s="3" t="s">
        <v>104</v>
      </c>
      <c r="O1835" s="3"/>
      <c r="P1835" s="3"/>
      <c r="Q1835" s="3">
        <v>0.13200000000000001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563</v>
      </c>
      <c r="C1836" s="3" t="s">
        <v>417</v>
      </c>
      <c r="D1836" s="3"/>
      <c r="E1836" s="3" t="s">
        <v>417</v>
      </c>
      <c r="F1836" s="3"/>
      <c r="G1836" s="3"/>
      <c r="H1836" s="3"/>
      <c r="I1836" s="3"/>
      <c r="J1836" s="3"/>
      <c r="K1836" s="3"/>
      <c r="L1836" s="3" t="s">
        <v>564</v>
      </c>
      <c r="M1836" s="3">
        <v>80</v>
      </c>
      <c r="N1836" s="3" t="s">
        <v>111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563</v>
      </c>
      <c r="C1837" s="3" t="s">
        <v>417</v>
      </c>
      <c r="D1837" s="3"/>
      <c r="E1837" s="3" t="s">
        <v>417</v>
      </c>
      <c r="F1837" s="3"/>
      <c r="G1837" s="3"/>
      <c r="H1837" s="3"/>
      <c r="I1837" s="3"/>
      <c r="J1837" s="3"/>
      <c r="K1837" s="3"/>
      <c r="L1837" s="3" t="s">
        <v>564</v>
      </c>
      <c r="M1837" s="3">
        <v>90</v>
      </c>
      <c r="N1837" s="3" t="s">
        <v>18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563</v>
      </c>
      <c r="C1838" s="3" t="s">
        <v>417</v>
      </c>
      <c r="D1838" s="3"/>
      <c r="E1838" s="3" t="s">
        <v>417</v>
      </c>
      <c r="F1838" s="3"/>
      <c r="G1838" s="3"/>
      <c r="H1838" s="3"/>
      <c r="I1838" s="3"/>
      <c r="J1838" s="3"/>
      <c r="K1838" s="3"/>
      <c r="L1838" s="3" t="s">
        <v>564</v>
      </c>
      <c r="M1838" s="3">
        <v>100</v>
      </c>
      <c r="N1838" s="3" t="s">
        <v>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563</v>
      </c>
      <c r="C1839" s="3" t="s">
        <v>417</v>
      </c>
      <c r="D1839" s="3"/>
      <c r="E1839" s="3" t="s">
        <v>417</v>
      </c>
      <c r="F1839" s="3"/>
      <c r="G1839" s="3"/>
      <c r="H1839" s="3"/>
      <c r="I1839" s="3"/>
      <c r="J1839" s="3"/>
      <c r="K1839" s="3"/>
      <c r="L1839" s="3" t="s">
        <v>564</v>
      </c>
      <c r="M1839" s="3">
        <v>110</v>
      </c>
      <c r="N1839" s="3" t="s">
        <v>101</v>
      </c>
      <c r="O1839" s="3"/>
      <c r="P1839" s="3"/>
      <c r="Q1839" s="3">
        <v>0.67600000000000005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563</v>
      </c>
      <c r="C1840" s="3" t="s">
        <v>417</v>
      </c>
      <c r="D1840" s="3"/>
      <c r="E1840" s="3" t="s">
        <v>417</v>
      </c>
      <c r="F1840" s="3"/>
      <c r="G1840" s="3"/>
      <c r="H1840" s="3"/>
      <c r="I1840" s="3"/>
      <c r="J1840" s="3"/>
      <c r="K1840" s="3"/>
      <c r="L1840" s="3" t="s">
        <v>564</v>
      </c>
      <c r="M1840" s="3">
        <v>120</v>
      </c>
      <c r="N1840" s="3" t="s">
        <v>418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563</v>
      </c>
      <c r="C1841" s="3" t="s">
        <v>419</v>
      </c>
      <c r="D1841" s="3"/>
      <c r="E1841" s="3" t="s">
        <v>419</v>
      </c>
      <c r="F1841" s="3"/>
      <c r="G1841" s="3"/>
      <c r="H1841" s="3"/>
      <c r="I1841" s="3"/>
      <c r="J1841" s="3"/>
      <c r="K1841" s="3"/>
      <c r="L1841" s="3" t="s">
        <v>564</v>
      </c>
      <c r="M1841" s="3">
        <v>10</v>
      </c>
      <c r="N1841" s="3" t="s">
        <v>107</v>
      </c>
      <c r="O1841" s="3"/>
      <c r="P1841" s="3"/>
      <c r="Q1841" s="3">
        <v>2.1589999999999998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563</v>
      </c>
      <c r="C1842" s="3" t="s">
        <v>419</v>
      </c>
      <c r="D1842" s="3"/>
      <c r="E1842" s="3" t="s">
        <v>419</v>
      </c>
      <c r="F1842" s="3"/>
      <c r="G1842" s="3"/>
      <c r="H1842" s="3"/>
      <c r="I1842" s="3"/>
      <c r="J1842" s="3"/>
      <c r="K1842" s="3"/>
      <c r="L1842" s="3" t="s">
        <v>564</v>
      </c>
      <c r="M1842" s="3">
        <v>20</v>
      </c>
      <c r="N1842" s="3" t="s">
        <v>565</v>
      </c>
      <c r="O1842" s="3"/>
      <c r="P1842" s="3"/>
      <c r="Q1842" s="3">
        <v>2.1589999999999998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563</v>
      </c>
      <c r="C1843" s="3" t="s">
        <v>419</v>
      </c>
      <c r="D1843" s="3"/>
      <c r="E1843" s="3" t="s">
        <v>419</v>
      </c>
      <c r="F1843" s="3"/>
      <c r="G1843" s="3"/>
      <c r="H1843" s="3"/>
      <c r="I1843" s="3"/>
      <c r="J1843" s="3"/>
      <c r="K1843" s="3"/>
      <c r="L1843" s="3" t="s">
        <v>564</v>
      </c>
      <c r="M1843" s="3">
        <v>30</v>
      </c>
      <c r="N1843" s="3" t="s">
        <v>99</v>
      </c>
      <c r="O1843" s="3"/>
      <c r="P1843" s="3"/>
      <c r="Q1843" s="3">
        <v>0.56100000000000005</v>
      </c>
      <c r="R1843" s="3" t="s">
        <v>100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563</v>
      </c>
      <c r="C1844" s="3" t="s">
        <v>419</v>
      </c>
      <c r="D1844" s="3"/>
      <c r="E1844" s="3" t="s">
        <v>419</v>
      </c>
      <c r="F1844" s="3"/>
      <c r="G1844" s="3"/>
      <c r="H1844" s="3"/>
      <c r="I1844" s="3"/>
      <c r="J1844" s="3"/>
      <c r="K1844" s="3"/>
      <c r="L1844" s="3" t="s">
        <v>564</v>
      </c>
      <c r="M1844" s="3">
        <v>40</v>
      </c>
      <c r="N1844" s="3" t="s">
        <v>108</v>
      </c>
      <c r="O1844" s="3"/>
      <c r="P1844" s="3"/>
      <c r="Q1844" s="3">
        <v>15.646000000000001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563</v>
      </c>
      <c r="C1845" s="3" t="s">
        <v>419</v>
      </c>
      <c r="D1845" s="3"/>
      <c r="E1845" s="3" t="s">
        <v>419</v>
      </c>
      <c r="F1845" s="3"/>
      <c r="G1845" s="3"/>
      <c r="H1845" s="3"/>
      <c r="I1845" s="3"/>
      <c r="J1845" s="3"/>
      <c r="K1845" s="3"/>
      <c r="L1845" s="3" t="s">
        <v>564</v>
      </c>
      <c r="M1845" s="3">
        <v>50</v>
      </c>
      <c r="N1845" s="3" t="s">
        <v>105</v>
      </c>
      <c r="O1845" s="3"/>
      <c r="P1845" s="3"/>
      <c r="Q1845" s="3">
        <v>96.224999999999994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563</v>
      </c>
      <c r="C1846" s="3" t="s">
        <v>419</v>
      </c>
      <c r="D1846" s="3"/>
      <c r="E1846" s="3" t="s">
        <v>419</v>
      </c>
      <c r="F1846" s="3"/>
      <c r="G1846" s="3"/>
      <c r="H1846" s="3"/>
      <c r="I1846" s="3"/>
      <c r="J1846" s="3"/>
      <c r="K1846" s="3"/>
      <c r="L1846" s="3" t="s">
        <v>564</v>
      </c>
      <c r="M1846" s="3">
        <v>60</v>
      </c>
      <c r="N1846" s="3" t="s">
        <v>106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563</v>
      </c>
      <c r="C1847" s="3" t="s">
        <v>419</v>
      </c>
      <c r="D1847" s="3"/>
      <c r="E1847" s="3" t="s">
        <v>419</v>
      </c>
      <c r="F1847" s="3"/>
      <c r="G1847" s="3"/>
      <c r="H1847" s="3"/>
      <c r="I1847" s="3"/>
      <c r="J1847" s="3"/>
      <c r="K1847" s="3"/>
      <c r="L1847" s="3" t="s">
        <v>564</v>
      </c>
      <c r="M1847" s="3">
        <v>70</v>
      </c>
      <c r="N1847" s="3" t="s">
        <v>104</v>
      </c>
      <c r="O1847" s="3"/>
      <c r="P1847" s="3"/>
      <c r="Q1847" s="3">
        <v>0.14299999999999999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563</v>
      </c>
      <c r="C1848" s="3" t="s">
        <v>419</v>
      </c>
      <c r="D1848" s="3"/>
      <c r="E1848" s="3" t="s">
        <v>419</v>
      </c>
      <c r="F1848" s="3"/>
      <c r="G1848" s="3"/>
      <c r="H1848" s="3"/>
      <c r="I1848" s="3"/>
      <c r="J1848" s="3"/>
      <c r="K1848" s="3"/>
      <c r="L1848" s="3" t="s">
        <v>564</v>
      </c>
      <c r="M1848" s="3">
        <v>80</v>
      </c>
      <c r="N1848" s="3" t="s">
        <v>111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563</v>
      </c>
      <c r="C1849" s="3" t="s">
        <v>419</v>
      </c>
      <c r="D1849" s="3"/>
      <c r="E1849" s="3" t="s">
        <v>419</v>
      </c>
      <c r="F1849" s="3"/>
      <c r="G1849" s="3"/>
      <c r="H1849" s="3"/>
      <c r="I1849" s="3"/>
      <c r="J1849" s="3"/>
      <c r="K1849" s="3"/>
      <c r="L1849" s="3" t="s">
        <v>564</v>
      </c>
      <c r="M1849" s="3">
        <v>90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563</v>
      </c>
      <c r="C1850" s="3" t="s">
        <v>419</v>
      </c>
      <c r="D1850" s="3"/>
      <c r="E1850" s="3" t="s">
        <v>419</v>
      </c>
      <c r="F1850" s="3"/>
      <c r="G1850" s="3"/>
      <c r="H1850" s="3"/>
      <c r="I1850" s="3"/>
      <c r="J1850" s="3"/>
      <c r="K1850" s="3"/>
      <c r="L1850" s="3" t="s">
        <v>564</v>
      </c>
      <c r="M1850" s="3">
        <v>100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563</v>
      </c>
      <c r="C1851" s="3" t="s">
        <v>419</v>
      </c>
      <c r="D1851" s="3"/>
      <c r="E1851" s="3" t="s">
        <v>419</v>
      </c>
      <c r="F1851" s="3"/>
      <c r="G1851" s="3"/>
      <c r="H1851" s="3"/>
      <c r="I1851" s="3"/>
      <c r="J1851" s="3"/>
      <c r="K1851" s="3"/>
      <c r="L1851" s="3" t="s">
        <v>564</v>
      </c>
      <c r="M1851" s="3">
        <v>110</v>
      </c>
      <c r="N1851" s="3" t="s">
        <v>101</v>
      </c>
      <c r="O1851" s="3"/>
      <c r="P1851" s="3"/>
      <c r="Q1851" s="3">
        <v>0.67600000000000005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563</v>
      </c>
      <c r="C1852" s="3" t="s">
        <v>419</v>
      </c>
      <c r="D1852" s="3"/>
      <c r="E1852" s="3" t="s">
        <v>419</v>
      </c>
      <c r="F1852" s="3"/>
      <c r="G1852" s="3"/>
      <c r="H1852" s="3"/>
      <c r="I1852" s="3"/>
      <c r="J1852" s="3"/>
      <c r="K1852" s="3"/>
      <c r="L1852" s="3" t="s">
        <v>564</v>
      </c>
      <c r="M1852" s="3">
        <v>120</v>
      </c>
      <c r="N1852" s="3" t="s">
        <v>420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563</v>
      </c>
      <c r="C1853" s="3" t="s">
        <v>421</v>
      </c>
      <c r="D1853" s="3"/>
      <c r="E1853" s="3" t="s">
        <v>421</v>
      </c>
      <c r="F1853" s="3"/>
      <c r="G1853" s="3"/>
      <c r="H1853" s="3"/>
      <c r="I1853" s="3"/>
      <c r="J1853" s="3"/>
      <c r="K1853" s="3"/>
      <c r="L1853" s="3" t="s">
        <v>564</v>
      </c>
      <c r="M1853" s="3">
        <v>10</v>
      </c>
      <c r="N1853" s="3" t="s">
        <v>107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563</v>
      </c>
      <c r="C1854" s="3" t="s">
        <v>421</v>
      </c>
      <c r="D1854" s="3"/>
      <c r="E1854" s="3" t="s">
        <v>421</v>
      </c>
      <c r="F1854" s="3"/>
      <c r="G1854" s="3"/>
      <c r="H1854" s="3"/>
      <c r="I1854" s="3"/>
      <c r="J1854" s="3"/>
      <c r="K1854" s="3"/>
      <c r="L1854" s="3" t="s">
        <v>564</v>
      </c>
      <c r="M1854" s="3">
        <v>20</v>
      </c>
      <c r="N1854" s="3" t="s">
        <v>565</v>
      </c>
      <c r="O1854" s="3"/>
      <c r="P1854" s="3"/>
      <c r="Q1854" s="3">
        <v>2.1589999999999998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563</v>
      </c>
      <c r="C1855" s="3" t="s">
        <v>421</v>
      </c>
      <c r="D1855" s="3"/>
      <c r="E1855" s="3" t="s">
        <v>421</v>
      </c>
      <c r="F1855" s="3"/>
      <c r="G1855" s="3"/>
      <c r="H1855" s="3"/>
      <c r="I1855" s="3"/>
      <c r="J1855" s="3"/>
      <c r="K1855" s="3"/>
      <c r="L1855" s="3" t="s">
        <v>564</v>
      </c>
      <c r="M1855" s="3">
        <v>30</v>
      </c>
      <c r="N1855" s="3" t="s">
        <v>99</v>
      </c>
      <c r="O1855" s="3"/>
      <c r="P1855" s="3"/>
      <c r="Q1855" s="3">
        <v>0.61199999999999999</v>
      </c>
      <c r="R1855" s="3" t="s">
        <v>100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563</v>
      </c>
      <c r="C1856" s="3" t="s">
        <v>421</v>
      </c>
      <c r="D1856" s="3"/>
      <c r="E1856" s="3" t="s">
        <v>421</v>
      </c>
      <c r="F1856" s="3"/>
      <c r="G1856" s="3"/>
      <c r="H1856" s="3"/>
      <c r="I1856" s="3"/>
      <c r="J1856" s="3"/>
      <c r="K1856" s="3"/>
      <c r="L1856" s="3" t="s">
        <v>564</v>
      </c>
      <c r="M1856" s="3">
        <v>40</v>
      </c>
      <c r="N1856" s="3" t="s">
        <v>108</v>
      </c>
      <c r="O1856" s="3"/>
      <c r="P1856" s="3"/>
      <c r="Q1856" s="3">
        <v>16.256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563</v>
      </c>
      <c r="C1857" s="3" t="s">
        <v>421</v>
      </c>
      <c r="D1857" s="3"/>
      <c r="E1857" s="3" t="s">
        <v>421</v>
      </c>
      <c r="F1857" s="3"/>
      <c r="G1857" s="3"/>
      <c r="H1857" s="3"/>
      <c r="I1857" s="3"/>
      <c r="J1857" s="3"/>
      <c r="K1857" s="3"/>
      <c r="L1857" s="3" t="s">
        <v>564</v>
      </c>
      <c r="M1857" s="3">
        <v>50</v>
      </c>
      <c r="N1857" s="3" t="s">
        <v>105</v>
      </c>
      <c r="O1857" s="3"/>
      <c r="P1857" s="3"/>
      <c r="Q1857" s="3">
        <v>99.974000000000004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563</v>
      </c>
      <c r="C1858" s="3" t="s">
        <v>421</v>
      </c>
      <c r="D1858" s="3"/>
      <c r="E1858" s="3" t="s">
        <v>421</v>
      </c>
      <c r="F1858" s="3"/>
      <c r="G1858" s="3"/>
      <c r="H1858" s="3"/>
      <c r="I1858" s="3"/>
      <c r="J1858" s="3"/>
      <c r="K1858" s="3"/>
      <c r="L1858" s="3" t="s">
        <v>564</v>
      </c>
      <c r="M1858" s="3">
        <v>60</v>
      </c>
      <c r="N1858" s="3" t="s">
        <v>106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563</v>
      </c>
      <c r="C1859" s="3" t="s">
        <v>421</v>
      </c>
      <c r="D1859" s="3"/>
      <c r="E1859" s="3" t="s">
        <v>421</v>
      </c>
      <c r="F1859" s="3"/>
      <c r="G1859" s="3"/>
      <c r="H1859" s="3"/>
      <c r="I1859" s="3"/>
      <c r="J1859" s="3"/>
      <c r="K1859" s="3"/>
      <c r="L1859" s="3" t="s">
        <v>564</v>
      </c>
      <c r="M1859" s="3">
        <v>70</v>
      </c>
      <c r="N1859" s="3" t="s">
        <v>104</v>
      </c>
      <c r="O1859" s="3"/>
      <c r="P1859" s="3"/>
      <c r="Q1859" s="3">
        <v>0.154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563</v>
      </c>
      <c r="C1860" s="3" t="s">
        <v>421</v>
      </c>
      <c r="D1860" s="3"/>
      <c r="E1860" s="3" t="s">
        <v>421</v>
      </c>
      <c r="F1860" s="3"/>
      <c r="G1860" s="3"/>
      <c r="H1860" s="3"/>
      <c r="I1860" s="3"/>
      <c r="J1860" s="3"/>
      <c r="K1860" s="3"/>
      <c r="L1860" s="3" t="s">
        <v>564</v>
      </c>
      <c r="M1860" s="3">
        <v>80</v>
      </c>
      <c r="N1860" s="3" t="s">
        <v>111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563</v>
      </c>
      <c r="C1861" s="3" t="s">
        <v>421</v>
      </c>
      <c r="D1861" s="3"/>
      <c r="E1861" s="3" t="s">
        <v>421</v>
      </c>
      <c r="F1861" s="3"/>
      <c r="G1861" s="3"/>
      <c r="H1861" s="3"/>
      <c r="I1861" s="3"/>
      <c r="J1861" s="3"/>
      <c r="K1861" s="3"/>
      <c r="L1861" s="3" t="s">
        <v>564</v>
      </c>
      <c r="M1861" s="3">
        <v>90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563</v>
      </c>
      <c r="C1862" s="3" t="s">
        <v>421</v>
      </c>
      <c r="D1862" s="3"/>
      <c r="E1862" s="3" t="s">
        <v>421</v>
      </c>
      <c r="F1862" s="3"/>
      <c r="G1862" s="3"/>
      <c r="H1862" s="3"/>
      <c r="I1862" s="3"/>
      <c r="J1862" s="3"/>
      <c r="K1862" s="3"/>
      <c r="L1862" s="3" t="s">
        <v>564</v>
      </c>
      <c r="M1862" s="3">
        <v>100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563</v>
      </c>
      <c r="C1863" s="3" t="s">
        <v>421</v>
      </c>
      <c r="D1863" s="3"/>
      <c r="E1863" s="3" t="s">
        <v>421</v>
      </c>
      <c r="F1863" s="3"/>
      <c r="G1863" s="3"/>
      <c r="H1863" s="3"/>
      <c r="I1863" s="3"/>
      <c r="J1863" s="3"/>
      <c r="K1863" s="3"/>
      <c r="L1863" s="3" t="s">
        <v>564</v>
      </c>
      <c r="M1863" s="3">
        <v>110</v>
      </c>
      <c r="N1863" s="3" t="s">
        <v>101</v>
      </c>
      <c r="O1863" s="3"/>
      <c r="P1863" s="3"/>
      <c r="Q1863" s="3">
        <v>0.67600000000000005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563</v>
      </c>
      <c r="C1864" s="3" t="s">
        <v>421</v>
      </c>
      <c r="D1864" s="3"/>
      <c r="E1864" s="3" t="s">
        <v>421</v>
      </c>
      <c r="F1864" s="3"/>
      <c r="G1864" s="3"/>
      <c r="H1864" s="3"/>
      <c r="I1864" s="3"/>
      <c r="J1864" s="3"/>
      <c r="K1864" s="3"/>
      <c r="L1864" s="3" t="s">
        <v>564</v>
      </c>
      <c r="M1864" s="3">
        <v>120</v>
      </c>
      <c r="N1864" s="3" t="s">
        <v>422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563</v>
      </c>
      <c r="C1865" s="3" t="s">
        <v>423</v>
      </c>
      <c r="D1865" s="3"/>
      <c r="E1865" s="3" t="s">
        <v>423</v>
      </c>
      <c r="F1865" s="3"/>
      <c r="G1865" s="3"/>
      <c r="H1865" s="3"/>
      <c r="I1865" s="3"/>
      <c r="J1865" s="3"/>
      <c r="K1865" s="3"/>
      <c r="L1865" s="3" t="s">
        <v>564</v>
      </c>
      <c r="M1865" s="3">
        <v>10</v>
      </c>
      <c r="N1865" s="3" t="s">
        <v>107</v>
      </c>
      <c r="O1865" s="3"/>
      <c r="P1865" s="3"/>
      <c r="Q1865" s="3">
        <v>0.78700000000000003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563</v>
      </c>
      <c r="C1866" s="3" t="s">
        <v>423</v>
      </c>
      <c r="D1866" s="3"/>
      <c r="E1866" s="3" t="s">
        <v>423</v>
      </c>
      <c r="F1866" s="3"/>
      <c r="G1866" s="3"/>
      <c r="H1866" s="3"/>
      <c r="I1866" s="3"/>
      <c r="J1866" s="3"/>
      <c r="K1866" s="3"/>
      <c r="L1866" s="3" t="s">
        <v>564</v>
      </c>
      <c r="M1866" s="3">
        <v>20</v>
      </c>
      <c r="N1866" s="3" t="s">
        <v>565</v>
      </c>
      <c r="O1866" s="3"/>
      <c r="P1866" s="3"/>
      <c r="Q1866" s="3">
        <v>0.78700000000000003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563</v>
      </c>
      <c r="C1867" s="3" t="s">
        <v>423</v>
      </c>
      <c r="D1867" s="3"/>
      <c r="E1867" s="3" t="s">
        <v>423</v>
      </c>
      <c r="F1867" s="3"/>
      <c r="G1867" s="3"/>
      <c r="H1867" s="3"/>
      <c r="I1867" s="3"/>
      <c r="J1867" s="3"/>
      <c r="K1867" s="3"/>
      <c r="L1867" s="3" t="s">
        <v>564</v>
      </c>
      <c r="M1867" s="3">
        <v>30</v>
      </c>
      <c r="N1867" s="3" t="s">
        <v>99</v>
      </c>
      <c r="O1867" s="3"/>
      <c r="P1867" s="3"/>
      <c r="Q1867" s="3">
        <v>0.219</v>
      </c>
      <c r="R1867" s="3" t="s">
        <v>100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563</v>
      </c>
      <c r="C1868" s="3" t="s">
        <v>423</v>
      </c>
      <c r="D1868" s="3"/>
      <c r="E1868" s="3" t="s">
        <v>423</v>
      </c>
      <c r="F1868" s="3"/>
      <c r="G1868" s="3"/>
      <c r="H1868" s="3"/>
      <c r="I1868" s="3"/>
      <c r="J1868" s="3"/>
      <c r="K1868" s="3"/>
      <c r="L1868" s="3" t="s">
        <v>564</v>
      </c>
      <c r="M1868" s="3">
        <v>40</v>
      </c>
      <c r="N1868" s="3" t="s">
        <v>108</v>
      </c>
      <c r="O1868" s="3"/>
      <c r="P1868" s="3"/>
      <c r="Q1868" s="3">
        <v>10.77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563</v>
      </c>
      <c r="C1869" s="3" t="s">
        <v>423</v>
      </c>
      <c r="D1869" s="3"/>
      <c r="E1869" s="3" t="s">
        <v>423</v>
      </c>
      <c r="F1869" s="3"/>
      <c r="G1869" s="3"/>
      <c r="H1869" s="3"/>
      <c r="I1869" s="3"/>
      <c r="J1869" s="3"/>
      <c r="K1869" s="3"/>
      <c r="L1869" s="3" t="s">
        <v>564</v>
      </c>
      <c r="M1869" s="3">
        <v>50</v>
      </c>
      <c r="N1869" s="3" t="s">
        <v>105</v>
      </c>
      <c r="O1869" s="3"/>
      <c r="P1869" s="3"/>
      <c r="Q1869" s="3">
        <v>66.233000000000004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563</v>
      </c>
      <c r="C1870" s="3" t="s">
        <v>423</v>
      </c>
      <c r="D1870" s="3"/>
      <c r="E1870" s="3" t="s">
        <v>423</v>
      </c>
      <c r="F1870" s="3"/>
      <c r="G1870" s="3"/>
      <c r="H1870" s="3"/>
      <c r="I1870" s="3"/>
      <c r="J1870" s="3"/>
      <c r="K1870" s="3"/>
      <c r="L1870" s="3" t="s">
        <v>564</v>
      </c>
      <c r="M1870" s="3">
        <v>60</v>
      </c>
      <c r="N1870" s="3" t="s">
        <v>106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563</v>
      </c>
      <c r="C1871" s="3" t="s">
        <v>423</v>
      </c>
      <c r="D1871" s="3"/>
      <c r="E1871" s="3" t="s">
        <v>423</v>
      </c>
      <c r="F1871" s="3"/>
      <c r="G1871" s="3"/>
      <c r="H1871" s="3"/>
      <c r="I1871" s="3"/>
      <c r="J1871" s="3"/>
      <c r="K1871" s="3"/>
      <c r="L1871" s="3" t="s">
        <v>564</v>
      </c>
      <c r="M1871" s="3">
        <v>70</v>
      </c>
      <c r="N1871" s="3" t="s">
        <v>104</v>
      </c>
      <c r="O1871" s="3"/>
      <c r="P1871" s="3"/>
      <c r="Q1871" s="3">
        <v>7.6999999999999999E-2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563</v>
      </c>
      <c r="C1872" s="3" t="s">
        <v>423</v>
      </c>
      <c r="D1872" s="3"/>
      <c r="E1872" s="3" t="s">
        <v>423</v>
      </c>
      <c r="F1872" s="3"/>
      <c r="G1872" s="3"/>
      <c r="H1872" s="3"/>
      <c r="I1872" s="3"/>
      <c r="J1872" s="3"/>
      <c r="K1872" s="3"/>
      <c r="L1872" s="3" t="s">
        <v>564</v>
      </c>
      <c r="M1872" s="3">
        <v>80</v>
      </c>
      <c r="N1872" s="3" t="s">
        <v>192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563</v>
      </c>
      <c r="C1873" s="3" t="s">
        <v>423</v>
      </c>
      <c r="D1873" s="3"/>
      <c r="E1873" s="3" t="s">
        <v>423</v>
      </c>
      <c r="F1873" s="3"/>
      <c r="G1873" s="3"/>
      <c r="H1873" s="3"/>
      <c r="I1873" s="3"/>
      <c r="J1873" s="3"/>
      <c r="K1873" s="3"/>
      <c r="L1873" s="3" t="s">
        <v>564</v>
      </c>
      <c r="M1873" s="3">
        <v>90</v>
      </c>
      <c r="N1873" s="3" t="s">
        <v>18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563</v>
      </c>
      <c r="C1874" s="3" t="s">
        <v>423</v>
      </c>
      <c r="D1874" s="3"/>
      <c r="E1874" s="3" t="s">
        <v>423</v>
      </c>
      <c r="F1874" s="3"/>
      <c r="G1874" s="3"/>
      <c r="H1874" s="3"/>
      <c r="I1874" s="3"/>
      <c r="J1874" s="3"/>
      <c r="K1874" s="3"/>
      <c r="L1874" s="3" t="s">
        <v>564</v>
      </c>
      <c r="M1874" s="3">
        <v>100</v>
      </c>
      <c r="N1874" s="3" t="s">
        <v>19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563</v>
      </c>
      <c r="C1875" s="3" t="s">
        <v>423</v>
      </c>
      <c r="D1875" s="3"/>
      <c r="E1875" s="3" t="s">
        <v>423</v>
      </c>
      <c r="F1875" s="3"/>
      <c r="G1875" s="3"/>
      <c r="H1875" s="3"/>
      <c r="I1875" s="3"/>
      <c r="J1875" s="3"/>
      <c r="K1875" s="3"/>
      <c r="L1875" s="3" t="s">
        <v>564</v>
      </c>
      <c r="M1875" s="3">
        <v>110</v>
      </c>
      <c r="N1875" s="3" t="s">
        <v>101</v>
      </c>
      <c r="O1875" s="3"/>
      <c r="P1875" s="3"/>
      <c r="Q1875" s="3">
        <v>0.27800000000000002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563</v>
      </c>
      <c r="C1876" s="3" t="s">
        <v>423</v>
      </c>
      <c r="D1876" s="3"/>
      <c r="E1876" s="3" t="s">
        <v>423</v>
      </c>
      <c r="F1876" s="3"/>
      <c r="G1876" s="3"/>
      <c r="H1876" s="3"/>
      <c r="I1876" s="3"/>
      <c r="J1876" s="3"/>
      <c r="K1876" s="3"/>
      <c r="L1876" s="3" t="s">
        <v>564</v>
      </c>
      <c r="M1876" s="3">
        <v>120</v>
      </c>
      <c r="N1876" s="3" t="s">
        <v>424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563</v>
      </c>
      <c r="C1877" s="3" t="s">
        <v>425</v>
      </c>
      <c r="D1877" s="3"/>
      <c r="E1877" s="3" t="s">
        <v>425</v>
      </c>
      <c r="F1877" s="3"/>
      <c r="G1877" s="3"/>
      <c r="H1877" s="3"/>
      <c r="I1877" s="3"/>
      <c r="J1877" s="3"/>
      <c r="K1877" s="3"/>
      <c r="L1877" s="3" t="s">
        <v>564</v>
      </c>
      <c r="M1877" s="3">
        <v>10</v>
      </c>
      <c r="N1877" s="3" t="s">
        <v>107</v>
      </c>
      <c r="O1877" s="3"/>
      <c r="P1877" s="3"/>
      <c r="Q1877" s="3">
        <v>0.94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563</v>
      </c>
      <c r="C1878" s="3" t="s">
        <v>425</v>
      </c>
      <c r="D1878" s="3"/>
      <c r="E1878" s="3" t="s">
        <v>425</v>
      </c>
      <c r="F1878" s="3"/>
      <c r="G1878" s="3"/>
      <c r="H1878" s="3"/>
      <c r="I1878" s="3"/>
      <c r="J1878" s="3"/>
      <c r="K1878" s="3"/>
      <c r="L1878" s="3" t="s">
        <v>564</v>
      </c>
      <c r="M1878" s="3">
        <v>20</v>
      </c>
      <c r="N1878" s="3" t="s">
        <v>565</v>
      </c>
      <c r="O1878" s="3"/>
      <c r="P1878" s="3"/>
      <c r="Q1878" s="3">
        <v>0.94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563</v>
      </c>
      <c r="C1879" s="3" t="s">
        <v>425</v>
      </c>
      <c r="D1879" s="3"/>
      <c r="E1879" s="3" t="s">
        <v>425</v>
      </c>
      <c r="F1879" s="3"/>
      <c r="G1879" s="3"/>
      <c r="H1879" s="3"/>
      <c r="I1879" s="3"/>
      <c r="J1879" s="3"/>
      <c r="K1879" s="3"/>
      <c r="L1879" s="3" t="s">
        <v>564</v>
      </c>
      <c r="M1879" s="3">
        <v>30</v>
      </c>
      <c r="N1879" s="3" t="s">
        <v>99</v>
      </c>
      <c r="O1879" s="3"/>
      <c r="P1879" s="3"/>
      <c r="Q1879" s="3">
        <v>0.26200000000000001</v>
      </c>
      <c r="R1879" s="3" t="s">
        <v>100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563</v>
      </c>
      <c r="C1880" s="3" t="s">
        <v>425</v>
      </c>
      <c r="D1880" s="3"/>
      <c r="E1880" s="3" t="s">
        <v>425</v>
      </c>
      <c r="F1880" s="3"/>
      <c r="G1880" s="3"/>
      <c r="H1880" s="3"/>
      <c r="I1880" s="3"/>
      <c r="J1880" s="3"/>
      <c r="K1880" s="3"/>
      <c r="L1880" s="3" t="s">
        <v>564</v>
      </c>
      <c r="M1880" s="3">
        <v>40</v>
      </c>
      <c r="N1880" s="3" t="s">
        <v>108</v>
      </c>
      <c r="O1880" s="3"/>
      <c r="P1880" s="3"/>
      <c r="Q1880" s="3">
        <v>11.379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563</v>
      </c>
      <c r="C1881" s="3" t="s">
        <v>425</v>
      </c>
      <c r="D1881" s="3"/>
      <c r="E1881" s="3" t="s">
        <v>425</v>
      </c>
      <c r="F1881" s="3"/>
      <c r="G1881" s="3"/>
      <c r="H1881" s="3"/>
      <c r="I1881" s="3"/>
      <c r="J1881" s="3"/>
      <c r="K1881" s="3"/>
      <c r="L1881" s="3" t="s">
        <v>564</v>
      </c>
      <c r="M1881" s="3">
        <v>50</v>
      </c>
      <c r="N1881" s="3" t="s">
        <v>105</v>
      </c>
      <c r="O1881" s="3"/>
      <c r="P1881" s="3"/>
      <c r="Q1881" s="3">
        <v>69.981999999999999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563</v>
      </c>
      <c r="C1882" s="3" t="s">
        <v>425</v>
      </c>
      <c r="D1882" s="3"/>
      <c r="E1882" s="3" t="s">
        <v>425</v>
      </c>
      <c r="F1882" s="3"/>
      <c r="G1882" s="3"/>
      <c r="H1882" s="3"/>
      <c r="I1882" s="3"/>
      <c r="J1882" s="3"/>
      <c r="K1882" s="3"/>
      <c r="L1882" s="3" t="s">
        <v>564</v>
      </c>
      <c r="M1882" s="3">
        <v>60</v>
      </c>
      <c r="N1882" s="3" t="s">
        <v>106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563</v>
      </c>
      <c r="C1883" s="3" t="s">
        <v>425</v>
      </c>
      <c r="D1883" s="3"/>
      <c r="E1883" s="3" t="s">
        <v>425</v>
      </c>
      <c r="F1883" s="3"/>
      <c r="G1883" s="3"/>
      <c r="H1883" s="3"/>
      <c r="I1883" s="3"/>
      <c r="J1883" s="3"/>
      <c r="K1883" s="3"/>
      <c r="L1883" s="3" t="s">
        <v>564</v>
      </c>
      <c r="M1883" s="3">
        <v>70</v>
      </c>
      <c r="N1883" s="3" t="s">
        <v>104</v>
      </c>
      <c r="O1883" s="3"/>
      <c r="P1883" s="3"/>
      <c r="Q1883" s="3">
        <v>8.7999999999999995E-2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563</v>
      </c>
      <c r="C1884" s="3" t="s">
        <v>425</v>
      </c>
      <c r="D1884" s="3"/>
      <c r="E1884" s="3" t="s">
        <v>425</v>
      </c>
      <c r="F1884" s="3"/>
      <c r="G1884" s="3"/>
      <c r="H1884" s="3"/>
      <c r="I1884" s="3"/>
      <c r="J1884" s="3"/>
      <c r="K1884" s="3"/>
      <c r="L1884" s="3" t="s">
        <v>564</v>
      </c>
      <c r="M1884" s="3">
        <v>80</v>
      </c>
      <c r="N1884" s="3" t="s">
        <v>192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563</v>
      </c>
      <c r="C1885" s="3" t="s">
        <v>425</v>
      </c>
      <c r="D1885" s="3"/>
      <c r="E1885" s="3" t="s">
        <v>425</v>
      </c>
      <c r="F1885" s="3"/>
      <c r="G1885" s="3"/>
      <c r="H1885" s="3"/>
      <c r="I1885" s="3"/>
      <c r="J1885" s="3"/>
      <c r="K1885" s="3"/>
      <c r="L1885" s="3" t="s">
        <v>564</v>
      </c>
      <c r="M1885" s="3">
        <v>90</v>
      </c>
      <c r="N1885" s="3" t="s">
        <v>18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563</v>
      </c>
      <c r="C1886" s="3" t="s">
        <v>425</v>
      </c>
      <c r="D1886" s="3"/>
      <c r="E1886" s="3" t="s">
        <v>425</v>
      </c>
      <c r="F1886" s="3"/>
      <c r="G1886" s="3"/>
      <c r="H1886" s="3"/>
      <c r="I1886" s="3"/>
      <c r="J1886" s="3"/>
      <c r="K1886" s="3"/>
      <c r="L1886" s="3" t="s">
        <v>564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563</v>
      </c>
      <c r="C1887" s="3" t="s">
        <v>425</v>
      </c>
      <c r="D1887" s="3"/>
      <c r="E1887" s="3" t="s">
        <v>425</v>
      </c>
      <c r="F1887" s="3"/>
      <c r="G1887" s="3"/>
      <c r="H1887" s="3"/>
      <c r="I1887" s="3"/>
      <c r="J1887" s="3"/>
      <c r="K1887" s="3"/>
      <c r="L1887" s="3" t="s">
        <v>564</v>
      </c>
      <c r="M1887" s="3">
        <v>110</v>
      </c>
      <c r="N1887" s="3" t="s">
        <v>101</v>
      </c>
      <c r="O1887" s="3"/>
      <c r="P1887" s="3"/>
      <c r="Q1887" s="3">
        <v>0.32300000000000001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563</v>
      </c>
      <c r="C1888" s="3" t="s">
        <v>425</v>
      </c>
      <c r="D1888" s="3"/>
      <c r="E1888" s="3" t="s">
        <v>425</v>
      </c>
      <c r="F1888" s="3"/>
      <c r="G1888" s="3"/>
      <c r="H1888" s="3"/>
      <c r="I1888" s="3"/>
      <c r="J1888" s="3"/>
      <c r="K1888" s="3"/>
      <c r="L1888" s="3" t="s">
        <v>564</v>
      </c>
      <c r="M1888" s="3">
        <v>120</v>
      </c>
      <c r="N1888" s="3" t="s">
        <v>426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563</v>
      </c>
      <c r="C1889" s="3" t="s">
        <v>427</v>
      </c>
      <c r="D1889" s="3"/>
      <c r="E1889" s="3" t="s">
        <v>427</v>
      </c>
      <c r="F1889" s="3"/>
      <c r="G1889" s="3"/>
      <c r="H1889" s="3"/>
      <c r="I1889" s="3"/>
      <c r="J1889" s="3"/>
      <c r="K1889" s="3"/>
      <c r="L1889" s="3" t="s">
        <v>564</v>
      </c>
      <c r="M1889" s="3">
        <v>10</v>
      </c>
      <c r="N1889" s="3" t="s">
        <v>107</v>
      </c>
      <c r="O1889" s="3"/>
      <c r="P1889" s="3"/>
      <c r="Q1889" s="3">
        <v>1.0920000000000001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563</v>
      </c>
      <c r="C1890" s="3" t="s">
        <v>427</v>
      </c>
      <c r="D1890" s="3"/>
      <c r="E1890" s="3" t="s">
        <v>427</v>
      </c>
      <c r="F1890" s="3"/>
      <c r="G1890" s="3"/>
      <c r="H1890" s="3"/>
      <c r="I1890" s="3"/>
      <c r="J1890" s="3"/>
      <c r="K1890" s="3"/>
      <c r="L1890" s="3" t="s">
        <v>564</v>
      </c>
      <c r="M1890" s="3">
        <v>20</v>
      </c>
      <c r="N1890" s="3" t="s">
        <v>565</v>
      </c>
      <c r="O1890" s="3"/>
      <c r="P1890" s="3"/>
      <c r="Q1890" s="3">
        <v>1.0920000000000001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563</v>
      </c>
      <c r="C1891" s="3" t="s">
        <v>427</v>
      </c>
      <c r="D1891" s="3"/>
      <c r="E1891" s="3" t="s">
        <v>427</v>
      </c>
      <c r="F1891" s="3"/>
      <c r="G1891" s="3"/>
      <c r="H1891" s="3"/>
      <c r="I1891" s="3"/>
      <c r="J1891" s="3"/>
      <c r="K1891" s="3"/>
      <c r="L1891" s="3" t="s">
        <v>564</v>
      </c>
      <c r="M1891" s="3">
        <v>30</v>
      </c>
      <c r="N1891" s="3" t="s">
        <v>99</v>
      </c>
      <c r="O1891" s="3"/>
      <c r="P1891" s="3"/>
      <c r="Q1891" s="3">
        <v>0.30599999999999999</v>
      </c>
      <c r="R1891" s="3" t="s">
        <v>100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563</v>
      </c>
      <c r="C1892" s="3" t="s">
        <v>427</v>
      </c>
      <c r="D1892" s="3"/>
      <c r="E1892" s="3" t="s">
        <v>427</v>
      </c>
      <c r="F1892" s="3"/>
      <c r="G1892" s="3"/>
      <c r="H1892" s="3"/>
      <c r="I1892" s="3"/>
      <c r="J1892" s="3"/>
      <c r="K1892" s="3"/>
      <c r="L1892" s="3" t="s">
        <v>564</v>
      </c>
      <c r="M1892" s="3">
        <v>40</v>
      </c>
      <c r="N1892" s="3" t="s">
        <v>108</v>
      </c>
      <c r="O1892" s="3"/>
      <c r="P1892" s="3"/>
      <c r="Q1892" s="3">
        <v>11.989000000000001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563</v>
      </c>
      <c r="C1893" s="3" t="s">
        <v>427</v>
      </c>
      <c r="D1893" s="3"/>
      <c r="E1893" s="3" t="s">
        <v>427</v>
      </c>
      <c r="F1893" s="3"/>
      <c r="G1893" s="3"/>
      <c r="H1893" s="3"/>
      <c r="I1893" s="3"/>
      <c r="J1893" s="3"/>
      <c r="K1893" s="3"/>
      <c r="L1893" s="3" t="s">
        <v>564</v>
      </c>
      <c r="M1893" s="3">
        <v>50</v>
      </c>
      <c r="N1893" s="3" t="s">
        <v>105</v>
      </c>
      <c r="O1893" s="3"/>
      <c r="P1893" s="3"/>
      <c r="Q1893" s="3">
        <v>73.730999999999995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563</v>
      </c>
      <c r="C1894" s="3" t="s">
        <v>427</v>
      </c>
      <c r="D1894" s="3"/>
      <c r="E1894" s="3" t="s">
        <v>427</v>
      </c>
      <c r="F1894" s="3"/>
      <c r="G1894" s="3"/>
      <c r="H1894" s="3"/>
      <c r="I1894" s="3"/>
      <c r="J1894" s="3"/>
      <c r="K1894" s="3"/>
      <c r="L1894" s="3" t="s">
        <v>564</v>
      </c>
      <c r="M1894" s="3">
        <v>60</v>
      </c>
      <c r="N1894" s="3" t="s">
        <v>106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563</v>
      </c>
      <c r="C1895" s="3" t="s">
        <v>427</v>
      </c>
      <c r="D1895" s="3"/>
      <c r="E1895" s="3" t="s">
        <v>427</v>
      </c>
      <c r="F1895" s="3"/>
      <c r="G1895" s="3"/>
      <c r="H1895" s="3"/>
      <c r="I1895" s="3"/>
      <c r="J1895" s="3"/>
      <c r="K1895" s="3"/>
      <c r="L1895" s="3" t="s">
        <v>564</v>
      </c>
      <c r="M1895" s="3">
        <v>70</v>
      </c>
      <c r="N1895" s="3" t="s">
        <v>104</v>
      </c>
      <c r="O1895" s="3"/>
      <c r="P1895" s="3"/>
      <c r="Q1895" s="3">
        <v>0.1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563</v>
      </c>
      <c r="C1896" s="3" t="s">
        <v>427</v>
      </c>
      <c r="D1896" s="3"/>
      <c r="E1896" s="3" t="s">
        <v>427</v>
      </c>
      <c r="F1896" s="3"/>
      <c r="G1896" s="3"/>
      <c r="H1896" s="3"/>
      <c r="I1896" s="3"/>
      <c r="J1896" s="3"/>
      <c r="K1896" s="3"/>
      <c r="L1896" s="3" t="s">
        <v>564</v>
      </c>
      <c r="M1896" s="3">
        <v>80</v>
      </c>
      <c r="N1896" s="3" t="s">
        <v>192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563</v>
      </c>
      <c r="C1897" s="3" t="s">
        <v>427</v>
      </c>
      <c r="D1897" s="3"/>
      <c r="E1897" s="3" t="s">
        <v>427</v>
      </c>
      <c r="F1897" s="3"/>
      <c r="G1897" s="3"/>
      <c r="H1897" s="3"/>
      <c r="I1897" s="3"/>
      <c r="J1897" s="3"/>
      <c r="K1897" s="3"/>
      <c r="L1897" s="3" t="s">
        <v>564</v>
      </c>
      <c r="M1897" s="3">
        <v>90</v>
      </c>
      <c r="N1897" s="3" t="s">
        <v>18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563</v>
      </c>
      <c r="C1898" s="3" t="s">
        <v>427</v>
      </c>
      <c r="D1898" s="3"/>
      <c r="E1898" s="3" t="s">
        <v>427</v>
      </c>
      <c r="F1898" s="3"/>
      <c r="G1898" s="3"/>
      <c r="H1898" s="3"/>
      <c r="I1898" s="3"/>
      <c r="J1898" s="3"/>
      <c r="K1898" s="3"/>
      <c r="L1898" s="3" t="s">
        <v>564</v>
      </c>
      <c r="M1898" s="3">
        <v>100</v>
      </c>
      <c r="N1898" s="3" t="s">
        <v>19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563</v>
      </c>
      <c r="C1899" s="3" t="s">
        <v>427</v>
      </c>
      <c r="D1899" s="3"/>
      <c r="E1899" s="3" t="s">
        <v>427</v>
      </c>
      <c r="F1899" s="3"/>
      <c r="G1899" s="3"/>
      <c r="H1899" s="3"/>
      <c r="I1899" s="3"/>
      <c r="J1899" s="3"/>
      <c r="K1899" s="3"/>
      <c r="L1899" s="3" t="s">
        <v>564</v>
      </c>
      <c r="M1899" s="3">
        <v>110</v>
      </c>
      <c r="N1899" s="3" t="s">
        <v>101</v>
      </c>
      <c r="O1899" s="3"/>
      <c r="P1899" s="3"/>
      <c r="Q1899" s="3">
        <v>0.36799999999999999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563</v>
      </c>
      <c r="C1900" s="3" t="s">
        <v>427</v>
      </c>
      <c r="D1900" s="3"/>
      <c r="E1900" s="3" t="s">
        <v>427</v>
      </c>
      <c r="F1900" s="3"/>
      <c r="G1900" s="3"/>
      <c r="H1900" s="3"/>
      <c r="I1900" s="3"/>
      <c r="J1900" s="3"/>
      <c r="K1900" s="3"/>
      <c r="L1900" s="3" t="s">
        <v>564</v>
      </c>
      <c r="M1900" s="3">
        <v>120</v>
      </c>
      <c r="N1900" s="3" t="s">
        <v>428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563</v>
      </c>
      <c r="C1901" s="3" t="s">
        <v>429</v>
      </c>
      <c r="D1901" s="3"/>
      <c r="E1901" s="3" t="s">
        <v>429</v>
      </c>
      <c r="F1901" s="3"/>
      <c r="G1901" s="3"/>
      <c r="H1901" s="3"/>
      <c r="I1901" s="3"/>
      <c r="J1901" s="3"/>
      <c r="K1901" s="3"/>
      <c r="L1901" s="3" t="s">
        <v>564</v>
      </c>
      <c r="M1901" s="3">
        <v>10</v>
      </c>
      <c r="N1901" s="3" t="s">
        <v>107</v>
      </c>
      <c r="O1901" s="3"/>
      <c r="P1901" s="3"/>
      <c r="Q1901" s="3">
        <v>1.2450000000000001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563</v>
      </c>
      <c r="C1902" s="3" t="s">
        <v>429</v>
      </c>
      <c r="D1902" s="3"/>
      <c r="E1902" s="3" t="s">
        <v>429</v>
      </c>
      <c r="F1902" s="3"/>
      <c r="G1902" s="3"/>
      <c r="H1902" s="3"/>
      <c r="I1902" s="3"/>
      <c r="J1902" s="3"/>
      <c r="K1902" s="3"/>
      <c r="L1902" s="3" t="s">
        <v>564</v>
      </c>
      <c r="M1902" s="3">
        <v>20</v>
      </c>
      <c r="N1902" s="3" t="s">
        <v>565</v>
      </c>
      <c r="O1902" s="3"/>
      <c r="P1902" s="3"/>
      <c r="Q1902" s="3">
        <v>1.2450000000000001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563</v>
      </c>
      <c r="C1903" s="3" t="s">
        <v>429</v>
      </c>
      <c r="D1903" s="3"/>
      <c r="E1903" s="3" t="s">
        <v>429</v>
      </c>
      <c r="F1903" s="3"/>
      <c r="G1903" s="3"/>
      <c r="H1903" s="3"/>
      <c r="I1903" s="3"/>
      <c r="J1903" s="3"/>
      <c r="K1903" s="3"/>
      <c r="L1903" s="3" t="s">
        <v>564</v>
      </c>
      <c r="M1903" s="3">
        <v>30</v>
      </c>
      <c r="N1903" s="3" t="s">
        <v>99</v>
      </c>
      <c r="O1903" s="3"/>
      <c r="P1903" s="3"/>
      <c r="Q1903" s="3">
        <v>0.35</v>
      </c>
      <c r="R1903" s="3" t="s">
        <v>100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563</v>
      </c>
      <c r="C1904" s="3" t="s">
        <v>429</v>
      </c>
      <c r="D1904" s="3"/>
      <c r="E1904" s="3" t="s">
        <v>429</v>
      </c>
      <c r="F1904" s="3"/>
      <c r="G1904" s="3"/>
      <c r="H1904" s="3"/>
      <c r="I1904" s="3"/>
      <c r="J1904" s="3"/>
      <c r="K1904" s="3"/>
      <c r="L1904" s="3" t="s">
        <v>564</v>
      </c>
      <c r="M1904" s="3">
        <v>40</v>
      </c>
      <c r="N1904" s="3" t="s">
        <v>108</v>
      </c>
      <c r="O1904" s="3"/>
      <c r="P1904" s="3"/>
      <c r="Q1904" s="3">
        <v>12.598000000000001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563</v>
      </c>
      <c r="C1905" s="3" t="s">
        <v>429</v>
      </c>
      <c r="D1905" s="3"/>
      <c r="E1905" s="3" t="s">
        <v>429</v>
      </c>
      <c r="F1905" s="3"/>
      <c r="G1905" s="3"/>
      <c r="H1905" s="3"/>
      <c r="I1905" s="3"/>
      <c r="J1905" s="3"/>
      <c r="K1905" s="3"/>
      <c r="L1905" s="3" t="s">
        <v>564</v>
      </c>
      <c r="M1905" s="3">
        <v>50</v>
      </c>
      <c r="N1905" s="3" t="s">
        <v>105</v>
      </c>
      <c r="O1905" s="3"/>
      <c r="P1905" s="3"/>
      <c r="Q1905" s="3">
        <v>77.48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563</v>
      </c>
      <c r="C1906" s="3" t="s">
        <v>429</v>
      </c>
      <c r="D1906" s="3"/>
      <c r="E1906" s="3" t="s">
        <v>429</v>
      </c>
      <c r="F1906" s="3"/>
      <c r="G1906" s="3"/>
      <c r="H1906" s="3"/>
      <c r="I1906" s="3"/>
      <c r="J1906" s="3"/>
      <c r="K1906" s="3"/>
      <c r="L1906" s="3" t="s">
        <v>564</v>
      </c>
      <c r="M1906" s="3">
        <v>60</v>
      </c>
      <c r="N1906" s="3" t="s">
        <v>106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563</v>
      </c>
      <c r="C1907" s="3" t="s">
        <v>429</v>
      </c>
      <c r="D1907" s="3"/>
      <c r="E1907" s="3" t="s">
        <v>429</v>
      </c>
      <c r="F1907" s="3"/>
      <c r="G1907" s="3"/>
      <c r="H1907" s="3"/>
      <c r="I1907" s="3"/>
      <c r="J1907" s="3"/>
      <c r="K1907" s="3"/>
      <c r="L1907" s="3" t="s">
        <v>564</v>
      </c>
      <c r="M1907" s="3">
        <v>70</v>
      </c>
      <c r="N1907" s="3" t="s">
        <v>104</v>
      </c>
      <c r="O1907" s="3"/>
      <c r="P1907" s="3"/>
      <c r="Q1907" s="3">
        <v>0.111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563</v>
      </c>
      <c r="C1908" s="3" t="s">
        <v>429</v>
      </c>
      <c r="D1908" s="3"/>
      <c r="E1908" s="3" t="s">
        <v>429</v>
      </c>
      <c r="F1908" s="3"/>
      <c r="G1908" s="3"/>
      <c r="H1908" s="3"/>
      <c r="I1908" s="3"/>
      <c r="J1908" s="3"/>
      <c r="K1908" s="3"/>
      <c r="L1908" s="3" t="s">
        <v>564</v>
      </c>
      <c r="M1908" s="3">
        <v>80</v>
      </c>
      <c r="N1908" s="3" t="s">
        <v>192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563</v>
      </c>
      <c r="C1909" s="3" t="s">
        <v>429</v>
      </c>
      <c r="D1909" s="3"/>
      <c r="E1909" s="3" t="s">
        <v>429</v>
      </c>
      <c r="F1909" s="3"/>
      <c r="G1909" s="3"/>
      <c r="H1909" s="3"/>
      <c r="I1909" s="3"/>
      <c r="J1909" s="3"/>
      <c r="K1909" s="3"/>
      <c r="L1909" s="3" t="s">
        <v>564</v>
      </c>
      <c r="M1909" s="3">
        <v>90</v>
      </c>
      <c r="N1909" s="3" t="s">
        <v>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563</v>
      </c>
      <c r="C1910" s="3" t="s">
        <v>429</v>
      </c>
      <c r="D1910" s="3"/>
      <c r="E1910" s="3" t="s">
        <v>429</v>
      </c>
      <c r="F1910" s="3"/>
      <c r="G1910" s="3"/>
      <c r="H1910" s="3"/>
      <c r="I1910" s="3"/>
      <c r="J1910" s="3"/>
      <c r="K1910" s="3"/>
      <c r="L1910" s="3" t="s">
        <v>564</v>
      </c>
      <c r="M1910" s="3">
        <v>100</v>
      </c>
      <c r="N1910" s="3" t="s">
        <v>19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563</v>
      </c>
      <c r="C1911" s="3" t="s">
        <v>429</v>
      </c>
      <c r="D1911" s="3"/>
      <c r="E1911" s="3" t="s">
        <v>429</v>
      </c>
      <c r="F1911" s="3"/>
      <c r="G1911" s="3"/>
      <c r="H1911" s="3"/>
      <c r="I1911" s="3"/>
      <c r="J1911" s="3"/>
      <c r="K1911" s="3"/>
      <c r="L1911" s="3" t="s">
        <v>564</v>
      </c>
      <c r="M1911" s="3">
        <v>110</v>
      </c>
      <c r="N1911" s="3" t="s">
        <v>101</v>
      </c>
      <c r="O1911" s="3"/>
      <c r="P1911" s="3"/>
      <c r="Q1911" s="3">
        <v>0.41299999999999998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563</v>
      </c>
      <c r="C1912" s="3" t="s">
        <v>429</v>
      </c>
      <c r="D1912" s="3"/>
      <c r="E1912" s="3" t="s">
        <v>429</v>
      </c>
      <c r="F1912" s="3"/>
      <c r="G1912" s="3"/>
      <c r="H1912" s="3"/>
      <c r="I1912" s="3"/>
      <c r="J1912" s="3"/>
      <c r="K1912" s="3"/>
      <c r="L1912" s="3" t="s">
        <v>564</v>
      </c>
      <c r="M1912" s="3">
        <v>120</v>
      </c>
      <c r="N1912" s="3" t="s">
        <v>430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563</v>
      </c>
      <c r="C1913" s="3" t="s">
        <v>431</v>
      </c>
      <c r="D1913" s="3"/>
      <c r="E1913" s="3" t="s">
        <v>431</v>
      </c>
      <c r="F1913" s="3"/>
      <c r="G1913" s="3"/>
      <c r="H1913" s="3"/>
      <c r="I1913" s="3"/>
      <c r="J1913" s="3"/>
      <c r="K1913" s="3"/>
      <c r="L1913" s="3" t="s">
        <v>564</v>
      </c>
      <c r="M1913" s="3">
        <v>10</v>
      </c>
      <c r="N1913" s="3" t="s">
        <v>107</v>
      </c>
      <c r="O1913" s="3"/>
      <c r="P1913" s="3"/>
      <c r="Q1913" s="3">
        <v>1.5489999999999999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563</v>
      </c>
      <c r="C1914" s="3" t="s">
        <v>431</v>
      </c>
      <c r="D1914" s="3"/>
      <c r="E1914" s="3" t="s">
        <v>431</v>
      </c>
      <c r="F1914" s="3"/>
      <c r="G1914" s="3"/>
      <c r="H1914" s="3"/>
      <c r="I1914" s="3"/>
      <c r="J1914" s="3"/>
      <c r="K1914" s="3"/>
      <c r="L1914" s="3" t="s">
        <v>564</v>
      </c>
      <c r="M1914" s="3">
        <v>20</v>
      </c>
      <c r="N1914" s="3" t="s">
        <v>565</v>
      </c>
      <c r="O1914" s="3"/>
      <c r="P1914" s="3"/>
      <c r="Q1914" s="3">
        <v>1.5489999999999999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563</v>
      </c>
      <c r="C1915" s="3" t="s">
        <v>431</v>
      </c>
      <c r="D1915" s="3"/>
      <c r="E1915" s="3" t="s">
        <v>431</v>
      </c>
      <c r="F1915" s="3"/>
      <c r="G1915" s="3"/>
      <c r="H1915" s="3"/>
      <c r="I1915" s="3"/>
      <c r="J1915" s="3"/>
      <c r="K1915" s="3"/>
      <c r="L1915" s="3" t="s">
        <v>564</v>
      </c>
      <c r="M1915" s="3">
        <v>30</v>
      </c>
      <c r="N1915" s="3" t="s">
        <v>99</v>
      </c>
      <c r="O1915" s="3"/>
      <c r="P1915" s="3"/>
      <c r="Q1915" s="3">
        <v>0.437</v>
      </c>
      <c r="R1915" s="3" t="s">
        <v>100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563</v>
      </c>
      <c r="C1916" s="3" t="s">
        <v>431</v>
      </c>
      <c r="D1916" s="3"/>
      <c r="E1916" s="3" t="s">
        <v>431</v>
      </c>
      <c r="F1916" s="3"/>
      <c r="G1916" s="3"/>
      <c r="H1916" s="3"/>
      <c r="I1916" s="3"/>
      <c r="J1916" s="3"/>
      <c r="K1916" s="3"/>
      <c r="L1916" s="3" t="s">
        <v>564</v>
      </c>
      <c r="M1916" s="3">
        <v>40</v>
      </c>
      <c r="N1916" s="3" t="s">
        <v>108</v>
      </c>
      <c r="O1916" s="3"/>
      <c r="P1916" s="3"/>
      <c r="Q1916" s="3">
        <v>13.818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563</v>
      </c>
      <c r="C1917" s="3" t="s">
        <v>431</v>
      </c>
      <c r="D1917" s="3"/>
      <c r="E1917" s="3" t="s">
        <v>431</v>
      </c>
      <c r="F1917" s="3"/>
      <c r="G1917" s="3"/>
      <c r="H1917" s="3"/>
      <c r="I1917" s="3"/>
      <c r="J1917" s="3"/>
      <c r="K1917" s="3"/>
      <c r="L1917" s="3" t="s">
        <v>564</v>
      </c>
      <c r="M1917" s="3">
        <v>50</v>
      </c>
      <c r="N1917" s="3" t="s">
        <v>105</v>
      </c>
      <c r="O1917" s="3"/>
      <c r="P1917" s="3"/>
      <c r="Q1917" s="3">
        <v>84.977999999999994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563</v>
      </c>
      <c r="C1918" s="3" t="s">
        <v>431</v>
      </c>
      <c r="D1918" s="3"/>
      <c r="E1918" s="3" t="s">
        <v>431</v>
      </c>
      <c r="F1918" s="3"/>
      <c r="G1918" s="3"/>
      <c r="H1918" s="3"/>
      <c r="I1918" s="3"/>
      <c r="J1918" s="3"/>
      <c r="K1918" s="3"/>
      <c r="L1918" s="3" t="s">
        <v>564</v>
      </c>
      <c r="M1918" s="3">
        <v>60</v>
      </c>
      <c r="N1918" s="3" t="s">
        <v>106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563</v>
      </c>
      <c r="C1919" s="3" t="s">
        <v>431</v>
      </c>
      <c r="D1919" s="3"/>
      <c r="E1919" s="3" t="s">
        <v>431</v>
      </c>
      <c r="F1919" s="3"/>
      <c r="G1919" s="3"/>
      <c r="H1919" s="3"/>
      <c r="I1919" s="3"/>
      <c r="J1919" s="3"/>
      <c r="K1919" s="3"/>
      <c r="L1919" s="3" t="s">
        <v>564</v>
      </c>
      <c r="M1919" s="3">
        <v>70</v>
      </c>
      <c r="N1919" s="3" t="s">
        <v>104</v>
      </c>
      <c r="O1919" s="3"/>
      <c r="P1919" s="3"/>
      <c r="Q1919" s="3">
        <v>0.13300000000000001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563</v>
      </c>
      <c r="C1920" s="3" t="s">
        <v>431</v>
      </c>
      <c r="D1920" s="3"/>
      <c r="E1920" s="3" t="s">
        <v>431</v>
      </c>
      <c r="F1920" s="3"/>
      <c r="G1920" s="3"/>
      <c r="H1920" s="3"/>
      <c r="I1920" s="3"/>
      <c r="J1920" s="3"/>
      <c r="K1920" s="3"/>
      <c r="L1920" s="3" t="s">
        <v>564</v>
      </c>
      <c r="M1920" s="3">
        <v>80</v>
      </c>
      <c r="N1920" s="3" t="s">
        <v>192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563</v>
      </c>
      <c r="C1921" s="3" t="s">
        <v>431</v>
      </c>
      <c r="D1921" s="3"/>
      <c r="E1921" s="3" t="s">
        <v>431</v>
      </c>
      <c r="F1921" s="3"/>
      <c r="G1921" s="3"/>
      <c r="H1921" s="3"/>
      <c r="I1921" s="3"/>
      <c r="J1921" s="3"/>
      <c r="K1921" s="3"/>
      <c r="L1921" s="3" t="s">
        <v>564</v>
      </c>
      <c r="M1921" s="3">
        <v>90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563</v>
      </c>
      <c r="C1922" s="3" t="s">
        <v>431</v>
      </c>
      <c r="D1922" s="3"/>
      <c r="E1922" s="3" t="s">
        <v>431</v>
      </c>
      <c r="F1922" s="3"/>
      <c r="G1922" s="3"/>
      <c r="H1922" s="3"/>
      <c r="I1922" s="3"/>
      <c r="J1922" s="3"/>
      <c r="K1922" s="3"/>
      <c r="L1922" s="3" t="s">
        <v>564</v>
      </c>
      <c r="M1922" s="3">
        <v>100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563</v>
      </c>
      <c r="C1923" s="3" t="s">
        <v>431</v>
      </c>
      <c r="D1923" s="3"/>
      <c r="E1923" s="3" t="s">
        <v>431</v>
      </c>
      <c r="F1923" s="3"/>
      <c r="G1923" s="3"/>
      <c r="H1923" s="3"/>
      <c r="I1923" s="3"/>
      <c r="J1923" s="3"/>
      <c r="K1923" s="3"/>
      <c r="L1923" s="3" t="s">
        <v>564</v>
      </c>
      <c r="M1923" s="3">
        <v>110</v>
      </c>
      <c r="N1923" s="3" t="s">
        <v>101</v>
      </c>
      <c r="O1923" s="3"/>
      <c r="P1923" s="3"/>
      <c r="Q1923" s="3">
        <v>0.503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563</v>
      </c>
      <c r="C1924" s="3" t="s">
        <v>431</v>
      </c>
      <c r="D1924" s="3"/>
      <c r="E1924" s="3" t="s">
        <v>431</v>
      </c>
      <c r="F1924" s="3"/>
      <c r="G1924" s="3"/>
      <c r="H1924" s="3"/>
      <c r="I1924" s="3"/>
      <c r="J1924" s="3"/>
      <c r="K1924" s="3"/>
      <c r="L1924" s="3" t="s">
        <v>564</v>
      </c>
      <c r="M1924" s="3">
        <v>120</v>
      </c>
      <c r="N1924" s="3" t="s">
        <v>432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563</v>
      </c>
      <c r="C1925" s="3" t="s">
        <v>433</v>
      </c>
      <c r="D1925" s="3"/>
      <c r="E1925" s="3" t="s">
        <v>433</v>
      </c>
      <c r="F1925" s="3"/>
      <c r="G1925" s="3"/>
      <c r="H1925" s="3"/>
      <c r="I1925" s="3"/>
      <c r="J1925" s="3"/>
      <c r="K1925" s="3"/>
      <c r="L1925" s="3" t="s">
        <v>564</v>
      </c>
      <c r="M1925" s="3">
        <v>10</v>
      </c>
      <c r="N1925" s="3" t="s">
        <v>107</v>
      </c>
      <c r="O1925" s="3"/>
      <c r="P1925" s="3"/>
      <c r="Q1925" s="3">
        <v>1.702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563</v>
      </c>
      <c r="C1926" s="3" t="s">
        <v>433</v>
      </c>
      <c r="D1926" s="3"/>
      <c r="E1926" s="3" t="s">
        <v>433</v>
      </c>
      <c r="F1926" s="3"/>
      <c r="G1926" s="3"/>
      <c r="H1926" s="3"/>
      <c r="I1926" s="3"/>
      <c r="J1926" s="3"/>
      <c r="K1926" s="3"/>
      <c r="L1926" s="3" t="s">
        <v>564</v>
      </c>
      <c r="M1926" s="3">
        <v>20</v>
      </c>
      <c r="N1926" s="3" t="s">
        <v>565</v>
      </c>
      <c r="O1926" s="3"/>
      <c r="P1926" s="3"/>
      <c r="Q1926" s="3">
        <v>1.702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563</v>
      </c>
      <c r="C1927" s="3" t="s">
        <v>433</v>
      </c>
      <c r="D1927" s="3"/>
      <c r="E1927" s="3" t="s">
        <v>433</v>
      </c>
      <c r="F1927" s="3"/>
      <c r="G1927" s="3"/>
      <c r="H1927" s="3"/>
      <c r="I1927" s="3"/>
      <c r="J1927" s="3"/>
      <c r="K1927" s="3"/>
      <c r="L1927" s="3" t="s">
        <v>564</v>
      </c>
      <c r="M1927" s="3">
        <v>30</v>
      </c>
      <c r="N1927" s="3" t="s">
        <v>99</v>
      </c>
      <c r="O1927" s="3"/>
      <c r="P1927" s="3"/>
      <c r="Q1927" s="3">
        <v>0.48099999999999998</v>
      </c>
      <c r="R1927" s="3" t="s">
        <v>100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563</v>
      </c>
      <c r="C1928" s="3" t="s">
        <v>433</v>
      </c>
      <c r="D1928" s="3"/>
      <c r="E1928" s="3" t="s">
        <v>433</v>
      </c>
      <c r="F1928" s="3"/>
      <c r="G1928" s="3"/>
      <c r="H1928" s="3"/>
      <c r="I1928" s="3"/>
      <c r="J1928" s="3"/>
      <c r="K1928" s="3"/>
      <c r="L1928" s="3" t="s">
        <v>564</v>
      </c>
      <c r="M1928" s="3">
        <v>40</v>
      </c>
      <c r="N1928" s="3" t="s">
        <v>108</v>
      </c>
      <c r="O1928" s="3"/>
      <c r="P1928" s="3"/>
      <c r="Q1928" s="3">
        <v>14.427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563</v>
      </c>
      <c r="C1929" s="3" t="s">
        <v>433</v>
      </c>
      <c r="D1929" s="3"/>
      <c r="E1929" s="3" t="s">
        <v>433</v>
      </c>
      <c r="F1929" s="3"/>
      <c r="G1929" s="3"/>
      <c r="H1929" s="3"/>
      <c r="I1929" s="3"/>
      <c r="J1929" s="3"/>
      <c r="K1929" s="3"/>
      <c r="L1929" s="3" t="s">
        <v>564</v>
      </c>
      <c r="M1929" s="3">
        <v>50</v>
      </c>
      <c r="N1929" s="3" t="s">
        <v>105</v>
      </c>
      <c r="O1929" s="3"/>
      <c r="P1929" s="3"/>
      <c r="Q1929" s="3">
        <v>88.727000000000004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563</v>
      </c>
      <c r="C1930" s="3" t="s">
        <v>433</v>
      </c>
      <c r="D1930" s="3"/>
      <c r="E1930" s="3" t="s">
        <v>433</v>
      </c>
      <c r="F1930" s="3"/>
      <c r="G1930" s="3"/>
      <c r="H1930" s="3"/>
      <c r="I1930" s="3"/>
      <c r="J1930" s="3"/>
      <c r="K1930" s="3"/>
      <c r="L1930" s="3" t="s">
        <v>564</v>
      </c>
      <c r="M1930" s="3">
        <v>60</v>
      </c>
      <c r="N1930" s="3" t="s">
        <v>106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563</v>
      </c>
      <c r="C1931" s="3" t="s">
        <v>433</v>
      </c>
      <c r="D1931" s="3"/>
      <c r="E1931" s="3" t="s">
        <v>433</v>
      </c>
      <c r="F1931" s="3"/>
      <c r="G1931" s="3"/>
      <c r="H1931" s="3"/>
      <c r="I1931" s="3"/>
      <c r="J1931" s="3"/>
      <c r="K1931" s="3"/>
      <c r="L1931" s="3" t="s">
        <v>564</v>
      </c>
      <c r="M1931" s="3">
        <v>70</v>
      </c>
      <c r="N1931" s="3" t="s">
        <v>104</v>
      </c>
      <c r="O1931" s="3"/>
      <c r="P1931" s="3"/>
      <c r="Q1931" s="3">
        <v>0.14499999999999999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563</v>
      </c>
      <c r="C1932" s="3" t="s">
        <v>433</v>
      </c>
      <c r="D1932" s="3"/>
      <c r="E1932" s="3" t="s">
        <v>433</v>
      </c>
      <c r="F1932" s="3"/>
      <c r="G1932" s="3"/>
      <c r="H1932" s="3"/>
      <c r="I1932" s="3"/>
      <c r="J1932" s="3"/>
      <c r="K1932" s="3"/>
      <c r="L1932" s="3" t="s">
        <v>564</v>
      </c>
      <c r="M1932" s="3">
        <v>80</v>
      </c>
      <c r="N1932" s="3" t="s">
        <v>192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563</v>
      </c>
      <c r="C1933" s="3" t="s">
        <v>433</v>
      </c>
      <c r="D1933" s="3"/>
      <c r="E1933" s="3" t="s">
        <v>433</v>
      </c>
      <c r="F1933" s="3"/>
      <c r="G1933" s="3"/>
      <c r="H1933" s="3"/>
      <c r="I1933" s="3"/>
      <c r="J1933" s="3"/>
      <c r="K1933" s="3"/>
      <c r="L1933" s="3" t="s">
        <v>564</v>
      </c>
      <c r="M1933" s="3">
        <v>90</v>
      </c>
      <c r="N1933" s="3" t="s">
        <v>18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563</v>
      </c>
      <c r="C1934" s="3" t="s">
        <v>433</v>
      </c>
      <c r="D1934" s="3"/>
      <c r="E1934" s="3" t="s">
        <v>433</v>
      </c>
      <c r="F1934" s="3"/>
      <c r="G1934" s="3"/>
      <c r="H1934" s="3"/>
      <c r="I1934" s="3"/>
      <c r="J1934" s="3"/>
      <c r="K1934" s="3"/>
      <c r="L1934" s="3" t="s">
        <v>564</v>
      </c>
      <c r="M1934" s="3">
        <v>100</v>
      </c>
      <c r="N1934" s="3" t="s">
        <v>19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563</v>
      </c>
      <c r="C1935" s="3" t="s">
        <v>433</v>
      </c>
      <c r="D1935" s="3"/>
      <c r="E1935" s="3" t="s">
        <v>433</v>
      </c>
      <c r="F1935" s="3"/>
      <c r="G1935" s="3"/>
      <c r="H1935" s="3"/>
      <c r="I1935" s="3"/>
      <c r="J1935" s="3"/>
      <c r="K1935" s="3"/>
      <c r="L1935" s="3" t="s">
        <v>564</v>
      </c>
      <c r="M1935" s="3">
        <v>110</v>
      </c>
      <c r="N1935" s="3" t="s">
        <v>101</v>
      </c>
      <c r="O1935" s="3"/>
      <c r="P1935" s="3"/>
      <c r="Q1935" s="3">
        <v>0.54800000000000004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563</v>
      </c>
      <c r="C1936" s="3" t="s">
        <v>433</v>
      </c>
      <c r="D1936" s="3"/>
      <c r="E1936" s="3" t="s">
        <v>433</v>
      </c>
      <c r="F1936" s="3"/>
      <c r="G1936" s="3"/>
      <c r="H1936" s="3"/>
      <c r="I1936" s="3"/>
      <c r="J1936" s="3"/>
      <c r="K1936" s="3"/>
      <c r="L1936" s="3" t="s">
        <v>564</v>
      </c>
      <c r="M1936" s="3">
        <v>120</v>
      </c>
      <c r="N1936" s="3" t="s">
        <v>434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563</v>
      </c>
      <c r="C1937" s="3" t="s">
        <v>435</v>
      </c>
      <c r="D1937" s="3"/>
      <c r="E1937" s="3" t="s">
        <v>435</v>
      </c>
      <c r="F1937" s="3"/>
      <c r="G1937" s="3"/>
      <c r="H1937" s="3"/>
      <c r="I1937" s="3"/>
      <c r="J1937" s="3"/>
      <c r="K1937" s="3"/>
      <c r="L1937" s="3" t="s">
        <v>564</v>
      </c>
      <c r="M1937" s="3">
        <v>10</v>
      </c>
      <c r="N1937" s="3" t="s">
        <v>107</v>
      </c>
      <c r="O1937" s="3"/>
      <c r="P1937" s="3"/>
      <c r="Q1937" s="3">
        <v>1.8540000000000001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563</v>
      </c>
      <c r="C1938" s="3" t="s">
        <v>435</v>
      </c>
      <c r="D1938" s="3"/>
      <c r="E1938" s="3" t="s">
        <v>435</v>
      </c>
      <c r="F1938" s="3"/>
      <c r="G1938" s="3"/>
      <c r="H1938" s="3"/>
      <c r="I1938" s="3"/>
      <c r="J1938" s="3"/>
      <c r="K1938" s="3"/>
      <c r="L1938" s="3" t="s">
        <v>564</v>
      </c>
      <c r="M1938" s="3">
        <v>20</v>
      </c>
      <c r="N1938" s="3" t="s">
        <v>565</v>
      </c>
      <c r="O1938" s="3"/>
      <c r="P1938" s="3"/>
      <c r="Q1938" s="3">
        <v>1.8540000000000001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563</v>
      </c>
      <c r="C1939" s="3" t="s">
        <v>435</v>
      </c>
      <c r="D1939" s="3"/>
      <c r="E1939" s="3" t="s">
        <v>435</v>
      </c>
      <c r="F1939" s="3"/>
      <c r="G1939" s="3"/>
      <c r="H1939" s="3"/>
      <c r="I1939" s="3"/>
      <c r="J1939" s="3"/>
      <c r="K1939" s="3"/>
      <c r="L1939" s="3" t="s">
        <v>564</v>
      </c>
      <c r="M1939" s="3">
        <v>30</v>
      </c>
      <c r="N1939" s="3" t="s">
        <v>99</v>
      </c>
      <c r="O1939" s="3"/>
      <c r="P1939" s="3"/>
      <c r="Q1939" s="3">
        <v>0.52500000000000002</v>
      </c>
      <c r="R1939" s="3" t="s">
        <v>100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563</v>
      </c>
      <c r="C1940" s="3" t="s">
        <v>435</v>
      </c>
      <c r="D1940" s="3"/>
      <c r="E1940" s="3" t="s">
        <v>435</v>
      </c>
      <c r="F1940" s="3"/>
      <c r="G1940" s="3"/>
      <c r="H1940" s="3"/>
      <c r="I1940" s="3"/>
      <c r="J1940" s="3"/>
      <c r="K1940" s="3"/>
      <c r="L1940" s="3" t="s">
        <v>564</v>
      </c>
      <c r="M1940" s="3">
        <v>40</v>
      </c>
      <c r="N1940" s="3" t="s">
        <v>108</v>
      </c>
      <c r="O1940" s="3"/>
      <c r="P1940" s="3"/>
      <c r="Q1940" s="3">
        <v>15.037000000000001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563</v>
      </c>
      <c r="C1941" s="3" t="s">
        <v>435</v>
      </c>
      <c r="D1941" s="3"/>
      <c r="E1941" s="3" t="s">
        <v>435</v>
      </c>
      <c r="F1941" s="3"/>
      <c r="G1941" s="3"/>
      <c r="H1941" s="3"/>
      <c r="I1941" s="3"/>
      <c r="J1941" s="3"/>
      <c r="K1941" s="3"/>
      <c r="L1941" s="3" t="s">
        <v>564</v>
      </c>
      <c r="M1941" s="3">
        <v>50</v>
      </c>
      <c r="N1941" s="3" t="s">
        <v>105</v>
      </c>
      <c r="O1941" s="3"/>
      <c r="P1941" s="3"/>
      <c r="Q1941" s="3">
        <v>92.475999999999999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563</v>
      </c>
      <c r="C1942" s="3" t="s">
        <v>435</v>
      </c>
      <c r="D1942" s="3"/>
      <c r="E1942" s="3" t="s">
        <v>435</v>
      </c>
      <c r="F1942" s="3"/>
      <c r="G1942" s="3"/>
      <c r="H1942" s="3"/>
      <c r="I1942" s="3"/>
      <c r="J1942" s="3"/>
      <c r="K1942" s="3"/>
      <c r="L1942" s="3" t="s">
        <v>564</v>
      </c>
      <c r="M1942" s="3">
        <v>60</v>
      </c>
      <c r="N1942" s="3" t="s">
        <v>106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563</v>
      </c>
      <c r="C1943" s="3" t="s">
        <v>435</v>
      </c>
      <c r="D1943" s="3"/>
      <c r="E1943" s="3" t="s">
        <v>435</v>
      </c>
      <c r="F1943" s="3"/>
      <c r="G1943" s="3"/>
      <c r="H1943" s="3"/>
      <c r="I1943" s="3"/>
      <c r="J1943" s="3"/>
      <c r="K1943" s="3"/>
      <c r="L1943" s="3" t="s">
        <v>564</v>
      </c>
      <c r="M1943" s="3">
        <v>70</v>
      </c>
      <c r="N1943" s="3" t="s">
        <v>104</v>
      </c>
      <c r="O1943" s="3"/>
      <c r="P1943" s="3"/>
      <c r="Q1943" s="3">
        <v>0.156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563</v>
      </c>
      <c r="C1944" s="3" t="s">
        <v>435</v>
      </c>
      <c r="D1944" s="3"/>
      <c r="E1944" s="3" t="s">
        <v>435</v>
      </c>
      <c r="F1944" s="3"/>
      <c r="G1944" s="3"/>
      <c r="H1944" s="3"/>
      <c r="I1944" s="3"/>
      <c r="J1944" s="3"/>
      <c r="K1944" s="3"/>
      <c r="L1944" s="3" t="s">
        <v>564</v>
      </c>
      <c r="M1944" s="3">
        <v>80</v>
      </c>
      <c r="N1944" s="3" t="s">
        <v>192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563</v>
      </c>
      <c r="C1945" s="3" t="s">
        <v>435</v>
      </c>
      <c r="D1945" s="3"/>
      <c r="E1945" s="3" t="s">
        <v>435</v>
      </c>
      <c r="F1945" s="3"/>
      <c r="G1945" s="3"/>
      <c r="H1945" s="3"/>
      <c r="I1945" s="3"/>
      <c r="J1945" s="3"/>
      <c r="K1945" s="3"/>
      <c r="L1945" s="3" t="s">
        <v>564</v>
      </c>
      <c r="M1945" s="3">
        <v>90</v>
      </c>
      <c r="N1945" s="3" t="s">
        <v>18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563</v>
      </c>
      <c r="C1946" s="3" t="s">
        <v>435</v>
      </c>
      <c r="D1946" s="3"/>
      <c r="E1946" s="3" t="s">
        <v>435</v>
      </c>
      <c r="F1946" s="3"/>
      <c r="G1946" s="3"/>
      <c r="H1946" s="3"/>
      <c r="I1946" s="3"/>
      <c r="J1946" s="3"/>
      <c r="K1946" s="3"/>
      <c r="L1946" s="3" t="s">
        <v>564</v>
      </c>
      <c r="M1946" s="3">
        <v>100</v>
      </c>
      <c r="N1946" s="3" t="s">
        <v>19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563</v>
      </c>
      <c r="C1947" s="3" t="s">
        <v>435</v>
      </c>
      <c r="D1947" s="3"/>
      <c r="E1947" s="3" t="s">
        <v>435</v>
      </c>
      <c r="F1947" s="3"/>
      <c r="G1947" s="3"/>
      <c r="H1947" s="3"/>
      <c r="I1947" s="3"/>
      <c r="J1947" s="3"/>
      <c r="K1947" s="3"/>
      <c r="L1947" s="3" t="s">
        <v>564</v>
      </c>
      <c r="M1947" s="3">
        <v>110</v>
      </c>
      <c r="N1947" s="3" t="s">
        <v>101</v>
      </c>
      <c r="O1947" s="3"/>
      <c r="P1947" s="3"/>
      <c r="Q1947" s="3">
        <v>0.59299999999999997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563</v>
      </c>
      <c r="C1948" s="3" t="s">
        <v>435</v>
      </c>
      <c r="D1948" s="3"/>
      <c r="E1948" s="3" t="s">
        <v>435</v>
      </c>
      <c r="F1948" s="3"/>
      <c r="G1948" s="3"/>
      <c r="H1948" s="3"/>
      <c r="I1948" s="3"/>
      <c r="J1948" s="3"/>
      <c r="K1948" s="3"/>
      <c r="L1948" s="3" t="s">
        <v>564</v>
      </c>
      <c r="M1948" s="3">
        <v>120</v>
      </c>
      <c r="N1948" s="3" t="s">
        <v>436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563</v>
      </c>
      <c r="C1949" s="3" t="s">
        <v>437</v>
      </c>
      <c r="D1949" s="3"/>
      <c r="E1949" s="3" t="s">
        <v>437</v>
      </c>
      <c r="F1949" s="3"/>
      <c r="G1949" s="3"/>
      <c r="H1949" s="3"/>
      <c r="I1949" s="3"/>
      <c r="J1949" s="3"/>
      <c r="K1949" s="3"/>
      <c r="L1949" s="3" t="s">
        <v>564</v>
      </c>
      <c r="M1949" s="3">
        <v>10</v>
      </c>
      <c r="N1949" s="3" t="s">
        <v>107</v>
      </c>
      <c r="O1949" s="3"/>
      <c r="P1949" s="3"/>
      <c r="Q1949" s="3">
        <v>0.78700000000000003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563</v>
      </c>
      <c r="C1950" s="3" t="s">
        <v>437</v>
      </c>
      <c r="D1950" s="3"/>
      <c r="E1950" s="3" t="s">
        <v>437</v>
      </c>
      <c r="F1950" s="3"/>
      <c r="G1950" s="3"/>
      <c r="H1950" s="3"/>
      <c r="I1950" s="3"/>
      <c r="J1950" s="3"/>
      <c r="K1950" s="3"/>
      <c r="L1950" s="3" t="s">
        <v>564</v>
      </c>
      <c r="M1950" s="3">
        <v>20</v>
      </c>
      <c r="N1950" s="3" t="s">
        <v>565</v>
      </c>
      <c r="O1950" s="3"/>
      <c r="P1950" s="3"/>
      <c r="Q1950" s="3">
        <v>0.78700000000000003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563</v>
      </c>
      <c r="C1951" s="3" t="s">
        <v>437</v>
      </c>
      <c r="D1951" s="3"/>
      <c r="E1951" s="3" t="s">
        <v>437</v>
      </c>
      <c r="F1951" s="3"/>
      <c r="G1951" s="3"/>
      <c r="H1951" s="3"/>
      <c r="I1951" s="3"/>
      <c r="J1951" s="3"/>
      <c r="K1951" s="3"/>
      <c r="L1951" s="3" t="s">
        <v>564</v>
      </c>
      <c r="M1951" s="3">
        <v>30</v>
      </c>
      <c r="N1951" s="3" t="s">
        <v>99</v>
      </c>
      <c r="O1951" s="3"/>
      <c r="P1951" s="3"/>
      <c r="Q1951" s="3">
        <v>0.22800000000000001</v>
      </c>
      <c r="R1951" s="3" t="s">
        <v>100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563</v>
      </c>
      <c r="C1952" s="3" t="s">
        <v>437</v>
      </c>
      <c r="D1952" s="3"/>
      <c r="E1952" s="3" t="s">
        <v>437</v>
      </c>
      <c r="F1952" s="3"/>
      <c r="G1952" s="3"/>
      <c r="H1952" s="3"/>
      <c r="I1952" s="3"/>
      <c r="J1952" s="3"/>
      <c r="K1952" s="3"/>
      <c r="L1952" s="3" t="s">
        <v>564</v>
      </c>
      <c r="M1952" s="3">
        <v>40</v>
      </c>
      <c r="N1952" s="3" t="s">
        <v>108</v>
      </c>
      <c r="O1952" s="3"/>
      <c r="P1952" s="3"/>
      <c r="Q1952" s="3">
        <v>11.074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563</v>
      </c>
      <c r="C1953" s="3" t="s">
        <v>437</v>
      </c>
      <c r="D1953" s="3"/>
      <c r="E1953" s="3" t="s">
        <v>437</v>
      </c>
      <c r="F1953" s="3"/>
      <c r="G1953" s="3"/>
      <c r="H1953" s="3"/>
      <c r="I1953" s="3"/>
      <c r="J1953" s="3"/>
      <c r="K1953" s="3"/>
      <c r="L1953" s="3" t="s">
        <v>564</v>
      </c>
      <c r="M1953" s="3">
        <v>50</v>
      </c>
      <c r="N1953" s="3" t="s">
        <v>105</v>
      </c>
      <c r="O1953" s="3"/>
      <c r="P1953" s="3"/>
      <c r="Q1953" s="3">
        <v>68.108000000000004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563</v>
      </c>
      <c r="C1954" s="3" t="s">
        <v>437</v>
      </c>
      <c r="D1954" s="3"/>
      <c r="E1954" s="3" t="s">
        <v>437</v>
      </c>
      <c r="F1954" s="3"/>
      <c r="G1954" s="3"/>
      <c r="H1954" s="3"/>
      <c r="I1954" s="3"/>
      <c r="J1954" s="3"/>
      <c r="K1954" s="3"/>
      <c r="L1954" s="3" t="s">
        <v>564</v>
      </c>
      <c r="M1954" s="3">
        <v>60</v>
      </c>
      <c r="N1954" s="3" t="s">
        <v>106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563</v>
      </c>
      <c r="C1955" s="3" t="s">
        <v>437</v>
      </c>
      <c r="D1955" s="3"/>
      <c r="E1955" s="3" t="s">
        <v>437</v>
      </c>
      <c r="F1955" s="3"/>
      <c r="G1955" s="3"/>
      <c r="H1955" s="3"/>
      <c r="I1955" s="3"/>
      <c r="J1955" s="3"/>
      <c r="K1955" s="3"/>
      <c r="L1955" s="3" t="s">
        <v>564</v>
      </c>
      <c r="M1955" s="3">
        <v>70</v>
      </c>
      <c r="N1955" s="3" t="s">
        <v>104</v>
      </c>
      <c r="O1955" s="3"/>
      <c r="P1955" s="3"/>
      <c r="Q1955" s="3">
        <v>7.6999999999999999E-2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563</v>
      </c>
      <c r="C1956" s="3" t="s">
        <v>437</v>
      </c>
      <c r="D1956" s="3"/>
      <c r="E1956" s="3" t="s">
        <v>437</v>
      </c>
      <c r="F1956" s="3"/>
      <c r="G1956" s="3"/>
      <c r="H1956" s="3"/>
      <c r="I1956" s="3"/>
      <c r="J1956" s="3"/>
      <c r="K1956" s="3"/>
      <c r="L1956" s="3" t="s">
        <v>564</v>
      </c>
      <c r="M1956" s="3">
        <v>80</v>
      </c>
      <c r="N1956" s="3" t="s">
        <v>192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563</v>
      </c>
      <c r="C1957" s="3" t="s">
        <v>437</v>
      </c>
      <c r="D1957" s="3"/>
      <c r="E1957" s="3" t="s">
        <v>437</v>
      </c>
      <c r="F1957" s="3"/>
      <c r="G1957" s="3"/>
      <c r="H1957" s="3"/>
      <c r="I1957" s="3"/>
      <c r="J1957" s="3"/>
      <c r="K1957" s="3"/>
      <c r="L1957" s="3" t="s">
        <v>564</v>
      </c>
      <c r="M1957" s="3">
        <v>90</v>
      </c>
      <c r="N1957" s="3" t="s">
        <v>18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563</v>
      </c>
      <c r="C1958" s="3" t="s">
        <v>437</v>
      </c>
      <c r="D1958" s="3"/>
      <c r="E1958" s="3" t="s">
        <v>437</v>
      </c>
      <c r="F1958" s="3"/>
      <c r="G1958" s="3"/>
      <c r="H1958" s="3"/>
      <c r="I1958" s="3"/>
      <c r="J1958" s="3"/>
      <c r="K1958" s="3"/>
      <c r="L1958" s="3" t="s">
        <v>564</v>
      </c>
      <c r="M1958" s="3">
        <v>100</v>
      </c>
      <c r="N1958" s="3" t="s">
        <v>19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563</v>
      </c>
      <c r="C1959" s="3" t="s">
        <v>437</v>
      </c>
      <c r="D1959" s="3"/>
      <c r="E1959" s="3" t="s">
        <v>437</v>
      </c>
      <c r="F1959" s="3"/>
      <c r="G1959" s="3"/>
      <c r="H1959" s="3"/>
      <c r="I1959" s="3"/>
      <c r="J1959" s="3"/>
      <c r="K1959" s="3"/>
      <c r="L1959" s="3" t="s">
        <v>564</v>
      </c>
      <c r="M1959" s="3">
        <v>110</v>
      </c>
      <c r="N1959" s="3" t="s">
        <v>101</v>
      </c>
      <c r="O1959" s="3"/>
      <c r="P1959" s="3"/>
      <c r="Q1959" s="3">
        <v>0.27800000000000002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563</v>
      </c>
      <c r="C1960" s="3" t="s">
        <v>437</v>
      </c>
      <c r="D1960" s="3"/>
      <c r="E1960" s="3" t="s">
        <v>437</v>
      </c>
      <c r="F1960" s="3"/>
      <c r="G1960" s="3"/>
      <c r="H1960" s="3"/>
      <c r="I1960" s="3"/>
      <c r="J1960" s="3"/>
      <c r="K1960" s="3"/>
      <c r="L1960" s="3" t="s">
        <v>564</v>
      </c>
      <c r="M1960" s="3">
        <v>120</v>
      </c>
      <c r="N1960" s="3" t="s">
        <v>438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563</v>
      </c>
      <c r="C1961" s="3" t="s">
        <v>439</v>
      </c>
      <c r="D1961" s="3"/>
      <c r="E1961" s="3" t="s">
        <v>439</v>
      </c>
      <c r="F1961" s="3"/>
      <c r="G1961" s="3"/>
      <c r="H1961" s="3"/>
      <c r="I1961" s="3"/>
      <c r="J1961" s="3"/>
      <c r="K1961" s="3"/>
      <c r="L1961" s="3" t="s">
        <v>564</v>
      </c>
      <c r="M1961" s="3">
        <v>10</v>
      </c>
      <c r="N1961" s="3" t="s">
        <v>107</v>
      </c>
      <c r="O1961" s="3"/>
      <c r="P1961" s="3"/>
      <c r="Q1961" s="3">
        <v>0.94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563</v>
      </c>
      <c r="C1962" s="3" t="s">
        <v>439</v>
      </c>
      <c r="D1962" s="3"/>
      <c r="E1962" s="3" t="s">
        <v>439</v>
      </c>
      <c r="F1962" s="3"/>
      <c r="G1962" s="3"/>
      <c r="H1962" s="3"/>
      <c r="I1962" s="3"/>
      <c r="J1962" s="3"/>
      <c r="K1962" s="3"/>
      <c r="L1962" s="3" t="s">
        <v>564</v>
      </c>
      <c r="M1962" s="3">
        <v>20</v>
      </c>
      <c r="N1962" s="3" t="s">
        <v>565</v>
      </c>
      <c r="O1962" s="3"/>
      <c r="P1962" s="3"/>
      <c r="Q1962" s="3">
        <v>0.94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563</v>
      </c>
      <c r="C1963" s="3" t="s">
        <v>439</v>
      </c>
      <c r="D1963" s="3"/>
      <c r="E1963" s="3" t="s">
        <v>439</v>
      </c>
      <c r="F1963" s="3"/>
      <c r="G1963" s="3"/>
      <c r="H1963" s="3"/>
      <c r="I1963" s="3"/>
      <c r="J1963" s="3"/>
      <c r="K1963" s="3"/>
      <c r="L1963" s="3" t="s">
        <v>564</v>
      </c>
      <c r="M1963" s="3">
        <v>30</v>
      </c>
      <c r="N1963" s="3" t="s">
        <v>99</v>
      </c>
      <c r="O1963" s="3"/>
      <c r="P1963" s="3"/>
      <c r="Q1963" s="3">
        <v>0.27300000000000002</v>
      </c>
      <c r="R1963" s="3" t="s">
        <v>100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563</v>
      </c>
      <c r="C1964" s="3" t="s">
        <v>439</v>
      </c>
      <c r="D1964" s="3"/>
      <c r="E1964" s="3" t="s">
        <v>439</v>
      </c>
      <c r="F1964" s="3"/>
      <c r="G1964" s="3"/>
      <c r="H1964" s="3"/>
      <c r="I1964" s="3"/>
      <c r="J1964" s="3"/>
      <c r="K1964" s="3"/>
      <c r="L1964" s="3" t="s">
        <v>564</v>
      </c>
      <c r="M1964" s="3">
        <v>40</v>
      </c>
      <c r="N1964" s="3" t="s">
        <v>108</v>
      </c>
      <c r="O1964" s="3"/>
      <c r="P1964" s="3"/>
      <c r="Q1964" s="3">
        <v>11.683999999999999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563</v>
      </c>
      <c r="C1965" s="3" t="s">
        <v>439</v>
      </c>
      <c r="D1965" s="3"/>
      <c r="E1965" s="3" t="s">
        <v>439</v>
      </c>
      <c r="F1965" s="3"/>
      <c r="G1965" s="3"/>
      <c r="H1965" s="3"/>
      <c r="I1965" s="3"/>
      <c r="J1965" s="3"/>
      <c r="K1965" s="3"/>
      <c r="L1965" s="3" t="s">
        <v>564</v>
      </c>
      <c r="M1965" s="3">
        <v>50</v>
      </c>
      <c r="N1965" s="3" t="s">
        <v>105</v>
      </c>
      <c r="O1965" s="3"/>
      <c r="P1965" s="3"/>
      <c r="Q1965" s="3">
        <v>71.856999999999999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563</v>
      </c>
      <c r="C1966" s="3" t="s">
        <v>439</v>
      </c>
      <c r="D1966" s="3"/>
      <c r="E1966" s="3" t="s">
        <v>439</v>
      </c>
      <c r="F1966" s="3"/>
      <c r="G1966" s="3"/>
      <c r="H1966" s="3"/>
      <c r="I1966" s="3"/>
      <c r="J1966" s="3"/>
      <c r="K1966" s="3"/>
      <c r="L1966" s="3" t="s">
        <v>564</v>
      </c>
      <c r="M1966" s="3">
        <v>60</v>
      </c>
      <c r="N1966" s="3" t="s">
        <v>106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563</v>
      </c>
      <c r="C1967" s="3" t="s">
        <v>439</v>
      </c>
      <c r="D1967" s="3"/>
      <c r="E1967" s="3" t="s">
        <v>439</v>
      </c>
      <c r="F1967" s="3"/>
      <c r="G1967" s="3"/>
      <c r="H1967" s="3"/>
      <c r="I1967" s="3"/>
      <c r="J1967" s="3"/>
      <c r="K1967" s="3"/>
      <c r="L1967" s="3" t="s">
        <v>564</v>
      </c>
      <c r="M1967" s="3">
        <v>70</v>
      </c>
      <c r="N1967" s="3" t="s">
        <v>104</v>
      </c>
      <c r="O1967" s="3"/>
      <c r="P1967" s="3"/>
      <c r="Q1967" s="3">
        <v>8.7999999999999995E-2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563</v>
      </c>
      <c r="C1968" s="3" t="s">
        <v>439</v>
      </c>
      <c r="D1968" s="3"/>
      <c r="E1968" s="3" t="s">
        <v>439</v>
      </c>
      <c r="F1968" s="3"/>
      <c r="G1968" s="3"/>
      <c r="H1968" s="3"/>
      <c r="I1968" s="3"/>
      <c r="J1968" s="3"/>
      <c r="K1968" s="3"/>
      <c r="L1968" s="3" t="s">
        <v>564</v>
      </c>
      <c r="M1968" s="3">
        <v>80</v>
      </c>
      <c r="N1968" s="3" t="s">
        <v>192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563</v>
      </c>
      <c r="C1969" s="3" t="s">
        <v>439</v>
      </c>
      <c r="D1969" s="3"/>
      <c r="E1969" s="3" t="s">
        <v>439</v>
      </c>
      <c r="F1969" s="3"/>
      <c r="G1969" s="3"/>
      <c r="H1969" s="3"/>
      <c r="I1969" s="3"/>
      <c r="J1969" s="3"/>
      <c r="K1969" s="3"/>
      <c r="L1969" s="3" t="s">
        <v>564</v>
      </c>
      <c r="M1969" s="3">
        <v>90</v>
      </c>
      <c r="N1969" s="3" t="s">
        <v>18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563</v>
      </c>
      <c r="C1970" s="3" t="s">
        <v>439</v>
      </c>
      <c r="D1970" s="3"/>
      <c r="E1970" s="3" t="s">
        <v>439</v>
      </c>
      <c r="F1970" s="3"/>
      <c r="G1970" s="3"/>
      <c r="H1970" s="3"/>
      <c r="I1970" s="3"/>
      <c r="J1970" s="3"/>
      <c r="K1970" s="3"/>
      <c r="L1970" s="3" t="s">
        <v>564</v>
      </c>
      <c r="M1970" s="3">
        <v>100</v>
      </c>
      <c r="N1970" s="3" t="s">
        <v>19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563</v>
      </c>
      <c r="C1971" s="3" t="s">
        <v>439</v>
      </c>
      <c r="D1971" s="3"/>
      <c r="E1971" s="3" t="s">
        <v>439</v>
      </c>
      <c r="F1971" s="3"/>
      <c r="G1971" s="3"/>
      <c r="H1971" s="3"/>
      <c r="I1971" s="3"/>
      <c r="J1971" s="3"/>
      <c r="K1971" s="3"/>
      <c r="L1971" s="3" t="s">
        <v>564</v>
      </c>
      <c r="M1971" s="3">
        <v>110</v>
      </c>
      <c r="N1971" s="3" t="s">
        <v>101</v>
      </c>
      <c r="O1971" s="3"/>
      <c r="P1971" s="3"/>
      <c r="Q1971" s="3">
        <v>0.32300000000000001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563</v>
      </c>
      <c r="C1972" s="3" t="s">
        <v>439</v>
      </c>
      <c r="D1972" s="3"/>
      <c r="E1972" s="3" t="s">
        <v>439</v>
      </c>
      <c r="F1972" s="3"/>
      <c r="G1972" s="3"/>
      <c r="H1972" s="3"/>
      <c r="I1972" s="3"/>
      <c r="J1972" s="3"/>
      <c r="K1972" s="3"/>
      <c r="L1972" s="3" t="s">
        <v>564</v>
      </c>
      <c r="M1972" s="3">
        <v>120</v>
      </c>
      <c r="N1972" s="3" t="s">
        <v>440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563</v>
      </c>
      <c r="C1973" s="3" t="s">
        <v>441</v>
      </c>
      <c r="D1973" s="3"/>
      <c r="E1973" s="3" t="s">
        <v>441</v>
      </c>
      <c r="F1973" s="3"/>
      <c r="G1973" s="3"/>
      <c r="H1973" s="3"/>
      <c r="I1973" s="3"/>
      <c r="J1973" s="3"/>
      <c r="K1973" s="3"/>
      <c r="L1973" s="3" t="s">
        <v>564</v>
      </c>
      <c r="M1973" s="3">
        <v>10</v>
      </c>
      <c r="N1973" s="3" t="s">
        <v>107</v>
      </c>
      <c r="O1973" s="3"/>
      <c r="P1973" s="3"/>
      <c r="Q1973" s="3">
        <v>1.0920000000000001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563</v>
      </c>
      <c r="C1974" s="3" t="s">
        <v>441</v>
      </c>
      <c r="D1974" s="3"/>
      <c r="E1974" s="3" t="s">
        <v>441</v>
      </c>
      <c r="F1974" s="3"/>
      <c r="G1974" s="3"/>
      <c r="H1974" s="3"/>
      <c r="I1974" s="3"/>
      <c r="J1974" s="3"/>
      <c r="K1974" s="3"/>
      <c r="L1974" s="3" t="s">
        <v>564</v>
      </c>
      <c r="M1974" s="3">
        <v>20</v>
      </c>
      <c r="N1974" s="3" t="s">
        <v>565</v>
      </c>
      <c r="O1974" s="3"/>
      <c r="P1974" s="3"/>
      <c r="Q1974" s="3">
        <v>1.0920000000000001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563</v>
      </c>
      <c r="C1975" s="3" t="s">
        <v>441</v>
      </c>
      <c r="D1975" s="3"/>
      <c r="E1975" s="3" t="s">
        <v>441</v>
      </c>
      <c r="F1975" s="3"/>
      <c r="G1975" s="3"/>
      <c r="H1975" s="3"/>
      <c r="I1975" s="3"/>
      <c r="J1975" s="3"/>
      <c r="K1975" s="3"/>
      <c r="L1975" s="3" t="s">
        <v>564</v>
      </c>
      <c r="M1975" s="3">
        <v>30</v>
      </c>
      <c r="N1975" s="3" t="s">
        <v>99</v>
      </c>
      <c r="O1975" s="3"/>
      <c r="P1975" s="3"/>
      <c r="Q1975" s="3">
        <v>0.31900000000000001</v>
      </c>
      <c r="R1975" s="3" t="s">
        <v>100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563</v>
      </c>
      <c r="C1976" s="3" t="s">
        <v>441</v>
      </c>
      <c r="D1976" s="3"/>
      <c r="E1976" s="3" t="s">
        <v>441</v>
      </c>
      <c r="F1976" s="3"/>
      <c r="G1976" s="3"/>
      <c r="H1976" s="3"/>
      <c r="I1976" s="3"/>
      <c r="J1976" s="3"/>
      <c r="K1976" s="3"/>
      <c r="L1976" s="3" t="s">
        <v>564</v>
      </c>
      <c r="M1976" s="3">
        <v>40</v>
      </c>
      <c r="N1976" s="3" t="s">
        <v>108</v>
      </c>
      <c r="O1976" s="3"/>
      <c r="P1976" s="3"/>
      <c r="Q1976" s="3">
        <v>12.294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563</v>
      </c>
      <c r="C1977" s="3" t="s">
        <v>441</v>
      </c>
      <c r="D1977" s="3"/>
      <c r="E1977" s="3" t="s">
        <v>441</v>
      </c>
      <c r="F1977" s="3"/>
      <c r="G1977" s="3"/>
      <c r="H1977" s="3"/>
      <c r="I1977" s="3"/>
      <c r="J1977" s="3"/>
      <c r="K1977" s="3"/>
      <c r="L1977" s="3" t="s">
        <v>564</v>
      </c>
      <c r="M1977" s="3">
        <v>50</v>
      </c>
      <c r="N1977" s="3" t="s">
        <v>105</v>
      </c>
      <c r="O1977" s="3"/>
      <c r="P1977" s="3"/>
      <c r="Q1977" s="3">
        <v>75.605999999999995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563</v>
      </c>
      <c r="C1978" s="3" t="s">
        <v>441</v>
      </c>
      <c r="D1978" s="3"/>
      <c r="E1978" s="3" t="s">
        <v>441</v>
      </c>
      <c r="F1978" s="3"/>
      <c r="G1978" s="3"/>
      <c r="H1978" s="3"/>
      <c r="I1978" s="3"/>
      <c r="J1978" s="3"/>
      <c r="K1978" s="3"/>
      <c r="L1978" s="3" t="s">
        <v>564</v>
      </c>
      <c r="M1978" s="3">
        <v>60</v>
      </c>
      <c r="N1978" s="3" t="s">
        <v>106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563</v>
      </c>
      <c r="C1979" s="3" t="s">
        <v>441</v>
      </c>
      <c r="D1979" s="3"/>
      <c r="E1979" s="3" t="s">
        <v>441</v>
      </c>
      <c r="F1979" s="3"/>
      <c r="G1979" s="3"/>
      <c r="H1979" s="3"/>
      <c r="I1979" s="3"/>
      <c r="J1979" s="3"/>
      <c r="K1979" s="3"/>
      <c r="L1979" s="3" t="s">
        <v>564</v>
      </c>
      <c r="M1979" s="3">
        <v>70</v>
      </c>
      <c r="N1979" s="3" t="s">
        <v>104</v>
      </c>
      <c r="O1979" s="3"/>
      <c r="P1979" s="3"/>
      <c r="Q1979" s="3">
        <v>0.1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563</v>
      </c>
      <c r="C1980" s="3" t="s">
        <v>441</v>
      </c>
      <c r="D1980" s="3"/>
      <c r="E1980" s="3" t="s">
        <v>441</v>
      </c>
      <c r="F1980" s="3"/>
      <c r="G1980" s="3"/>
      <c r="H1980" s="3"/>
      <c r="I1980" s="3"/>
      <c r="J1980" s="3"/>
      <c r="K1980" s="3"/>
      <c r="L1980" s="3" t="s">
        <v>564</v>
      </c>
      <c r="M1980" s="3">
        <v>80</v>
      </c>
      <c r="N1980" s="3" t="s">
        <v>192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563</v>
      </c>
      <c r="C1981" s="3" t="s">
        <v>441</v>
      </c>
      <c r="D1981" s="3"/>
      <c r="E1981" s="3" t="s">
        <v>441</v>
      </c>
      <c r="F1981" s="3"/>
      <c r="G1981" s="3"/>
      <c r="H1981" s="3"/>
      <c r="I1981" s="3"/>
      <c r="J1981" s="3"/>
      <c r="K1981" s="3"/>
      <c r="L1981" s="3" t="s">
        <v>564</v>
      </c>
      <c r="M1981" s="3">
        <v>90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563</v>
      </c>
      <c r="C1982" s="3" t="s">
        <v>441</v>
      </c>
      <c r="D1982" s="3"/>
      <c r="E1982" s="3" t="s">
        <v>441</v>
      </c>
      <c r="F1982" s="3"/>
      <c r="G1982" s="3"/>
      <c r="H1982" s="3"/>
      <c r="I1982" s="3"/>
      <c r="J1982" s="3"/>
      <c r="K1982" s="3"/>
      <c r="L1982" s="3" t="s">
        <v>564</v>
      </c>
      <c r="M1982" s="3">
        <v>100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563</v>
      </c>
      <c r="C1983" s="3" t="s">
        <v>441</v>
      </c>
      <c r="D1983" s="3"/>
      <c r="E1983" s="3" t="s">
        <v>441</v>
      </c>
      <c r="F1983" s="3"/>
      <c r="G1983" s="3"/>
      <c r="H1983" s="3"/>
      <c r="I1983" s="3"/>
      <c r="J1983" s="3"/>
      <c r="K1983" s="3"/>
      <c r="L1983" s="3" t="s">
        <v>564</v>
      </c>
      <c r="M1983" s="3">
        <v>110</v>
      </c>
      <c r="N1983" s="3" t="s">
        <v>101</v>
      </c>
      <c r="O1983" s="3"/>
      <c r="P1983" s="3"/>
      <c r="Q1983" s="3">
        <v>0.36799999999999999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563</v>
      </c>
      <c r="C1984" s="3" t="s">
        <v>441</v>
      </c>
      <c r="D1984" s="3"/>
      <c r="E1984" s="3" t="s">
        <v>441</v>
      </c>
      <c r="F1984" s="3"/>
      <c r="G1984" s="3"/>
      <c r="H1984" s="3"/>
      <c r="I1984" s="3"/>
      <c r="J1984" s="3"/>
      <c r="K1984" s="3"/>
      <c r="L1984" s="3" t="s">
        <v>564</v>
      </c>
      <c r="M1984" s="3">
        <v>120</v>
      </c>
      <c r="N1984" s="3" t="s">
        <v>442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563</v>
      </c>
      <c r="C1985" s="3" t="s">
        <v>443</v>
      </c>
      <c r="D1985" s="3"/>
      <c r="E1985" s="3" t="s">
        <v>443</v>
      </c>
      <c r="F1985" s="3"/>
      <c r="G1985" s="3"/>
      <c r="H1985" s="3"/>
      <c r="I1985" s="3"/>
      <c r="J1985" s="3"/>
      <c r="K1985" s="3"/>
      <c r="L1985" s="3" t="s">
        <v>564</v>
      </c>
      <c r="M1985" s="3">
        <v>10</v>
      </c>
      <c r="N1985" s="3" t="s">
        <v>107</v>
      </c>
      <c r="O1985" s="3"/>
      <c r="P1985" s="3"/>
      <c r="Q1985" s="3">
        <v>1.2450000000000001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563</v>
      </c>
      <c r="C1986" s="3" t="s">
        <v>443</v>
      </c>
      <c r="D1986" s="3"/>
      <c r="E1986" s="3" t="s">
        <v>443</v>
      </c>
      <c r="F1986" s="3"/>
      <c r="G1986" s="3"/>
      <c r="H1986" s="3"/>
      <c r="I1986" s="3"/>
      <c r="J1986" s="3"/>
      <c r="K1986" s="3"/>
      <c r="L1986" s="3" t="s">
        <v>564</v>
      </c>
      <c r="M1986" s="3">
        <v>20</v>
      </c>
      <c r="N1986" s="3" t="s">
        <v>565</v>
      </c>
      <c r="O1986" s="3"/>
      <c r="P1986" s="3"/>
      <c r="Q1986" s="3">
        <v>1.2450000000000001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563</v>
      </c>
      <c r="C1987" s="3" t="s">
        <v>443</v>
      </c>
      <c r="D1987" s="3"/>
      <c r="E1987" s="3" t="s">
        <v>443</v>
      </c>
      <c r="F1987" s="3"/>
      <c r="G1987" s="3"/>
      <c r="H1987" s="3"/>
      <c r="I1987" s="3"/>
      <c r="J1987" s="3"/>
      <c r="K1987" s="3"/>
      <c r="L1987" s="3" t="s">
        <v>564</v>
      </c>
      <c r="M1987" s="3">
        <v>30</v>
      </c>
      <c r="N1987" s="3" t="s">
        <v>99</v>
      </c>
      <c r="O1987" s="3"/>
      <c r="P1987" s="3"/>
      <c r="Q1987" s="3">
        <v>0.36499999999999999</v>
      </c>
      <c r="R1987" s="3" t="s">
        <v>100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563</v>
      </c>
      <c r="C1988" s="3" t="s">
        <v>443</v>
      </c>
      <c r="D1988" s="3"/>
      <c r="E1988" s="3" t="s">
        <v>443</v>
      </c>
      <c r="F1988" s="3"/>
      <c r="G1988" s="3"/>
      <c r="H1988" s="3"/>
      <c r="I1988" s="3"/>
      <c r="J1988" s="3"/>
      <c r="K1988" s="3"/>
      <c r="L1988" s="3" t="s">
        <v>564</v>
      </c>
      <c r="M1988" s="3">
        <v>40</v>
      </c>
      <c r="N1988" s="3" t="s">
        <v>108</v>
      </c>
      <c r="O1988" s="3"/>
      <c r="P1988" s="3"/>
      <c r="Q1988" s="3">
        <v>12.903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563</v>
      </c>
      <c r="C1989" s="3" t="s">
        <v>443</v>
      </c>
      <c r="D1989" s="3"/>
      <c r="E1989" s="3" t="s">
        <v>443</v>
      </c>
      <c r="F1989" s="3"/>
      <c r="G1989" s="3"/>
      <c r="H1989" s="3"/>
      <c r="I1989" s="3"/>
      <c r="J1989" s="3"/>
      <c r="K1989" s="3"/>
      <c r="L1989" s="3" t="s">
        <v>564</v>
      </c>
      <c r="M1989" s="3">
        <v>50</v>
      </c>
      <c r="N1989" s="3" t="s">
        <v>105</v>
      </c>
      <c r="O1989" s="3"/>
      <c r="P1989" s="3"/>
      <c r="Q1989" s="3">
        <v>79.355000000000004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563</v>
      </c>
      <c r="C1990" s="3" t="s">
        <v>443</v>
      </c>
      <c r="D1990" s="3"/>
      <c r="E1990" s="3" t="s">
        <v>443</v>
      </c>
      <c r="F1990" s="3"/>
      <c r="G1990" s="3"/>
      <c r="H1990" s="3"/>
      <c r="I1990" s="3"/>
      <c r="J1990" s="3"/>
      <c r="K1990" s="3"/>
      <c r="L1990" s="3" t="s">
        <v>564</v>
      </c>
      <c r="M1990" s="3">
        <v>60</v>
      </c>
      <c r="N1990" s="3" t="s">
        <v>106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563</v>
      </c>
      <c r="C1991" s="3" t="s">
        <v>443</v>
      </c>
      <c r="D1991" s="3"/>
      <c r="E1991" s="3" t="s">
        <v>443</v>
      </c>
      <c r="F1991" s="3"/>
      <c r="G1991" s="3"/>
      <c r="H1991" s="3"/>
      <c r="I1991" s="3"/>
      <c r="J1991" s="3"/>
      <c r="K1991" s="3"/>
      <c r="L1991" s="3" t="s">
        <v>564</v>
      </c>
      <c r="M1991" s="3">
        <v>70</v>
      </c>
      <c r="N1991" s="3" t="s">
        <v>104</v>
      </c>
      <c r="O1991" s="3"/>
      <c r="P1991" s="3"/>
      <c r="Q1991" s="3">
        <v>0.111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563</v>
      </c>
      <c r="C1992" s="3" t="s">
        <v>443</v>
      </c>
      <c r="D1992" s="3"/>
      <c r="E1992" s="3" t="s">
        <v>443</v>
      </c>
      <c r="F1992" s="3"/>
      <c r="G1992" s="3"/>
      <c r="H1992" s="3"/>
      <c r="I1992" s="3"/>
      <c r="J1992" s="3"/>
      <c r="K1992" s="3"/>
      <c r="L1992" s="3" t="s">
        <v>564</v>
      </c>
      <c r="M1992" s="3">
        <v>80</v>
      </c>
      <c r="N1992" s="3" t="s">
        <v>192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563</v>
      </c>
      <c r="C1993" s="3" t="s">
        <v>443</v>
      </c>
      <c r="D1993" s="3"/>
      <c r="E1993" s="3" t="s">
        <v>443</v>
      </c>
      <c r="F1993" s="3"/>
      <c r="G1993" s="3"/>
      <c r="H1993" s="3"/>
      <c r="I1993" s="3"/>
      <c r="J1993" s="3"/>
      <c r="K1993" s="3"/>
      <c r="L1993" s="3" t="s">
        <v>564</v>
      </c>
      <c r="M1993" s="3">
        <v>90</v>
      </c>
      <c r="N1993" s="3" t="s">
        <v>18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563</v>
      </c>
      <c r="C1994" s="3" t="s">
        <v>443</v>
      </c>
      <c r="D1994" s="3"/>
      <c r="E1994" s="3" t="s">
        <v>443</v>
      </c>
      <c r="F1994" s="3"/>
      <c r="G1994" s="3"/>
      <c r="H1994" s="3"/>
      <c r="I1994" s="3"/>
      <c r="J1994" s="3"/>
      <c r="K1994" s="3"/>
      <c r="L1994" s="3" t="s">
        <v>564</v>
      </c>
      <c r="M1994" s="3">
        <v>100</v>
      </c>
      <c r="N1994" s="3" t="s">
        <v>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563</v>
      </c>
      <c r="C1995" s="3" t="s">
        <v>443</v>
      </c>
      <c r="D1995" s="3"/>
      <c r="E1995" s="3" t="s">
        <v>443</v>
      </c>
      <c r="F1995" s="3"/>
      <c r="G1995" s="3"/>
      <c r="H1995" s="3"/>
      <c r="I1995" s="3"/>
      <c r="J1995" s="3"/>
      <c r="K1995" s="3"/>
      <c r="L1995" s="3" t="s">
        <v>564</v>
      </c>
      <c r="M1995" s="3">
        <v>110</v>
      </c>
      <c r="N1995" s="3" t="s">
        <v>101</v>
      </c>
      <c r="O1995" s="3"/>
      <c r="P1995" s="3"/>
      <c r="Q1995" s="3">
        <v>0.41299999999999998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563</v>
      </c>
      <c r="C1996" s="3" t="s">
        <v>443</v>
      </c>
      <c r="D1996" s="3"/>
      <c r="E1996" s="3" t="s">
        <v>443</v>
      </c>
      <c r="F1996" s="3"/>
      <c r="G1996" s="3"/>
      <c r="H1996" s="3"/>
      <c r="I1996" s="3"/>
      <c r="J1996" s="3"/>
      <c r="K1996" s="3"/>
      <c r="L1996" s="3" t="s">
        <v>564</v>
      </c>
      <c r="M1996" s="3">
        <v>120</v>
      </c>
      <c r="N1996" s="3" t="s">
        <v>444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563</v>
      </c>
      <c r="C1997" s="3" t="s">
        <v>445</v>
      </c>
      <c r="D1997" s="3"/>
      <c r="E1997" s="3" t="s">
        <v>445</v>
      </c>
      <c r="F1997" s="3"/>
      <c r="G1997" s="3"/>
      <c r="H1997" s="3"/>
      <c r="I1997" s="3"/>
      <c r="J1997" s="3"/>
      <c r="K1997" s="3"/>
      <c r="L1997" s="3" t="s">
        <v>564</v>
      </c>
      <c r="M1997" s="3">
        <v>10</v>
      </c>
      <c r="N1997" s="3" t="s">
        <v>107</v>
      </c>
      <c r="O1997" s="3"/>
      <c r="P1997" s="3"/>
      <c r="Q1997" s="3">
        <v>1.5489999999999999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563</v>
      </c>
      <c r="C1998" s="3" t="s">
        <v>445</v>
      </c>
      <c r="D1998" s="3"/>
      <c r="E1998" s="3" t="s">
        <v>445</v>
      </c>
      <c r="F1998" s="3"/>
      <c r="G1998" s="3"/>
      <c r="H1998" s="3"/>
      <c r="I1998" s="3"/>
      <c r="J1998" s="3"/>
      <c r="K1998" s="3"/>
      <c r="L1998" s="3" t="s">
        <v>564</v>
      </c>
      <c r="M1998" s="3">
        <v>20</v>
      </c>
      <c r="N1998" s="3" t="s">
        <v>565</v>
      </c>
      <c r="O1998" s="3"/>
      <c r="P1998" s="3"/>
      <c r="Q1998" s="3">
        <v>1.5489999999999999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563</v>
      </c>
      <c r="C1999" s="3" t="s">
        <v>445</v>
      </c>
      <c r="D1999" s="3"/>
      <c r="E1999" s="3" t="s">
        <v>445</v>
      </c>
      <c r="F1999" s="3"/>
      <c r="G1999" s="3"/>
      <c r="H1999" s="3"/>
      <c r="I1999" s="3"/>
      <c r="J1999" s="3"/>
      <c r="K1999" s="3"/>
      <c r="L1999" s="3" t="s">
        <v>564</v>
      </c>
      <c r="M1999" s="3">
        <v>30</v>
      </c>
      <c r="N1999" s="3" t="s">
        <v>99</v>
      </c>
      <c r="O1999" s="3"/>
      <c r="P1999" s="3"/>
      <c r="Q1999" s="3">
        <v>0.45600000000000002</v>
      </c>
      <c r="R1999" s="3" t="s">
        <v>100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563</v>
      </c>
      <c r="C2000" s="3" t="s">
        <v>445</v>
      </c>
      <c r="D2000" s="3"/>
      <c r="E2000" s="3" t="s">
        <v>445</v>
      </c>
      <c r="F2000" s="3"/>
      <c r="G2000" s="3"/>
      <c r="H2000" s="3"/>
      <c r="I2000" s="3"/>
      <c r="J2000" s="3"/>
      <c r="K2000" s="3"/>
      <c r="L2000" s="3" t="s">
        <v>564</v>
      </c>
      <c r="M2000" s="3">
        <v>40</v>
      </c>
      <c r="N2000" s="3" t="s">
        <v>108</v>
      </c>
      <c r="O2000" s="3"/>
      <c r="P2000" s="3"/>
      <c r="Q2000" s="3">
        <v>14.122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563</v>
      </c>
      <c r="C2001" s="3" t="s">
        <v>445</v>
      </c>
      <c r="D2001" s="3"/>
      <c r="E2001" s="3" t="s">
        <v>445</v>
      </c>
      <c r="F2001" s="3"/>
      <c r="G2001" s="3"/>
      <c r="H2001" s="3"/>
      <c r="I2001" s="3"/>
      <c r="J2001" s="3"/>
      <c r="K2001" s="3"/>
      <c r="L2001" s="3" t="s">
        <v>564</v>
      </c>
      <c r="M2001" s="3">
        <v>50</v>
      </c>
      <c r="N2001" s="3" t="s">
        <v>105</v>
      </c>
      <c r="O2001" s="3"/>
      <c r="P2001" s="3"/>
      <c r="Q2001" s="3">
        <v>86.852999999999994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563</v>
      </c>
      <c r="C2002" s="3" t="s">
        <v>445</v>
      </c>
      <c r="D2002" s="3"/>
      <c r="E2002" s="3" t="s">
        <v>445</v>
      </c>
      <c r="F2002" s="3"/>
      <c r="G2002" s="3"/>
      <c r="H2002" s="3"/>
      <c r="I2002" s="3"/>
      <c r="J2002" s="3"/>
      <c r="K2002" s="3"/>
      <c r="L2002" s="3" t="s">
        <v>564</v>
      </c>
      <c r="M2002" s="3">
        <v>60</v>
      </c>
      <c r="N2002" s="3" t="s">
        <v>106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563</v>
      </c>
      <c r="C2003" s="3" t="s">
        <v>445</v>
      </c>
      <c r="D2003" s="3"/>
      <c r="E2003" s="3" t="s">
        <v>445</v>
      </c>
      <c r="F2003" s="3"/>
      <c r="G2003" s="3"/>
      <c r="H2003" s="3"/>
      <c r="I2003" s="3"/>
      <c r="J2003" s="3"/>
      <c r="K2003" s="3"/>
      <c r="L2003" s="3" t="s">
        <v>564</v>
      </c>
      <c r="M2003" s="3">
        <v>70</v>
      </c>
      <c r="N2003" s="3" t="s">
        <v>104</v>
      </c>
      <c r="O2003" s="3"/>
      <c r="P2003" s="3"/>
      <c r="Q2003" s="3">
        <v>0.13300000000000001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563</v>
      </c>
      <c r="C2004" s="3" t="s">
        <v>445</v>
      </c>
      <c r="D2004" s="3"/>
      <c r="E2004" s="3" t="s">
        <v>445</v>
      </c>
      <c r="F2004" s="3"/>
      <c r="G2004" s="3"/>
      <c r="H2004" s="3"/>
      <c r="I2004" s="3"/>
      <c r="J2004" s="3"/>
      <c r="K2004" s="3"/>
      <c r="L2004" s="3" t="s">
        <v>564</v>
      </c>
      <c r="M2004" s="3">
        <v>80</v>
      </c>
      <c r="N2004" s="3" t="s">
        <v>192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563</v>
      </c>
      <c r="C2005" s="3" t="s">
        <v>445</v>
      </c>
      <c r="D2005" s="3"/>
      <c r="E2005" s="3" t="s">
        <v>445</v>
      </c>
      <c r="F2005" s="3"/>
      <c r="G2005" s="3"/>
      <c r="H2005" s="3"/>
      <c r="I2005" s="3"/>
      <c r="J2005" s="3"/>
      <c r="K2005" s="3"/>
      <c r="L2005" s="3" t="s">
        <v>564</v>
      </c>
      <c r="M2005" s="3">
        <v>90</v>
      </c>
      <c r="N2005" s="3" t="s">
        <v>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563</v>
      </c>
      <c r="C2006" s="3" t="s">
        <v>445</v>
      </c>
      <c r="D2006" s="3"/>
      <c r="E2006" s="3" t="s">
        <v>445</v>
      </c>
      <c r="F2006" s="3"/>
      <c r="G2006" s="3"/>
      <c r="H2006" s="3"/>
      <c r="I2006" s="3"/>
      <c r="J2006" s="3"/>
      <c r="K2006" s="3"/>
      <c r="L2006" s="3" t="s">
        <v>564</v>
      </c>
      <c r="M2006" s="3">
        <v>100</v>
      </c>
      <c r="N2006" s="3" t="s">
        <v>19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563</v>
      </c>
      <c r="C2007" s="3" t="s">
        <v>445</v>
      </c>
      <c r="D2007" s="3"/>
      <c r="E2007" s="3" t="s">
        <v>445</v>
      </c>
      <c r="F2007" s="3"/>
      <c r="G2007" s="3"/>
      <c r="H2007" s="3"/>
      <c r="I2007" s="3"/>
      <c r="J2007" s="3"/>
      <c r="K2007" s="3"/>
      <c r="L2007" s="3" t="s">
        <v>564</v>
      </c>
      <c r="M2007" s="3">
        <v>110</v>
      </c>
      <c r="N2007" s="3" t="s">
        <v>101</v>
      </c>
      <c r="O2007" s="3"/>
      <c r="P2007" s="3"/>
      <c r="Q2007" s="3">
        <v>0.503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563</v>
      </c>
      <c r="C2008" s="3" t="s">
        <v>445</v>
      </c>
      <c r="D2008" s="3"/>
      <c r="E2008" s="3" t="s">
        <v>445</v>
      </c>
      <c r="F2008" s="3"/>
      <c r="G2008" s="3"/>
      <c r="H2008" s="3"/>
      <c r="I2008" s="3"/>
      <c r="J2008" s="3"/>
      <c r="K2008" s="3"/>
      <c r="L2008" s="3" t="s">
        <v>564</v>
      </c>
      <c r="M2008" s="3">
        <v>120</v>
      </c>
      <c r="N2008" s="3" t="s">
        <v>446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563</v>
      </c>
      <c r="C2009" s="3" t="s">
        <v>447</v>
      </c>
      <c r="D2009" s="3"/>
      <c r="E2009" s="3" t="s">
        <v>447</v>
      </c>
      <c r="F2009" s="3"/>
      <c r="G2009" s="3"/>
      <c r="H2009" s="3"/>
      <c r="I2009" s="3"/>
      <c r="J2009" s="3"/>
      <c r="K2009" s="3"/>
      <c r="L2009" s="3" t="s">
        <v>564</v>
      </c>
      <c r="M2009" s="3">
        <v>10</v>
      </c>
      <c r="N2009" s="3" t="s">
        <v>107</v>
      </c>
      <c r="O2009" s="3"/>
      <c r="P2009" s="3"/>
      <c r="Q2009" s="3">
        <v>1.702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563</v>
      </c>
      <c r="C2010" s="3" t="s">
        <v>447</v>
      </c>
      <c r="D2010" s="3"/>
      <c r="E2010" s="3" t="s">
        <v>447</v>
      </c>
      <c r="F2010" s="3"/>
      <c r="G2010" s="3"/>
      <c r="H2010" s="3"/>
      <c r="I2010" s="3"/>
      <c r="J2010" s="3"/>
      <c r="K2010" s="3"/>
      <c r="L2010" s="3" t="s">
        <v>564</v>
      </c>
      <c r="M2010" s="3">
        <v>20</v>
      </c>
      <c r="N2010" s="3" t="s">
        <v>565</v>
      </c>
      <c r="O2010" s="3"/>
      <c r="P2010" s="3"/>
      <c r="Q2010" s="3">
        <v>1.702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563</v>
      </c>
      <c r="C2011" s="3" t="s">
        <v>447</v>
      </c>
      <c r="D2011" s="3"/>
      <c r="E2011" s="3" t="s">
        <v>447</v>
      </c>
      <c r="F2011" s="3"/>
      <c r="G2011" s="3"/>
      <c r="H2011" s="3"/>
      <c r="I2011" s="3"/>
      <c r="J2011" s="3"/>
      <c r="K2011" s="3"/>
      <c r="L2011" s="3" t="s">
        <v>564</v>
      </c>
      <c r="M2011" s="3">
        <v>30</v>
      </c>
      <c r="N2011" s="3" t="s">
        <v>99</v>
      </c>
      <c r="O2011" s="3"/>
      <c r="P2011" s="3"/>
      <c r="Q2011" s="3">
        <v>0.501</v>
      </c>
      <c r="R2011" s="3" t="s">
        <v>100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563</v>
      </c>
      <c r="C2012" s="3" t="s">
        <v>447</v>
      </c>
      <c r="D2012" s="3"/>
      <c r="E2012" s="3" t="s">
        <v>447</v>
      </c>
      <c r="F2012" s="3"/>
      <c r="G2012" s="3"/>
      <c r="H2012" s="3"/>
      <c r="I2012" s="3"/>
      <c r="J2012" s="3"/>
      <c r="K2012" s="3"/>
      <c r="L2012" s="3" t="s">
        <v>564</v>
      </c>
      <c r="M2012" s="3">
        <v>40</v>
      </c>
      <c r="N2012" s="3" t="s">
        <v>108</v>
      </c>
      <c r="O2012" s="3"/>
      <c r="P2012" s="3"/>
      <c r="Q2012" s="3">
        <v>14.731999999999999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563</v>
      </c>
      <c r="C2013" s="3" t="s">
        <v>447</v>
      </c>
      <c r="D2013" s="3"/>
      <c r="E2013" s="3" t="s">
        <v>447</v>
      </c>
      <c r="F2013" s="3"/>
      <c r="G2013" s="3"/>
      <c r="H2013" s="3"/>
      <c r="I2013" s="3"/>
      <c r="J2013" s="3"/>
      <c r="K2013" s="3"/>
      <c r="L2013" s="3" t="s">
        <v>564</v>
      </c>
      <c r="M2013" s="3">
        <v>50</v>
      </c>
      <c r="N2013" s="3" t="s">
        <v>105</v>
      </c>
      <c r="O2013" s="3"/>
      <c r="P2013" s="3"/>
      <c r="Q2013" s="3">
        <v>90.602000000000004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563</v>
      </c>
      <c r="C2014" s="3" t="s">
        <v>447</v>
      </c>
      <c r="D2014" s="3"/>
      <c r="E2014" s="3" t="s">
        <v>447</v>
      </c>
      <c r="F2014" s="3"/>
      <c r="G2014" s="3"/>
      <c r="H2014" s="3"/>
      <c r="I2014" s="3"/>
      <c r="J2014" s="3"/>
      <c r="K2014" s="3"/>
      <c r="L2014" s="3" t="s">
        <v>564</v>
      </c>
      <c r="M2014" s="3">
        <v>60</v>
      </c>
      <c r="N2014" s="3" t="s">
        <v>106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563</v>
      </c>
      <c r="C2015" s="3" t="s">
        <v>447</v>
      </c>
      <c r="D2015" s="3"/>
      <c r="E2015" s="3" t="s">
        <v>447</v>
      </c>
      <c r="F2015" s="3"/>
      <c r="G2015" s="3"/>
      <c r="H2015" s="3"/>
      <c r="I2015" s="3"/>
      <c r="J2015" s="3"/>
      <c r="K2015" s="3"/>
      <c r="L2015" s="3" t="s">
        <v>564</v>
      </c>
      <c r="M2015" s="3">
        <v>70</v>
      </c>
      <c r="N2015" s="3" t="s">
        <v>104</v>
      </c>
      <c r="O2015" s="3"/>
      <c r="P2015" s="3"/>
      <c r="Q2015" s="3">
        <v>0.14499999999999999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563</v>
      </c>
      <c r="C2016" s="3" t="s">
        <v>447</v>
      </c>
      <c r="D2016" s="3"/>
      <c r="E2016" s="3" t="s">
        <v>447</v>
      </c>
      <c r="F2016" s="3"/>
      <c r="G2016" s="3"/>
      <c r="H2016" s="3"/>
      <c r="I2016" s="3"/>
      <c r="J2016" s="3"/>
      <c r="K2016" s="3"/>
      <c r="L2016" s="3" t="s">
        <v>564</v>
      </c>
      <c r="M2016" s="3">
        <v>80</v>
      </c>
      <c r="N2016" s="3" t="s">
        <v>192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563</v>
      </c>
      <c r="C2017" s="3" t="s">
        <v>447</v>
      </c>
      <c r="D2017" s="3"/>
      <c r="E2017" s="3" t="s">
        <v>447</v>
      </c>
      <c r="F2017" s="3"/>
      <c r="G2017" s="3"/>
      <c r="H2017" s="3"/>
      <c r="I2017" s="3"/>
      <c r="J2017" s="3"/>
      <c r="K2017" s="3"/>
      <c r="L2017" s="3" t="s">
        <v>564</v>
      </c>
      <c r="M2017" s="3">
        <v>90</v>
      </c>
      <c r="N2017" s="3" t="s">
        <v>18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563</v>
      </c>
      <c r="C2018" s="3" t="s">
        <v>447</v>
      </c>
      <c r="D2018" s="3"/>
      <c r="E2018" s="3" t="s">
        <v>447</v>
      </c>
      <c r="F2018" s="3"/>
      <c r="G2018" s="3"/>
      <c r="H2018" s="3"/>
      <c r="I2018" s="3"/>
      <c r="J2018" s="3"/>
      <c r="K2018" s="3"/>
      <c r="L2018" s="3" t="s">
        <v>564</v>
      </c>
      <c r="M2018" s="3">
        <v>100</v>
      </c>
      <c r="N2018" s="3" t="s">
        <v>19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563</v>
      </c>
      <c r="C2019" s="3" t="s">
        <v>447</v>
      </c>
      <c r="D2019" s="3"/>
      <c r="E2019" s="3" t="s">
        <v>447</v>
      </c>
      <c r="F2019" s="3"/>
      <c r="G2019" s="3"/>
      <c r="H2019" s="3"/>
      <c r="I2019" s="3"/>
      <c r="J2019" s="3"/>
      <c r="K2019" s="3"/>
      <c r="L2019" s="3" t="s">
        <v>564</v>
      </c>
      <c r="M2019" s="3">
        <v>110</v>
      </c>
      <c r="N2019" s="3" t="s">
        <v>101</v>
      </c>
      <c r="O2019" s="3"/>
      <c r="P2019" s="3"/>
      <c r="Q2019" s="3">
        <v>0.54800000000000004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563</v>
      </c>
      <c r="C2020" s="3" t="s">
        <v>447</v>
      </c>
      <c r="D2020" s="3"/>
      <c r="E2020" s="3" t="s">
        <v>447</v>
      </c>
      <c r="F2020" s="3"/>
      <c r="G2020" s="3"/>
      <c r="H2020" s="3"/>
      <c r="I2020" s="3"/>
      <c r="J2020" s="3"/>
      <c r="K2020" s="3"/>
      <c r="L2020" s="3" t="s">
        <v>564</v>
      </c>
      <c r="M2020" s="3">
        <v>120</v>
      </c>
      <c r="N2020" s="3" t="s">
        <v>448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563</v>
      </c>
      <c r="C2021" s="3" t="s">
        <v>449</v>
      </c>
      <c r="D2021" s="3"/>
      <c r="E2021" s="3" t="s">
        <v>449</v>
      </c>
      <c r="F2021" s="3"/>
      <c r="G2021" s="3"/>
      <c r="H2021" s="3"/>
      <c r="I2021" s="3"/>
      <c r="J2021" s="3"/>
      <c r="K2021" s="3"/>
      <c r="L2021" s="3" t="s">
        <v>564</v>
      </c>
      <c r="M2021" s="3">
        <v>10</v>
      </c>
      <c r="N2021" s="3" t="s">
        <v>107</v>
      </c>
      <c r="O2021" s="3"/>
      <c r="P2021" s="3"/>
      <c r="Q2021" s="3">
        <v>1.8540000000000001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563</v>
      </c>
      <c r="C2022" s="3" t="s">
        <v>449</v>
      </c>
      <c r="D2022" s="3"/>
      <c r="E2022" s="3" t="s">
        <v>449</v>
      </c>
      <c r="F2022" s="3"/>
      <c r="G2022" s="3"/>
      <c r="H2022" s="3"/>
      <c r="I2022" s="3"/>
      <c r="J2022" s="3"/>
      <c r="K2022" s="3"/>
      <c r="L2022" s="3" t="s">
        <v>564</v>
      </c>
      <c r="M2022" s="3">
        <v>20</v>
      </c>
      <c r="N2022" s="3" t="s">
        <v>565</v>
      </c>
      <c r="O2022" s="3"/>
      <c r="P2022" s="3"/>
      <c r="Q2022" s="3">
        <v>1.8540000000000001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563</v>
      </c>
      <c r="C2023" s="3" t="s">
        <v>449</v>
      </c>
      <c r="D2023" s="3"/>
      <c r="E2023" s="3" t="s">
        <v>449</v>
      </c>
      <c r="F2023" s="3"/>
      <c r="G2023" s="3"/>
      <c r="H2023" s="3"/>
      <c r="I2023" s="3"/>
      <c r="J2023" s="3"/>
      <c r="K2023" s="3"/>
      <c r="L2023" s="3" t="s">
        <v>564</v>
      </c>
      <c r="M2023" s="3">
        <v>30</v>
      </c>
      <c r="N2023" s="3" t="s">
        <v>99</v>
      </c>
      <c r="O2023" s="3"/>
      <c r="P2023" s="3"/>
      <c r="Q2023" s="3">
        <v>0.54700000000000004</v>
      </c>
      <c r="R2023" s="3" t="s">
        <v>100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563</v>
      </c>
      <c r="C2024" s="3" t="s">
        <v>449</v>
      </c>
      <c r="D2024" s="3"/>
      <c r="E2024" s="3" t="s">
        <v>449</v>
      </c>
      <c r="F2024" s="3"/>
      <c r="G2024" s="3"/>
      <c r="H2024" s="3"/>
      <c r="I2024" s="3"/>
      <c r="J2024" s="3"/>
      <c r="K2024" s="3"/>
      <c r="L2024" s="3" t="s">
        <v>564</v>
      </c>
      <c r="M2024" s="3">
        <v>40</v>
      </c>
      <c r="N2024" s="3" t="s">
        <v>108</v>
      </c>
      <c r="O2024" s="3"/>
      <c r="P2024" s="3"/>
      <c r="Q2024" s="3">
        <v>15.342000000000001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563</v>
      </c>
      <c r="C2025" s="3" t="s">
        <v>449</v>
      </c>
      <c r="D2025" s="3"/>
      <c r="E2025" s="3" t="s">
        <v>449</v>
      </c>
      <c r="F2025" s="3"/>
      <c r="G2025" s="3"/>
      <c r="H2025" s="3"/>
      <c r="I2025" s="3"/>
      <c r="J2025" s="3"/>
      <c r="K2025" s="3"/>
      <c r="L2025" s="3" t="s">
        <v>564</v>
      </c>
      <c r="M2025" s="3">
        <v>50</v>
      </c>
      <c r="N2025" s="3" t="s">
        <v>105</v>
      </c>
      <c r="O2025" s="3"/>
      <c r="P2025" s="3"/>
      <c r="Q2025" s="3">
        <v>94.350999999999999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563</v>
      </c>
      <c r="C2026" s="3" t="s">
        <v>449</v>
      </c>
      <c r="D2026" s="3"/>
      <c r="E2026" s="3" t="s">
        <v>449</v>
      </c>
      <c r="F2026" s="3"/>
      <c r="G2026" s="3"/>
      <c r="H2026" s="3"/>
      <c r="I2026" s="3"/>
      <c r="J2026" s="3"/>
      <c r="K2026" s="3"/>
      <c r="L2026" s="3" t="s">
        <v>564</v>
      </c>
      <c r="M2026" s="3">
        <v>60</v>
      </c>
      <c r="N2026" s="3" t="s">
        <v>106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563</v>
      </c>
      <c r="C2027" s="3" t="s">
        <v>449</v>
      </c>
      <c r="D2027" s="3"/>
      <c r="E2027" s="3" t="s">
        <v>449</v>
      </c>
      <c r="F2027" s="3"/>
      <c r="G2027" s="3"/>
      <c r="H2027" s="3"/>
      <c r="I2027" s="3"/>
      <c r="J2027" s="3"/>
      <c r="K2027" s="3"/>
      <c r="L2027" s="3" t="s">
        <v>564</v>
      </c>
      <c r="M2027" s="3">
        <v>70</v>
      </c>
      <c r="N2027" s="3" t="s">
        <v>104</v>
      </c>
      <c r="O2027" s="3"/>
      <c r="P2027" s="3"/>
      <c r="Q2027" s="3">
        <v>0.156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563</v>
      </c>
      <c r="C2028" s="3" t="s">
        <v>449</v>
      </c>
      <c r="D2028" s="3"/>
      <c r="E2028" s="3" t="s">
        <v>449</v>
      </c>
      <c r="F2028" s="3"/>
      <c r="G2028" s="3"/>
      <c r="H2028" s="3"/>
      <c r="I2028" s="3"/>
      <c r="J2028" s="3"/>
      <c r="K2028" s="3"/>
      <c r="L2028" s="3" t="s">
        <v>564</v>
      </c>
      <c r="M2028" s="3">
        <v>80</v>
      </c>
      <c r="N2028" s="3" t="s">
        <v>192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563</v>
      </c>
      <c r="C2029" s="3" t="s">
        <v>449</v>
      </c>
      <c r="D2029" s="3"/>
      <c r="E2029" s="3" t="s">
        <v>449</v>
      </c>
      <c r="F2029" s="3"/>
      <c r="G2029" s="3"/>
      <c r="H2029" s="3"/>
      <c r="I2029" s="3"/>
      <c r="J2029" s="3"/>
      <c r="K2029" s="3"/>
      <c r="L2029" s="3" t="s">
        <v>564</v>
      </c>
      <c r="M2029" s="3">
        <v>90</v>
      </c>
      <c r="N2029" s="3" t="s">
        <v>18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563</v>
      </c>
      <c r="C2030" s="3" t="s">
        <v>449</v>
      </c>
      <c r="D2030" s="3"/>
      <c r="E2030" s="3" t="s">
        <v>449</v>
      </c>
      <c r="F2030" s="3"/>
      <c r="G2030" s="3"/>
      <c r="H2030" s="3"/>
      <c r="I2030" s="3"/>
      <c r="J2030" s="3"/>
      <c r="K2030" s="3"/>
      <c r="L2030" s="3" t="s">
        <v>564</v>
      </c>
      <c r="M2030" s="3">
        <v>100</v>
      </c>
      <c r="N2030" s="3" t="s">
        <v>19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563</v>
      </c>
      <c r="C2031" s="3" t="s">
        <v>449</v>
      </c>
      <c r="D2031" s="3"/>
      <c r="E2031" s="3" t="s">
        <v>449</v>
      </c>
      <c r="F2031" s="3"/>
      <c r="G2031" s="3"/>
      <c r="H2031" s="3"/>
      <c r="I2031" s="3"/>
      <c r="J2031" s="3"/>
      <c r="K2031" s="3"/>
      <c r="L2031" s="3" t="s">
        <v>564</v>
      </c>
      <c r="M2031" s="3">
        <v>110</v>
      </c>
      <c r="N2031" s="3" t="s">
        <v>101</v>
      </c>
      <c r="O2031" s="3"/>
      <c r="P2031" s="3"/>
      <c r="Q2031" s="3">
        <v>0.59299999999999997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563</v>
      </c>
      <c r="C2032" s="3" t="s">
        <v>449</v>
      </c>
      <c r="D2032" s="3"/>
      <c r="E2032" s="3" t="s">
        <v>449</v>
      </c>
      <c r="F2032" s="3"/>
      <c r="G2032" s="3"/>
      <c r="H2032" s="3"/>
      <c r="I2032" s="3"/>
      <c r="J2032" s="3"/>
      <c r="K2032" s="3"/>
      <c r="L2032" s="3" t="s">
        <v>564</v>
      </c>
      <c r="M2032" s="3">
        <v>120</v>
      </c>
      <c r="N2032" s="3" t="s">
        <v>450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563</v>
      </c>
      <c r="C2033" s="3" t="s">
        <v>451</v>
      </c>
      <c r="D2033" s="3"/>
      <c r="E2033" s="3" t="s">
        <v>451</v>
      </c>
      <c r="F2033" s="3"/>
      <c r="G2033" s="3"/>
      <c r="H2033" s="3"/>
      <c r="I2033" s="3"/>
      <c r="J2033" s="3"/>
      <c r="K2033" s="3"/>
      <c r="L2033" s="3" t="s">
        <v>564</v>
      </c>
      <c r="M2033" s="3">
        <v>10</v>
      </c>
      <c r="N2033" s="3" t="s">
        <v>107</v>
      </c>
      <c r="O2033" s="3"/>
      <c r="P2033" s="3"/>
      <c r="Q2033" s="3">
        <v>0.78700000000000003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563</v>
      </c>
      <c r="C2034" s="3" t="s">
        <v>451</v>
      </c>
      <c r="D2034" s="3"/>
      <c r="E2034" s="3" t="s">
        <v>451</v>
      </c>
      <c r="F2034" s="3"/>
      <c r="G2034" s="3"/>
      <c r="H2034" s="3"/>
      <c r="I2034" s="3"/>
      <c r="J2034" s="3"/>
      <c r="K2034" s="3"/>
      <c r="L2034" s="3" t="s">
        <v>564</v>
      </c>
      <c r="M2034" s="3">
        <v>20</v>
      </c>
      <c r="N2034" s="3" t="s">
        <v>565</v>
      </c>
      <c r="O2034" s="3"/>
      <c r="P2034" s="3"/>
      <c r="Q2034" s="3">
        <v>0.78700000000000003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563</v>
      </c>
      <c r="C2035" s="3" t="s">
        <v>451</v>
      </c>
      <c r="D2035" s="3"/>
      <c r="E2035" s="3" t="s">
        <v>451</v>
      </c>
      <c r="F2035" s="3"/>
      <c r="G2035" s="3"/>
      <c r="H2035" s="3"/>
      <c r="I2035" s="3"/>
      <c r="J2035" s="3"/>
      <c r="K2035" s="3"/>
      <c r="L2035" s="3" t="s">
        <v>564</v>
      </c>
      <c r="M2035" s="3">
        <v>30</v>
      </c>
      <c r="N2035" s="3" t="s">
        <v>99</v>
      </c>
      <c r="O2035" s="3"/>
      <c r="P2035" s="3"/>
      <c r="Q2035" s="3">
        <v>0.23699999999999999</v>
      </c>
      <c r="R2035" s="3" t="s">
        <v>100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563</v>
      </c>
      <c r="C2036" s="3" t="s">
        <v>451</v>
      </c>
      <c r="D2036" s="3"/>
      <c r="E2036" s="3" t="s">
        <v>451</v>
      </c>
      <c r="F2036" s="3"/>
      <c r="G2036" s="3"/>
      <c r="H2036" s="3"/>
      <c r="I2036" s="3"/>
      <c r="J2036" s="3"/>
      <c r="K2036" s="3"/>
      <c r="L2036" s="3" t="s">
        <v>564</v>
      </c>
      <c r="M2036" s="3">
        <v>40</v>
      </c>
      <c r="N2036" s="3" t="s">
        <v>108</v>
      </c>
      <c r="O2036" s="3"/>
      <c r="P2036" s="3"/>
      <c r="Q2036" s="3">
        <v>11.379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563</v>
      </c>
      <c r="C2037" s="3" t="s">
        <v>451</v>
      </c>
      <c r="D2037" s="3"/>
      <c r="E2037" s="3" t="s">
        <v>451</v>
      </c>
      <c r="F2037" s="3"/>
      <c r="G2037" s="3"/>
      <c r="H2037" s="3"/>
      <c r="I2037" s="3"/>
      <c r="J2037" s="3"/>
      <c r="K2037" s="3"/>
      <c r="L2037" s="3" t="s">
        <v>564</v>
      </c>
      <c r="M2037" s="3">
        <v>50</v>
      </c>
      <c r="N2037" s="3" t="s">
        <v>105</v>
      </c>
      <c r="O2037" s="3"/>
      <c r="P2037" s="3"/>
      <c r="Q2037" s="3">
        <v>69.981999999999999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563</v>
      </c>
      <c r="C2038" s="3" t="s">
        <v>451</v>
      </c>
      <c r="D2038" s="3"/>
      <c r="E2038" s="3" t="s">
        <v>451</v>
      </c>
      <c r="F2038" s="3"/>
      <c r="G2038" s="3"/>
      <c r="H2038" s="3"/>
      <c r="I2038" s="3"/>
      <c r="J2038" s="3"/>
      <c r="K2038" s="3"/>
      <c r="L2038" s="3" t="s">
        <v>564</v>
      </c>
      <c r="M2038" s="3">
        <v>60</v>
      </c>
      <c r="N2038" s="3" t="s">
        <v>106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563</v>
      </c>
      <c r="C2039" s="3" t="s">
        <v>451</v>
      </c>
      <c r="D2039" s="3"/>
      <c r="E2039" s="3" t="s">
        <v>451</v>
      </c>
      <c r="F2039" s="3"/>
      <c r="G2039" s="3"/>
      <c r="H2039" s="3"/>
      <c r="I2039" s="3"/>
      <c r="J2039" s="3"/>
      <c r="K2039" s="3"/>
      <c r="L2039" s="3" t="s">
        <v>564</v>
      </c>
      <c r="M2039" s="3">
        <v>70</v>
      </c>
      <c r="N2039" s="3" t="s">
        <v>104</v>
      </c>
      <c r="O2039" s="3"/>
      <c r="P2039" s="3"/>
      <c r="Q2039" s="3">
        <v>7.6999999999999999E-2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563</v>
      </c>
      <c r="C2040" s="3" t="s">
        <v>451</v>
      </c>
      <c r="D2040" s="3"/>
      <c r="E2040" s="3" t="s">
        <v>451</v>
      </c>
      <c r="F2040" s="3"/>
      <c r="G2040" s="3"/>
      <c r="H2040" s="3"/>
      <c r="I2040" s="3"/>
      <c r="J2040" s="3"/>
      <c r="K2040" s="3"/>
      <c r="L2040" s="3" t="s">
        <v>564</v>
      </c>
      <c r="M2040" s="3">
        <v>80</v>
      </c>
      <c r="N2040" s="3" t="s">
        <v>192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563</v>
      </c>
      <c r="C2041" s="3" t="s">
        <v>451</v>
      </c>
      <c r="D2041" s="3"/>
      <c r="E2041" s="3" t="s">
        <v>451</v>
      </c>
      <c r="F2041" s="3"/>
      <c r="G2041" s="3"/>
      <c r="H2041" s="3"/>
      <c r="I2041" s="3"/>
      <c r="J2041" s="3"/>
      <c r="K2041" s="3"/>
      <c r="L2041" s="3" t="s">
        <v>564</v>
      </c>
      <c r="M2041" s="3">
        <v>90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563</v>
      </c>
      <c r="C2042" s="3" t="s">
        <v>451</v>
      </c>
      <c r="D2042" s="3"/>
      <c r="E2042" s="3" t="s">
        <v>451</v>
      </c>
      <c r="F2042" s="3"/>
      <c r="G2042" s="3"/>
      <c r="H2042" s="3"/>
      <c r="I2042" s="3"/>
      <c r="J2042" s="3"/>
      <c r="K2042" s="3"/>
      <c r="L2042" s="3" t="s">
        <v>564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563</v>
      </c>
      <c r="C2043" s="3" t="s">
        <v>451</v>
      </c>
      <c r="D2043" s="3"/>
      <c r="E2043" s="3" t="s">
        <v>451</v>
      </c>
      <c r="F2043" s="3"/>
      <c r="G2043" s="3"/>
      <c r="H2043" s="3"/>
      <c r="I2043" s="3"/>
      <c r="J2043" s="3"/>
      <c r="K2043" s="3"/>
      <c r="L2043" s="3" t="s">
        <v>564</v>
      </c>
      <c r="M2043" s="3">
        <v>110</v>
      </c>
      <c r="N2043" s="3" t="s">
        <v>101</v>
      </c>
      <c r="O2043" s="3"/>
      <c r="P2043" s="3"/>
      <c r="Q2043" s="3">
        <v>0.27800000000000002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563</v>
      </c>
      <c r="C2044" s="3" t="s">
        <v>451</v>
      </c>
      <c r="D2044" s="3"/>
      <c r="E2044" s="3" t="s">
        <v>451</v>
      </c>
      <c r="F2044" s="3"/>
      <c r="G2044" s="3"/>
      <c r="H2044" s="3"/>
      <c r="I2044" s="3"/>
      <c r="J2044" s="3"/>
      <c r="K2044" s="3"/>
      <c r="L2044" s="3" t="s">
        <v>564</v>
      </c>
      <c r="M2044" s="3">
        <v>120</v>
      </c>
      <c r="N2044" s="3" t="s">
        <v>452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563</v>
      </c>
      <c r="C2045" s="3" t="s">
        <v>453</v>
      </c>
      <c r="D2045" s="3"/>
      <c r="E2045" s="3" t="s">
        <v>453</v>
      </c>
      <c r="F2045" s="3"/>
      <c r="G2045" s="3"/>
      <c r="H2045" s="3"/>
      <c r="I2045" s="3"/>
      <c r="J2045" s="3"/>
      <c r="K2045" s="3"/>
      <c r="L2045" s="3" t="s">
        <v>564</v>
      </c>
      <c r="M2045" s="3">
        <v>10</v>
      </c>
      <c r="N2045" s="3" t="s">
        <v>107</v>
      </c>
      <c r="O2045" s="3"/>
      <c r="P2045" s="3"/>
      <c r="Q2045" s="3">
        <v>0.94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563</v>
      </c>
      <c r="C2046" s="3" t="s">
        <v>453</v>
      </c>
      <c r="D2046" s="3"/>
      <c r="E2046" s="3" t="s">
        <v>453</v>
      </c>
      <c r="F2046" s="3"/>
      <c r="G2046" s="3"/>
      <c r="H2046" s="3"/>
      <c r="I2046" s="3"/>
      <c r="J2046" s="3"/>
      <c r="K2046" s="3"/>
      <c r="L2046" s="3" t="s">
        <v>564</v>
      </c>
      <c r="M2046" s="3">
        <v>20</v>
      </c>
      <c r="N2046" s="3" t="s">
        <v>565</v>
      </c>
      <c r="O2046" s="3"/>
      <c r="P2046" s="3"/>
      <c r="Q2046" s="3">
        <v>0.94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563</v>
      </c>
      <c r="C2047" s="3" t="s">
        <v>453</v>
      </c>
      <c r="D2047" s="3"/>
      <c r="E2047" s="3" t="s">
        <v>453</v>
      </c>
      <c r="F2047" s="3"/>
      <c r="G2047" s="3"/>
      <c r="H2047" s="3"/>
      <c r="I2047" s="3"/>
      <c r="J2047" s="3"/>
      <c r="K2047" s="3"/>
      <c r="L2047" s="3" t="s">
        <v>564</v>
      </c>
      <c r="M2047" s="3">
        <v>30</v>
      </c>
      <c r="N2047" s="3" t="s">
        <v>99</v>
      </c>
      <c r="O2047" s="3"/>
      <c r="P2047" s="3"/>
      <c r="Q2047" s="3">
        <v>0.28399999999999997</v>
      </c>
      <c r="R2047" s="3" t="s">
        <v>100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563</v>
      </c>
      <c r="C2048" s="3" t="s">
        <v>453</v>
      </c>
      <c r="D2048" s="3"/>
      <c r="E2048" s="3" t="s">
        <v>453</v>
      </c>
      <c r="F2048" s="3"/>
      <c r="G2048" s="3"/>
      <c r="H2048" s="3"/>
      <c r="I2048" s="3"/>
      <c r="J2048" s="3"/>
      <c r="K2048" s="3"/>
      <c r="L2048" s="3" t="s">
        <v>564</v>
      </c>
      <c r="M2048" s="3">
        <v>40</v>
      </c>
      <c r="N2048" s="3" t="s">
        <v>108</v>
      </c>
      <c r="O2048" s="3"/>
      <c r="P2048" s="3"/>
      <c r="Q2048" s="3">
        <v>11.989000000000001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563</v>
      </c>
      <c r="C2049" s="3" t="s">
        <v>453</v>
      </c>
      <c r="D2049" s="3"/>
      <c r="E2049" s="3" t="s">
        <v>453</v>
      </c>
      <c r="F2049" s="3"/>
      <c r="G2049" s="3"/>
      <c r="H2049" s="3"/>
      <c r="I2049" s="3"/>
      <c r="J2049" s="3"/>
      <c r="K2049" s="3"/>
      <c r="L2049" s="3" t="s">
        <v>564</v>
      </c>
      <c r="M2049" s="3">
        <v>50</v>
      </c>
      <c r="N2049" s="3" t="s">
        <v>105</v>
      </c>
      <c r="O2049" s="3"/>
      <c r="P2049" s="3"/>
      <c r="Q2049" s="3">
        <v>73.730999999999995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563</v>
      </c>
      <c r="C2050" s="3" t="s">
        <v>453</v>
      </c>
      <c r="D2050" s="3"/>
      <c r="E2050" s="3" t="s">
        <v>453</v>
      </c>
      <c r="F2050" s="3"/>
      <c r="G2050" s="3"/>
      <c r="H2050" s="3"/>
      <c r="I2050" s="3"/>
      <c r="J2050" s="3"/>
      <c r="K2050" s="3"/>
      <c r="L2050" s="3" t="s">
        <v>564</v>
      </c>
      <c r="M2050" s="3">
        <v>60</v>
      </c>
      <c r="N2050" s="3" t="s">
        <v>106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563</v>
      </c>
      <c r="C2051" s="3" t="s">
        <v>453</v>
      </c>
      <c r="D2051" s="3"/>
      <c r="E2051" s="3" t="s">
        <v>453</v>
      </c>
      <c r="F2051" s="3"/>
      <c r="G2051" s="3"/>
      <c r="H2051" s="3"/>
      <c r="I2051" s="3"/>
      <c r="J2051" s="3"/>
      <c r="K2051" s="3"/>
      <c r="L2051" s="3" t="s">
        <v>564</v>
      </c>
      <c r="M2051" s="3">
        <v>70</v>
      </c>
      <c r="N2051" s="3" t="s">
        <v>104</v>
      </c>
      <c r="O2051" s="3"/>
      <c r="P2051" s="3"/>
      <c r="Q2051" s="3">
        <v>8.7999999999999995E-2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563</v>
      </c>
      <c r="C2052" s="3" t="s">
        <v>453</v>
      </c>
      <c r="D2052" s="3"/>
      <c r="E2052" s="3" t="s">
        <v>453</v>
      </c>
      <c r="F2052" s="3"/>
      <c r="G2052" s="3"/>
      <c r="H2052" s="3"/>
      <c r="I2052" s="3"/>
      <c r="J2052" s="3"/>
      <c r="K2052" s="3"/>
      <c r="L2052" s="3" t="s">
        <v>564</v>
      </c>
      <c r="M2052" s="3">
        <v>80</v>
      </c>
      <c r="N2052" s="3" t="s">
        <v>192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563</v>
      </c>
      <c r="C2053" s="3" t="s">
        <v>453</v>
      </c>
      <c r="D2053" s="3"/>
      <c r="E2053" s="3" t="s">
        <v>453</v>
      </c>
      <c r="F2053" s="3"/>
      <c r="G2053" s="3"/>
      <c r="H2053" s="3"/>
      <c r="I2053" s="3"/>
      <c r="J2053" s="3"/>
      <c r="K2053" s="3"/>
      <c r="L2053" s="3" t="s">
        <v>564</v>
      </c>
      <c r="M2053" s="3">
        <v>90</v>
      </c>
      <c r="N2053" s="3" t="s">
        <v>18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563</v>
      </c>
      <c r="C2054" s="3" t="s">
        <v>453</v>
      </c>
      <c r="D2054" s="3"/>
      <c r="E2054" s="3" t="s">
        <v>453</v>
      </c>
      <c r="F2054" s="3"/>
      <c r="G2054" s="3"/>
      <c r="H2054" s="3"/>
      <c r="I2054" s="3"/>
      <c r="J2054" s="3"/>
      <c r="K2054" s="3"/>
      <c r="L2054" s="3" t="s">
        <v>564</v>
      </c>
      <c r="M2054" s="3">
        <v>100</v>
      </c>
      <c r="N2054" s="3" t="s">
        <v>19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563</v>
      </c>
      <c r="C2055" s="3" t="s">
        <v>453</v>
      </c>
      <c r="D2055" s="3"/>
      <c r="E2055" s="3" t="s">
        <v>453</v>
      </c>
      <c r="F2055" s="3"/>
      <c r="G2055" s="3"/>
      <c r="H2055" s="3"/>
      <c r="I2055" s="3"/>
      <c r="J2055" s="3"/>
      <c r="K2055" s="3"/>
      <c r="L2055" s="3" t="s">
        <v>564</v>
      </c>
      <c r="M2055" s="3">
        <v>110</v>
      </c>
      <c r="N2055" s="3" t="s">
        <v>101</v>
      </c>
      <c r="O2055" s="3"/>
      <c r="P2055" s="3"/>
      <c r="Q2055" s="3">
        <v>0.32300000000000001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563</v>
      </c>
      <c r="C2056" s="3" t="s">
        <v>453</v>
      </c>
      <c r="D2056" s="3"/>
      <c r="E2056" s="3" t="s">
        <v>453</v>
      </c>
      <c r="F2056" s="3"/>
      <c r="G2056" s="3"/>
      <c r="H2056" s="3"/>
      <c r="I2056" s="3"/>
      <c r="J2056" s="3"/>
      <c r="K2056" s="3"/>
      <c r="L2056" s="3" t="s">
        <v>564</v>
      </c>
      <c r="M2056" s="3">
        <v>120</v>
      </c>
      <c r="N2056" s="3" t="s">
        <v>454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563</v>
      </c>
      <c r="C2057" s="3" t="s">
        <v>455</v>
      </c>
      <c r="D2057" s="3"/>
      <c r="E2057" s="3" t="s">
        <v>455</v>
      </c>
      <c r="F2057" s="3"/>
      <c r="G2057" s="3"/>
      <c r="H2057" s="3"/>
      <c r="I2057" s="3"/>
      <c r="J2057" s="3"/>
      <c r="K2057" s="3"/>
      <c r="L2057" s="3" t="s">
        <v>564</v>
      </c>
      <c r="M2057" s="3">
        <v>10</v>
      </c>
      <c r="N2057" s="3" t="s">
        <v>107</v>
      </c>
      <c r="O2057" s="3"/>
      <c r="P2057" s="3"/>
      <c r="Q2057" s="3">
        <v>1.0920000000000001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563</v>
      </c>
      <c r="C2058" s="3" t="s">
        <v>455</v>
      </c>
      <c r="D2058" s="3"/>
      <c r="E2058" s="3" t="s">
        <v>455</v>
      </c>
      <c r="F2058" s="3"/>
      <c r="G2058" s="3"/>
      <c r="H2058" s="3"/>
      <c r="I2058" s="3"/>
      <c r="J2058" s="3"/>
      <c r="K2058" s="3"/>
      <c r="L2058" s="3" t="s">
        <v>564</v>
      </c>
      <c r="M2058" s="3">
        <v>20</v>
      </c>
      <c r="N2058" s="3" t="s">
        <v>565</v>
      </c>
      <c r="O2058" s="3"/>
      <c r="P2058" s="3"/>
      <c r="Q2058" s="3">
        <v>1.0920000000000001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563</v>
      </c>
      <c r="C2059" s="3" t="s">
        <v>455</v>
      </c>
      <c r="D2059" s="3"/>
      <c r="E2059" s="3" t="s">
        <v>455</v>
      </c>
      <c r="F2059" s="3"/>
      <c r="G2059" s="3"/>
      <c r="H2059" s="3"/>
      <c r="I2059" s="3"/>
      <c r="J2059" s="3"/>
      <c r="K2059" s="3"/>
      <c r="L2059" s="3" t="s">
        <v>564</v>
      </c>
      <c r="M2059" s="3">
        <v>30</v>
      </c>
      <c r="N2059" s="3" t="s">
        <v>99</v>
      </c>
      <c r="O2059" s="3"/>
      <c r="P2059" s="3"/>
      <c r="Q2059" s="3">
        <v>0.33200000000000002</v>
      </c>
      <c r="R2059" s="3" t="s">
        <v>100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563</v>
      </c>
      <c r="C2060" s="3" t="s">
        <v>455</v>
      </c>
      <c r="D2060" s="3"/>
      <c r="E2060" s="3" t="s">
        <v>455</v>
      </c>
      <c r="F2060" s="3"/>
      <c r="G2060" s="3"/>
      <c r="H2060" s="3"/>
      <c r="I2060" s="3"/>
      <c r="J2060" s="3"/>
      <c r="K2060" s="3"/>
      <c r="L2060" s="3" t="s">
        <v>564</v>
      </c>
      <c r="M2060" s="3">
        <v>40</v>
      </c>
      <c r="N2060" s="3" t="s">
        <v>108</v>
      </c>
      <c r="O2060" s="3"/>
      <c r="P2060" s="3"/>
      <c r="Q2060" s="3">
        <v>12.598000000000001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563</v>
      </c>
      <c r="C2061" s="3" t="s">
        <v>455</v>
      </c>
      <c r="D2061" s="3"/>
      <c r="E2061" s="3" t="s">
        <v>455</v>
      </c>
      <c r="F2061" s="3"/>
      <c r="G2061" s="3"/>
      <c r="H2061" s="3"/>
      <c r="I2061" s="3"/>
      <c r="J2061" s="3"/>
      <c r="K2061" s="3"/>
      <c r="L2061" s="3" t="s">
        <v>564</v>
      </c>
      <c r="M2061" s="3">
        <v>50</v>
      </c>
      <c r="N2061" s="3" t="s">
        <v>105</v>
      </c>
      <c r="O2061" s="3"/>
      <c r="P2061" s="3"/>
      <c r="Q2061" s="3">
        <v>77.48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563</v>
      </c>
      <c r="C2062" s="3" t="s">
        <v>455</v>
      </c>
      <c r="D2062" s="3"/>
      <c r="E2062" s="3" t="s">
        <v>455</v>
      </c>
      <c r="F2062" s="3"/>
      <c r="G2062" s="3"/>
      <c r="H2062" s="3"/>
      <c r="I2062" s="3"/>
      <c r="J2062" s="3"/>
      <c r="K2062" s="3"/>
      <c r="L2062" s="3" t="s">
        <v>564</v>
      </c>
      <c r="M2062" s="3">
        <v>60</v>
      </c>
      <c r="N2062" s="3" t="s">
        <v>106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563</v>
      </c>
      <c r="C2063" s="3" t="s">
        <v>455</v>
      </c>
      <c r="D2063" s="3"/>
      <c r="E2063" s="3" t="s">
        <v>455</v>
      </c>
      <c r="F2063" s="3"/>
      <c r="G2063" s="3"/>
      <c r="H2063" s="3"/>
      <c r="I2063" s="3"/>
      <c r="J2063" s="3"/>
      <c r="K2063" s="3"/>
      <c r="L2063" s="3" t="s">
        <v>564</v>
      </c>
      <c r="M2063" s="3">
        <v>70</v>
      </c>
      <c r="N2063" s="3" t="s">
        <v>104</v>
      </c>
      <c r="O2063" s="3"/>
      <c r="P2063" s="3"/>
      <c r="Q2063" s="3">
        <v>0.1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563</v>
      </c>
      <c r="C2064" s="3" t="s">
        <v>455</v>
      </c>
      <c r="D2064" s="3"/>
      <c r="E2064" s="3" t="s">
        <v>455</v>
      </c>
      <c r="F2064" s="3"/>
      <c r="G2064" s="3"/>
      <c r="H2064" s="3"/>
      <c r="I2064" s="3"/>
      <c r="J2064" s="3"/>
      <c r="K2064" s="3"/>
      <c r="L2064" s="3" t="s">
        <v>564</v>
      </c>
      <c r="M2064" s="3">
        <v>80</v>
      </c>
      <c r="N2064" s="3" t="s">
        <v>192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563</v>
      </c>
      <c r="C2065" s="3" t="s">
        <v>455</v>
      </c>
      <c r="D2065" s="3"/>
      <c r="E2065" s="3" t="s">
        <v>455</v>
      </c>
      <c r="F2065" s="3"/>
      <c r="G2065" s="3"/>
      <c r="H2065" s="3"/>
      <c r="I2065" s="3"/>
      <c r="J2065" s="3"/>
      <c r="K2065" s="3"/>
      <c r="L2065" s="3" t="s">
        <v>564</v>
      </c>
      <c r="M2065" s="3">
        <v>90</v>
      </c>
      <c r="N2065" s="3" t="s">
        <v>18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563</v>
      </c>
      <c r="C2066" s="3" t="s">
        <v>455</v>
      </c>
      <c r="D2066" s="3"/>
      <c r="E2066" s="3" t="s">
        <v>455</v>
      </c>
      <c r="F2066" s="3"/>
      <c r="G2066" s="3"/>
      <c r="H2066" s="3"/>
      <c r="I2066" s="3"/>
      <c r="J2066" s="3"/>
      <c r="K2066" s="3"/>
      <c r="L2066" s="3" t="s">
        <v>564</v>
      </c>
      <c r="M2066" s="3">
        <v>100</v>
      </c>
      <c r="N2066" s="3" t="s">
        <v>19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563</v>
      </c>
      <c r="C2067" s="3" t="s">
        <v>455</v>
      </c>
      <c r="D2067" s="3"/>
      <c r="E2067" s="3" t="s">
        <v>455</v>
      </c>
      <c r="F2067" s="3"/>
      <c r="G2067" s="3"/>
      <c r="H2067" s="3"/>
      <c r="I2067" s="3"/>
      <c r="J2067" s="3"/>
      <c r="K2067" s="3"/>
      <c r="L2067" s="3" t="s">
        <v>564</v>
      </c>
      <c r="M2067" s="3">
        <v>110</v>
      </c>
      <c r="N2067" s="3" t="s">
        <v>101</v>
      </c>
      <c r="O2067" s="3"/>
      <c r="P2067" s="3"/>
      <c r="Q2067" s="3">
        <v>0.36799999999999999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563</v>
      </c>
      <c r="C2068" s="3" t="s">
        <v>455</v>
      </c>
      <c r="D2068" s="3"/>
      <c r="E2068" s="3" t="s">
        <v>455</v>
      </c>
      <c r="F2068" s="3"/>
      <c r="G2068" s="3"/>
      <c r="H2068" s="3"/>
      <c r="I2068" s="3"/>
      <c r="J2068" s="3"/>
      <c r="K2068" s="3"/>
      <c r="L2068" s="3" t="s">
        <v>564</v>
      </c>
      <c r="M2068" s="3">
        <v>120</v>
      </c>
      <c r="N2068" s="3" t="s">
        <v>456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563</v>
      </c>
      <c r="C2069" s="3" t="s">
        <v>457</v>
      </c>
      <c r="D2069" s="3"/>
      <c r="E2069" s="3" t="s">
        <v>457</v>
      </c>
      <c r="F2069" s="3"/>
      <c r="G2069" s="3"/>
      <c r="H2069" s="3"/>
      <c r="I2069" s="3"/>
      <c r="J2069" s="3"/>
      <c r="K2069" s="3"/>
      <c r="L2069" s="3" t="s">
        <v>564</v>
      </c>
      <c r="M2069" s="3">
        <v>10</v>
      </c>
      <c r="N2069" s="3" t="s">
        <v>107</v>
      </c>
      <c r="O2069" s="3"/>
      <c r="P2069" s="3"/>
      <c r="Q2069" s="3">
        <v>1.2450000000000001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563</v>
      </c>
      <c r="C2070" s="3" t="s">
        <v>457</v>
      </c>
      <c r="D2070" s="3"/>
      <c r="E2070" s="3" t="s">
        <v>457</v>
      </c>
      <c r="F2070" s="3"/>
      <c r="G2070" s="3"/>
      <c r="H2070" s="3"/>
      <c r="I2070" s="3"/>
      <c r="J2070" s="3"/>
      <c r="K2070" s="3"/>
      <c r="L2070" s="3" t="s">
        <v>564</v>
      </c>
      <c r="M2070" s="3">
        <v>20</v>
      </c>
      <c r="N2070" s="3" t="s">
        <v>565</v>
      </c>
      <c r="O2070" s="3"/>
      <c r="P2070" s="3"/>
      <c r="Q2070" s="3">
        <v>1.2450000000000001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563</v>
      </c>
      <c r="C2071" s="3" t="s">
        <v>457</v>
      </c>
      <c r="D2071" s="3"/>
      <c r="E2071" s="3" t="s">
        <v>457</v>
      </c>
      <c r="F2071" s="3"/>
      <c r="G2071" s="3"/>
      <c r="H2071" s="3"/>
      <c r="I2071" s="3"/>
      <c r="J2071" s="3"/>
      <c r="K2071" s="3"/>
      <c r="L2071" s="3" t="s">
        <v>564</v>
      </c>
      <c r="M2071" s="3">
        <v>30</v>
      </c>
      <c r="N2071" s="3" t="s">
        <v>99</v>
      </c>
      <c r="O2071" s="3"/>
      <c r="P2071" s="3"/>
      <c r="Q2071" s="3">
        <v>0.379</v>
      </c>
      <c r="R2071" s="3" t="s">
        <v>100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563</v>
      </c>
      <c r="C2072" s="3" t="s">
        <v>457</v>
      </c>
      <c r="D2072" s="3"/>
      <c r="E2072" s="3" t="s">
        <v>457</v>
      </c>
      <c r="F2072" s="3"/>
      <c r="G2072" s="3"/>
      <c r="H2072" s="3"/>
      <c r="I2072" s="3"/>
      <c r="J2072" s="3"/>
      <c r="K2072" s="3"/>
      <c r="L2072" s="3" t="s">
        <v>564</v>
      </c>
      <c r="M2072" s="3">
        <v>40</v>
      </c>
      <c r="N2072" s="3" t="s">
        <v>108</v>
      </c>
      <c r="O2072" s="3"/>
      <c r="P2072" s="3"/>
      <c r="Q2072" s="3">
        <v>13.208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563</v>
      </c>
      <c r="C2073" s="3" t="s">
        <v>457</v>
      </c>
      <c r="D2073" s="3"/>
      <c r="E2073" s="3" t="s">
        <v>457</v>
      </c>
      <c r="F2073" s="3"/>
      <c r="G2073" s="3"/>
      <c r="H2073" s="3"/>
      <c r="I2073" s="3"/>
      <c r="J2073" s="3"/>
      <c r="K2073" s="3"/>
      <c r="L2073" s="3" t="s">
        <v>564</v>
      </c>
      <c r="M2073" s="3">
        <v>50</v>
      </c>
      <c r="N2073" s="3" t="s">
        <v>105</v>
      </c>
      <c r="O2073" s="3"/>
      <c r="P2073" s="3"/>
      <c r="Q2073" s="3">
        <v>81.228999999999999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563</v>
      </c>
      <c r="C2074" s="3" t="s">
        <v>457</v>
      </c>
      <c r="D2074" s="3"/>
      <c r="E2074" s="3" t="s">
        <v>457</v>
      </c>
      <c r="F2074" s="3"/>
      <c r="G2074" s="3"/>
      <c r="H2074" s="3"/>
      <c r="I2074" s="3"/>
      <c r="J2074" s="3"/>
      <c r="K2074" s="3"/>
      <c r="L2074" s="3" t="s">
        <v>564</v>
      </c>
      <c r="M2074" s="3">
        <v>60</v>
      </c>
      <c r="N2074" s="3" t="s">
        <v>106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563</v>
      </c>
      <c r="C2075" s="3" t="s">
        <v>457</v>
      </c>
      <c r="D2075" s="3"/>
      <c r="E2075" s="3" t="s">
        <v>457</v>
      </c>
      <c r="F2075" s="3"/>
      <c r="G2075" s="3"/>
      <c r="H2075" s="3"/>
      <c r="I2075" s="3"/>
      <c r="J2075" s="3"/>
      <c r="K2075" s="3"/>
      <c r="L2075" s="3" t="s">
        <v>564</v>
      </c>
      <c r="M2075" s="3">
        <v>70</v>
      </c>
      <c r="N2075" s="3" t="s">
        <v>104</v>
      </c>
      <c r="O2075" s="3"/>
      <c r="P2075" s="3"/>
      <c r="Q2075" s="3">
        <v>0.111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563</v>
      </c>
      <c r="C2076" s="3" t="s">
        <v>457</v>
      </c>
      <c r="D2076" s="3"/>
      <c r="E2076" s="3" t="s">
        <v>457</v>
      </c>
      <c r="F2076" s="3"/>
      <c r="G2076" s="3"/>
      <c r="H2076" s="3"/>
      <c r="I2076" s="3"/>
      <c r="J2076" s="3"/>
      <c r="K2076" s="3"/>
      <c r="L2076" s="3" t="s">
        <v>564</v>
      </c>
      <c r="M2076" s="3">
        <v>80</v>
      </c>
      <c r="N2076" s="3" t="s">
        <v>192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563</v>
      </c>
      <c r="C2077" s="3" t="s">
        <v>457</v>
      </c>
      <c r="D2077" s="3"/>
      <c r="E2077" s="3" t="s">
        <v>457</v>
      </c>
      <c r="F2077" s="3"/>
      <c r="G2077" s="3"/>
      <c r="H2077" s="3"/>
      <c r="I2077" s="3"/>
      <c r="J2077" s="3"/>
      <c r="K2077" s="3"/>
      <c r="L2077" s="3" t="s">
        <v>564</v>
      </c>
      <c r="M2077" s="3">
        <v>90</v>
      </c>
      <c r="N2077" s="3" t="s">
        <v>18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563</v>
      </c>
      <c r="C2078" s="3" t="s">
        <v>457</v>
      </c>
      <c r="D2078" s="3"/>
      <c r="E2078" s="3" t="s">
        <v>457</v>
      </c>
      <c r="F2078" s="3"/>
      <c r="G2078" s="3"/>
      <c r="H2078" s="3"/>
      <c r="I2078" s="3"/>
      <c r="J2078" s="3"/>
      <c r="K2078" s="3"/>
      <c r="L2078" s="3" t="s">
        <v>564</v>
      </c>
      <c r="M2078" s="3">
        <v>100</v>
      </c>
      <c r="N2078" s="3" t="s">
        <v>19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563</v>
      </c>
      <c r="C2079" s="3" t="s">
        <v>457</v>
      </c>
      <c r="D2079" s="3"/>
      <c r="E2079" s="3" t="s">
        <v>457</v>
      </c>
      <c r="F2079" s="3"/>
      <c r="G2079" s="3"/>
      <c r="H2079" s="3"/>
      <c r="I2079" s="3"/>
      <c r="J2079" s="3"/>
      <c r="K2079" s="3"/>
      <c r="L2079" s="3" t="s">
        <v>564</v>
      </c>
      <c r="M2079" s="3">
        <v>110</v>
      </c>
      <c r="N2079" s="3" t="s">
        <v>101</v>
      </c>
      <c r="O2079" s="3"/>
      <c r="P2079" s="3"/>
      <c r="Q2079" s="3">
        <v>0.41299999999999998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563</v>
      </c>
      <c r="C2080" s="3" t="s">
        <v>457</v>
      </c>
      <c r="D2080" s="3"/>
      <c r="E2080" s="3" t="s">
        <v>457</v>
      </c>
      <c r="F2080" s="3"/>
      <c r="G2080" s="3"/>
      <c r="H2080" s="3"/>
      <c r="I2080" s="3"/>
      <c r="J2080" s="3"/>
      <c r="K2080" s="3"/>
      <c r="L2080" s="3" t="s">
        <v>564</v>
      </c>
      <c r="M2080" s="3">
        <v>120</v>
      </c>
      <c r="N2080" s="3" t="s">
        <v>458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563</v>
      </c>
      <c r="C2081" s="3" t="s">
        <v>459</v>
      </c>
      <c r="D2081" s="3"/>
      <c r="E2081" s="3" t="s">
        <v>459</v>
      </c>
      <c r="F2081" s="3"/>
      <c r="G2081" s="3"/>
      <c r="H2081" s="3"/>
      <c r="I2081" s="3"/>
      <c r="J2081" s="3"/>
      <c r="K2081" s="3"/>
      <c r="L2081" s="3" t="s">
        <v>564</v>
      </c>
      <c r="M2081" s="3">
        <v>10</v>
      </c>
      <c r="N2081" s="3" t="s">
        <v>107</v>
      </c>
      <c r="O2081" s="3"/>
      <c r="P2081" s="3"/>
      <c r="Q2081" s="3">
        <v>1.5489999999999999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563</v>
      </c>
      <c r="C2082" s="3" t="s">
        <v>459</v>
      </c>
      <c r="D2082" s="3"/>
      <c r="E2082" s="3" t="s">
        <v>459</v>
      </c>
      <c r="F2082" s="3"/>
      <c r="G2082" s="3"/>
      <c r="H2082" s="3"/>
      <c r="I2082" s="3"/>
      <c r="J2082" s="3"/>
      <c r="K2082" s="3"/>
      <c r="L2082" s="3" t="s">
        <v>564</v>
      </c>
      <c r="M2082" s="3">
        <v>20</v>
      </c>
      <c r="N2082" s="3" t="s">
        <v>565</v>
      </c>
      <c r="O2082" s="3"/>
      <c r="P2082" s="3"/>
      <c r="Q2082" s="3">
        <v>1.5489999999999999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563</v>
      </c>
      <c r="C2083" s="3" t="s">
        <v>459</v>
      </c>
      <c r="D2083" s="3"/>
      <c r="E2083" s="3" t="s">
        <v>459</v>
      </c>
      <c r="F2083" s="3"/>
      <c r="G2083" s="3"/>
      <c r="H2083" s="3"/>
      <c r="I2083" s="3"/>
      <c r="J2083" s="3"/>
      <c r="K2083" s="3"/>
      <c r="L2083" s="3" t="s">
        <v>564</v>
      </c>
      <c r="M2083" s="3">
        <v>30</v>
      </c>
      <c r="N2083" s="3" t="s">
        <v>99</v>
      </c>
      <c r="O2083" s="3"/>
      <c r="P2083" s="3"/>
      <c r="Q2083" s="3">
        <v>0.47399999999999998</v>
      </c>
      <c r="R2083" s="3" t="s">
        <v>100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563</v>
      </c>
      <c r="C2084" s="3" t="s">
        <v>459</v>
      </c>
      <c r="D2084" s="3"/>
      <c r="E2084" s="3" t="s">
        <v>459</v>
      </c>
      <c r="F2084" s="3"/>
      <c r="G2084" s="3"/>
      <c r="H2084" s="3"/>
      <c r="I2084" s="3"/>
      <c r="J2084" s="3"/>
      <c r="K2084" s="3"/>
      <c r="L2084" s="3" t="s">
        <v>564</v>
      </c>
      <c r="M2084" s="3">
        <v>40</v>
      </c>
      <c r="N2084" s="3" t="s">
        <v>108</v>
      </c>
      <c r="O2084" s="3"/>
      <c r="P2084" s="3"/>
      <c r="Q2084" s="3">
        <v>14.427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563</v>
      </c>
      <c r="C2085" s="3" t="s">
        <v>459</v>
      </c>
      <c r="D2085" s="3"/>
      <c r="E2085" s="3" t="s">
        <v>459</v>
      </c>
      <c r="F2085" s="3"/>
      <c r="G2085" s="3"/>
      <c r="H2085" s="3"/>
      <c r="I2085" s="3"/>
      <c r="J2085" s="3"/>
      <c r="K2085" s="3"/>
      <c r="L2085" s="3" t="s">
        <v>564</v>
      </c>
      <c r="M2085" s="3">
        <v>50</v>
      </c>
      <c r="N2085" s="3" t="s">
        <v>105</v>
      </c>
      <c r="O2085" s="3"/>
      <c r="P2085" s="3"/>
      <c r="Q2085" s="3">
        <v>88.727000000000004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563</v>
      </c>
      <c r="C2086" s="3" t="s">
        <v>459</v>
      </c>
      <c r="D2086" s="3"/>
      <c r="E2086" s="3" t="s">
        <v>459</v>
      </c>
      <c r="F2086" s="3"/>
      <c r="G2086" s="3"/>
      <c r="H2086" s="3"/>
      <c r="I2086" s="3"/>
      <c r="J2086" s="3"/>
      <c r="K2086" s="3"/>
      <c r="L2086" s="3" t="s">
        <v>564</v>
      </c>
      <c r="M2086" s="3">
        <v>60</v>
      </c>
      <c r="N2086" s="3" t="s">
        <v>106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563</v>
      </c>
      <c r="C2087" s="3" t="s">
        <v>459</v>
      </c>
      <c r="D2087" s="3"/>
      <c r="E2087" s="3" t="s">
        <v>459</v>
      </c>
      <c r="F2087" s="3"/>
      <c r="G2087" s="3"/>
      <c r="H2087" s="3"/>
      <c r="I2087" s="3"/>
      <c r="J2087" s="3"/>
      <c r="K2087" s="3"/>
      <c r="L2087" s="3" t="s">
        <v>564</v>
      </c>
      <c r="M2087" s="3">
        <v>70</v>
      </c>
      <c r="N2087" s="3" t="s">
        <v>104</v>
      </c>
      <c r="O2087" s="3"/>
      <c r="P2087" s="3"/>
      <c r="Q2087" s="3">
        <v>0.13300000000000001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563</v>
      </c>
      <c r="C2088" s="3" t="s">
        <v>459</v>
      </c>
      <c r="D2088" s="3"/>
      <c r="E2088" s="3" t="s">
        <v>459</v>
      </c>
      <c r="F2088" s="3"/>
      <c r="G2088" s="3"/>
      <c r="H2088" s="3"/>
      <c r="I2088" s="3"/>
      <c r="J2088" s="3"/>
      <c r="K2088" s="3"/>
      <c r="L2088" s="3" t="s">
        <v>564</v>
      </c>
      <c r="M2088" s="3">
        <v>80</v>
      </c>
      <c r="N2088" s="3" t="s">
        <v>192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563</v>
      </c>
      <c r="C2089" s="3" t="s">
        <v>459</v>
      </c>
      <c r="D2089" s="3"/>
      <c r="E2089" s="3" t="s">
        <v>459</v>
      </c>
      <c r="F2089" s="3"/>
      <c r="G2089" s="3"/>
      <c r="H2089" s="3"/>
      <c r="I2089" s="3"/>
      <c r="J2089" s="3"/>
      <c r="K2089" s="3"/>
      <c r="L2089" s="3" t="s">
        <v>564</v>
      </c>
      <c r="M2089" s="3">
        <v>90</v>
      </c>
      <c r="N2089" s="3" t="s">
        <v>18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563</v>
      </c>
      <c r="C2090" s="3" t="s">
        <v>459</v>
      </c>
      <c r="D2090" s="3"/>
      <c r="E2090" s="3" t="s">
        <v>459</v>
      </c>
      <c r="F2090" s="3"/>
      <c r="G2090" s="3"/>
      <c r="H2090" s="3"/>
      <c r="I2090" s="3"/>
      <c r="J2090" s="3"/>
      <c r="K2090" s="3"/>
      <c r="L2090" s="3" t="s">
        <v>564</v>
      </c>
      <c r="M2090" s="3">
        <v>100</v>
      </c>
      <c r="N2090" s="3" t="s">
        <v>19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563</v>
      </c>
      <c r="C2091" s="3" t="s">
        <v>459</v>
      </c>
      <c r="D2091" s="3"/>
      <c r="E2091" s="3" t="s">
        <v>459</v>
      </c>
      <c r="F2091" s="3"/>
      <c r="G2091" s="3"/>
      <c r="H2091" s="3"/>
      <c r="I2091" s="3"/>
      <c r="J2091" s="3"/>
      <c r="K2091" s="3"/>
      <c r="L2091" s="3" t="s">
        <v>564</v>
      </c>
      <c r="M2091" s="3">
        <v>110</v>
      </c>
      <c r="N2091" s="3" t="s">
        <v>101</v>
      </c>
      <c r="O2091" s="3"/>
      <c r="P2091" s="3"/>
      <c r="Q2091" s="3">
        <v>0.503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563</v>
      </c>
      <c r="C2092" s="3" t="s">
        <v>459</v>
      </c>
      <c r="D2092" s="3"/>
      <c r="E2092" s="3" t="s">
        <v>459</v>
      </c>
      <c r="F2092" s="3"/>
      <c r="G2092" s="3"/>
      <c r="H2092" s="3"/>
      <c r="I2092" s="3"/>
      <c r="J2092" s="3"/>
      <c r="K2092" s="3"/>
      <c r="L2092" s="3" t="s">
        <v>564</v>
      </c>
      <c r="M2092" s="3">
        <v>120</v>
      </c>
      <c r="N2092" s="3" t="s">
        <v>460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563</v>
      </c>
      <c r="C2093" s="3" t="s">
        <v>461</v>
      </c>
      <c r="D2093" s="3"/>
      <c r="E2093" s="3" t="s">
        <v>461</v>
      </c>
      <c r="F2093" s="3"/>
      <c r="G2093" s="3"/>
      <c r="H2093" s="3"/>
      <c r="I2093" s="3"/>
      <c r="J2093" s="3"/>
      <c r="K2093" s="3"/>
      <c r="L2093" s="3" t="s">
        <v>564</v>
      </c>
      <c r="M2093" s="3">
        <v>10</v>
      </c>
      <c r="N2093" s="3" t="s">
        <v>107</v>
      </c>
      <c r="O2093" s="3"/>
      <c r="P2093" s="3"/>
      <c r="Q2093" s="3">
        <v>1.702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563</v>
      </c>
      <c r="C2094" s="3" t="s">
        <v>461</v>
      </c>
      <c r="D2094" s="3"/>
      <c r="E2094" s="3" t="s">
        <v>461</v>
      </c>
      <c r="F2094" s="3"/>
      <c r="G2094" s="3"/>
      <c r="H2094" s="3"/>
      <c r="I2094" s="3"/>
      <c r="J2094" s="3"/>
      <c r="K2094" s="3"/>
      <c r="L2094" s="3" t="s">
        <v>564</v>
      </c>
      <c r="M2094" s="3">
        <v>20</v>
      </c>
      <c r="N2094" s="3" t="s">
        <v>565</v>
      </c>
      <c r="O2094" s="3"/>
      <c r="P2094" s="3"/>
      <c r="Q2094" s="3">
        <v>1.702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563</v>
      </c>
      <c r="C2095" s="3" t="s">
        <v>461</v>
      </c>
      <c r="D2095" s="3"/>
      <c r="E2095" s="3" t="s">
        <v>461</v>
      </c>
      <c r="F2095" s="3"/>
      <c r="G2095" s="3"/>
      <c r="H2095" s="3"/>
      <c r="I2095" s="3"/>
      <c r="J2095" s="3"/>
      <c r="K2095" s="3"/>
      <c r="L2095" s="3" t="s">
        <v>564</v>
      </c>
      <c r="M2095" s="3">
        <v>30</v>
      </c>
      <c r="N2095" s="3" t="s">
        <v>99</v>
      </c>
      <c r="O2095" s="3"/>
      <c r="P2095" s="3"/>
      <c r="Q2095" s="3">
        <v>0.52100000000000002</v>
      </c>
      <c r="R2095" s="3" t="s">
        <v>100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563</v>
      </c>
      <c r="C2096" s="3" t="s">
        <v>461</v>
      </c>
      <c r="D2096" s="3"/>
      <c r="E2096" s="3" t="s">
        <v>461</v>
      </c>
      <c r="F2096" s="3"/>
      <c r="G2096" s="3"/>
      <c r="H2096" s="3"/>
      <c r="I2096" s="3"/>
      <c r="J2096" s="3"/>
      <c r="K2096" s="3"/>
      <c r="L2096" s="3" t="s">
        <v>564</v>
      </c>
      <c r="M2096" s="3">
        <v>40</v>
      </c>
      <c r="N2096" s="3" t="s">
        <v>108</v>
      </c>
      <c r="O2096" s="3"/>
      <c r="P2096" s="3"/>
      <c r="Q2096" s="3">
        <v>15.037000000000001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563</v>
      </c>
      <c r="C2097" s="3" t="s">
        <v>461</v>
      </c>
      <c r="D2097" s="3"/>
      <c r="E2097" s="3" t="s">
        <v>461</v>
      </c>
      <c r="F2097" s="3"/>
      <c r="G2097" s="3"/>
      <c r="H2097" s="3"/>
      <c r="I2097" s="3"/>
      <c r="J2097" s="3"/>
      <c r="K2097" s="3"/>
      <c r="L2097" s="3" t="s">
        <v>564</v>
      </c>
      <c r="M2097" s="3">
        <v>50</v>
      </c>
      <c r="N2097" s="3" t="s">
        <v>105</v>
      </c>
      <c r="O2097" s="3"/>
      <c r="P2097" s="3"/>
      <c r="Q2097" s="3">
        <v>92.475999999999999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563</v>
      </c>
      <c r="C2098" s="3" t="s">
        <v>461</v>
      </c>
      <c r="D2098" s="3"/>
      <c r="E2098" s="3" t="s">
        <v>461</v>
      </c>
      <c r="F2098" s="3"/>
      <c r="G2098" s="3"/>
      <c r="H2098" s="3"/>
      <c r="I2098" s="3"/>
      <c r="J2098" s="3"/>
      <c r="K2098" s="3"/>
      <c r="L2098" s="3" t="s">
        <v>564</v>
      </c>
      <c r="M2098" s="3">
        <v>60</v>
      </c>
      <c r="N2098" s="3" t="s">
        <v>106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563</v>
      </c>
      <c r="C2099" s="3" t="s">
        <v>461</v>
      </c>
      <c r="D2099" s="3"/>
      <c r="E2099" s="3" t="s">
        <v>461</v>
      </c>
      <c r="F2099" s="3"/>
      <c r="G2099" s="3"/>
      <c r="H2099" s="3"/>
      <c r="I2099" s="3"/>
      <c r="J2099" s="3"/>
      <c r="K2099" s="3"/>
      <c r="L2099" s="3" t="s">
        <v>564</v>
      </c>
      <c r="M2099" s="3">
        <v>70</v>
      </c>
      <c r="N2099" s="3" t="s">
        <v>104</v>
      </c>
      <c r="O2099" s="3"/>
      <c r="P2099" s="3"/>
      <c r="Q2099" s="3">
        <v>0.14499999999999999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563</v>
      </c>
      <c r="C2100" s="3" t="s">
        <v>461</v>
      </c>
      <c r="D2100" s="3"/>
      <c r="E2100" s="3" t="s">
        <v>461</v>
      </c>
      <c r="F2100" s="3"/>
      <c r="G2100" s="3"/>
      <c r="H2100" s="3"/>
      <c r="I2100" s="3"/>
      <c r="J2100" s="3"/>
      <c r="K2100" s="3"/>
      <c r="L2100" s="3" t="s">
        <v>564</v>
      </c>
      <c r="M2100" s="3">
        <v>80</v>
      </c>
      <c r="N2100" s="3" t="s">
        <v>192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563</v>
      </c>
      <c r="C2101" s="3" t="s">
        <v>461</v>
      </c>
      <c r="D2101" s="3"/>
      <c r="E2101" s="3" t="s">
        <v>461</v>
      </c>
      <c r="F2101" s="3"/>
      <c r="G2101" s="3"/>
      <c r="H2101" s="3"/>
      <c r="I2101" s="3"/>
      <c r="J2101" s="3"/>
      <c r="K2101" s="3"/>
      <c r="L2101" s="3" t="s">
        <v>564</v>
      </c>
      <c r="M2101" s="3">
        <v>90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563</v>
      </c>
      <c r="C2102" s="3" t="s">
        <v>461</v>
      </c>
      <c r="D2102" s="3"/>
      <c r="E2102" s="3" t="s">
        <v>461</v>
      </c>
      <c r="F2102" s="3"/>
      <c r="G2102" s="3"/>
      <c r="H2102" s="3"/>
      <c r="I2102" s="3"/>
      <c r="J2102" s="3"/>
      <c r="K2102" s="3"/>
      <c r="L2102" s="3" t="s">
        <v>564</v>
      </c>
      <c r="M2102" s="3">
        <v>100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563</v>
      </c>
      <c r="C2103" s="3" t="s">
        <v>461</v>
      </c>
      <c r="D2103" s="3"/>
      <c r="E2103" s="3" t="s">
        <v>461</v>
      </c>
      <c r="F2103" s="3"/>
      <c r="G2103" s="3"/>
      <c r="H2103" s="3"/>
      <c r="I2103" s="3"/>
      <c r="J2103" s="3"/>
      <c r="K2103" s="3"/>
      <c r="L2103" s="3" t="s">
        <v>564</v>
      </c>
      <c r="M2103" s="3">
        <v>110</v>
      </c>
      <c r="N2103" s="3" t="s">
        <v>101</v>
      </c>
      <c r="O2103" s="3"/>
      <c r="P2103" s="3"/>
      <c r="Q2103" s="3">
        <v>0.54800000000000004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563</v>
      </c>
      <c r="C2104" s="3" t="s">
        <v>461</v>
      </c>
      <c r="D2104" s="3"/>
      <c r="E2104" s="3" t="s">
        <v>461</v>
      </c>
      <c r="F2104" s="3"/>
      <c r="G2104" s="3"/>
      <c r="H2104" s="3"/>
      <c r="I2104" s="3"/>
      <c r="J2104" s="3"/>
      <c r="K2104" s="3"/>
      <c r="L2104" s="3" t="s">
        <v>564</v>
      </c>
      <c r="M2104" s="3">
        <v>120</v>
      </c>
      <c r="N2104" s="3" t="s">
        <v>462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563</v>
      </c>
      <c r="C2105" s="3" t="s">
        <v>463</v>
      </c>
      <c r="D2105" s="3"/>
      <c r="E2105" s="3" t="s">
        <v>463</v>
      </c>
      <c r="F2105" s="3"/>
      <c r="G2105" s="3"/>
      <c r="H2105" s="3"/>
      <c r="I2105" s="3"/>
      <c r="J2105" s="3"/>
      <c r="K2105" s="3"/>
      <c r="L2105" s="3" t="s">
        <v>564</v>
      </c>
      <c r="M2105" s="3">
        <v>10</v>
      </c>
      <c r="N2105" s="3" t="s">
        <v>107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563</v>
      </c>
      <c r="C2106" s="3" t="s">
        <v>463</v>
      </c>
      <c r="D2106" s="3"/>
      <c r="E2106" s="3" t="s">
        <v>463</v>
      </c>
      <c r="F2106" s="3"/>
      <c r="G2106" s="3"/>
      <c r="H2106" s="3"/>
      <c r="I2106" s="3"/>
      <c r="J2106" s="3"/>
      <c r="K2106" s="3"/>
      <c r="L2106" s="3" t="s">
        <v>564</v>
      </c>
      <c r="M2106" s="3">
        <v>20</v>
      </c>
      <c r="N2106" s="3" t="s">
        <v>565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563</v>
      </c>
      <c r="C2107" s="3" t="s">
        <v>463</v>
      </c>
      <c r="D2107" s="3"/>
      <c r="E2107" s="3" t="s">
        <v>463</v>
      </c>
      <c r="F2107" s="3"/>
      <c r="G2107" s="3"/>
      <c r="H2107" s="3"/>
      <c r="I2107" s="3"/>
      <c r="J2107" s="3"/>
      <c r="K2107" s="3"/>
      <c r="L2107" s="3" t="s">
        <v>564</v>
      </c>
      <c r="M2107" s="3">
        <v>30</v>
      </c>
      <c r="N2107" s="3" t="s">
        <v>99</v>
      </c>
      <c r="O2107" s="3"/>
      <c r="P2107" s="3"/>
      <c r="Q2107" s="3">
        <v>0.56899999999999995</v>
      </c>
      <c r="R2107" s="3" t="s">
        <v>100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563</v>
      </c>
      <c r="C2108" s="3" t="s">
        <v>463</v>
      </c>
      <c r="D2108" s="3"/>
      <c r="E2108" s="3" t="s">
        <v>463</v>
      </c>
      <c r="F2108" s="3"/>
      <c r="G2108" s="3"/>
      <c r="H2108" s="3"/>
      <c r="I2108" s="3"/>
      <c r="J2108" s="3"/>
      <c r="K2108" s="3"/>
      <c r="L2108" s="3" t="s">
        <v>564</v>
      </c>
      <c r="M2108" s="3">
        <v>40</v>
      </c>
      <c r="N2108" s="3" t="s">
        <v>108</v>
      </c>
      <c r="O2108" s="3"/>
      <c r="P2108" s="3"/>
      <c r="Q2108" s="3">
        <v>15.646000000000001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563</v>
      </c>
      <c r="C2109" s="3" t="s">
        <v>463</v>
      </c>
      <c r="D2109" s="3"/>
      <c r="E2109" s="3" t="s">
        <v>463</v>
      </c>
      <c r="F2109" s="3"/>
      <c r="G2109" s="3"/>
      <c r="H2109" s="3"/>
      <c r="I2109" s="3"/>
      <c r="J2109" s="3"/>
      <c r="K2109" s="3"/>
      <c r="L2109" s="3" t="s">
        <v>564</v>
      </c>
      <c r="M2109" s="3">
        <v>50</v>
      </c>
      <c r="N2109" s="3" t="s">
        <v>105</v>
      </c>
      <c r="O2109" s="3"/>
      <c r="P2109" s="3"/>
      <c r="Q2109" s="3">
        <v>96.224999999999994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563</v>
      </c>
      <c r="C2110" s="3" t="s">
        <v>463</v>
      </c>
      <c r="D2110" s="3"/>
      <c r="E2110" s="3" t="s">
        <v>463</v>
      </c>
      <c r="F2110" s="3"/>
      <c r="G2110" s="3"/>
      <c r="H2110" s="3"/>
      <c r="I2110" s="3"/>
      <c r="J2110" s="3"/>
      <c r="K2110" s="3"/>
      <c r="L2110" s="3" t="s">
        <v>564</v>
      </c>
      <c r="M2110" s="3">
        <v>60</v>
      </c>
      <c r="N2110" s="3" t="s">
        <v>106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563</v>
      </c>
      <c r="C2111" s="3" t="s">
        <v>463</v>
      </c>
      <c r="D2111" s="3"/>
      <c r="E2111" s="3" t="s">
        <v>463</v>
      </c>
      <c r="F2111" s="3"/>
      <c r="G2111" s="3"/>
      <c r="H2111" s="3"/>
      <c r="I2111" s="3"/>
      <c r="J2111" s="3"/>
      <c r="K2111" s="3"/>
      <c r="L2111" s="3" t="s">
        <v>564</v>
      </c>
      <c r="M2111" s="3">
        <v>70</v>
      </c>
      <c r="N2111" s="3" t="s">
        <v>104</v>
      </c>
      <c r="O2111" s="3"/>
      <c r="P2111" s="3"/>
      <c r="Q2111" s="3">
        <v>0.156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563</v>
      </c>
      <c r="C2112" s="3" t="s">
        <v>463</v>
      </c>
      <c r="D2112" s="3"/>
      <c r="E2112" s="3" t="s">
        <v>463</v>
      </c>
      <c r="F2112" s="3"/>
      <c r="G2112" s="3"/>
      <c r="H2112" s="3"/>
      <c r="I2112" s="3"/>
      <c r="J2112" s="3"/>
      <c r="K2112" s="3"/>
      <c r="L2112" s="3" t="s">
        <v>564</v>
      </c>
      <c r="M2112" s="3">
        <v>80</v>
      </c>
      <c r="N2112" s="3" t="s">
        <v>192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563</v>
      </c>
      <c r="C2113" s="3" t="s">
        <v>463</v>
      </c>
      <c r="D2113" s="3"/>
      <c r="E2113" s="3" t="s">
        <v>463</v>
      </c>
      <c r="F2113" s="3"/>
      <c r="G2113" s="3"/>
      <c r="H2113" s="3"/>
      <c r="I2113" s="3"/>
      <c r="J2113" s="3"/>
      <c r="K2113" s="3"/>
      <c r="L2113" s="3" t="s">
        <v>564</v>
      </c>
      <c r="M2113" s="3">
        <v>90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563</v>
      </c>
      <c r="C2114" s="3" t="s">
        <v>463</v>
      </c>
      <c r="D2114" s="3"/>
      <c r="E2114" s="3" t="s">
        <v>463</v>
      </c>
      <c r="F2114" s="3"/>
      <c r="G2114" s="3"/>
      <c r="H2114" s="3"/>
      <c r="I2114" s="3"/>
      <c r="J2114" s="3"/>
      <c r="K2114" s="3"/>
      <c r="L2114" s="3" t="s">
        <v>564</v>
      </c>
      <c r="M2114" s="3">
        <v>100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563</v>
      </c>
      <c r="C2115" s="3" t="s">
        <v>463</v>
      </c>
      <c r="D2115" s="3"/>
      <c r="E2115" s="3" t="s">
        <v>463</v>
      </c>
      <c r="F2115" s="3"/>
      <c r="G2115" s="3"/>
      <c r="H2115" s="3"/>
      <c r="I2115" s="3"/>
      <c r="J2115" s="3"/>
      <c r="K2115" s="3"/>
      <c r="L2115" s="3" t="s">
        <v>564</v>
      </c>
      <c r="M2115" s="3">
        <v>110</v>
      </c>
      <c r="N2115" s="3" t="s">
        <v>101</v>
      </c>
      <c r="O2115" s="3"/>
      <c r="P2115" s="3"/>
      <c r="Q2115" s="3">
        <v>0.59299999999999997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563</v>
      </c>
      <c r="C2116" s="3" t="s">
        <v>463</v>
      </c>
      <c r="D2116" s="3"/>
      <c r="E2116" s="3" t="s">
        <v>463</v>
      </c>
      <c r="F2116" s="3"/>
      <c r="G2116" s="3"/>
      <c r="H2116" s="3"/>
      <c r="I2116" s="3"/>
      <c r="J2116" s="3"/>
      <c r="K2116" s="3"/>
      <c r="L2116" s="3" t="s">
        <v>564</v>
      </c>
      <c r="M2116" s="3">
        <v>120</v>
      </c>
      <c r="N2116" s="3" t="s">
        <v>464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563</v>
      </c>
      <c r="C2117" s="3" t="s">
        <v>465</v>
      </c>
      <c r="D2117" s="3"/>
      <c r="E2117" s="3" t="s">
        <v>465</v>
      </c>
      <c r="F2117" s="3"/>
      <c r="G2117" s="3"/>
      <c r="H2117" s="3"/>
      <c r="I2117" s="3"/>
      <c r="J2117" s="3"/>
      <c r="K2117" s="3"/>
      <c r="L2117" s="3" t="s">
        <v>564</v>
      </c>
      <c r="M2117" s="3">
        <v>10</v>
      </c>
      <c r="N2117" s="3" t="s">
        <v>107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563</v>
      </c>
      <c r="C2118" s="3" t="s">
        <v>465</v>
      </c>
      <c r="D2118" s="3"/>
      <c r="E2118" s="3" t="s">
        <v>465</v>
      </c>
      <c r="F2118" s="3"/>
      <c r="G2118" s="3"/>
      <c r="H2118" s="3"/>
      <c r="I2118" s="3"/>
      <c r="J2118" s="3"/>
      <c r="K2118" s="3"/>
      <c r="L2118" s="3" t="s">
        <v>564</v>
      </c>
      <c r="M2118" s="3">
        <v>20</v>
      </c>
      <c r="N2118" s="3" t="s">
        <v>565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563</v>
      </c>
      <c r="C2119" s="3" t="s">
        <v>465</v>
      </c>
      <c r="D2119" s="3"/>
      <c r="E2119" s="3" t="s">
        <v>465</v>
      </c>
      <c r="F2119" s="3"/>
      <c r="G2119" s="3"/>
      <c r="H2119" s="3"/>
      <c r="I2119" s="3"/>
      <c r="J2119" s="3"/>
      <c r="K2119" s="3"/>
      <c r="L2119" s="3" t="s">
        <v>564</v>
      </c>
      <c r="M2119" s="3">
        <v>30</v>
      </c>
      <c r="N2119" s="3" t="s">
        <v>99</v>
      </c>
      <c r="O2119" s="3"/>
      <c r="P2119" s="3"/>
      <c r="Q2119" s="3">
        <v>0.24299999999999999</v>
      </c>
      <c r="R2119" s="3" t="s">
        <v>100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563</v>
      </c>
      <c r="C2120" s="3" t="s">
        <v>465</v>
      </c>
      <c r="D2120" s="3"/>
      <c r="E2120" s="3" t="s">
        <v>465</v>
      </c>
      <c r="F2120" s="3"/>
      <c r="G2120" s="3"/>
      <c r="H2120" s="3"/>
      <c r="I2120" s="3"/>
      <c r="J2120" s="3"/>
      <c r="K2120" s="3"/>
      <c r="L2120" s="3" t="s">
        <v>564</v>
      </c>
      <c r="M2120" s="3">
        <v>40</v>
      </c>
      <c r="N2120" s="3" t="s">
        <v>108</v>
      </c>
      <c r="O2120" s="3"/>
      <c r="P2120" s="3"/>
      <c r="Q2120" s="3">
        <v>11.582000000000001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563</v>
      </c>
      <c r="C2121" s="3" t="s">
        <v>465</v>
      </c>
      <c r="D2121" s="3"/>
      <c r="E2121" s="3" t="s">
        <v>465</v>
      </c>
      <c r="F2121" s="3"/>
      <c r="G2121" s="3"/>
      <c r="H2121" s="3"/>
      <c r="I2121" s="3"/>
      <c r="J2121" s="3"/>
      <c r="K2121" s="3"/>
      <c r="L2121" s="3" t="s">
        <v>564</v>
      </c>
      <c r="M2121" s="3">
        <v>50</v>
      </c>
      <c r="N2121" s="3" t="s">
        <v>105</v>
      </c>
      <c r="O2121" s="3"/>
      <c r="P2121" s="3"/>
      <c r="Q2121" s="3">
        <v>71.231999999999999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563</v>
      </c>
      <c r="C2122" s="3" t="s">
        <v>465</v>
      </c>
      <c r="D2122" s="3"/>
      <c r="E2122" s="3" t="s">
        <v>465</v>
      </c>
      <c r="F2122" s="3"/>
      <c r="G2122" s="3"/>
      <c r="H2122" s="3"/>
      <c r="I2122" s="3"/>
      <c r="J2122" s="3"/>
      <c r="K2122" s="3"/>
      <c r="L2122" s="3" t="s">
        <v>564</v>
      </c>
      <c r="M2122" s="3">
        <v>60</v>
      </c>
      <c r="N2122" s="3" t="s">
        <v>106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563</v>
      </c>
      <c r="C2123" s="3" t="s">
        <v>465</v>
      </c>
      <c r="D2123" s="3"/>
      <c r="E2123" s="3" t="s">
        <v>465</v>
      </c>
      <c r="F2123" s="3"/>
      <c r="G2123" s="3"/>
      <c r="H2123" s="3"/>
      <c r="I2123" s="3"/>
      <c r="J2123" s="3"/>
      <c r="K2123" s="3"/>
      <c r="L2123" s="3" t="s">
        <v>564</v>
      </c>
      <c r="M2123" s="3">
        <v>70</v>
      </c>
      <c r="N2123" s="3" t="s">
        <v>104</v>
      </c>
      <c r="O2123" s="3"/>
      <c r="P2123" s="3"/>
      <c r="Q2123" s="3">
        <v>7.6999999999999999E-2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563</v>
      </c>
      <c r="C2124" s="3" t="s">
        <v>465</v>
      </c>
      <c r="D2124" s="3"/>
      <c r="E2124" s="3" t="s">
        <v>465</v>
      </c>
      <c r="F2124" s="3"/>
      <c r="G2124" s="3"/>
      <c r="H2124" s="3"/>
      <c r="I2124" s="3"/>
      <c r="J2124" s="3"/>
      <c r="K2124" s="3"/>
      <c r="L2124" s="3" t="s">
        <v>564</v>
      </c>
      <c r="M2124" s="3">
        <v>80</v>
      </c>
      <c r="N2124" s="3" t="s">
        <v>192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563</v>
      </c>
      <c r="C2125" s="3" t="s">
        <v>465</v>
      </c>
      <c r="D2125" s="3"/>
      <c r="E2125" s="3" t="s">
        <v>465</v>
      </c>
      <c r="F2125" s="3"/>
      <c r="G2125" s="3"/>
      <c r="H2125" s="3"/>
      <c r="I2125" s="3"/>
      <c r="J2125" s="3"/>
      <c r="K2125" s="3"/>
      <c r="L2125" s="3" t="s">
        <v>564</v>
      </c>
      <c r="M2125" s="3">
        <v>90</v>
      </c>
      <c r="N2125" s="3" t="s">
        <v>18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563</v>
      </c>
      <c r="C2126" s="3" t="s">
        <v>465</v>
      </c>
      <c r="D2126" s="3"/>
      <c r="E2126" s="3" t="s">
        <v>465</v>
      </c>
      <c r="F2126" s="3"/>
      <c r="G2126" s="3"/>
      <c r="H2126" s="3"/>
      <c r="I2126" s="3"/>
      <c r="J2126" s="3"/>
      <c r="K2126" s="3"/>
      <c r="L2126" s="3" t="s">
        <v>564</v>
      </c>
      <c r="M2126" s="3">
        <v>100</v>
      </c>
      <c r="N2126" s="3" t="s">
        <v>19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563</v>
      </c>
      <c r="C2127" s="3" t="s">
        <v>465</v>
      </c>
      <c r="D2127" s="3"/>
      <c r="E2127" s="3" t="s">
        <v>465</v>
      </c>
      <c r="F2127" s="3"/>
      <c r="G2127" s="3"/>
      <c r="H2127" s="3"/>
      <c r="I2127" s="3"/>
      <c r="J2127" s="3"/>
      <c r="K2127" s="3"/>
      <c r="L2127" s="3" t="s">
        <v>564</v>
      </c>
      <c r="M2127" s="3">
        <v>110</v>
      </c>
      <c r="N2127" s="3" t="s">
        <v>101</v>
      </c>
      <c r="O2127" s="3"/>
      <c r="P2127" s="3"/>
      <c r="Q2127" s="3">
        <v>0.65300000000000002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563</v>
      </c>
      <c r="C2128" s="3" t="s">
        <v>465</v>
      </c>
      <c r="D2128" s="3"/>
      <c r="E2128" s="3" t="s">
        <v>465</v>
      </c>
      <c r="F2128" s="3"/>
      <c r="G2128" s="3"/>
      <c r="H2128" s="3"/>
      <c r="I2128" s="3"/>
      <c r="J2128" s="3"/>
      <c r="K2128" s="3"/>
      <c r="L2128" s="3" t="s">
        <v>564</v>
      </c>
      <c r="M2128" s="3">
        <v>120</v>
      </c>
      <c r="N2128" s="3" t="s">
        <v>466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563</v>
      </c>
      <c r="C2129" s="3" t="s">
        <v>467</v>
      </c>
      <c r="D2129" s="3"/>
      <c r="E2129" s="3" t="s">
        <v>467</v>
      </c>
      <c r="F2129" s="3"/>
      <c r="G2129" s="3"/>
      <c r="H2129" s="3"/>
      <c r="I2129" s="3"/>
      <c r="J2129" s="3"/>
      <c r="K2129" s="3"/>
      <c r="L2129" s="3" t="s">
        <v>564</v>
      </c>
      <c r="M2129" s="3">
        <v>10</v>
      </c>
      <c r="N2129" s="3" t="s">
        <v>107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563</v>
      </c>
      <c r="C2130" s="3" t="s">
        <v>467</v>
      </c>
      <c r="D2130" s="3"/>
      <c r="E2130" s="3" t="s">
        <v>467</v>
      </c>
      <c r="F2130" s="3"/>
      <c r="G2130" s="3"/>
      <c r="H2130" s="3"/>
      <c r="I2130" s="3"/>
      <c r="J2130" s="3"/>
      <c r="K2130" s="3"/>
      <c r="L2130" s="3" t="s">
        <v>564</v>
      </c>
      <c r="M2130" s="3">
        <v>20</v>
      </c>
      <c r="N2130" s="3" t="s">
        <v>565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563</v>
      </c>
      <c r="C2131" s="3" t="s">
        <v>467</v>
      </c>
      <c r="D2131" s="3"/>
      <c r="E2131" s="3" t="s">
        <v>467</v>
      </c>
      <c r="F2131" s="3"/>
      <c r="G2131" s="3"/>
      <c r="H2131" s="3"/>
      <c r="I2131" s="3"/>
      <c r="J2131" s="3"/>
      <c r="K2131" s="3"/>
      <c r="L2131" s="3" t="s">
        <v>564</v>
      </c>
      <c r="M2131" s="3">
        <v>30</v>
      </c>
      <c r="N2131" s="3" t="s">
        <v>99</v>
      </c>
      <c r="O2131" s="3"/>
      <c r="P2131" s="3"/>
      <c r="Q2131" s="3">
        <v>0.29199999999999998</v>
      </c>
      <c r="R2131" s="3" t="s">
        <v>100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563</v>
      </c>
      <c r="C2132" s="3" t="s">
        <v>467</v>
      </c>
      <c r="D2132" s="3"/>
      <c r="E2132" s="3" t="s">
        <v>467</v>
      </c>
      <c r="F2132" s="3"/>
      <c r="G2132" s="3"/>
      <c r="H2132" s="3"/>
      <c r="I2132" s="3"/>
      <c r="J2132" s="3"/>
      <c r="K2132" s="3"/>
      <c r="L2132" s="3" t="s">
        <v>564</v>
      </c>
      <c r="M2132" s="3">
        <v>40</v>
      </c>
      <c r="N2132" s="3" t="s">
        <v>108</v>
      </c>
      <c r="O2132" s="3"/>
      <c r="P2132" s="3"/>
      <c r="Q2132" s="3">
        <v>12.192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563</v>
      </c>
      <c r="C2133" s="3" t="s">
        <v>467</v>
      </c>
      <c r="D2133" s="3"/>
      <c r="E2133" s="3" t="s">
        <v>467</v>
      </c>
      <c r="F2133" s="3"/>
      <c r="G2133" s="3"/>
      <c r="H2133" s="3"/>
      <c r="I2133" s="3"/>
      <c r="J2133" s="3"/>
      <c r="K2133" s="3"/>
      <c r="L2133" s="3" t="s">
        <v>564</v>
      </c>
      <c r="M2133" s="3">
        <v>50</v>
      </c>
      <c r="N2133" s="3" t="s">
        <v>105</v>
      </c>
      <c r="O2133" s="3"/>
      <c r="P2133" s="3"/>
      <c r="Q2133" s="3">
        <v>74.980999999999995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563</v>
      </c>
      <c r="C2134" s="3" t="s">
        <v>467</v>
      </c>
      <c r="D2134" s="3"/>
      <c r="E2134" s="3" t="s">
        <v>467</v>
      </c>
      <c r="F2134" s="3"/>
      <c r="G2134" s="3"/>
      <c r="H2134" s="3"/>
      <c r="I2134" s="3"/>
      <c r="J2134" s="3"/>
      <c r="K2134" s="3"/>
      <c r="L2134" s="3" t="s">
        <v>564</v>
      </c>
      <c r="M2134" s="3">
        <v>60</v>
      </c>
      <c r="N2134" s="3" t="s">
        <v>106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563</v>
      </c>
      <c r="C2135" s="3" t="s">
        <v>467</v>
      </c>
      <c r="D2135" s="3"/>
      <c r="E2135" s="3" t="s">
        <v>467</v>
      </c>
      <c r="F2135" s="3"/>
      <c r="G2135" s="3"/>
      <c r="H2135" s="3"/>
      <c r="I2135" s="3"/>
      <c r="J2135" s="3"/>
      <c r="K2135" s="3"/>
      <c r="L2135" s="3" t="s">
        <v>564</v>
      </c>
      <c r="M2135" s="3">
        <v>70</v>
      </c>
      <c r="N2135" s="3" t="s">
        <v>104</v>
      </c>
      <c r="O2135" s="3"/>
      <c r="P2135" s="3"/>
      <c r="Q2135" s="3">
        <v>8.7999999999999995E-2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563</v>
      </c>
      <c r="C2136" s="3" t="s">
        <v>467</v>
      </c>
      <c r="D2136" s="3"/>
      <c r="E2136" s="3" t="s">
        <v>467</v>
      </c>
      <c r="F2136" s="3"/>
      <c r="G2136" s="3"/>
      <c r="H2136" s="3"/>
      <c r="I2136" s="3"/>
      <c r="J2136" s="3"/>
      <c r="K2136" s="3"/>
      <c r="L2136" s="3" t="s">
        <v>564</v>
      </c>
      <c r="M2136" s="3">
        <v>80</v>
      </c>
      <c r="N2136" s="3" t="s">
        <v>192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563</v>
      </c>
      <c r="C2137" s="3" t="s">
        <v>467</v>
      </c>
      <c r="D2137" s="3"/>
      <c r="E2137" s="3" t="s">
        <v>467</v>
      </c>
      <c r="F2137" s="3"/>
      <c r="G2137" s="3"/>
      <c r="H2137" s="3"/>
      <c r="I2137" s="3"/>
      <c r="J2137" s="3"/>
      <c r="K2137" s="3"/>
      <c r="L2137" s="3" t="s">
        <v>564</v>
      </c>
      <c r="M2137" s="3">
        <v>90</v>
      </c>
      <c r="N2137" s="3" t="s">
        <v>18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563</v>
      </c>
      <c r="C2138" s="3" t="s">
        <v>467</v>
      </c>
      <c r="D2138" s="3"/>
      <c r="E2138" s="3" t="s">
        <v>467</v>
      </c>
      <c r="F2138" s="3"/>
      <c r="G2138" s="3"/>
      <c r="H2138" s="3"/>
      <c r="I2138" s="3"/>
      <c r="J2138" s="3"/>
      <c r="K2138" s="3"/>
      <c r="L2138" s="3" t="s">
        <v>564</v>
      </c>
      <c r="M2138" s="3">
        <v>100</v>
      </c>
      <c r="N2138" s="3" t="s">
        <v>19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563</v>
      </c>
      <c r="C2139" s="3" t="s">
        <v>467</v>
      </c>
      <c r="D2139" s="3"/>
      <c r="E2139" s="3" t="s">
        <v>467</v>
      </c>
      <c r="F2139" s="3"/>
      <c r="G2139" s="3"/>
      <c r="H2139" s="3"/>
      <c r="I2139" s="3"/>
      <c r="J2139" s="3"/>
      <c r="K2139" s="3"/>
      <c r="L2139" s="3" t="s">
        <v>564</v>
      </c>
      <c r="M2139" s="3">
        <v>110</v>
      </c>
      <c r="N2139" s="3" t="s">
        <v>101</v>
      </c>
      <c r="O2139" s="3"/>
      <c r="P2139" s="3"/>
      <c r="Q2139" s="3">
        <v>0.65300000000000002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563</v>
      </c>
      <c r="C2140" s="3" t="s">
        <v>467</v>
      </c>
      <c r="D2140" s="3"/>
      <c r="E2140" s="3" t="s">
        <v>467</v>
      </c>
      <c r="F2140" s="3"/>
      <c r="G2140" s="3"/>
      <c r="H2140" s="3"/>
      <c r="I2140" s="3"/>
      <c r="J2140" s="3"/>
      <c r="K2140" s="3"/>
      <c r="L2140" s="3" t="s">
        <v>564</v>
      </c>
      <c r="M2140" s="3">
        <v>120</v>
      </c>
      <c r="N2140" s="3" t="s">
        <v>468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563</v>
      </c>
      <c r="C2141" s="3" t="s">
        <v>469</v>
      </c>
      <c r="D2141" s="3"/>
      <c r="E2141" s="3" t="s">
        <v>469</v>
      </c>
      <c r="F2141" s="3"/>
      <c r="G2141" s="3"/>
      <c r="H2141" s="3"/>
      <c r="I2141" s="3"/>
      <c r="J2141" s="3"/>
      <c r="K2141" s="3"/>
      <c r="L2141" s="3" t="s">
        <v>564</v>
      </c>
      <c r="M2141" s="3">
        <v>10</v>
      </c>
      <c r="N2141" s="3" t="s">
        <v>107</v>
      </c>
      <c r="O2141" s="3"/>
      <c r="P2141" s="3"/>
      <c r="Q2141" s="3">
        <v>2.0569999999999999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563</v>
      </c>
      <c r="C2142" s="3" t="s">
        <v>469</v>
      </c>
      <c r="D2142" s="3"/>
      <c r="E2142" s="3" t="s">
        <v>469</v>
      </c>
      <c r="F2142" s="3"/>
      <c r="G2142" s="3"/>
      <c r="H2142" s="3"/>
      <c r="I2142" s="3"/>
      <c r="J2142" s="3"/>
      <c r="K2142" s="3"/>
      <c r="L2142" s="3" t="s">
        <v>564</v>
      </c>
      <c r="M2142" s="3">
        <v>20</v>
      </c>
      <c r="N2142" s="3" t="s">
        <v>565</v>
      </c>
      <c r="O2142" s="3"/>
      <c r="P2142" s="3"/>
      <c r="Q2142" s="3">
        <v>2.0569999999999999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563</v>
      </c>
      <c r="C2143" s="3" t="s">
        <v>469</v>
      </c>
      <c r="D2143" s="3"/>
      <c r="E2143" s="3" t="s">
        <v>469</v>
      </c>
      <c r="F2143" s="3"/>
      <c r="G2143" s="3"/>
      <c r="H2143" s="3"/>
      <c r="I2143" s="3"/>
      <c r="J2143" s="3"/>
      <c r="K2143" s="3"/>
      <c r="L2143" s="3" t="s">
        <v>564</v>
      </c>
      <c r="M2143" s="3">
        <v>30</v>
      </c>
      <c r="N2143" s="3" t="s">
        <v>99</v>
      </c>
      <c r="O2143" s="3"/>
      <c r="P2143" s="3"/>
      <c r="Q2143" s="3">
        <v>0.34</v>
      </c>
      <c r="R2143" s="3" t="s">
        <v>100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563</v>
      </c>
      <c r="C2144" s="3" t="s">
        <v>469</v>
      </c>
      <c r="D2144" s="3"/>
      <c r="E2144" s="3" t="s">
        <v>469</v>
      </c>
      <c r="F2144" s="3"/>
      <c r="G2144" s="3"/>
      <c r="H2144" s="3"/>
      <c r="I2144" s="3"/>
      <c r="J2144" s="3"/>
      <c r="K2144" s="3"/>
      <c r="L2144" s="3" t="s">
        <v>564</v>
      </c>
      <c r="M2144" s="3">
        <v>40</v>
      </c>
      <c r="N2144" s="3" t="s">
        <v>108</v>
      </c>
      <c r="O2144" s="3"/>
      <c r="P2144" s="3"/>
      <c r="Q2144" s="3">
        <v>12.802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563</v>
      </c>
      <c r="C2145" s="3" t="s">
        <v>469</v>
      </c>
      <c r="D2145" s="3"/>
      <c r="E2145" s="3" t="s">
        <v>469</v>
      </c>
      <c r="F2145" s="3"/>
      <c r="G2145" s="3"/>
      <c r="H2145" s="3"/>
      <c r="I2145" s="3"/>
      <c r="J2145" s="3"/>
      <c r="K2145" s="3"/>
      <c r="L2145" s="3" t="s">
        <v>564</v>
      </c>
      <c r="M2145" s="3">
        <v>50</v>
      </c>
      <c r="N2145" s="3" t="s">
        <v>105</v>
      </c>
      <c r="O2145" s="3"/>
      <c r="P2145" s="3"/>
      <c r="Q2145" s="3">
        <v>78.73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563</v>
      </c>
      <c r="C2146" s="3" t="s">
        <v>469</v>
      </c>
      <c r="D2146" s="3"/>
      <c r="E2146" s="3" t="s">
        <v>469</v>
      </c>
      <c r="F2146" s="3"/>
      <c r="G2146" s="3"/>
      <c r="H2146" s="3"/>
      <c r="I2146" s="3"/>
      <c r="J2146" s="3"/>
      <c r="K2146" s="3"/>
      <c r="L2146" s="3" t="s">
        <v>564</v>
      </c>
      <c r="M2146" s="3">
        <v>60</v>
      </c>
      <c r="N2146" s="3" t="s">
        <v>106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563</v>
      </c>
      <c r="C2147" s="3" t="s">
        <v>469</v>
      </c>
      <c r="D2147" s="3"/>
      <c r="E2147" s="3" t="s">
        <v>469</v>
      </c>
      <c r="F2147" s="3"/>
      <c r="G2147" s="3"/>
      <c r="H2147" s="3"/>
      <c r="I2147" s="3"/>
      <c r="J2147" s="3"/>
      <c r="K2147" s="3"/>
      <c r="L2147" s="3" t="s">
        <v>564</v>
      </c>
      <c r="M2147" s="3">
        <v>70</v>
      </c>
      <c r="N2147" s="3" t="s">
        <v>104</v>
      </c>
      <c r="O2147" s="3"/>
      <c r="P2147" s="3"/>
      <c r="Q2147" s="3">
        <v>0.1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563</v>
      </c>
      <c r="C2148" s="3" t="s">
        <v>469</v>
      </c>
      <c r="D2148" s="3"/>
      <c r="E2148" s="3" t="s">
        <v>469</v>
      </c>
      <c r="F2148" s="3"/>
      <c r="G2148" s="3"/>
      <c r="H2148" s="3"/>
      <c r="I2148" s="3"/>
      <c r="J2148" s="3"/>
      <c r="K2148" s="3"/>
      <c r="L2148" s="3" t="s">
        <v>564</v>
      </c>
      <c r="M2148" s="3">
        <v>80</v>
      </c>
      <c r="N2148" s="3" t="s">
        <v>192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563</v>
      </c>
      <c r="C2149" s="3" t="s">
        <v>469</v>
      </c>
      <c r="D2149" s="3"/>
      <c r="E2149" s="3" t="s">
        <v>469</v>
      </c>
      <c r="F2149" s="3"/>
      <c r="G2149" s="3"/>
      <c r="H2149" s="3"/>
      <c r="I2149" s="3"/>
      <c r="J2149" s="3"/>
      <c r="K2149" s="3"/>
      <c r="L2149" s="3" t="s">
        <v>564</v>
      </c>
      <c r="M2149" s="3">
        <v>90</v>
      </c>
      <c r="N2149" s="3" t="s">
        <v>18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563</v>
      </c>
      <c r="C2150" s="3" t="s">
        <v>469</v>
      </c>
      <c r="D2150" s="3"/>
      <c r="E2150" s="3" t="s">
        <v>469</v>
      </c>
      <c r="F2150" s="3"/>
      <c r="G2150" s="3"/>
      <c r="H2150" s="3"/>
      <c r="I2150" s="3"/>
      <c r="J2150" s="3"/>
      <c r="K2150" s="3"/>
      <c r="L2150" s="3" t="s">
        <v>564</v>
      </c>
      <c r="M2150" s="3">
        <v>100</v>
      </c>
      <c r="N2150" s="3" t="s">
        <v>19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563</v>
      </c>
      <c r="C2151" s="3" t="s">
        <v>469</v>
      </c>
      <c r="D2151" s="3"/>
      <c r="E2151" s="3" t="s">
        <v>469</v>
      </c>
      <c r="F2151" s="3"/>
      <c r="G2151" s="3"/>
      <c r="H2151" s="3"/>
      <c r="I2151" s="3"/>
      <c r="J2151" s="3"/>
      <c r="K2151" s="3"/>
      <c r="L2151" s="3" t="s">
        <v>564</v>
      </c>
      <c r="M2151" s="3">
        <v>110</v>
      </c>
      <c r="N2151" s="3" t="s">
        <v>101</v>
      </c>
      <c r="O2151" s="3"/>
      <c r="P2151" s="3"/>
      <c r="Q2151" s="3">
        <v>0.65300000000000002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563</v>
      </c>
      <c r="C2152" s="3" t="s">
        <v>469</v>
      </c>
      <c r="D2152" s="3"/>
      <c r="E2152" s="3" t="s">
        <v>469</v>
      </c>
      <c r="F2152" s="3"/>
      <c r="G2152" s="3"/>
      <c r="H2152" s="3"/>
      <c r="I2152" s="3"/>
      <c r="J2152" s="3"/>
      <c r="K2152" s="3"/>
      <c r="L2152" s="3" t="s">
        <v>564</v>
      </c>
      <c r="M2152" s="3">
        <v>120</v>
      </c>
      <c r="N2152" s="3" t="s">
        <v>470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563</v>
      </c>
      <c r="C2153" s="3" t="s">
        <v>471</v>
      </c>
      <c r="D2153" s="3"/>
      <c r="E2153" s="3" t="s">
        <v>471</v>
      </c>
      <c r="F2153" s="3"/>
      <c r="G2153" s="3"/>
      <c r="H2153" s="3"/>
      <c r="I2153" s="3"/>
      <c r="J2153" s="3"/>
      <c r="K2153" s="3"/>
      <c r="L2153" s="3" t="s">
        <v>564</v>
      </c>
      <c r="M2153" s="3">
        <v>10</v>
      </c>
      <c r="N2153" s="3" t="s">
        <v>107</v>
      </c>
      <c r="O2153" s="3"/>
      <c r="P2153" s="3"/>
      <c r="Q2153" s="3">
        <v>2.0569999999999999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563</v>
      </c>
      <c r="C2154" s="3" t="s">
        <v>471</v>
      </c>
      <c r="D2154" s="3"/>
      <c r="E2154" s="3" t="s">
        <v>471</v>
      </c>
      <c r="F2154" s="3"/>
      <c r="G2154" s="3"/>
      <c r="H2154" s="3"/>
      <c r="I2154" s="3"/>
      <c r="J2154" s="3"/>
      <c r="K2154" s="3"/>
      <c r="L2154" s="3" t="s">
        <v>564</v>
      </c>
      <c r="M2154" s="3">
        <v>20</v>
      </c>
      <c r="N2154" s="3" t="s">
        <v>565</v>
      </c>
      <c r="O2154" s="3"/>
      <c r="P2154" s="3"/>
      <c r="Q2154" s="3">
        <v>2.0569999999999999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563</v>
      </c>
      <c r="C2155" s="3" t="s">
        <v>471</v>
      </c>
      <c r="D2155" s="3"/>
      <c r="E2155" s="3" t="s">
        <v>471</v>
      </c>
      <c r="F2155" s="3"/>
      <c r="G2155" s="3"/>
      <c r="H2155" s="3"/>
      <c r="I2155" s="3"/>
      <c r="J2155" s="3"/>
      <c r="K2155" s="3"/>
      <c r="L2155" s="3" t="s">
        <v>564</v>
      </c>
      <c r="M2155" s="3">
        <v>30</v>
      </c>
      <c r="N2155" s="3" t="s">
        <v>99</v>
      </c>
      <c r="O2155" s="3"/>
      <c r="P2155" s="3"/>
      <c r="Q2155" s="3">
        <v>0.38900000000000001</v>
      </c>
      <c r="R2155" s="3" t="s">
        <v>100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563</v>
      </c>
      <c r="C2156" s="3" t="s">
        <v>471</v>
      </c>
      <c r="D2156" s="3"/>
      <c r="E2156" s="3" t="s">
        <v>471</v>
      </c>
      <c r="F2156" s="3"/>
      <c r="G2156" s="3"/>
      <c r="H2156" s="3"/>
      <c r="I2156" s="3"/>
      <c r="J2156" s="3"/>
      <c r="K2156" s="3"/>
      <c r="L2156" s="3" t="s">
        <v>564</v>
      </c>
      <c r="M2156" s="3">
        <v>40</v>
      </c>
      <c r="N2156" s="3" t="s">
        <v>108</v>
      </c>
      <c r="O2156" s="3"/>
      <c r="P2156" s="3"/>
      <c r="Q2156" s="3">
        <v>13.411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563</v>
      </c>
      <c r="C2157" s="3" t="s">
        <v>471</v>
      </c>
      <c r="D2157" s="3"/>
      <c r="E2157" s="3" t="s">
        <v>471</v>
      </c>
      <c r="F2157" s="3"/>
      <c r="G2157" s="3"/>
      <c r="H2157" s="3"/>
      <c r="I2157" s="3"/>
      <c r="J2157" s="3"/>
      <c r="K2157" s="3"/>
      <c r="L2157" s="3" t="s">
        <v>564</v>
      </c>
      <c r="M2157" s="3">
        <v>50</v>
      </c>
      <c r="N2157" s="3" t="s">
        <v>105</v>
      </c>
      <c r="O2157" s="3"/>
      <c r="P2157" s="3"/>
      <c r="Q2157" s="3">
        <v>82.478999999999999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563</v>
      </c>
      <c r="C2158" s="3" t="s">
        <v>471</v>
      </c>
      <c r="D2158" s="3"/>
      <c r="E2158" s="3" t="s">
        <v>471</v>
      </c>
      <c r="F2158" s="3"/>
      <c r="G2158" s="3"/>
      <c r="H2158" s="3"/>
      <c r="I2158" s="3"/>
      <c r="J2158" s="3"/>
      <c r="K2158" s="3"/>
      <c r="L2158" s="3" t="s">
        <v>564</v>
      </c>
      <c r="M2158" s="3">
        <v>60</v>
      </c>
      <c r="N2158" s="3" t="s">
        <v>106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563</v>
      </c>
      <c r="C2159" s="3" t="s">
        <v>471</v>
      </c>
      <c r="D2159" s="3"/>
      <c r="E2159" s="3" t="s">
        <v>471</v>
      </c>
      <c r="F2159" s="3"/>
      <c r="G2159" s="3"/>
      <c r="H2159" s="3"/>
      <c r="I2159" s="3"/>
      <c r="J2159" s="3"/>
      <c r="K2159" s="3"/>
      <c r="L2159" s="3" t="s">
        <v>564</v>
      </c>
      <c r="M2159" s="3">
        <v>70</v>
      </c>
      <c r="N2159" s="3" t="s">
        <v>104</v>
      </c>
      <c r="O2159" s="3"/>
      <c r="P2159" s="3"/>
      <c r="Q2159" s="3">
        <v>0.111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563</v>
      </c>
      <c r="C2160" s="3" t="s">
        <v>471</v>
      </c>
      <c r="D2160" s="3"/>
      <c r="E2160" s="3" t="s">
        <v>471</v>
      </c>
      <c r="F2160" s="3"/>
      <c r="G2160" s="3"/>
      <c r="H2160" s="3"/>
      <c r="I2160" s="3"/>
      <c r="J2160" s="3"/>
      <c r="K2160" s="3"/>
      <c r="L2160" s="3" t="s">
        <v>564</v>
      </c>
      <c r="M2160" s="3">
        <v>80</v>
      </c>
      <c r="N2160" s="3" t="s">
        <v>192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563</v>
      </c>
      <c r="C2161" s="3" t="s">
        <v>471</v>
      </c>
      <c r="D2161" s="3"/>
      <c r="E2161" s="3" t="s">
        <v>471</v>
      </c>
      <c r="F2161" s="3"/>
      <c r="G2161" s="3"/>
      <c r="H2161" s="3"/>
      <c r="I2161" s="3"/>
      <c r="J2161" s="3"/>
      <c r="K2161" s="3"/>
      <c r="L2161" s="3" t="s">
        <v>564</v>
      </c>
      <c r="M2161" s="3">
        <v>90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563</v>
      </c>
      <c r="C2162" s="3" t="s">
        <v>471</v>
      </c>
      <c r="D2162" s="3"/>
      <c r="E2162" s="3" t="s">
        <v>471</v>
      </c>
      <c r="F2162" s="3"/>
      <c r="G2162" s="3"/>
      <c r="H2162" s="3"/>
      <c r="I2162" s="3"/>
      <c r="J2162" s="3"/>
      <c r="K2162" s="3"/>
      <c r="L2162" s="3" t="s">
        <v>564</v>
      </c>
      <c r="M2162" s="3">
        <v>100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563</v>
      </c>
      <c r="C2163" s="3" t="s">
        <v>471</v>
      </c>
      <c r="D2163" s="3"/>
      <c r="E2163" s="3" t="s">
        <v>471</v>
      </c>
      <c r="F2163" s="3"/>
      <c r="G2163" s="3"/>
      <c r="H2163" s="3"/>
      <c r="I2163" s="3"/>
      <c r="J2163" s="3"/>
      <c r="K2163" s="3"/>
      <c r="L2163" s="3" t="s">
        <v>564</v>
      </c>
      <c r="M2163" s="3">
        <v>110</v>
      </c>
      <c r="N2163" s="3" t="s">
        <v>101</v>
      </c>
      <c r="O2163" s="3"/>
      <c r="P2163" s="3"/>
      <c r="Q2163" s="3">
        <v>0.65300000000000002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563</v>
      </c>
      <c r="C2164" s="3" t="s">
        <v>471</v>
      </c>
      <c r="D2164" s="3"/>
      <c r="E2164" s="3" t="s">
        <v>471</v>
      </c>
      <c r="F2164" s="3"/>
      <c r="G2164" s="3"/>
      <c r="H2164" s="3"/>
      <c r="I2164" s="3"/>
      <c r="J2164" s="3"/>
      <c r="K2164" s="3"/>
      <c r="L2164" s="3" t="s">
        <v>564</v>
      </c>
      <c r="M2164" s="3">
        <v>120</v>
      </c>
      <c r="N2164" s="3" t="s">
        <v>472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563</v>
      </c>
      <c r="C2165" s="3" t="s">
        <v>473</v>
      </c>
      <c r="D2165" s="3"/>
      <c r="E2165" s="3" t="s">
        <v>473</v>
      </c>
      <c r="F2165" s="3"/>
      <c r="G2165" s="3"/>
      <c r="H2165" s="3"/>
      <c r="I2165" s="3"/>
      <c r="J2165" s="3"/>
      <c r="K2165" s="3"/>
      <c r="L2165" s="3" t="s">
        <v>564</v>
      </c>
      <c r="M2165" s="3">
        <v>10</v>
      </c>
      <c r="N2165" s="3" t="s">
        <v>107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563</v>
      </c>
      <c r="C2166" s="3" t="s">
        <v>473</v>
      </c>
      <c r="D2166" s="3"/>
      <c r="E2166" s="3" t="s">
        <v>473</v>
      </c>
      <c r="F2166" s="3"/>
      <c r="G2166" s="3"/>
      <c r="H2166" s="3"/>
      <c r="I2166" s="3"/>
      <c r="J2166" s="3"/>
      <c r="K2166" s="3"/>
      <c r="L2166" s="3" t="s">
        <v>564</v>
      </c>
      <c r="M2166" s="3">
        <v>20</v>
      </c>
      <c r="N2166" s="3" t="s">
        <v>565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563</v>
      </c>
      <c r="C2167" s="3" t="s">
        <v>473</v>
      </c>
      <c r="D2167" s="3"/>
      <c r="E2167" s="3" t="s">
        <v>473</v>
      </c>
      <c r="F2167" s="3"/>
      <c r="G2167" s="3"/>
      <c r="H2167" s="3"/>
      <c r="I2167" s="3"/>
      <c r="J2167" s="3"/>
      <c r="K2167" s="3"/>
      <c r="L2167" s="3" t="s">
        <v>564</v>
      </c>
      <c r="M2167" s="3">
        <v>30</v>
      </c>
      <c r="N2167" s="3" t="s">
        <v>99</v>
      </c>
      <c r="O2167" s="3"/>
      <c r="P2167" s="3"/>
      <c r="Q2167" s="3">
        <v>0.48599999999999999</v>
      </c>
      <c r="R2167" s="3" t="s">
        <v>100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563</v>
      </c>
      <c r="C2168" s="3" t="s">
        <v>473</v>
      </c>
      <c r="D2168" s="3"/>
      <c r="E2168" s="3" t="s">
        <v>473</v>
      </c>
      <c r="F2168" s="3"/>
      <c r="G2168" s="3"/>
      <c r="H2168" s="3"/>
      <c r="I2168" s="3"/>
      <c r="J2168" s="3"/>
      <c r="K2168" s="3"/>
      <c r="L2168" s="3" t="s">
        <v>564</v>
      </c>
      <c r="M2168" s="3">
        <v>40</v>
      </c>
      <c r="N2168" s="3" t="s">
        <v>108</v>
      </c>
      <c r="O2168" s="3"/>
      <c r="P2168" s="3"/>
      <c r="Q2168" s="3">
        <v>14.63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563</v>
      </c>
      <c r="C2169" s="3" t="s">
        <v>473</v>
      </c>
      <c r="D2169" s="3"/>
      <c r="E2169" s="3" t="s">
        <v>473</v>
      </c>
      <c r="F2169" s="3"/>
      <c r="G2169" s="3"/>
      <c r="H2169" s="3"/>
      <c r="I2169" s="3"/>
      <c r="J2169" s="3"/>
      <c r="K2169" s="3"/>
      <c r="L2169" s="3" t="s">
        <v>564</v>
      </c>
      <c r="M2169" s="3">
        <v>50</v>
      </c>
      <c r="N2169" s="3" t="s">
        <v>105</v>
      </c>
      <c r="O2169" s="3"/>
      <c r="P2169" s="3"/>
      <c r="Q2169" s="3">
        <v>89.977000000000004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563</v>
      </c>
      <c r="C2170" s="3" t="s">
        <v>473</v>
      </c>
      <c r="D2170" s="3"/>
      <c r="E2170" s="3" t="s">
        <v>473</v>
      </c>
      <c r="F2170" s="3"/>
      <c r="G2170" s="3"/>
      <c r="H2170" s="3"/>
      <c r="I2170" s="3"/>
      <c r="J2170" s="3"/>
      <c r="K2170" s="3"/>
      <c r="L2170" s="3" t="s">
        <v>564</v>
      </c>
      <c r="M2170" s="3">
        <v>60</v>
      </c>
      <c r="N2170" s="3" t="s">
        <v>106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563</v>
      </c>
      <c r="C2171" s="3" t="s">
        <v>473</v>
      </c>
      <c r="D2171" s="3"/>
      <c r="E2171" s="3" t="s">
        <v>473</v>
      </c>
      <c r="F2171" s="3"/>
      <c r="G2171" s="3"/>
      <c r="H2171" s="3"/>
      <c r="I2171" s="3"/>
      <c r="J2171" s="3"/>
      <c r="K2171" s="3"/>
      <c r="L2171" s="3" t="s">
        <v>564</v>
      </c>
      <c r="M2171" s="3">
        <v>70</v>
      </c>
      <c r="N2171" s="3" t="s">
        <v>104</v>
      </c>
      <c r="O2171" s="3"/>
      <c r="P2171" s="3"/>
      <c r="Q2171" s="3">
        <v>0.13300000000000001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563</v>
      </c>
      <c r="C2172" s="3" t="s">
        <v>473</v>
      </c>
      <c r="D2172" s="3"/>
      <c r="E2172" s="3" t="s">
        <v>473</v>
      </c>
      <c r="F2172" s="3"/>
      <c r="G2172" s="3"/>
      <c r="H2172" s="3"/>
      <c r="I2172" s="3"/>
      <c r="J2172" s="3"/>
      <c r="K2172" s="3"/>
      <c r="L2172" s="3" t="s">
        <v>564</v>
      </c>
      <c r="M2172" s="3">
        <v>80</v>
      </c>
      <c r="N2172" s="3" t="s">
        <v>192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563</v>
      </c>
      <c r="C2173" s="3" t="s">
        <v>473</v>
      </c>
      <c r="D2173" s="3"/>
      <c r="E2173" s="3" t="s">
        <v>473</v>
      </c>
      <c r="F2173" s="3"/>
      <c r="G2173" s="3"/>
      <c r="H2173" s="3"/>
      <c r="I2173" s="3"/>
      <c r="J2173" s="3"/>
      <c r="K2173" s="3"/>
      <c r="L2173" s="3" t="s">
        <v>564</v>
      </c>
      <c r="M2173" s="3">
        <v>90</v>
      </c>
      <c r="N2173" s="3" t="s">
        <v>18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563</v>
      </c>
      <c r="C2174" s="3" t="s">
        <v>473</v>
      </c>
      <c r="D2174" s="3"/>
      <c r="E2174" s="3" t="s">
        <v>473</v>
      </c>
      <c r="F2174" s="3"/>
      <c r="G2174" s="3"/>
      <c r="H2174" s="3"/>
      <c r="I2174" s="3"/>
      <c r="J2174" s="3"/>
      <c r="K2174" s="3"/>
      <c r="L2174" s="3" t="s">
        <v>564</v>
      </c>
      <c r="M2174" s="3">
        <v>100</v>
      </c>
      <c r="N2174" s="3" t="s">
        <v>19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563</v>
      </c>
      <c r="C2175" s="3" t="s">
        <v>473</v>
      </c>
      <c r="D2175" s="3"/>
      <c r="E2175" s="3" t="s">
        <v>473</v>
      </c>
      <c r="F2175" s="3"/>
      <c r="G2175" s="3"/>
      <c r="H2175" s="3"/>
      <c r="I2175" s="3"/>
      <c r="J2175" s="3"/>
      <c r="K2175" s="3"/>
      <c r="L2175" s="3" t="s">
        <v>564</v>
      </c>
      <c r="M2175" s="3">
        <v>110</v>
      </c>
      <c r="N2175" s="3" t="s">
        <v>101</v>
      </c>
      <c r="O2175" s="3"/>
      <c r="P2175" s="3"/>
      <c r="Q2175" s="3">
        <v>0.65300000000000002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563</v>
      </c>
      <c r="C2176" s="3" t="s">
        <v>473</v>
      </c>
      <c r="D2176" s="3"/>
      <c r="E2176" s="3" t="s">
        <v>473</v>
      </c>
      <c r="F2176" s="3"/>
      <c r="G2176" s="3"/>
      <c r="H2176" s="3"/>
      <c r="I2176" s="3"/>
      <c r="J2176" s="3"/>
      <c r="K2176" s="3"/>
      <c r="L2176" s="3" t="s">
        <v>564</v>
      </c>
      <c r="M2176" s="3">
        <v>120</v>
      </c>
      <c r="N2176" s="3" t="s">
        <v>474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563</v>
      </c>
      <c r="C2177" s="3" t="s">
        <v>475</v>
      </c>
      <c r="D2177" s="3"/>
      <c r="E2177" s="3" t="s">
        <v>475</v>
      </c>
      <c r="F2177" s="3"/>
      <c r="G2177" s="3"/>
      <c r="H2177" s="3"/>
      <c r="I2177" s="3"/>
      <c r="J2177" s="3"/>
      <c r="K2177" s="3"/>
      <c r="L2177" s="3" t="s">
        <v>564</v>
      </c>
      <c r="M2177" s="3">
        <v>10</v>
      </c>
      <c r="N2177" s="3" t="s">
        <v>107</v>
      </c>
      <c r="O2177" s="3"/>
      <c r="P2177" s="3"/>
      <c r="Q2177" s="3">
        <v>2.0569999999999999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563</v>
      </c>
      <c r="C2178" s="3" t="s">
        <v>475</v>
      </c>
      <c r="D2178" s="3"/>
      <c r="E2178" s="3" t="s">
        <v>475</v>
      </c>
      <c r="F2178" s="3"/>
      <c r="G2178" s="3"/>
      <c r="H2178" s="3"/>
      <c r="I2178" s="3"/>
      <c r="J2178" s="3"/>
      <c r="K2178" s="3"/>
      <c r="L2178" s="3" t="s">
        <v>564</v>
      </c>
      <c r="M2178" s="3">
        <v>20</v>
      </c>
      <c r="N2178" s="3" t="s">
        <v>565</v>
      </c>
      <c r="O2178" s="3"/>
      <c r="P2178" s="3"/>
      <c r="Q2178" s="3">
        <v>2.0569999999999999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563</v>
      </c>
      <c r="C2179" s="3" t="s">
        <v>475</v>
      </c>
      <c r="D2179" s="3"/>
      <c r="E2179" s="3" t="s">
        <v>475</v>
      </c>
      <c r="F2179" s="3"/>
      <c r="G2179" s="3"/>
      <c r="H2179" s="3"/>
      <c r="I2179" s="3"/>
      <c r="J2179" s="3"/>
      <c r="K2179" s="3"/>
      <c r="L2179" s="3" t="s">
        <v>564</v>
      </c>
      <c r="M2179" s="3">
        <v>30</v>
      </c>
      <c r="N2179" s="3" t="s">
        <v>99</v>
      </c>
      <c r="O2179" s="3"/>
      <c r="P2179" s="3"/>
      <c r="Q2179" s="3">
        <v>0.53500000000000003</v>
      </c>
      <c r="R2179" s="3" t="s">
        <v>100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563</v>
      </c>
      <c r="C2180" s="3" t="s">
        <v>475</v>
      </c>
      <c r="D2180" s="3"/>
      <c r="E2180" s="3" t="s">
        <v>475</v>
      </c>
      <c r="F2180" s="3"/>
      <c r="G2180" s="3"/>
      <c r="H2180" s="3"/>
      <c r="I2180" s="3"/>
      <c r="J2180" s="3"/>
      <c r="K2180" s="3"/>
      <c r="L2180" s="3" t="s">
        <v>564</v>
      </c>
      <c r="M2180" s="3">
        <v>40</v>
      </c>
      <c r="N2180" s="3" t="s">
        <v>108</v>
      </c>
      <c r="O2180" s="3"/>
      <c r="P2180" s="3"/>
      <c r="Q2180" s="3">
        <v>15.24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563</v>
      </c>
      <c r="C2181" s="3" t="s">
        <v>475</v>
      </c>
      <c r="D2181" s="3"/>
      <c r="E2181" s="3" t="s">
        <v>475</v>
      </c>
      <c r="F2181" s="3"/>
      <c r="G2181" s="3"/>
      <c r="H2181" s="3"/>
      <c r="I2181" s="3"/>
      <c r="J2181" s="3"/>
      <c r="K2181" s="3"/>
      <c r="L2181" s="3" t="s">
        <v>564</v>
      </c>
      <c r="M2181" s="3">
        <v>50</v>
      </c>
      <c r="N2181" s="3" t="s">
        <v>105</v>
      </c>
      <c r="O2181" s="3"/>
      <c r="P2181" s="3"/>
      <c r="Q2181" s="3">
        <v>93.725999999999999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563</v>
      </c>
      <c r="C2182" s="3" t="s">
        <v>475</v>
      </c>
      <c r="D2182" s="3"/>
      <c r="E2182" s="3" t="s">
        <v>475</v>
      </c>
      <c r="F2182" s="3"/>
      <c r="G2182" s="3"/>
      <c r="H2182" s="3"/>
      <c r="I2182" s="3"/>
      <c r="J2182" s="3"/>
      <c r="K2182" s="3"/>
      <c r="L2182" s="3" t="s">
        <v>564</v>
      </c>
      <c r="M2182" s="3">
        <v>60</v>
      </c>
      <c r="N2182" s="3" t="s">
        <v>106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563</v>
      </c>
      <c r="C2183" s="3" t="s">
        <v>475</v>
      </c>
      <c r="D2183" s="3"/>
      <c r="E2183" s="3" t="s">
        <v>475</v>
      </c>
      <c r="F2183" s="3"/>
      <c r="G2183" s="3"/>
      <c r="H2183" s="3"/>
      <c r="I2183" s="3"/>
      <c r="J2183" s="3"/>
      <c r="K2183" s="3"/>
      <c r="L2183" s="3" t="s">
        <v>564</v>
      </c>
      <c r="M2183" s="3">
        <v>70</v>
      </c>
      <c r="N2183" s="3" t="s">
        <v>104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563</v>
      </c>
      <c r="C2184" s="3" t="s">
        <v>475</v>
      </c>
      <c r="D2184" s="3"/>
      <c r="E2184" s="3" t="s">
        <v>475</v>
      </c>
      <c r="F2184" s="3"/>
      <c r="G2184" s="3"/>
      <c r="H2184" s="3"/>
      <c r="I2184" s="3"/>
      <c r="J2184" s="3"/>
      <c r="K2184" s="3"/>
      <c r="L2184" s="3" t="s">
        <v>564</v>
      </c>
      <c r="M2184" s="3">
        <v>80</v>
      </c>
      <c r="N2184" s="3" t="s">
        <v>192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563</v>
      </c>
      <c r="C2185" s="3" t="s">
        <v>475</v>
      </c>
      <c r="D2185" s="3"/>
      <c r="E2185" s="3" t="s">
        <v>475</v>
      </c>
      <c r="F2185" s="3"/>
      <c r="G2185" s="3"/>
      <c r="H2185" s="3"/>
      <c r="I2185" s="3"/>
      <c r="J2185" s="3"/>
      <c r="K2185" s="3"/>
      <c r="L2185" s="3" t="s">
        <v>564</v>
      </c>
      <c r="M2185" s="3">
        <v>90</v>
      </c>
      <c r="N2185" s="3" t="s">
        <v>18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563</v>
      </c>
      <c r="C2186" s="3" t="s">
        <v>475</v>
      </c>
      <c r="D2186" s="3"/>
      <c r="E2186" s="3" t="s">
        <v>475</v>
      </c>
      <c r="F2186" s="3"/>
      <c r="G2186" s="3"/>
      <c r="H2186" s="3"/>
      <c r="I2186" s="3"/>
      <c r="J2186" s="3"/>
      <c r="K2186" s="3"/>
      <c r="L2186" s="3" t="s">
        <v>564</v>
      </c>
      <c r="M2186" s="3">
        <v>100</v>
      </c>
      <c r="N2186" s="3" t="s">
        <v>19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563</v>
      </c>
      <c r="C2187" s="3" t="s">
        <v>475</v>
      </c>
      <c r="D2187" s="3"/>
      <c r="E2187" s="3" t="s">
        <v>475</v>
      </c>
      <c r="F2187" s="3"/>
      <c r="G2187" s="3"/>
      <c r="H2187" s="3"/>
      <c r="I2187" s="3"/>
      <c r="J2187" s="3"/>
      <c r="K2187" s="3"/>
      <c r="L2187" s="3" t="s">
        <v>564</v>
      </c>
      <c r="M2187" s="3">
        <v>110</v>
      </c>
      <c r="N2187" s="3" t="s">
        <v>101</v>
      </c>
      <c r="O2187" s="3"/>
      <c r="P2187" s="3"/>
      <c r="Q2187" s="3">
        <v>0.65300000000000002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563</v>
      </c>
      <c r="C2188" s="3" t="s">
        <v>475</v>
      </c>
      <c r="D2188" s="3"/>
      <c r="E2188" s="3" t="s">
        <v>475</v>
      </c>
      <c r="F2188" s="3"/>
      <c r="G2188" s="3"/>
      <c r="H2188" s="3"/>
      <c r="I2188" s="3"/>
      <c r="J2188" s="3"/>
      <c r="K2188" s="3"/>
      <c r="L2188" s="3" t="s">
        <v>564</v>
      </c>
      <c r="M2188" s="3">
        <v>120</v>
      </c>
      <c r="N2188" s="3" t="s">
        <v>476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563</v>
      </c>
      <c r="C2189" s="3" t="s">
        <v>477</v>
      </c>
      <c r="D2189" s="3"/>
      <c r="E2189" s="3" t="s">
        <v>477</v>
      </c>
      <c r="F2189" s="3"/>
      <c r="G2189" s="3"/>
      <c r="H2189" s="3"/>
      <c r="I2189" s="3"/>
      <c r="J2189" s="3"/>
      <c r="K2189" s="3"/>
      <c r="L2189" s="3" t="s">
        <v>564</v>
      </c>
      <c r="M2189" s="3">
        <v>10</v>
      </c>
      <c r="N2189" s="3" t="s">
        <v>107</v>
      </c>
      <c r="O2189" s="3"/>
      <c r="P2189" s="3"/>
      <c r="Q2189" s="3">
        <v>2.0569999999999999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563</v>
      </c>
      <c r="C2190" s="3" t="s">
        <v>477</v>
      </c>
      <c r="D2190" s="3"/>
      <c r="E2190" s="3" t="s">
        <v>477</v>
      </c>
      <c r="F2190" s="3"/>
      <c r="G2190" s="3"/>
      <c r="H2190" s="3"/>
      <c r="I2190" s="3"/>
      <c r="J2190" s="3"/>
      <c r="K2190" s="3"/>
      <c r="L2190" s="3" t="s">
        <v>564</v>
      </c>
      <c r="M2190" s="3">
        <v>20</v>
      </c>
      <c r="N2190" s="3" t="s">
        <v>565</v>
      </c>
      <c r="O2190" s="3"/>
      <c r="P2190" s="3"/>
      <c r="Q2190" s="3">
        <v>2.0569999999999999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563</v>
      </c>
      <c r="C2191" s="3" t="s">
        <v>477</v>
      </c>
      <c r="D2191" s="3"/>
      <c r="E2191" s="3" t="s">
        <v>477</v>
      </c>
      <c r="F2191" s="3"/>
      <c r="G2191" s="3"/>
      <c r="H2191" s="3"/>
      <c r="I2191" s="3"/>
      <c r="J2191" s="3"/>
      <c r="K2191" s="3"/>
      <c r="L2191" s="3" t="s">
        <v>564</v>
      </c>
      <c r="M2191" s="3">
        <v>30</v>
      </c>
      <c r="N2191" s="3" t="s">
        <v>99</v>
      </c>
      <c r="O2191" s="3"/>
      <c r="P2191" s="3"/>
      <c r="Q2191" s="3">
        <v>0.58299999999999996</v>
      </c>
      <c r="R2191" s="3" t="s">
        <v>100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563</v>
      </c>
      <c r="C2192" s="3" t="s">
        <v>477</v>
      </c>
      <c r="D2192" s="3"/>
      <c r="E2192" s="3" t="s">
        <v>477</v>
      </c>
      <c r="F2192" s="3"/>
      <c r="G2192" s="3"/>
      <c r="H2192" s="3"/>
      <c r="I2192" s="3"/>
      <c r="J2192" s="3"/>
      <c r="K2192" s="3"/>
      <c r="L2192" s="3" t="s">
        <v>564</v>
      </c>
      <c r="M2192" s="3">
        <v>40</v>
      </c>
      <c r="N2192" s="3" t="s">
        <v>108</v>
      </c>
      <c r="O2192" s="3"/>
      <c r="P2192" s="3"/>
      <c r="Q2192" s="3">
        <v>15.85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563</v>
      </c>
      <c r="C2193" s="3" t="s">
        <v>477</v>
      </c>
      <c r="D2193" s="3"/>
      <c r="E2193" s="3" t="s">
        <v>477</v>
      </c>
      <c r="F2193" s="3"/>
      <c r="G2193" s="3"/>
      <c r="H2193" s="3"/>
      <c r="I2193" s="3"/>
      <c r="J2193" s="3"/>
      <c r="K2193" s="3"/>
      <c r="L2193" s="3" t="s">
        <v>564</v>
      </c>
      <c r="M2193" s="3">
        <v>50</v>
      </c>
      <c r="N2193" s="3" t="s">
        <v>105</v>
      </c>
      <c r="O2193" s="3"/>
      <c r="P2193" s="3"/>
      <c r="Q2193" s="3">
        <v>97.474999999999994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563</v>
      </c>
      <c r="C2194" s="3" t="s">
        <v>477</v>
      </c>
      <c r="D2194" s="3"/>
      <c r="E2194" s="3" t="s">
        <v>477</v>
      </c>
      <c r="F2194" s="3"/>
      <c r="G2194" s="3"/>
      <c r="H2194" s="3"/>
      <c r="I2194" s="3"/>
      <c r="J2194" s="3"/>
      <c r="K2194" s="3"/>
      <c r="L2194" s="3" t="s">
        <v>564</v>
      </c>
      <c r="M2194" s="3">
        <v>60</v>
      </c>
      <c r="N2194" s="3" t="s">
        <v>106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563</v>
      </c>
      <c r="C2195" s="3" t="s">
        <v>477</v>
      </c>
      <c r="D2195" s="3"/>
      <c r="E2195" s="3" t="s">
        <v>477</v>
      </c>
      <c r="F2195" s="3"/>
      <c r="G2195" s="3"/>
      <c r="H2195" s="3"/>
      <c r="I2195" s="3"/>
      <c r="J2195" s="3"/>
      <c r="K2195" s="3"/>
      <c r="L2195" s="3" t="s">
        <v>564</v>
      </c>
      <c r="M2195" s="3">
        <v>70</v>
      </c>
      <c r="N2195" s="3" t="s">
        <v>104</v>
      </c>
      <c r="O2195" s="3"/>
      <c r="P2195" s="3"/>
      <c r="Q2195" s="3">
        <v>0.156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563</v>
      </c>
      <c r="C2196" s="3" t="s">
        <v>477</v>
      </c>
      <c r="D2196" s="3"/>
      <c r="E2196" s="3" t="s">
        <v>477</v>
      </c>
      <c r="F2196" s="3"/>
      <c r="G2196" s="3"/>
      <c r="H2196" s="3"/>
      <c r="I2196" s="3"/>
      <c r="J2196" s="3"/>
      <c r="K2196" s="3"/>
      <c r="L2196" s="3" t="s">
        <v>564</v>
      </c>
      <c r="M2196" s="3">
        <v>80</v>
      </c>
      <c r="N2196" s="3" t="s">
        <v>192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563</v>
      </c>
      <c r="C2197" s="3" t="s">
        <v>477</v>
      </c>
      <c r="D2197" s="3"/>
      <c r="E2197" s="3" t="s">
        <v>477</v>
      </c>
      <c r="F2197" s="3"/>
      <c r="G2197" s="3"/>
      <c r="H2197" s="3"/>
      <c r="I2197" s="3"/>
      <c r="J2197" s="3"/>
      <c r="K2197" s="3"/>
      <c r="L2197" s="3" t="s">
        <v>564</v>
      </c>
      <c r="M2197" s="3">
        <v>90</v>
      </c>
      <c r="N2197" s="3" t="s">
        <v>18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563</v>
      </c>
      <c r="C2198" s="3" t="s">
        <v>477</v>
      </c>
      <c r="D2198" s="3"/>
      <c r="E2198" s="3" t="s">
        <v>477</v>
      </c>
      <c r="F2198" s="3"/>
      <c r="G2198" s="3"/>
      <c r="H2198" s="3"/>
      <c r="I2198" s="3"/>
      <c r="J2198" s="3"/>
      <c r="K2198" s="3"/>
      <c r="L2198" s="3" t="s">
        <v>564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563</v>
      </c>
      <c r="C2199" s="3" t="s">
        <v>477</v>
      </c>
      <c r="D2199" s="3"/>
      <c r="E2199" s="3" t="s">
        <v>477</v>
      </c>
      <c r="F2199" s="3"/>
      <c r="G2199" s="3"/>
      <c r="H2199" s="3"/>
      <c r="I2199" s="3"/>
      <c r="J2199" s="3"/>
      <c r="K2199" s="3"/>
      <c r="L2199" s="3" t="s">
        <v>564</v>
      </c>
      <c r="M2199" s="3">
        <v>110</v>
      </c>
      <c r="N2199" s="3" t="s">
        <v>101</v>
      </c>
      <c r="O2199" s="3"/>
      <c r="P2199" s="3"/>
      <c r="Q2199" s="3">
        <v>0.65300000000000002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563</v>
      </c>
      <c r="C2200" s="3" t="s">
        <v>477</v>
      </c>
      <c r="D2200" s="3"/>
      <c r="E2200" s="3" t="s">
        <v>477</v>
      </c>
      <c r="F2200" s="3"/>
      <c r="G2200" s="3"/>
      <c r="H2200" s="3"/>
      <c r="I2200" s="3"/>
      <c r="J2200" s="3"/>
      <c r="K2200" s="3"/>
      <c r="L2200" s="3" t="s">
        <v>564</v>
      </c>
      <c r="M2200" s="3">
        <v>120</v>
      </c>
      <c r="N2200" s="3" t="s">
        <v>478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563</v>
      </c>
      <c r="C2201" s="3" t="s">
        <v>479</v>
      </c>
      <c r="D2201" s="3"/>
      <c r="E2201" s="3" t="s">
        <v>479</v>
      </c>
      <c r="F2201" s="3"/>
      <c r="G2201" s="3"/>
      <c r="H2201" s="3"/>
      <c r="I2201" s="3"/>
      <c r="J2201" s="3"/>
      <c r="K2201" s="3"/>
      <c r="L2201" s="3" t="s">
        <v>564</v>
      </c>
      <c r="M2201" s="3">
        <v>10</v>
      </c>
      <c r="N2201" s="3" t="s">
        <v>107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563</v>
      </c>
      <c r="C2202" s="3" t="s">
        <v>479</v>
      </c>
      <c r="D2202" s="3"/>
      <c r="E2202" s="3" t="s">
        <v>479</v>
      </c>
      <c r="F2202" s="3"/>
      <c r="G2202" s="3"/>
      <c r="H2202" s="3"/>
      <c r="I2202" s="3"/>
      <c r="J2202" s="3"/>
      <c r="K2202" s="3"/>
      <c r="L2202" s="3" t="s">
        <v>564</v>
      </c>
      <c r="M2202" s="3">
        <v>20</v>
      </c>
      <c r="N2202" s="3" t="s">
        <v>565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563</v>
      </c>
      <c r="C2203" s="3" t="s">
        <v>479</v>
      </c>
      <c r="D2203" s="3"/>
      <c r="E2203" s="3" t="s">
        <v>479</v>
      </c>
      <c r="F2203" s="3"/>
      <c r="G2203" s="3"/>
      <c r="H2203" s="3"/>
      <c r="I2203" s="3"/>
      <c r="J2203" s="3"/>
      <c r="K2203" s="3"/>
      <c r="L2203" s="3" t="s">
        <v>564</v>
      </c>
      <c r="M2203" s="3">
        <v>30</v>
      </c>
      <c r="N2203" s="3" t="s">
        <v>99</v>
      </c>
      <c r="O2203" s="3"/>
      <c r="P2203" s="3"/>
      <c r="Q2203" s="3">
        <v>0.255</v>
      </c>
      <c r="R2203" s="3" t="s">
        <v>100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563</v>
      </c>
      <c r="C2204" s="3" t="s">
        <v>479</v>
      </c>
      <c r="D2204" s="3"/>
      <c r="E2204" s="3" t="s">
        <v>479</v>
      </c>
      <c r="F2204" s="3"/>
      <c r="G2204" s="3"/>
      <c r="H2204" s="3"/>
      <c r="I2204" s="3"/>
      <c r="J2204" s="3"/>
      <c r="K2204" s="3"/>
      <c r="L2204" s="3" t="s">
        <v>564</v>
      </c>
      <c r="M2204" s="3">
        <v>40</v>
      </c>
      <c r="N2204" s="3" t="s">
        <v>108</v>
      </c>
      <c r="O2204" s="3"/>
      <c r="P2204" s="3"/>
      <c r="Q2204" s="3">
        <v>11.989000000000001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563</v>
      </c>
      <c r="C2205" s="3" t="s">
        <v>479</v>
      </c>
      <c r="D2205" s="3"/>
      <c r="E2205" s="3" t="s">
        <v>479</v>
      </c>
      <c r="F2205" s="3"/>
      <c r="G2205" s="3"/>
      <c r="H2205" s="3"/>
      <c r="I2205" s="3"/>
      <c r="J2205" s="3"/>
      <c r="K2205" s="3"/>
      <c r="L2205" s="3" t="s">
        <v>564</v>
      </c>
      <c r="M2205" s="3">
        <v>50</v>
      </c>
      <c r="N2205" s="3" t="s">
        <v>105</v>
      </c>
      <c r="O2205" s="3"/>
      <c r="P2205" s="3"/>
      <c r="Q2205" s="3">
        <v>73.730999999999995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563</v>
      </c>
      <c r="C2206" s="3" t="s">
        <v>479</v>
      </c>
      <c r="D2206" s="3"/>
      <c r="E2206" s="3" t="s">
        <v>479</v>
      </c>
      <c r="F2206" s="3"/>
      <c r="G2206" s="3"/>
      <c r="H2206" s="3"/>
      <c r="I2206" s="3"/>
      <c r="J2206" s="3"/>
      <c r="K2206" s="3"/>
      <c r="L2206" s="3" t="s">
        <v>564</v>
      </c>
      <c r="M2206" s="3">
        <v>60</v>
      </c>
      <c r="N2206" s="3" t="s">
        <v>106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563</v>
      </c>
      <c r="C2207" s="3" t="s">
        <v>479</v>
      </c>
      <c r="D2207" s="3"/>
      <c r="E2207" s="3" t="s">
        <v>479</v>
      </c>
      <c r="F2207" s="3"/>
      <c r="G2207" s="3"/>
      <c r="H2207" s="3"/>
      <c r="I2207" s="3"/>
      <c r="J2207" s="3"/>
      <c r="K2207" s="3"/>
      <c r="L2207" s="3" t="s">
        <v>564</v>
      </c>
      <c r="M2207" s="3">
        <v>70</v>
      </c>
      <c r="N2207" s="3" t="s">
        <v>104</v>
      </c>
      <c r="O2207" s="3"/>
      <c r="P2207" s="3"/>
      <c r="Q2207" s="3">
        <v>7.6999999999999999E-2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563</v>
      </c>
      <c r="C2208" s="3" t="s">
        <v>479</v>
      </c>
      <c r="D2208" s="3"/>
      <c r="E2208" s="3" t="s">
        <v>479</v>
      </c>
      <c r="F2208" s="3"/>
      <c r="G2208" s="3"/>
      <c r="H2208" s="3"/>
      <c r="I2208" s="3"/>
      <c r="J2208" s="3"/>
      <c r="K2208" s="3"/>
      <c r="L2208" s="3" t="s">
        <v>564</v>
      </c>
      <c r="M2208" s="3">
        <v>80</v>
      </c>
      <c r="N2208" s="3" t="s">
        <v>192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563</v>
      </c>
      <c r="C2209" s="3" t="s">
        <v>479</v>
      </c>
      <c r="D2209" s="3"/>
      <c r="E2209" s="3" t="s">
        <v>479</v>
      </c>
      <c r="F2209" s="3"/>
      <c r="G2209" s="3"/>
      <c r="H2209" s="3"/>
      <c r="I2209" s="3"/>
      <c r="J2209" s="3"/>
      <c r="K2209" s="3"/>
      <c r="L2209" s="3" t="s">
        <v>564</v>
      </c>
      <c r="M2209" s="3">
        <v>90</v>
      </c>
      <c r="N2209" s="3" t="s">
        <v>18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563</v>
      </c>
      <c r="C2210" s="3" t="s">
        <v>479</v>
      </c>
      <c r="D2210" s="3"/>
      <c r="E2210" s="3" t="s">
        <v>479</v>
      </c>
      <c r="F2210" s="3"/>
      <c r="G2210" s="3"/>
      <c r="H2210" s="3"/>
      <c r="I2210" s="3"/>
      <c r="J2210" s="3"/>
      <c r="K2210" s="3"/>
      <c r="L2210" s="3" t="s">
        <v>564</v>
      </c>
      <c r="M2210" s="3">
        <v>100</v>
      </c>
      <c r="N2210" s="3" t="s">
        <v>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563</v>
      </c>
      <c r="C2211" s="3" t="s">
        <v>479</v>
      </c>
      <c r="D2211" s="3"/>
      <c r="E2211" s="3" t="s">
        <v>479</v>
      </c>
      <c r="F2211" s="3"/>
      <c r="G2211" s="3"/>
      <c r="H2211" s="3"/>
      <c r="I2211" s="3"/>
      <c r="J2211" s="3"/>
      <c r="K2211" s="3"/>
      <c r="L2211" s="3" t="s">
        <v>564</v>
      </c>
      <c r="M2211" s="3">
        <v>110</v>
      </c>
      <c r="N2211" s="3" t="s">
        <v>101</v>
      </c>
      <c r="O2211" s="3"/>
      <c r="P2211" s="3"/>
      <c r="Q2211" s="3">
        <v>0.68300000000000005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563</v>
      </c>
      <c r="C2212" s="3" t="s">
        <v>479</v>
      </c>
      <c r="D2212" s="3"/>
      <c r="E2212" s="3" t="s">
        <v>479</v>
      </c>
      <c r="F2212" s="3"/>
      <c r="G2212" s="3"/>
      <c r="H2212" s="3"/>
      <c r="I2212" s="3"/>
      <c r="J2212" s="3"/>
      <c r="K2212" s="3"/>
      <c r="L2212" s="3" t="s">
        <v>564</v>
      </c>
      <c r="M2212" s="3">
        <v>120</v>
      </c>
      <c r="N2212" s="3" t="s">
        <v>480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563</v>
      </c>
      <c r="C2213" s="3" t="s">
        <v>481</v>
      </c>
      <c r="D2213" s="3"/>
      <c r="E2213" s="3" t="s">
        <v>481</v>
      </c>
      <c r="F2213" s="3"/>
      <c r="G2213" s="3"/>
      <c r="H2213" s="3"/>
      <c r="I2213" s="3"/>
      <c r="J2213" s="3"/>
      <c r="K2213" s="3"/>
      <c r="L2213" s="3" t="s">
        <v>564</v>
      </c>
      <c r="M2213" s="3">
        <v>10</v>
      </c>
      <c r="N2213" s="3" t="s">
        <v>107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563</v>
      </c>
      <c r="C2214" s="3" t="s">
        <v>481</v>
      </c>
      <c r="D2214" s="3"/>
      <c r="E2214" s="3" t="s">
        <v>481</v>
      </c>
      <c r="F2214" s="3"/>
      <c r="G2214" s="3"/>
      <c r="H2214" s="3"/>
      <c r="I2214" s="3"/>
      <c r="J2214" s="3"/>
      <c r="K2214" s="3"/>
      <c r="L2214" s="3" t="s">
        <v>564</v>
      </c>
      <c r="M2214" s="3">
        <v>20</v>
      </c>
      <c r="N2214" s="3" t="s">
        <v>565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563</v>
      </c>
      <c r="C2215" s="3" t="s">
        <v>481</v>
      </c>
      <c r="D2215" s="3"/>
      <c r="E2215" s="3" t="s">
        <v>481</v>
      </c>
      <c r="F2215" s="3"/>
      <c r="G2215" s="3"/>
      <c r="H2215" s="3"/>
      <c r="I2215" s="3"/>
      <c r="J2215" s="3"/>
      <c r="K2215" s="3"/>
      <c r="L2215" s="3" t="s">
        <v>564</v>
      </c>
      <c r="M2215" s="3">
        <v>30</v>
      </c>
      <c r="N2215" s="3" t="s">
        <v>99</v>
      </c>
      <c r="O2215" s="3"/>
      <c r="P2215" s="3"/>
      <c r="Q2215" s="3">
        <v>0.30599999999999999</v>
      </c>
      <c r="R2215" s="3" t="s">
        <v>100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563</v>
      </c>
      <c r="C2216" s="3" t="s">
        <v>481</v>
      </c>
      <c r="D2216" s="3"/>
      <c r="E2216" s="3" t="s">
        <v>481</v>
      </c>
      <c r="F2216" s="3"/>
      <c r="G2216" s="3"/>
      <c r="H2216" s="3"/>
      <c r="I2216" s="3"/>
      <c r="J2216" s="3"/>
      <c r="K2216" s="3"/>
      <c r="L2216" s="3" t="s">
        <v>564</v>
      </c>
      <c r="M2216" s="3">
        <v>40</v>
      </c>
      <c r="N2216" s="3" t="s">
        <v>108</v>
      </c>
      <c r="O2216" s="3"/>
      <c r="P2216" s="3"/>
      <c r="Q2216" s="3">
        <v>12.598000000000001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563</v>
      </c>
      <c r="C2217" s="3" t="s">
        <v>481</v>
      </c>
      <c r="D2217" s="3"/>
      <c r="E2217" s="3" t="s">
        <v>481</v>
      </c>
      <c r="F2217" s="3"/>
      <c r="G2217" s="3"/>
      <c r="H2217" s="3"/>
      <c r="I2217" s="3"/>
      <c r="J2217" s="3"/>
      <c r="K2217" s="3"/>
      <c r="L2217" s="3" t="s">
        <v>564</v>
      </c>
      <c r="M2217" s="3">
        <v>50</v>
      </c>
      <c r="N2217" s="3" t="s">
        <v>105</v>
      </c>
      <c r="O2217" s="3"/>
      <c r="P2217" s="3"/>
      <c r="Q2217" s="3">
        <v>77.48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563</v>
      </c>
      <c r="C2218" s="3" t="s">
        <v>481</v>
      </c>
      <c r="D2218" s="3"/>
      <c r="E2218" s="3" t="s">
        <v>481</v>
      </c>
      <c r="F2218" s="3"/>
      <c r="G2218" s="3"/>
      <c r="H2218" s="3"/>
      <c r="I2218" s="3"/>
      <c r="J2218" s="3"/>
      <c r="K2218" s="3"/>
      <c r="L2218" s="3" t="s">
        <v>564</v>
      </c>
      <c r="M2218" s="3">
        <v>60</v>
      </c>
      <c r="N2218" s="3" t="s">
        <v>106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563</v>
      </c>
      <c r="C2219" s="3" t="s">
        <v>481</v>
      </c>
      <c r="D2219" s="3"/>
      <c r="E2219" s="3" t="s">
        <v>481</v>
      </c>
      <c r="F2219" s="3"/>
      <c r="G2219" s="3"/>
      <c r="H2219" s="3"/>
      <c r="I2219" s="3"/>
      <c r="J2219" s="3"/>
      <c r="K2219" s="3"/>
      <c r="L2219" s="3" t="s">
        <v>564</v>
      </c>
      <c r="M2219" s="3">
        <v>70</v>
      </c>
      <c r="N2219" s="3" t="s">
        <v>104</v>
      </c>
      <c r="O2219" s="3"/>
      <c r="P2219" s="3"/>
      <c r="Q2219" s="3">
        <v>8.7999999999999995E-2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563</v>
      </c>
      <c r="C2220" s="3" t="s">
        <v>481</v>
      </c>
      <c r="D2220" s="3"/>
      <c r="E2220" s="3" t="s">
        <v>481</v>
      </c>
      <c r="F2220" s="3"/>
      <c r="G2220" s="3"/>
      <c r="H2220" s="3"/>
      <c r="I2220" s="3"/>
      <c r="J2220" s="3"/>
      <c r="K2220" s="3"/>
      <c r="L2220" s="3" t="s">
        <v>564</v>
      </c>
      <c r="M2220" s="3">
        <v>80</v>
      </c>
      <c r="N2220" s="3" t="s">
        <v>192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563</v>
      </c>
      <c r="C2221" s="3" t="s">
        <v>481</v>
      </c>
      <c r="D2221" s="3"/>
      <c r="E2221" s="3" t="s">
        <v>481</v>
      </c>
      <c r="F2221" s="3"/>
      <c r="G2221" s="3"/>
      <c r="H2221" s="3"/>
      <c r="I2221" s="3"/>
      <c r="J2221" s="3"/>
      <c r="K2221" s="3"/>
      <c r="L2221" s="3" t="s">
        <v>564</v>
      </c>
      <c r="M2221" s="3">
        <v>90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563</v>
      </c>
      <c r="C2222" s="3" t="s">
        <v>481</v>
      </c>
      <c r="D2222" s="3"/>
      <c r="E2222" s="3" t="s">
        <v>481</v>
      </c>
      <c r="F2222" s="3"/>
      <c r="G2222" s="3"/>
      <c r="H2222" s="3"/>
      <c r="I2222" s="3"/>
      <c r="J2222" s="3"/>
      <c r="K2222" s="3"/>
      <c r="L2222" s="3" t="s">
        <v>564</v>
      </c>
      <c r="M2222" s="3">
        <v>100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563</v>
      </c>
      <c r="C2223" s="3" t="s">
        <v>481</v>
      </c>
      <c r="D2223" s="3"/>
      <c r="E2223" s="3" t="s">
        <v>481</v>
      </c>
      <c r="F2223" s="3"/>
      <c r="G2223" s="3"/>
      <c r="H2223" s="3"/>
      <c r="I2223" s="3"/>
      <c r="J2223" s="3"/>
      <c r="K2223" s="3"/>
      <c r="L2223" s="3" t="s">
        <v>564</v>
      </c>
      <c r="M2223" s="3">
        <v>110</v>
      </c>
      <c r="N2223" s="3" t="s">
        <v>101</v>
      </c>
      <c r="O2223" s="3"/>
      <c r="P2223" s="3"/>
      <c r="Q2223" s="3">
        <v>0.68300000000000005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563</v>
      </c>
      <c r="C2224" s="3" t="s">
        <v>481</v>
      </c>
      <c r="D2224" s="3"/>
      <c r="E2224" s="3" t="s">
        <v>481</v>
      </c>
      <c r="F2224" s="3"/>
      <c r="G2224" s="3"/>
      <c r="H2224" s="3"/>
      <c r="I2224" s="3"/>
      <c r="J2224" s="3"/>
      <c r="K2224" s="3"/>
      <c r="L2224" s="3" t="s">
        <v>564</v>
      </c>
      <c r="M2224" s="3">
        <v>120</v>
      </c>
      <c r="N2224" s="3" t="s">
        <v>482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563</v>
      </c>
      <c r="C2225" s="3" t="s">
        <v>483</v>
      </c>
      <c r="D2225" s="3"/>
      <c r="E2225" s="3" t="s">
        <v>483</v>
      </c>
      <c r="F2225" s="3"/>
      <c r="G2225" s="3"/>
      <c r="H2225" s="3"/>
      <c r="I2225" s="3"/>
      <c r="J2225" s="3"/>
      <c r="K2225" s="3"/>
      <c r="L2225" s="3" t="s">
        <v>564</v>
      </c>
      <c r="M2225" s="3">
        <v>10</v>
      </c>
      <c r="N2225" s="3" t="s">
        <v>107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563</v>
      </c>
      <c r="C2226" s="3" t="s">
        <v>483</v>
      </c>
      <c r="D2226" s="3"/>
      <c r="E2226" s="3" t="s">
        <v>483</v>
      </c>
      <c r="F2226" s="3"/>
      <c r="G2226" s="3"/>
      <c r="H2226" s="3"/>
      <c r="I2226" s="3"/>
      <c r="J2226" s="3"/>
      <c r="K2226" s="3"/>
      <c r="L2226" s="3" t="s">
        <v>564</v>
      </c>
      <c r="M2226" s="3">
        <v>20</v>
      </c>
      <c r="N2226" s="3" t="s">
        <v>565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563</v>
      </c>
      <c r="C2227" s="3" t="s">
        <v>483</v>
      </c>
      <c r="D2227" s="3"/>
      <c r="E2227" s="3" t="s">
        <v>483</v>
      </c>
      <c r="F2227" s="3"/>
      <c r="G2227" s="3"/>
      <c r="H2227" s="3"/>
      <c r="I2227" s="3"/>
      <c r="J2227" s="3"/>
      <c r="K2227" s="3"/>
      <c r="L2227" s="3" t="s">
        <v>564</v>
      </c>
      <c r="M2227" s="3">
        <v>30</v>
      </c>
      <c r="N2227" s="3" t="s">
        <v>99</v>
      </c>
      <c r="O2227" s="3"/>
      <c r="P2227" s="3"/>
      <c r="Q2227" s="3">
        <v>0.35699999999999998</v>
      </c>
      <c r="R2227" s="3" t="s">
        <v>100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563</v>
      </c>
      <c r="C2228" s="3" t="s">
        <v>483</v>
      </c>
      <c r="D2228" s="3"/>
      <c r="E2228" s="3" t="s">
        <v>483</v>
      </c>
      <c r="F2228" s="3"/>
      <c r="G2228" s="3"/>
      <c r="H2228" s="3"/>
      <c r="I2228" s="3"/>
      <c r="J2228" s="3"/>
      <c r="K2228" s="3"/>
      <c r="L2228" s="3" t="s">
        <v>564</v>
      </c>
      <c r="M2228" s="3">
        <v>40</v>
      </c>
      <c r="N2228" s="3" t="s">
        <v>108</v>
      </c>
      <c r="O2228" s="3"/>
      <c r="P2228" s="3"/>
      <c r="Q2228" s="3">
        <v>13.208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563</v>
      </c>
      <c r="C2229" s="3" t="s">
        <v>483</v>
      </c>
      <c r="D2229" s="3"/>
      <c r="E2229" s="3" t="s">
        <v>483</v>
      </c>
      <c r="F2229" s="3"/>
      <c r="G2229" s="3"/>
      <c r="H2229" s="3"/>
      <c r="I2229" s="3"/>
      <c r="J2229" s="3"/>
      <c r="K2229" s="3"/>
      <c r="L2229" s="3" t="s">
        <v>564</v>
      </c>
      <c r="M2229" s="3">
        <v>50</v>
      </c>
      <c r="N2229" s="3" t="s">
        <v>105</v>
      </c>
      <c r="O2229" s="3"/>
      <c r="P2229" s="3"/>
      <c r="Q2229" s="3">
        <v>81.228999999999999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563</v>
      </c>
      <c r="C2230" s="3" t="s">
        <v>483</v>
      </c>
      <c r="D2230" s="3"/>
      <c r="E2230" s="3" t="s">
        <v>483</v>
      </c>
      <c r="F2230" s="3"/>
      <c r="G2230" s="3"/>
      <c r="H2230" s="3"/>
      <c r="I2230" s="3"/>
      <c r="J2230" s="3"/>
      <c r="K2230" s="3"/>
      <c r="L2230" s="3" t="s">
        <v>564</v>
      </c>
      <c r="M2230" s="3">
        <v>60</v>
      </c>
      <c r="N2230" s="3" t="s">
        <v>106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563</v>
      </c>
      <c r="C2231" s="3" t="s">
        <v>483</v>
      </c>
      <c r="D2231" s="3"/>
      <c r="E2231" s="3" t="s">
        <v>483</v>
      </c>
      <c r="F2231" s="3"/>
      <c r="G2231" s="3"/>
      <c r="H2231" s="3"/>
      <c r="I2231" s="3"/>
      <c r="J2231" s="3"/>
      <c r="K2231" s="3"/>
      <c r="L2231" s="3" t="s">
        <v>564</v>
      </c>
      <c r="M2231" s="3">
        <v>70</v>
      </c>
      <c r="N2231" s="3" t="s">
        <v>104</v>
      </c>
      <c r="O2231" s="3"/>
      <c r="P2231" s="3"/>
      <c r="Q2231" s="3">
        <v>0.1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563</v>
      </c>
      <c r="C2232" s="3" t="s">
        <v>483</v>
      </c>
      <c r="D2232" s="3"/>
      <c r="E2232" s="3" t="s">
        <v>483</v>
      </c>
      <c r="F2232" s="3"/>
      <c r="G2232" s="3"/>
      <c r="H2232" s="3"/>
      <c r="I2232" s="3"/>
      <c r="J2232" s="3"/>
      <c r="K2232" s="3"/>
      <c r="L2232" s="3" t="s">
        <v>564</v>
      </c>
      <c r="M2232" s="3">
        <v>80</v>
      </c>
      <c r="N2232" s="3" t="s">
        <v>192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563</v>
      </c>
      <c r="C2233" s="3" t="s">
        <v>483</v>
      </c>
      <c r="D2233" s="3"/>
      <c r="E2233" s="3" t="s">
        <v>483</v>
      </c>
      <c r="F2233" s="3"/>
      <c r="G2233" s="3"/>
      <c r="H2233" s="3"/>
      <c r="I2233" s="3"/>
      <c r="J2233" s="3"/>
      <c r="K2233" s="3"/>
      <c r="L2233" s="3" t="s">
        <v>564</v>
      </c>
      <c r="M2233" s="3">
        <v>90</v>
      </c>
      <c r="N2233" s="3" t="s">
        <v>18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563</v>
      </c>
      <c r="C2234" s="3" t="s">
        <v>483</v>
      </c>
      <c r="D2234" s="3"/>
      <c r="E2234" s="3" t="s">
        <v>483</v>
      </c>
      <c r="F2234" s="3"/>
      <c r="G2234" s="3"/>
      <c r="H2234" s="3"/>
      <c r="I2234" s="3"/>
      <c r="J2234" s="3"/>
      <c r="K2234" s="3"/>
      <c r="L2234" s="3" t="s">
        <v>564</v>
      </c>
      <c r="M2234" s="3">
        <v>100</v>
      </c>
      <c r="N2234" s="3" t="s">
        <v>19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563</v>
      </c>
      <c r="C2235" s="3" t="s">
        <v>483</v>
      </c>
      <c r="D2235" s="3"/>
      <c r="E2235" s="3" t="s">
        <v>483</v>
      </c>
      <c r="F2235" s="3"/>
      <c r="G2235" s="3"/>
      <c r="H2235" s="3"/>
      <c r="I2235" s="3"/>
      <c r="J2235" s="3"/>
      <c r="K2235" s="3"/>
      <c r="L2235" s="3" t="s">
        <v>564</v>
      </c>
      <c r="M2235" s="3">
        <v>110</v>
      </c>
      <c r="N2235" s="3" t="s">
        <v>101</v>
      </c>
      <c r="O2235" s="3"/>
      <c r="P2235" s="3"/>
      <c r="Q2235" s="3">
        <v>0.68300000000000005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563</v>
      </c>
      <c r="C2236" s="3" t="s">
        <v>483</v>
      </c>
      <c r="D2236" s="3"/>
      <c r="E2236" s="3" t="s">
        <v>483</v>
      </c>
      <c r="F2236" s="3"/>
      <c r="G2236" s="3"/>
      <c r="H2236" s="3"/>
      <c r="I2236" s="3"/>
      <c r="J2236" s="3"/>
      <c r="K2236" s="3"/>
      <c r="L2236" s="3" t="s">
        <v>564</v>
      </c>
      <c r="M2236" s="3">
        <v>120</v>
      </c>
      <c r="N2236" s="3" t="s">
        <v>484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563</v>
      </c>
      <c r="C2237" s="3" t="s">
        <v>485</v>
      </c>
      <c r="D2237" s="3"/>
      <c r="E2237" s="3" t="s">
        <v>485</v>
      </c>
      <c r="F2237" s="3"/>
      <c r="G2237" s="3"/>
      <c r="H2237" s="3"/>
      <c r="I2237" s="3"/>
      <c r="J2237" s="3"/>
      <c r="K2237" s="3"/>
      <c r="L2237" s="3" t="s">
        <v>564</v>
      </c>
      <c r="M2237" s="3">
        <v>10</v>
      </c>
      <c r="N2237" s="3" t="s">
        <v>107</v>
      </c>
      <c r="O2237" s="3"/>
      <c r="P2237" s="3"/>
      <c r="Q2237" s="3">
        <v>2.1589999999999998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563</v>
      </c>
      <c r="C2238" s="3" t="s">
        <v>485</v>
      </c>
      <c r="D2238" s="3"/>
      <c r="E2238" s="3" t="s">
        <v>485</v>
      </c>
      <c r="F2238" s="3"/>
      <c r="G2238" s="3"/>
      <c r="H2238" s="3"/>
      <c r="I2238" s="3"/>
      <c r="J2238" s="3"/>
      <c r="K2238" s="3"/>
      <c r="L2238" s="3" t="s">
        <v>564</v>
      </c>
      <c r="M2238" s="3">
        <v>20</v>
      </c>
      <c r="N2238" s="3" t="s">
        <v>565</v>
      </c>
      <c r="O2238" s="3"/>
      <c r="P2238" s="3"/>
      <c r="Q2238" s="3">
        <v>2.1589999999999998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563</v>
      </c>
      <c r="C2239" s="3" t="s">
        <v>485</v>
      </c>
      <c r="D2239" s="3"/>
      <c r="E2239" s="3" t="s">
        <v>485</v>
      </c>
      <c r="F2239" s="3"/>
      <c r="G2239" s="3"/>
      <c r="H2239" s="3"/>
      <c r="I2239" s="3"/>
      <c r="J2239" s="3"/>
      <c r="K2239" s="3"/>
      <c r="L2239" s="3" t="s">
        <v>564</v>
      </c>
      <c r="M2239" s="3">
        <v>30</v>
      </c>
      <c r="N2239" s="3" t="s">
        <v>99</v>
      </c>
      <c r="O2239" s="3"/>
      <c r="P2239" s="3"/>
      <c r="Q2239" s="3">
        <v>0.40799999999999997</v>
      </c>
      <c r="R2239" s="3" t="s">
        <v>100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563</v>
      </c>
      <c r="C2240" s="3" t="s">
        <v>485</v>
      </c>
      <c r="D2240" s="3"/>
      <c r="E2240" s="3" t="s">
        <v>485</v>
      </c>
      <c r="F2240" s="3"/>
      <c r="G2240" s="3"/>
      <c r="H2240" s="3"/>
      <c r="I2240" s="3"/>
      <c r="J2240" s="3"/>
      <c r="K2240" s="3"/>
      <c r="L2240" s="3" t="s">
        <v>564</v>
      </c>
      <c r="M2240" s="3">
        <v>40</v>
      </c>
      <c r="N2240" s="3" t="s">
        <v>108</v>
      </c>
      <c r="O2240" s="3"/>
      <c r="P2240" s="3"/>
      <c r="Q2240" s="3">
        <v>13.818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563</v>
      </c>
      <c r="C2241" s="3" t="s">
        <v>485</v>
      </c>
      <c r="D2241" s="3"/>
      <c r="E2241" s="3" t="s">
        <v>485</v>
      </c>
      <c r="F2241" s="3"/>
      <c r="G2241" s="3"/>
      <c r="H2241" s="3"/>
      <c r="I2241" s="3"/>
      <c r="J2241" s="3"/>
      <c r="K2241" s="3"/>
      <c r="L2241" s="3" t="s">
        <v>564</v>
      </c>
      <c r="M2241" s="3">
        <v>50</v>
      </c>
      <c r="N2241" s="3" t="s">
        <v>105</v>
      </c>
      <c r="O2241" s="3"/>
      <c r="P2241" s="3"/>
      <c r="Q2241" s="3">
        <v>84.977999999999994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563</v>
      </c>
      <c r="C2242" s="3" t="s">
        <v>485</v>
      </c>
      <c r="D2242" s="3"/>
      <c r="E2242" s="3" t="s">
        <v>485</v>
      </c>
      <c r="F2242" s="3"/>
      <c r="G2242" s="3"/>
      <c r="H2242" s="3"/>
      <c r="I2242" s="3"/>
      <c r="J2242" s="3"/>
      <c r="K2242" s="3"/>
      <c r="L2242" s="3" t="s">
        <v>564</v>
      </c>
      <c r="M2242" s="3">
        <v>60</v>
      </c>
      <c r="N2242" s="3" t="s">
        <v>106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563</v>
      </c>
      <c r="C2243" s="3" t="s">
        <v>485</v>
      </c>
      <c r="D2243" s="3"/>
      <c r="E2243" s="3" t="s">
        <v>485</v>
      </c>
      <c r="F2243" s="3"/>
      <c r="G2243" s="3"/>
      <c r="H2243" s="3"/>
      <c r="I2243" s="3"/>
      <c r="J2243" s="3"/>
      <c r="K2243" s="3"/>
      <c r="L2243" s="3" t="s">
        <v>564</v>
      </c>
      <c r="M2243" s="3">
        <v>70</v>
      </c>
      <c r="N2243" s="3" t="s">
        <v>104</v>
      </c>
      <c r="O2243" s="3"/>
      <c r="P2243" s="3"/>
      <c r="Q2243" s="3">
        <v>0.111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563</v>
      </c>
      <c r="C2244" s="3" t="s">
        <v>485</v>
      </c>
      <c r="D2244" s="3"/>
      <c r="E2244" s="3" t="s">
        <v>485</v>
      </c>
      <c r="F2244" s="3"/>
      <c r="G2244" s="3"/>
      <c r="H2244" s="3"/>
      <c r="I2244" s="3"/>
      <c r="J2244" s="3"/>
      <c r="K2244" s="3"/>
      <c r="L2244" s="3" t="s">
        <v>564</v>
      </c>
      <c r="M2244" s="3">
        <v>80</v>
      </c>
      <c r="N2244" s="3" t="s">
        <v>192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563</v>
      </c>
      <c r="C2245" s="3" t="s">
        <v>485</v>
      </c>
      <c r="D2245" s="3"/>
      <c r="E2245" s="3" t="s">
        <v>485</v>
      </c>
      <c r="F2245" s="3"/>
      <c r="G2245" s="3"/>
      <c r="H2245" s="3"/>
      <c r="I2245" s="3"/>
      <c r="J2245" s="3"/>
      <c r="K2245" s="3"/>
      <c r="L2245" s="3" t="s">
        <v>564</v>
      </c>
      <c r="M2245" s="3">
        <v>90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563</v>
      </c>
      <c r="C2246" s="3" t="s">
        <v>485</v>
      </c>
      <c r="D2246" s="3"/>
      <c r="E2246" s="3" t="s">
        <v>485</v>
      </c>
      <c r="F2246" s="3"/>
      <c r="G2246" s="3"/>
      <c r="H2246" s="3"/>
      <c r="I2246" s="3"/>
      <c r="J2246" s="3"/>
      <c r="K2246" s="3"/>
      <c r="L2246" s="3" t="s">
        <v>564</v>
      </c>
      <c r="M2246" s="3">
        <v>100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563</v>
      </c>
      <c r="C2247" s="3" t="s">
        <v>485</v>
      </c>
      <c r="D2247" s="3"/>
      <c r="E2247" s="3" t="s">
        <v>485</v>
      </c>
      <c r="F2247" s="3"/>
      <c r="G2247" s="3"/>
      <c r="H2247" s="3"/>
      <c r="I2247" s="3"/>
      <c r="J2247" s="3"/>
      <c r="K2247" s="3"/>
      <c r="L2247" s="3" t="s">
        <v>564</v>
      </c>
      <c r="M2247" s="3">
        <v>110</v>
      </c>
      <c r="N2247" s="3" t="s">
        <v>101</v>
      </c>
      <c r="O2247" s="3"/>
      <c r="P2247" s="3"/>
      <c r="Q2247" s="3">
        <v>0.68300000000000005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563</v>
      </c>
      <c r="C2248" s="3" t="s">
        <v>485</v>
      </c>
      <c r="D2248" s="3"/>
      <c r="E2248" s="3" t="s">
        <v>485</v>
      </c>
      <c r="F2248" s="3"/>
      <c r="G2248" s="3"/>
      <c r="H2248" s="3"/>
      <c r="I2248" s="3"/>
      <c r="J2248" s="3"/>
      <c r="K2248" s="3"/>
      <c r="L2248" s="3" t="s">
        <v>564</v>
      </c>
      <c r="M2248" s="3">
        <v>120</v>
      </c>
      <c r="N2248" s="3" t="s">
        <v>486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563</v>
      </c>
      <c r="C2249" s="3" t="s">
        <v>487</v>
      </c>
      <c r="D2249" s="3"/>
      <c r="E2249" s="3" t="s">
        <v>487</v>
      </c>
      <c r="F2249" s="3"/>
      <c r="G2249" s="3"/>
      <c r="H2249" s="3"/>
      <c r="I2249" s="3"/>
      <c r="J2249" s="3"/>
      <c r="K2249" s="3"/>
      <c r="L2249" s="3" t="s">
        <v>564</v>
      </c>
      <c r="M2249" s="3">
        <v>10</v>
      </c>
      <c r="N2249" s="3" t="s">
        <v>107</v>
      </c>
      <c r="O2249" s="3"/>
      <c r="P2249" s="3"/>
      <c r="Q2249" s="3">
        <v>2.1589999999999998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563</v>
      </c>
      <c r="C2250" s="3" t="s">
        <v>487</v>
      </c>
      <c r="D2250" s="3"/>
      <c r="E2250" s="3" t="s">
        <v>487</v>
      </c>
      <c r="F2250" s="3"/>
      <c r="G2250" s="3"/>
      <c r="H2250" s="3"/>
      <c r="I2250" s="3"/>
      <c r="J2250" s="3"/>
      <c r="K2250" s="3"/>
      <c r="L2250" s="3" t="s">
        <v>564</v>
      </c>
      <c r="M2250" s="3">
        <v>20</v>
      </c>
      <c r="N2250" s="3" t="s">
        <v>565</v>
      </c>
      <c r="O2250" s="3"/>
      <c r="P2250" s="3"/>
      <c r="Q2250" s="3">
        <v>2.1589999999999998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563</v>
      </c>
      <c r="C2251" s="3" t="s">
        <v>487</v>
      </c>
      <c r="D2251" s="3"/>
      <c r="E2251" s="3" t="s">
        <v>487</v>
      </c>
      <c r="F2251" s="3"/>
      <c r="G2251" s="3"/>
      <c r="H2251" s="3"/>
      <c r="I2251" s="3"/>
      <c r="J2251" s="3"/>
      <c r="K2251" s="3"/>
      <c r="L2251" s="3" t="s">
        <v>564</v>
      </c>
      <c r="M2251" s="3">
        <v>30</v>
      </c>
      <c r="N2251" s="3" t="s">
        <v>99</v>
      </c>
      <c r="O2251" s="3"/>
      <c r="P2251" s="3"/>
      <c r="Q2251" s="3">
        <v>0.51</v>
      </c>
      <c r="R2251" s="3" t="s">
        <v>100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563</v>
      </c>
      <c r="C2252" s="3" t="s">
        <v>487</v>
      </c>
      <c r="D2252" s="3"/>
      <c r="E2252" s="3" t="s">
        <v>487</v>
      </c>
      <c r="F2252" s="3"/>
      <c r="G2252" s="3"/>
      <c r="H2252" s="3"/>
      <c r="I2252" s="3"/>
      <c r="J2252" s="3"/>
      <c r="K2252" s="3"/>
      <c r="L2252" s="3" t="s">
        <v>564</v>
      </c>
      <c r="M2252" s="3">
        <v>40</v>
      </c>
      <c r="N2252" s="3" t="s">
        <v>108</v>
      </c>
      <c r="O2252" s="3"/>
      <c r="P2252" s="3"/>
      <c r="Q2252" s="3">
        <v>15.037000000000001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563</v>
      </c>
      <c r="C2253" s="3" t="s">
        <v>487</v>
      </c>
      <c r="D2253" s="3"/>
      <c r="E2253" s="3" t="s">
        <v>487</v>
      </c>
      <c r="F2253" s="3"/>
      <c r="G2253" s="3"/>
      <c r="H2253" s="3"/>
      <c r="I2253" s="3"/>
      <c r="J2253" s="3"/>
      <c r="K2253" s="3"/>
      <c r="L2253" s="3" t="s">
        <v>564</v>
      </c>
      <c r="M2253" s="3">
        <v>50</v>
      </c>
      <c r="N2253" s="3" t="s">
        <v>105</v>
      </c>
      <c r="O2253" s="3"/>
      <c r="P2253" s="3"/>
      <c r="Q2253" s="3">
        <v>92.475999999999999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563</v>
      </c>
      <c r="C2254" s="3" t="s">
        <v>487</v>
      </c>
      <c r="D2254" s="3"/>
      <c r="E2254" s="3" t="s">
        <v>487</v>
      </c>
      <c r="F2254" s="3"/>
      <c r="G2254" s="3"/>
      <c r="H2254" s="3"/>
      <c r="I2254" s="3"/>
      <c r="J2254" s="3"/>
      <c r="K2254" s="3"/>
      <c r="L2254" s="3" t="s">
        <v>564</v>
      </c>
      <c r="M2254" s="3">
        <v>60</v>
      </c>
      <c r="N2254" s="3" t="s">
        <v>106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563</v>
      </c>
      <c r="C2255" s="3" t="s">
        <v>487</v>
      </c>
      <c r="D2255" s="3"/>
      <c r="E2255" s="3" t="s">
        <v>487</v>
      </c>
      <c r="F2255" s="3"/>
      <c r="G2255" s="3"/>
      <c r="H2255" s="3"/>
      <c r="I2255" s="3"/>
      <c r="J2255" s="3"/>
      <c r="K2255" s="3"/>
      <c r="L2255" s="3" t="s">
        <v>564</v>
      </c>
      <c r="M2255" s="3">
        <v>70</v>
      </c>
      <c r="N2255" s="3" t="s">
        <v>104</v>
      </c>
      <c r="O2255" s="3"/>
      <c r="P2255" s="3"/>
      <c r="Q2255" s="3">
        <v>0.13300000000000001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563</v>
      </c>
      <c r="C2256" s="3" t="s">
        <v>487</v>
      </c>
      <c r="D2256" s="3"/>
      <c r="E2256" s="3" t="s">
        <v>487</v>
      </c>
      <c r="F2256" s="3"/>
      <c r="G2256" s="3"/>
      <c r="H2256" s="3"/>
      <c r="I2256" s="3"/>
      <c r="J2256" s="3"/>
      <c r="K2256" s="3"/>
      <c r="L2256" s="3" t="s">
        <v>564</v>
      </c>
      <c r="M2256" s="3">
        <v>80</v>
      </c>
      <c r="N2256" s="3" t="s">
        <v>192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563</v>
      </c>
      <c r="C2257" s="3" t="s">
        <v>487</v>
      </c>
      <c r="D2257" s="3"/>
      <c r="E2257" s="3" t="s">
        <v>487</v>
      </c>
      <c r="F2257" s="3"/>
      <c r="G2257" s="3"/>
      <c r="H2257" s="3"/>
      <c r="I2257" s="3"/>
      <c r="J2257" s="3"/>
      <c r="K2257" s="3"/>
      <c r="L2257" s="3" t="s">
        <v>564</v>
      </c>
      <c r="M2257" s="3">
        <v>90</v>
      </c>
      <c r="N2257" s="3" t="s">
        <v>18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563</v>
      </c>
      <c r="C2258" s="3" t="s">
        <v>487</v>
      </c>
      <c r="D2258" s="3"/>
      <c r="E2258" s="3" t="s">
        <v>487</v>
      </c>
      <c r="F2258" s="3"/>
      <c r="G2258" s="3"/>
      <c r="H2258" s="3"/>
      <c r="I2258" s="3"/>
      <c r="J2258" s="3"/>
      <c r="K2258" s="3"/>
      <c r="L2258" s="3" t="s">
        <v>564</v>
      </c>
      <c r="M2258" s="3">
        <v>100</v>
      </c>
      <c r="N2258" s="3" t="s">
        <v>19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563</v>
      </c>
      <c r="C2259" s="3" t="s">
        <v>487</v>
      </c>
      <c r="D2259" s="3"/>
      <c r="E2259" s="3" t="s">
        <v>487</v>
      </c>
      <c r="F2259" s="3"/>
      <c r="G2259" s="3"/>
      <c r="H2259" s="3"/>
      <c r="I2259" s="3"/>
      <c r="J2259" s="3"/>
      <c r="K2259" s="3"/>
      <c r="L2259" s="3" t="s">
        <v>564</v>
      </c>
      <c r="M2259" s="3">
        <v>110</v>
      </c>
      <c r="N2259" s="3" t="s">
        <v>101</v>
      </c>
      <c r="O2259" s="3"/>
      <c r="P2259" s="3"/>
      <c r="Q2259" s="3">
        <v>0.68300000000000005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563</v>
      </c>
      <c r="C2260" s="3" t="s">
        <v>487</v>
      </c>
      <c r="D2260" s="3"/>
      <c r="E2260" s="3" t="s">
        <v>487</v>
      </c>
      <c r="F2260" s="3"/>
      <c r="G2260" s="3"/>
      <c r="H2260" s="3"/>
      <c r="I2260" s="3"/>
      <c r="J2260" s="3"/>
      <c r="K2260" s="3"/>
      <c r="L2260" s="3" t="s">
        <v>564</v>
      </c>
      <c r="M2260" s="3">
        <v>120</v>
      </c>
      <c r="N2260" s="3" t="s">
        <v>488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563</v>
      </c>
      <c r="C2261" s="3" t="s">
        <v>489</v>
      </c>
      <c r="D2261" s="3"/>
      <c r="E2261" s="3" t="s">
        <v>489</v>
      </c>
      <c r="F2261" s="3"/>
      <c r="G2261" s="3"/>
      <c r="H2261" s="3"/>
      <c r="I2261" s="3"/>
      <c r="J2261" s="3"/>
      <c r="K2261" s="3"/>
      <c r="L2261" s="3" t="s">
        <v>564</v>
      </c>
      <c r="M2261" s="3">
        <v>10</v>
      </c>
      <c r="N2261" s="3" t="s">
        <v>107</v>
      </c>
      <c r="O2261" s="3"/>
      <c r="P2261" s="3"/>
      <c r="Q2261" s="3">
        <v>2.1589999999999998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563</v>
      </c>
      <c r="C2262" s="3" t="s">
        <v>489</v>
      </c>
      <c r="D2262" s="3"/>
      <c r="E2262" s="3" t="s">
        <v>489</v>
      </c>
      <c r="F2262" s="3"/>
      <c r="G2262" s="3"/>
      <c r="H2262" s="3"/>
      <c r="I2262" s="3"/>
      <c r="J2262" s="3"/>
      <c r="K2262" s="3"/>
      <c r="L2262" s="3" t="s">
        <v>564</v>
      </c>
      <c r="M2262" s="3">
        <v>20</v>
      </c>
      <c r="N2262" s="3" t="s">
        <v>565</v>
      </c>
      <c r="O2262" s="3"/>
      <c r="P2262" s="3"/>
      <c r="Q2262" s="3">
        <v>2.1589999999999998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563</v>
      </c>
      <c r="C2263" s="3" t="s">
        <v>489</v>
      </c>
      <c r="D2263" s="3"/>
      <c r="E2263" s="3" t="s">
        <v>489</v>
      </c>
      <c r="F2263" s="3"/>
      <c r="G2263" s="3"/>
      <c r="H2263" s="3"/>
      <c r="I2263" s="3"/>
      <c r="J2263" s="3"/>
      <c r="K2263" s="3"/>
      <c r="L2263" s="3" t="s">
        <v>564</v>
      </c>
      <c r="M2263" s="3">
        <v>30</v>
      </c>
      <c r="N2263" s="3" t="s">
        <v>99</v>
      </c>
      <c r="O2263" s="3"/>
      <c r="P2263" s="3"/>
      <c r="Q2263" s="3">
        <v>0.56100000000000005</v>
      </c>
      <c r="R2263" s="3" t="s">
        <v>100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563</v>
      </c>
      <c r="C2264" s="3" t="s">
        <v>489</v>
      </c>
      <c r="D2264" s="3"/>
      <c r="E2264" s="3" t="s">
        <v>489</v>
      </c>
      <c r="F2264" s="3"/>
      <c r="G2264" s="3"/>
      <c r="H2264" s="3"/>
      <c r="I2264" s="3"/>
      <c r="J2264" s="3"/>
      <c r="K2264" s="3"/>
      <c r="L2264" s="3" t="s">
        <v>564</v>
      </c>
      <c r="M2264" s="3">
        <v>40</v>
      </c>
      <c r="N2264" s="3" t="s">
        <v>108</v>
      </c>
      <c r="O2264" s="3"/>
      <c r="P2264" s="3"/>
      <c r="Q2264" s="3">
        <v>15.646000000000001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563</v>
      </c>
      <c r="C2265" s="3" t="s">
        <v>489</v>
      </c>
      <c r="D2265" s="3"/>
      <c r="E2265" s="3" t="s">
        <v>489</v>
      </c>
      <c r="F2265" s="3"/>
      <c r="G2265" s="3"/>
      <c r="H2265" s="3"/>
      <c r="I2265" s="3"/>
      <c r="J2265" s="3"/>
      <c r="K2265" s="3"/>
      <c r="L2265" s="3" t="s">
        <v>564</v>
      </c>
      <c r="M2265" s="3">
        <v>50</v>
      </c>
      <c r="N2265" s="3" t="s">
        <v>105</v>
      </c>
      <c r="O2265" s="3"/>
      <c r="P2265" s="3"/>
      <c r="Q2265" s="3">
        <v>96.224999999999994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563</v>
      </c>
      <c r="C2266" s="3" t="s">
        <v>489</v>
      </c>
      <c r="D2266" s="3"/>
      <c r="E2266" s="3" t="s">
        <v>489</v>
      </c>
      <c r="F2266" s="3"/>
      <c r="G2266" s="3"/>
      <c r="H2266" s="3"/>
      <c r="I2266" s="3"/>
      <c r="J2266" s="3"/>
      <c r="K2266" s="3"/>
      <c r="L2266" s="3" t="s">
        <v>564</v>
      </c>
      <c r="M2266" s="3">
        <v>60</v>
      </c>
      <c r="N2266" s="3" t="s">
        <v>106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563</v>
      </c>
      <c r="C2267" s="3" t="s">
        <v>489</v>
      </c>
      <c r="D2267" s="3"/>
      <c r="E2267" s="3" t="s">
        <v>489</v>
      </c>
      <c r="F2267" s="3"/>
      <c r="G2267" s="3"/>
      <c r="H2267" s="3"/>
      <c r="I2267" s="3"/>
      <c r="J2267" s="3"/>
      <c r="K2267" s="3"/>
      <c r="L2267" s="3" t="s">
        <v>564</v>
      </c>
      <c r="M2267" s="3">
        <v>70</v>
      </c>
      <c r="N2267" s="3" t="s">
        <v>104</v>
      </c>
      <c r="O2267" s="3"/>
      <c r="P2267" s="3"/>
      <c r="Q2267" s="3">
        <v>0.14499999999999999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563</v>
      </c>
      <c r="C2268" s="3" t="s">
        <v>489</v>
      </c>
      <c r="D2268" s="3"/>
      <c r="E2268" s="3" t="s">
        <v>489</v>
      </c>
      <c r="F2268" s="3"/>
      <c r="G2268" s="3"/>
      <c r="H2268" s="3"/>
      <c r="I2268" s="3"/>
      <c r="J2268" s="3"/>
      <c r="K2268" s="3"/>
      <c r="L2268" s="3" t="s">
        <v>564</v>
      </c>
      <c r="M2268" s="3">
        <v>80</v>
      </c>
      <c r="N2268" s="3" t="s">
        <v>192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563</v>
      </c>
      <c r="C2269" s="3" t="s">
        <v>489</v>
      </c>
      <c r="D2269" s="3"/>
      <c r="E2269" s="3" t="s">
        <v>489</v>
      </c>
      <c r="F2269" s="3"/>
      <c r="G2269" s="3"/>
      <c r="H2269" s="3"/>
      <c r="I2269" s="3"/>
      <c r="J2269" s="3"/>
      <c r="K2269" s="3"/>
      <c r="L2269" s="3" t="s">
        <v>564</v>
      </c>
      <c r="M2269" s="3">
        <v>90</v>
      </c>
      <c r="N2269" s="3" t="s">
        <v>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563</v>
      </c>
      <c r="C2270" s="3" t="s">
        <v>489</v>
      </c>
      <c r="D2270" s="3"/>
      <c r="E2270" s="3" t="s">
        <v>489</v>
      </c>
      <c r="F2270" s="3"/>
      <c r="G2270" s="3"/>
      <c r="H2270" s="3"/>
      <c r="I2270" s="3"/>
      <c r="J2270" s="3"/>
      <c r="K2270" s="3"/>
      <c r="L2270" s="3" t="s">
        <v>564</v>
      </c>
      <c r="M2270" s="3">
        <v>100</v>
      </c>
      <c r="N2270" s="3" t="s">
        <v>19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563</v>
      </c>
      <c r="C2271" s="3" t="s">
        <v>489</v>
      </c>
      <c r="D2271" s="3"/>
      <c r="E2271" s="3" t="s">
        <v>489</v>
      </c>
      <c r="F2271" s="3"/>
      <c r="G2271" s="3"/>
      <c r="H2271" s="3"/>
      <c r="I2271" s="3"/>
      <c r="J2271" s="3"/>
      <c r="K2271" s="3"/>
      <c r="L2271" s="3" t="s">
        <v>564</v>
      </c>
      <c r="M2271" s="3">
        <v>110</v>
      </c>
      <c r="N2271" s="3" t="s">
        <v>101</v>
      </c>
      <c r="O2271" s="3"/>
      <c r="P2271" s="3"/>
      <c r="Q2271" s="3">
        <v>0.68300000000000005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563</v>
      </c>
      <c r="C2272" s="3" t="s">
        <v>489</v>
      </c>
      <c r="D2272" s="3"/>
      <c r="E2272" s="3" t="s">
        <v>489</v>
      </c>
      <c r="F2272" s="3"/>
      <c r="G2272" s="3"/>
      <c r="H2272" s="3"/>
      <c r="I2272" s="3"/>
      <c r="J2272" s="3"/>
      <c r="K2272" s="3"/>
      <c r="L2272" s="3" t="s">
        <v>564</v>
      </c>
      <c r="M2272" s="3">
        <v>120</v>
      </c>
      <c r="N2272" s="3" t="s">
        <v>490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563</v>
      </c>
      <c r="C2273" s="3" t="s">
        <v>491</v>
      </c>
      <c r="D2273" s="3"/>
      <c r="E2273" s="3" t="s">
        <v>491</v>
      </c>
      <c r="F2273" s="3"/>
      <c r="G2273" s="3"/>
      <c r="H2273" s="3"/>
      <c r="I2273" s="3"/>
      <c r="J2273" s="3"/>
      <c r="K2273" s="3"/>
      <c r="L2273" s="3" t="s">
        <v>564</v>
      </c>
      <c r="M2273" s="3">
        <v>10</v>
      </c>
      <c r="N2273" s="3" t="s">
        <v>107</v>
      </c>
      <c r="O2273" s="3"/>
      <c r="P2273" s="3"/>
      <c r="Q2273" s="3">
        <v>2.1589999999999998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563</v>
      </c>
      <c r="C2274" s="3" t="s">
        <v>491</v>
      </c>
      <c r="D2274" s="3"/>
      <c r="E2274" s="3" t="s">
        <v>491</v>
      </c>
      <c r="F2274" s="3"/>
      <c r="G2274" s="3"/>
      <c r="H2274" s="3"/>
      <c r="I2274" s="3"/>
      <c r="J2274" s="3"/>
      <c r="K2274" s="3"/>
      <c r="L2274" s="3" t="s">
        <v>564</v>
      </c>
      <c r="M2274" s="3">
        <v>20</v>
      </c>
      <c r="N2274" s="3" t="s">
        <v>565</v>
      </c>
      <c r="O2274" s="3"/>
      <c r="P2274" s="3"/>
      <c r="Q2274" s="3">
        <v>2.1589999999999998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563</v>
      </c>
      <c r="C2275" s="3" t="s">
        <v>491</v>
      </c>
      <c r="D2275" s="3"/>
      <c r="E2275" s="3" t="s">
        <v>491</v>
      </c>
      <c r="F2275" s="3"/>
      <c r="G2275" s="3"/>
      <c r="H2275" s="3"/>
      <c r="I2275" s="3"/>
      <c r="J2275" s="3"/>
      <c r="K2275" s="3"/>
      <c r="L2275" s="3" t="s">
        <v>564</v>
      </c>
      <c r="M2275" s="3">
        <v>30</v>
      </c>
      <c r="N2275" s="3" t="s">
        <v>99</v>
      </c>
      <c r="O2275" s="3"/>
      <c r="P2275" s="3"/>
      <c r="Q2275" s="3">
        <v>0.61199999999999999</v>
      </c>
      <c r="R2275" s="3" t="s">
        <v>100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563</v>
      </c>
      <c r="C2276" s="3" t="s">
        <v>491</v>
      </c>
      <c r="D2276" s="3"/>
      <c r="E2276" s="3" t="s">
        <v>491</v>
      </c>
      <c r="F2276" s="3"/>
      <c r="G2276" s="3"/>
      <c r="H2276" s="3"/>
      <c r="I2276" s="3"/>
      <c r="J2276" s="3"/>
      <c r="K2276" s="3"/>
      <c r="L2276" s="3" t="s">
        <v>564</v>
      </c>
      <c r="M2276" s="3">
        <v>40</v>
      </c>
      <c r="N2276" s="3" t="s">
        <v>108</v>
      </c>
      <c r="O2276" s="3"/>
      <c r="P2276" s="3"/>
      <c r="Q2276" s="3">
        <v>16.256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563</v>
      </c>
      <c r="C2277" s="3" t="s">
        <v>491</v>
      </c>
      <c r="D2277" s="3"/>
      <c r="E2277" s="3" t="s">
        <v>491</v>
      </c>
      <c r="F2277" s="3"/>
      <c r="G2277" s="3"/>
      <c r="H2277" s="3"/>
      <c r="I2277" s="3"/>
      <c r="J2277" s="3"/>
      <c r="K2277" s="3"/>
      <c r="L2277" s="3" t="s">
        <v>564</v>
      </c>
      <c r="M2277" s="3">
        <v>50</v>
      </c>
      <c r="N2277" s="3" t="s">
        <v>105</v>
      </c>
      <c r="O2277" s="3"/>
      <c r="P2277" s="3"/>
      <c r="Q2277" s="3">
        <v>99.974000000000004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563</v>
      </c>
      <c r="C2278" s="3" t="s">
        <v>491</v>
      </c>
      <c r="D2278" s="3"/>
      <c r="E2278" s="3" t="s">
        <v>491</v>
      </c>
      <c r="F2278" s="3"/>
      <c r="G2278" s="3"/>
      <c r="H2278" s="3"/>
      <c r="I2278" s="3"/>
      <c r="J2278" s="3"/>
      <c r="K2278" s="3"/>
      <c r="L2278" s="3" t="s">
        <v>564</v>
      </c>
      <c r="M2278" s="3">
        <v>60</v>
      </c>
      <c r="N2278" s="3" t="s">
        <v>106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563</v>
      </c>
      <c r="C2279" s="3" t="s">
        <v>491</v>
      </c>
      <c r="D2279" s="3"/>
      <c r="E2279" s="3" t="s">
        <v>491</v>
      </c>
      <c r="F2279" s="3"/>
      <c r="G2279" s="3"/>
      <c r="H2279" s="3"/>
      <c r="I2279" s="3"/>
      <c r="J2279" s="3"/>
      <c r="K2279" s="3"/>
      <c r="L2279" s="3" t="s">
        <v>564</v>
      </c>
      <c r="M2279" s="3">
        <v>70</v>
      </c>
      <c r="N2279" s="3" t="s">
        <v>104</v>
      </c>
      <c r="O2279" s="3"/>
      <c r="P2279" s="3"/>
      <c r="Q2279" s="3">
        <v>0.156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563</v>
      </c>
      <c r="C2280" s="3" t="s">
        <v>491</v>
      </c>
      <c r="D2280" s="3"/>
      <c r="E2280" s="3" t="s">
        <v>491</v>
      </c>
      <c r="F2280" s="3"/>
      <c r="G2280" s="3"/>
      <c r="H2280" s="3"/>
      <c r="I2280" s="3"/>
      <c r="J2280" s="3"/>
      <c r="K2280" s="3"/>
      <c r="L2280" s="3" t="s">
        <v>564</v>
      </c>
      <c r="M2280" s="3">
        <v>80</v>
      </c>
      <c r="N2280" s="3" t="s">
        <v>192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563</v>
      </c>
      <c r="C2281" s="3" t="s">
        <v>491</v>
      </c>
      <c r="D2281" s="3"/>
      <c r="E2281" s="3" t="s">
        <v>491</v>
      </c>
      <c r="F2281" s="3"/>
      <c r="G2281" s="3"/>
      <c r="H2281" s="3"/>
      <c r="I2281" s="3"/>
      <c r="J2281" s="3"/>
      <c r="K2281" s="3"/>
      <c r="L2281" s="3" t="s">
        <v>564</v>
      </c>
      <c r="M2281" s="3">
        <v>90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563</v>
      </c>
      <c r="C2282" s="3" t="s">
        <v>491</v>
      </c>
      <c r="D2282" s="3"/>
      <c r="E2282" s="3" t="s">
        <v>491</v>
      </c>
      <c r="F2282" s="3"/>
      <c r="G2282" s="3"/>
      <c r="H2282" s="3"/>
      <c r="I2282" s="3"/>
      <c r="J2282" s="3"/>
      <c r="K2282" s="3"/>
      <c r="L2282" s="3" t="s">
        <v>564</v>
      </c>
      <c r="M2282" s="3">
        <v>100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563</v>
      </c>
      <c r="C2283" s="3" t="s">
        <v>491</v>
      </c>
      <c r="D2283" s="3"/>
      <c r="E2283" s="3" t="s">
        <v>491</v>
      </c>
      <c r="F2283" s="3"/>
      <c r="G2283" s="3"/>
      <c r="H2283" s="3"/>
      <c r="I2283" s="3"/>
      <c r="J2283" s="3"/>
      <c r="K2283" s="3"/>
      <c r="L2283" s="3" t="s">
        <v>564</v>
      </c>
      <c r="M2283" s="3">
        <v>110</v>
      </c>
      <c r="N2283" s="3" t="s">
        <v>101</v>
      </c>
      <c r="O2283" s="3"/>
      <c r="P2283" s="3"/>
      <c r="Q2283" s="3">
        <v>0.68300000000000005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563</v>
      </c>
      <c r="C2284" s="3" t="s">
        <v>491</v>
      </c>
      <c r="D2284" s="3"/>
      <c r="E2284" s="3" t="s">
        <v>491</v>
      </c>
      <c r="F2284" s="3"/>
      <c r="G2284" s="3"/>
      <c r="H2284" s="3"/>
      <c r="I2284" s="3"/>
      <c r="J2284" s="3"/>
      <c r="K2284" s="3"/>
      <c r="L2284" s="3" t="s">
        <v>564</v>
      </c>
      <c r="M2284" s="3">
        <v>120</v>
      </c>
      <c r="N2284" s="3" t="s">
        <v>492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563</v>
      </c>
      <c r="C2285" s="3" t="s">
        <v>493</v>
      </c>
      <c r="D2285" s="3"/>
      <c r="E2285" s="3" t="s">
        <v>493</v>
      </c>
      <c r="F2285" s="3"/>
      <c r="G2285" s="3"/>
      <c r="H2285" s="3"/>
      <c r="I2285" s="3"/>
      <c r="J2285" s="3"/>
      <c r="K2285" s="3"/>
      <c r="L2285" s="3" t="s">
        <v>564</v>
      </c>
      <c r="M2285" s="3">
        <v>10</v>
      </c>
      <c r="N2285" s="3" t="s">
        <v>107</v>
      </c>
      <c r="O2285" s="3"/>
      <c r="P2285" s="3"/>
      <c r="Q2285" s="3">
        <v>0.78700000000000003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563</v>
      </c>
      <c r="C2286" s="3" t="s">
        <v>493</v>
      </c>
      <c r="D2286" s="3"/>
      <c r="E2286" s="3" t="s">
        <v>493</v>
      </c>
      <c r="F2286" s="3"/>
      <c r="G2286" s="3"/>
      <c r="H2286" s="3"/>
      <c r="I2286" s="3"/>
      <c r="J2286" s="3"/>
      <c r="K2286" s="3"/>
      <c r="L2286" s="3" t="s">
        <v>564</v>
      </c>
      <c r="M2286" s="3">
        <v>20</v>
      </c>
      <c r="N2286" s="3" t="s">
        <v>565</v>
      </c>
      <c r="O2286" s="3"/>
      <c r="P2286" s="3"/>
      <c r="Q2286" s="3">
        <v>0.78700000000000003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563</v>
      </c>
      <c r="C2287" s="3" t="s">
        <v>493</v>
      </c>
      <c r="D2287" s="3"/>
      <c r="E2287" s="3" t="s">
        <v>493</v>
      </c>
      <c r="F2287" s="3"/>
      <c r="G2287" s="3"/>
      <c r="H2287" s="3"/>
      <c r="I2287" s="3"/>
      <c r="J2287" s="3"/>
      <c r="K2287" s="3"/>
      <c r="L2287" s="3" t="s">
        <v>564</v>
      </c>
      <c r="M2287" s="3">
        <v>30</v>
      </c>
      <c r="N2287" s="3" t="s">
        <v>99</v>
      </c>
      <c r="O2287" s="3"/>
      <c r="P2287" s="3"/>
      <c r="Q2287" s="3">
        <v>0.219</v>
      </c>
      <c r="R2287" s="3" t="s">
        <v>100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563</v>
      </c>
      <c r="C2288" s="3" t="s">
        <v>493</v>
      </c>
      <c r="D2288" s="3"/>
      <c r="E2288" s="3" t="s">
        <v>493</v>
      </c>
      <c r="F2288" s="3"/>
      <c r="G2288" s="3"/>
      <c r="H2288" s="3"/>
      <c r="I2288" s="3"/>
      <c r="J2288" s="3"/>
      <c r="K2288" s="3"/>
      <c r="L2288" s="3" t="s">
        <v>564</v>
      </c>
      <c r="M2288" s="3">
        <v>40</v>
      </c>
      <c r="N2288" s="3" t="s">
        <v>108</v>
      </c>
      <c r="O2288" s="3"/>
      <c r="P2288" s="3"/>
      <c r="Q2288" s="3">
        <v>10.77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563</v>
      </c>
      <c r="C2289" s="3" t="s">
        <v>493</v>
      </c>
      <c r="D2289" s="3"/>
      <c r="E2289" s="3" t="s">
        <v>493</v>
      </c>
      <c r="F2289" s="3"/>
      <c r="G2289" s="3"/>
      <c r="H2289" s="3"/>
      <c r="I2289" s="3"/>
      <c r="J2289" s="3"/>
      <c r="K2289" s="3"/>
      <c r="L2289" s="3" t="s">
        <v>564</v>
      </c>
      <c r="M2289" s="3">
        <v>50</v>
      </c>
      <c r="N2289" s="3" t="s">
        <v>105</v>
      </c>
      <c r="O2289" s="3"/>
      <c r="P2289" s="3"/>
      <c r="Q2289" s="3">
        <v>66.233000000000004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563</v>
      </c>
      <c r="C2290" s="3" t="s">
        <v>493</v>
      </c>
      <c r="D2290" s="3"/>
      <c r="E2290" s="3" t="s">
        <v>493</v>
      </c>
      <c r="F2290" s="3"/>
      <c r="G2290" s="3"/>
      <c r="H2290" s="3"/>
      <c r="I2290" s="3"/>
      <c r="J2290" s="3"/>
      <c r="K2290" s="3"/>
      <c r="L2290" s="3" t="s">
        <v>564</v>
      </c>
      <c r="M2290" s="3">
        <v>60</v>
      </c>
      <c r="N2290" s="3" t="s">
        <v>106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563</v>
      </c>
      <c r="C2291" s="3" t="s">
        <v>493</v>
      </c>
      <c r="D2291" s="3"/>
      <c r="E2291" s="3" t="s">
        <v>493</v>
      </c>
      <c r="F2291" s="3"/>
      <c r="G2291" s="3"/>
      <c r="H2291" s="3"/>
      <c r="I2291" s="3"/>
      <c r="J2291" s="3"/>
      <c r="K2291" s="3"/>
      <c r="L2291" s="3" t="s">
        <v>564</v>
      </c>
      <c r="M2291" s="3">
        <v>70</v>
      </c>
      <c r="N2291" s="3" t="s">
        <v>104</v>
      </c>
      <c r="O2291" s="3"/>
      <c r="P2291" s="3"/>
      <c r="Q2291" s="3">
        <v>7.9000000000000001E-2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563</v>
      </c>
      <c r="C2292" s="3" t="s">
        <v>493</v>
      </c>
      <c r="D2292" s="3"/>
      <c r="E2292" s="3" t="s">
        <v>493</v>
      </c>
      <c r="F2292" s="3"/>
      <c r="G2292" s="3"/>
      <c r="H2292" s="3"/>
      <c r="I2292" s="3"/>
      <c r="J2292" s="3"/>
      <c r="K2292" s="3"/>
      <c r="L2292" s="3" t="s">
        <v>564</v>
      </c>
      <c r="M2292" s="3">
        <v>80</v>
      </c>
      <c r="N2292" s="3" t="s">
        <v>273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563</v>
      </c>
      <c r="C2293" s="3" t="s">
        <v>493</v>
      </c>
      <c r="D2293" s="3"/>
      <c r="E2293" s="3" t="s">
        <v>493</v>
      </c>
      <c r="F2293" s="3"/>
      <c r="G2293" s="3"/>
      <c r="H2293" s="3"/>
      <c r="I2293" s="3"/>
      <c r="J2293" s="3"/>
      <c r="K2293" s="3"/>
      <c r="L2293" s="3" t="s">
        <v>564</v>
      </c>
      <c r="M2293" s="3">
        <v>90</v>
      </c>
      <c r="N2293" s="3" t="s">
        <v>18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563</v>
      </c>
      <c r="C2294" s="3" t="s">
        <v>493</v>
      </c>
      <c r="D2294" s="3"/>
      <c r="E2294" s="3" t="s">
        <v>493</v>
      </c>
      <c r="F2294" s="3"/>
      <c r="G2294" s="3"/>
      <c r="H2294" s="3"/>
      <c r="I2294" s="3"/>
      <c r="J2294" s="3"/>
      <c r="K2294" s="3"/>
      <c r="L2294" s="3" t="s">
        <v>564</v>
      </c>
      <c r="M2294" s="3">
        <v>100</v>
      </c>
      <c r="N2294" s="3" t="s">
        <v>19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563</v>
      </c>
      <c r="C2295" s="3" t="s">
        <v>493</v>
      </c>
      <c r="D2295" s="3"/>
      <c r="E2295" s="3" t="s">
        <v>493</v>
      </c>
      <c r="F2295" s="3"/>
      <c r="G2295" s="3"/>
      <c r="H2295" s="3"/>
      <c r="I2295" s="3"/>
      <c r="J2295" s="3"/>
      <c r="K2295" s="3"/>
      <c r="L2295" s="3" t="s">
        <v>564</v>
      </c>
      <c r="M2295" s="3">
        <v>110</v>
      </c>
      <c r="N2295" s="3" t="s">
        <v>101</v>
      </c>
      <c r="O2295" s="3"/>
      <c r="P2295" s="3"/>
      <c r="Q2295" s="3">
        <v>0.28499999999999998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563</v>
      </c>
      <c r="C2296" s="3" t="s">
        <v>493</v>
      </c>
      <c r="D2296" s="3"/>
      <c r="E2296" s="3" t="s">
        <v>493</v>
      </c>
      <c r="F2296" s="3"/>
      <c r="G2296" s="3"/>
      <c r="H2296" s="3"/>
      <c r="I2296" s="3"/>
      <c r="J2296" s="3"/>
      <c r="K2296" s="3"/>
      <c r="L2296" s="3" t="s">
        <v>564</v>
      </c>
      <c r="M2296" s="3">
        <v>120</v>
      </c>
      <c r="N2296" s="3" t="s">
        <v>494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563</v>
      </c>
      <c r="C2297" s="3" t="s">
        <v>495</v>
      </c>
      <c r="D2297" s="3"/>
      <c r="E2297" s="3" t="s">
        <v>495</v>
      </c>
      <c r="F2297" s="3"/>
      <c r="G2297" s="3"/>
      <c r="H2297" s="3"/>
      <c r="I2297" s="3"/>
      <c r="J2297" s="3"/>
      <c r="K2297" s="3"/>
      <c r="L2297" s="3" t="s">
        <v>564</v>
      </c>
      <c r="M2297" s="3">
        <v>10</v>
      </c>
      <c r="N2297" s="3" t="s">
        <v>107</v>
      </c>
      <c r="O2297" s="3"/>
      <c r="P2297" s="3"/>
      <c r="Q2297" s="3">
        <v>0.94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563</v>
      </c>
      <c r="C2298" s="3" t="s">
        <v>495</v>
      </c>
      <c r="D2298" s="3"/>
      <c r="E2298" s="3" t="s">
        <v>495</v>
      </c>
      <c r="F2298" s="3"/>
      <c r="G2298" s="3"/>
      <c r="H2298" s="3"/>
      <c r="I2298" s="3"/>
      <c r="J2298" s="3"/>
      <c r="K2298" s="3"/>
      <c r="L2298" s="3" t="s">
        <v>564</v>
      </c>
      <c r="M2298" s="3">
        <v>20</v>
      </c>
      <c r="N2298" s="3" t="s">
        <v>565</v>
      </c>
      <c r="O2298" s="3"/>
      <c r="P2298" s="3"/>
      <c r="Q2298" s="3">
        <v>0.94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563</v>
      </c>
      <c r="C2299" s="3" t="s">
        <v>495</v>
      </c>
      <c r="D2299" s="3"/>
      <c r="E2299" s="3" t="s">
        <v>495</v>
      </c>
      <c r="F2299" s="3"/>
      <c r="G2299" s="3"/>
      <c r="H2299" s="3"/>
      <c r="I2299" s="3"/>
      <c r="J2299" s="3"/>
      <c r="K2299" s="3"/>
      <c r="L2299" s="3" t="s">
        <v>564</v>
      </c>
      <c r="M2299" s="3">
        <v>30</v>
      </c>
      <c r="N2299" s="3" t="s">
        <v>99</v>
      </c>
      <c r="O2299" s="3"/>
      <c r="P2299" s="3"/>
      <c r="Q2299" s="3">
        <v>0.26200000000000001</v>
      </c>
      <c r="R2299" s="3" t="s">
        <v>100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563</v>
      </c>
      <c r="C2300" s="3" t="s">
        <v>495</v>
      </c>
      <c r="D2300" s="3"/>
      <c r="E2300" s="3" t="s">
        <v>495</v>
      </c>
      <c r="F2300" s="3"/>
      <c r="G2300" s="3"/>
      <c r="H2300" s="3"/>
      <c r="I2300" s="3"/>
      <c r="J2300" s="3"/>
      <c r="K2300" s="3"/>
      <c r="L2300" s="3" t="s">
        <v>564</v>
      </c>
      <c r="M2300" s="3">
        <v>40</v>
      </c>
      <c r="N2300" s="3" t="s">
        <v>108</v>
      </c>
      <c r="O2300" s="3"/>
      <c r="P2300" s="3"/>
      <c r="Q2300" s="3">
        <v>11.379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563</v>
      </c>
      <c r="C2301" s="3" t="s">
        <v>495</v>
      </c>
      <c r="D2301" s="3"/>
      <c r="E2301" s="3" t="s">
        <v>495</v>
      </c>
      <c r="F2301" s="3"/>
      <c r="G2301" s="3"/>
      <c r="H2301" s="3"/>
      <c r="I2301" s="3"/>
      <c r="J2301" s="3"/>
      <c r="K2301" s="3"/>
      <c r="L2301" s="3" t="s">
        <v>564</v>
      </c>
      <c r="M2301" s="3">
        <v>50</v>
      </c>
      <c r="N2301" s="3" t="s">
        <v>105</v>
      </c>
      <c r="O2301" s="3"/>
      <c r="P2301" s="3"/>
      <c r="Q2301" s="3">
        <v>69.981999999999999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563</v>
      </c>
      <c r="C2302" s="3" t="s">
        <v>495</v>
      </c>
      <c r="D2302" s="3"/>
      <c r="E2302" s="3" t="s">
        <v>495</v>
      </c>
      <c r="F2302" s="3"/>
      <c r="G2302" s="3"/>
      <c r="H2302" s="3"/>
      <c r="I2302" s="3"/>
      <c r="J2302" s="3"/>
      <c r="K2302" s="3"/>
      <c r="L2302" s="3" t="s">
        <v>564</v>
      </c>
      <c r="M2302" s="3">
        <v>60</v>
      </c>
      <c r="N2302" s="3" t="s">
        <v>106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563</v>
      </c>
      <c r="C2303" s="3" t="s">
        <v>495</v>
      </c>
      <c r="D2303" s="3"/>
      <c r="E2303" s="3" t="s">
        <v>495</v>
      </c>
      <c r="F2303" s="3"/>
      <c r="G2303" s="3"/>
      <c r="H2303" s="3"/>
      <c r="I2303" s="3"/>
      <c r="J2303" s="3"/>
      <c r="K2303" s="3"/>
      <c r="L2303" s="3" t="s">
        <v>564</v>
      </c>
      <c r="M2303" s="3">
        <v>70</v>
      </c>
      <c r="N2303" s="3" t="s">
        <v>104</v>
      </c>
      <c r="O2303" s="3"/>
      <c r="P2303" s="3"/>
      <c r="Q2303" s="3">
        <v>0.09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563</v>
      </c>
      <c r="C2304" s="3" t="s">
        <v>495</v>
      </c>
      <c r="D2304" s="3"/>
      <c r="E2304" s="3" t="s">
        <v>495</v>
      </c>
      <c r="F2304" s="3"/>
      <c r="G2304" s="3"/>
      <c r="H2304" s="3"/>
      <c r="I2304" s="3"/>
      <c r="J2304" s="3"/>
      <c r="K2304" s="3"/>
      <c r="L2304" s="3" t="s">
        <v>564</v>
      </c>
      <c r="M2304" s="3">
        <v>80</v>
      </c>
      <c r="N2304" s="3" t="s">
        <v>273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563</v>
      </c>
      <c r="C2305" s="3" t="s">
        <v>495</v>
      </c>
      <c r="D2305" s="3"/>
      <c r="E2305" s="3" t="s">
        <v>495</v>
      </c>
      <c r="F2305" s="3"/>
      <c r="G2305" s="3"/>
      <c r="H2305" s="3"/>
      <c r="I2305" s="3"/>
      <c r="J2305" s="3"/>
      <c r="K2305" s="3"/>
      <c r="L2305" s="3" t="s">
        <v>564</v>
      </c>
      <c r="M2305" s="3">
        <v>90</v>
      </c>
      <c r="N2305" s="3" t="s">
        <v>18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563</v>
      </c>
      <c r="C2306" s="3" t="s">
        <v>495</v>
      </c>
      <c r="D2306" s="3"/>
      <c r="E2306" s="3" t="s">
        <v>495</v>
      </c>
      <c r="F2306" s="3"/>
      <c r="G2306" s="3"/>
      <c r="H2306" s="3"/>
      <c r="I2306" s="3"/>
      <c r="J2306" s="3"/>
      <c r="K2306" s="3"/>
      <c r="L2306" s="3" t="s">
        <v>564</v>
      </c>
      <c r="M2306" s="3">
        <v>100</v>
      </c>
      <c r="N2306" s="3" t="s">
        <v>19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563</v>
      </c>
      <c r="C2307" s="3" t="s">
        <v>495</v>
      </c>
      <c r="D2307" s="3"/>
      <c r="E2307" s="3" t="s">
        <v>495</v>
      </c>
      <c r="F2307" s="3"/>
      <c r="G2307" s="3"/>
      <c r="H2307" s="3"/>
      <c r="I2307" s="3"/>
      <c r="J2307" s="3"/>
      <c r="K2307" s="3"/>
      <c r="L2307" s="3" t="s">
        <v>564</v>
      </c>
      <c r="M2307" s="3">
        <v>110</v>
      </c>
      <c r="N2307" s="3" t="s">
        <v>101</v>
      </c>
      <c r="O2307" s="3"/>
      <c r="P2307" s="3"/>
      <c r="Q2307" s="3">
        <v>0.33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563</v>
      </c>
      <c r="C2308" s="3" t="s">
        <v>495</v>
      </c>
      <c r="D2308" s="3"/>
      <c r="E2308" s="3" t="s">
        <v>495</v>
      </c>
      <c r="F2308" s="3"/>
      <c r="G2308" s="3"/>
      <c r="H2308" s="3"/>
      <c r="I2308" s="3"/>
      <c r="J2308" s="3"/>
      <c r="K2308" s="3"/>
      <c r="L2308" s="3" t="s">
        <v>564</v>
      </c>
      <c r="M2308" s="3">
        <v>120</v>
      </c>
      <c r="N2308" s="3" t="s">
        <v>496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563</v>
      </c>
      <c r="C2309" s="3" t="s">
        <v>497</v>
      </c>
      <c r="D2309" s="3"/>
      <c r="E2309" s="3" t="s">
        <v>497</v>
      </c>
      <c r="F2309" s="3"/>
      <c r="G2309" s="3"/>
      <c r="H2309" s="3"/>
      <c r="I2309" s="3"/>
      <c r="J2309" s="3"/>
      <c r="K2309" s="3"/>
      <c r="L2309" s="3" t="s">
        <v>564</v>
      </c>
      <c r="M2309" s="3">
        <v>10</v>
      </c>
      <c r="N2309" s="3" t="s">
        <v>107</v>
      </c>
      <c r="O2309" s="3"/>
      <c r="P2309" s="3"/>
      <c r="Q2309" s="3">
        <v>1.0920000000000001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563</v>
      </c>
      <c r="C2310" s="3" t="s">
        <v>497</v>
      </c>
      <c r="D2310" s="3"/>
      <c r="E2310" s="3" t="s">
        <v>497</v>
      </c>
      <c r="F2310" s="3"/>
      <c r="G2310" s="3"/>
      <c r="H2310" s="3"/>
      <c r="I2310" s="3"/>
      <c r="J2310" s="3"/>
      <c r="K2310" s="3"/>
      <c r="L2310" s="3" t="s">
        <v>564</v>
      </c>
      <c r="M2310" s="3">
        <v>20</v>
      </c>
      <c r="N2310" s="3" t="s">
        <v>565</v>
      </c>
      <c r="O2310" s="3"/>
      <c r="P2310" s="3"/>
      <c r="Q2310" s="3">
        <v>1.0920000000000001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563</v>
      </c>
      <c r="C2311" s="3" t="s">
        <v>497</v>
      </c>
      <c r="D2311" s="3"/>
      <c r="E2311" s="3" t="s">
        <v>497</v>
      </c>
      <c r="F2311" s="3"/>
      <c r="G2311" s="3"/>
      <c r="H2311" s="3"/>
      <c r="I2311" s="3"/>
      <c r="J2311" s="3"/>
      <c r="K2311" s="3"/>
      <c r="L2311" s="3" t="s">
        <v>564</v>
      </c>
      <c r="M2311" s="3">
        <v>30</v>
      </c>
      <c r="N2311" s="3" t="s">
        <v>99</v>
      </c>
      <c r="O2311" s="3"/>
      <c r="P2311" s="3"/>
      <c r="Q2311" s="3">
        <v>0.30599999999999999</v>
      </c>
      <c r="R2311" s="3" t="s">
        <v>100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563</v>
      </c>
      <c r="C2312" s="3" t="s">
        <v>497</v>
      </c>
      <c r="D2312" s="3"/>
      <c r="E2312" s="3" t="s">
        <v>497</v>
      </c>
      <c r="F2312" s="3"/>
      <c r="G2312" s="3"/>
      <c r="H2312" s="3"/>
      <c r="I2312" s="3"/>
      <c r="J2312" s="3"/>
      <c r="K2312" s="3"/>
      <c r="L2312" s="3" t="s">
        <v>564</v>
      </c>
      <c r="M2312" s="3">
        <v>40</v>
      </c>
      <c r="N2312" s="3" t="s">
        <v>108</v>
      </c>
      <c r="O2312" s="3"/>
      <c r="P2312" s="3"/>
      <c r="Q2312" s="3">
        <v>11.989000000000001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563</v>
      </c>
      <c r="C2313" s="3" t="s">
        <v>497</v>
      </c>
      <c r="D2313" s="3"/>
      <c r="E2313" s="3" t="s">
        <v>497</v>
      </c>
      <c r="F2313" s="3"/>
      <c r="G2313" s="3"/>
      <c r="H2313" s="3"/>
      <c r="I2313" s="3"/>
      <c r="J2313" s="3"/>
      <c r="K2313" s="3"/>
      <c r="L2313" s="3" t="s">
        <v>564</v>
      </c>
      <c r="M2313" s="3">
        <v>50</v>
      </c>
      <c r="N2313" s="3" t="s">
        <v>105</v>
      </c>
      <c r="O2313" s="3"/>
      <c r="P2313" s="3"/>
      <c r="Q2313" s="3">
        <v>73.730999999999995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563</v>
      </c>
      <c r="C2314" s="3" t="s">
        <v>497</v>
      </c>
      <c r="D2314" s="3"/>
      <c r="E2314" s="3" t="s">
        <v>497</v>
      </c>
      <c r="F2314" s="3"/>
      <c r="G2314" s="3"/>
      <c r="H2314" s="3"/>
      <c r="I2314" s="3"/>
      <c r="J2314" s="3"/>
      <c r="K2314" s="3"/>
      <c r="L2314" s="3" t="s">
        <v>564</v>
      </c>
      <c r="M2314" s="3">
        <v>60</v>
      </c>
      <c r="N2314" s="3" t="s">
        <v>106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563</v>
      </c>
      <c r="C2315" s="3" t="s">
        <v>497</v>
      </c>
      <c r="D2315" s="3"/>
      <c r="E2315" s="3" t="s">
        <v>497</v>
      </c>
      <c r="F2315" s="3"/>
      <c r="G2315" s="3"/>
      <c r="H2315" s="3"/>
      <c r="I2315" s="3"/>
      <c r="J2315" s="3"/>
      <c r="K2315" s="3"/>
      <c r="L2315" s="3" t="s">
        <v>564</v>
      </c>
      <c r="M2315" s="3">
        <v>70</v>
      </c>
      <c r="N2315" s="3" t="s">
        <v>104</v>
      </c>
      <c r="O2315" s="3"/>
      <c r="P2315" s="3"/>
      <c r="Q2315" s="3">
        <v>0.10100000000000001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563</v>
      </c>
      <c r="C2316" s="3" t="s">
        <v>497</v>
      </c>
      <c r="D2316" s="3"/>
      <c r="E2316" s="3" t="s">
        <v>497</v>
      </c>
      <c r="F2316" s="3"/>
      <c r="G2316" s="3"/>
      <c r="H2316" s="3"/>
      <c r="I2316" s="3"/>
      <c r="J2316" s="3"/>
      <c r="K2316" s="3"/>
      <c r="L2316" s="3" t="s">
        <v>564</v>
      </c>
      <c r="M2316" s="3">
        <v>80</v>
      </c>
      <c r="N2316" s="3" t="s">
        <v>273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563</v>
      </c>
      <c r="C2317" s="3" t="s">
        <v>497</v>
      </c>
      <c r="D2317" s="3"/>
      <c r="E2317" s="3" t="s">
        <v>497</v>
      </c>
      <c r="F2317" s="3"/>
      <c r="G2317" s="3"/>
      <c r="H2317" s="3"/>
      <c r="I2317" s="3"/>
      <c r="J2317" s="3"/>
      <c r="K2317" s="3"/>
      <c r="L2317" s="3" t="s">
        <v>564</v>
      </c>
      <c r="M2317" s="3">
        <v>90</v>
      </c>
      <c r="N2317" s="3" t="s">
        <v>18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563</v>
      </c>
      <c r="C2318" s="3" t="s">
        <v>497</v>
      </c>
      <c r="D2318" s="3"/>
      <c r="E2318" s="3" t="s">
        <v>497</v>
      </c>
      <c r="F2318" s="3"/>
      <c r="G2318" s="3"/>
      <c r="H2318" s="3"/>
      <c r="I2318" s="3"/>
      <c r="J2318" s="3"/>
      <c r="K2318" s="3"/>
      <c r="L2318" s="3" t="s">
        <v>564</v>
      </c>
      <c r="M2318" s="3">
        <v>100</v>
      </c>
      <c r="N2318" s="3" t="s">
        <v>19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563</v>
      </c>
      <c r="C2319" s="3" t="s">
        <v>497</v>
      </c>
      <c r="D2319" s="3"/>
      <c r="E2319" s="3" t="s">
        <v>497</v>
      </c>
      <c r="F2319" s="3"/>
      <c r="G2319" s="3"/>
      <c r="H2319" s="3"/>
      <c r="I2319" s="3"/>
      <c r="J2319" s="3"/>
      <c r="K2319" s="3"/>
      <c r="L2319" s="3" t="s">
        <v>564</v>
      </c>
      <c r="M2319" s="3">
        <v>110</v>
      </c>
      <c r="N2319" s="3" t="s">
        <v>101</v>
      </c>
      <c r="O2319" s="3"/>
      <c r="P2319" s="3"/>
      <c r="Q2319" s="3">
        <v>0.375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563</v>
      </c>
      <c r="C2320" s="3" t="s">
        <v>497</v>
      </c>
      <c r="D2320" s="3"/>
      <c r="E2320" s="3" t="s">
        <v>497</v>
      </c>
      <c r="F2320" s="3"/>
      <c r="G2320" s="3"/>
      <c r="H2320" s="3"/>
      <c r="I2320" s="3"/>
      <c r="J2320" s="3"/>
      <c r="K2320" s="3"/>
      <c r="L2320" s="3" t="s">
        <v>564</v>
      </c>
      <c r="M2320" s="3">
        <v>120</v>
      </c>
      <c r="N2320" s="3" t="s">
        <v>498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563</v>
      </c>
      <c r="C2321" s="3" t="s">
        <v>499</v>
      </c>
      <c r="D2321" s="3"/>
      <c r="E2321" s="3" t="s">
        <v>499</v>
      </c>
      <c r="F2321" s="3"/>
      <c r="G2321" s="3"/>
      <c r="H2321" s="3"/>
      <c r="I2321" s="3"/>
      <c r="J2321" s="3"/>
      <c r="K2321" s="3"/>
      <c r="L2321" s="3" t="s">
        <v>564</v>
      </c>
      <c r="M2321" s="3">
        <v>10</v>
      </c>
      <c r="N2321" s="3" t="s">
        <v>107</v>
      </c>
      <c r="O2321" s="3"/>
      <c r="P2321" s="3"/>
      <c r="Q2321" s="3">
        <v>1.2450000000000001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563</v>
      </c>
      <c r="C2322" s="3" t="s">
        <v>499</v>
      </c>
      <c r="D2322" s="3"/>
      <c r="E2322" s="3" t="s">
        <v>499</v>
      </c>
      <c r="F2322" s="3"/>
      <c r="G2322" s="3"/>
      <c r="H2322" s="3"/>
      <c r="I2322" s="3"/>
      <c r="J2322" s="3"/>
      <c r="K2322" s="3"/>
      <c r="L2322" s="3" t="s">
        <v>564</v>
      </c>
      <c r="M2322" s="3">
        <v>20</v>
      </c>
      <c r="N2322" s="3" t="s">
        <v>565</v>
      </c>
      <c r="O2322" s="3"/>
      <c r="P2322" s="3"/>
      <c r="Q2322" s="3">
        <v>1.2450000000000001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563</v>
      </c>
      <c r="C2323" s="3" t="s">
        <v>499</v>
      </c>
      <c r="D2323" s="3"/>
      <c r="E2323" s="3" t="s">
        <v>499</v>
      </c>
      <c r="F2323" s="3"/>
      <c r="G2323" s="3"/>
      <c r="H2323" s="3"/>
      <c r="I2323" s="3"/>
      <c r="J2323" s="3"/>
      <c r="K2323" s="3"/>
      <c r="L2323" s="3" t="s">
        <v>564</v>
      </c>
      <c r="M2323" s="3">
        <v>30</v>
      </c>
      <c r="N2323" s="3" t="s">
        <v>99</v>
      </c>
      <c r="O2323" s="3"/>
      <c r="P2323" s="3"/>
      <c r="Q2323" s="3">
        <v>0.35</v>
      </c>
      <c r="R2323" s="3" t="s">
        <v>100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563</v>
      </c>
      <c r="C2324" s="3" t="s">
        <v>499</v>
      </c>
      <c r="D2324" s="3"/>
      <c r="E2324" s="3" t="s">
        <v>499</v>
      </c>
      <c r="F2324" s="3"/>
      <c r="G2324" s="3"/>
      <c r="H2324" s="3"/>
      <c r="I2324" s="3"/>
      <c r="J2324" s="3"/>
      <c r="K2324" s="3"/>
      <c r="L2324" s="3" t="s">
        <v>564</v>
      </c>
      <c r="M2324" s="3">
        <v>40</v>
      </c>
      <c r="N2324" s="3" t="s">
        <v>108</v>
      </c>
      <c r="O2324" s="3"/>
      <c r="P2324" s="3"/>
      <c r="Q2324" s="3">
        <v>12.598000000000001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563</v>
      </c>
      <c r="C2325" s="3" t="s">
        <v>499</v>
      </c>
      <c r="D2325" s="3"/>
      <c r="E2325" s="3" t="s">
        <v>499</v>
      </c>
      <c r="F2325" s="3"/>
      <c r="G2325" s="3"/>
      <c r="H2325" s="3"/>
      <c r="I2325" s="3"/>
      <c r="J2325" s="3"/>
      <c r="K2325" s="3"/>
      <c r="L2325" s="3" t="s">
        <v>564</v>
      </c>
      <c r="M2325" s="3">
        <v>50</v>
      </c>
      <c r="N2325" s="3" t="s">
        <v>105</v>
      </c>
      <c r="O2325" s="3"/>
      <c r="P2325" s="3"/>
      <c r="Q2325" s="3">
        <v>77.48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563</v>
      </c>
      <c r="C2326" s="3" t="s">
        <v>499</v>
      </c>
      <c r="D2326" s="3"/>
      <c r="E2326" s="3" t="s">
        <v>499</v>
      </c>
      <c r="F2326" s="3"/>
      <c r="G2326" s="3"/>
      <c r="H2326" s="3"/>
      <c r="I2326" s="3"/>
      <c r="J2326" s="3"/>
      <c r="K2326" s="3"/>
      <c r="L2326" s="3" t="s">
        <v>564</v>
      </c>
      <c r="M2326" s="3">
        <v>60</v>
      </c>
      <c r="N2326" s="3" t="s">
        <v>106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563</v>
      </c>
      <c r="C2327" s="3" t="s">
        <v>499</v>
      </c>
      <c r="D2327" s="3"/>
      <c r="E2327" s="3" t="s">
        <v>499</v>
      </c>
      <c r="F2327" s="3"/>
      <c r="G2327" s="3"/>
      <c r="H2327" s="3"/>
      <c r="I2327" s="3"/>
      <c r="J2327" s="3"/>
      <c r="K2327" s="3"/>
      <c r="L2327" s="3" t="s">
        <v>564</v>
      </c>
      <c r="M2327" s="3">
        <v>70</v>
      </c>
      <c r="N2327" s="3" t="s">
        <v>104</v>
      </c>
      <c r="O2327" s="3"/>
      <c r="P2327" s="3"/>
      <c r="Q2327" s="3">
        <v>0.113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563</v>
      </c>
      <c r="C2328" s="3" t="s">
        <v>499</v>
      </c>
      <c r="D2328" s="3"/>
      <c r="E2328" s="3" t="s">
        <v>499</v>
      </c>
      <c r="F2328" s="3"/>
      <c r="G2328" s="3"/>
      <c r="H2328" s="3"/>
      <c r="I2328" s="3"/>
      <c r="J2328" s="3"/>
      <c r="K2328" s="3"/>
      <c r="L2328" s="3" t="s">
        <v>564</v>
      </c>
      <c r="M2328" s="3">
        <v>80</v>
      </c>
      <c r="N2328" s="3" t="s">
        <v>273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563</v>
      </c>
      <c r="C2329" s="3" t="s">
        <v>499</v>
      </c>
      <c r="D2329" s="3"/>
      <c r="E2329" s="3" t="s">
        <v>499</v>
      </c>
      <c r="F2329" s="3"/>
      <c r="G2329" s="3"/>
      <c r="H2329" s="3"/>
      <c r="I2329" s="3"/>
      <c r="J2329" s="3"/>
      <c r="K2329" s="3"/>
      <c r="L2329" s="3" t="s">
        <v>564</v>
      </c>
      <c r="M2329" s="3">
        <v>90</v>
      </c>
      <c r="N2329" s="3" t="s">
        <v>18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563</v>
      </c>
      <c r="C2330" s="3" t="s">
        <v>499</v>
      </c>
      <c r="D2330" s="3"/>
      <c r="E2330" s="3" t="s">
        <v>499</v>
      </c>
      <c r="F2330" s="3"/>
      <c r="G2330" s="3"/>
      <c r="H2330" s="3"/>
      <c r="I2330" s="3"/>
      <c r="J2330" s="3"/>
      <c r="K2330" s="3"/>
      <c r="L2330" s="3" t="s">
        <v>564</v>
      </c>
      <c r="M2330" s="3">
        <v>100</v>
      </c>
      <c r="N2330" s="3" t="s">
        <v>19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563</v>
      </c>
      <c r="C2331" s="3" t="s">
        <v>499</v>
      </c>
      <c r="D2331" s="3"/>
      <c r="E2331" s="3" t="s">
        <v>499</v>
      </c>
      <c r="F2331" s="3"/>
      <c r="G2331" s="3"/>
      <c r="H2331" s="3"/>
      <c r="I2331" s="3"/>
      <c r="J2331" s="3"/>
      <c r="K2331" s="3"/>
      <c r="L2331" s="3" t="s">
        <v>564</v>
      </c>
      <c r="M2331" s="3">
        <v>110</v>
      </c>
      <c r="N2331" s="3" t="s">
        <v>101</v>
      </c>
      <c r="O2331" s="3"/>
      <c r="P2331" s="3"/>
      <c r="Q2331" s="3">
        <v>0.42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563</v>
      </c>
      <c r="C2332" s="3" t="s">
        <v>499</v>
      </c>
      <c r="D2332" s="3"/>
      <c r="E2332" s="3" t="s">
        <v>499</v>
      </c>
      <c r="F2332" s="3"/>
      <c r="G2332" s="3"/>
      <c r="H2332" s="3"/>
      <c r="I2332" s="3"/>
      <c r="J2332" s="3"/>
      <c r="K2332" s="3"/>
      <c r="L2332" s="3" t="s">
        <v>564</v>
      </c>
      <c r="M2332" s="3">
        <v>120</v>
      </c>
      <c r="N2332" s="3" t="s">
        <v>500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563</v>
      </c>
      <c r="C2333" s="3" t="s">
        <v>501</v>
      </c>
      <c r="D2333" s="3"/>
      <c r="E2333" s="3" t="s">
        <v>501</v>
      </c>
      <c r="F2333" s="3"/>
      <c r="G2333" s="3"/>
      <c r="H2333" s="3"/>
      <c r="I2333" s="3"/>
      <c r="J2333" s="3"/>
      <c r="K2333" s="3"/>
      <c r="L2333" s="3" t="s">
        <v>564</v>
      </c>
      <c r="M2333" s="3">
        <v>10</v>
      </c>
      <c r="N2333" s="3" t="s">
        <v>107</v>
      </c>
      <c r="O2333" s="3"/>
      <c r="P2333" s="3"/>
      <c r="Q2333" s="3">
        <v>1.5489999999999999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563</v>
      </c>
      <c r="C2334" s="3" t="s">
        <v>501</v>
      </c>
      <c r="D2334" s="3"/>
      <c r="E2334" s="3" t="s">
        <v>501</v>
      </c>
      <c r="F2334" s="3"/>
      <c r="G2334" s="3"/>
      <c r="H2334" s="3"/>
      <c r="I2334" s="3"/>
      <c r="J2334" s="3"/>
      <c r="K2334" s="3"/>
      <c r="L2334" s="3" t="s">
        <v>564</v>
      </c>
      <c r="M2334" s="3">
        <v>20</v>
      </c>
      <c r="N2334" s="3" t="s">
        <v>565</v>
      </c>
      <c r="O2334" s="3"/>
      <c r="P2334" s="3"/>
      <c r="Q2334" s="3">
        <v>1.5489999999999999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563</v>
      </c>
      <c r="C2335" s="3" t="s">
        <v>501</v>
      </c>
      <c r="D2335" s="3"/>
      <c r="E2335" s="3" t="s">
        <v>501</v>
      </c>
      <c r="F2335" s="3"/>
      <c r="G2335" s="3"/>
      <c r="H2335" s="3"/>
      <c r="I2335" s="3"/>
      <c r="J2335" s="3"/>
      <c r="K2335" s="3"/>
      <c r="L2335" s="3" t="s">
        <v>564</v>
      </c>
      <c r="M2335" s="3">
        <v>30</v>
      </c>
      <c r="N2335" s="3" t="s">
        <v>99</v>
      </c>
      <c r="O2335" s="3"/>
      <c r="P2335" s="3"/>
      <c r="Q2335" s="3">
        <v>0.437</v>
      </c>
      <c r="R2335" s="3" t="s">
        <v>100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563</v>
      </c>
      <c r="C2336" s="3" t="s">
        <v>501</v>
      </c>
      <c r="D2336" s="3"/>
      <c r="E2336" s="3" t="s">
        <v>501</v>
      </c>
      <c r="F2336" s="3"/>
      <c r="G2336" s="3"/>
      <c r="H2336" s="3"/>
      <c r="I2336" s="3"/>
      <c r="J2336" s="3"/>
      <c r="K2336" s="3"/>
      <c r="L2336" s="3" t="s">
        <v>564</v>
      </c>
      <c r="M2336" s="3">
        <v>40</v>
      </c>
      <c r="N2336" s="3" t="s">
        <v>108</v>
      </c>
      <c r="O2336" s="3"/>
      <c r="P2336" s="3"/>
      <c r="Q2336" s="3">
        <v>13.818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563</v>
      </c>
      <c r="C2337" s="3" t="s">
        <v>501</v>
      </c>
      <c r="D2337" s="3"/>
      <c r="E2337" s="3" t="s">
        <v>501</v>
      </c>
      <c r="F2337" s="3"/>
      <c r="G2337" s="3"/>
      <c r="H2337" s="3"/>
      <c r="I2337" s="3"/>
      <c r="J2337" s="3"/>
      <c r="K2337" s="3"/>
      <c r="L2337" s="3" t="s">
        <v>564</v>
      </c>
      <c r="M2337" s="3">
        <v>50</v>
      </c>
      <c r="N2337" s="3" t="s">
        <v>105</v>
      </c>
      <c r="O2337" s="3"/>
      <c r="P2337" s="3"/>
      <c r="Q2337" s="3">
        <v>84.977999999999994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563</v>
      </c>
      <c r="C2338" s="3" t="s">
        <v>501</v>
      </c>
      <c r="D2338" s="3"/>
      <c r="E2338" s="3" t="s">
        <v>501</v>
      </c>
      <c r="F2338" s="3"/>
      <c r="G2338" s="3"/>
      <c r="H2338" s="3"/>
      <c r="I2338" s="3"/>
      <c r="J2338" s="3"/>
      <c r="K2338" s="3"/>
      <c r="L2338" s="3" t="s">
        <v>564</v>
      </c>
      <c r="M2338" s="3">
        <v>60</v>
      </c>
      <c r="N2338" s="3" t="s">
        <v>106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563</v>
      </c>
      <c r="C2339" s="3" t="s">
        <v>501</v>
      </c>
      <c r="D2339" s="3"/>
      <c r="E2339" s="3" t="s">
        <v>501</v>
      </c>
      <c r="F2339" s="3"/>
      <c r="G2339" s="3"/>
      <c r="H2339" s="3"/>
      <c r="I2339" s="3"/>
      <c r="J2339" s="3"/>
      <c r="K2339" s="3"/>
      <c r="L2339" s="3" t="s">
        <v>564</v>
      </c>
      <c r="M2339" s="3">
        <v>70</v>
      </c>
      <c r="N2339" s="3" t="s">
        <v>104</v>
      </c>
      <c r="O2339" s="3"/>
      <c r="P2339" s="3"/>
      <c r="Q2339" s="3">
        <v>0.13500000000000001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563</v>
      </c>
      <c r="C2340" s="3" t="s">
        <v>501</v>
      </c>
      <c r="D2340" s="3"/>
      <c r="E2340" s="3" t="s">
        <v>501</v>
      </c>
      <c r="F2340" s="3"/>
      <c r="G2340" s="3"/>
      <c r="H2340" s="3"/>
      <c r="I2340" s="3"/>
      <c r="J2340" s="3"/>
      <c r="K2340" s="3"/>
      <c r="L2340" s="3" t="s">
        <v>564</v>
      </c>
      <c r="M2340" s="3">
        <v>80</v>
      </c>
      <c r="N2340" s="3" t="s">
        <v>273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563</v>
      </c>
      <c r="C2341" s="3" t="s">
        <v>501</v>
      </c>
      <c r="D2341" s="3"/>
      <c r="E2341" s="3" t="s">
        <v>501</v>
      </c>
      <c r="F2341" s="3"/>
      <c r="G2341" s="3"/>
      <c r="H2341" s="3"/>
      <c r="I2341" s="3"/>
      <c r="J2341" s="3"/>
      <c r="K2341" s="3"/>
      <c r="L2341" s="3" t="s">
        <v>564</v>
      </c>
      <c r="M2341" s="3">
        <v>90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563</v>
      </c>
      <c r="C2342" s="3" t="s">
        <v>501</v>
      </c>
      <c r="D2342" s="3"/>
      <c r="E2342" s="3" t="s">
        <v>501</v>
      </c>
      <c r="F2342" s="3"/>
      <c r="G2342" s="3"/>
      <c r="H2342" s="3"/>
      <c r="I2342" s="3"/>
      <c r="J2342" s="3"/>
      <c r="K2342" s="3"/>
      <c r="L2342" s="3" t="s">
        <v>564</v>
      </c>
      <c r="M2342" s="3">
        <v>100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563</v>
      </c>
      <c r="C2343" s="3" t="s">
        <v>501</v>
      </c>
      <c r="D2343" s="3"/>
      <c r="E2343" s="3" t="s">
        <v>501</v>
      </c>
      <c r="F2343" s="3"/>
      <c r="G2343" s="3"/>
      <c r="H2343" s="3"/>
      <c r="I2343" s="3"/>
      <c r="J2343" s="3"/>
      <c r="K2343" s="3"/>
      <c r="L2343" s="3" t="s">
        <v>564</v>
      </c>
      <c r="M2343" s="3">
        <v>110</v>
      </c>
      <c r="N2343" s="3" t="s">
        <v>101</v>
      </c>
      <c r="O2343" s="3"/>
      <c r="P2343" s="3"/>
      <c r="Q2343" s="3">
        <v>0.51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563</v>
      </c>
      <c r="C2344" s="3" t="s">
        <v>501</v>
      </c>
      <c r="D2344" s="3"/>
      <c r="E2344" s="3" t="s">
        <v>501</v>
      </c>
      <c r="F2344" s="3"/>
      <c r="G2344" s="3"/>
      <c r="H2344" s="3"/>
      <c r="I2344" s="3"/>
      <c r="J2344" s="3"/>
      <c r="K2344" s="3"/>
      <c r="L2344" s="3" t="s">
        <v>564</v>
      </c>
      <c r="M2344" s="3">
        <v>120</v>
      </c>
      <c r="N2344" s="3" t="s">
        <v>502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563</v>
      </c>
      <c r="C2345" s="3" t="s">
        <v>503</v>
      </c>
      <c r="D2345" s="3"/>
      <c r="E2345" s="3" t="s">
        <v>503</v>
      </c>
      <c r="F2345" s="3"/>
      <c r="G2345" s="3"/>
      <c r="H2345" s="3"/>
      <c r="I2345" s="3"/>
      <c r="J2345" s="3"/>
      <c r="K2345" s="3"/>
      <c r="L2345" s="3" t="s">
        <v>564</v>
      </c>
      <c r="M2345" s="3">
        <v>10</v>
      </c>
      <c r="N2345" s="3" t="s">
        <v>107</v>
      </c>
      <c r="O2345" s="3"/>
      <c r="P2345" s="3"/>
      <c r="Q2345" s="3">
        <v>1.702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563</v>
      </c>
      <c r="C2346" s="3" t="s">
        <v>503</v>
      </c>
      <c r="D2346" s="3"/>
      <c r="E2346" s="3" t="s">
        <v>503</v>
      </c>
      <c r="F2346" s="3"/>
      <c r="G2346" s="3"/>
      <c r="H2346" s="3"/>
      <c r="I2346" s="3"/>
      <c r="J2346" s="3"/>
      <c r="K2346" s="3"/>
      <c r="L2346" s="3" t="s">
        <v>564</v>
      </c>
      <c r="M2346" s="3">
        <v>20</v>
      </c>
      <c r="N2346" s="3" t="s">
        <v>565</v>
      </c>
      <c r="O2346" s="3"/>
      <c r="P2346" s="3"/>
      <c r="Q2346" s="3">
        <v>1.702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563</v>
      </c>
      <c r="C2347" s="3" t="s">
        <v>503</v>
      </c>
      <c r="D2347" s="3"/>
      <c r="E2347" s="3" t="s">
        <v>503</v>
      </c>
      <c r="F2347" s="3"/>
      <c r="G2347" s="3"/>
      <c r="H2347" s="3"/>
      <c r="I2347" s="3"/>
      <c r="J2347" s="3"/>
      <c r="K2347" s="3"/>
      <c r="L2347" s="3" t="s">
        <v>564</v>
      </c>
      <c r="M2347" s="3">
        <v>30</v>
      </c>
      <c r="N2347" s="3" t="s">
        <v>99</v>
      </c>
      <c r="O2347" s="3"/>
      <c r="P2347" s="3"/>
      <c r="Q2347" s="3">
        <v>0.48099999999999998</v>
      </c>
      <c r="R2347" s="3" t="s">
        <v>100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563</v>
      </c>
      <c r="C2348" s="3" t="s">
        <v>503</v>
      </c>
      <c r="D2348" s="3"/>
      <c r="E2348" s="3" t="s">
        <v>503</v>
      </c>
      <c r="F2348" s="3"/>
      <c r="G2348" s="3"/>
      <c r="H2348" s="3"/>
      <c r="I2348" s="3"/>
      <c r="J2348" s="3"/>
      <c r="K2348" s="3"/>
      <c r="L2348" s="3" t="s">
        <v>564</v>
      </c>
      <c r="M2348" s="3">
        <v>40</v>
      </c>
      <c r="N2348" s="3" t="s">
        <v>108</v>
      </c>
      <c r="O2348" s="3"/>
      <c r="P2348" s="3"/>
      <c r="Q2348" s="3">
        <v>14.427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563</v>
      </c>
      <c r="C2349" s="3" t="s">
        <v>503</v>
      </c>
      <c r="D2349" s="3"/>
      <c r="E2349" s="3" t="s">
        <v>503</v>
      </c>
      <c r="F2349" s="3"/>
      <c r="G2349" s="3"/>
      <c r="H2349" s="3"/>
      <c r="I2349" s="3"/>
      <c r="J2349" s="3"/>
      <c r="K2349" s="3"/>
      <c r="L2349" s="3" t="s">
        <v>564</v>
      </c>
      <c r="M2349" s="3">
        <v>50</v>
      </c>
      <c r="N2349" s="3" t="s">
        <v>105</v>
      </c>
      <c r="O2349" s="3"/>
      <c r="P2349" s="3"/>
      <c r="Q2349" s="3">
        <v>88.727000000000004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563</v>
      </c>
      <c r="C2350" s="3" t="s">
        <v>503</v>
      </c>
      <c r="D2350" s="3"/>
      <c r="E2350" s="3" t="s">
        <v>503</v>
      </c>
      <c r="F2350" s="3"/>
      <c r="G2350" s="3"/>
      <c r="H2350" s="3"/>
      <c r="I2350" s="3"/>
      <c r="J2350" s="3"/>
      <c r="K2350" s="3"/>
      <c r="L2350" s="3" t="s">
        <v>564</v>
      </c>
      <c r="M2350" s="3">
        <v>60</v>
      </c>
      <c r="N2350" s="3" t="s">
        <v>106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563</v>
      </c>
      <c r="C2351" s="3" t="s">
        <v>503</v>
      </c>
      <c r="D2351" s="3"/>
      <c r="E2351" s="3" t="s">
        <v>503</v>
      </c>
      <c r="F2351" s="3"/>
      <c r="G2351" s="3"/>
      <c r="H2351" s="3"/>
      <c r="I2351" s="3"/>
      <c r="J2351" s="3"/>
      <c r="K2351" s="3"/>
      <c r="L2351" s="3" t="s">
        <v>564</v>
      </c>
      <c r="M2351" s="3">
        <v>70</v>
      </c>
      <c r="N2351" s="3" t="s">
        <v>104</v>
      </c>
      <c r="O2351" s="3"/>
      <c r="P2351" s="3"/>
      <c r="Q2351" s="3">
        <v>0.14699999999999999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563</v>
      </c>
      <c r="C2352" s="3" t="s">
        <v>503</v>
      </c>
      <c r="D2352" s="3"/>
      <c r="E2352" s="3" t="s">
        <v>503</v>
      </c>
      <c r="F2352" s="3"/>
      <c r="G2352" s="3"/>
      <c r="H2352" s="3"/>
      <c r="I2352" s="3"/>
      <c r="J2352" s="3"/>
      <c r="K2352" s="3"/>
      <c r="L2352" s="3" t="s">
        <v>564</v>
      </c>
      <c r="M2352" s="3">
        <v>80</v>
      </c>
      <c r="N2352" s="3" t="s">
        <v>273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563</v>
      </c>
      <c r="C2353" s="3" t="s">
        <v>503</v>
      </c>
      <c r="D2353" s="3"/>
      <c r="E2353" s="3" t="s">
        <v>503</v>
      </c>
      <c r="F2353" s="3"/>
      <c r="G2353" s="3"/>
      <c r="H2353" s="3"/>
      <c r="I2353" s="3"/>
      <c r="J2353" s="3"/>
      <c r="K2353" s="3"/>
      <c r="L2353" s="3" t="s">
        <v>564</v>
      </c>
      <c r="M2353" s="3">
        <v>90</v>
      </c>
      <c r="N2353" s="3" t="s">
        <v>18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563</v>
      </c>
      <c r="C2354" s="3" t="s">
        <v>503</v>
      </c>
      <c r="D2354" s="3"/>
      <c r="E2354" s="3" t="s">
        <v>503</v>
      </c>
      <c r="F2354" s="3"/>
      <c r="G2354" s="3"/>
      <c r="H2354" s="3"/>
      <c r="I2354" s="3"/>
      <c r="J2354" s="3"/>
      <c r="K2354" s="3"/>
      <c r="L2354" s="3" t="s">
        <v>564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563</v>
      </c>
      <c r="C2355" s="3" t="s">
        <v>503</v>
      </c>
      <c r="D2355" s="3"/>
      <c r="E2355" s="3" t="s">
        <v>503</v>
      </c>
      <c r="F2355" s="3"/>
      <c r="G2355" s="3"/>
      <c r="H2355" s="3"/>
      <c r="I2355" s="3"/>
      <c r="J2355" s="3"/>
      <c r="K2355" s="3"/>
      <c r="L2355" s="3" t="s">
        <v>564</v>
      </c>
      <c r="M2355" s="3">
        <v>110</v>
      </c>
      <c r="N2355" s="3" t="s">
        <v>101</v>
      </c>
      <c r="O2355" s="3"/>
      <c r="P2355" s="3"/>
      <c r="Q2355" s="3">
        <v>0.55500000000000005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563</v>
      </c>
      <c r="C2356" s="3" t="s">
        <v>503</v>
      </c>
      <c r="D2356" s="3"/>
      <c r="E2356" s="3" t="s">
        <v>503</v>
      </c>
      <c r="F2356" s="3"/>
      <c r="G2356" s="3"/>
      <c r="H2356" s="3"/>
      <c r="I2356" s="3"/>
      <c r="J2356" s="3"/>
      <c r="K2356" s="3"/>
      <c r="L2356" s="3" t="s">
        <v>564</v>
      </c>
      <c r="M2356" s="3">
        <v>120</v>
      </c>
      <c r="N2356" s="3" t="s">
        <v>504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563</v>
      </c>
      <c r="C2357" s="3" t="s">
        <v>505</v>
      </c>
      <c r="D2357" s="3"/>
      <c r="E2357" s="3" t="s">
        <v>505</v>
      </c>
      <c r="F2357" s="3"/>
      <c r="G2357" s="3"/>
      <c r="H2357" s="3"/>
      <c r="I2357" s="3"/>
      <c r="J2357" s="3"/>
      <c r="K2357" s="3"/>
      <c r="L2357" s="3" t="s">
        <v>564</v>
      </c>
      <c r="M2357" s="3">
        <v>10</v>
      </c>
      <c r="N2357" s="3" t="s">
        <v>107</v>
      </c>
      <c r="O2357" s="3"/>
      <c r="P2357" s="3"/>
      <c r="Q2357" s="3">
        <v>1.8540000000000001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563</v>
      </c>
      <c r="C2358" s="3" t="s">
        <v>505</v>
      </c>
      <c r="D2358" s="3"/>
      <c r="E2358" s="3" t="s">
        <v>505</v>
      </c>
      <c r="F2358" s="3"/>
      <c r="G2358" s="3"/>
      <c r="H2358" s="3"/>
      <c r="I2358" s="3"/>
      <c r="J2358" s="3"/>
      <c r="K2358" s="3"/>
      <c r="L2358" s="3" t="s">
        <v>564</v>
      </c>
      <c r="M2358" s="3">
        <v>20</v>
      </c>
      <c r="N2358" s="3" t="s">
        <v>565</v>
      </c>
      <c r="O2358" s="3"/>
      <c r="P2358" s="3"/>
      <c r="Q2358" s="3">
        <v>1.8540000000000001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563</v>
      </c>
      <c r="C2359" s="3" t="s">
        <v>505</v>
      </c>
      <c r="D2359" s="3"/>
      <c r="E2359" s="3" t="s">
        <v>505</v>
      </c>
      <c r="F2359" s="3"/>
      <c r="G2359" s="3"/>
      <c r="H2359" s="3"/>
      <c r="I2359" s="3"/>
      <c r="J2359" s="3"/>
      <c r="K2359" s="3"/>
      <c r="L2359" s="3" t="s">
        <v>564</v>
      </c>
      <c r="M2359" s="3">
        <v>30</v>
      </c>
      <c r="N2359" s="3" t="s">
        <v>99</v>
      </c>
      <c r="O2359" s="3"/>
      <c r="P2359" s="3"/>
      <c r="Q2359" s="3">
        <v>0.52500000000000002</v>
      </c>
      <c r="R2359" s="3" t="s">
        <v>100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563</v>
      </c>
      <c r="C2360" s="3" t="s">
        <v>505</v>
      </c>
      <c r="D2360" s="3"/>
      <c r="E2360" s="3" t="s">
        <v>505</v>
      </c>
      <c r="F2360" s="3"/>
      <c r="G2360" s="3"/>
      <c r="H2360" s="3"/>
      <c r="I2360" s="3"/>
      <c r="J2360" s="3"/>
      <c r="K2360" s="3"/>
      <c r="L2360" s="3" t="s">
        <v>564</v>
      </c>
      <c r="M2360" s="3">
        <v>40</v>
      </c>
      <c r="N2360" s="3" t="s">
        <v>108</v>
      </c>
      <c r="O2360" s="3"/>
      <c r="P2360" s="3"/>
      <c r="Q2360" s="3">
        <v>15.037000000000001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563</v>
      </c>
      <c r="C2361" s="3" t="s">
        <v>505</v>
      </c>
      <c r="D2361" s="3"/>
      <c r="E2361" s="3" t="s">
        <v>505</v>
      </c>
      <c r="F2361" s="3"/>
      <c r="G2361" s="3"/>
      <c r="H2361" s="3"/>
      <c r="I2361" s="3"/>
      <c r="J2361" s="3"/>
      <c r="K2361" s="3"/>
      <c r="L2361" s="3" t="s">
        <v>564</v>
      </c>
      <c r="M2361" s="3">
        <v>50</v>
      </c>
      <c r="N2361" s="3" t="s">
        <v>105</v>
      </c>
      <c r="O2361" s="3"/>
      <c r="P2361" s="3"/>
      <c r="Q2361" s="3">
        <v>92.475999999999999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563</v>
      </c>
      <c r="C2362" s="3" t="s">
        <v>505</v>
      </c>
      <c r="D2362" s="3"/>
      <c r="E2362" s="3" t="s">
        <v>505</v>
      </c>
      <c r="F2362" s="3"/>
      <c r="G2362" s="3"/>
      <c r="H2362" s="3"/>
      <c r="I2362" s="3"/>
      <c r="J2362" s="3"/>
      <c r="K2362" s="3"/>
      <c r="L2362" s="3" t="s">
        <v>564</v>
      </c>
      <c r="M2362" s="3">
        <v>60</v>
      </c>
      <c r="N2362" s="3" t="s">
        <v>106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563</v>
      </c>
      <c r="C2363" s="3" t="s">
        <v>505</v>
      </c>
      <c r="D2363" s="3"/>
      <c r="E2363" s="3" t="s">
        <v>505</v>
      </c>
      <c r="F2363" s="3"/>
      <c r="G2363" s="3"/>
      <c r="H2363" s="3"/>
      <c r="I2363" s="3"/>
      <c r="J2363" s="3"/>
      <c r="K2363" s="3"/>
      <c r="L2363" s="3" t="s">
        <v>564</v>
      </c>
      <c r="M2363" s="3">
        <v>70</v>
      </c>
      <c r="N2363" s="3" t="s">
        <v>104</v>
      </c>
      <c r="O2363" s="3"/>
      <c r="P2363" s="3"/>
      <c r="Q2363" s="3">
        <v>0.158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563</v>
      </c>
      <c r="C2364" s="3" t="s">
        <v>505</v>
      </c>
      <c r="D2364" s="3"/>
      <c r="E2364" s="3" t="s">
        <v>505</v>
      </c>
      <c r="F2364" s="3"/>
      <c r="G2364" s="3"/>
      <c r="H2364" s="3"/>
      <c r="I2364" s="3"/>
      <c r="J2364" s="3"/>
      <c r="K2364" s="3"/>
      <c r="L2364" s="3" t="s">
        <v>564</v>
      </c>
      <c r="M2364" s="3">
        <v>80</v>
      </c>
      <c r="N2364" s="3" t="s">
        <v>273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563</v>
      </c>
      <c r="C2365" s="3" t="s">
        <v>505</v>
      </c>
      <c r="D2365" s="3"/>
      <c r="E2365" s="3" t="s">
        <v>505</v>
      </c>
      <c r="F2365" s="3"/>
      <c r="G2365" s="3"/>
      <c r="H2365" s="3"/>
      <c r="I2365" s="3"/>
      <c r="J2365" s="3"/>
      <c r="K2365" s="3"/>
      <c r="L2365" s="3" t="s">
        <v>564</v>
      </c>
      <c r="M2365" s="3">
        <v>90</v>
      </c>
      <c r="N2365" s="3" t="s">
        <v>18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563</v>
      </c>
      <c r="C2366" s="3" t="s">
        <v>505</v>
      </c>
      <c r="D2366" s="3"/>
      <c r="E2366" s="3" t="s">
        <v>505</v>
      </c>
      <c r="F2366" s="3"/>
      <c r="G2366" s="3"/>
      <c r="H2366" s="3"/>
      <c r="I2366" s="3"/>
      <c r="J2366" s="3"/>
      <c r="K2366" s="3"/>
      <c r="L2366" s="3" t="s">
        <v>564</v>
      </c>
      <c r="M2366" s="3">
        <v>100</v>
      </c>
      <c r="N2366" s="3" t="s">
        <v>19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563</v>
      </c>
      <c r="C2367" s="3" t="s">
        <v>505</v>
      </c>
      <c r="D2367" s="3"/>
      <c r="E2367" s="3" t="s">
        <v>505</v>
      </c>
      <c r="F2367" s="3"/>
      <c r="G2367" s="3"/>
      <c r="H2367" s="3"/>
      <c r="I2367" s="3"/>
      <c r="J2367" s="3"/>
      <c r="K2367" s="3"/>
      <c r="L2367" s="3" t="s">
        <v>564</v>
      </c>
      <c r="M2367" s="3">
        <v>110</v>
      </c>
      <c r="N2367" s="3" t="s">
        <v>101</v>
      </c>
      <c r="O2367" s="3"/>
      <c r="P2367" s="3"/>
      <c r="Q2367" s="3">
        <v>0.60099999999999998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563</v>
      </c>
      <c r="C2368" s="3" t="s">
        <v>505</v>
      </c>
      <c r="D2368" s="3"/>
      <c r="E2368" s="3" t="s">
        <v>505</v>
      </c>
      <c r="F2368" s="3"/>
      <c r="G2368" s="3"/>
      <c r="H2368" s="3"/>
      <c r="I2368" s="3"/>
      <c r="J2368" s="3"/>
      <c r="K2368" s="3"/>
      <c r="L2368" s="3" t="s">
        <v>564</v>
      </c>
      <c r="M2368" s="3">
        <v>120</v>
      </c>
      <c r="N2368" s="3" t="s">
        <v>506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563</v>
      </c>
      <c r="C2369" s="3" t="s">
        <v>507</v>
      </c>
      <c r="D2369" s="3"/>
      <c r="E2369" s="3" t="s">
        <v>507</v>
      </c>
      <c r="F2369" s="3"/>
      <c r="G2369" s="3"/>
      <c r="H2369" s="3"/>
      <c r="I2369" s="3"/>
      <c r="J2369" s="3"/>
      <c r="K2369" s="3"/>
      <c r="L2369" s="3" t="s">
        <v>564</v>
      </c>
      <c r="M2369" s="3">
        <v>10</v>
      </c>
      <c r="N2369" s="3" t="s">
        <v>107</v>
      </c>
      <c r="O2369" s="3"/>
      <c r="P2369" s="3"/>
      <c r="Q2369" s="3">
        <v>0.78700000000000003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563</v>
      </c>
      <c r="C2370" s="3" t="s">
        <v>507</v>
      </c>
      <c r="D2370" s="3"/>
      <c r="E2370" s="3" t="s">
        <v>507</v>
      </c>
      <c r="F2370" s="3"/>
      <c r="G2370" s="3"/>
      <c r="H2370" s="3"/>
      <c r="I2370" s="3"/>
      <c r="J2370" s="3"/>
      <c r="K2370" s="3"/>
      <c r="L2370" s="3" t="s">
        <v>564</v>
      </c>
      <c r="M2370" s="3">
        <v>20</v>
      </c>
      <c r="N2370" s="3" t="s">
        <v>565</v>
      </c>
      <c r="O2370" s="3"/>
      <c r="P2370" s="3"/>
      <c r="Q2370" s="3">
        <v>0.78700000000000003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563</v>
      </c>
      <c r="C2371" s="3" t="s">
        <v>507</v>
      </c>
      <c r="D2371" s="3"/>
      <c r="E2371" s="3" t="s">
        <v>507</v>
      </c>
      <c r="F2371" s="3"/>
      <c r="G2371" s="3"/>
      <c r="H2371" s="3"/>
      <c r="I2371" s="3"/>
      <c r="J2371" s="3"/>
      <c r="K2371" s="3"/>
      <c r="L2371" s="3" t="s">
        <v>564</v>
      </c>
      <c r="M2371" s="3">
        <v>30</v>
      </c>
      <c r="N2371" s="3" t="s">
        <v>99</v>
      </c>
      <c r="O2371" s="3"/>
      <c r="P2371" s="3"/>
      <c r="Q2371" s="3">
        <v>0.22800000000000001</v>
      </c>
      <c r="R2371" s="3" t="s">
        <v>100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563</v>
      </c>
      <c r="C2372" s="3" t="s">
        <v>507</v>
      </c>
      <c r="D2372" s="3"/>
      <c r="E2372" s="3" t="s">
        <v>507</v>
      </c>
      <c r="F2372" s="3"/>
      <c r="G2372" s="3"/>
      <c r="H2372" s="3"/>
      <c r="I2372" s="3"/>
      <c r="J2372" s="3"/>
      <c r="K2372" s="3"/>
      <c r="L2372" s="3" t="s">
        <v>564</v>
      </c>
      <c r="M2372" s="3">
        <v>40</v>
      </c>
      <c r="N2372" s="3" t="s">
        <v>108</v>
      </c>
      <c r="O2372" s="3"/>
      <c r="P2372" s="3"/>
      <c r="Q2372" s="3">
        <v>11.074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563</v>
      </c>
      <c r="C2373" s="3" t="s">
        <v>507</v>
      </c>
      <c r="D2373" s="3"/>
      <c r="E2373" s="3" t="s">
        <v>507</v>
      </c>
      <c r="F2373" s="3"/>
      <c r="G2373" s="3"/>
      <c r="H2373" s="3"/>
      <c r="I2373" s="3"/>
      <c r="J2373" s="3"/>
      <c r="K2373" s="3"/>
      <c r="L2373" s="3" t="s">
        <v>564</v>
      </c>
      <c r="M2373" s="3">
        <v>50</v>
      </c>
      <c r="N2373" s="3" t="s">
        <v>105</v>
      </c>
      <c r="O2373" s="3"/>
      <c r="P2373" s="3"/>
      <c r="Q2373" s="3">
        <v>68.108000000000004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563</v>
      </c>
      <c r="C2374" s="3" t="s">
        <v>507</v>
      </c>
      <c r="D2374" s="3"/>
      <c r="E2374" s="3" t="s">
        <v>507</v>
      </c>
      <c r="F2374" s="3"/>
      <c r="G2374" s="3"/>
      <c r="H2374" s="3"/>
      <c r="I2374" s="3"/>
      <c r="J2374" s="3"/>
      <c r="K2374" s="3"/>
      <c r="L2374" s="3" t="s">
        <v>564</v>
      </c>
      <c r="M2374" s="3">
        <v>60</v>
      </c>
      <c r="N2374" s="3" t="s">
        <v>106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563</v>
      </c>
      <c r="C2375" s="3" t="s">
        <v>507</v>
      </c>
      <c r="D2375" s="3"/>
      <c r="E2375" s="3" t="s">
        <v>507</v>
      </c>
      <c r="F2375" s="3"/>
      <c r="G2375" s="3"/>
      <c r="H2375" s="3"/>
      <c r="I2375" s="3"/>
      <c r="J2375" s="3"/>
      <c r="K2375" s="3"/>
      <c r="L2375" s="3" t="s">
        <v>564</v>
      </c>
      <c r="M2375" s="3">
        <v>70</v>
      </c>
      <c r="N2375" s="3" t="s">
        <v>104</v>
      </c>
      <c r="O2375" s="3"/>
      <c r="P2375" s="3"/>
      <c r="Q2375" s="3">
        <v>7.9000000000000001E-2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563</v>
      </c>
      <c r="C2376" s="3" t="s">
        <v>507</v>
      </c>
      <c r="D2376" s="3"/>
      <c r="E2376" s="3" t="s">
        <v>507</v>
      </c>
      <c r="F2376" s="3"/>
      <c r="G2376" s="3"/>
      <c r="H2376" s="3"/>
      <c r="I2376" s="3"/>
      <c r="J2376" s="3"/>
      <c r="K2376" s="3"/>
      <c r="L2376" s="3" t="s">
        <v>564</v>
      </c>
      <c r="M2376" s="3">
        <v>80</v>
      </c>
      <c r="N2376" s="3" t="s">
        <v>273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563</v>
      </c>
      <c r="C2377" s="3" t="s">
        <v>507</v>
      </c>
      <c r="D2377" s="3"/>
      <c r="E2377" s="3" t="s">
        <v>507</v>
      </c>
      <c r="F2377" s="3"/>
      <c r="G2377" s="3"/>
      <c r="H2377" s="3"/>
      <c r="I2377" s="3"/>
      <c r="J2377" s="3"/>
      <c r="K2377" s="3"/>
      <c r="L2377" s="3" t="s">
        <v>564</v>
      </c>
      <c r="M2377" s="3">
        <v>90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563</v>
      </c>
      <c r="C2378" s="3" t="s">
        <v>507</v>
      </c>
      <c r="D2378" s="3"/>
      <c r="E2378" s="3" t="s">
        <v>507</v>
      </c>
      <c r="F2378" s="3"/>
      <c r="G2378" s="3"/>
      <c r="H2378" s="3"/>
      <c r="I2378" s="3"/>
      <c r="J2378" s="3"/>
      <c r="K2378" s="3"/>
      <c r="L2378" s="3" t="s">
        <v>564</v>
      </c>
      <c r="M2378" s="3">
        <v>100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563</v>
      </c>
      <c r="C2379" s="3" t="s">
        <v>507</v>
      </c>
      <c r="D2379" s="3"/>
      <c r="E2379" s="3" t="s">
        <v>507</v>
      </c>
      <c r="F2379" s="3"/>
      <c r="G2379" s="3"/>
      <c r="H2379" s="3"/>
      <c r="I2379" s="3"/>
      <c r="J2379" s="3"/>
      <c r="K2379" s="3"/>
      <c r="L2379" s="3" t="s">
        <v>564</v>
      </c>
      <c r="M2379" s="3">
        <v>110</v>
      </c>
      <c r="N2379" s="3" t="s">
        <v>101</v>
      </c>
      <c r="O2379" s="3"/>
      <c r="P2379" s="3"/>
      <c r="Q2379" s="3">
        <v>0.28499999999999998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563</v>
      </c>
      <c r="C2380" s="3" t="s">
        <v>507</v>
      </c>
      <c r="D2380" s="3"/>
      <c r="E2380" s="3" t="s">
        <v>507</v>
      </c>
      <c r="F2380" s="3"/>
      <c r="G2380" s="3"/>
      <c r="H2380" s="3"/>
      <c r="I2380" s="3"/>
      <c r="J2380" s="3"/>
      <c r="K2380" s="3"/>
      <c r="L2380" s="3" t="s">
        <v>564</v>
      </c>
      <c r="M2380" s="3">
        <v>120</v>
      </c>
      <c r="N2380" s="3" t="s">
        <v>508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563</v>
      </c>
      <c r="C2381" s="3" t="s">
        <v>509</v>
      </c>
      <c r="D2381" s="3"/>
      <c r="E2381" s="3" t="s">
        <v>509</v>
      </c>
      <c r="F2381" s="3"/>
      <c r="G2381" s="3"/>
      <c r="H2381" s="3"/>
      <c r="I2381" s="3"/>
      <c r="J2381" s="3"/>
      <c r="K2381" s="3"/>
      <c r="L2381" s="3" t="s">
        <v>564</v>
      </c>
      <c r="M2381" s="3">
        <v>10</v>
      </c>
      <c r="N2381" s="3" t="s">
        <v>107</v>
      </c>
      <c r="O2381" s="3"/>
      <c r="P2381" s="3"/>
      <c r="Q2381" s="3">
        <v>0.94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563</v>
      </c>
      <c r="C2382" s="3" t="s">
        <v>509</v>
      </c>
      <c r="D2382" s="3"/>
      <c r="E2382" s="3" t="s">
        <v>509</v>
      </c>
      <c r="F2382" s="3"/>
      <c r="G2382" s="3"/>
      <c r="H2382" s="3"/>
      <c r="I2382" s="3"/>
      <c r="J2382" s="3"/>
      <c r="K2382" s="3"/>
      <c r="L2382" s="3" t="s">
        <v>564</v>
      </c>
      <c r="M2382" s="3">
        <v>20</v>
      </c>
      <c r="N2382" s="3" t="s">
        <v>565</v>
      </c>
      <c r="O2382" s="3"/>
      <c r="P2382" s="3"/>
      <c r="Q2382" s="3">
        <v>0.94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563</v>
      </c>
      <c r="C2383" s="3" t="s">
        <v>509</v>
      </c>
      <c r="D2383" s="3"/>
      <c r="E2383" s="3" t="s">
        <v>509</v>
      </c>
      <c r="F2383" s="3"/>
      <c r="G2383" s="3"/>
      <c r="H2383" s="3"/>
      <c r="I2383" s="3"/>
      <c r="J2383" s="3"/>
      <c r="K2383" s="3"/>
      <c r="L2383" s="3" t="s">
        <v>564</v>
      </c>
      <c r="M2383" s="3">
        <v>30</v>
      </c>
      <c r="N2383" s="3" t="s">
        <v>99</v>
      </c>
      <c r="O2383" s="3"/>
      <c r="P2383" s="3"/>
      <c r="Q2383" s="3">
        <v>0.27300000000000002</v>
      </c>
      <c r="R2383" s="3" t="s">
        <v>100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563</v>
      </c>
      <c r="C2384" s="3" t="s">
        <v>509</v>
      </c>
      <c r="D2384" s="3"/>
      <c r="E2384" s="3" t="s">
        <v>509</v>
      </c>
      <c r="F2384" s="3"/>
      <c r="G2384" s="3"/>
      <c r="H2384" s="3"/>
      <c r="I2384" s="3"/>
      <c r="J2384" s="3"/>
      <c r="K2384" s="3"/>
      <c r="L2384" s="3" t="s">
        <v>564</v>
      </c>
      <c r="M2384" s="3">
        <v>40</v>
      </c>
      <c r="N2384" s="3" t="s">
        <v>108</v>
      </c>
      <c r="O2384" s="3"/>
      <c r="P2384" s="3"/>
      <c r="Q2384" s="3">
        <v>11.683999999999999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563</v>
      </c>
      <c r="C2385" s="3" t="s">
        <v>509</v>
      </c>
      <c r="D2385" s="3"/>
      <c r="E2385" s="3" t="s">
        <v>509</v>
      </c>
      <c r="F2385" s="3"/>
      <c r="G2385" s="3"/>
      <c r="H2385" s="3"/>
      <c r="I2385" s="3"/>
      <c r="J2385" s="3"/>
      <c r="K2385" s="3"/>
      <c r="L2385" s="3" t="s">
        <v>564</v>
      </c>
      <c r="M2385" s="3">
        <v>50</v>
      </c>
      <c r="N2385" s="3" t="s">
        <v>105</v>
      </c>
      <c r="O2385" s="3"/>
      <c r="P2385" s="3"/>
      <c r="Q2385" s="3">
        <v>71.856999999999999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563</v>
      </c>
      <c r="C2386" s="3" t="s">
        <v>509</v>
      </c>
      <c r="D2386" s="3"/>
      <c r="E2386" s="3" t="s">
        <v>509</v>
      </c>
      <c r="F2386" s="3"/>
      <c r="G2386" s="3"/>
      <c r="H2386" s="3"/>
      <c r="I2386" s="3"/>
      <c r="J2386" s="3"/>
      <c r="K2386" s="3"/>
      <c r="L2386" s="3" t="s">
        <v>564</v>
      </c>
      <c r="M2386" s="3">
        <v>60</v>
      </c>
      <c r="N2386" s="3" t="s">
        <v>106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563</v>
      </c>
      <c r="C2387" s="3" t="s">
        <v>509</v>
      </c>
      <c r="D2387" s="3"/>
      <c r="E2387" s="3" t="s">
        <v>509</v>
      </c>
      <c r="F2387" s="3"/>
      <c r="G2387" s="3"/>
      <c r="H2387" s="3"/>
      <c r="I2387" s="3"/>
      <c r="J2387" s="3"/>
      <c r="K2387" s="3"/>
      <c r="L2387" s="3" t="s">
        <v>564</v>
      </c>
      <c r="M2387" s="3">
        <v>70</v>
      </c>
      <c r="N2387" s="3" t="s">
        <v>104</v>
      </c>
      <c r="O2387" s="3"/>
      <c r="P2387" s="3"/>
      <c r="Q2387" s="3">
        <v>0.09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563</v>
      </c>
      <c r="C2388" s="3" t="s">
        <v>509</v>
      </c>
      <c r="D2388" s="3"/>
      <c r="E2388" s="3" t="s">
        <v>509</v>
      </c>
      <c r="F2388" s="3"/>
      <c r="G2388" s="3"/>
      <c r="H2388" s="3"/>
      <c r="I2388" s="3"/>
      <c r="J2388" s="3"/>
      <c r="K2388" s="3"/>
      <c r="L2388" s="3" t="s">
        <v>564</v>
      </c>
      <c r="M2388" s="3">
        <v>80</v>
      </c>
      <c r="N2388" s="3" t="s">
        <v>273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563</v>
      </c>
      <c r="C2389" s="3" t="s">
        <v>509</v>
      </c>
      <c r="D2389" s="3"/>
      <c r="E2389" s="3" t="s">
        <v>509</v>
      </c>
      <c r="F2389" s="3"/>
      <c r="G2389" s="3"/>
      <c r="H2389" s="3"/>
      <c r="I2389" s="3"/>
      <c r="J2389" s="3"/>
      <c r="K2389" s="3"/>
      <c r="L2389" s="3" t="s">
        <v>564</v>
      </c>
      <c r="M2389" s="3">
        <v>90</v>
      </c>
      <c r="N2389" s="3" t="s">
        <v>18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563</v>
      </c>
      <c r="C2390" s="3" t="s">
        <v>509</v>
      </c>
      <c r="D2390" s="3"/>
      <c r="E2390" s="3" t="s">
        <v>509</v>
      </c>
      <c r="F2390" s="3"/>
      <c r="G2390" s="3"/>
      <c r="H2390" s="3"/>
      <c r="I2390" s="3"/>
      <c r="J2390" s="3"/>
      <c r="K2390" s="3"/>
      <c r="L2390" s="3" t="s">
        <v>564</v>
      </c>
      <c r="M2390" s="3">
        <v>100</v>
      </c>
      <c r="N2390" s="3" t="s">
        <v>19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563</v>
      </c>
      <c r="C2391" s="3" t="s">
        <v>509</v>
      </c>
      <c r="D2391" s="3"/>
      <c r="E2391" s="3" t="s">
        <v>509</v>
      </c>
      <c r="F2391" s="3"/>
      <c r="G2391" s="3"/>
      <c r="H2391" s="3"/>
      <c r="I2391" s="3"/>
      <c r="J2391" s="3"/>
      <c r="K2391" s="3"/>
      <c r="L2391" s="3" t="s">
        <v>564</v>
      </c>
      <c r="M2391" s="3">
        <v>110</v>
      </c>
      <c r="N2391" s="3" t="s">
        <v>101</v>
      </c>
      <c r="O2391" s="3"/>
      <c r="P2391" s="3"/>
      <c r="Q2391" s="3">
        <v>0.33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563</v>
      </c>
      <c r="C2392" s="3" t="s">
        <v>509</v>
      </c>
      <c r="D2392" s="3"/>
      <c r="E2392" s="3" t="s">
        <v>509</v>
      </c>
      <c r="F2392" s="3"/>
      <c r="G2392" s="3"/>
      <c r="H2392" s="3"/>
      <c r="I2392" s="3"/>
      <c r="J2392" s="3"/>
      <c r="K2392" s="3"/>
      <c r="L2392" s="3" t="s">
        <v>564</v>
      </c>
      <c r="M2392" s="3">
        <v>120</v>
      </c>
      <c r="N2392" s="3" t="s">
        <v>510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563</v>
      </c>
      <c r="C2393" s="3" t="s">
        <v>511</v>
      </c>
      <c r="D2393" s="3"/>
      <c r="E2393" s="3" t="s">
        <v>511</v>
      </c>
      <c r="F2393" s="3"/>
      <c r="G2393" s="3"/>
      <c r="H2393" s="3"/>
      <c r="I2393" s="3"/>
      <c r="J2393" s="3"/>
      <c r="K2393" s="3"/>
      <c r="L2393" s="3" t="s">
        <v>564</v>
      </c>
      <c r="M2393" s="3">
        <v>10</v>
      </c>
      <c r="N2393" s="3" t="s">
        <v>107</v>
      </c>
      <c r="O2393" s="3"/>
      <c r="P2393" s="3"/>
      <c r="Q2393" s="3">
        <v>1.0920000000000001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563</v>
      </c>
      <c r="C2394" s="3" t="s">
        <v>511</v>
      </c>
      <c r="D2394" s="3"/>
      <c r="E2394" s="3" t="s">
        <v>511</v>
      </c>
      <c r="F2394" s="3"/>
      <c r="G2394" s="3"/>
      <c r="H2394" s="3"/>
      <c r="I2394" s="3"/>
      <c r="J2394" s="3"/>
      <c r="K2394" s="3"/>
      <c r="L2394" s="3" t="s">
        <v>564</v>
      </c>
      <c r="M2394" s="3">
        <v>20</v>
      </c>
      <c r="N2394" s="3" t="s">
        <v>565</v>
      </c>
      <c r="O2394" s="3"/>
      <c r="P2394" s="3"/>
      <c r="Q2394" s="3">
        <v>1.0920000000000001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563</v>
      </c>
      <c r="C2395" s="3" t="s">
        <v>511</v>
      </c>
      <c r="D2395" s="3"/>
      <c r="E2395" s="3" t="s">
        <v>511</v>
      </c>
      <c r="F2395" s="3"/>
      <c r="G2395" s="3"/>
      <c r="H2395" s="3"/>
      <c r="I2395" s="3"/>
      <c r="J2395" s="3"/>
      <c r="K2395" s="3"/>
      <c r="L2395" s="3" t="s">
        <v>564</v>
      </c>
      <c r="M2395" s="3">
        <v>30</v>
      </c>
      <c r="N2395" s="3" t="s">
        <v>99</v>
      </c>
      <c r="O2395" s="3"/>
      <c r="P2395" s="3"/>
      <c r="Q2395" s="3">
        <v>0.31900000000000001</v>
      </c>
      <c r="R2395" s="3" t="s">
        <v>100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563</v>
      </c>
      <c r="C2396" s="3" t="s">
        <v>511</v>
      </c>
      <c r="D2396" s="3"/>
      <c r="E2396" s="3" t="s">
        <v>511</v>
      </c>
      <c r="F2396" s="3"/>
      <c r="G2396" s="3"/>
      <c r="H2396" s="3"/>
      <c r="I2396" s="3"/>
      <c r="J2396" s="3"/>
      <c r="K2396" s="3"/>
      <c r="L2396" s="3" t="s">
        <v>564</v>
      </c>
      <c r="M2396" s="3">
        <v>40</v>
      </c>
      <c r="N2396" s="3" t="s">
        <v>108</v>
      </c>
      <c r="O2396" s="3"/>
      <c r="P2396" s="3"/>
      <c r="Q2396" s="3">
        <v>12.294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563</v>
      </c>
      <c r="C2397" s="3" t="s">
        <v>511</v>
      </c>
      <c r="D2397" s="3"/>
      <c r="E2397" s="3" t="s">
        <v>511</v>
      </c>
      <c r="F2397" s="3"/>
      <c r="G2397" s="3"/>
      <c r="H2397" s="3"/>
      <c r="I2397" s="3"/>
      <c r="J2397" s="3"/>
      <c r="K2397" s="3"/>
      <c r="L2397" s="3" t="s">
        <v>564</v>
      </c>
      <c r="M2397" s="3">
        <v>50</v>
      </c>
      <c r="N2397" s="3" t="s">
        <v>105</v>
      </c>
      <c r="O2397" s="3"/>
      <c r="P2397" s="3"/>
      <c r="Q2397" s="3">
        <v>75.605999999999995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563</v>
      </c>
      <c r="C2398" s="3" t="s">
        <v>511</v>
      </c>
      <c r="D2398" s="3"/>
      <c r="E2398" s="3" t="s">
        <v>511</v>
      </c>
      <c r="F2398" s="3"/>
      <c r="G2398" s="3"/>
      <c r="H2398" s="3"/>
      <c r="I2398" s="3"/>
      <c r="J2398" s="3"/>
      <c r="K2398" s="3"/>
      <c r="L2398" s="3" t="s">
        <v>564</v>
      </c>
      <c r="M2398" s="3">
        <v>60</v>
      </c>
      <c r="N2398" s="3" t="s">
        <v>106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563</v>
      </c>
      <c r="C2399" s="3" t="s">
        <v>511</v>
      </c>
      <c r="D2399" s="3"/>
      <c r="E2399" s="3" t="s">
        <v>511</v>
      </c>
      <c r="F2399" s="3"/>
      <c r="G2399" s="3"/>
      <c r="H2399" s="3"/>
      <c r="I2399" s="3"/>
      <c r="J2399" s="3"/>
      <c r="K2399" s="3"/>
      <c r="L2399" s="3" t="s">
        <v>564</v>
      </c>
      <c r="M2399" s="3">
        <v>70</v>
      </c>
      <c r="N2399" s="3" t="s">
        <v>104</v>
      </c>
      <c r="O2399" s="3"/>
      <c r="P2399" s="3"/>
      <c r="Q2399" s="3">
        <v>0.10100000000000001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563</v>
      </c>
      <c r="C2400" s="3" t="s">
        <v>511</v>
      </c>
      <c r="D2400" s="3"/>
      <c r="E2400" s="3" t="s">
        <v>511</v>
      </c>
      <c r="F2400" s="3"/>
      <c r="G2400" s="3"/>
      <c r="H2400" s="3"/>
      <c r="I2400" s="3"/>
      <c r="J2400" s="3"/>
      <c r="K2400" s="3"/>
      <c r="L2400" s="3" t="s">
        <v>564</v>
      </c>
      <c r="M2400" s="3">
        <v>80</v>
      </c>
      <c r="N2400" s="3" t="s">
        <v>273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563</v>
      </c>
      <c r="C2401" s="3" t="s">
        <v>511</v>
      </c>
      <c r="D2401" s="3"/>
      <c r="E2401" s="3" t="s">
        <v>511</v>
      </c>
      <c r="F2401" s="3"/>
      <c r="G2401" s="3"/>
      <c r="H2401" s="3"/>
      <c r="I2401" s="3"/>
      <c r="J2401" s="3"/>
      <c r="K2401" s="3"/>
      <c r="L2401" s="3" t="s">
        <v>564</v>
      </c>
      <c r="M2401" s="3">
        <v>90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563</v>
      </c>
      <c r="C2402" s="3" t="s">
        <v>511</v>
      </c>
      <c r="D2402" s="3"/>
      <c r="E2402" s="3" t="s">
        <v>511</v>
      </c>
      <c r="F2402" s="3"/>
      <c r="G2402" s="3"/>
      <c r="H2402" s="3"/>
      <c r="I2402" s="3"/>
      <c r="J2402" s="3"/>
      <c r="K2402" s="3"/>
      <c r="L2402" s="3" t="s">
        <v>564</v>
      </c>
      <c r="M2402" s="3">
        <v>100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563</v>
      </c>
      <c r="C2403" s="3" t="s">
        <v>511</v>
      </c>
      <c r="D2403" s="3"/>
      <c r="E2403" s="3" t="s">
        <v>511</v>
      </c>
      <c r="F2403" s="3"/>
      <c r="G2403" s="3"/>
      <c r="H2403" s="3"/>
      <c r="I2403" s="3"/>
      <c r="J2403" s="3"/>
      <c r="K2403" s="3"/>
      <c r="L2403" s="3" t="s">
        <v>564</v>
      </c>
      <c r="M2403" s="3">
        <v>110</v>
      </c>
      <c r="N2403" s="3" t="s">
        <v>101</v>
      </c>
      <c r="O2403" s="3"/>
      <c r="P2403" s="3"/>
      <c r="Q2403" s="3">
        <v>0.375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563</v>
      </c>
      <c r="C2404" s="3" t="s">
        <v>511</v>
      </c>
      <c r="D2404" s="3"/>
      <c r="E2404" s="3" t="s">
        <v>511</v>
      </c>
      <c r="F2404" s="3"/>
      <c r="G2404" s="3"/>
      <c r="H2404" s="3"/>
      <c r="I2404" s="3"/>
      <c r="J2404" s="3"/>
      <c r="K2404" s="3"/>
      <c r="L2404" s="3" t="s">
        <v>564</v>
      </c>
      <c r="M2404" s="3">
        <v>120</v>
      </c>
      <c r="N2404" s="3" t="s">
        <v>512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563</v>
      </c>
      <c r="C2405" s="3" t="s">
        <v>513</v>
      </c>
      <c r="D2405" s="3"/>
      <c r="E2405" s="3" t="s">
        <v>513</v>
      </c>
      <c r="F2405" s="3"/>
      <c r="G2405" s="3"/>
      <c r="H2405" s="3"/>
      <c r="I2405" s="3"/>
      <c r="J2405" s="3"/>
      <c r="K2405" s="3"/>
      <c r="L2405" s="3" t="s">
        <v>564</v>
      </c>
      <c r="M2405" s="3">
        <v>10</v>
      </c>
      <c r="N2405" s="3" t="s">
        <v>107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563</v>
      </c>
      <c r="C2406" s="3" t="s">
        <v>513</v>
      </c>
      <c r="D2406" s="3"/>
      <c r="E2406" s="3" t="s">
        <v>513</v>
      </c>
      <c r="F2406" s="3"/>
      <c r="G2406" s="3"/>
      <c r="H2406" s="3"/>
      <c r="I2406" s="3"/>
      <c r="J2406" s="3"/>
      <c r="K2406" s="3"/>
      <c r="L2406" s="3" t="s">
        <v>564</v>
      </c>
      <c r="M2406" s="3">
        <v>20</v>
      </c>
      <c r="N2406" s="3" t="s">
        <v>565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563</v>
      </c>
      <c r="C2407" s="3" t="s">
        <v>513</v>
      </c>
      <c r="D2407" s="3"/>
      <c r="E2407" s="3" t="s">
        <v>513</v>
      </c>
      <c r="F2407" s="3"/>
      <c r="G2407" s="3"/>
      <c r="H2407" s="3"/>
      <c r="I2407" s="3"/>
      <c r="J2407" s="3"/>
      <c r="K2407" s="3"/>
      <c r="L2407" s="3" t="s">
        <v>564</v>
      </c>
      <c r="M2407" s="3">
        <v>30</v>
      </c>
      <c r="N2407" s="3" t="s">
        <v>99</v>
      </c>
      <c r="O2407" s="3"/>
      <c r="P2407" s="3"/>
      <c r="Q2407" s="3">
        <v>0.36499999999999999</v>
      </c>
      <c r="R2407" s="3" t="s">
        <v>100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563</v>
      </c>
      <c r="C2408" s="3" t="s">
        <v>513</v>
      </c>
      <c r="D2408" s="3"/>
      <c r="E2408" s="3" t="s">
        <v>513</v>
      </c>
      <c r="F2408" s="3"/>
      <c r="G2408" s="3"/>
      <c r="H2408" s="3"/>
      <c r="I2408" s="3"/>
      <c r="J2408" s="3"/>
      <c r="K2408" s="3"/>
      <c r="L2408" s="3" t="s">
        <v>564</v>
      </c>
      <c r="M2408" s="3">
        <v>40</v>
      </c>
      <c r="N2408" s="3" t="s">
        <v>108</v>
      </c>
      <c r="O2408" s="3"/>
      <c r="P2408" s="3"/>
      <c r="Q2408" s="3">
        <v>12.903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563</v>
      </c>
      <c r="C2409" s="3" t="s">
        <v>513</v>
      </c>
      <c r="D2409" s="3"/>
      <c r="E2409" s="3" t="s">
        <v>513</v>
      </c>
      <c r="F2409" s="3"/>
      <c r="G2409" s="3"/>
      <c r="H2409" s="3"/>
      <c r="I2409" s="3"/>
      <c r="J2409" s="3"/>
      <c r="K2409" s="3"/>
      <c r="L2409" s="3" t="s">
        <v>564</v>
      </c>
      <c r="M2409" s="3">
        <v>50</v>
      </c>
      <c r="N2409" s="3" t="s">
        <v>105</v>
      </c>
      <c r="O2409" s="3"/>
      <c r="P2409" s="3"/>
      <c r="Q2409" s="3">
        <v>79.355000000000004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563</v>
      </c>
      <c r="C2410" s="3" t="s">
        <v>513</v>
      </c>
      <c r="D2410" s="3"/>
      <c r="E2410" s="3" t="s">
        <v>513</v>
      </c>
      <c r="F2410" s="3"/>
      <c r="G2410" s="3"/>
      <c r="H2410" s="3"/>
      <c r="I2410" s="3"/>
      <c r="J2410" s="3"/>
      <c r="K2410" s="3"/>
      <c r="L2410" s="3" t="s">
        <v>564</v>
      </c>
      <c r="M2410" s="3">
        <v>60</v>
      </c>
      <c r="N2410" s="3" t="s">
        <v>106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563</v>
      </c>
      <c r="C2411" s="3" t="s">
        <v>513</v>
      </c>
      <c r="D2411" s="3"/>
      <c r="E2411" s="3" t="s">
        <v>513</v>
      </c>
      <c r="F2411" s="3"/>
      <c r="G2411" s="3"/>
      <c r="H2411" s="3"/>
      <c r="I2411" s="3"/>
      <c r="J2411" s="3"/>
      <c r="K2411" s="3"/>
      <c r="L2411" s="3" t="s">
        <v>564</v>
      </c>
      <c r="M2411" s="3">
        <v>70</v>
      </c>
      <c r="N2411" s="3" t="s">
        <v>104</v>
      </c>
      <c r="O2411" s="3"/>
      <c r="P2411" s="3"/>
      <c r="Q2411" s="3">
        <v>0.113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563</v>
      </c>
      <c r="C2412" s="3" t="s">
        <v>513</v>
      </c>
      <c r="D2412" s="3"/>
      <c r="E2412" s="3" t="s">
        <v>513</v>
      </c>
      <c r="F2412" s="3"/>
      <c r="G2412" s="3"/>
      <c r="H2412" s="3"/>
      <c r="I2412" s="3"/>
      <c r="J2412" s="3"/>
      <c r="K2412" s="3"/>
      <c r="L2412" s="3" t="s">
        <v>564</v>
      </c>
      <c r="M2412" s="3">
        <v>80</v>
      </c>
      <c r="N2412" s="3" t="s">
        <v>273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563</v>
      </c>
      <c r="C2413" s="3" t="s">
        <v>513</v>
      </c>
      <c r="D2413" s="3"/>
      <c r="E2413" s="3" t="s">
        <v>513</v>
      </c>
      <c r="F2413" s="3"/>
      <c r="G2413" s="3"/>
      <c r="H2413" s="3"/>
      <c r="I2413" s="3"/>
      <c r="J2413" s="3"/>
      <c r="K2413" s="3"/>
      <c r="L2413" s="3" t="s">
        <v>564</v>
      </c>
      <c r="M2413" s="3">
        <v>90</v>
      </c>
      <c r="N2413" s="3" t="s">
        <v>18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563</v>
      </c>
      <c r="C2414" s="3" t="s">
        <v>513</v>
      </c>
      <c r="D2414" s="3"/>
      <c r="E2414" s="3" t="s">
        <v>513</v>
      </c>
      <c r="F2414" s="3"/>
      <c r="G2414" s="3"/>
      <c r="H2414" s="3"/>
      <c r="I2414" s="3"/>
      <c r="J2414" s="3"/>
      <c r="K2414" s="3"/>
      <c r="L2414" s="3" t="s">
        <v>564</v>
      </c>
      <c r="M2414" s="3">
        <v>100</v>
      </c>
      <c r="N2414" s="3" t="s">
        <v>19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563</v>
      </c>
      <c r="C2415" s="3" t="s">
        <v>513</v>
      </c>
      <c r="D2415" s="3"/>
      <c r="E2415" s="3" t="s">
        <v>513</v>
      </c>
      <c r="F2415" s="3"/>
      <c r="G2415" s="3"/>
      <c r="H2415" s="3"/>
      <c r="I2415" s="3"/>
      <c r="J2415" s="3"/>
      <c r="K2415" s="3"/>
      <c r="L2415" s="3" t="s">
        <v>564</v>
      </c>
      <c r="M2415" s="3">
        <v>110</v>
      </c>
      <c r="N2415" s="3" t="s">
        <v>101</v>
      </c>
      <c r="O2415" s="3"/>
      <c r="P2415" s="3"/>
      <c r="Q2415" s="3">
        <v>0.42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563</v>
      </c>
      <c r="C2416" s="3" t="s">
        <v>513</v>
      </c>
      <c r="D2416" s="3"/>
      <c r="E2416" s="3" t="s">
        <v>513</v>
      </c>
      <c r="F2416" s="3"/>
      <c r="G2416" s="3"/>
      <c r="H2416" s="3"/>
      <c r="I2416" s="3"/>
      <c r="J2416" s="3"/>
      <c r="K2416" s="3"/>
      <c r="L2416" s="3" t="s">
        <v>564</v>
      </c>
      <c r="M2416" s="3">
        <v>120</v>
      </c>
      <c r="N2416" s="3" t="s">
        <v>514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563</v>
      </c>
      <c r="C2417" s="3" t="s">
        <v>515</v>
      </c>
      <c r="D2417" s="3"/>
      <c r="E2417" s="3" t="s">
        <v>515</v>
      </c>
      <c r="F2417" s="3"/>
      <c r="G2417" s="3"/>
      <c r="H2417" s="3"/>
      <c r="I2417" s="3"/>
      <c r="J2417" s="3"/>
      <c r="K2417" s="3"/>
      <c r="L2417" s="3" t="s">
        <v>564</v>
      </c>
      <c r="M2417" s="3">
        <v>10</v>
      </c>
      <c r="N2417" s="3" t="s">
        <v>107</v>
      </c>
      <c r="O2417" s="3"/>
      <c r="P2417" s="3"/>
      <c r="Q2417" s="3">
        <v>1.5489999999999999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563</v>
      </c>
      <c r="C2418" s="3" t="s">
        <v>515</v>
      </c>
      <c r="D2418" s="3"/>
      <c r="E2418" s="3" t="s">
        <v>515</v>
      </c>
      <c r="F2418" s="3"/>
      <c r="G2418" s="3"/>
      <c r="H2418" s="3"/>
      <c r="I2418" s="3"/>
      <c r="J2418" s="3"/>
      <c r="K2418" s="3"/>
      <c r="L2418" s="3" t="s">
        <v>564</v>
      </c>
      <c r="M2418" s="3">
        <v>20</v>
      </c>
      <c r="N2418" s="3" t="s">
        <v>565</v>
      </c>
      <c r="O2418" s="3"/>
      <c r="P2418" s="3"/>
      <c r="Q2418" s="3">
        <v>1.5489999999999999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563</v>
      </c>
      <c r="C2419" s="3" t="s">
        <v>515</v>
      </c>
      <c r="D2419" s="3"/>
      <c r="E2419" s="3" t="s">
        <v>515</v>
      </c>
      <c r="F2419" s="3"/>
      <c r="G2419" s="3"/>
      <c r="H2419" s="3"/>
      <c r="I2419" s="3"/>
      <c r="J2419" s="3"/>
      <c r="K2419" s="3"/>
      <c r="L2419" s="3" t="s">
        <v>564</v>
      </c>
      <c r="M2419" s="3">
        <v>30</v>
      </c>
      <c r="N2419" s="3" t="s">
        <v>99</v>
      </c>
      <c r="O2419" s="3"/>
      <c r="P2419" s="3"/>
      <c r="Q2419" s="3">
        <v>0.45600000000000002</v>
      </c>
      <c r="R2419" s="3" t="s">
        <v>100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563</v>
      </c>
      <c r="C2420" s="3" t="s">
        <v>515</v>
      </c>
      <c r="D2420" s="3"/>
      <c r="E2420" s="3" t="s">
        <v>515</v>
      </c>
      <c r="F2420" s="3"/>
      <c r="G2420" s="3"/>
      <c r="H2420" s="3"/>
      <c r="I2420" s="3"/>
      <c r="J2420" s="3"/>
      <c r="K2420" s="3"/>
      <c r="L2420" s="3" t="s">
        <v>564</v>
      </c>
      <c r="M2420" s="3">
        <v>40</v>
      </c>
      <c r="N2420" s="3" t="s">
        <v>108</v>
      </c>
      <c r="O2420" s="3"/>
      <c r="P2420" s="3"/>
      <c r="Q2420" s="3">
        <v>14.122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563</v>
      </c>
      <c r="C2421" s="3" t="s">
        <v>515</v>
      </c>
      <c r="D2421" s="3"/>
      <c r="E2421" s="3" t="s">
        <v>515</v>
      </c>
      <c r="F2421" s="3"/>
      <c r="G2421" s="3"/>
      <c r="H2421" s="3"/>
      <c r="I2421" s="3"/>
      <c r="J2421" s="3"/>
      <c r="K2421" s="3"/>
      <c r="L2421" s="3" t="s">
        <v>564</v>
      </c>
      <c r="M2421" s="3">
        <v>50</v>
      </c>
      <c r="N2421" s="3" t="s">
        <v>105</v>
      </c>
      <c r="O2421" s="3"/>
      <c r="P2421" s="3"/>
      <c r="Q2421" s="3">
        <v>86.852999999999994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563</v>
      </c>
      <c r="C2422" s="3" t="s">
        <v>515</v>
      </c>
      <c r="D2422" s="3"/>
      <c r="E2422" s="3" t="s">
        <v>515</v>
      </c>
      <c r="F2422" s="3"/>
      <c r="G2422" s="3"/>
      <c r="H2422" s="3"/>
      <c r="I2422" s="3"/>
      <c r="J2422" s="3"/>
      <c r="K2422" s="3"/>
      <c r="L2422" s="3" t="s">
        <v>564</v>
      </c>
      <c r="M2422" s="3">
        <v>60</v>
      </c>
      <c r="N2422" s="3" t="s">
        <v>106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563</v>
      </c>
      <c r="C2423" s="3" t="s">
        <v>515</v>
      </c>
      <c r="D2423" s="3"/>
      <c r="E2423" s="3" t="s">
        <v>515</v>
      </c>
      <c r="F2423" s="3"/>
      <c r="G2423" s="3"/>
      <c r="H2423" s="3"/>
      <c r="I2423" s="3"/>
      <c r="J2423" s="3"/>
      <c r="K2423" s="3"/>
      <c r="L2423" s="3" t="s">
        <v>564</v>
      </c>
      <c r="M2423" s="3">
        <v>70</v>
      </c>
      <c r="N2423" s="3" t="s">
        <v>104</v>
      </c>
      <c r="O2423" s="3"/>
      <c r="P2423" s="3"/>
      <c r="Q2423" s="3">
        <v>0.13500000000000001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563</v>
      </c>
      <c r="C2424" s="3" t="s">
        <v>515</v>
      </c>
      <c r="D2424" s="3"/>
      <c r="E2424" s="3" t="s">
        <v>515</v>
      </c>
      <c r="F2424" s="3"/>
      <c r="G2424" s="3"/>
      <c r="H2424" s="3"/>
      <c r="I2424" s="3"/>
      <c r="J2424" s="3"/>
      <c r="K2424" s="3"/>
      <c r="L2424" s="3" t="s">
        <v>564</v>
      </c>
      <c r="M2424" s="3">
        <v>80</v>
      </c>
      <c r="N2424" s="3" t="s">
        <v>273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563</v>
      </c>
      <c r="C2425" s="3" t="s">
        <v>515</v>
      </c>
      <c r="D2425" s="3"/>
      <c r="E2425" s="3" t="s">
        <v>515</v>
      </c>
      <c r="F2425" s="3"/>
      <c r="G2425" s="3"/>
      <c r="H2425" s="3"/>
      <c r="I2425" s="3"/>
      <c r="J2425" s="3"/>
      <c r="K2425" s="3"/>
      <c r="L2425" s="3" t="s">
        <v>564</v>
      </c>
      <c r="M2425" s="3">
        <v>90</v>
      </c>
      <c r="N2425" s="3" t="s">
        <v>18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563</v>
      </c>
      <c r="C2426" s="3" t="s">
        <v>515</v>
      </c>
      <c r="D2426" s="3"/>
      <c r="E2426" s="3" t="s">
        <v>515</v>
      </c>
      <c r="F2426" s="3"/>
      <c r="G2426" s="3"/>
      <c r="H2426" s="3"/>
      <c r="I2426" s="3"/>
      <c r="J2426" s="3"/>
      <c r="K2426" s="3"/>
      <c r="L2426" s="3" t="s">
        <v>564</v>
      </c>
      <c r="M2426" s="3">
        <v>100</v>
      </c>
      <c r="N2426" s="3" t="s">
        <v>19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563</v>
      </c>
      <c r="C2427" s="3" t="s">
        <v>515</v>
      </c>
      <c r="D2427" s="3"/>
      <c r="E2427" s="3" t="s">
        <v>515</v>
      </c>
      <c r="F2427" s="3"/>
      <c r="G2427" s="3"/>
      <c r="H2427" s="3"/>
      <c r="I2427" s="3"/>
      <c r="J2427" s="3"/>
      <c r="K2427" s="3"/>
      <c r="L2427" s="3" t="s">
        <v>564</v>
      </c>
      <c r="M2427" s="3">
        <v>110</v>
      </c>
      <c r="N2427" s="3" t="s">
        <v>101</v>
      </c>
      <c r="O2427" s="3"/>
      <c r="P2427" s="3"/>
      <c r="Q2427" s="3">
        <v>0.51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563</v>
      </c>
      <c r="C2428" s="3" t="s">
        <v>515</v>
      </c>
      <c r="D2428" s="3"/>
      <c r="E2428" s="3" t="s">
        <v>515</v>
      </c>
      <c r="F2428" s="3"/>
      <c r="G2428" s="3"/>
      <c r="H2428" s="3"/>
      <c r="I2428" s="3"/>
      <c r="J2428" s="3"/>
      <c r="K2428" s="3"/>
      <c r="L2428" s="3" t="s">
        <v>564</v>
      </c>
      <c r="M2428" s="3">
        <v>120</v>
      </c>
      <c r="N2428" s="3" t="s">
        <v>516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563</v>
      </c>
      <c r="C2429" s="3" t="s">
        <v>517</v>
      </c>
      <c r="D2429" s="3"/>
      <c r="E2429" s="3" t="s">
        <v>517</v>
      </c>
      <c r="F2429" s="3"/>
      <c r="G2429" s="3"/>
      <c r="H2429" s="3"/>
      <c r="I2429" s="3"/>
      <c r="J2429" s="3"/>
      <c r="K2429" s="3"/>
      <c r="L2429" s="3" t="s">
        <v>564</v>
      </c>
      <c r="M2429" s="3">
        <v>10</v>
      </c>
      <c r="N2429" s="3" t="s">
        <v>107</v>
      </c>
      <c r="O2429" s="3"/>
      <c r="P2429" s="3"/>
      <c r="Q2429" s="3">
        <v>1.702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563</v>
      </c>
      <c r="C2430" s="3" t="s">
        <v>517</v>
      </c>
      <c r="D2430" s="3"/>
      <c r="E2430" s="3" t="s">
        <v>517</v>
      </c>
      <c r="F2430" s="3"/>
      <c r="G2430" s="3"/>
      <c r="H2430" s="3"/>
      <c r="I2430" s="3"/>
      <c r="J2430" s="3"/>
      <c r="K2430" s="3"/>
      <c r="L2430" s="3" t="s">
        <v>564</v>
      </c>
      <c r="M2430" s="3">
        <v>20</v>
      </c>
      <c r="N2430" s="3" t="s">
        <v>565</v>
      </c>
      <c r="O2430" s="3"/>
      <c r="P2430" s="3"/>
      <c r="Q2430" s="3">
        <v>1.702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563</v>
      </c>
      <c r="C2431" s="3" t="s">
        <v>517</v>
      </c>
      <c r="D2431" s="3"/>
      <c r="E2431" s="3" t="s">
        <v>517</v>
      </c>
      <c r="F2431" s="3"/>
      <c r="G2431" s="3"/>
      <c r="H2431" s="3"/>
      <c r="I2431" s="3"/>
      <c r="J2431" s="3"/>
      <c r="K2431" s="3"/>
      <c r="L2431" s="3" t="s">
        <v>564</v>
      </c>
      <c r="M2431" s="3">
        <v>30</v>
      </c>
      <c r="N2431" s="3" t="s">
        <v>99</v>
      </c>
      <c r="O2431" s="3"/>
      <c r="P2431" s="3"/>
      <c r="Q2431" s="3">
        <v>0.501</v>
      </c>
      <c r="R2431" s="3" t="s">
        <v>100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563</v>
      </c>
      <c r="C2432" s="3" t="s">
        <v>517</v>
      </c>
      <c r="D2432" s="3"/>
      <c r="E2432" s="3" t="s">
        <v>517</v>
      </c>
      <c r="F2432" s="3"/>
      <c r="G2432" s="3"/>
      <c r="H2432" s="3"/>
      <c r="I2432" s="3"/>
      <c r="J2432" s="3"/>
      <c r="K2432" s="3"/>
      <c r="L2432" s="3" t="s">
        <v>564</v>
      </c>
      <c r="M2432" s="3">
        <v>40</v>
      </c>
      <c r="N2432" s="3" t="s">
        <v>108</v>
      </c>
      <c r="O2432" s="3"/>
      <c r="P2432" s="3"/>
      <c r="Q2432" s="3">
        <v>14.731999999999999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563</v>
      </c>
      <c r="C2433" s="3" t="s">
        <v>517</v>
      </c>
      <c r="D2433" s="3"/>
      <c r="E2433" s="3" t="s">
        <v>517</v>
      </c>
      <c r="F2433" s="3"/>
      <c r="G2433" s="3"/>
      <c r="H2433" s="3"/>
      <c r="I2433" s="3"/>
      <c r="J2433" s="3"/>
      <c r="K2433" s="3"/>
      <c r="L2433" s="3" t="s">
        <v>564</v>
      </c>
      <c r="M2433" s="3">
        <v>50</v>
      </c>
      <c r="N2433" s="3" t="s">
        <v>105</v>
      </c>
      <c r="O2433" s="3"/>
      <c r="P2433" s="3"/>
      <c r="Q2433" s="3">
        <v>90.602000000000004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563</v>
      </c>
      <c r="C2434" s="3" t="s">
        <v>517</v>
      </c>
      <c r="D2434" s="3"/>
      <c r="E2434" s="3" t="s">
        <v>517</v>
      </c>
      <c r="F2434" s="3"/>
      <c r="G2434" s="3"/>
      <c r="H2434" s="3"/>
      <c r="I2434" s="3"/>
      <c r="J2434" s="3"/>
      <c r="K2434" s="3"/>
      <c r="L2434" s="3" t="s">
        <v>564</v>
      </c>
      <c r="M2434" s="3">
        <v>60</v>
      </c>
      <c r="N2434" s="3" t="s">
        <v>106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563</v>
      </c>
      <c r="C2435" s="3" t="s">
        <v>517</v>
      </c>
      <c r="D2435" s="3"/>
      <c r="E2435" s="3" t="s">
        <v>517</v>
      </c>
      <c r="F2435" s="3"/>
      <c r="G2435" s="3"/>
      <c r="H2435" s="3"/>
      <c r="I2435" s="3"/>
      <c r="J2435" s="3"/>
      <c r="K2435" s="3"/>
      <c r="L2435" s="3" t="s">
        <v>564</v>
      </c>
      <c r="M2435" s="3">
        <v>70</v>
      </c>
      <c r="N2435" s="3" t="s">
        <v>104</v>
      </c>
      <c r="O2435" s="3"/>
      <c r="P2435" s="3"/>
      <c r="Q2435" s="3">
        <v>0.14699999999999999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563</v>
      </c>
      <c r="C2436" s="3" t="s">
        <v>517</v>
      </c>
      <c r="D2436" s="3"/>
      <c r="E2436" s="3" t="s">
        <v>517</v>
      </c>
      <c r="F2436" s="3"/>
      <c r="G2436" s="3"/>
      <c r="H2436" s="3"/>
      <c r="I2436" s="3"/>
      <c r="J2436" s="3"/>
      <c r="K2436" s="3"/>
      <c r="L2436" s="3" t="s">
        <v>564</v>
      </c>
      <c r="M2436" s="3">
        <v>80</v>
      </c>
      <c r="N2436" s="3" t="s">
        <v>273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563</v>
      </c>
      <c r="C2437" s="3" t="s">
        <v>517</v>
      </c>
      <c r="D2437" s="3"/>
      <c r="E2437" s="3" t="s">
        <v>517</v>
      </c>
      <c r="F2437" s="3"/>
      <c r="G2437" s="3"/>
      <c r="H2437" s="3"/>
      <c r="I2437" s="3"/>
      <c r="J2437" s="3"/>
      <c r="K2437" s="3"/>
      <c r="L2437" s="3" t="s">
        <v>564</v>
      </c>
      <c r="M2437" s="3">
        <v>90</v>
      </c>
      <c r="N2437" s="3" t="s">
        <v>18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563</v>
      </c>
      <c r="C2438" s="3" t="s">
        <v>517</v>
      </c>
      <c r="D2438" s="3"/>
      <c r="E2438" s="3" t="s">
        <v>517</v>
      </c>
      <c r="F2438" s="3"/>
      <c r="G2438" s="3"/>
      <c r="H2438" s="3"/>
      <c r="I2438" s="3"/>
      <c r="J2438" s="3"/>
      <c r="K2438" s="3"/>
      <c r="L2438" s="3" t="s">
        <v>564</v>
      </c>
      <c r="M2438" s="3">
        <v>100</v>
      </c>
      <c r="N2438" s="3" t="s">
        <v>19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563</v>
      </c>
      <c r="C2439" s="3" t="s">
        <v>517</v>
      </c>
      <c r="D2439" s="3"/>
      <c r="E2439" s="3" t="s">
        <v>517</v>
      </c>
      <c r="F2439" s="3"/>
      <c r="G2439" s="3"/>
      <c r="H2439" s="3"/>
      <c r="I2439" s="3"/>
      <c r="J2439" s="3"/>
      <c r="K2439" s="3"/>
      <c r="L2439" s="3" t="s">
        <v>564</v>
      </c>
      <c r="M2439" s="3">
        <v>110</v>
      </c>
      <c r="N2439" s="3" t="s">
        <v>101</v>
      </c>
      <c r="O2439" s="3"/>
      <c r="P2439" s="3"/>
      <c r="Q2439" s="3">
        <v>0.55500000000000005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563</v>
      </c>
      <c r="C2440" s="3" t="s">
        <v>517</v>
      </c>
      <c r="D2440" s="3"/>
      <c r="E2440" s="3" t="s">
        <v>517</v>
      </c>
      <c r="F2440" s="3"/>
      <c r="G2440" s="3"/>
      <c r="H2440" s="3"/>
      <c r="I2440" s="3"/>
      <c r="J2440" s="3"/>
      <c r="K2440" s="3"/>
      <c r="L2440" s="3" t="s">
        <v>564</v>
      </c>
      <c r="M2440" s="3">
        <v>120</v>
      </c>
      <c r="N2440" s="3" t="s">
        <v>518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563</v>
      </c>
      <c r="C2441" s="3" t="s">
        <v>519</v>
      </c>
      <c r="D2441" s="3"/>
      <c r="E2441" s="3" t="s">
        <v>519</v>
      </c>
      <c r="F2441" s="3"/>
      <c r="G2441" s="3"/>
      <c r="H2441" s="3"/>
      <c r="I2441" s="3"/>
      <c r="J2441" s="3"/>
      <c r="K2441" s="3"/>
      <c r="L2441" s="3" t="s">
        <v>564</v>
      </c>
      <c r="M2441" s="3">
        <v>10</v>
      </c>
      <c r="N2441" s="3" t="s">
        <v>107</v>
      </c>
      <c r="O2441" s="3"/>
      <c r="P2441" s="3"/>
      <c r="Q2441" s="3">
        <v>1.8540000000000001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563</v>
      </c>
      <c r="C2442" s="3" t="s">
        <v>519</v>
      </c>
      <c r="D2442" s="3"/>
      <c r="E2442" s="3" t="s">
        <v>519</v>
      </c>
      <c r="F2442" s="3"/>
      <c r="G2442" s="3"/>
      <c r="H2442" s="3"/>
      <c r="I2442" s="3"/>
      <c r="J2442" s="3"/>
      <c r="K2442" s="3"/>
      <c r="L2442" s="3" t="s">
        <v>564</v>
      </c>
      <c r="M2442" s="3">
        <v>20</v>
      </c>
      <c r="N2442" s="3" t="s">
        <v>565</v>
      </c>
      <c r="O2442" s="3"/>
      <c r="P2442" s="3"/>
      <c r="Q2442" s="3">
        <v>1.8540000000000001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563</v>
      </c>
      <c r="C2443" s="3" t="s">
        <v>519</v>
      </c>
      <c r="D2443" s="3"/>
      <c r="E2443" s="3" t="s">
        <v>519</v>
      </c>
      <c r="F2443" s="3"/>
      <c r="G2443" s="3"/>
      <c r="H2443" s="3"/>
      <c r="I2443" s="3"/>
      <c r="J2443" s="3"/>
      <c r="K2443" s="3"/>
      <c r="L2443" s="3" t="s">
        <v>564</v>
      </c>
      <c r="M2443" s="3">
        <v>30</v>
      </c>
      <c r="N2443" s="3" t="s">
        <v>99</v>
      </c>
      <c r="O2443" s="3"/>
      <c r="P2443" s="3"/>
      <c r="Q2443" s="3">
        <v>0.54700000000000004</v>
      </c>
      <c r="R2443" s="3" t="s">
        <v>100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563</v>
      </c>
      <c r="C2444" s="3" t="s">
        <v>519</v>
      </c>
      <c r="D2444" s="3"/>
      <c r="E2444" s="3" t="s">
        <v>519</v>
      </c>
      <c r="F2444" s="3"/>
      <c r="G2444" s="3"/>
      <c r="H2444" s="3"/>
      <c r="I2444" s="3"/>
      <c r="J2444" s="3"/>
      <c r="K2444" s="3"/>
      <c r="L2444" s="3" t="s">
        <v>564</v>
      </c>
      <c r="M2444" s="3">
        <v>40</v>
      </c>
      <c r="N2444" s="3" t="s">
        <v>108</v>
      </c>
      <c r="O2444" s="3"/>
      <c r="P2444" s="3"/>
      <c r="Q2444" s="3">
        <v>15.342000000000001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563</v>
      </c>
      <c r="C2445" s="3" t="s">
        <v>519</v>
      </c>
      <c r="D2445" s="3"/>
      <c r="E2445" s="3" t="s">
        <v>519</v>
      </c>
      <c r="F2445" s="3"/>
      <c r="G2445" s="3"/>
      <c r="H2445" s="3"/>
      <c r="I2445" s="3"/>
      <c r="J2445" s="3"/>
      <c r="K2445" s="3"/>
      <c r="L2445" s="3" t="s">
        <v>564</v>
      </c>
      <c r="M2445" s="3">
        <v>50</v>
      </c>
      <c r="N2445" s="3" t="s">
        <v>105</v>
      </c>
      <c r="O2445" s="3"/>
      <c r="P2445" s="3"/>
      <c r="Q2445" s="3">
        <v>94.350999999999999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563</v>
      </c>
      <c r="C2446" s="3" t="s">
        <v>519</v>
      </c>
      <c r="D2446" s="3"/>
      <c r="E2446" s="3" t="s">
        <v>519</v>
      </c>
      <c r="F2446" s="3"/>
      <c r="G2446" s="3"/>
      <c r="H2446" s="3"/>
      <c r="I2446" s="3"/>
      <c r="J2446" s="3"/>
      <c r="K2446" s="3"/>
      <c r="L2446" s="3" t="s">
        <v>564</v>
      </c>
      <c r="M2446" s="3">
        <v>60</v>
      </c>
      <c r="N2446" s="3" t="s">
        <v>106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563</v>
      </c>
      <c r="C2447" s="3" t="s">
        <v>519</v>
      </c>
      <c r="D2447" s="3"/>
      <c r="E2447" s="3" t="s">
        <v>519</v>
      </c>
      <c r="F2447" s="3"/>
      <c r="G2447" s="3"/>
      <c r="H2447" s="3"/>
      <c r="I2447" s="3"/>
      <c r="J2447" s="3"/>
      <c r="K2447" s="3"/>
      <c r="L2447" s="3" t="s">
        <v>564</v>
      </c>
      <c r="M2447" s="3">
        <v>70</v>
      </c>
      <c r="N2447" s="3" t="s">
        <v>104</v>
      </c>
      <c r="O2447" s="3"/>
      <c r="P2447" s="3"/>
      <c r="Q2447" s="3">
        <v>0.158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563</v>
      </c>
      <c r="C2448" s="3" t="s">
        <v>519</v>
      </c>
      <c r="D2448" s="3"/>
      <c r="E2448" s="3" t="s">
        <v>519</v>
      </c>
      <c r="F2448" s="3"/>
      <c r="G2448" s="3"/>
      <c r="H2448" s="3"/>
      <c r="I2448" s="3"/>
      <c r="J2448" s="3"/>
      <c r="K2448" s="3"/>
      <c r="L2448" s="3" t="s">
        <v>564</v>
      </c>
      <c r="M2448" s="3">
        <v>80</v>
      </c>
      <c r="N2448" s="3" t="s">
        <v>273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563</v>
      </c>
      <c r="C2449" s="3" t="s">
        <v>519</v>
      </c>
      <c r="D2449" s="3"/>
      <c r="E2449" s="3" t="s">
        <v>519</v>
      </c>
      <c r="F2449" s="3"/>
      <c r="G2449" s="3"/>
      <c r="H2449" s="3"/>
      <c r="I2449" s="3"/>
      <c r="J2449" s="3"/>
      <c r="K2449" s="3"/>
      <c r="L2449" s="3" t="s">
        <v>564</v>
      </c>
      <c r="M2449" s="3">
        <v>90</v>
      </c>
      <c r="N2449" s="3" t="s">
        <v>18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563</v>
      </c>
      <c r="C2450" s="3" t="s">
        <v>519</v>
      </c>
      <c r="D2450" s="3"/>
      <c r="E2450" s="3" t="s">
        <v>519</v>
      </c>
      <c r="F2450" s="3"/>
      <c r="G2450" s="3"/>
      <c r="H2450" s="3"/>
      <c r="I2450" s="3"/>
      <c r="J2450" s="3"/>
      <c r="K2450" s="3"/>
      <c r="L2450" s="3" t="s">
        <v>564</v>
      </c>
      <c r="M2450" s="3">
        <v>100</v>
      </c>
      <c r="N2450" s="3" t="s">
        <v>19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563</v>
      </c>
      <c r="C2451" s="3" t="s">
        <v>519</v>
      </c>
      <c r="D2451" s="3"/>
      <c r="E2451" s="3" t="s">
        <v>519</v>
      </c>
      <c r="F2451" s="3"/>
      <c r="G2451" s="3"/>
      <c r="H2451" s="3"/>
      <c r="I2451" s="3"/>
      <c r="J2451" s="3"/>
      <c r="K2451" s="3"/>
      <c r="L2451" s="3" t="s">
        <v>564</v>
      </c>
      <c r="M2451" s="3">
        <v>110</v>
      </c>
      <c r="N2451" s="3" t="s">
        <v>101</v>
      </c>
      <c r="O2451" s="3"/>
      <c r="P2451" s="3"/>
      <c r="Q2451" s="3">
        <v>0.60099999999999998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563</v>
      </c>
      <c r="C2452" s="3" t="s">
        <v>519</v>
      </c>
      <c r="D2452" s="3"/>
      <c r="E2452" s="3" t="s">
        <v>519</v>
      </c>
      <c r="F2452" s="3"/>
      <c r="G2452" s="3"/>
      <c r="H2452" s="3"/>
      <c r="I2452" s="3"/>
      <c r="J2452" s="3"/>
      <c r="K2452" s="3"/>
      <c r="L2452" s="3" t="s">
        <v>564</v>
      </c>
      <c r="M2452" s="3">
        <v>120</v>
      </c>
      <c r="N2452" s="3" t="s">
        <v>520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563</v>
      </c>
      <c r="C2453" s="3" t="s">
        <v>521</v>
      </c>
      <c r="D2453" s="3"/>
      <c r="E2453" s="3" t="s">
        <v>521</v>
      </c>
      <c r="F2453" s="3"/>
      <c r="G2453" s="3"/>
      <c r="H2453" s="3"/>
      <c r="I2453" s="3"/>
      <c r="J2453" s="3"/>
      <c r="K2453" s="3"/>
      <c r="L2453" s="3" t="s">
        <v>564</v>
      </c>
      <c r="M2453" s="3">
        <v>10</v>
      </c>
      <c r="N2453" s="3" t="s">
        <v>107</v>
      </c>
      <c r="O2453" s="3"/>
      <c r="P2453" s="3"/>
      <c r="Q2453" s="3">
        <v>0.78700000000000003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563</v>
      </c>
      <c r="C2454" s="3" t="s">
        <v>521</v>
      </c>
      <c r="D2454" s="3"/>
      <c r="E2454" s="3" t="s">
        <v>521</v>
      </c>
      <c r="F2454" s="3"/>
      <c r="G2454" s="3"/>
      <c r="H2454" s="3"/>
      <c r="I2454" s="3"/>
      <c r="J2454" s="3"/>
      <c r="K2454" s="3"/>
      <c r="L2454" s="3" t="s">
        <v>564</v>
      </c>
      <c r="M2454" s="3">
        <v>20</v>
      </c>
      <c r="N2454" s="3" t="s">
        <v>565</v>
      </c>
      <c r="O2454" s="3"/>
      <c r="P2454" s="3"/>
      <c r="Q2454" s="3">
        <v>0.78700000000000003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563</v>
      </c>
      <c r="C2455" s="3" t="s">
        <v>521</v>
      </c>
      <c r="D2455" s="3"/>
      <c r="E2455" s="3" t="s">
        <v>521</v>
      </c>
      <c r="F2455" s="3"/>
      <c r="G2455" s="3"/>
      <c r="H2455" s="3"/>
      <c r="I2455" s="3"/>
      <c r="J2455" s="3"/>
      <c r="K2455" s="3"/>
      <c r="L2455" s="3" t="s">
        <v>564</v>
      </c>
      <c r="M2455" s="3">
        <v>30</v>
      </c>
      <c r="N2455" s="3" t="s">
        <v>99</v>
      </c>
      <c r="O2455" s="3"/>
      <c r="P2455" s="3"/>
      <c r="Q2455" s="3">
        <v>0.23699999999999999</v>
      </c>
      <c r="R2455" s="3" t="s">
        <v>100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563</v>
      </c>
      <c r="C2456" s="3" t="s">
        <v>521</v>
      </c>
      <c r="D2456" s="3"/>
      <c r="E2456" s="3" t="s">
        <v>521</v>
      </c>
      <c r="F2456" s="3"/>
      <c r="G2456" s="3"/>
      <c r="H2456" s="3"/>
      <c r="I2456" s="3"/>
      <c r="J2456" s="3"/>
      <c r="K2456" s="3"/>
      <c r="L2456" s="3" t="s">
        <v>564</v>
      </c>
      <c r="M2456" s="3">
        <v>40</v>
      </c>
      <c r="N2456" s="3" t="s">
        <v>108</v>
      </c>
      <c r="O2456" s="3"/>
      <c r="P2456" s="3"/>
      <c r="Q2456" s="3">
        <v>11.379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563</v>
      </c>
      <c r="C2457" s="3" t="s">
        <v>521</v>
      </c>
      <c r="D2457" s="3"/>
      <c r="E2457" s="3" t="s">
        <v>521</v>
      </c>
      <c r="F2457" s="3"/>
      <c r="G2457" s="3"/>
      <c r="H2457" s="3"/>
      <c r="I2457" s="3"/>
      <c r="J2457" s="3"/>
      <c r="K2457" s="3"/>
      <c r="L2457" s="3" t="s">
        <v>564</v>
      </c>
      <c r="M2457" s="3">
        <v>50</v>
      </c>
      <c r="N2457" s="3" t="s">
        <v>105</v>
      </c>
      <c r="O2457" s="3"/>
      <c r="P2457" s="3"/>
      <c r="Q2457" s="3">
        <v>69.981999999999999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563</v>
      </c>
      <c r="C2458" s="3" t="s">
        <v>521</v>
      </c>
      <c r="D2458" s="3"/>
      <c r="E2458" s="3" t="s">
        <v>521</v>
      </c>
      <c r="F2458" s="3"/>
      <c r="G2458" s="3"/>
      <c r="H2458" s="3"/>
      <c r="I2458" s="3"/>
      <c r="J2458" s="3"/>
      <c r="K2458" s="3"/>
      <c r="L2458" s="3" t="s">
        <v>564</v>
      </c>
      <c r="M2458" s="3">
        <v>60</v>
      </c>
      <c r="N2458" s="3" t="s">
        <v>106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563</v>
      </c>
      <c r="C2459" s="3" t="s">
        <v>521</v>
      </c>
      <c r="D2459" s="3"/>
      <c r="E2459" s="3" t="s">
        <v>521</v>
      </c>
      <c r="F2459" s="3"/>
      <c r="G2459" s="3"/>
      <c r="H2459" s="3"/>
      <c r="I2459" s="3"/>
      <c r="J2459" s="3"/>
      <c r="K2459" s="3"/>
      <c r="L2459" s="3" t="s">
        <v>564</v>
      </c>
      <c r="M2459" s="3">
        <v>70</v>
      </c>
      <c r="N2459" s="3" t="s">
        <v>104</v>
      </c>
      <c r="O2459" s="3"/>
      <c r="P2459" s="3"/>
      <c r="Q2459" s="3">
        <v>7.9000000000000001E-2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563</v>
      </c>
      <c r="C2460" s="3" t="s">
        <v>521</v>
      </c>
      <c r="D2460" s="3"/>
      <c r="E2460" s="3" t="s">
        <v>521</v>
      </c>
      <c r="F2460" s="3"/>
      <c r="G2460" s="3"/>
      <c r="H2460" s="3"/>
      <c r="I2460" s="3"/>
      <c r="J2460" s="3"/>
      <c r="K2460" s="3"/>
      <c r="L2460" s="3" t="s">
        <v>564</v>
      </c>
      <c r="M2460" s="3">
        <v>80</v>
      </c>
      <c r="N2460" s="3" t="s">
        <v>273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563</v>
      </c>
      <c r="C2461" s="3" t="s">
        <v>521</v>
      </c>
      <c r="D2461" s="3"/>
      <c r="E2461" s="3" t="s">
        <v>521</v>
      </c>
      <c r="F2461" s="3"/>
      <c r="G2461" s="3"/>
      <c r="H2461" s="3"/>
      <c r="I2461" s="3"/>
      <c r="J2461" s="3"/>
      <c r="K2461" s="3"/>
      <c r="L2461" s="3" t="s">
        <v>564</v>
      </c>
      <c r="M2461" s="3">
        <v>90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563</v>
      </c>
      <c r="C2462" s="3" t="s">
        <v>521</v>
      </c>
      <c r="D2462" s="3"/>
      <c r="E2462" s="3" t="s">
        <v>521</v>
      </c>
      <c r="F2462" s="3"/>
      <c r="G2462" s="3"/>
      <c r="H2462" s="3"/>
      <c r="I2462" s="3"/>
      <c r="J2462" s="3"/>
      <c r="K2462" s="3"/>
      <c r="L2462" s="3" t="s">
        <v>564</v>
      </c>
      <c r="M2462" s="3">
        <v>100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563</v>
      </c>
      <c r="C2463" s="3" t="s">
        <v>521</v>
      </c>
      <c r="D2463" s="3"/>
      <c r="E2463" s="3" t="s">
        <v>521</v>
      </c>
      <c r="F2463" s="3"/>
      <c r="G2463" s="3"/>
      <c r="H2463" s="3"/>
      <c r="I2463" s="3"/>
      <c r="J2463" s="3"/>
      <c r="K2463" s="3"/>
      <c r="L2463" s="3" t="s">
        <v>564</v>
      </c>
      <c r="M2463" s="3">
        <v>110</v>
      </c>
      <c r="N2463" s="3" t="s">
        <v>101</v>
      </c>
      <c r="O2463" s="3"/>
      <c r="P2463" s="3"/>
      <c r="Q2463" s="3">
        <v>0.28499999999999998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563</v>
      </c>
      <c r="C2464" s="3" t="s">
        <v>521</v>
      </c>
      <c r="D2464" s="3"/>
      <c r="E2464" s="3" t="s">
        <v>521</v>
      </c>
      <c r="F2464" s="3"/>
      <c r="G2464" s="3"/>
      <c r="H2464" s="3"/>
      <c r="I2464" s="3"/>
      <c r="J2464" s="3"/>
      <c r="K2464" s="3"/>
      <c r="L2464" s="3" t="s">
        <v>564</v>
      </c>
      <c r="M2464" s="3">
        <v>120</v>
      </c>
      <c r="N2464" s="3" t="s">
        <v>522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563</v>
      </c>
      <c r="C2465" s="3" t="s">
        <v>523</v>
      </c>
      <c r="D2465" s="3"/>
      <c r="E2465" s="3" t="s">
        <v>523</v>
      </c>
      <c r="F2465" s="3"/>
      <c r="G2465" s="3"/>
      <c r="H2465" s="3"/>
      <c r="I2465" s="3"/>
      <c r="J2465" s="3"/>
      <c r="K2465" s="3"/>
      <c r="L2465" s="3" t="s">
        <v>564</v>
      </c>
      <c r="M2465" s="3">
        <v>10</v>
      </c>
      <c r="N2465" s="3" t="s">
        <v>107</v>
      </c>
      <c r="O2465" s="3"/>
      <c r="P2465" s="3"/>
      <c r="Q2465" s="3">
        <v>0.94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563</v>
      </c>
      <c r="C2466" s="3" t="s">
        <v>523</v>
      </c>
      <c r="D2466" s="3"/>
      <c r="E2466" s="3" t="s">
        <v>523</v>
      </c>
      <c r="F2466" s="3"/>
      <c r="G2466" s="3"/>
      <c r="H2466" s="3"/>
      <c r="I2466" s="3"/>
      <c r="J2466" s="3"/>
      <c r="K2466" s="3"/>
      <c r="L2466" s="3" t="s">
        <v>564</v>
      </c>
      <c r="M2466" s="3">
        <v>20</v>
      </c>
      <c r="N2466" s="3" t="s">
        <v>565</v>
      </c>
      <c r="O2466" s="3"/>
      <c r="P2466" s="3"/>
      <c r="Q2466" s="3">
        <v>0.94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563</v>
      </c>
      <c r="C2467" s="3" t="s">
        <v>523</v>
      </c>
      <c r="D2467" s="3"/>
      <c r="E2467" s="3" t="s">
        <v>523</v>
      </c>
      <c r="F2467" s="3"/>
      <c r="G2467" s="3"/>
      <c r="H2467" s="3"/>
      <c r="I2467" s="3"/>
      <c r="J2467" s="3"/>
      <c r="K2467" s="3"/>
      <c r="L2467" s="3" t="s">
        <v>564</v>
      </c>
      <c r="M2467" s="3">
        <v>30</v>
      </c>
      <c r="N2467" s="3" t="s">
        <v>99</v>
      </c>
      <c r="O2467" s="3"/>
      <c r="P2467" s="3"/>
      <c r="Q2467" s="3">
        <v>0.28399999999999997</v>
      </c>
      <c r="R2467" s="3" t="s">
        <v>100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563</v>
      </c>
      <c r="C2468" s="3" t="s">
        <v>523</v>
      </c>
      <c r="D2468" s="3"/>
      <c r="E2468" s="3" t="s">
        <v>523</v>
      </c>
      <c r="F2468" s="3"/>
      <c r="G2468" s="3"/>
      <c r="H2468" s="3"/>
      <c r="I2468" s="3"/>
      <c r="J2468" s="3"/>
      <c r="K2468" s="3"/>
      <c r="L2468" s="3" t="s">
        <v>564</v>
      </c>
      <c r="M2468" s="3">
        <v>40</v>
      </c>
      <c r="N2468" s="3" t="s">
        <v>108</v>
      </c>
      <c r="O2468" s="3"/>
      <c r="P2468" s="3"/>
      <c r="Q2468" s="3">
        <v>11.989000000000001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563</v>
      </c>
      <c r="C2469" s="3" t="s">
        <v>523</v>
      </c>
      <c r="D2469" s="3"/>
      <c r="E2469" s="3" t="s">
        <v>523</v>
      </c>
      <c r="F2469" s="3"/>
      <c r="G2469" s="3"/>
      <c r="H2469" s="3"/>
      <c r="I2469" s="3"/>
      <c r="J2469" s="3"/>
      <c r="K2469" s="3"/>
      <c r="L2469" s="3" t="s">
        <v>564</v>
      </c>
      <c r="M2469" s="3">
        <v>50</v>
      </c>
      <c r="N2469" s="3" t="s">
        <v>105</v>
      </c>
      <c r="O2469" s="3"/>
      <c r="P2469" s="3"/>
      <c r="Q2469" s="3">
        <v>73.730999999999995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563</v>
      </c>
      <c r="C2470" s="3" t="s">
        <v>523</v>
      </c>
      <c r="D2470" s="3"/>
      <c r="E2470" s="3" t="s">
        <v>523</v>
      </c>
      <c r="F2470" s="3"/>
      <c r="G2470" s="3"/>
      <c r="H2470" s="3"/>
      <c r="I2470" s="3"/>
      <c r="J2470" s="3"/>
      <c r="K2470" s="3"/>
      <c r="L2470" s="3" t="s">
        <v>564</v>
      </c>
      <c r="M2470" s="3">
        <v>60</v>
      </c>
      <c r="N2470" s="3" t="s">
        <v>106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563</v>
      </c>
      <c r="C2471" s="3" t="s">
        <v>523</v>
      </c>
      <c r="D2471" s="3"/>
      <c r="E2471" s="3" t="s">
        <v>523</v>
      </c>
      <c r="F2471" s="3"/>
      <c r="G2471" s="3"/>
      <c r="H2471" s="3"/>
      <c r="I2471" s="3"/>
      <c r="J2471" s="3"/>
      <c r="K2471" s="3"/>
      <c r="L2471" s="3" t="s">
        <v>564</v>
      </c>
      <c r="M2471" s="3">
        <v>70</v>
      </c>
      <c r="N2471" s="3" t="s">
        <v>104</v>
      </c>
      <c r="O2471" s="3"/>
      <c r="P2471" s="3"/>
      <c r="Q2471" s="3">
        <v>0.09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563</v>
      </c>
      <c r="C2472" s="3" t="s">
        <v>523</v>
      </c>
      <c r="D2472" s="3"/>
      <c r="E2472" s="3" t="s">
        <v>523</v>
      </c>
      <c r="F2472" s="3"/>
      <c r="G2472" s="3"/>
      <c r="H2472" s="3"/>
      <c r="I2472" s="3"/>
      <c r="J2472" s="3"/>
      <c r="K2472" s="3"/>
      <c r="L2472" s="3" t="s">
        <v>564</v>
      </c>
      <c r="M2472" s="3">
        <v>80</v>
      </c>
      <c r="N2472" s="3" t="s">
        <v>273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563</v>
      </c>
      <c r="C2473" s="3" t="s">
        <v>523</v>
      </c>
      <c r="D2473" s="3"/>
      <c r="E2473" s="3" t="s">
        <v>523</v>
      </c>
      <c r="F2473" s="3"/>
      <c r="G2473" s="3"/>
      <c r="H2473" s="3"/>
      <c r="I2473" s="3"/>
      <c r="J2473" s="3"/>
      <c r="K2473" s="3"/>
      <c r="L2473" s="3" t="s">
        <v>564</v>
      </c>
      <c r="M2473" s="3">
        <v>90</v>
      </c>
      <c r="N2473" s="3" t="s">
        <v>18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563</v>
      </c>
      <c r="C2474" s="3" t="s">
        <v>523</v>
      </c>
      <c r="D2474" s="3"/>
      <c r="E2474" s="3" t="s">
        <v>523</v>
      </c>
      <c r="F2474" s="3"/>
      <c r="G2474" s="3"/>
      <c r="H2474" s="3"/>
      <c r="I2474" s="3"/>
      <c r="J2474" s="3"/>
      <c r="K2474" s="3"/>
      <c r="L2474" s="3" t="s">
        <v>564</v>
      </c>
      <c r="M2474" s="3">
        <v>100</v>
      </c>
      <c r="N2474" s="3" t="s">
        <v>19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563</v>
      </c>
      <c r="C2475" s="3" t="s">
        <v>523</v>
      </c>
      <c r="D2475" s="3"/>
      <c r="E2475" s="3" t="s">
        <v>523</v>
      </c>
      <c r="F2475" s="3"/>
      <c r="G2475" s="3"/>
      <c r="H2475" s="3"/>
      <c r="I2475" s="3"/>
      <c r="J2475" s="3"/>
      <c r="K2475" s="3"/>
      <c r="L2475" s="3" t="s">
        <v>564</v>
      </c>
      <c r="M2475" s="3">
        <v>110</v>
      </c>
      <c r="N2475" s="3" t="s">
        <v>101</v>
      </c>
      <c r="O2475" s="3"/>
      <c r="P2475" s="3"/>
      <c r="Q2475" s="3">
        <v>0.33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563</v>
      </c>
      <c r="C2476" s="3" t="s">
        <v>523</v>
      </c>
      <c r="D2476" s="3"/>
      <c r="E2476" s="3" t="s">
        <v>523</v>
      </c>
      <c r="F2476" s="3"/>
      <c r="G2476" s="3"/>
      <c r="H2476" s="3"/>
      <c r="I2476" s="3"/>
      <c r="J2476" s="3"/>
      <c r="K2476" s="3"/>
      <c r="L2476" s="3" t="s">
        <v>564</v>
      </c>
      <c r="M2476" s="3">
        <v>120</v>
      </c>
      <c r="N2476" s="3" t="s">
        <v>524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563</v>
      </c>
      <c r="C2477" s="3" t="s">
        <v>525</v>
      </c>
      <c r="D2477" s="3"/>
      <c r="E2477" s="3" t="s">
        <v>525</v>
      </c>
      <c r="F2477" s="3"/>
      <c r="G2477" s="3"/>
      <c r="H2477" s="3"/>
      <c r="I2477" s="3"/>
      <c r="J2477" s="3"/>
      <c r="K2477" s="3"/>
      <c r="L2477" s="3" t="s">
        <v>564</v>
      </c>
      <c r="M2477" s="3">
        <v>10</v>
      </c>
      <c r="N2477" s="3" t="s">
        <v>107</v>
      </c>
      <c r="O2477" s="3"/>
      <c r="P2477" s="3"/>
      <c r="Q2477" s="3">
        <v>1.0920000000000001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563</v>
      </c>
      <c r="C2478" s="3" t="s">
        <v>525</v>
      </c>
      <c r="D2478" s="3"/>
      <c r="E2478" s="3" t="s">
        <v>525</v>
      </c>
      <c r="F2478" s="3"/>
      <c r="G2478" s="3"/>
      <c r="H2478" s="3"/>
      <c r="I2478" s="3"/>
      <c r="J2478" s="3"/>
      <c r="K2478" s="3"/>
      <c r="L2478" s="3" t="s">
        <v>564</v>
      </c>
      <c r="M2478" s="3">
        <v>20</v>
      </c>
      <c r="N2478" s="3" t="s">
        <v>565</v>
      </c>
      <c r="O2478" s="3"/>
      <c r="P2478" s="3"/>
      <c r="Q2478" s="3">
        <v>1.0920000000000001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563</v>
      </c>
      <c r="C2479" s="3" t="s">
        <v>525</v>
      </c>
      <c r="D2479" s="3"/>
      <c r="E2479" s="3" t="s">
        <v>525</v>
      </c>
      <c r="F2479" s="3"/>
      <c r="G2479" s="3"/>
      <c r="H2479" s="3"/>
      <c r="I2479" s="3"/>
      <c r="J2479" s="3"/>
      <c r="K2479" s="3"/>
      <c r="L2479" s="3" t="s">
        <v>564</v>
      </c>
      <c r="M2479" s="3">
        <v>30</v>
      </c>
      <c r="N2479" s="3" t="s">
        <v>99</v>
      </c>
      <c r="O2479" s="3"/>
      <c r="P2479" s="3"/>
      <c r="Q2479" s="3">
        <v>0.33200000000000002</v>
      </c>
      <c r="R2479" s="3" t="s">
        <v>100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563</v>
      </c>
      <c r="C2480" s="3" t="s">
        <v>525</v>
      </c>
      <c r="D2480" s="3"/>
      <c r="E2480" s="3" t="s">
        <v>525</v>
      </c>
      <c r="F2480" s="3"/>
      <c r="G2480" s="3"/>
      <c r="H2480" s="3"/>
      <c r="I2480" s="3"/>
      <c r="J2480" s="3"/>
      <c r="K2480" s="3"/>
      <c r="L2480" s="3" t="s">
        <v>564</v>
      </c>
      <c r="M2480" s="3">
        <v>40</v>
      </c>
      <c r="N2480" s="3" t="s">
        <v>108</v>
      </c>
      <c r="O2480" s="3"/>
      <c r="P2480" s="3"/>
      <c r="Q2480" s="3">
        <v>12.598000000000001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563</v>
      </c>
      <c r="C2481" s="3" t="s">
        <v>525</v>
      </c>
      <c r="D2481" s="3"/>
      <c r="E2481" s="3" t="s">
        <v>525</v>
      </c>
      <c r="F2481" s="3"/>
      <c r="G2481" s="3"/>
      <c r="H2481" s="3"/>
      <c r="I2481" s="3"/>
      <c r="J2481" s="3"/>
      <c r="K2481" s="3"/>
      <c r="L2481" s="3" t="s">
        <v>564</v>
      </c>
      <c r="M2481" s="3">
        <v>50</v>
      </c>
      <c r="N2481" s="3" t="s">
        <v>105</v>
      </c>
      <c r="O2481" s="3"/>
      <c r="P2481" s="3"/>
      <c r="Q2481" s="3">
        <v>77.48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563</v>
      </c>
      <c r="C2482" s="3" t="s">
        <v>525</v>
      </c>
      <c r="D2482" s="3"/>
      <c r="E2482" s="3" t="s">
        <v>525</v>
      </c>
      <c r="F2482" s="3"/>
      <c r="G2482" s="3"/>
      <c r="H2482" s="3"/>
      <c r="I2482" s="3"/>
      <c r="J2482" s="3"/>
      <c r="K2482" s="3"/>
      <c r="L2482" s="3" t="s">
        <v>564</v>
      </c>
      <c r="M2482" s="3">
        <v>60</v>
      </c>
      <c r="N2482" s="3" t="s">
        <v>106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563</v>
      </c>
      <c r="C2483" s="3" t="s">
        <v>525</v>
      </c>
      <c r="D2483" s="3"/>
      <c r="E2483" s="3" t="s">
        <v>525</v>
      </c>
      <c r="F2483" s="3"/>
      <c r="G2483" s="3"/>
      <c r="H2483" s="3"/>
      <c r="I2483" s="3"/>
      <c r="J2483" s="3"/>
      <c r="K2483" s="3"/>
      <c r="L2483" s="3" t="s">
        <v>564</v>
      </c>
      <c r="M2483" s="3">
        <v>70</v>
      </c>
      <c r="N2483" s="3" t="s">
        <v>104</v>
      </c>
      <c r="O2483" s="3"/>
      <c r="P2483" s="3"/>
      <c r="Q2483" s="3">
        <v>0.10100000000000001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563</v>
      </c>
      <c r="C2484" s="3" t="s">
        <v>525</v>
      </c>
      <c r="D2484" s="3"/>
      <c r="E2484" s="3" t="s">
        <v>525</v>
      </c>
      <c r="F2484" s="3"/>
      <c r="G2484" s="3"/>
      <c r="H2484" s="3"/>
      <c r="I2484" s="3"/>
      <c r="J2484" s="3"/>
      <c r="K2484" s="3"/>
      <c r="L2484" s="3" t="s">
        <v>564</v>
      </c>
      <c r="M2484" s="3">
        <v>80</v>
      </c>
      <c r="N2484" s="3" t="s">
        <v>273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563</v>
      </c>
      <c r="C2485" s="3" t="s">
        <v>525</v>
      </c>
      <c r="D2485" s="3"/>
      <c r="E2485" s="3" t="s">
        <v>525</v>
      </c>
      <c r="F2485" s="3"/>
      <c r="G2485" s="3"/>
      <c r="H2485" s="3"/>
      <c r="I2485" s="3"/>
      <c r="J2485" s="3"/>
      <c r="K2485" s="3"/>
      <c r="L2485" s="3" t="s">
        <v>564</v>
      </c>
      <c r="M2485" s="3">
        <v>90</v>
      </c>
      <c r="N2485" s="3" t="s">
        <v>18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563</v>
      </c>
      <c r="C2486" s="3" t="s">
        <v>525</v>
      </c>
      <c r="D2486" s="3"/>
      <c r="E2486" s="3" t="s">
        <v>525</v>
      </c>
      <c r="F2486" s="3"/>
      <c r="G2486" s="3"/>
      <c r="H2486" s="3"/>
      <c r="I2486" s="3"/>
      <c r="J2486" s="3"/>
      <c r="K2486" s="3"/>
      <c r="L2486" s="3" t="s">
        <v>564</v>
      </c>
      <c r="M2486" s="3">
        <v>100</v>
      </c>
      <c r="N2486" s="3" t="s">
        <v>19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563</v>
      </c>
      <c r="C2487" s="3" t="s">
        <v>525</v>
      </c>
      <c r="D2487" s="3"/>
      <c r="E2487" s="3" t="s">
        <v>525</v>
      </c>
      <c r="F2487" s="3"/>
      <c r="G2487" s="3"/>
      <c r="H2487" s="3"/>
      <c r="I2487" s="3"/>
      <c r="J2487" s="3"/>
      <c r="K2487" s="3"/>
      <c r="L2487" s="3" t="s">
        <v>564</v>
      </c>
      <c r="M2487" s="3">
        <v>110</v>
      </c>
      <c r="N2487" s="3" t="s">
        <v>101</v>
      </c>
      <c r="O2487" s="3"/>
      <c r="P2487" s="3"/>
      <c r="Q2487" s="3">
        <v>0.375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563</v>
      </c>
      <c r="C2488" s="3" t="s">
        <v>525</v>
      </c>
      <c r="D2488" s="3"/>
      <c r="E2488" s="3" t="s">
        <v>525</v>
      </c>
      <c r="F2488" s="3"/>
      <c r="G2488" s="3"/>
      <c r="H2488" s="3"/>
      <c r="I2488" s="3"/>
      <c r="J2488" s="3"/>
      <c r="K2488" s="3"/>
      <c r="L2488" s="3" t="s">
        <v>564</v>
      </c>
      <c r="M2488" s="3">
        <v>120</v>
      </c>
      <c r="N2488" s="3" t="s">
        <v>526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563</v>
      </c>
      <c r="C2489" s="3" t="s">
        <v>527</v>
      </c>
      <c r="D2489" s="3"/>
      <c r="E2489" s="3" t="s">
        <v>527</v>
      </c>
      <c r="F2489" s="3"/>
      <c r="G2489" s="3"/>
      <c r="H2489" s="3"/>
      <c r="I2489" s="3"/>
      <c r="J2489" s="3"/>
      <c r="K2489" s="3"/>
      <c r="L2489" s="3" t="s">
        <v>564</v>
      </c>
      <c r="M2489" s="3">
        <v>10</v>
      </c>
      <c r="N2489" s="3" t="s">
        <v>107</v>
      </c>
      <c r="O2489" s="3"/>
      <c r="P2489" s="3"/>
      <c r="Q2489" s="3">
        <v>1.2450000000000001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563</v>
      </c>
      <c r="C2490" s="3" t="s">
        <v>527</v>
      </c>
      <c r="D2490" s="3"/>
      <c r="E2490" s="3" t="s">
        <v>527</v>
      </c>
      <c r="F2490" s="3"/>
      <c r="G2490" s="3"/>
      <c r="H2490" s="3"/>
      <c r="I2490" s="3"/>
      <c r="J2490" s="3"/>
      <c r="K2490" s="3"/>
      <c r="L2490" s="3" t="s">
        <v>564</v>
      </c>
      <c r="M2490" s="3">
        <v>20</v>
      </c>
      <c r="N2490" s="3" t="s">
        <v>565</v>
      </c>
      <c r="O2490" s="3"/>
      <c r="P2490" s="3"/>
      <c r="Q2490" s="3">
        <v>1.2450000000000001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563</v>
      </c>
      <c r="C2491" s="3" t="s">
        <v>527</v>
      </c>
      <c r="D2491" s="3"/>
      <c r="E2491" s="3" t="s">
        <v>527</v>
      </c>
      <c r="F2491" s="3"/>
      <c r="G2491" s="3"/>
      <c r="H2491" s="3"/>
      <c r="I2491" s="3"/>
      <c r="J2491" s="3"/>
      <c r="K2491" s="3"/>
      <c r="L2491" s="3" t="s">
        <v>564</v>
      </c>
      <c r="M2491" s="3">
        <v>30</v>
      </c>
      <c r="N2491" s="3" t="s">
        <v>99</v>
      </c>
      <c r="O2491" s="3"/>
      <c r="P2491" s="3"/>
      <c r="Q2491" s="3">
        <v>0.379</v>
      </c>
      <c r="R2491" s="3" t="s">
        <v>100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563</v>
      </c>
      <c r="C2492" s="3" t="s">
        <v>527</v>
      </c>
      <c r="D2492" s="3"/>
      <c r="E2492" s="3" t="s">
        <v>527</v>
      </c>
      <c r="F2492" s="3"/>
      <c r="G2492" s="3"/>
      <c r="H2492" s="3"/>
      <c r="I2492" s="3"/>
      <c r="J2492" s="3"/>
      <c r="K2492" s="3"/>
      <c r="L2492" s="3" t="s">
        <v>564</v>
      </c>
      <c r="M2492" s="3">
        <v>40</v>
      </c>
      <c r="N2492" s="3" t="s">
        <v>108</v>
      </c>
      <c r="O2492" s="3"/>
      <c r="P2492" s="3"/>
      <c r="Q2492" s="3">
        <v>13.208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563</v>
      </c>
      <c r="C2493" s="3" t="s">
        <v>527</v>
      </c>
      <c r="D2493" s="3"/>
      <c r="E2493" s="3" t="s">
        <v>527</v>
      </c>
      <c r="F2493" s="3"/>
      <c r="G2493" s="3"/>
      <c r="H2493" s="3"/>
      <c r="I2493" s="3"/>
      <c r="J2493" s="3"/>
      <c r="K2493" s="3"/>
      <c r="L2493" s="3" t="s">
        <v>564</v>
      </c>
      <c r="M2493" s="3">
        <v>50</v>
      </c>
      <c r="N2493" s="3" t="s">
        <v>105</v>
      </c>
      <c r="O2493" s="3"/>
      <c r="P2493" s="3"/>
      <c r="Q2493" s="3">
        <v>81.228999999999999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563</v>
      </c>
      <c r="C2494" s="3" t="s">
        <v>527</v>
      </c>
      <c r="D2494" s="3"/>
      <c r="E2494" s="3" t="s">
        <v>527</v>
      </c>
      <c r="F2494" s="3"/>
      <c r="G2494" s="3"/>
      <c r="H2494" s="3"/>
      <c r="I2494" s="3"/>
      <c r="J2494" s="3"/>
      <c r="K2494" s="3"/>
      <c r="L2494" s="3" t="s">
        <v>564</v>
      </c>
      <c r="M2494" s="3">
        <v>60</v>
      </c>
      <c r="N2494" s="3" t="s">
        <v>106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563</v>
      </c>
      <c r="C2495" s="3" t="s">
        <v>527</v>
      </c>
      <c r="D2495" s="3"/>
      <c r="E2495" s="3" t="s">
        <v>527</v>
      </c>
      <c r="F2495" s="3"/>
      <c r="G2495" s="3"/>
      <c r="H2495" s="3"/>
      <c r="I2495" s="3"/>
      <c r="J2495" s="3"/>
      <c r="K2495" s="3"/>
      <c r="L2495" s="3" t="s">
        <v>564</v>
      </c>
      <c r="M2495" s="3">
        <v>70</v>
      </c>
      <c r="N2495" s="3" t="s">
        <v>104</v>
      </c>
      <c r="O2495" s="3"/>
      <c r="P2495" s="3"/>
      <c r="Q2495" s="3">
        <v>0.113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563</v>
      </c>
      <c r="C2496" s="3" t="s">
        <v>527</v>
      </c>
      <c r="D2496" s="3"/>
      <c r="E2496" s="3" t="s">
        <v>527</v>
      </c>
      <c r="F2496" s="3"/>
      <c r="G2496" s="3"/>
      <c r="H2496" s="3"/>
      <c r="I2496" s="3"/>
      <c r="J2496" s="3"/>
      <c r="K2496" s="3"/>
      <c r="L2496" s="3" t="s">
        <v>564</v>
      </c>
      <c r="M2496" s="3">
        <v>80</v>
      </c>
      <c r="N2496" s="3" t="s">
        <v>273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563</v>
      </c>
      <c r="C2497" s="3" t="s">
        <v>527</v>
      </c>
      <c r="D2497" s="3"/>
      <c r="E2497" s="3" t="s">
        <v>527</v>
      </c>
      <c r="F2497" s="3"/>
      <c r="G2497" s="3"/>
      <c r="H2497" s="3"/>
      <c r="I2497" s="3"/>
      <c r="J2497" s="3"/>
      <c r="K2497" s="3"/>
      <c r="L2497" s="3" t="s">
        <v>564</v>
      </c>
      <c r="M2497" s="3">
        <v>90</v>
      </c>
      <c r="N2497" s="3" t="s">
        <v>18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563</v>
      </c>
      <c r="C2498" s="3" t="s">
        <v>527</v>
      </c>
      <c r="D2498" s="3"/>
      <c r="E2498" s="3" t="s">
        <v>527</v>
      </c>
      <c r="F2498" s="3"/>
      <c r="G2498" s="3"/>
      <c r="H2498" s="3"/>
      <c r="I2498" s="3"/>
      <c r="J2498" s="3"/>
      <c r="K2498" s="3"/>
      <c r="L2498" s="3" t="s">
        <v>564</v>
      </c>
      <c r="M2498" s="3">
        <v>100</v>
      </c>
      <c r="N2498" s="3" t="s">
        <v>19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563</v>
      </c>
      <c r="C2499" s="3" t="s">
        <v>527</v>
      </c>
      <c r="D2499" s="3"/>
      <c r="E2499" s="3" t="s">
        <v>527</v>
      </c>
      <c r="F2499" s="3"/>
      <c r="G2499" s="3"/>
      <c r="H2499" s="3"/>
      <c r="I2499" s="3"/>
      <c r="J2499" s="3"/>
      <c r="K2499" s="3"/>
      <c r="L2499" s="3" t="s">
        <v>564</v>
      </c>
      <c r="M2499" s="3">
        <v>110</v>
      </c>
      <c r="N2499" s="3" t="s">
        <v>101</v>
      </c>
      <c r="O2499" s="3"/>
      <c r="P2499" s="3"/>
      <c r="Q2499" s="3">
        <v>0.42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563</v>
      </c>
      <c r="C2500" s="3" t="s">
        <v>527</v>
      </c>
      <c r="D2500" s="3"/>
      <c r="E2500" s="3" t="s">
        <v>527</v>
      </c>
      <c r="F2500" s="3"/>
      <c r="G2500" s="3"/>
      <c r="H2500" s="3"/>
      <c r="I2500" s="3"/>
      <c r="J2500" s="3"/>
      <c r="K2500" s="3"/>
      <c r="L2500" s="3" t="s">
        <v>564</v>
      </c>
      <c r="M2500" s="3">
        <v>120</v>
      </c>
      <c r="N2500" s="3" t="s">
        <v>528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563</v>
      </c>
      <c r="C2501" s="3" t="s">
        <v>529</v>
      </c>
      <c r="D2501" s="3"/>
      <c r="E2501" s="3" t="s">
        <v>529</v>
      </c>
      <c r="F2501" s="3"/>
      <c r="G2501" s="3"/>
      <c r="H2501" s="3"/>
      <c r="I2501" s="3"/>
      <c r="J2501" s="3"/>
      <c r="K2501" s="3"/>
      <c r="L2501" s="3" t="s">
        <v>564</v>
      </c>
      <c r="M2501" s="3">
        <v>10</v>
      </c>
      <c r="N2501" s="3" t="s">
        <v>107</v>
      </c>
      <c r="O2501" s="3"/>
      <c r="P2501" s="3"/>
      <c r="Q2501" s="3">
        <v>1.5489999999999999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563</v>
      </c>
      <c r="C2502" s="3" t="s">
        <v>529</v>
      </c>
      <c r="D2502" s="3"/>
      <c r="E2502" s="3" t="s">
        <v>529</v>
      </c>
      <c r="F2502" s="3"/>
      <c r="G2502" s="3"/>
      <c r="H2502" s="3"/>
      <c r="I2502" s="3"/>
      <c r="J2502" s="3"/>
      <c r="K2502" s="3"/>
      <c r="L2502" s="3" t="s">
        <v>564</v>
      </c>
      <c r="M2502" s="3">
        <v>20</v>
      </c>
      <c r="N2502" s="3" t="s">
        <v>565</v>
      </c>
      <c r="O2502" s="3"/>
      <c r="P2502" s="3"/>
      <c r="Q2502" s="3">
        <v>1.5489999999999999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563</v>
      </c>
      <c r="C2503" s="3" t="s">
        <v>529</v>
      </c>
      <c r="D2503" s="3"/>
      <c r="E2503" s="3" t="s">
        <v>529</v>
      </c>
      <c r="F2503" s="3"/>
      <c r="G2503" s="3"/>
      <c r="H2503" s="3"/>
      <c r="I2503" s="3"/>
      <c r="J2503" s="3"/>
      <c r="K2503" s="3"/>
      <c r="L2503" s="3" t="s">
        <v>564</v>
      </c>
      <c r="M2503" s="3">
        <v>30</v>
      </c>
      <c r="N2503" s="3" t="s">
        <v>99</v>
      </c>
      <c r="O2503" s="3"/>
      <c r="P2503" s="3"/>
      <c r="Q2503" s="3">
        <v>0.47399999999999998</v>
      </c>
      <c r="R2503" s="3" t="s">
        <v>100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563</v>
      </c>
      <c r="C2504" s="3" t="s">
        <v>529</v>
      </c>
      <c r="D2504" s="3"/>
      <c r="E2504" s="3" t="s">
        <v>529</v>
      </c>
      <c r="F2504" s="3"/>
      <c r="G2504" s="3"/>
      <c r="H2504" s="3"/>
      <c r="I2504" s="3"/>
      <c r="J2504" s="3"/>
      <c r="K2504" s="3"/>
      <c r="L2504" s="3" t="s">
        <v>564</v>
      </c>
      <c r="M2504" s="3">
        <v>40</v>
      </c>
      <c r="N2504" s="3" t="s">
        <v>108</v>
      </c>
      <c r="O2504" s="3"/>
      <c r="P2504" s="3"/>
      <c r="Q2504" s="3">
        <v>14.427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563</v>
      </c>
      <c r="C2505" s="3" t="s">
        <v>529</v>
      </c>
      <c r="D2505" s="3"/>
      <c r="E2505" s="3" t="s">
        <v>529</v>
      </c>
      <c r="F2505" s="3"/>
      <c r="G2505" s="3"/>
      <c r="H2505" s="3"/>
      <c r="I2505" s="3"/>
      <c r="J2505" s="3"/>
      <c r="K2505" s="3"/>
      <c r="L2505" s="3" t="s">
        <v>564</v>
      </c>
      <c r="M2505" s="3">
        <v>50</v>
      </c>
      <c r="N2505" s="3" t="s">
        <v>105</v>
      </c>
      <c r="O2505" s="3"/>
      <c r="P2505" s="3"/>
      <c r="Q2505" s="3">
        <v>88.727000000000004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563</v>
      </c>
      <c r="C2506" s="3" t="s">
        <v>529</v>
      </c>
      <c r="D2506" s="3"/>
      <c r="E2506" s="3" t="s">
        <v>529</v>
      </c>
      <c r="F2506" s="3"/>
      <c r="G2506" s="3"/>
      <c r="H2506" s="3"/>
      <c r="I2506" s="3"/>
      <c r="J2506" s="3"/>
      <c r="K2506" s="3"/>
      <c r="L2506" s="3" t="s">
        <v>564</v>
      </c>
      <c r="M2506" s="3">
        <v>60</v>
      </c>
      <c r="N2506" s="3" t="s">
        <v>106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563</v>
      </c>
      <c r="C2507" s="3" t="s">
        <v>529</v>
      </c>
      <c r="D2507" s="3"/>
      <c r="E2507" s="3" t="s">
        <v>529</v>
      </c>
      <c r="F2507" s="3"/>
      <c r="G2507" s="3"/>
      <c r="H2507" s="3"/>
      <c r="I2507" s="3"/>
      <c r="J2507" s="3"/>
      <c r="K2507" s="3"/>
      <c r="L2507" s="3" t="s">
        <v>564</v>
      </c>
      <c r="M2507" s="3">
        <v>70</v>
      </c>
      <c r="N2507" s="3" t="s">
        <v>104</v>
      </c>
      <c r="O2507" s="3"/>
      <c r="P2507" s="3"/>
      <c r="Q2507" s="3">
        <v>0.13500000000000001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563</v>
      </c>
      <c r="C2508" s="3" t="s">
        <v>529</v>
      </c>
      <c r="D2508" s="3"/>
      <c r="E2508" s="3" t="s">
        <v>529</v>
      </c>
      <c r="F2508" s="3"/>
      <c r="G2508" s="3"/>
      <c r="H2508" s="3"/>
      <c r="I2508" s="3"/>
      <c r="J2508" s="3"/>
      <c r="K2508" s="3"/>
      <c r="L2508" s="3" t="s">
        <v>564</v>
      </c>
      <c r="M2508" s="3">
        <v>80</v>
      </c>
      <c r="N2508" s="3" t="s">
        <v>273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563</v>
      </c>
      <c r="C2509" s="3" t="s">
        <v>529</v>
      </c>
      <c r="D2509" s="3"/>
      <c r="E2509" s="3" t="s">
        <v>529</v>
      </c>
      <c r="F2509" s="3"/>
      <c r="G2509" s="3"/>
      <c r="H2509" s="3"/>
      <c r="I2509" s="3"/>
      <c r="J2509" s="3"/>
      <c r="K2509" s="3"/>
      <c r="L2509" s="3" t="s">
        <v>564</v>
      </c>
      <c r="M2509" s="3">
        <v>90</v>
      </c>
      <c r="N2509" s="3" t="s">
        <v>18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563</v>
      </c>
      <c r="C2510" s="3" t="s">
        <v>529</v>
      </c>
      <c r="D2510" s="3"/>
      <c r="E2510" s="3" t="s">
        <v>529</v>
      </c>
      <c r="F2510" s="3"/>
      <c r="G2510" s="3"/>
      <c r="H2510" s="3"/>
      <c r="I2510" s="3"/>
      <c r="J2510" s="3"/>
      <c r="K2510" s="3"/>
      <c r="L2510" s="3" t="s">
        <v>564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563</v>
      </c>
      <c r="C2511" s="3" t="s">
        <v>529</v>
      </c>
      <c r="D2511" s="3"/>
      <c r="E2511" s="3" t="s">
        <v>529</v>
      </c>
      <c r="F2511" s="3"/>
      <c r="G2511" s="3"/>
      <c r="H2511" s="3"/>
      <c r="I2511" s="3"/>
      <c r="J2511" s="3"/>
      <c r="K2511" s="3"/>
      <c r="L2511" s="3" t="s">
        <v>564</v>
      </c>
      <c r="M2511" s="3">
        <v>110</v>
      </c>
      <c r="N2511" s="3" t="s">
        <v>101</v>
      </c>
      <c r="O2511" s="3"/>
      <c r="P2511" s="3"/>
      <c r="Q2511" s="3">
        <v>0.51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563</v>
      </c>
      <c r="C2512" s="3" t="s">
        <v>529</v>
      </c>
      <c r="D2512" s="3"/>
      <c r="E2512" s="3" t="s">
        <v>529</v>
      </c>
      <c r="F2512" s="3"/>
      <c r="G2512" s="3"/>
      <c r="H2512" s="3"/>
      <c r="I2512" s="3"/>
      <c r="J2512" s="3"/>
      <c r="K2512" s="3"/>
      <c r="L2512" s="3" t="s">
        <v>564</v>
      </c>
      <c r="M2512" s="3">
        <v>120</v>
      </c>
      <c r="N2512" s="3" t="s">
        <v>530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563</v>
      </c>
      <c r="C2513" s="3" t="s">
        <v>531</v>
      </c>
      <c r="D2513" s="3"/>
      <c r="E2513" s="3" t="s">
        <v>531</v>
      </c>
      <c r="F2513" s="3"/>
      <c r="G2513" s="3"/>
      <c r="H2513" s="3"/>
      <c r="I2513" s="3"/>
      <c r="J2513" s="3"/>
      <c r="K2513" s="3"/>
      <c r="L2513" s="3" t="s">
        <v>564</v>
      </c>
      <c r="M2513" s="3">
        <v>10</v>
      </c>
      <c r="N2513" s="3" t="s">
        <v>107</v>
      </c>
      <c r="O2513" s="3"/>
      <c r="P2513" s="3"/>
      <c r="Q2513" s="3">
        <v>1.702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563</v>
      </c>
      <c r="C2514" s="3" t="s">
        <v>531</v>
      </c>
      <c r="D2514" s="3"/>
      <c r="E2514" s="3" t="s">
        <v>531</v>
      </c>
      <c r="F2514" s="3"/>
      <c r="G2514" s="3"/>
      <c r="H2514" s="3"/>
      <c r="I2514" s="3"/>
      <c r="J2514" s="3"/>
      <c r="K2514" s="3"/>
      <c r="L2514" s="3" t="s">
        <v>564</v>
      </c>
      <c r="M2514" s="3">
        <v>20</v>
      </c>
      <c r="N2514" s="3" t="s">
        <v>565</v>
      </c>
      <c r="O2514" s="3"/>
      <c r="P2514" s="3"/>
      <c r="Q2514" s="3">
        <v>1.702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563</v>
      </c>
      <c r="C2515" s="3" t="s">
        <v>531</v>
      </c>
      <c r="D2515" s="3"/>
      <c r="E2515" s="3" t="s">
        <v>531</v>
      </c>
      <c r="F2515" s="3"/>
      <c r="G2515" s="3"/>
      <c r="H2515" s="3"/>
      <c r="I2515" s="3"/>
      <c r="J2515" s="3"/>
      <c r="K2515" s="3"/>
      <c r="L2515" s="3" t="s">
        <v>564</v>
      </c>
      <c r="M2515" s="3">
        <v>30</v>
      </c>
      <c r="N2515" s="3" t="s">
        <v>99</v>
      </c>
      <c r="O2515" s="3"/>
      <c r="P2515" s="3"/>
      <c r="Q2515" s="3">
        <v>0.52100000000000002</v>
      </c>
      <c r="R2515" s="3" t="s">
        <v>100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563</v>
      </c>
      <c r="C2516" s="3" t="s">
        <v>531</v>
      </c>
      <c r="D2516" s="3"/>
      <c r="E2516" s="3" t="s">
        <v>531</v>
      </c>
      <c r="F2516" s="3"/>
      <c r="G2516" s="3"/>
      <c r="H2516" s="3"/>
      <c r="I2516" s="3"/>
      <c r="J2516" s="3"/>
      <c r="K2516" s="3"/>
      <c r="L2516" s="3" t="s">
        <v>564</v>
      </c>
      <c r="M2516" s="3">
        <v>40</v>
      </c>
      <c r="N2516" s="3" t="s">
        <v>108</v>
      </c>
      <c r="O2516" s="3"/>
      <c r="P2516" s="3"/>
      <c r="Q2516" s="3">
        <v>15.037000000000001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563</v>
      </c>
      <c r="C2517" s="3" t="s">
        <v>531</v>
      </c>
      <c r="D2517" s="3"/>
      <c r="E2517" s="3" t="s">
        <v>531</v>
      </c>
      <c r="F2517" s="3"/>
      <c r="G2517" s="3"/>
      <c r="H2517" s="3"/>
      <c r="I2517" s="3"/>
      <c r="J2517" s="3"/>
      <c r="K2517" s="3"/>
      <c r="L2517" s="3" t="s">
        <v>564</v>
      </c>
      <c r="M2517" s="3">
        <v>50</v>
      </c>
      <c r="N2517" s="3" t="s">
        <v>105</v>
      </c>
      <c r="O2517" s="3"/>
      <c r="P2517" s="3"/>
      <c r="Q2517" s="3">
        <v>92.475999999999999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563</v>
      </c>
      <c r="C2518" s="3" t="s">
        <v>531</v>
      </c>
      <c r="D2518" s="3"/>
      <c r="E2518" s="3" t="s">
        <v>531</v>
      </c>
      <c r="F2518" s="3"/>
      <c r="G2518" s="3"/>
      <c r="H2518" s="3"/>
      <c r="I2518" s="3"/>
      <c r="J2518" s="3"/>
      <c r="K2518" s="3"/>
      <c r="L2518" s="3" t="s">
        <v>564</v>
      </c>
      <c r="M2518" s="3">
        <v>60</v>
      </c>
      <c r="N2518" s="3" t="s">
        <v>106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563</v>
      </c>
      <c r="C2519" s="3" t="s">
        <v>531</v>
      </c>
      <c r="D2519" s="3"/>
      <c r="E2519" s="3" t="s">
        <v>531</v>
      </c>
      <c r="F2519" s="3"/>
      <c r="G2519" s="3"/>
      <c r="H2519" s="3"/>
      <c r="I2519" s="3"/>
      <c r="J2519" s="3"/>
      <c r="K2519" s="3"/>
      <c r="L2519" s="3" t="s">
        <v>564</v>
      </c>
      <c r="M2519" s="3">
        <v>70</v>
      </c>
      <c r="N2519" s="3" t="s">
        <v>104</v>
      </c>
      <c r="O2519" s="3"/>
      <c r="P2519" s="3"/>
      <c r="Q2519" s="3">
        <v>0.14699999999999999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563</v>
      </c>
      <c r="C2520" s="3" t="s">
        <v>531</v>
      </c>
      <c r="D2520" s="3"/>
      <c r="E2520" s="3" t="s">
        <v>531</v>
      </c>
      <c r="F2520" s="3"/>
      <c r="G2520" s="3"/>
      <c r="H2520" s="3"/>
      <c r="I2520" s="3"/>
      <c r="J2520" s="3"/>
      <c r="K2520" s="3"/>
      <c r="L2520" s="3" t="s">
        <v>564</v>
      </c>
      <c r="M2520" s="3">
        <v>80</v>
      </c>
      <c r="N2520" s="3" t="s">
        <v>273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563</v>
      </c>
      <c r="C2521" s="3" t="s">
        <v>531</v>
      </c>
      <c r="D2521" s="3"/>
      <c r="E2521" s="3" t="s">
        <v>531</v>
      </c>
      <c r="F2521" s="3"/>
      <c r="G2521" s="3"/>
      <c r="H2521" s="3"/>
      <c r="I2521" s="3"/>
      <c r="J2521" s="3"/>
      <c r="K2521" s="3"/>
      <c r="L2521" s="3" t="s">
        <v>564</v>
      </c>
      <c r="M2521" s="3">
        <v>90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563</v>
      </c>
      <c r="C2522" s="3" t="s">
        <v>531</v>
      </c>
      <c r="D2522" s="3"/>
      <c r="E2522" s="3" t="s">
        <v>531</v>
      </c>
      <c r="F2522" s="3"/>
      <c r="G2522" s="3"/>
      <c r="H2522" s="3"/>
      <c r="I2522" s="3"/>
      <c r="J2522" s="3"/>
      <c r="K2522" s="3"/>
      <c r="L2522" s="3" t="s">
        <v>564</v>
      </c>
      <c r="M2522" s="3">
        <v>100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563</v>
      </c>
      <c r="C2523" s="3" t="s">
        <v>531</v>
      </c>
      <c r="D2523" s="3"/>
      <c r="E2523" s="3" t="s">
        <v>531</v>
      </c>
      <c r="F2523" s="3"/>
      <c r="G2523" s="3"/>
      <c r="H2523" s="3"/>
      <c r="I2523" s="3"/>
      <c r="J2523" s="3"/>
      <c r="K2523" s="3"/>
      <c r="L2523" s="3" t="s">
        <v>564</v>
      </c>
      <c r="M2523" s="3">
        <v>110</v>
      </c>
      <c r="N2523" s="3" t="s">
        <v>101</v>
      </c>
      <c r="O2523" s="3"/>
      <c r="P2523" s="3"/>
      <c r="Q2523" s="3">
        <v>0.55500000000000005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563</v>
      </c>
      <c r="C2524" s="3" t="s">
        <v>531</v>
      </c>
      <c r="D2524" s="3"/>
      <c r="E2524" s="3" t="s">
        <v>531</v>
      </c>
      <c r="F2524" s="3"/>
      <c r="G2524" s="3"/>
      <c r="H2524" s="3"/>
      <c r="I2524" s="3"/>
      <c r="J2524" s="3"/>
      <c r="K2524" s="3"/>
      <c r="L2524" s="3" t="s">
        <v>564</v>
      </c>
      <c r="M2524" s="3">
        <v>120</v>
      </c>
      <c r="N2524" s="3" t="s">
        <v>532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563</v>
      </c>
      <c r="C2525" s="3" t="s">
        <v>533</v>
      </c>
      <c r="D2525" s="3"/>
      <c r="E2525" s="3" t="s">
        <v>533</v>
      </c>
      <c r="F2525" s="3"/>
      <c r="G2525" s="3"/>
      <c r="H2525" s="3"/>
      <c r="I2525" s="3"/>
      <c r="J2525" s="3"/>
      <c r="K2525" s="3"/>
      <c r="L2525" s="3" t="s">
        <v>564</v>
      </c>
      <c r="M2525" s="3">
        <v>10</v>
      </c>
      <c r="N2525" s="3" t="s">
        <v>107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563</v>
      </c>
      <c r="C2526" s="3" t="s">
        <v>533</v>
      </c>
      <c r="D2526" s="3"/>
      <c r="E2526" s="3" t="s">
        <v>533</v>
      </c>
      <c r="F2526" s="3"/>
      <c r="G2526" s="3"/>
      <c r="H2526" s="3"/>
      <c r="I2526" s="3"/>
      <c r="J2526" s="3"/>
      <c r="K2526" s="3"/>
      <c r="L2526" s="3" t="s">
        <v>564</v>
      </c>
      <c r="M2526" s="3">
        <v>20</v>
      </c>
      <c r="N2526" s="3" t="s">
        <v>565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563</v>
      </c>
      <c r="C2527" s="3" t="s">
        <v>533</v>
      </c>
      <c r="D2527" s="3"/>
      <c r="E2527" s="3" t="s">
        <v>533</v>
      </c>
      <c r="F2527" s="3"/>
      <c r="G2527" s="3"/>
      <c r="H2527" s="3"/>
      <c r="I2527" s="3"/>
      <c r="J2527" s="3"/>
      <c r="K2527" s="3"/>
      <c r="L2527" s="3" t="s">
        <v>564</v>
      </c>
      <c r="M2527" s="3">
        <v>30</v>
      </c>
      <c r="N2527" s="3" t="s">
        <v>99</v>
      </c>
      <c r="O2527" s="3"/>
      <c r="P2527" s="3"/>
      <c r="Q2527" s="3">
        <v>0.56899999999999995</v>
      </c>
      <c r="R2527" s="3" t="s">
        <v>100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563</v>
      </c>
      <c r="C2528" s="3" t="s">
        <v>533</v>
      </c>
      <c r="D2528" s="3"/>
      <c r="E2528" s="3" t="s">
        <v>533</v>
      </c>
      <c r="F2528" s="3"/>
      <c r="G2528" s="3"/>
      <c r="H2528" s="3"/>
      <c r="I2528" s="3"/>
      <c r="J2528" s="3"/>
      <c r="K2528" s="3"/>
      <c r="L2528" s="3" t="s">
        <v>564</v>
      </c>
      <c r="M2528" s="3">
        <v>40</v>
      </c>
      <c r="N2528" s="3" t="s">
        <v>108</v>
      </c>
      <c r="O2528" s="3"/>
      <c r="P2528" s="3"/>
      <c r="Q2528" s="3">
        <v>15.646000000000001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563</v>
      </c>
      <c r="C2529" s="3" t="s">
        <v>533</v>
      </c>
      <c r="D2529" s="3"/>
      <c r="E2529" s="3" t="s">
        <v>533</v>
      </c>
      <c r="F2529" s="3"/>
      <c r="G2529" s="3"/>
      <c r="H2529" s="3"/>
      <c r="I2529" s="3"/>
      <c r="J2529" s="3"/>
      <c r="K2529" s="3"/>
      <c r="L2529" s="3" t="s">
        <v>564</v>
      </c>
      <c r="M2529" s="3">
        <v>50</v>
      </c>
      <c r="N2529" s="3" t="s">
        <v>105</v>
      </c>
      <c r="O2529" s="3"/>
      <c r="P2529" s="3"/>
      <c r="Q2529" s="3">
        <v>96.224999999999994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563</v>
      </c>
      <c r="C2530" s="3" t="s">
        <v>533</v>
      </c>
      <c r="D2530" s="3"/>
      <c r="E2530" s="3" t="s">
        <v>533</v>
      </c>
      <c r="F2530" s="3"/>
      <c r="G2530" s="3"/>
      <c r="H2530" s="3"/>
      <c r="I2530" s="3"/>
      <c r="J2530" s="3"/>
      <c r="K2530" s="3"/>
      <c r="L2530" s="3" t="s">
        <v>564</v>
      </c>
      <c r="M2530" s="3">
        <v>60</v>
      </c>
      <c r="N2530" s="3" t="s">
        <v>106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563</v>
      </c>
      <c r="C2531" s="3" t="s">
        <v>533</v>
      </c>
      <c r="D2531" s="3"/>
      <c r="E2531" s="3" t="s">
        <v>533</v>
      </c>
      <c r="F2531" s="3"/>
      <c r="G2531" s="3"/>
      <c r="H2531" s="3"/>
      <c r="I2531" s="3"/>
      <c r="J2531" s="3"/>
      <c r="K2531" s="3"/>
      <c r="L2531" s="3" t="s">
        <v>564</v>
      </c>
      <c r="M2531" s="3">
        <v>70</v>
      </c>
      <c r="N2531" s="3" t="s">
        <v>104</v>
      </c>
      <c r="O2531" s="3"/>
      <c r="P2531" s="3"/>
      <c r="Q2531" s="3">
        <v>0.158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563</v>
      </c>
      <c r="C2532" s="3" t="s">
        <v>533</v>
      </c>
      <c r="D2532" s="3"/>
      <c r="E2532" s="3" t="s">
        <v>533</v>
      </c>
      <c r="F2532" s="3"/>
      <c r="G2532" s="3"/>
      <c r="H2532" s="3"/>
      <c r="I2532" s="3"/>
      <c r="J2532" s="3"/>
      <c r="K2532" s="3"/>
      <c r="L2532" s="3" t="s">
        <v>564</v>
      </c>
      <c r="M2532" s="3">
        <v>80</v>
      </c>
      <c r="N2532" s="3" t="s">
        <v>273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563</v>
      </c>
      <c r="C2533" s="3" t="s">
        <v>533</v>
      </c>
      <c r="D2533" s="3"/>
      <c r="E2533" s="3" t="s">
        <v>533</v>
      </c>
      <c r="F2533" s="3"/>
      <c r="G2533" s="3"/>
      <c r="H2533" s="3"/>
      <c r="I2533" s="3"/>
      <c r="J2533" s="3"/>
      <c r="K2533" s="3"/>
      <c r="L2533" s="3" t="s">
        <v>564</v>
      </c>
      <c r="M2533" s="3">
        <v>90</v>
      </c>
      <c r="N2533" s="3" t="s">
        <v>18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563</v>
      </c>
      <c r="C2534" s="3" t="s">
        <v>533</v>
      </c>
      <c r="D2534" s="3"/>
      <c r="E2534" s="3" t="s">
        <v>533</v>
      </c>
      <c r="F2534" s="3"/>
      <c r="G2534" s="3"/>
      <c r="H2534" s="3"/>
      <c r="I2534" s="3"/>
      <c r="J2534" s="3"/>
      <c r="K2534" s="3"/>
      <c r="L2534" s="3" t="s">
        <v>564</v>
      </c>
      <c r="M2534" s="3">
        <v>100</v>
      </c>
      <c r="N2534" s="3" t="s">
        <v>19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563</v>
      </c>
      <c r="C2535" s="3" t="s">
        <v>533</v>
      </c>
      <c r="D2535" s="3"/>
      <c r="E2535" s="3" t="s">
        <v>533</v>
      </c>
      <c r="F2535" s="3"/>
      <c r="G2535" s="3"/>
      <c r="H2535" s="3"/>
      <c r="I2535" s="3"/>
      <c r="J2535" s="3"/>
      <c r="K2535" s="3"/>
      <c r="L2535" s="3" t="s">
        <v>564</v>
      </c>
      <c r="M2535" s="3">
        <v>110</v>
      </c>
      <c r="N2535" s="3" t="s">
        <v>101</v>
      </c>
      <c r="O2535" s="3"/>
      <c r="P2535" s="3"/>
      <c r="Q2535" s="3">
        <v>0.60099999999999998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563</v>
      </c>
      <c r="C2536" s="3" t="s">
        <v>533</v>
      </c>
      <c r="D2536" s="3"/>
      <c r="E2536" s="3" t="s">
        <v>533</v>
      </c>
      <c r="F2536" s="3"/>
      <c r="G2536" s="3"/>
      <c r="H2536" s="3"/>
      <c r="I2536" s="3"/>
      <c r="J2536" s="3"/>
      <c r="K2536" s="3"/>
      <c r="L2536" s="3" t="s">
        <v>564</v>
      </c>
      <c r="M2536" s="3">
        <v>120</v>
      </c>
      <c r="N2536" s="3" t="s">
        <v>534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563</v>
      </c>
      <c r="C2537" s="3" t="s">
        <v>535</v>
      </c>
      <c r="D2537" s="3"/>
      <c r="E2537" s="3" t="s">
        <v>535</v>
      </c>
      <c r="F2537" s="3"/>
      <c r="G2537" s="3"/>
      <c r="H2537" s="3"/>
      <c r="I2537" s="3"/>
      <c r="J2537" s="3"/>
      <c r="K2537" s="3"/>
      <c r="L2537" s="3" t="s">
        <v>564</v>
      </c>
      <c r="M2537" s="3">
        <v>10</v>
      </c>
      <c r="N2537" s="3" t="s">
        <v>107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563</v>
      </c>
      <c r="C2538" s="3" t="s">
        <v>535</v>
      </c>
      <c r="D2538" s="3"/>
      <c r="E2538" s="3" t="s">
        <v>535</v>
      </c>
      <c r="F2538" s="3"/>
      <c r="G2538" s="3"/>
      <c r="H2538" s="3"/>
      <c r="I2538" s="3"/>
      <c r="J2538" s="3"/>
      <c r="K2538" s="3"/>
      <c r="L2538" s="3" t="s">
        <v>564</v>
      </c>
      <c r="M2538" s="3">
        <v>20</v>
      </c>
      <c r="N2538" s="3" t="s">
        <v>565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563</v>
      </c>
      <c r="C2539" s="3" t="s">
        <v>535</v>
      </c>
      <c r="D2539" s="3"/>
      <c r="E2539" s="3" t="s">
        <v>535</v>
      </c>
      <c r="F2539" s="3"/>
      <c r="G2539" s="3"/>
      <c r="H2539" s="3"/>
      <c r="I2539" s="3"/>
      <c r="J2539" s="3"/>
      <c r="K2539" s="3"/>
      <c r="L2539" s="3" t="s">
        <v>564</v>
      </c>
      <c r="M2539" s="3">
        <v>30</v>
      </c>
      <c r="N2539" s="3" t="s">
        <v>99</v>
      </c>
      <c r="O2539" s="3"/>
      <c r="P2539" s="3"/>
      <c r="Q2539" s="3">
        <v>0.24299999999999999</v>
      </c>
      <c r="R2539" s="3" t="s">
        <v>100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563</v>
      </c>
      <c r="C2540" s="3" t="s">
        <v>535</v>
      </c>
      <c r="D2540" s="3"/>
      <c r="E2540" s="3" t="s">
        <v>535</v>
      </c>
      <c r="F2540" s="3"/>
      <c r="G2540" s="3"/>
      <c r="H2540" s="3"/>
      <c r="I2540" s="3"/>
      <c r="J2540" s="3"/>
      <c r="K2540" s="3"/>
      <c r="L2540" s="3" t="s">
        <v>564</v>
      </c>
      <c r="M2540" s="3">
        <v>40</v>
      </c>
      <c r="N2540" s="3" t="s">
        <v>108</v>
      </c>
      <c r="O2540" s="3"/>
      <c r="P2540" s="3"/>
      <c r="Q2540" s="3">
        <v>11.582000000000001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563</v>
      </c>
      <c r="C2541" s="3" t="s">
        <v>535</v>
      </c>
      <c r="D2541" s="3"/>
      <c r="E2541" s="3" t="s">
        <v>535</v>
      </c>
      <c r="F2541" s="3"/>
      <c r="G2541" s="3"/>
      <c r="H2541" s="3"/>
      <c r="I2541" s="3"/>
      <c r="J2541" s="3"/>
      <c r="K2541" s="3"/>
      <c r="L2541" s="3" t="s">
        <v>564</v>
      </c>
      <c r="M2541" s="3">
        <v>50</v>
      </c>
      <c r="N2541" s="3" t="s">
        <v>105</v>
      </c>
      <c r="O2541" s="3"/>
      <c r="P2541" s="3"/>
      <c r="Q2541" s="3">
        <v>71.231999999999999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563</v>
      </c>
      <c r="C2542" s="3" t="s">
        <v>535</v>
      </c>
      <c r="D2542" s="3"/>
      <c r="E2542" s="3" t="s">
        <v>535</v>
      </c>
      <c r="F2542" s="3"/>
      <c r="G2542" s="3"/>
      <c r="H2542" s="3"/>
      <c r="I2542" s="3"/>
      <c r="J2542" s="3"/>
      <c r="K2542" s="3"/>
      <c r="L2542" s="3" t="s">
        <v>564</v>
      </c>
      <c r="M2542" s="3">
        <v>60</v>
      </c>
      <c r="N2542" s="3" t="s">
        <v>106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563</v>
      </c>
      <c r="C2543" s="3" t="s">
        <v>535</v>
      </c>
      <c r="D2543" s="3"/>
      <c r="E2543" s="3" t="s">
        <v>535</v>
      </c>
      <c r="F2543" s="3"/>
      <c r="G2543" s="3"/>
      <c r="H2543" s="3"/>
      <c r="I2543" s="3"/>
      <c r="J2543" s="3"/>
      <c r="K2543" s="3"/>
      <c r="L2543" s="3" t="s">
        <v>564</v>
      </c>
      <c r="M2543" s="3">
        <v>70</v>
      </c>
      <c r="N2543" s="3" t="s">
        <v>104</v>
      </c>
      <c r="O2543" s="3"/>
      <c r="P2543" s="3"/>
      <c r="Q2543" s="3">
        <v>7.9000000000000001E-2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563</v>
      </c>
      <c r="C2544" s="3" t="s">
        <v>535</v>
      </c>
      <c r="D2544" s="3"/>
      <c r="E2544" s="3" t="s">
        <v>535</v>
      </c>
      <c r="F2544" s="3"/>
      <c r="G2544" s="3"/>
      <c r="H2544" s="3"/>
      <c r="I2544" s="3"/>
      <c r="J2544" s="3"/>
      <c r="K2544" s="3"/>
      <c r="L2544" s="3" t="s">
        <v>564</v>
      </c>
      <c r="M2544" s="3">
        <v>80</v>
      </c>
      <c r="N2544" s="3" t="s">
        <v>273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563</v>
      </c>
      <c r="C2545" s="3" t="s">
        <v>535</v>
      </c>
      <c r="D2545" s="3"/>
      <c r="E2545" s="3" t="s">
        <v>535</v>
      </c>
      <c r="F2545" s="3"/>
      <c r="G2545" s="3"/>
      <c r="H2545" s="3"/>
      <c r="I2545" s="3"/>
      <c r="J2545" s="3"/>
      <c r="K2545" s="3"/>
      <c r="L2545" s="3" t="s">
        <v>564</v>
      </c>
      <c r="M2545" s="3">
        <v>90</v>
      </c>
      <c r="N2545" s="3" t="s">
        <v>18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563</v>
      </c>
      <c r="C2546" s="3" t="s">
        <v>535</v>
      </c>
      <c r="D2546" s="3"/>
      <c r="E2546" s="3" t="s">
        <v>535</v>
      </c>
      <c r="F2546" s="3"/>
      <c r="G2546" s="3"/>
      <c r="H2546" s="3"/>
      <c r="I2546" s="3"/>
      <c r="J2546" s="3"/>
      <c r="K2546" s="3"/>
      <c r="L2546" s="3" t="s">
        <v>564</v>
      </c>
      <c r="M2546" s="3">
        <v>100</v>
      </c>
      <c r="N2546" s="3" t="s">
        <v>19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563</v>
      </c>
      <c r="C2547" s="3" t="s">
        <v>535</v>
      </c>
      <c r="D2547" s="3"/>
      <c r="E2547" s="3" t="s">
        <v>535</v>
      </c>
      <c r="F2547" s="3"/>
      <c r="G2547" s="3"/>
      <c r="H2547" s="3"/>
      <c r="I2547" s="3"/>
      <c r="J2547" s="3"/>
      <c r="K2547" s="3"/>
      <c r="L2547" s="3" t="s">
        <v>564</v>
      </c>
      <c r="M2547" s="3">
        <v>110</v>
      </c>
      <c r="N2547" s="3" t="s">
        <v>101</v>
      </c>
      <c r="O2547" s="3"/>
      <c r="P2547" s="3"/>
      <c r="Q2547" s="3">
        <v>0.66100000000000003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563</v>
      </c>
      <c r="C2548" s="3" t="s">
        <v>535</v>
      </c>
      <c r="D2548" s="3"/>
      <c r="E2548" s="3" t="s">
        <v>535</v>
      </c>
      <c r="F2548" s="3"/>
      <c r="G2548" s="3"/>
      <c r="H2548" s="3"/>
      <c r="I2548" s="3"/>
      <c r="J2548" s="3"/>
      <c r="K2548" s="3"/>
      <c r="L2548" s="3" t="s">
        <v>564</v>
      </c>
      <c r="M2548" s="3">
        <v>120</v>
      </c>
      <c r="N2548" s="3" t="s">
        <v>536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563</v>
      </c>
      <c r="C2549" s="3" t="s">
        <v>537</v>
      </c>
      <c r="D2549" s="3"/>
      <c r="E2549" s="3" t="s">
        <v>537</v>
      </c>
      <c r="F2549" s="3"/>
      <c r="G2549" s="3"/>
      <c r="H2549" s="3"/>
      <c r="I2549" s="3"/>
      <c r="J2549" s="3"/>
      <c r="K2549" s="3"/>
      <c r="L2549" s="3" t="s">
        <v>564</v>
      </c>
      <c r="M2549" s="3">
        <v>10</v>
      </c>
      <c r="N2549" s="3" t="s">
        <v>107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563</v>
      </c>
      <c r="C2550" s="3" t="s">
        <v>537</v>
      </c>
      <c r="D2550" s="3"/>
      <c r="E2550" s="3" t="s">
        <v>537</v>
      </c>
      <c r="F2550" s="3"/>
      <c r="G2550" s="3"/>
      <c r="H2550" s="3"/>
      <c r="I2550" s="3"/>
      <c r="J2550" s="3"/>
      <c r="K2550" s="3"/>
      <c r="L2550" s="3" t="s">
        <v>564</v>
      </c>
      <c r="M2550" s="3">
        <v>20</v>
      </c>
      <c r="N2550" s="3" t="s">
        <v>565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563</v>
      </c>
      <c r="C2551" s="3" t="s">
        <v>537</v>
      </c>
      <c r="D2551" s="3"/>
      <c r="E2551" s="3" t="s">
        <v>537</v>
      </c>
      <c r="F2551" s="3"/>
      <c r="G2551" s="3"/>
      <c r="H2551" s="3"/>
      <c r="I2551" s="3"/>
      <c r="J2551" s="3"/>
      <c r="K2551" s="3"/>
      <c r="L2551" s="3" t="s">
        <v>564</v>
      </c>
      <c r="M2551" s="3">
        <v>30</v>
      </c>
      <c r="N2551" s="3" t="s">
        <v>99</v>
      </c>
      <c r="O2551" s="3"/>
      <c r="P2551" s="3"/>
      <c r="Q2551" s="3">
        <v>0.29199999999999998</v>
      </c>
      <c r="R2551" s="3" t="s">
        <v>100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563</v>
      </c>
      <c r="C2552" s="3" t="s">
        <v>537</v>
      </c>
      <c r="D2552" s="3"/>
      <c r="E2552" s="3" t="s">
        <v>537</v>
      </c>
      <c r="F2552" s="3"/>
      <c r="G2552" s="3"/>
      <c r="H2552" s="3"/>
      <c r="I2552" s="3"/>
      <c r="J2552" s="3"/>
      <c r="K2552" s="3"/>
      <c r="L2552" s="3" t="s">
        <v>564</v>
      </c>
      <c r="M2552" s="3">
        <v>40</v>
      </c>
      <c r="N2552" s="3" t="s">
        <v>108</v>
      </c>
      <c r="O2552" s="3"/>
      <c r="P2552" s="3"/>
      <c r="Q2552" s="3">
        <v>12.192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563</v>
      </c>
      <c r="C2553" s="3" t="s">
        <v>537</v>
      </c>
      <c r="D2553" s="3"/>
      <c r="E2553" s="3" t="s">
        <v>537</v>
      </c>
      <c r="F2553" s="3"/>
      <c r="G2553" s="3"/>
      <c r="H2553" s="3"/>
      <c r="I2553" s="3"/>
      <c r="J2553" s="3"/>
      <c r="K2553" s="3"/>
      <c r="L2553" s="3" t="s">
        <v>564</v>
      </c>
      <c r="M2553" s="3">
        <v>50</v>
      </c>
      <c r="N2553" s="3" t="s">
        <v>105</v>
      </c>
      <c r="O2553" s="3"/>
      <c r="P2553" s="3"/>
      <c r="Q2553" s="3">
        <v>74.980999999999995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563</v>
      </c>
      <c r="C2554" s="3" t="s">
        <v>537</v>
      </c>
      <c r="D2554" s="3"/>
      <c r="E2554" s="3" t="s">
        <v>537</v>
      </c>
      <c r="F2554" s="3"/>
      <c r="G2554" s="3"/>
      <c r="H2554" s="3"/>
      <c r="I2554" s="3"/>
      <c r="J2554" s="3"/>
      <c r="K2554" s="3"/>
      <c r="L2554" s="3" t="s">
        <v>564</v>
      </c>
      <c r="M2554" s="3">
        <v>60</v>
      </c>
      <c r="N2554" s="3" t="s">
        <v>106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563</v>
      </c>
      <c r="C2555" s="3" t="s">
        <v>537</v>
      </c>
      <c r="D2555" s="3"/>
      <c r="E2555" s="3" t="s">
        <v>537</v>
      </c>
      <c r="F2555" s="3"/>
      <c r="G2555" s="3"/>
      <c r="H2555" s="3"/>
      <c r="I2555" s="3"/>
      <c r="J2555" s="3"/>
      <c r="K2555" s="3"/>
      <c r="L2555" s="3" t="s">
        <v>564</v>
      </c>
      <c r="M2555" s="3">
        <v>70</v>
      </c>
      <c r="N2555" s="3" t="s">
        <v>104</v>
      </c>
      <c r="O2555" s="3"/>
      <c r="P2555" s="3"/>
      <c r="Q2555" s="3">
        <v>0.09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563</v>
      </c>
      <c r="C2556" s="3" t="s">
        <v>537</v>
      </c>
      <c r="D2556" s="3"/>
      <c r="E2556" s="3" t="s">
        <v>537</v>
      </c>
      <c r="F2556" s="3"/>
      <c r="G2556" s="3"/>
      <c r="H2556" s="3"/>
      <c r="I2556" s="3"/>
      <c r="J2556" s="3"/>
      <c r="K2556" s="3"/>
      <c r="L2556" s="3" t="s">
        <v>564</v>
      </c>
      <c r="M2556" s="3">
        <v>80</v>
      </c>
      <c r="N2556" s="3" t="s">
        <v>273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563</v>
      </c>
      <c r="C2557" s="3" t="s">
        <v>537</v>
      </c>
      <c r="D2557" s="3"/>
      <c r="E2557" s="3" t="s">
        <v>537</v>
      </c>
      <c r="F2557" s="3"/>
      <c r="G2557" s="3"/>
      <c r="H2557" s="3"/>
      <c r="I2557" s="3"/>
      <c r="J2557" s="3"/>
      <c r="K2557" s="3"/>
      <c r="L2557" s="3" t="s">
        <v>564</v>
      </c>
      <c r="M2557" s="3">
        <v>90</v>
      </c>
      <c r="N2557" s="3" t="s">
        <v>18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563</v>
      </c>
      <c r="C2558" s="3" t="s">
        <v>537</v>
      </c>
      <c r="D2558" s="3"/>
      <c r="E2558" s="3" t="s">
        <v>537</v>
      </c>
      <c r="F2558" s="3"/>
      <c r="G2558" s="3"/>
      <c r="H2558" s="3"/>
      <c r="I2558" s="3"/>
      <c r="J2558" s="3"/>
      <c r="K2558" s="3"/>
      <c r="L2558" s="3" t="s">
        <v>564</v>
      </c>
      <c r="M2558" s="3">
        <v>100</v>
      </c>
      <c r="N2558" s="3" t="s">
        <v>19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563</v>
      </c>
      <c r="C2559" s="3" t="s">
        <v>537</v>
      </c>
      <c r="D2559" s="3"/>
      <c r="E2559" s="3" t="s">
        <v>537</v>
      </c>
      <c r="F2559" s="3"/>
      <c r="G2559" s="3"/>
      <c r="H2559" s="3"/>
      <c r="I2559" s="3"/>
      <c r="J2559" s="3"/>
      <c r="K2559" s="3"/>
      <c r="L2559" s="3" t="s">
        <v>564</v>
      </c>
      <c r="M2559" s="3">
        <v>110</v>
      </c>
      <c r="N2559" s="3" t="s">
        <v>101</v>
      </c>
      <c r="O2559" s="3"/>
      <c r="P2559" s="3"/>
      <c r="Q2559" s="3">
        <v>0.66100000000000003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563</v>
      </c>
      <c r="C2560" s="3" t="s">
        <v>537</v>
      </c>
      <c r="D2560" s="3"/>
      <c r="E2560" s="3" t="s">
        <v>537</v>
      </c>
      <c r="F2560" s="3"/>
      <c r="G2560" s="3"/>
      <c r="H2560" s="3"/>
      <c r="I2560" s="3"/>
      <c r="J2560" s="3"/>
      <c r="K2560" s="3"/>
      <c r="L2560" s="3" t="s">
        <v>564</v>
      </c>
      <c r="M2560" s="3">
        <v>120</v>
      </c>
      <c r="N2560" s="3" t="s">
        <v>538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563</v>
      </c>
      <c r="C2561" s="3" t="s">
        <v>539</v>
      </c>
      <c r="D2561" s="3"/>
      <c r="E2561" s="3" t="s">
        <v>539</v>
      </c>
      <c r="F2561" s="3"/>
      <c r="G2561" s="3"/>
      <c r="H2561" s="3"/>
      <c r="I2561" s="3"/>
      <c r="J2561" s="3"/>
      <c r="K2561" s="3"/>
      <c r="L2561" s="3" t="s">
        <v>564</v>
      </c>
      <c r="M2561" s="3">
        <v>10</v>
      </c>
      <c r="N2561" s="3" t="s">
        <v>107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563</v>
      </c>
      <c r="C2562" s="3" t="s">
        <v>539</v>
      </c>
      <c r="D2562" s="3"/>
      <c r="E2562" s="3" t="s">
        <v>539</v>
      </c>
      <c r="F2562" s="3"/>
      <c r="G2562" s="3"/>
      <c r="H2562" s="3"/>
      <c r="I2562" s="3"/>
      <c r="J2562" s="3"/>
      <c r="K2562" s="3"/>
      <c r="L2562" s="3" t="s">
        <v>564</v>
      </c>
      <c r="M2562" s="3">
        <v>20</v>
      </c>
      <c r="N2562" s="3" t="s">
        <v>565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563</v>
      </c>
      <c r="C2563" s="3" t="s">
        <v>539</v>
      </c>
      <c r="D2563" s="3"/>
      <c r="E2563" s="3" t="s">
        <v>539</v>
      </c>
      <c r="F2563" s="3"/>
      <c r="G2563" s="3"/>
      <c r="H2563" s="3"/>
      <c r="I2563" s="3"/>
      <c r="J2563" s="3"/>
      <c r="K2563" s="3"/>
      <c r="L2563" s="3" t="s">
        <v>564</v>
      </c>
      <c r="M2563" s="3">
        <v>30</v>
      </c>
      <c r="N2563" s="3" t="s">
        <v>99</v>
      </c>
      <c r="O2563" s="3"/>
      <c r="P2563" s="3"/>
      <c r="Q2563" s="3">
        <v>0.34</v>
      </c>
      <c r="R2563" s="3" t="s">
        <v>100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563</v>
      </c>
      <c r="C2564" s="3" t="s">
        <v>539</v>
      </c>
      <c r="D2564" s="3"/>
      <c r="E2564" s="3" t="s">
        <v>539</v>
      </c>
      <c r="F2564" s="3"/>
      <c r="G2564" s="3"/>
      <c r="H2564" s="3"/>
      <c r="I2564" s="3"/>
      <c r="J2564" s="3"/>
      <c r="K2564" s="3"/>
      <c r="L2564" s="3" t="s">
        <v>564</v>
      </c>
      <c r="M2564" s="3">
        <v>40</v>
      </c>
      <c r="N2564" s="3" t="s">
        <v>108</v>
      </c>
      <c r="O2564" s="3"/>
      <c r="P2564" s="3"/>
      <c r="Q2564" s="3">
        <v>12.802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563</v>
      </c>
      <c r="C2565" s="3" t="s">
        <v>539</v>
      </c>
      <c r="D2565" s="3"/>
      <c r="E2565" s="3" t="s">
        <v>539</v>
      </c>
      <c r="F2565" s="3"/>
      <c r="G2565" s="3"/>
      <c r="H2565" s="3"/>
      <c r="I2565" s="3"/>
      <c r="J2565" s="3"/>
      <c r="K2565" s="3"/>
      <c r="L2565" s="3" t="s">
        <v>564</v>
      </c>
      <c r="M2565" s="3">
        <v>50</v>
      </c>
      <c r="N2565" s="3" t="s">
        <v>105</v>
      </c>
      <c r="O2565" s="3"/>
      <c r="P2565" s="3"/>
      <c r="Q2565" s="3">
        <v>78.73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563</v>
      </c>
      <c r="C2566" s="3" t="s">
        <v>539</v>
      </c>
      <c r="D2566" s="3"/>
      <c r="E2566" s="3" t="s">
        <v>539</v>
      </c>
      <c r="F2566" s="3"/>
      <c r="G2566" s="3"/>
      <c r="H2566" s="3"/>
      <c r="I2566" s="3"/>
      <c r="J2566" s="3"/>
      <c r="K2566" s="3"/>
      <c r="L2566" s="3" t="s">
        <v>564</v>
      </c>
      <c r="M2566" s="3">
        <v>60</v>
      </c>
      <c r="N2566" s="3" t="s">
        <v>106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563</v>
      </c>
      <c r="C2567" s="3" t="s">
        <v>539</v>
      </c>
      <c r="D2567" s="3"/>
      <c r="E2567" s="3" t="s">
        <v>539</v>
      </c>
      <c r="F2567" s="3"/>
      <c r="G2567" s="3"/>
      <c r="H2567" s="3"/>
      <c r="I2567" s="3"/>
      <c r="J2567" s="3"/>
      <c r="K2567" s="3"/>
      <c r="L2567" s="3" t="s">
        <v>564</v>
      </c>
      <c r="M2567" s="3">
        <v>70</v>
      </c>
      <c r="N2567" s="3" t="s">
        <v>104</v>
      </c>
      <c r="O2567" s="3"/>
      <c r="P2567" s="3"/>
      <c r="Q2567" s="3">
        <v>0.10100000000000001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563</v>
      </c>
      <c r="C2568" s="3" t="s">
        <v>539</v>
      </c>
      <c r="D2568" s="3"/>
      <c r="E2568" s="3" t="s">
        <v>539</v>
      </c>
      <c r="F2568" s="3"/>
      <c r="G2568" s="3"/>
      <c r="H2568" s="3"/>
      <c r="I2568" s="3"/>
      <c r="J2568" s="3"/>
      <c r="K2568" s="3"/>
      <c r="L2568" s="3" t="s">
        <v>564</v>
      </c>
      <c r="M2568" s="3">
        <v>80</v>
      </c>
      <c r="N2568" s="3" t="s">
        <v>273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563</v>
      </c>
      <c r="C2569" s="3" t="s">
        <v>539</v>
      </c>
      <c r="D2569" s="3"/>
      <c r="E2569" s="3" t="s">
        <v>539</v>
      </c>
      <c r="F2569" s="3"/>
      <c r="G2569" s="3"/>
      <c r="H2569" s="3"/>
      <c r="I2569" s="3"/>
      <c r="J2569" s="3"/>
      <c r="K2569" s="3"/>
      <c r="L2569" s="3" t="s">
        <v>564</v>
      </c>
      <c r="M2569" s="3">
        <v>90</v>
      </c>
      <c r="N2569" s="3" t="s">
        <v>18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563</v>
      </c>
      <c r="C2570" s="3" t="s">
        <v>539</v>
      </c>
      <c r="D2570" s="3"/>
      <c r="E2570" s="3" t="s">
        <v>539</v>
      </c>
      <c r="F2570" s="3"/>
      <c r="G2570" s="3"/>
      <c r="H2570" s="3"/>
      <c r="I2570" s="3"/>
      <c r="J2570" s="3"/>
      <c r="K2570" s="3"/>
      <c r="L2570" s="3" t="s">
        <v>564</v>
      </c>
      <c r="M2570" s="3">
        <v>100</v>
      </c>
      <c r="N2570" s="3" t="s">
        <v>19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563</v>
      </c>
      <c r="C2571" s="3" t="s">
        <v>539</v>
      </c>
      <c r="D2571" s="3"/>
      <c r="E2571" s="3" t="s">
        <v>539</v>
      </c>
      <c r="F2571" s="3"/>
      <c r="G2571" s="3"/>
      <c r="H2571" s="3"/>
      <c r="I2571" s="3"/>
      <c r="J2571" s="3"/>
      <c r="K2571" s="3"/>
      <c r="L2571" s="3" t="s">
        <v>564</v>
      </c>
      <c r="M2571" s="3">
        <v>110</v>
      </c>
      <c r="N2571" s="3" t="s">
        <v>101</v>
      </c>
      <c r="O2571" s="3"/>
      <c r="P2571" s="3"/>
      <c r="Q2571" s="3">
        <v>0.66100000000000003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563</v>
      </c>
      <c r="C2572" s="3" t="s">
        <v>539</v>
      </c>
      <c r="D2572" s="3"/>
      <c r="E2572" s="3" t="s">
        <v>539</v>
      </c>
      <c r="F2572" s="3"/>
      <c r="G2572" s="3"/>
      <c r="H2572" s="3"/>
      <c r="I2572" s="3"/>
      <c r="J2572" s="3"/>
      <c r="K2572" s="3"/>
      <c r="L2572" s="3" t="s">
        <v>564</v>
      </c>
      <c r="M2572" s="3">
        <v>120</v>
      </c>
      <c r="N2572" s="3" t="s">
        <v>540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563</v>
      </c>
      <c r="C2573" s="3" t="s">
        <v>541</v>
      </c>
      <c r="D2573" s="3"/>
      <c r="E2573" s="3" t="s">
        <v>541</v>
      </c>
      <c r="F2573" s="3"/>
      <c r="G2573" s="3"/>
      <c r="H2573" s="3"/>
      <c r="I2573" s="3"/>
      <c r="J2573" s="3"/>
      <c r="K2573" s="3"/>
      <c r="L2573" s="3" t="s">
        <v>564</v>
      </c>
      <c r="M2573" s="3">
        <v>10</v>
      </c>
      <c r="N2573" s="3" t="s">
        <v>107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563</v>
      </c>
      <c r="C2574" s="3" t="s">
        <v>541</v>
      </c>
      <c r="D2574" s="3"/>
      <c r="E2574" s="3" t="s">
        <v>541</v>
      </c>
      <c r="F2574" s="3"/>
      <c r="G2574" s="3"/>
      <c r="H2574" s="3"/>
      <c r="I2574" s="3"/>
      <c r="J2574" s="3"/>
      <c r="K2574" s="3"/>
      <c r="L2574" s="3" t="s">
        <v>564</v>
      </c>
      <c r="M2574" s="3">
        <v>20</v>
      </c>
      <c r="N2574" s="3" t="s">
        <v>565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563</v>
      </c>
      <c r="C2575" s="3" t="s">
        <v>541</v>
      </c>
      <c r="D2575" s="3"/>
      <c r="E2575" s="3" t="s">
        <v>541</v>
      </c>
      <c r="F2575" s="3"/>
      <c r="G2575" s="3"/>
      <c r="H2575" s="3"/>
      <c r="I2575" s="3"/>
      <c r="J2575" s="3"/>
      <c r="K2575" s="3"/>
      <c r="L2575" s="3" t="s">
        <v>564</v>
      </c>
      <c r="M2575" s="3">
        <v>30</v>
      </c>
      <c r="N2575" s="3" t="s">
        <v>99</v>
      </c>
      <c r="O2575" s="3"/>
      <c r="P2575" s="3"/>
      <c r="Q2575" s="3">
        <v>0.38900000000000001</v>
      </c>
      <c r="R2575" s="3" t="s">
        <v>100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563</v>
      </c>
      <c r="C2576" s="3" t="s">
        <v>541</v>
      </c>
      <c r="D2576" s="3"/>
      <c r="E2576" s="3" t="s">
        <v>541</v>
      </c>
      <c r="F2576" s="3"/>
      <c r="G2576" s="3"/>
      <c r="H2576" s="3"/>
      <c r="I2576" s="3"/>
      <c r="J2576" s="3"/>
      <c r="K2576" s="3"/>
      <c r="L2576" s="3" t="s">
        <v>564</v>
      </c>
      <c r="M2576" s="3">
        <v>40</v>
      </c>
      <c r="N2576" s="3" t="s">
        <v>108</v>
      </c>
      <c r="O2576" s="3"/>
      <c r="P2576" s="3"/>
      <c r="Q2576" s="3">
        <v>13.411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563</v>
      </c>
      <c r="C2577" s="3" t="s">
        <v>541</v>
      </c>
      <c r="D2577" s="3"/>
      <c r="E2577" s="3" t="s">
        <v>541</v>
      </c>
      <c r="F2577" s="3"/>
      <c r="G2577" s="3"/>
      <c r="H2577" s="3"/>
      <c r="I2577" s="3"/>
      <c r="J2577" s="3"/>
      <c r="K2577" s="3"/>
      <c r="L2577" s="3" t="s">
        <v>564</v>
      </c>
      <c r="M2577" s="3">
        <v>50</v>
      </c>
      <c r="N2577" s="3" t="s">
        <v>105</v>
      </c>
      <c r="O2577" s="3"/>
      <c r="P2577" s="3"/>
      <c r="Q2577" s="3">
        <v>82.478999999999999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563</v>
      </c>
      <c r="C2578" s="3" t="s">
        <v>541</v>
      </c>
      <c r="D2578" s="3"/>
      <c r="E2578" s="3" t="s">
        <v>541</v>
      </c>
      <c r="F2578" s="3"/>
      <c r="G2578" s="3"/>
      <c r="H2578" s="3"/>
      <c r="I2578" s="3"/>
      <c r="J2578" s="3"/>
      <c r="K2578" s="3"/>
      <c r="L2578" s="3" t="s">
        <v>564</v>
      </c>
      <c r="M2578" s="3">
        <v>60</v>
      </c>
      <c r="N2578" s="3" t="s">
        <v>106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563</v>
      </c>
      <c r="C2579" s="3" t="s">
        <v>541</v>
      </c>
      <c r="D2579" s="3"/>
      <c r="E2579" s="3" t="s">
        <v>541</v>
      </c>
      <c r="F2579" s="3"/>
      <c r="G2579" s="3"/>
      <c r="H2579" s="3"/>
      <c r="I2579" s="3"/>
      <c r="J2579" s="3"/>
      <c r="K2579" s="3"/>
      <c r="L2579" s="3" t="s">
        <v>564</v>
      </c>
      <c r="M2579" s="3">
        <v>70</v>
      </c>
      <c r="N2579" s="3" t="s">
        <v>104</v>
      </c>
      <c r="O2579" s="3"/>
      <c r="P2579" s="3"/>
      <c r="Q2579" s="3">
        <v>0.113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563</v>
      </c>
      <c r="C2580" s="3" t="s">
        <v>541</v>
      </c>
      <c r="D2580" s="3"/>
      <c r="E2580" s="3" t="s">
        <v>541</v>
      </c>
      <c r="F2580" s="3"/>
      <c r="G2580" s="3"/>
      <c r="H2580" s="3"/>
      <c r="I2580" s="3"/>
      <c r="J2580" s="3"/>
      <c r="K2580" s="3"/>
      <c r="L2580" s="3" t="s">
        <v>564</v>
      </c>
      <c r="M2580" s="3">
        <v>80</v>
      </c>
      <c r="N2580" s="3" t="s">
        <v>273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563</v>
      </c>
      <c r="C2581" s="3" t="s">
        <v>541</v>
      </c>
      <c r="D2581" s="3"/>
      <c r="E2581" s="3" t="s">
        <v>541</v>
      </c>
      <c r="F2581" s="3"/>
      <c r="G2581" s="3"/>
      <c r="H2581" s="3"/>
      <c r="I2581" s="3"/>
      <c r="J2581" s="3"/>
      <c r="K2581" s="3"/>
      <c r="L2581" s="3" t="s">
        <v>564</v>
      </c>
      <c r="M2581" s="3">
        <v>90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563</v>
      </c>
      <c r="C2582" s="3" t="s">
        <v>541</v>
      </c>
      <c r="D2582" s="3"/>
      <c r="E2582" s="3" t="s">
        <v>541</v>
      </c>
      <c r="F2582" s="3"/>
      <c r="G2582" s="3"/>
      <c r="H2582" s="3"/>
      <c r="I2582" s="3"/>
      <c r="J2582" s="3"/>
      <c r="K2582" s="3"/>
      <c r="L2582" s="3" t="s">
        <v>564</v>
      </c>
      <c r="M2582" s="3">
        <v>100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563</v>
      </c>
      <c r="C2583" s="3" t="s">
        <v>541</v>
      </c>
      <c r="D2583" s="3"/>
      <c r="E2583" s="3" t="s">
        <v>541</v>
      </c>
      <c r="F2583" s="3"/>
      <c r="G2583" s="3"/>
      <c r="H2583" s="3"/>
      <c r="I2583" s="3"/>
      <c r="J2583" s="3"/>
      <c r="K2583" s="3"/>
      <c r="L2583" s="3" t="s">
        <v>564</v>
      </c>
      <c r="M2583" s="3">
        <v>110</v>
      </c>
      <c r="N2583" s="3" t="s">
        <v>101</v>
      </c>
      <c r="O2583" s="3"/>
      <c r="P2583" s="3"/>
      <c r="Q2583" s="3">
        <v>0.66100000000000003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563</v>
      </c>
      <c r="C2584" s="3" t="s">
        <v>541</v>
      </c>
      <c r="D2584" s="3"/>
      <c r="E2584" s="3" t="s">
        <v>541</v>
      </c>
      <c r="F2584" s="3"/>
      <c r="G2584" s="3"/>
      <c r="H2584" s="3"/>
      <c r="I2584" s="3"/>
      <c r="J2584" s="3"/>
      <c r="K2584" s="3"/>
      <c r="L2584" s="3" t="s">
        <v>564</v>
      </c>
      <c r="M2584" s="3">
        <v>120</v>
      </c>
      <c r="N2584" s="3" t="s">
        <v>542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563</v>
      </c>
      <c r="C2585" s="3" t="s">
        <v>543</v>
      </c>
      <c r="D2585" s="3"/>
      <c r="E2585" s="3" t="s">
        <v>543</v>
      </c>
      <c r="F2585" s="3"/>
      <c r="G2585" s="3"/>
      <c r="H2585" s="3"/>
      <c r="I2585" s="3"/>
      <c r="J2585" s="3"/>
      <c r="K2585" s="3"/>
      <c r="L2585" s="3" t="s">
        <v>564</v>
      </c>
      <c r="M2585" s="3">
        <v>10</v>
      </c>
      <c r="N2585" s="3" t="s">
        <v>107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563</v>
      </c>
      <c r="C2586" s="3" t="s">
        <v>543</v>
      </c>
      <c r="D2586" s="3"/>
      <c r="E2586" s="3" t="s">
        <v>543</v>
      </c>
      <c r="F2586" s="3"/>
      <c r="G2586" s="3"/>
      <c r="H2586" s="3"/>
      <c r="I2586" s="3"/>
      <c r="J2586" s="3"/>
      <c r="K2586" s="3"/>
      <c r="L2586" s="3" t="s">
        <v>564</v>
      </c>
      <c r="M2586" s="3">
        <v>20</v>
      </c>
      <c r="N2586" s="3" t="s">
        <v>565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563</v>
      </c>
      <c r="C2587" s="3" t="s">
        <v>543</v>
      </c>
      <c r="D2587" s="3"/>
      <c r="E2587" s="3" t="s">
        <v>543</v>
      </c>
      <c r="F2587" s="3"/>
      <c r="G2587" s="3"/>
      <c r="H2587" s="3"/>
      <c r="I2587" s="3"/>
      <c r="J2587" s="3"/>
      <c r="K2587" s="3"/>
      <c r="L2587" s="3" t="s">
        <v>564</v>
      </c>
      <c r="M2587" s="3">
        <v>30</v>
      </c>
      <c r="N2587" s="3" t="s">
        <v>99</v>
      </c>
      <c r="O2587" s="3"/>
      <c r="P2587" s="3"/>
      <c r="Q2587" s="3">
        <v>0.48599999999999999</v>
      </c>
      <c r="R2587" s="3" t="s">
        <v>100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563</v>
      </c>
      <c r="C2588" s="3" t="s">
        <v>543</v>
      </c>
      <c r="D2588" s="3"/>
      <c r="E2588" s="3" t="s">
        <v>543</v>
      </c>
      <c r="F2588" s="3"/>
      <c r="G2588" s="3"/>
      <c r="H2588" s="3"/>
      <c r="I2588" s="3"/>
      <c r="J2588" s="3"/>
      <c r="K2588" s="3"/>
      <c r="L2588" s="3" t="s">
        <v>564</v>
      </c>
      <c r="M2588" s="3">
        <v>40</v>
      </c>
      <c r="N2588" s="3" t="s">
        <v>108</v>
      </c>
      <c r="O2588" s="3"/>
      <c r="P2588" s="3"/>
      <c r="Q2588" s="3">
        <v>14.63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563</v>
      </c>
      <c r="C2589" s="3" t="s">
        <v>543</v>
      </c>
      <c r="D2589" s="3"/>
      <c r="E2589" s="3" t="s">
        <v>543</v>
      </c>
      <c r="F2589" s="3"/>
      <c r="G2589" s="3"/>
      <c r="H2589" s="3"/>
      <c r="I2589" s="3"/>
      <c r="J2589" s="3"/>
      <c r="K2589" s="3"/>
      <c r="L2589" s="3" t="s">
        <v>564</v>
      </c>
      <c r="M2589" s="3">
        <v>50</v>
      </c>
      <c r="N2589" s="3" t="s">
        <v>105</v>
      </c>
      <c r="O2589" s="3"/>
      <c r="P2589" s="3"/>
      <c r="Q2589" s="3">
        <v>89.977000000000004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563</v>
      </c>
      <c r="C2590" s="3" t="s">
        <v>543</v>
      </c>
      <c r="D2590" s="3"/>
      <c r="E2590" s="3" t="s">
        <v>543</v>
      </c>
      <c r="F2590" s="3"/>
      <c r="G2590" s="3"/>
      <c r="H2590" s="3"/>
      <c r="I2590" s="3"/>
      <c r="J2590" s="3"/>
      <c r="K2590" s="3"/>
      <c r="L2590" s="3" t="s">
        <v>564</v>
      </c>
      <c r="M2590" s="3">
        <v>60</v>
      </c>
      <c r="N2590" s="3" t="s">
        <v>106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563</v>
      </c>
      <c r="C2591" s="3" t="s">
        <v>543</v>
      </c>
      <c r="D2591" s="3"/>
      <c r="E2591" s="3" t="s">
        <v>543</v>
      </c>
      <c r="F2591" s="3"/>
      <c r="G2591" s="3"/>
      <c r="H2591" s="3"/>
      <c r="I2591" s="3"/>
      <c r="J2591" s="3"/>
      <c r="K2591" s="3"/>
      <c r="L2591" s="3" t="s">
        <v>564</v>
      </c>
      <c r="M2591" s="3">
        <v>70</v>
      </c>
      <c r="N2591" s="3" t="s">
        <v>104</v>
      </c>
      <c r="O2591" s="3"/>
      <c r="P2591" s="3"/>
      <c r="Q2591" s="3">
        <v>0.13500000000000001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563</v>
      </c>
      <c r="C2592" s="3" t="s">
        <v>543</v>
      </c>
      <c r="D2592" s="3"/>
      <c r="E2592" s="3" t="s">
        <v>543</v>
      </c>
      <c r="F2592" s="3"/>
      <c r="G2592" s="3"/>
      <c r="H2592" s="3"/>
      <c r="I2592" s="3"/>
      <c r="J2592" s="3"/>
      <c r="K2592" s="3"/>
      <c r="L2592" s="3" t="s">
        <v>564</v>
      </c>
      <c r="M2592" s="3">
        <v>80</v>
      </c>
      <c r="N2592" s="3" t="s">
        <v>273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563</v>
      </c>
      <c r="C2593" s="3" t="s">
        <v>543</v>
      </c>
      <c r="D2593" s="3"/>
      <c r="E2593" s="3" t="s">
        <v>543</v>
      </c>
      <c r="F2593" s="3"/>
      <c r="G2593" s="3"/>
      <c r="H2593" s="3"/>
      <c r="I2593" s="3"/>
      <c r="J2593" s="3"/>
      <c r="K2593" s="3"/>
      <c r="L2593" s="3" t="s">
        <v>564</v>
      </c>
      <c r="M2593" s="3">
        <v>90</v>
      </c>
      <c r="N2593" s="3" t="s">
        <v>18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563</v>
      </c>
      <c r="C2594" s="3" t="s">
        <v>543</v>
      </c>
      <c r="D2594" s="3"/>
      <c r="E2594" s="3" t="s">
        <v>543</v>
      </c>
      <c r="F2594" s="3"/>
      <c r="G2594" s="3"/>
      <c r="H2594" s="3"/>
      <c r="I2594" s="3"/>
      <c r="J2594" s="3"/>
      <c r="K2594" s="3"/>
      <c r="L2594" s="3" t="s">
        <v>564</v>
      </c>
      <c r="M2594" s="3">
        <v>100</v>
      </c>
      <c r="N2594" s="3" t="s">
        <v>19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563</v>
      </c>
      <c r="C2595" s="3" t="s">
        <v>543</v>
      </c>
      <c r="D2595" s="3"/>
      <c r="E2595" s="3" t="s">
        <v>543</v>
      </c>
      <c r="F2595" s="3"/>
      <c r="G2595" s="3"/>
      <c r="H2595" s="3"/>
      <c r="I2595" s="3"/>
      <c r="J2595" s="3"/>
      <c r="K2595" s="3"/>
      <c r="L2595" s="3" t="s">
        <v>564</v>
      </c>
      <c r="M2595" s="3">
        <v>110</v>
      </c>
      <c r="N2595" s="3" t="s">
        <v>101</v>
      </c>
      <c r="O2595" s="3"/>
      <c r="P2595" s="3"/>
      <c r="Q2595" s="3">
        <v>0.66100000000000003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563</v>
      </c>
      <c r="C2596" s="3" t="s">
        <v>543</v>
      </c>
      <c r="D2596" s="3"/>
      <c r="E2596" s="3" t="s">
        <v>543</v>
      </c>
      <c r="F2596" s="3"/>
      <c r="G2596" s="3"/>
      <c r="H2596" s="3"/>
      <c r="I2596" s="3"/>
      <c r="J2596" s="3"/>
      <c r="K2596" s="3"/>
      <c r="L2596" s="3" t="s">
        <v>564</v>
      </c>
      <c r="M2596" s="3">
        <v>120</v>
      </c>
      <c r="N2596" s="3" t="s">
        <v>544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563</v>
      </c>
      <c r="C2597" s="3" t="s">
        <v>545</v>
      </c>
      <c r="D2597" s="3"/>
      <c r="E2597" s="3" t="s">
        <v>545</v>
      </c>
      <c r="F2597" s="3"/>
      <c r="G2597" s="3"/>
      <c r="H2597" s="3"/>
      <c r="I2597" s="3"/>
      <c r="J2597" s="3"/>
      <c r="K2597" s="3"/>
      <c r="L2597" s="3" t="s">
        <v>564</v>
      </c>
      <c r="M2597" s="3">
        <v>10</v>
      </c>
      <c r="N2597" s="3" t="s">
        <v>107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563</v>
      </c>
      <c r="C2598" s="3" t="s">
        <v>545</v>
      </c>
      <c r="D2598" s="3"/>
      <c r="E2598" s="3" t="s">
        <v>545</v>
      </c>
      <c r="F2598" s="3"/>
      <c r="G2598" s="3"/>
      <c r="H2598" s="3"/>
      <c r="I2598" s="3"/>
      <c r="J2598" s="3"/>
      <c r="K2598" s="3"/>
      <c r="L2598" s="3" t="s">
        <v>564</v>
      </c>
      <c r="M2598" s="3">
        <v>20</v>
      </c>
      <c r="N2598" s="3" t="s">
        <v>565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563</v>
      </c>
      <c r="C2599" s="3" t="s">
        <v>545</v>
      </c>
      <c r="D2599" s="3"/>
      <c r="E2599" s="3" t="s">
        <v>545</v>
      </c>
      <c r="F2599" s="3"/>
      <c r="G2599" s="3"/>
      <c r="H2599" s="3"/>
      <c r="I2599" s="3"/>
      <c r="J2599" s="3"/>
      <c r="K2599" s="3"/>
      <c r="L2599" s="3" t="s">
        <v>564</v>
      </c>
      <c r="M2599" s="3">
        <v>30</v>
      </c>
      <c r="N2599" s="3" t="s">
        <v>99</v>
      </c>
      <c r="O2599" s="3"/>
      <c r="P2599" s="3"/>
      <c r="Q2599" s="3">
        <v>0.53500000000000003</v>
      </c>
      <c r="R2599" s="3" t="s">
        <v>100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563</v>
      </c>
      <c r="C2600" s="3" t="s">
        <v>545</v>
      </c>
      <c r="D2600" s="3"/>
      <c r="E2600" s="3" t="s">
        <v>545</v>
      </c>
      <c r="F2600" s="3"/>
      <c r="G2600" s="3"/>
      <c r="H2600" s="3"/>
      <c r="I2600" s="3"/>
      <c r="J2600" s="3"/>
      <c r="K2600" s="3"/>
      <c r="L2600" s="3" t="s">
        <v>564</v>
      </c>
      <c r="M2600" s="3">
        <v>40</v>
      </c>
      <c r="N2600" s="3" t="s">
        <v>108</v>
      </c>
      <c r="O2600" s="3"/>
      <c r="P2600" s="3"/>
      <c r="Q2600" s="3">
        <v>15.24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563</v>
      </c>
      <c r="C2601" s="3" t="s">
        <v>545</v>
      </c>
      <c r="D2601" s="3"/>
      <c r="E2601" s="3" t="s">
        <v>545</v>
      </c>
      <c r="F2601" s="3"/>
      <c r="G2601" s="3"/>
      <c r="H2601" s="3"/>
      <c r="I2601" s="3"/>
      <c r="J2601" s="3"/>
      <c r="K2601" s="3"/>
      <c r="L2601" s="3" t="s">
        <v>564</v>
      </c>
      <c r="M2601" s="3">
        <v>50</v>
      </c>
      <c r="N2601" s="3" t="s">
        <v>105</v>
      </c>
      <c r="O2601" s="3"/>
      <c r="P2601" s="3"/>
      <c r="Q2601" s="3">
        <v>93.725999999999999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563</v>
      </c>
      <c r="C2602" s="3" t="s">
        <v>545</v>
      </c>
      <c r="D2602" s="3"/>
      <c r="E2602" s="3" t="s">
        <v>545</v>
      </c>
      <c r="F2602" s="3"/>
      <c r="G2602" s="3"/>
      <c r="H2602" s="3"/>
      <c r="I2602" s="3"/>
      <c r="J2602" s="3"/>
      <c r="K2602" s="3"/>
      <c r="L2602" s="3" t="s">
        <v>564</v>
      </c>
      <c r="M2602" s="3">
        <v>60</v>
      </c>
      <c r="N2602" s="3" t="s">
        <v>106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563</v>
      </c>
      <c r="C2603" s="3" t="s">
        <v>545</v>
      </c>
      <c r="D2603" s="3"/>
      <c r="E2603" s="3" t="s">
        <v>545</v>
      </c>
      <c r="F2603" s="3"/>
      <c r="G2603" s="3"/>
      <c r="H2603" s="3"/>
      <c r="I2603" s="3"/>
      <c r="J2603" s="3"/>
      <c r="K2603" s="3"/>
      <c r="L2603" s="3" t="s">
        <v>564</v>
      </c>
      <c r="M2603" s="3">
        <v>70</v>
      </c>
      <c r="N2603" s="3" t="s">
        <v>104</v>
      </c>
      <c r="O2603" s="3"/>
      <c r="P2603" s="3"/>
      <c r="Q2603" s="3">
        <v>0.14699999999999999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563</v>
      </c>
      <c r="C2604" s="3" t="s">
        <v>545</v>
      </c>
      <c r="D2604" s="3"/>
      <c r="E2604" s="3" t="s">
        <v>545</v>
      </c>
      <c r="F2604" s="3"/>
      <c r="G2604" s="3"/>
      <c r="H2604" s="3"/>
      <c r="I2604" s="3"/>
      <c r="J2604" s="3"/>
      <c r="K2604" s="3"/>
      <c r="L2604" s="3" t="s">
        <v>564</v>
      </c>
      <c r="M2604" s="3">
        <v>80</v>
      </c>
      <c r="N2604" s="3" t="s">
        <v>273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563</v>
      </c>
      <c r="C2605" s="3" t="s">
        <v>545</v>
      </c>
      <c r="D2605" s="3"/>
      <c r="E2605" s="3" t="s">
        <v>545</v>
      </c>
      <c r="F2605" s="3"/>
      <c r="G2605" s="3"/>
      <c r="H2605" s="3"/>
      <c r="I2605" s="3"/>
      <c r="J2605" s="3"/>
      <c r="K2605" s="3"/>
      <c r="L2605" s="3" t="s">
        <v>564</v>
      </c>
      <c r="M2605" s="3">
        <v>90</v>
      </c>
      <c r="N2605" s="3" t="s">
        <v>18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563</v>
      </c>
      <c r="C2606" s="3" t="s">
        <v>545</v>
      </c>
      <c r="D2606" s="3"/>
      <c r="E2606" s="3" t="s">
        <v>545</v>
      </c>
      <c r="F2606" s="3"/>
      <c r="G2606" s="3"/>
      <c r="H2606" s="3"/>
      <c r="I2606" s="3"/>
      <c r="J2606" s="3"/>
      <c r="K2606" s="3"/>
      <c r="L2606" s="3" t="s">
        <v>564</v>
      </c>
      <c r="M2606" s="3">
        <v>100</v>
      </c>
      <c r="N2606" s="3" t="s">
        <v>19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563</v>
      </c>
      <c r="C2607" s="3" t="s">
        <v>545</v>
      </c>
      <c r="D2607" s="3"/>
      <c r="E2607" s="3" t="s">
        <v>545</v>
      </c>
      <c r="F2607" s="3"/>
      <c r="G2607" s="3"/>
      <c r="H2607" s="3"/>
      <c r="I2607" s="3"/>
      <c r="J2607" s="3"/>
      <c r="K2607" s="3"/>
      <c r="L2607" s="3" t="s">
        <v>564</v>
      </c>
      <c r="M2607" s="3">
        <v>110</v>
      </c>
      <c r="N2607" s="3" t="s">
        <v>101</v>
      </c>
      <c r="O2607" s="3"/>
      <c r="P2607" s="3"/>
      <c r="Q2607" s="3">
        <v>0.66100000000000003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563</v>
      </c>
      <c r="C2608" s="3" t="s">
        <v>545</v>
      </c>
      <c r="D2608" s="3"/>
      <c r="E2608" s="3" t="s">
        <v>545</v>
      </c>
      <c r="F2608" s="3"/>
      <c r="G2608" s="3"/>
      <c r="H2608" s="3"/>
      <c r="I2608" s="3"/>
      <c r="J2608" s="3"/>
      <c r="K2608" s="3"/>
      <c r="L2608" s="3" t="s">
        <v>564</v>
      </c>
      <c r="M2608" s="3">
        <v>120</v>
      </c>
      <c r="N2608" s="3" t="s">
        <v>546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563</v>
      </c>
      <c r="C2609" s="3" t="s">
        <v>547</v>
      </c>
      <c r="D2609" s="3"/>
      <c r="E2609" s="3" t="s">
        <v>547</v>
      </c>
      <c r="F2609" s="3"/>
      <c r="G2609" s="3"/>
      <c r="H2609" s="3"/>
      <c r="I2609" s="3"/>
      <c r="J2609" s="3"/>
      <c r="K2609" s="3"/>
      <c r="L2609" s="3" t="s">
        <v>564</v>
      </c>
      <c r="M2609" s="3">
        <v>10</v>
      </c>
      <c r="N2609" s="3" t="s">
        <v>107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563</v>
      </c>
      <c r="C2610" s="3" t="s">
        <v>547</v>
      </c>
      <c r="D2610" s="3"/>
      <c r="E2610" s="3" t="s">
        <v>547</v>
      </c>
      <c r="F2610" s="3"/>
      <c r="G2610" s="3"/>
      <c r="H2610" s="3"/>
      <c r="I2610" s="3"/>
      <c r="J2610" s="3"/>
      <c r="K2610" s="3"/>
      <c r="L2610" s="3" t="s">
        <v>564</v>
      </c>
      <c r="M2610" s="3">
        <v>20</v>
      </c>
      <c r="N2610" s="3" t="s">
        <v>565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563</v>
      </c>
      <c r="C2611" s="3" t="s">
        <v>547</v>
      </c>
      <c r="D2611" s="3"/>
      <c r="E2611" s="3" t="s">
        <v>547</v>
      </c>
      <c r="F2611" s="3"/>
      <c r="G2611" s="3"/>
      <c r="H2611" s="3"/>
      <c r="I2611" s="3"/>
      <c r="J2611" s="3"/>
      <c r="K2611" s="3"/>
      <c r="L2611" s="3" t="s">
        <v>564</v>
      </c>
      <c r="M2611" s="3">
        <v>30</v>
      </c>
      <c r="N2611" s="3" t="s">
        <v>99</v>
      </c>
      <c r="O2611" s="3"/>
      <c r="P2611" s="3"/>
      <c r="Q2611" s="3">
        <v>0.58299999999999996</v>
      </c>
      <c r="R2611" s="3" t="s">
        <v>100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563</v>
      </c>
      <c r="C2612" s="3" t="s">
        <v>547</v>
      </c>
      <c r="D2612" s="3"/>
      <c r="E2612" s="3" t="s">
        <v>547</v>
      </c>
      <c r="F2612" s="3"/>
      <c r="G2612" s="3"/>
      <c r="H2612" s="3"/>
      <c r="I2612" s="3"/>
      <c r="J2612" s="3"/>
      <c r="K2612" s="3"/>
      <c r="L2612" s="3" t="s">
        <v>564</v>
      </c>
      <c r="M2612" s="3">
        <v>40</v>
      </c>
      <c r="N2612" s="3" t="s">
        <v>108</v>
      </c>
      <c r="O2612" s="3"/>
      <c r="P2612" s="3"/>
      <c r="Q2612" s="3">
        <v>15.85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563</v>
      </c>
      <c r="C2613" s="3" t="s">
        <v>547</v>
      </c>
      <c r="D2613" s="3"/>
      <c r="E2613" s="3" t="s">
        <v>547</v>
      </c>
      <c r="F2613" s="3"/>
      <c r="G2613" s="3"/>
      <c r="H2613" s="3"/>
      <c r="I2613" s="3"/>
      <c r="J2613" s="3"/>
      <c r="K2613" s="3"/>
      <c r="L2613" s="3" t="s">
        <v>564</v>
      </c>
      <c r="M2613" s="3">
        <v>50</v>
      </c>
      <c r="N2613" s="3" t="s">
        <v>105</v>
      </c>
      <c r="O2613" s="3"/>
      <c r="P2613" s="3"/>
      <c r="Q2613" s="3">
        <v>97.474999999999994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563</v>
      </c>
      <c r="C2614" s="3" t="s">
        <v>547</v>
      </c>
      <c r="D2614" s="3"/>
      <c r="E2614" s="3" t="s">
        <v>547</v>
      </c>
      <c r="F2614" s="3"/>
      <c r="G2614" s="3"/>
      <c r="H2614" s="3"/>
      <c r="I2614" s="3"/>
      <c r="J2614" s="3"/>
      <c r="K2614" s="3"/>
      <c r="L2614" s="3" t="s">
        <v>564</v>
      </c>
      <c r="M2614" s="3">
        <v>60</v>
      </c>
      <c r="N2614" s="3" t="s">
        <v>106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563</v>
      </c>
      <c r="C2615" s="3" t="s">
        <v>547</v>
      </c>
      <c r="D2615" s="3"/>
      <c r="E2615" s="3" t="s">
        <v>547</v>
      </c>
      <c r="F2615" s="3"/>
      <c r="G2615" s="3"/>
      <c r="H2615" s="3"/>
      <c r="I2615" s="3"/>
      <c r="J2615" s="3"/>
      <c r="K2615" s="3"/>
      <c r="L2615" s="3" t="s">
        <v>564</v>
      </c>
      <c r="M2615" s="3">
        <v>70</v>
      </c>
      <c r="N2615" s="3" t="s">
        <v>104</v>
      </c>
      <c r="O2615" s="3"/>
      <c r="P2615" s="3"/>
      <c r="Q2615" s="3">
        <v>0.158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563</v>
      </c>
      <c r="C2616" s="3" t="s">
        <v>547</v>
      </c>
      <c r="D2616" s="3"/>
      <c r="E2616" s="3" t="s">
        <v>547</v>
      </c>
      <c r="F2616" s="3"/>
      <c r="G2616" s="3"/>
      <c r="H2616" s="3"/>
      <c r="I2616" s="3"/>
      <c r="J2616" s="3"/>
      <c r="K2616" s="3"/>
      <c r="L2616" s="3" t="s">
        <v>564</v>
      </c>
      <c r="M2616" s="3">
        <v>80</v>
      </c>
      <c r="N2616" s="3" t="s">
        <v>273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563</v>
      </c>
      <c r="C2617" s="3" t="s">
        <v>547</v>
      </c>
      <c r="D2617" s="3"/>
      <c r="E2617" s="3" t="s">
        <v>547</v>
      </c>
      <c r="F2617" s="3"/>
      <c r="G2617" s="3"/>
      <c r="H2617" s="3"/>
      <c r="I2617" s="3"/>
      <c r="J2617" s="3"/>
      <c r="K2617" s="3"/>
      <c r="L2617" s="3" t="s">
        <v>564</v>
      </c>
      <c r="M2617" s="3">
        <v>90</v>
      </c>
      <c r="N2617" s="3" t="s">
        <v>18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563</v>
      </c>
      <c r="C2618" s="3" t="s">
        <v>547</v>
      </c>
      <c r="D2618" s="3"/>
      <c r="E2618" s="3" t="s">
        <v>547</v>
      </c>
      <c r="F2618" s="3"/>
      <c r="G2618" s="3"/>
      <c r="H2618" s="3"/>
      <c r="I2618" s="3"/>
      <c r="J2618" s="3"/>
      <c r="K2618" s="3"/>
      <c r="L2618" s="3" t="s">
        <v>564</v>
      </c>
      <c r="M2618" s="3">
        <v>100</v>
      </c>
      <c r="N2618" s="3" t="s">
        <v>19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563</v>
      </c>
      <c r="C2619" s="3" t="s">
        <v>547</v>
      </c>
      <c r="D2619" s="3"/>
      <c r="E2619" s="3" t="s">
        <v>547</v>
      </c>
      <c r="F2619" s="3"/>
      <c r="G2619" s="3"/>
      <c r="H2619" s="3"/>
      <c r="I2619" s="3"/>
      <c r="J2619" s="3"/>
      <c r="K2619" s="3"/>
      <c r="L2619" s="3" t="s">
        <v>564</v>
      </c>
      <c r="M2619" s="3">
        <v>110</v>
      </c>
      <c r="N2619" s="3" t="s">
        <v>101</v>
      </c>
      <c r="O2619" s="3"/>
      <c r="P2619" s="3"/>
      <c r="Q2619" s="3">
        <v>0.66100000000000003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563</v>
      </c>
      <c r="C2620" s="3" t="s">
        <v>547</v>
      </c>
      <c r="D2620" s="3"/>
      <c r="E2620" s="3" t="s">
        <v>547</v>
      </c>
      <c r="F2620" s="3"/>
      <c r="G2620" s="3"/>
      <c r="H2620" s="3"/>
      <c r="I2620" s="3"/>
      <c r="J2620" s="3"/>
      <c r="K2620" s="3"/>
      <c r="L2620" s="3" t="s">
        <v>564</v>
      </c>
      <c r="M2620" s="3">
        <v>120</v>
      </c>
      <c r="N2620" s="3" t="s">
        <v>548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563</v>
      </c>
      <c r="C2621" s="3" t="s">
        <v>549</v>
      </c>
      <c r="D2621" s="3"/>
      <c r="E2621" s="3" t="s">
        <v>549</v>
      </c>
      <c r="F2621" s="3"/>
      <c r="G2621" s="3"/>
      <c r="H2621" s="3"/>
      <c r="I2621" s="3"/>
      <c r="J2621" s="3"/>
      <c r="K2621" s="3"/>
      <c r="L2621" s="3" t="s">
        <v>564</v>
      </c>
      <c r="M2621" s="3">
        <v>10</v>
      </c>
      <c r="N2621" s="3" t="s">
        <v>107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563</v>
      </c>
      <c r="C2622" s="3" t="s">
        <v>549</v>
      </c>
      <c r="D2622" s="3"/>
      <c r="E2622" s="3" t="s">
        <v>549</v>
      </c>
      <c r="F2622" s="3"/>
      <c r="G2622" s="3"/>
      <c r="H2622" s="3"/>
      <c r="I2622" s="3"/>
      <c r="J2622" s="3"/>
      <c r="K2622" s="3"/>
      <c r="L2622" s="3" t="s">
        <v>564</v>
      </c>
      <c r="M2622" s="3">
        <v>20</v>
      </c>
      <c r="N2622" s="3" t="s">
        <v>565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563</v>
      </c>
      <c r="C2623" s="3" t="s">
        <v>549</v>
      </c>
      <c r="D2623" s="3"/>
      <c r="E2623" s="3" t="s">
        <v>549</v>
      </c>
      <c r="F2623" s="3"/>
      <c r="G2623" s="3"/>
      <c r="H2623" s="3"/>
      <c r="I2623" s="3"/>
      <c r="J2623" s="3"/>
      <c r="K2623" s="3"/>
      <c r="L2623" s="3" t="s">
        <v>564</v>
      </c>
      <c r="M2623" s="3">
        <v>30</v>
      </c>
      <c r="N2623" s="3" t="s">
        <v>99</v>
      </c>
      <c r="O2623" s="3"/>
      <c r="P2623" s="3"/>
      <c r="Q2623" s="3">
        <v>0.255</v>
      </c>
      <c r="R2623" s="3" t="s">
        <v>100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563</v>
      </c>
      <c r="C2624" s="3" t="s">
        <v>549</v>
      </c>
      <c r="D2624" s="3"/>
      <c r="E2624" s="3" t="s">
        <v>549</v>
      </c>
      <c r="F2624" s="3"/>
      <c r="G2624" s="3"/>
      <c r="H2624" s="3"/>
      <c r="I2624" s="3"/>
      <c r="J2624" s="3"/>
      <c r="K2624" s="3"/>
      <c r="L2624" s="3" t="s">
        <v>564</v>
      </c>
      <c r="M2624" s="3">
        <v>40</v>
      </c>
      <c r="N2624" s="3" t="s">
        <v>108</v>
      </c>
      <c r="O2624" s="3"/>
      <c r="P2624" s="3"/>
      <c r="Q2624" s="3">
        <v>11.989000000000001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563</v>
      </c>
      <c r="C2625" s="3" t="s">
        <v>549</v>
      </c>
      <c r="D2625" s="3"/>
      <c r="E2625" s="3" t="s">
        <v>549</v>
      </c>
      <c r="F2625" s="3"/>
      <c r="G2625" s="3"/>
      <c r="H2625" s="3"/>
      <c r="I2625" s="3"/>
      <c r="J2625" s="3"/>
      <c r="K2625" s="3"/>
      <c r="L2625" s="3" t="s">
        <v>564</v>
      </c>
      <c r="M2625" s="3">
        <v>50</v>
      </c>
      <c r="N2625" s="3" t="s">
        <v>105</v>
      </c>
      <c r="O2625" s="3"/>
      <c r="P2625" s="3"/>
      <c r="Q2625" s="3">
        <v>73.730999999999995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563</v>
      </c>
      <c r="C2626" s="3" t="s">
        <v>549</v>
      </c>
      <c r="D2626" s="3"/>
      <c r="E2626" s="3" t="s">
        <v>549</v>
      </c>
      <c r="F2626" s="3"/>
      <c r="G2626" s="3"/>
      <c r="H2626" s="3"/>
      <c r="I2626" s="3"/>
      <c r="J2626" s="3"/>
      <c r="K2626" s="3"/>
      <c r="L2626" s="3" t="s">
        <v>564</v>
      </c>
      <c r="M2626" s="3">
        <v>60</v>
      </c>
      <c r="N2626" s="3" t="s">
        <v>106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563</v>
      </c>
      <c r="C2627" s="3" t="s">
        <v>549</v>
      </c>
      <c r="D2627" s="3"/>
      <c r="E2627" s="3" t="s">
        <v>549</v>
      </c>
      <c r="F2627" s="3"/>
      <c r="G2627" s="3"/>
      <c r="H2627" s="3"/>
      <c r="I2627" s="3"/>
      <c r="J2627" s="3"/>
      <c r="K2627" s="3"/>
      <c r="L2627" s="3" t="s">
        <v>564</v>
      </c>
      <c r="M2627" s="3">
        <v>70</v>
      </c>
      <c r="N2627" s="3" t="s">
        <v>104</v>
      </c>
      <c r="O2627" s="3"/>
      <c r="P2627" s="3"/>
      <c r="Q2627" s="3">
        <v>7.9000000000000001E-2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563</v>
      </c>
      <c r="C2628" s="3" t="s">
        <v>549</v>
      </c>
      <c r="D2628" s="3"/>
      <c r="E2628" s="3" t="s">
        <v>549</v>
      </c>
      <c r="F2628" s="3"/>
      <c r="G2628" s="3"/>
      <c r="H2628" s="3"/>
      <c r="I2628" s="3"/>
      <c r="J2628" s="3"/>
      <c r="K2628" s="3"/>
      <c r="L2628" s="3" t="s">
        <v>564</v>
      </c>
      <c r="M2628" s="3">
        <v>80</v>
      </c>
      <c r="N2628" s="3" t="s">
        <v>273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563</v>
      </c>
      <c r="C2629" s="3" t="s">
        <v>549</v>
      </c>
      <c r="D2629" s="3"/>
      <c r="E2629" s="3" t="s">
        <v>549</v>
      </c>
      <c r="F2629" s="3"/>
      <c r="G2629" s="3"/>
      <c r="H2629" s="3"/>
      <c r="I2629" s="3"/>
      <c r="J2629" s="3"/>
      <c r="K2629" s="3"/>
      <c r="L2629" s="3" t="s">
        <v>564</v>
      </c>
      <c r="M2629" s="3">
        <v>90</v>
      </c>
      <c r="N2629" s="3" t="s">
        <v>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563</v>
      </c>
      <c r="C2630" s="3" t="s">
        <v>549</v>
      </c>
      <c r="D2630" s="3"/>
      <c r="E2630" s="3" t="s">
        <v>549</v>
      </c>
      <c r="F2630" s="3"/>
      <c r="G2630" s="3"/>
      <c r="H2630" s="3"/>
      <c r="I2630" s="3"/>
      <c r="J2630" s="3"/>
      <c r="K2630" s="3"/>
      <c r="L2630" s="3" t="s">
        <v>564</v>
      </c>
      <c r="M2630" s="3">
        <v>100</v>
      </c>
      <c r="N2630" s="3" t="s">
        <v>19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563</v>
      </c>
      <c r="C2631" s="3" t="s">
        <v>549</v>
      </c>
      <c r="D2631" s="3"/>
      <c r="E2631" s="3" t="s">
        <v>549</v>
      </c>
      <c r="F2631" s="3"/>
      <c r="G2631" s="3"/>
      <c r="H2631" s="3"/>
      <c r="I2631" s="3"/>
      <c r="J2631" s="3"/>
      <c r="K2631" s="3"/>
      <c r="L2631" s="3" t="s">
        <v>564</v>
      </c>
      <c r="M2631" s="3">
        <v>110</v>
      </c>
      <c r="N2631" s="3" t="s">
        <v>101</v>
      </c>
      <c r="O2631" s="3"/>
      <c r="P2631" s="3"/>
      <c r="Q2631" s="3">
        <v>0.69099999999999995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563</v>
      </c>
      <c r="C2632" s="3" t="s">
        <v>549</v>
      </c>
      <c r="D2632" s="3"/>
      <c r="E2632" s="3" t="s">
        <v>549</v>
      </c>
      <c r="F2632" s="3"/>
      <c r="G2632" s="3"/>
      <c r="H2632" s="3"/>
      <c r="I2632" s="3"/>
      <c r="J2632" s="3"/>
      <c r="K2632" s="3"/>
      <c r="L2632" s="3" t="s">
        <v>564</v>
      </c>
      <c r="M2632" s="3">
        <v>120</v>
      </c>
      <c r="N2632" s="3" t="s">
        <v>550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563</v>
      </c>
      <c r="C2633" s="3" t="s">
        <v>551</v>
      </c>
      <c r="D2633" s="3"/>
      <c r="E2633" s="3" t="s">
        <v>551</v>
      </c>
      <c r="F2633" s="3"/>
      <c r="G2633" s="3"/>
      <c r="H2633" s="3"/>
      <c r="I2633" s="3"/>
      <c r="J2633" s="3"/>
      <c r="K2633" s="3"/>
      <c r="L2633" s="3" t="s">
        <v>564</v>
      </c>
      <c r="M2633" s="3">
        <v>10</v>
      </c>
      <c r="N2633" s="3" t="s">
        <v>107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563</v>
      </c>
      <c r="C2634" s="3" t="s">
        <v>551</v>
      </c>
      <c r="D2634" s="3"/>
      <c r="E2634" s="3" t="s">
        <v>551</v>
      </c>
      <c r="F2634" s="3"/>
      <c r="G2634" s="3"/>
      <c r="H2634" s="3"/>
      <c r="I2634" s="3"/>
      <c r="J2634" s="3"/>
      <c r="K2634" s="3"/>
      <c r="L2634" s="3" t="s">
        <v>564</v>
      </c>
      <c r="M2634" s="3">
        <v>20</v>
      </c>
      <c r="N2634" s="3" t="s">
        <v>565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563</v>
      </c>
      <c r="C2635" s="3" t="s">
        <v>551</v>
      </c>
      <c r="D2635" s="3"/>
      <c r="E2635" s="3" t="s">
        <v>551</v>
      </c>
      <c r="F2635" s="3"/>
      <c r="G2635" s="3"/>
      <c r="H2635" s="3"/>
      <c r="I2635" s="3"/>
      <c r="J2635" s="3"/>
      <c r="K2635" s="3"/>
      <c r="L2635" s="3" t="s">
        <v>564</v>
      </c>
      <c r="M2635" s="3">
        <v>30</v>
      </c>
      <c r="N2635" s="3" t="s">
        <v>99</v>
      </c>
      <c r="O2635" s="3"/>
      <c r="P2635" s="3"/>
      <c r="Q2635" s="3">
        <v>0.30599999999999999</v>
      </c>
      <c r="R2635" s="3" t="s">
        <v>100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563</v>
      </c>
      <c r="C2636" s="3" t="s">
        <v>551</v>
      </c>
      <c r="D2636" s="3"/>
      <c r="E2636" s="3" t="s">
        <v>551</v>
      </c>
      <c r="F2636" s="3"/>
      <c r="G2636" s="3"/>
      <c r="H2636" s="3"/>
      <c r="I2636" s="3"/>
      <c r="J2636" s="3"/>
      <c r="K2636" s="3"/>
      <c r="L2636" s="3" t="s">
        <v>564</v>
      </c>
      <c r="M2636" s="3">
        <v>40</v>
      </c>
      <c r="N2636" s="3" t="s">
        <v>108</v>
      </c>
      <c r="O2636" s="3"/>
      <c r="P2636" s="3"/>
      <c r="Q2636" s="3">
        <v>12.598000000000001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563</v>
      </c>
      <c r="C2637" s="3" t="s">
        <v>551</v>
      </c>
      <c r="D2637" s="3"/>
      <c r="E2637" s="3" t="s">
        <v>551</v>
      </c>
      <c r="F2637" s="3"/>
      <c r="G2637" s="3"/>
      <c r="H2637" s="3"/>
      <c r="I2637" s="3"/>
      <c r="J2637" s="3"/>
      <c r="K2637" s="3"/>
      <c r="L2637" s="3" t="s">
        <v>564</v>
      </c>
      <c r="M2637" s="3">
        <v>50</v>
      </c>
      <c r="N2637" s="3" t="s">
        <v>105</v>
      </c>
      <c r="O2637" s="3"/>
      <c r="P2637" s="3"/>
      <c r="Q2637" s="3">
        <v>77.48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563</v>
      </c>
      <c r="C2638" s="3" t="s">
        <v>551</v>
      </c>
      <c r="D2638" s="3"/>
      <c r="E2638" s="3" t="s">
        <v>551</v>
      </c>
      <c r="F2638" s="3"/>
      <c r="G2638" s="3"/>
      <c r="H2638" s="3"/>
      <c r="I2638" s="3"/>
      <c r="J2638" s="3"/>
      <c r="K2638" s="3"/>
      <c r="L2638" s="3" t="s">
        <v>564</v>
      </c>
      <c r="M2638" s="3">
        <v>60</v>
      </c>
      <c r="N2638" s="3" t="s">
        <v>106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563</v>
      </c>
      <c r="C2639" s="3" t="s">
        <v>551</v>
      </c>
      <c r="D2639" s="3"/>
      <c r="E2639" s="3" t="s">
        <v>551</v>
      </c>
      <c r="F2639" s="3"/>
      <c r="G2639" s="3"/>
      <c r="H2639" s="3"/>
      <c r="I2639" s="3"/>
      <c r="J2639" s="3"/>
      <c r="K2639" s="3"/>
      <c r="L2639" s="3" t="s">
        <v>564</v>
      </c>
      <c r="M2639" s="3">
        <v>70</v>
      </c>
      <c r="N2639" s="3" t="s">
        <v>104</v>
      </c>
      <c r="O2639" s="3"/>
      <c r="P2639" s="3"/>
      <c r="Q2639" s="3">
        <v>0.09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563</v>
      </c>
      <c r="C2640" s="3" t="s">
        <v>551</v>
      </c>
      <c r="D2640" s="3"/>
      <c r="E2640" s="3" t="s">
        <v>551</v>
      </c>
      <c r="F2640" s="3"/>
      <c r="G2640" s="3"/>
      <c r="H2640" s="3"/>
      <c r="I2640" s="3"/>
      <c r="J2640" s="3"/>
      <c r="K2640" s="3"/>
      <c r="L2640" s="3" t="s">
        <v>564</v>
      </c>
      <c r="M2640" s="3">
        <v>80</v>
      </c>
      <c r="N2640" s="3" t="s">
        <v>273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563</v>
      </c>
      <c r="C2641" s="3" t="s">
        <v>551</v>
      </c>
      <c r="D2641" s="3"/>
      <c r="E2641" s="3" t="s">
        <v>551</v>
      </c>
      <c r="F2641" s="3"/>
      <c r="G2641" s="3"/>
      <c r="H2641" s="3"/>
      <c r="I2641" s="3"/>
      <c r="J2641" s="3"/>
      <c r="K2641" s="3"/>
      <c r="L2641" s="3" t="s">
        <v>564</v>
      </c>
      <c r="M2641" s="3">
        <v>90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563</v>
      </c>
      <c r="C2642" s="3" t="s">
        <v>551</v>
      </c>
      <c r="D2642" s="3"/>
      <c r="E2642" s="3" t="s">
        <v>551</v>
      </c>
      <c r="F2642" s="3"/>
      <c r="G2642" s="3"/>
      <c r="H2642" s="3"/>
      <c r="I2642" s="3"/>
      <c r="J2642" s="3"/>
      <c r="K2642" s="3"/>
      <c r="L2642" s="3" t="s">
        <v>564</v>
      </c>
      <c r="M2642" s="3">
        <v>100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563</v>
      </c>
      <c r="C2643" s="3" t="s">
        <v>551</v>
      </c>
      <c r="D2643" s="3"/>
      <c r="E2643" s="3" t="s">
        <v>551</v>
      </c>
      <c r="F2643" s="3"/>
      <c r="G2643" s="3"/>
      <c r="H2643" s="3"/>
      <c r="I2643" s="3"/>
      <c r="J2643" s="3"/>
      <c r="K2643" s="3"/>
      <c r="L2643" s="3" t="s">
        <v>564</v>
      </c>
      <c r="M2643" s="3">
        <v>110</v>
      </c>
      <c r="N2643" s="3" t="s">
        <v>101</v>
      </c>
      <c r="O2643" s="3"/>
      <c r="P2643" s="3"/>
      <c r="Q2643" s="3">
        <v>0.69099999999999995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563</v>
      </c>
      <c r="C2644" s="3" t="s">
        <v>551</v>
      </c>
      <c r="D2644" s="3"/>
      <c r="E2644" s="3" t="s">
        <v>551</v>
      </c>
      <c r="F2644" s="3"/>
      <c r="G2644" s="3"/>
      <c r="H2644" s="3"/>
      <c r="I2644" s="3"/>
      <c r="J2644" s="3"/>
      <c r="K2644" s="3"/>
      <c r="L2644" s="3" t="s">
        <v>564</v>
      </c>
      <c r="M2644" s="3">
        <v>120</v>
      </c>
      <c r="N2644" s="3" t="s">
        <v>552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563</v>
      </c>
      <c r="C2645" s="3" t="s">
        <v>553</v>
      </c>
      <c r="D2645" s="3"/>
      <c r="E2645" s="3" t="s">
        <v>553</v>
      </c>
      <c r="F2645" s="3"/>
      <c r="G2645" s="3"/>
      <c r="H2645" s="3"/>
      <c r="I2645" s="3"/>
      <c r="J2645" s="3"/>
      <c r="K2645" s="3"/>
      <c r="L2645" s="3" t="s">
        <v>564</v>
      </c>
      <c r="M2645" s="3">
        <v>10</v>
      </c>
      <c r="N2645" s="3" t="s">
        <v>107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563</v>
      </c>
      <c r="C2646" s="3" t="s">
        <v>553</v>
      </c>
      <c r="D2646" s="3"/>
      <c r="E2646" s="3" t="s">
        <v>553</v>
      </c>
      <c r="F2646" s="3"/>
      <c r="G2646" s="3"/>
      <c r="H2646" s="3"/>
      <c r="I2646" s="3"/>
      <c r="J2646" s="3"/>
      <c r="K2646" s="3"/>
      <c r="L2646" s="3" t="s">
        <v>564</v>
      </c>
      <c r="M2646" s="3">
        <v>20</v>
      </c>
      <c r="N2646" s="3" t="s">
        <v>565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563</v>
      </c>
      <c r="C2647" s="3" t="s">
        <v>553</v>
      </c>
      <c r="D2647" s="3"/>
      <c r="E2647" s="3" t="s">
        <v>553</v>
      </c>
      <c r="F2647" s="3"/>
      <c r="G2647" s="3"/>
      <c r="H2647" s="3"/>
      <c r="I2647" s="3"/>
      <c r="J2647" s="3"/>
      <c r="K2647" s="3"/>
      <c r="L2647" s="3" t="s">
        <v>564</v>
      </c>
      <c r="M2647" s="3">
        <v>30</v>
      </c>
      <c r="N2647" s="3" t="s">
        <v>99</v>
      </c>
      <c r="O2647" s="3"/>
      <c r="P2647" s="3"/>
      <c r="Q2647" s="3">
        <v>0.35699999999999998</v>
      </c>
      <c r="R2647" s="3" t="s">
        <v>100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563</v>
      </c>
      <c r="C2648" s="3" t="s">
        <v>553</v>
      </c>
      <c r="D2648" s="3"/>
      <c r="E2648" s="3" t="s">
        <v>553</v>
      </c>
      <c r="F2648" s="3"/>
      <c r="G2648" s="3"/>
      <c r="H2648" s="3"/>
      <c r="I2648" s="3"/>
      <c r="J2648" s="3"/>
      <c r="K2648" s="3"/>
      <c r="L2648" s="3" t="s">
        <v>564</v>
      </c>
      <c r="M2648" s="3">
        <v>40</v>
      </c>
      <c r="N2648" s="3" t="s">
        <v>108</v>
      </c>
      <c r="O2648" s="3"/>
      <c r="P2648" s="3"/>
      <c r="Q2648" s="3">
        <v>13.208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563</v>
      </c>
      <c r="C2649" s="3" t="s">
        <v>553</v>
      </c>
      <c r="D2649" s="3"/>
      <c r="E2649" s="3" t="s">
        <v>553</v>
      </c>
      <c r="F2649" s="3"/>
      <c r="G2649" s="3"/>
      <c r="H2649" s="3"/>
      <c r="I2649" s="3"/>
      <c r="J2649" s="3"/>
      <c r="K2649" s="3"/>
      <c r="L2649" s="3" t="s">
        <v>564</v>
      </c>
      <c r="M2649" s="3">
        <v>50</v>
      </c>
      <c r="N2649" s="3" t="s">
        <v>105</v>
      </c>
      <c r="O2649" s="3"/>
      <c r="P2649" s="3"/>
      <c r="Q2649" s="3">
        <v>81.228999999999999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563</v>
      </c>
      <c r="C2650" s="3" t="s">
        <v>553</v>
      </c>
      <c r="D2650" s="3"/>
      <c r="E2650" s="3" t="s">
        <v>553</v>
      </c>
      <c r="F2650" s="3"/>
      <c r="G2650" s="3"/>
      <c r="H2650" s="3"/>
      <c r="I2650" s="3"/>
      <c r="J2650" s="3"/>
      <c r="K2650" s="3"/>
      <c r="L2650" s="3" t="s">
        <v>564</v>
      </c>
      <c r="M2650" s="3">
        <v>60</v>
      </c>
      <c r="N2650" s="3" t="s">
        <v>106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563</v>
      </c>
      <c r="C2651" s="3" t="s">
        <v>553</v>
      </c>
      <c r="D2651" s="3"/>
      <c r="E2651" s="3" t="s">
        <v>553</v>
      </c>
      <c r="F2651" s="3"/>
      <c r="G2651" s="3"/>
      <c r="H2651" s="3"/>
      <c r="I2651" s="3"/>
      <c r="J2651" s="3"/>
      <c r="K2651" s="3"/>
      <c r="L2651" s="3" t="s">
        <v>564</v>
      </c>
      <c r="M2651" s="3">
        <v>70</v>
      </c>
      <c r="N2651" s="3" t="s">
        <v>104</v>
      </c>
      <c r="O2651" s="3"/>
      <c r="P2651" s="3"/>
      <c r="Q2651" s="3">
        <v>0.10100000000000001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563</v>
      </c>
      <c r="C2652" s="3" t="s">
        <v>553</v>
      </c>
      <c r="D2652" s="3"/>
      <c r="E2652" s="3" t="s">
        <v>553</v>
      </c>
      <c r="F2652" s="3"/>
      <c r="G2652" s="3"/>
      <c r="H2652" s="3"/>
      <c r="I2652" s="3"/>
      <c r="J2652" s="3"/>
      <c r="K2652" s="3"/>
      <c r="L2652" s="3" t="s">
        <v>564</v>
      </c>
      <c r="M2652" s="3">
        <v>80</v>
      </c>
      <c r="N2652" s="3" t="s">
        <v>273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563</v>
      </c>
      <c r="C2653" s="3" t="s">
        <v>553</v>
      </c>
      <c r="D2653" s="3"/>
      <c r="E2653" s="3" t="s">
        <v>553</v>
      </c>
      <c r="F2653" s="3"/>
      <c r="G2653" s="3"/>
      <c r="H2653" s="3"/>
      <c r="I2653" s="3"/>
      <c r="J2653" s="3"/>
      <c r="K2653" s="3"/>
      <c r="L2653" s="3" t="s">
        <v>564</v>
      </c>
      <c r="M2653" s="3">
        <v>90</v>
      </c>
      <c r="N2653" s="3" t="s">
        <v>18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563</v>
      </c>
      <c r="C2654" s="3" t="s">
        <v>553</v>
      </c>
      <c r="D2654" s="3"/>
      <c r="E2654" s="3" t="s">
        <v>553</v>
      </c>
      <c r="F2654" s="3"/>
      <c r="G2654" s="3"/>
      <c r="H2654" s="3"/>
      <c r="I2654" s="3"/>
      <c r="J2654" s="3"/>
      <c r="K2654" s="3"/>
      <c r="L2654" s="3" t="s">
        <v>564</v>
      </c>
      <c r="M2654" s="3">
        <v>100</v>
      </c>
      <c r="N2654" s="3" t="s">
        <v>19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563</v>
      </c>
      <c r="C2655" s="3" t="s">
        <v>553</v>
      </c>
      <c r="D2655" s="3"/>
      <c r="E2655" s="3" t="s">
        <v>553</v>
      </c>
      <c r="F2655" s="3"/>
      <c r="G2655" s="3"/>
      <c r="H2655" s="3"/>
      <c r="I2655" s="3"/>
      <c r="J2655" s="3"/>
      <c r="K2655" s="3"/>
      <c r="L2655" s="3" t="s">
        <v>564</v>
      </c>
      <c r="M2655" s="3">
        <v>110</v>
      </c>
      <c r="N2655" s="3" t="s">
        <v>101</v>
      </c>
      <c r="O2655" s="3"/>
      <c r="P2655" s="3"/>
      <c r="Q2655" s="3">
        <v>0.69099999999999995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563</v>
      </c>
      <c r="C2656" s="3" t="s">
        <v>553</v>
      </c>
      <c r="D2656" s="3"/>
      <c r="E2656" s="3" t="s">
        <v>553</v>
      </c>
      <c r="F2656" s="3"/>
      <c r="G2656" s="3"/>
      <c r="H2656" s="3"/>
      <c r="I2656" s="3"/>
      <c r="J2656" s="3"/>
      <c r="K2656" s="3"/>
      <c r="L2656" s="3" t="s">
        <v>564</v>
      </c>
      <c r="M2656" s="3">
        <v>120</v>
      </c>
      <c r="N2656" s="3" t="s">
        <v>554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563</v>
      </c>
      <c r="C2657" s="3" t="s">
        <v>555</v>
      </c>
      <c r="D2657" s="3"/>
      <c r="E2657" s="3" t="s">
        <v>555</v>
      </c>
      <c r="F2657" s="3"/>
      <c r="G2657" s="3"/>
      <c r="H2657" s="3"/>
      <c r="I2657" s="3"/>
      <c r="J2657" s="3"/>
      <c r="K2657" s="3"/>
      <c r="L2657" s="3" t="s">
        <v>564</v>
      </c>
      <c r="M2657" s="3">
        <v>10</v>
      </c>
      <c r="N2657" s="3" t="s">
        <v>107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563</v>
      </c>
      <c r="C2658" s="3" t="s">
        <v>555</v>
      </c>
      <c r="D2658" s="3"/>
      <c r="E2658" s="3" t="s">
        <v>555</v>
      </c>
      <c r="F2658" s="3"/>
      <c r="G2658" s="3"/>
      <c r="H2658" s="3"/>
      <c r="I2658" s="3"/>
      <c r="J2658" s="3"/>
      <c r="K2658" s="3"/>
      <c r="L2658" s="3" t="s">
        <v>564</v>
      </c>
      <c r="M2658" s="3">
        <v>20</v>
      </c>
      <c r="N2658" s="3" t="s">
        <v>565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563</v>
      </c>
      <c r="C2659" s="3" t="s">
        <v>555</v>
      </c>
      <c r="D2659" s="3"/>
      <c r="E2659" s="3" t="s">
        <v>555</v>
      </c>
      <c r="F2659" s="3"/>
      <c r="G2659" s="3"/>
      <c r="H2659" s="3"/>
      <c r="I2659" s="3"/>
      <c r="J2659" s="3"/>
      <c r="K2659" s="3"/>
      <c r="L2659" s="3" t="s">
        <v>564</v>
      </c>
      <c r="M2659" s="3">
        <v>30</v>
      </c>
      <c r="N2659" s="3" t="s">
        <v>99</v>
      </c>
      <c r="O2659" s="3"/>
      <c r="P2659" s="3"/>
      <c r="Q2659" s="3">
        <v>0.40799999999999997</v>
      </c>
      <c r="R2659" s="3" t="s">
        <v>100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563</v>
      </c>
      <c r="C2660" s="3" t="s">
        <v>555</v>
      </c>
      <c r="D2660" s="3"/>
      <c r="E2660" s="3" t="s">
        <v>555</v>
      </c>
      <c r="F2660" s="3"/>
      <c r="G2660" s="3"/>
      <c r="H2660" s="3"/>
      <c r="I2660" s="3"/>
      <c r="J2660" s="3"/>
      <c r="K2660" s="3"/>
      <c r="L2660" s="3" t="s">
        <v>564</v>
      </c>
      <c r="M2660" s="3">
        <v>40</v>
      </c>
      <c r="N2660" s="3" t="s">
        <v>108</v>
      </c>
      <c r="O2660" s="3"/>
      <c r="P2660" s="3"/>
      <c r="Q2660" s="3">
        <v>13.818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563</v>
      </c>
      <c r="C2661" s="3" t="s">
        <v>555</v>
      </c>
      <c r="D2661" s="3"/>
      <c r="E2661" s="3" t="s">
        <v>555</v>
      </c>
      <c r="F2661" s="3"/>
      <c r="G2661" s="3"/>
      <c r="H2661" s="3"/>
      <c r="I2661" s="3"/>
      <c r="J2661" s="3"/>
      <c r="K2661" s="3"/>
      <c r="L2661" s="3" t="s">
        <v>564</v>
      </c>
      <c r="M2661" s="3">
        <v>50</v>
      </c>
      <c r="N2661" s="3" t="s">
        <v>105</v>
      </c>
      <c r="O2661" s="3"/>
      <c r="P2661" s="3"/>
      <c r="Q2661" s="3">
        <v>84.977999999999994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563</v>
      </c>
      <c r="C2662" s="3" t="s">
        <v>555</v>
      </c>
      <c r="D2662" s="3"/>
      <c r="E2662" s="3" t="s">
        <v>555</v>
      </c>
      <c r="F2662" s="3"/>
      <c r="G2662" s="3"/>
      <c r="H2662" s="3"/>
      <c r="I2662" s="3"/>
      <c r="J2662" s="3"/>
      <c r="K2662" s="3"/>
      <c r="L2662" s="3" t="s">
        <v>564</v>
      </c>
      <c r="M2662" s="3">
        <v>60</v>
      </c>
      <c r="N2662" s="3" t="s">
        <v>106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563</v>
      </c>
      <c r="C2663" s="3" t="s">
        <v>555</v>
      </c>
      <c r="D2663" s="3"/>
      <c r="E2663" s="3" t="s">
        <v>555</v>
      </c>
      <c r="F2663" s="3"/>
      <c r="G2663" s="3"/>
      <c r="H2663" s="3"/>
      <c r="I2663" s="3"/>
      <c r="J2663" s="3"/>
      <c r="K2663" s="3"/>
      <c r="L2663" s="3" t="s">
        <v>564</v>
      </c>
      <c r="M2663" s="3">
        <v>70</v>
      </c>
      <c r="N2663" s="3" t="s">
        <v>104</v>
      </c>
      <c r="O2663" s="3"/>
      <c r="P2663" s="3"/>
      <c r="Q2663" s="3">
        <v>0.113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563</v>
      </c>
      <c r="C2664" s="3" t="s">
        <v>555</v>
      </c>
      <c r="D2664" s="3"/>
      <c r="E2664" s="3" t="s">
        <v>555</v>
      </c>
      <c r="F2664" s="3"/>
      <c r="G2664" s="3"/>
      <c r="H2664" s="3"/>
      <c r="I2664" s="3"/>
      <c r="J2664" s="3"/>
      <c r="K2664" s="3"/>
      <c r="L2664" s="3" t="s">
        <v>564</v>
      </c>
      <c r="M2664" s="3">
        <v>80</v>
      </c>
      <c r="N2664" s="3" t="s">
        <v>273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563</v>
      </c>
      <c r="C2665" s="3" t="s">
        <v>555</v>
      </c>
      <c r="D2665" s="3"/>
      <c r="E2665" s="3" t="s">
        <v>555</v>
      </c>
      <c r="F2665" s="3"/>
      <c r="G2665" s="3"/>
      <c r="H2665" s="3"/>
      <c r="I2665" s="3"/>
      <c r="J2665" s="3"/>
      <c r="K2665" s="3"/>
      <c r="L2665" s="3" t="s">
        <v>564</v>
      </c>
      <c r="M2665" s="3">
        <v>90</v>
      </c>
      <c r="N2665" s="3" t="s">
        <v>18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563</v>
      </c>
      <c r="C2666" s="3" t="s">
        <v>555</v>
      </c>
      <c r="D2666" s="3"/>
      <c r="E2666" s="3" t="s">
        <v>555</v>
      </c>
      <c r="F2666" s="3"/>
      <c r="G2666" s="3"/>
      <c r="H2666" s="3"/>
      <c r="I2666" s="3"/>
      <c r="J2666" s="3"/>
      <c r="K2666" s="3"/>
      <c r="L2666" s="3" t="s">
        <v>564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563</v>
      </c>
      <c r="C2667" s="3" t="s">
        <v>555</v>
      </c>
      <c r="D2667" s="3"/>
      <c r="E2667" s="3" t="s">
        <v>555</v>
      </c>
      <c r="F2667" s="3"/>
      <c r="G2667" s="3"/>
      <c r="H2667" s="3"/>
      <c r="I2667" s="3"/>
      <c r="J2667" s="3"/>
      <c r="K2667" s="3"/>
      <c r="L2667" s="3" t="s">
        <v>564</v>
      </c>
      <c r="M2667" s="3">
        <v>110</v>
      </c>
      <c r="N2667" s="3" t="s">
        <v>101</v>
      </c>
      <c r="O2667" s="3"/>
      <c r="P2667" s="3"/>
      <c r="Q2667" s="3">
        <v>0.69099999999999995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563</v>
      </c>
      <c r="C2668" s="3" t="s">
        <v>555</v>
      </c>
      <c r="D2668" s="3"/>
      <c r="E2668" s="3" t="s">
        <v>555</v>
      </c>
      <c r="F2668" s="3"/>
      <c r="G2668" s="3"/>
      <c r="H2668" s="3"/>
      <c r="I2668" s="3"/>
      <c r="J2668" s="3"/>
      <c r="K2668" s="3"/>
      <c r="L2668" s="3" t="s">
        <v>564</v>
      </c>
      <c r="M2668" s="3">
        <v>120</v>
      </c>
      <c r="N2668" s="3" t="s">
        <v>556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563</v>
      </c>
      <c r="C2669" s="3" t="s">
        <v>557</v>
      </c>
      <c r="D2669" s="3"/>
      <c r="E2669" s="3" t="s">
        <v>557</v>
      </c>
      <c r="F2669" s="3"/>
      <c r="G2669" s="3"/>
      <c r="H2669" s="3"/>
      <c r="I2669" s="3"/>
      <c r="J2669" s="3"/>
      <c r="K2669" s="3"/>
      <c r="L2669" s="3" t="s">
        <v>564</v>
      </c>
      <c r="M2669" s="3">
        <v>10</v>
      </c>
      <c r="N2669" s="3" t="s">
        <v>107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563</v>
      </c>
      <c r="C2670" s="3" t="s">
        <v>557</v>
      </c>
      <c r="D2670" s="3"/>
      <c r="E2670" s="3" t="s">
        <v>557</v>
      </c>
      <c r="F2670" s="3"/>
      <c r="G2670" s="3"/>
      <c r="H2670" s="3"/>
      <c r="I2670" s="3"/>
      <c r="J2670" s="3"/>
      <c r="K2670" s="3"/>
      <c r="L2670" s="3" t="s">
        <v>564</v>
      </c>
      <c r="M2670" s="3">
        <v>20</v>
      </c>
      <c r="N2670" s="3" t="s">
        <v>565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563</v>
      </c>
      <c r="C2671" s="3" t="s">
        <v>557</v>
      </c>
      <c r="D2671" s="3"/>
      <c r="E2671" s="3" t="s">
        <v>557</v>
      </c>
      <c r="F2671" s="3"/>
      <c r="G2671" s="3"/>
      <c r="H2671" s="3"/>
      <c r="I2671" s="3"/>
      <c r="J2671" s="3"/>
      <c r="K2671" s="3"/>
      <c r="L2671" s="3" t="s">
        <v>564</v>
      </c>
      <c r="M2671" s="3">
        <v>30</v>
      </c>
      <c r="N2671" s="3" t="s">
        <v>99</v>
      </c>
      <c r="O2671" s="3"/>
      <c r="P2671" s="3"/>
      <c r="Q2671" s="3">
        <v>0.51</v>
      </c>
      <c r="R2671" s="3" t="s">
        <v>100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563</v>
      </c>
      <c r="C2672" s="3" t="s">
        <v>557</v>
      </c>
      <c r="D2672" s="3"/>
      <c r="E2672" s="3" t="s">
        <v>557</v>
      </c>
      <c r="F2672" s="3"/>
      <c r="G2672" s="3"/>
      <c r="H2672" s="3"/>
      <c r="I2672" s="3"/>
      <c r="J2672" s="3"/>
      <c r="K2672" s="3"/>
      <c r="L2672" s="3" t="s">
        <v>564</v>
      </c>
      <c r="M2672" s="3">
        <v>40</v>
      </c>
      <c r="N2672" s="3" t="s">
        <v>108</v>
      </c>
      <c r="O2672" s="3"/>
      <c r="P2672" s="3"/>
      <c r="Q2672" s="3">
        <v>15.037000000000001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563</v>
      </c>
      <c r="C2673" s="3" t="s">
        <v>557</v>
      </c>
      <c r="D2673" s="3"/>
      <c r="E2673" s="3" t="s">
        <v>557</v>
      </c>
      <c r="F2673" s="3"/>
      <c r="G2673" s="3"/>
      <c r="H2673" s="3"/>
      <c r="I2673" s="3"/>
      <c r="J2673" s="3"/>
      <c r="K2673" s="3"/>
      <c r="L2673" s="3" t="s">
        <v>564</v>
      </c>
      <c r="M2673" s="3">
        <v>50</v>
      </c>
      <c r="N2673" s="3" t="s">
        <v>105</v>
      </c>
      <c r="O2673" s="3"/>
      <c r="P2673" s="3"/>
      <c r="Q2673" s="3">
        <v>92.475999999999999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563</v>
      </c>
      <c r="C2674" s="3" t="s">
        <v>557</v>
      </c>
      <c r="D2674" s="3"/>
      <c r="E2674" s="3" t="s">
        <v>557</v>
      </c>
      <c r="F2674" s="3"/>
      <c r="G2674" s="3"/>
      <c r="H2674" s="3"/>
      <c r="I2674" s="3"/>
      <c r="J2674" s="3"/>
      <c r="K2674" s="3"/>
      <c r="L2674" s="3" t="s">
        <v>564</v>
      </c>
      <c r="M2674" s="3">
        <v>60</v>
      </c>
      <c r="N2674" s="3" t="s">
        <v>106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563</v>
      </c>
      <c r="C2675" s="3" t="s">
        <v>557</v>
      </c>
      <c r="D2675" s="3"/>
      <c r="E2675" s="3" t="s">
        <v>557</v>
      </c>
      <c r="F2675" s="3"/>
      <c r="G2675" s="3"/>
      <c r="H2675" s="3"/>
      <c r="I2675" s="3"/>
      <c r="J2675" s="3"/>
      <c r="K2675" s="3"/>
      <c r="L2675" s="3" t="s">
        <v>564</v>
      </c>
      <c r="M2675" s="3">
        <v>70</v>
      </c>
      <c r="N2675" s="3" t="s">
        <v>104</v>
      </c>
      <c r="O2675" s="3"/>
      <c r="P2675" s="3"/>
      <c r="Q2675" s="3">
        <v>0.13500000000000001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563</v>
      </c>
      <c r="C2676" s="3" t="s">
        <v>557</v>
      </c>
      <c r="D2676" s="3"/>
      <c r="E2676" s="3" t="s">
        <v>557</v>
      </c>
      <c r="F2676" s="3"/>
      <c r="G2676" s="3"/>
      <c r="H2676" s="3"/>
      <c r="I2676" s="3"/>
      <c r="J2676" s="3"/>
      <c r="K2676" s="3"/>
      <c r="L2676" s="3" t="s">
        <v>564</v>
      </c>
      <c r="M2676" s="3">
        <v>80</v>
      </c>
      <c r="N2676" s="3" t="s">
        <v>273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563</v>
      </c>
      <c r="C2677" s="3" t="s">
        <v>557</v>
      </c>
      <c r="D2677" s="3"/>
      <c r="E2677" s="3" t="s">
        <v>557</v>
      </c>
      <c r="F2677" s="3"/>
      <c r="G2677" s="3"/>
      <c r="H2677" s="3"/>
      <c r="I2677" s="3"/>
      <c r="J2677" s="3"/>
      <c r="K2677" s="3"/>
      <c r="L2677" s="3" t="s">
        <v>564</v>
      </c>
      <c r="M2677" s="3">
        <v>90</v>
      </c>
      <c r="N2677" s="3" t="s">
        <v>18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563</v>
      </c>
      <c r="C2678" s="3" t="s">
        <v>557</v>
      </c>
      <c r="D2678" s="3"/>
      <c r="E2678" s="3" t="s">
        <v>557</v>
      </c>
      <c r="F2678" s="3"/>
      <c r="G2678" s="3"/>
      <c r="H2678" s="3"/>
      <c r="I2678" s="3"/>
      <c r="J2678" s="3"/>
      <c r="K2678" s="3"/>
      <c r="L2678" s="3" t="s">
        <v>564</v>
      </c>
      <c r="M2678" s="3">
        <v>100</v>
      </c>
      <c r="N2678" s="3" t="s">
        <v>19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563</v>
      </c>
      <c r="C2679" s="3" t="s">
        <v>557</v>
      </c>
      <c r="D2679" s="3"/>
      <c r="E2679" s="3" t="s">
        <v>557</v>
      </c>
      <c r="F2679" s="3"/>
      <c r="G2679" s="3"/>
      <c r="H2679" s="3"/>
      <c r="I2679" s="3"/>
      <c r="J2679" s="3"/>
      <c r="K2679" s="3"/>
      <c r="L2679" s="3" t="s">
        <v>564</v>
      </c>
      <c r="M2679" s="3">
        <v>110</v>
      </c>
      <c r="N2679" s="3" t="s">
        <v>101</v>
      </c>
      <c r="O2679" s="3"/>
      <c r="P2679" s="3"/>
      <c r="Q2679" s="3">
        <v>0.69099999999999995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563</v>
      </c>
      <c r="C2680" s="3" t="s">
        <v>557</v>
      </c>
      <c r="D2680" s="3"/>
      <c r="E2680" s="3" t="s">
        <v>557</v>
      </c>
      <c r="F2680" s="3"/>
      <c r="G2680" s="3"/>
      <c r="H2680" s="3"/>
      <c r="I2680" s="3"/>
      <c r="J2680" s="3"/>
      <c r="K2680" s="3"/>
      <c r="L2680" s="3" t="s">
        <v>564</v>
      </c>
      <c r="M2680" s="3">
        <v>120</v>
      </c>
      <c r="N2680" s="3" t="s">
        <v>558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563</v>
      </c>
      <c r="C2681" s="3" t="s">
        <v>559</v>
      </c>
      <c r="D2681" s="3"/>
      <c r="E2681" s="3" t="s">
        <v>559</v>
      </c>
      <c r="F2681" s="3"/>
      <c r="G2681" s="3"/>
      <c r="H2681" s="3"/>
      <c r="I2681" s="3"/>
      <c r="J2681" s="3"/>
      <c r="K2681" s="3"/>
      <c r="L2681" s="3" t="s">
        <v>564</v>
      </c>
      <c r="M2681" s="3">
        <v>10</v>
      </c>
      <c r="N2681" s="3" t="s">
        <v>107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563</v>
      </c>
      <c r="C2682" s="3" t="s">
        <v>559</v>
      </c>
      <c r="D2682" s="3"/>
      <c r="E2682" s="3" t="s">
        <v>559</v>
      </c>
      <c r="F2682" s="3"/>
      <c r="G2682" s="3"/>
      <c r="H2682" s="3"/>
      <c r="I2682" s="3"/>
      <c r="J2682" s="3"/>
      <c r="K2682" s="3"/>
      <c r="L2682" s="3" t="s">
        <v>564</v>
      </c>
      <c r="M2682" s="3">
        <v>20</v>
      </c>
      <c r="N2682" s="3" t="s">
        <v>565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563</v>
      </c>
      <c r="C2683" s="3" t="s">
        <v>559</v>
      </c>
      <c r="D2683" s="3"/>
      <c r="E2683" s="3" t="s">
        <v>559</v>
      </c>
      <c r="F2683" s="3"/>
      <c r="G2683" s="3"/>
      <c r="H2683" s="3"/>
      <c r="I2683" s="3"/>
      <c r="J2683" s="3"/>
      <c r="K2683" s="3"/>
      <c r="L2683" s="3" t="s">
        <v>564</v>
      </c>
      <c r="M2683" s="3">
        <v>30</v>
      </c>
      <c r="N2683" s="3" t="s">
        <v>99</v>
      </c>
      <c r="O2683" s="3"/>
      <c r="P2683" s="3"/>
      <c r="Q2683" s="3">
        <v>0.56100000000000005</v>
      </c>
      <c r="R2683" s="3" t="s">
        <v>100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563</v>
      </c>
      <c r="C2684" s="3" t="s">
        <v>559</v>
      </c>
      <c r="D2684" s="3"/>
      <c r="E2684" s="3" t="s">
        <v>559</v>
      </c>
      <c r="F2684" s="3"/>
      <c r="G2684" s="3"/>
      <c r="H2684" s="3"/>
      <c r="I2684" s="3"/>
      <c r="J2684" s="3"/>
      <c r="K2684" s="3"/>
      <c r="L2684" s="3" t="s">
        <v>564</v>
      </c>
      <c r="M2684" s="3">
        <v>40</v>
      </c>
      <c r="N2684" s="3" t="s">
        <v>108</v>
      </c>
      <c r="O2684" s="3"/>
      <c r="P2684" s="3"/>
      <c r="Q2684" s="3">
        <v>15.646000000000001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563</v>
      </c>
      <c r="C2685" s="3" t="s">
        <v>559</v>
      </c>
      <c r="D2685" s="3"/>
      <c r="E2685" s="3" t="s">
        <v>559</v>
      </c>
      <c r="F2685" s="3"/>
      <c r="G2685" s="3"/>
      <c r="H2685" s="3"/>
      <c r="I2685" s="3"/>
      <c r="J2685" s="3"/>
      <c r="K2685" s="3"/>
      <c r="L2685" s="3" t="s">
        <v>564</v>
      </c>
      <c r="M2685" s="3">
        <v>50</v>
      </c>
      <c r="N2685" s="3" t="s">
        <v>105</v>
      </c>
      <c r="O2685" s="3"/>
      <c r="P2685" s="3"/>
      <c r="Q2685" s="3">
        <v>96.224999999999994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563</v>
      </c>
      <c r="C2686" s="3" t="s">
        <v>559</v>
      </c>
      <c r="D2686" s="3"/>
      <c r="E2686" s="3" t="s">
        <v>559</v>
      </c>
      <c r="F2686" s="3"/>
      <c r="G2686" s="3"/>
      <c r="H2686" s="3"/>
      <c r="I2686" s="3"/>
      <c r="J2686" s="3"/>
      <c r="K2686" s="3"/>
      <c r="L2686" s="3" t="s">
        <v>564</v>
      </c>
      <c r="M2686" s="3">
        <v>60</v>
      </c>
      <c r="N2686" s="3" t="s">
        <v>106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563</v>
      </c>
      <c r="C2687" s="3" t="s">
        <v>559</v>
      </c>
      <c r="D2687" s="3"/>
      <c r="E2687" s="3" t="s">
        <v>559</v>
      </c>
      <c r="F2687" s="3"/>
      <c r="G2687" s="3"/>
      <c r="H2687" s="3"/>
      <c r="I2687" s="3"/>
      <c r="J2687" s="3"/>
      <c r="K2687" s="3"/>
      <c r="L2687" s="3" t="s">
        <v>564</v>
      </c>
      <c r="M2687" s="3">
        <v>70</v>
      </c>
      <c r="N2687" s="3" t="s">
        <v>104</v>
      </c>
      <c r="O2687" s="3"/>
      <c r="P2687" s="3"/>
      <c r="Q2687" s="3">
        <v>0.14699999999999999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563</v>
      </c>
      <c r="C2688" s="3" t="s">
        <v>559</v>
      </c>
      <c r="D2688" s="3"/>
      <c r="E2688" s="3" t="s">
        <v>559</v>
      </c>
      <c r="F2688" s="3"/>
      <c r="G2688" s="3"/>
      <c r="H2688" s="3"/>
      <c r="I2688" s="3"/>
      <c r="J2688" s="3"/>
      <c r="K2688" s="3"/>
      <c r="L2688" s="3" t="s">
        <v>564</v>
      </c>
      <c r="M2688" s="3">
        <v>80</v>
      </c>
      <c r="N2688" s="3" t="s">
        <v>273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563</v>
      </c>
      <c r="C2689" s="3" t="s">
        <v>559</v>
      </c>
      <c r="D2689" s="3"/>
      <c r="E2689" s="3" t="s">
        <v>559</v>
      </c>
      <c r="F2689" s="3"/>
      <c r="G2689" s="3"/>
      <c r="H2689" s="3"/>
      <c r="I2689" s="3"/>
      <c r="J2689" s="3"/>
      <c r="K2689" s="3"/>
      <c r="L2689" s="3" t="s">
        <v>564</v>
      </c>
      <c r="M2689" s="3">
        <v>90</v>
      </c>
      <c r="N2689" s="3" t="s">
        <v>18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563</v>
      </c>
      <c r="C2690" s="3" t="s">
        <v>559</v>
      </c>
      <c r="D2690" s="3"/>
      <c r="E2690" s="3" t="s">
        <v>559</v>
      </c>
      <c r="F2690" s="3"/>
      <c r="G2690" s="3"/>
      <c r="H2690" s="3"/>
      <c r="I2690" s="3"/>
      <c r="J2690" s="3"/>
      <c r="K2690" s="3"/>
      <c r="L2690" s="3" t="s">
        <v>564</v>
      </c>
      <c r="M2690" s="3">
        <v>100</v>
      </c>
      <c r="N2690" s="3" t="s">
        <v>19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563</v>
      </c>
      <c r="C2691" s="3" t="s">
        <v>559</v>
      </c>
      <c r="D2691" s="3"/>
      <c r="E2691" s="3" t="s">
        <v>559</v>
      </c>
      <c r="F2691" s="3"/>
      <c r="G2691" s="3"/>
      <c r="H2691" s="3"/>
      <c r="I2691" s="3"/>
      <c r="J2691" s="3"/>
      <c r="K2691" s="3"/>
      <c r="L2691" s="3" t="s">
        <v>564</v>
      </c>
      <c r="M2691" s="3">
        <v>110</v>
      </c>
      <c r="N2691" s="3" t="s">
        <v>101</v>
      </c>
      <c r="O2691" s="3"/>
      <c r="P2691" s="3"/>
      <c r="Q2691" s="3">
        <v>0.69099999999999995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563</v>
      </c>
      <c r="C2692" s="3" t="s">
        <v>559</v>
      </c>
      <c r="D2692" s="3"/>
      <c r="E2692" s="3" t="s">
        <v>559</v>
      </c>
      <c r="F2692" s="3"/>
      <c r="G2692" s="3"/>
      <c r="H2692" s="3"/>
      <c r="I2692" s="3"/>
      <c r="J2692" s="3"/>
      <c r="K2692" s="3"/>
      <c r="L2692" s="3" t="s">
        <v>564</v>
      </c>
      <c r="M2692" s="3">
        <v>120</v>
      </c>
      <c r="N2692" s="3" t="s">
        <v>560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563</v>
      </c>
      <c r="C2693" s="3" t="s">
        <v>561</v>
      </c>
      <c r="D2693" s="3"/>
      <c r="E2693" s="3" t="s">
        <v>561</v>
      </c>
      <c r="F2693" s="3"/>
      <c r="G2693" s="3"/>
      <c r="H2693" s="3"/>
      <c r="I2693" s="3"/>
      <c r="J2693" s="3"/>
      <c r="K2693" s="3"/>
      <c r="L2693" s="3" t="s">
        <v>564</v>
      </c>
      <c r="M2693" s="3">
        <v>10</v>
      </c>
      <c r="N2693" s="3" t="s">
        <v>107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563</v>
      </c>
      <c r="C2694" s="3" t="s">
        <v>561</v>
      </c>
      <c r="D2694" s="3"/>
      <c r="E2694" s="3" t="s">
        <v>561</v>
      </c>
      <c r="F2694" s="3"/>
      <c r="G2694" s="3"/>
      <c r="H2694" s="3"/>
      <c r="I2694" s="3"/>
      <c r="J2694" s="3"/>
      <c r="K2694" s="3"/>
      <c r="L2694" s="3" t="s">
        <v>564</v>
      </c>
      <c r="M2694" s="3">
        <v>20</v>
      </c>
      <c r="N2694" s="3" t="s">
        <v>565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563</v>
      </c>
      <c r="C2695" s="3" t="s">
        <v>561</v>
      </c>
      <c r="D2695" s="3"/>
      <c r="E2695" s="3" t="s">
        <v>561</v>
      </c>
      <c r="F2695" s="3"/>
      <c r="G2695" s="3"/>
      <c r="H2695" s="3"/>
      <c r="I2695" s="3"/>
      <c r="J2695" s="3"/>
      <c r="K2695" s="3"/>
      <c r="L2695" s="3" t="s">
        <v>564</v>
      </c>
      <c r="M2695" s="3">
        <v>30</v>
      </c>
      <c r="N2695" s="3" t="s">
        <v>99</v>
      </c>
      <c r="O2695" s="3"/>
      <c r="P2695" s="3"/>
      <c r="Q2695" s="3">
        <v>0.61199999999999999</v>
      </c>
      <c r="R2695" s="3" t="s">
        <v>100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563</v>
      </c>
      <c r="C2696" s="3" t="s">
        <v>561</v>
      </c>
      <c r="D2696" s="3"/>
      <c r="E2696" s="3" t="s">
        <v>561</v>
      </c>
      <c r="F2696" s="3"/>
      <c r="G2696" s="3"/>
      <c r="H2696" s="3"/>
      <c r="I2696" s="3"/>
      <c r="J2696" s="3"/>
      <c r="K2696" s="3"/>
      <c r="L2696" s="3" t="s">
        <v>564</v>
      </c>
      <c r="M2696" s="3">
        <v>40</v>
      </c>
      <c r="N2696" s="3" t="s">
        <v>108</v>
      </c>
      <c r="O2696" s="3"/>
      <c r="P2696" s="3"/>
      <c r="Q2696" s="3">
        <v>16.256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563</v>
      </c>
      <c r="C2697" s="3" t="s">
        <v>561</v>
      </c>
      <c r="D2697" s="3"/>
      <c r="E2697" s="3" t="s">
        <v>561</v>
      </c>
      <c r="F2697" s="3"/>
      <c r="G2697" s="3"/>
      <c r="H2697" s="3"/>
      <c r="I2697" s="3"/>
      <c r="J2697" s="3"/>
      <c r="K2697" s="3"/>
      <c r="L2697" s="3" t="s">
        <v>564</v>
      </c>
      <c r="M2697" s="3">
        <v>50</v>
      </c>
      <c r="N2697" s="3" t="s">
        <v>105</v>
      </c>
      <c r="O2697" s="3"/>
      <c r="P2697" s="3"/>
      <c r="Q2697" s="3">
        <v>99.974000000000004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563</v>
      </c>
      <c r="C2698" s="3" t="s">
        <v>561</v>
      </c>
      <c r="D2698" s="3"/>
      <c r="E2698" s="3" t="s">
        <v>561</v>
      </c>
      <c r="F2698" s="3"/>
      <c r="G2698" s="3"/>
      <c r="H2698" s="3"/>
      <c r="I2698" s="3"/>
      <c r="J2698" s="3"/>
      <c r="K2698" s="3"/>
      <c r="L2698" s="3" t="s">
        <v>564</v>
      </c>
      <c r="M2698" s="3">
        <v>60</v>
      </c>
      <c r="N2698" s="3" t="s">
        <v>106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563</v>
      </c>
      <c r="C2699" s="3" t="s">
        <v>561</v>
      </c>
      <c r="D2699" s="3"/>
      <c r="E2699" s="3" t="s">
        <v>561</v>
      </c>
      <c r="F2699" s="3"/>
      <c r="G2699" s="3"/>
      <c r="H2699" s="3"/>
      <c r="I2699" s="3"/>
      <c r="J2699" s="3"/>
      <c r="K2699" s="3"/>
      <c r="L2699" s="3" t="s">
        <v>564</v>
      </c>
      <c r="M2699" s="3">
        <v>70</v>
      </c>
      <c r="N2699" s="3" t="s">
        <v>104</v>
      </c>
      <c r="O2699" s="3"/>
      <c r="P2699" s="3"/>
      <c r="Q2699" s="3">
        <v>0.158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563</v>
      </c>
      <c r="C2700" s="3" t="s">
        <v>561</v>
      </c>
      <c r="D2700" s="3"/>
      <c r="E2700" s="3" t="s">
        <v>561</v>
      </c>
      <c r="F2700" s="3"/>
      <c r="G2700" s="3"/>
      <c r="H2700" s="3"/>
      <c r="I2700" s="3"/>
      <c r="J2700" s="3"/>
      <c r="K2700" s="3"/>
      <c r="L2700" s="3" t="s">
        <v>564</v>
      </c>
      <c r="M2700" s="3">
        <v>80</v>
      </c>
      <c r="N2700" s="3" t="s">
        <v>273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563</v>
      </c>
      <c r="C2701" s="3" t="s">
        <v>561</v>
      </c>
      <c r="D2701" s="3"/>
      <c r="E2701" s="3" t="s">
        <v>561</v>
      </c>
      <c r="F2701" s="3"/>
      <c r="G2701" s="3"/>
      <c r="H2701" s="3"/>
      <c r="I2701" s="3"/>
      <c r="J2701" s="3"/>
      <c r="K2701" s="3"/>
      <c r="L2701" s="3" t="s">
        <v>564</v>
      </c>
      <c r="M2701" s="3">
        <v>90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563</v>
      </c>
      <c r="C2702" s="3" t="s">
        <v>561</v>
      </c>
      <c r="D2702" s="3"/>
      <c r="E2702" s="3" t="s">
        <v>561</v>
      </c>
      <c r="F2702" s="3"/>
      <c r="G2702" s="3"/>
      <c r="H2702" s="3"/>
      <c r="I2702" s="3"/>
      <c r="J2702" s="3"/>
      <c r="K2702" s="3"/>
      <c r="L2702" s="3" t="s">
        <v>564</v>
      </c>
      <c r="M2702" s="3">
        <v>100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563</v>
      </c>
      <c r="C2703" s="3" t="s">
        <v>561</v>
      </c>
      <c r="D2703" s="3"/>
      <c r="E2703" s="3" t="s">
        <v>561</v>
      </c>
      <c r="F2703" s="3"/>
      <c r="G2703" s="3"/>
      <c r="H2703" s="3"/>
      <c r="I2703" s="3"/>
      <c r="J2703" s="3"/>
      <c r="K2703" s="3"/>
      <c r="L2703" s="3" t="s">
        <v>564</v>
      </c>
      <c r="M2703" s="3">
        <v>110</v>
      </c>
      <c r="N2703" s="3" t="s">
        <v>101</v>
      </c>
      <c r="O2703" s="3"/>
      <c r="P2703" s="3"/>
      <c r="Q2703" s="3">
        <v>0.69099999999999995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563</v>
      </c>
      <c r="C2704" s="3" t="s">
        <v>561</v>
      </c>
      <c r="D2704" s="3"/>
      <c r="E2704" s="3" t="s">
        <v>561</v>
      </c>
      <c r="F2704" s="3"/>
      <c r="G2704" s="3"/>
      <c r="H2704" s="3"/>
      <c r="I2704" s="3"/>
      <c r="J2704" s="3"/>
      <c r="K2704" s="3"/>
      <c r="L2704" s="3" t="s">
        <v>564</v>
      </c>
      <c r="M2704" s="3">
        <v>120</v>
      </c>
      <c r="N2704" s="3" t="s">
        <v>562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2026-06-02T06:56:57Z</dcterms:modified>
</cp:coreProperties>
</file>