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 koil PT-Ecom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DEST!$A$2:$AL$1264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E2" i="13"/>
  <c r="G13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8" i="13"/>
  <c r="E7" i="13"/>
  <c r="E4" i="13"/>
  <c r="E3" i="13"/>
  <c r="G8" i="13" l="1"/>
  <c r="G7" i="13"/>
  <c r="G5" i="13" l="1"/>
  <c r="G6" i="13" l="1"/>
  <c r="H15" i="13" l="1"/>
  <c r="H14" i="13"/>
  <c r="H5" i="13"/>
  <c r="G4" i="13"/>
  <c r="H4" i="13" s="1"/>
  <c r="G3" i="13"/>
  <c r="H9" i="13" l="1"/>
  <c r="H10" i="13"/>
  <c r="H11" i="13"/>
  <c r="H12" i="13"/>
  <c r="H2" i="13"/>
  <c r="H13" i="13" l="1"/>
  <c r="H3" i="13" l="1"/>
  <c r="H8" i="13" l="1"/>
  <c r="H7" i="13"/>
  <c r="H6" i="13"/>
</calcChain>
</file>

<file path=xl/sharedStrings.xml><?xml version="1.0" encoding="utf-8"?>
<sst xmlns="http://schemas.openxmlformats.org/spreadsheetml/2006/main" count="11192" uniqueCount="291">
  <si>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</si>
  <si>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</si>
  <si>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</si>
  <si>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</si>
  <si>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</si>
  <si>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</si>
  <si>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</si>
  <si>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</si>
  <si>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</si>
  <si>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</si>
  <si>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</si>
  <si>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</si>
  <si>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</si>
  <si>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</si>
  <si>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</si>
  <si>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</si>
  <si>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</si>
  <si>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</si>
  <si>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</si>
  <si>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</si>
  <si>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</si>
  <si>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</si>
  <si>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</si>
  <si>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</si>
  <si>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</si>
  <si>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</si>
  <si>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</si>
  <si>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</si>
  <si>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</si>
  <si>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</si>
  <si>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</si>
  <si>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</si>
  <si>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</si>
  <si>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</si>
  <si>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</si>
  <si>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</si>
  <si>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</si>
  <si>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</si>
  <si>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</si>
  <si>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</si>
  <si>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</si>
  <si>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</si>
  <si>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</si>
  <si>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</si>
  <si>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</si>
  <si>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</si>
  <si>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</si>
  <si>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</si>
  <si>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</si>
  <si>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</si>
  <si>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</si>
  <si>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</si>
  <si>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</si>
  <si>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</si>
  <si>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</si>
  <si>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</si>
  <si>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</si>
  <si>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</si>
  <si>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</si>
  <si>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</si>
  <si>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</si>
  <si>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</si>
  <si>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</si>
  <si>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</si>
  <si>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</si>
  <si>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</si>
  <si>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</si>
  <si>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</si>
  <si>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</si>
  <si>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</si>
  <si>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</si>
  <si>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</si>
  <si>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</si>
  <si>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</si>
  <si>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</si>
  <si>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</si>
  <si>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</si>
  <si>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</si>
  <si>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</si>
  <si>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</si>
  <si>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</si>
  <si>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</si>
  <si>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</si>
  <si>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</si>
  <si>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</si>
  <si>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</si>
  <si>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</si>
  <si>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</si>
  <si>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</si>
  <si>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</si>
  <si>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</si>
  <si>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</si>
  <si>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</si>
  <si>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</si>
  <si>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</si>
  <si>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</si>
  <si>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</si>
  <si>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75</t>
  </si>
  <si>
    <t>78</t>
  </si>
  <si>
    <t>80</t>
  </si>
  <si>
    <t>84</t>
  </si>
  <si>
    <t>DB</t>
  </si>
  <si>
    <t>RML-POLY-GUM</t>
  </si>
  <si>
    <t>LTR</t>
  </si>
  <si>
    <t>30</t>
  </si>
  <si>
    <t>36</t>
  </si>
  <si>
    <t>42</t>
  </si>
  <si>
    <t>48</t>
  </si>
  <si>
    <t>60</t>
  </si>
  <si>
    <t>66</t>
  </si>
  <si>
    <t>SFG-SPKMR-ONL-QUILT</t>
  </si>
  <si>
    <t>SFG-SPKMR-BP</t>
  </si>
  <si>
    <t>SFG-SPKDB-ONL-QUILT</t>
  </si>
  <si>
    <t>SFG-SPKDB-BP</t>
  </si>
  <si>
    <t>RML-CS-PL-8.5</t>
  </si>
  <si>
    <t>RMI-PVC-50</t>
  </si>
  <si>
    <t>SSKBNPTMR72X30X08-ECOM</t>
  </si>
  <si>
    <t>SSKBNPTMR72X36X08-ECOM</t>
  </si>
  <si>
    <t>SSKBNPTMR72X42X08-ECOM</t>
  </si>
  <si>
    <t>SSKBNPTMR72X48X08-ECOM</t>
  </si>
  <si>
    <t>SSKBNPTMR72X60X08-ECOM</t>
  </si>
  <si>
    <t>SSKBNPTMR72X66X08-ECOM</t>
  </si>
  <si>
    <t>SSKBNPTMR72X72X08-ECOM</t>
  </si>
  <si>
    <t>SSKBNPTMR75X30X08-ECOM</t>
  </si>
  <si>
    <t>SSKBNPTMR75X36X08-ECOM</t>
  </si>
  <si>
    <t>SSKBNPTMR75X42X08-ECOM</t>
  </si>
  <si>
    <t>SSKBNPTMR75X48X08-ECOM</t>
  </si>
  <si>
    <t>SSKBNPTMR75X60X08-ECOM</t>
  </si>
  <si>
    <t>SSKBNPTMR75X66X08-ECOM</t>
  </si>
  <si>
    <t>SSKBNPTMR75X72X08-ECOM</t>
  </si>
  <si>
    <t>SSKBNPTMR78X30X08-ECOM</t>
  </si>
  <si>
    <t>SSKBNPTMR78X36X08-ECOM</t>
  </si>
  <si>
    <t>SSKBNPTMR78X42X08-ECOM</t>
  </si>
  <si>
    <t>SSKBNPTMR78X48X08-ECOM</t>
  </si>
  <si>
    <t>SSKBNPTMR78X60X08-ECOM</t>
  </si>
  <si>
    <t>SSKBNPTMR78X66X08-ECOM</t>
  </si>
  <si>
    <t>SSKBNPTMR78X72X08-ECOM</t>
  </si>
  <si>
    <t>SSKBNPTMR80X30X08-ECOM</t>
  </si>
  <si>
    <t>SSKBNPTMR80X36X08-ECOM</t>
  </si>
  <si>
    <t>SSKBNPTMR80X42X08-ECOM</t>
  </si>
  <si>
    <t>SSKBNPTMR80X48X08-ECOM</t>
  </si>
  <si>
    <t>SSKBNPTMR80X60X08-ECOM</t>
  </si>
  <si>
    <t>SSKBNPTMR80X66X08-ECOM</t>
  </si>
  <si>
    <t>SSKBNPTMR80X72X08-ECOM</t>
  </si>
  <si>
    <t>SSKBNPTMR84X30X08-ECOM</t>
  </si>
  <si>
    <t>SSKBNPTMR84X36X08-ECOM</t>
  </si>
  <si>
    <t>SSKBNPTMR84X42X08-ECOM</t>
  </si>
  <si>
    <t>SSKBNPTMR84X48X08-ECOM</t>
  </si>
  <si>
    <t>SSKBNPTMR84X60X08-ECOM</t>
  </si>
  <si>
    <t>SSKBNPTMR84X66X08-ECOM</t>
  </si>
  <si>
    <t>SSKBNPTMR84X72X08-ECOM</t>
  </si>
  <si>
    <t>SSKBNPTDB72X30X08-ECOM</t>
  </si>
  <si>
    <t>SSKBNPTDB72X36X08-ECOM</t>
  </si>
  <si>
    <t>SSKBNPTDB72X42X08-ECOM</t>
  </si>
  <si>
    <t>SSKBNPTDB72X48X08-ECOM</t>
  </si>
  <si>
    <t>SSKBNPTDB72X60X08-ECOM</t>
  </si>
  <si>
    <t>SSKBNPTDB72X66X08-ECOM</t>
  </si>
  <si>
    <t>SSKBNPTDB72X72X08-ECOM</t>
  </si>
  <si>
    <t>SSKBNPTDB75X30X08-ECOM</t>
  </si>
  <si>
    <t>SSKBNPTDB75X36X08-ECOM</t>
  </si>
  <si>
    <t>SSKBNPTDB75X42X08-ECOM</t>
  </si>
  <si>
    <t>SSKBNPTDB75X48X08-ECOM</t>
  </si>
  <si>
    <t>SSKBNPTDB75X60X08-ECOM</t>
  </si>
  <si>
    <t>SSKBNPTDB75X66X08-ECOM</t>
  </si>
  <si>
    <t>SSKBNPTDB75X72X08-ECOM</t>
  </si>
  <si>
    <t>SSKBNPTDB78X30X08-ECOM</t>
  </si>
  <si>
    <t>SSKBNPTDB78X36X08-ECOM</t>
  </si>
  <si>
    <t>SSKBNPTDB78X42X08-ECOM</t>
  </si>
  <si>
    <t>SSKBNPTDB78X48X08-ECOM</t>
  </si>
  <si>
    <t>SSKBNPTDB78X60X08-ECOM</t>
  </si>
  <si>
    <t>SSKBNPTDB78X66X08-ECOM</t>
  </si>
  <si>
    <t>SSKBNPTDB78X72X08-ECOM</t>
  </si>
  <si>
    <t>SSKBNPTDB80X30X08-ECOM</t>
  </si>
  <si>
    <t>SSKBNPTDB80X36X08-ECOM</t>
  </si>
  <si>
    <t>SSKBNPTDB80X42X08-ECOM</t>
  </si>
  <si>
    <t>SSKBNPTDB80X48X08-ECOM</t>
  </si>
  <si>
    <t>SSKBNPTDB80X60X08-ECOM</t>
  </si>
  <si>
    <t>SSKBNPTDB80X66X08-ECOM</t>
  </si>
  <si>
    <t>SSKBNPTDB80X72X08-ECOM</t>
  </si>
  <si>
    <t>SSKBNPTDB84X30X08-ECOM</t>
  </si>
  <si>
    <t>SSKBNPTDB84X36X08-ECOM</t>
  </si>
  <si>
    <t>SSKBNPTDB84X42X08-ECOM</t>
  </si>
  <si>
    <t>SSKBNPTDB84X48X08-ECOM</t>
  </si>
  <si>
    <t>SSKBNPTDB84X60X08-ECOM</t>
  </si>
  <si>
    <t>SSKBNPTDB84X66X08-ECOM</t>
  </si>
  <si>
    <t>SSKBNPTDB84X72X08-ECOM</t>
  </si>
  <si>
    <t>OEBOXBNSR71.50X29.50X140</t>
  </si>
  <si>
    <t>17D-PU-FOAM-67X25X10MM</t>
  </si>
  <si>
    <t>OEBOXBNSR71.50X35.50X140</t>
  </si>
  <si>
    <t>17D-PU-FOAM-67X31X10MM</t>
  </si>
  <si>
    <t>OEBOXBNSR71.50X41.50X140</t>
  </si>
  <si>
    <t>17D-PU-FOAM-67X37X10MM</t>
  </si>
  <si>
    <t>OEBOXBNSR71.50X47.50X140</t>
  </si>
  <si>
    <t>17D-PU-FOAM-67X43X10MM</t>
  </si>
  <si>
    <t>OEBOXBNSR71.50X59.50X140</t>
  </si>
  <si>
    <t>17D-PU-FOAM-67X55X10MM</t>
  </si>
  <si>
    <t>OEBOXBNSR71.50X65.50X140</t>
  </si>
  <si>
    <t>17D-PU-FOAM-67X61X10MM</t>
  </si>
  <si>
    <t>OEBOXBNSR71.50X71.50X140</t>
  </si>
  <si>
    <t>17D-PU-FOAM-67X67X10MM</t>
  </si>
  <si>
    <t>OEBOXBNSR74.50X29.50X140</t>
  </si>
  <si>
    <t>17D-PU-FOAM-70X25X10MM</t>
  </si>
  <si>
    <t>OEBOXBNSR74.50X35.50X140</t>
  </si>
  <si>
    <t>17D-PU-FOAM-70X31X10MM</t>
  </si>
  <si>
    <t>OEBOXBNSR74.50X41.50X140</t>
  </si>
  <si>
    <t>17D-PU-FOAM-70X37X10MM</t>
  </si>
  <si>
    <t>OEBOXBNSR74.50X47.50X140</t>
  </si>
  <si>
    <t>17D-PU-FOAM-70X43X10MM</t>
  </si>
  <si>
    <t>OEBOXBNSR74.50X59.50X140</t>
  </si>
  <si>
    <t>17D-PU-FOAM-70X55X10MM</t>
  </si>
  <si>
    <t>OEBOXBNSR74.50X65.50X140</t>
  </si>
  <si>
    <t>17D-PU-FOAM-70X61X10MM</t>
  </si>
  <si>
    <t>OEBOXBNSR74.50X71.50X140</t>
  </si>
  <si>
    <t>17D-PU-FOAM-70X67X10MM</t>
  </si>
  <si>
    <t>OEBOXBNSR77.50X29.50X140</t>
  </si>
  <si>
    <t>17D-PU-FOAM-73X25X10MM</t>
  </si>
  <si>
    <t>OEBOXBNSR77.50X35.50X140</t>
  </si>
  <si>
    <t>17D-PU-FOAM-73X31X10MM</t>
  </si>
  <si>
    <t>OEBOXBNSR77.50X41.50X140</t>
  </si>
  <si>
    <t>17D-PU-FOAM-73X37X10MM</t>
  </si>
  <si>
    <t>OEBOXBNSR77.50X47.50X140</t>
  </si>
  <si>
    <t>17D-PU-FOAM-73X43X10MM</t>
  </si>
  <si>
    <t>OEBOXBNSR77.50X59.50X140</t>
  </si>
  <si>
    <t>17D-PU-FOAM-73X55X10MM</t>
  </si>
  <si>
    <t>OEBOXBNSR77.50X65.50X140</t>
  </si>
  <si>
    <t>17D-PU-FOAM-73X61X10MM</t>
  </si>
  <si>
    <t>OEBOXBNSR77.50X71.50X140</t>
  </si>
  <si>
    <t>17D-PU-FOAM-73X67X10MM</t>
  </si>
  <si>
    <t>OEBOXBNSR79.50X29.50X140</t>
  </si>
  <si>
    <t>17D-PU-FOAM-75X25X10MM</t>
  </si>
  <si>
    <t>OEBOXBNSR79.50X35.50X140</t>
  </si>
  <si>
    <t>17D-PU-FOAM-75X31X10MM</t>
  </si>
  <si>
    <t>OEBOXBNSR79.50X41.50X140</t>
  </si>
  <si>
    <t>17D-PU-FOAM-75X37X10MM</t>
  </si>
  <si>
    <t>OEBOXBNSR79.50X47.50X140</t>
  </si>
  <si>
    <t>17D-PU-FOAM-75X43X10MM</t>
  </si>
  <si>
    <t>OEBOXBNSR79.50X59.50X140</t>
  </si>
  <si>
    <t>17D-PU-FOAM-75X55X10MM</t>
  </si>
  <si>
    <t>OEBOXBNSR79.50X65.50X140</t>
  </si>
  <si>
    <t>17D-PU-FOAM-75X61X10MM</t>
  </si>
  <si>
    <t>OEBOXBNSR79.50X71.50X140</t>
  </si>
  <si>
    <t>17D-PU-FOAM-75X67X10MM</t>
  </si>
  <si>
    <t>OEBOXBNSR83.50X29.50X140</t>
  </si>
  <si>
    <t>17D-PU-FOAM-79X25X10MM</t>
  </si>
  <si>
    <t>OEBOXBNSR83.50X35.50X140</t>
  </si>
  <si>
    <t>17D-PU-FOAM-79X31X10MM</t>
  </si>
  <si>
    <t>OEBOXBNSR83.50X41.50X140</t>
  </si>
  <si>
    <t>17D-PU-FOAM-79X37X10MM</t>
  </si>
  <si>
    <t>OEBOXBNSR83.50X47.50X140</t>
  </si>
  <si>
    <t>17D-PU-FOAM-79X43X10MM</t>
  </si>
  <si>
    <t>OEBOXBNSR83.50X59.50X140</t>
  </si>
  <si>
    <t>17D-PU-FOAM-79X55X10MM</t>
  </si>
  <si>
    <t>OEBOXBNSR83.50X65.50X140</t>
  </si>
  <si>
    <t>17D-PU-FOAM-79X61X10MM</t>
  </si>
  <si>
    <t>OEBOXBNSR83.50X71.50X140</t>
  </si>
  <si>
    <t>17D-PU-FOAM-79X67X10MM</t>
  </si>
  <si>
    <t>25D-HELIXA-FOAM-69X27X25MM</t>
  </si>
  <si>
    <t>25D-HELIXA-FOAM-69X33X25MM</t>
  </si>
  <si>
    <t>25D-HELIXA-FOAM-69X39X25MM</t>
  </si>
  <si>
    <t>25D-HELIXA-FOAM-69X45X25MM</t>
  </si>
  <si>
    <t>25D-HELIXA-FOAM-69X57X25MM</t>
  </si>
  <si>
    <t>25D-HELIXA-FOAM-69X63X25MM</t>
  </si>
  <si>
    <t>25D-HELIXA-FOAM-69X69X25MM</t>
  </si>
  <si>
    <t>25D-HELIXA-FOAM-72X27X25MM</t>
  </si>
  <si>
    <t>25D-HELIXA-FOAM-72X33X25MM</t>
  </si>
  <si>
    <t>25D-HELIXA-FOAM-72X39X25MM</t>
  </si>
  <si>
    <t>25D-HELIXA-FOAM-72X45X25MM</t>
  </si>
  <si>
    <t>25D-HELIXA-FOAM-72X57X25MM</t>
  </si>
  <si>
    <t>25D-HELIXA-FOAM-72X63X25MM</t>
  </si>
  <si>
    <t>25D-HELIXA-FOAM-72X69X25MM</t>
  </si>
  <si>
    <t>25D-HELIXA-FOAM-75X27X25MM</t>
  </si>
  <si>
    <t>25D-HELIXA-FOAM-75X33X25MM</t>
  </si>
  <si>
    <t>25D-HELIXA-FOAM-75X39X25MM</t>
  </si>
  <si>
    <t>25D-HELIXA-FOAM-75X45X25MM</t>
  </si>
  <si>
    <t>25D-HELIXA-FOAM-75X57X25MM</t>
  </si>
  <si>
    <t>25D-HELIXA-FOAM-75X63X25MM</t>
  </si>
  <si>
    <t>25D-HELIXA-FOAM-75X69X25MM</t>
  </si>
  <si>
    <t>25D-HELIXA-FOAM-77X27X25MM</t>
  </si>
  <si>
    <t>25D-HELIXA-FOAM-77X33X25MM</t>
  </si>
  <si>
    <t>25D-HELIXA-FOAM-77X39X25MM</t>
  </si>
  <si>
    <t>25D-HELIXA-FOAM-77X45X25MM</t>
  </si>
  <si>
    <t>25D-HELIXA-FOAM-77X57X25MM</t>
  </si>
  <si>
    <t>25D-HELIXA-FOAM-77X63X25MM</t>
  </si>
  <si>
    <t>25D-HELIXA-FOAM-77X69X25MM</t>
  </si>
  <si>
    <t>25D-HELIXA-FOAM-81X27X25MM</t>
  </si>
  <si>
    <t>25D-HELIXA-FOAM-81X33X25MM</t>
  </si>
  <si>
    <t>25D-HELIXA-FOAM-81X39X25MM</t>
  </si>
  <si>
    <t>25D-HELIXA-FOAM-81X45X25MM</t>
  </si>
  <si>
    <t>25D-HELIXA-FOAM-81X57X25MM</t>
  </si>
  <si>
    <t>25D-HELIXA-FOAM-81X63X25MM</t>
  </si>
  <si>
    <t>25D-HELIXA-FOAM-81X69X25MM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</si>
</sst>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3" sqref="M1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6.5703125" style="17" bestFit="1" customWidth="1"/>
    <col min="5" max="5" width="30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"SSKBNPT"&amp;IF($N$2="DB","DB",IF($N$2="GR","GR",IF($N$2="MR","MR")))&amp;$K$2&amp;"X"&amp;$L$2&amp;"X"&amp;IF($M$2=10,$M$2,"0"&amp;$M$2)&amp;"-ECOM"</f>
        <v>SSKBNPTDB84X72X08-ECOM</v>
      </c>
      <c r="E2" s="1" t="str">
        <f>"OEBOXBNSR"&amp;(K2-0.5)&amp;"0"&amp;"X"&amp;(L2-0.5)&amp;"0"&amp;"X"&amp;IF(M2=6,"110",IF(M2=8,"140",IF(M2=10,"150",0)))</f>
        <v>OEBOXBNSR83.50X71.50X140</v>
      </c>
      <c r="F2" s="11" t="s">
        <v>11</v>
      </c>
      <c r="G2" s="14">
        <v>1</v>
      </c>
      <c r="H2" s="10">
        <f t="shared" ref="H2:H8" si="0">ROUND(G2,3)</f>
        <v>1</v>
      </c>
      <c r="I2" s="20" t="s">
        <v>16</v>
      </c>
      <c r="J2" s="5"/>
      <c r="K2" s="6">
        <v>84</v>
      </c>
      <c r="L2" s="6">
        <v>72</v>
      </c>
      <c r="M2" s="6">
        <v>8</v>
      </c>
      <c r="N2" s="6" t="s">
        <v>101</v>
      </c>
      <c r="R2" s="35" t="s">
        <v>96</v>
      </c>
      <c r="S2" s="35" t="s">
        <v>104</v>
      </c>
      <c r="T2" s="34">
        <v>8</v>
      </c>
      <c r="U2" s="35" t="s">
        <v>89</v>
      </c>
    </row>
    <row r="3" spans="1:21" s="19" customFormat="1" x14ac:dyDescent="0.25">
      <c r="A3" s="36">
        <v>3</v>
      </c>
      <c r="B3" s="7" t="s">
        <v>17</v>
      </c>
      <c r="C3" s="7" t="s">
        <v>17</v>
      </c>
      <c r="D3" s="7" t="str">
        <f t="shared" ref="D3:D15" si="1">"SSKBNPT"&amp;IF($N$2="DB","DB",IF($N$2="GR","GR",IF($N$2="MR","MR")))&amp;$K$2&amp;"X"&amp;$L$2&amp;"X"&amp;IF($M$2=10,$M$2,"0"&amp;$M$2)&amp;"-ECOM"</f>
        <v>SSKBNPTDB84X72X08-ECOM</v>
      </c>
      <c r="E3" s="26" t="str">
        <f>IF(N2="MR","SFG-SPKMR-ONL-QUILT",IF(N2="DB","SFG-SPKDB-ONL-QUILT",0))</f>
        <v>SFG-SPKDB-ONL-QUILT</v>
      </c>
      <c r="F3" s="11" t="s">
        <v>15</v>
      </c>
      <c r="G3" s="23">
        <f>IF(K2&lt;79,(L2+1),IF(L2&lt;37,(K2+1),(K2+1)))*0.0254</f>
        <v>2.1589999999999998</v>
      </c>
      <c r="H3" s="10">
        <f t="shared" si="0"/>
        <v>2.1589999999999998</v>
      </c>
      <c r="I3" s="20" t="s">
        <v>16</v>
      </c>
      <c r="J3" s="5"/>
      <c r="K3" s="18"/>
      <c r="L3" s="18"/>
      <c r="M3" s="18"/>
      <c r="N3" s="18"/>
      <c r="O3" s="4"/>
      <c r="R3" s="39" t="s">
        <v>96</v>
      </c>
      <c r="S3" s="39" t="s">
        <v>105</v>
      </c>
      <c r="T3" s="34">
        <v>8</v>
      </c>
      <c r="U3" s="35" t="s">
        <v>89</v>
      </c>
    </row>
    <row r="4" spans="1:21" x14ac:dyDescent="0.25">
      <c r="A4" s="36">
        <v>6</v>
      </c>
      <c r="B4" s="7" t="s">
        <v>17</v>
      </c>
      <c r="C4" s="7" t="s">
        <v>17</v>
      </c>
      <c r="D4" s="7" t="str">
        <f t="shared" si="1"/>
        <v>SSKBNPTDB84X72X08-ECOM</v>
      </c>
      <c r="E4" s="38" t="str">
        <f>IF(N2="MR","SFG-SPKMR-BP",IF(N2="DB","SFG-SPKDB-BP",0))</f>
        <v>SFG-SPKDB-BP</v>
      </c>
      <c r="F4" s="11" t="s">
        <v>15</v>
      </c>
      <c r="G4" s="23">
        <f>IF(K2&lt;79,(L2+1),IF(L2&lt;37,(K2+1),(K2+1)))*0.0254</f>
        <v>2.1589999999999998</v>
      </c>
      <c r="H4" s="10">
        <f t="shared" si="0"/>
        <v>2.1589999999999998</v>
      </c>
      <c r="I4" s="20" t="s">
        <v>16</v>
      </c>
      <c r="J4" s="12"/>
      <c r="O4" s="19"/>
      <c r="R4" s="35" t="s">
        <v>96</v>
      </c>
      <c r="S4" s="35" t="s">
        <v>106</v>
      </c>
      <c r="T4" s="34">
        <v>8</v>
      </c>
      <c r="U4" s="35" t="s">
        <v>89</v>
      </c>
    </row>
    <row r="5" spans="1:21" x14ac:dyDescent="0.25">
      <c r="A5" s="36">
        <v>7</v>
      </c>
      <c r="B5" s="7" t="s">
        <v>19</v>
      </c>
      <c r="C5" s="7" t="s">
        <v>19</v>
      </c>
      <c r="D5" s="7" t="str">
        <f t="shared" si="1"/>
        <v>SSKBNPTDB84X72X08-ECOM</v>
      </c>
      <c r="E5" s="17" t="s">
        <v>102</v>
      </c>
      <c r="F5" s="37" t="s">
        <v>103</v>
      </c>
      <c r="G5" s="14">
        <f>((K2-1)*(L2-1)/144)*0.00729*5</f>
        <v>1.4916656250000002</v>
      </c>
      <c r="H5" s="10">
        <f t="shared" si="0"/>
        <v>1.492</v>
      </c>
      <c r="I5" s="8" t="s">
        <v>14</v>
      </c>
      <c r="J5" s="12"/>
      <c r="O5" s="19"/>
      <c r="R5" s="35" t="s">
        <v>96</v>
      </c>
      <c r="S5" s="35" t="s">
        <v>107</v>
      </c>
      <c r="T5" s="34">
        <v>8</v>
      </c>
      <c r="U5" s="35" t="s">
        <v>89</v>
      </c>
    </row>
    <row r="6" spans="1:21" x14ac:dyDescent="0.25">
      <c r="A6" s="36">
        <v>8</v>
      </c>
      <c r="B6" s="7" t="s">
        <v>17</v>
      </c>
      <c r="C6" s="7" t="s">
        <v>17</v>
      </c>
      <c r="D6" s="7" t="str">
        <f t="shared" si="1"/>
        <v>SSKBNPTDB84X72X08-ECOM</v>
      </c>
      <c r="E6" s="15" t="s">
        <v>18</v>
      </c>
      <c r="F6" s="16" t="s">
        <v>15</v>
      </c>
      <c r="G6" s="23">
        <f>(K2+L2+1.5)*4*0.0254*8</f>
        <v>128.01599999999999</v>
      </c>
      <c r="H6" s="10">
        <f t="shared" si="0"/>
        <v>128.01599999999999</v>
      </c>
      <c r="I6" s="8" t="s">
        <v>14</v>
      </c>
      <c r="J6" s="12"/>
      <c r="R6" s="35" t="s">
        <v>96</v>
      </c>
      <c r="S6" s="35" t="s">
        <v>108</v>
      </c>
      <c r="T6" s="34">
        <v>8</v>
      </c>
      <c r="U6" s="35" t="s">
        <v>89</v>
      </c>
    </row>
    <row r="7" spans="1:21" x14ac:dyDescent="0.25">
      <c r="A7" s="36">
        <v>9</v>
      </c>
      <c r="B7" s="7" t="s">
        <v>19</v>
      </c>
      <c r="C7" s="7" t="s">
        <v>19</v>
      </c>
      <c r="D7" s="7" t="str">
        <f t="shared" si="1"/>
        <v>SSKBNPTDB84X72X08-ECOM</v>
      </c>
      <c r="E7" s="21" t="str">
        <f>IF(N2="DB","RML-EDTAPE-BLUE",IF(N2="MR","RML-EDTAPE-MER-KNIT",0))</f>
        <v>RML-EDTAPE-BLUE</v>
      </c>
      <c r="F7" s="11" t="s">
        <v>15</v>
      </c>
      <c r="G7" s="14">
        <f>(K2+L2+3)*2*0.0254*3</f>
        <v>24.2316</v>
      </c>
      <c r="H7" s="10">
        <f t="shared" si="0"/>
        <v>24.231999999999999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5" t="s">
        <v>96</v>
      </c>
      <c r="S7" s="35" t="s">
        <v>109</v>
      </c>
      <c r="T7" s="34">
        <v>8</v>
      </c>
      <c r="U7" s="35" t="s">
        <v>89</v>
      </c>
    </row>
    <row r="8" spans="1:21" x14ac:dyDescent="0.25">
      <c r="A8" s="36">
        <v>10</v>
      </c>
      <c r="B8" s="7" t="s">
        <v>19</v>
      </c>
      <c r="C8" s="7" t="s">
        <v>19</v>
      </c>
      <c r="D8" s="7" t="str">
        <f t="shared" si="1"/>
        <v>SSKBNPTDB84X72X08-ECOM</v>
      </c>
      <c r="E8" s="21" t="str">
        <f>IF(N2="DB","RM-THRD-TKT40-BLACK",IF(N2="MR","RML-THRD-TKT-40MER",0))</f>
        <v>RM-THRD-TKT40-BLACK</v>
      </c>
      <c r="F8" s="11" t="s">
        <v>15</v>
      </c>
      <c r="G8" s="14">
        <f>(K2+L2+4)*2*0.0254*(4.73+1.42)*3</f>
        <v>149.9616</v>
      </c>
      <c r="H8" s="10">
        <f t="shared" si="0"/>
        <v>149.96199999999999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5" t="s">
        <v>96</v>
      </c>
      <c r="S8" s="35" t="s">
        <v>96</v>
      </c>
      <c r="T8" s="34">
        <v>8</v>
      </c>
      <c r="U8" s="35" t="s">
        <v>89</v>
      </c>
    </row>
    <row r="9" spans="1:21" x14ac:dyDescent="0.25">
      <c r="A9" s="36">
        <v>11</v>
      </c>
      <c r="B9" s="7" t="s">
        <v>20</v>
      </c>
      <c r="C9" s="9" t="s">
        <v>20</v>
      </c>
      <c r="D9" s="7" t="str">
        <f t="shared" si="1"/>
        <v>SSKBNPTDB84X72X08-ECOM</v>
      </c>
      <c r="E9" s="21" t="s">
        <v>114</v>
      </c>
      <c r="F9" s="11" t="s">
        <v>11</v>
      </c>
      <c r="G9" s="14">
        <v>4</v>
      </c>
      <c r="H9" s="10">
        <f t="shared" ref="H9:H13" si="2">ROUND(G9,3)</f>
        <v>4</v>
      </c>
      <c r="I9" s="8" t="s">
        <v>14</v>
      </c>
      <c r="J9" s="12"/>
      <c r="K9" s="19"/>
      <c r="L9" s="19"/>
      <c r="M9" s="19"/>
      <c r="N9" s="19"/>
      <c r="O9" s="19"/>
      <c r="P9" s="24"/>
      <c r="Q9" s="19"/>
      <c r="R9" s="35" t="s">
        <v>97</v>
      </c>
      <c r="S9" s="35" t="s">
        <v>104</v>
      </c>
      <c r="T9" s="34">
        <v>8</v>
      </c>
      <c r="U9" s="35" t="s">
        <v>89</v>
      </c>
    </row>
    <row r="10" spans="1:21" x14ac:dyDescent="0.25">
      <c r="A10" s="36">
        <v>12</v>
      </c>
      <c r="B10" s="7" t="s">
        <v>19</v>
      </c>
      <c r="C10" s="7" t="s">
        <v>19</v>
      </c>
      <c r="D10" s="7" t="str">
        <f t="shared" si="1"/>
        <v>SSKBNPTDB84X72X08-ECOM</v>
      </c>
      <c r="E10" s="21" t="s">
        <v>21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5" t="s">
        <v>97</v>
      </c>
      <c r="S10" s="35" t="s">
        <v>105</v>
      </c>
      <c r="T10" s="34">
        <v>8</v>
      </c>
      <c r="U10" s="35" t="s">
        <v>89</v>
      </c>
    </row>
    <row r="11" spans="1:21" x14ac:dyDescent="0.25">
      <c r="A11" s="36">
        <v>13</v>
      </c>
      <c r="B11" s="7" t="s">
        <v>20</v>
      </c>
      <c r="C11" s="9" t="s">
        <v>20</v>
      </c>
      <c r="D11" s="7" t="str">
        <f t="shared" si="1"/>
        <v>SSKBNPTDB84X72X08-ECOM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9"/>
      <c r="N11" s="24"/>
      <c r="O11" s="19"/>
      <c r="P11" s="19"/>
      <c r="Q11" s="19"/>
      <c r="R11" s="35" t="s">
        <v>97</v>
      </c>
      <c r="S11" s="35" t="s">
        <v>106</v>
      </c>
      <c r="T11" s="34">
        <v>8</v>
      </c>
      <c r="U11" s="35" t="s">
        <v>89</v>
      </c>
    </row>
    <row r="12" spans="1:21" x14ac:dyDescent="0.25">
      <c r="A12" s="36">
        <v>14</v>
      </c>
      <c r="B12" s="7" t="s">
        <v>20</v>
      </c>
      <c r="C12" s="9" t="s">
        <v>20</v>
      </c>
      <c r="D12" s="7" t="str">
        <f t="shared" si="1"/>
        <v>SSKBNPTDB84X72X08-ECOM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5" t="s">
        <v>97</v>
      </c>
      <c r="S12" s="35" t="s">
        <v>107</v>
      </c>
      <c r="T12" s="34">
        <v>8</v>
      </c>
      <c r="U12" s="35" t="s">
        <v>89</v>
      </c>
    </row>
    <row r="13" spans="1:21" x14ac:dyDescent="0.25">
      <c r="A13" s="36">
        <v>15</v>
      </c>
      <c r="B13" s="7" t="s">
        <v>20</v>
      </c>
      <c r="C13" s="9" t="s">
        <v>20</v>
      </c>
      <c r="D13" s="7" t="str">
        <f t="shared" si="1"/>
        <v>SSKBNPTDB84X72X08-ECOM</v>
      </c>
      <c r="E13" s="21" t="s">
        <v>115</v>
      </c>
      <c r="F13" s="11" t="s">
        <v>13</v>
      </c>
      <c r="G13" s="14">
        <f>(IF(K2&gt;79,(K2*2)+(M2*2),(L2*2)+(M2*2))+4)*89.5*0.0254*0.0254*0.00005*1300</f>
        <v>0.70560504039999994</v>
      </c>
      <c r="H13" s="10">
        <f t="shared" si="2"/>
        <v>0.70599999999999996</v>
      </c>
      <c r="I13" s="8" t="s">
        <v>14</v>
      </c>
      <c r="J13" s="12"/>
      <c r="K13" s="22"/>
      <c r="R13" s="35" t="s">
        <v>97</v>
      </c>
      <c r="S13" s="35" t="s">
        <v>108</v>
      </c>
      <c r="T13" s="34">
        <v>8</v>
      </c>
      <c r="U13" s="35" t="s">
        <v>89</v>
      </c>
    </row>
    <row r="14" spans="1:21" x14ac:dyDescent="0.25">
      <c r="A14" s="36">
        <v>17</v>
      </c>
      <c r="B14" s="7" t="s">
        <v>19</v>
      </c>
      <c r="C14" s="7" t="s">
        <v>19</v>
      </c>
      <c r="D14" s="7" t="str">
        <f t="shared" si="1"/>
        <v>SSKBNPTDB84X72X08-ECOM</v>
      </c>
      <c r="E14" s="38" t="str">
        <f>"25D-HELIXA-FOAM-"&amp;(K2-3)&amp;"X"&amp;(L2-3)&amp;"X"&amp;"25MM"</f>
        <v>25D-HELIXA-FOAM-81X69X25MM</v>
      </c>
      <c r="F14" s="11" t="s">
        <v>11</v>
      </c>
      <c r="G14" s="14">
        <v>1</v>
      </c>
      <c r="H14" s="10">
        <f>ROUND(G14,3)</f>
        <v>1</v>
      </c>
      <c r="I14" s="20" t="s">
        <v>16</v>
      </c>
      <c r="J14" s="12"/>
      <c r="M14" s="22"/>
      <c r="O14" s="22"/>
      <c r="R14" s="35" t="s">
        <v>97</v>
      </c>
      <c r="S14" s="35" t="s">
        <v>109</v>
      </c>
      <c r="T14" s="34">
        <v>8</v>
      </c>
      <c r="U14" s="35" t="s">
        <v>89</v>
      </c>
    </row>
    <row r="15" spans="1:21" x14ac:dyDescent="0.25">
      <c r="A15" s="36">
        <v>18</v>
      </c>
      <c r="B15" s="7" t="s">
        <v>19</v>
      </c>
      <c r="C15" s="7" t="s">
        <v>19</v>
      </c>
      <c r="D15" s="7" t="str">
        <f t="shared" si="1"/>
        <v>SSKBNPTDB84X72X08-ECOM</v>
      </c>
      <c r="E15" s="38" t="str">
        <f>"17D-PU-FOAM-"&amp;(K2-5)&amp;"X"&amp;(L2-5)&amp;"X"&amp;"10MM"</f>
        <v>17D-PU-FOAM-79X67X10MM</v>
      </c>
      <c r="F15" s="11" t="s">
        <v>11</v>
      </c>
      <c r="G15" s="14">
        <v>1</v>
      </c>
      <c r="H15" s="10">
        <f>ROUND(G15,3)</f>
        <v>1</v>
      </c>
      <c r="I15" s="20" t="s">
        <v>16</v>
      </c>
      <c r="J15" s="12"/>
      <c r="N15"/>
      <c r="O15"/>
      <c r="R15" s="35" t="s">
        <v>97</v>
      </c>
      <c r="S15" s="35" t="s">
        <v>96</v>
      </c>
      <c r="T15" s="34">
        <v>8</v>
      </c>
      <c r="U15" s="35" t="s">
        <v>89</v>
      </c>
    </row>
    <row r="16" spans="1:21" x14ac:dyDescent="0.25">
      <c r="J16" s="12"/>
      <c r="M16" s="22"/>
      <c r="N16"/>
      <c r="O16"/>
      <c r="R16" s="35" t="s">
        <v>98</v>
      </c>
      <c r="S16" s="35" t="s">
        <v>104</v>
      </c>
      <c r="T16" s="34">
        <v>8</v>
      </c>
      <c r="U16" s="35" t="s">
        <v>89</v>
      </c>
    </row>
    <row r="17" spans="5:21" x14ac:dyDescent="0.25">
      <c r="J17" s="12"/>
      <c r="N17"/>
      <c r="O17"/>
      <c r="R17" s="35" t="s">
        <v>98</v>
      </c>
      <c r="S17" s="35" t="s">
        <v>105</v>
      </c>
      <c r="T17" s="34">
        <v>8</v>
      </c>
      <c r="U17" s="35" t="s">
        <v>89</v>
      </c>
    </row>
    <row r="18" spans="5:21" x14ac:dyDescent="0.25">
      <c r="J18" s="12"/>
      <c r="N18"/>
      <c r="O18"/>
      <c r="R18" s="35" t="s">
        <v>98</v>
      </c>
      <c r="S18" s="35" t="s">
        <v>106</v>
      </c>
      <c r="T18" s="34">
        <v>8</v>
      </c>
      <c r="U18" s="35" t="s">
        <v>89</v>
      </c>
    </row>
    <row r="19" spans="5:21" x14ac:dyDescent="0.25">
      <c r="J19" s="12"/>
      <c r="N19"/>
      <c r="O19"/>
      <c r="R19" s="35" t="s">
        <v>98</v>
      </c>
      <c r="S19" s="35" t="s">
        <v>107</v>
      </c>
      <c r="T19" s="34">
        <v>8</v>
      </c>
      <c r="U19" s="35" t="s">
        <v>89</v>
      </c>
    </row>
    <row r="20" spans="5:21" x14ac:dyDescent="0.25">
      <c r="J20" s="12"/>
      <c r="N20" s="33"/>
      <c r="O20"/>
      <c r="R20" s="35" t="s">
        <v>98</v>
      </c>
      <c r="S20" s="35" t="s">
        <v>108</v>
      </c>
      <c r="T20" s="34">
        <v>8</v>
      </c>
      <c r="U20" s="35" t="s">
        <v>89</v>
      </c>
    </row>
    <row r="21" spans="5:21" x14ac:dyDescent="0.25">
      <c r="J21" s="12"/>
      <c r="N21"/>
      <c r="O21"/>
      <c r="R21" s="35" t="s">
        <v>98</v>
      </c>
      <c r="S21" s="35" t="s">
        <v>109</v>
      </c>
      <c r="T21" s="34">
        <v>8</v>
      </c>
      <c r="U21" s="35" t="s">
        <v>89</v>
      </c>
    </row>
    <row r="22" spans="5:21" x14ac:dyDescent="0.25">
      <c r="J22" s="12"/>
      <c r="N22"/>
      <c r="O22"/>
      <c r="R22" s="35" t="s">
        <v>98</v>
      </c>
      <c r="S22" s="35" t="s">
        <v>96</v>
      </c>
      <c r="T22" s="34">
        <v>8</v>
      </c>
      <c r="U22" s="35" t="s">
        <v>89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5" t="s">
        <v>99</v>
      </c>
      <c r="S23" s="35" t="s">
        <v>104</v>
      </c>
      <c r="T23" s="34">
        <v>8</v>
      </c>
      <c r="U23" s="35" t="s">
        <v>89</v>
      </c>
    </row>
    <row r="24" spans="5:21" x14ac:dyDescent="0.25">
      <c r="J24" s="13"/>
      <c r="K24" s="19"/>
      <c r="L24" s="19"/>
      <c r="M24" s="19"/>
      <c r="N24" s="33"/>
      <c r="O24"/>
      <c r="P24" s="19"/>
      <c r="Q24" s="19"/>
      <c r="R24" s="35" t="s">
        <v>99</v>
      </c>
      <c r="S24" s="35" t="s">
        <v>105</v>
      </c>
      <c r="T24" s="34">
        <v>8</v>
      </c>
      <c r="U24" s="35" t="s">
        <v>89</v>
      </c>
    </row>
    <row r="25" spans="5:21" x14ac:dyDescent="0.25">
      <c r="N25"/>
      <c r="O25"/>
      <c r="R25" s="35" t="s">
        <v>99</v>
      </c>
      <c r="S25" s="35" t="s">
        <v>106</v>
      </c>
      <c r="T25" s="34">
        <v>8</v>
      </c>
      <c r="U25" s="35" t="s">
        <v>89</v>
      </c>
    </row>
    <row r="26" spans="5:21" x14ac:dyDescent="0.25">
      <c r="G26" s="22"/>
      <c r="N26"/>
      <c r="O26"/>
      <c r="R26" s="35" t="s">
        <v>99</v>
      </c>
      <c r="S26" s="35" t="s">
        <v>107</v>
      </c>
      <c r="T26" s="34">
        <v>8</v>
      </c>
      <c r="U26" s="35" t="s">
        <v>89</v>
      </c>
    </row>
    <row r="27" spans="5:21" x14ac:dyDescent="0.25">
      <c r="G27" s="22"/>
      <c r="I27" s="22"/>
      <c r="N27"/>
      <c r="O27"/>
      <c r="R27" s="35" t="s">
        <v>99</v>
      </c>
      <c r="S27" s="35" t="s">
        <v>108</v>
      </c>
      <c r="T27" s="34">
        <v>8</v>
      </c>
      <c r="U27" s="35" t="s">
        <v>89</v>
      </c>
    </row>
    <row r="28" spans="5:21" x14ac:dyDescent="0.25">
      <c r="E28" s="22"/>
      <c r="I28" s="22"/>
      <c r="M28" s="22"/>
      <c r="N28"/>
      <c r="O28"/>
      <c r="R28" s="35" t="s">
        <v>99</v>
      </c>
      <c r="S28" s="35" t="s">
        <v>109</v>
      </c>
      <c r="T28" s="34">
        <v>8</v>
      </c>
      <c r="U28" s="35" t="s">
        <v>89</v>
      </c>
    </row>
    <row r="29" spans="5:21" x14ac:dyDescent="0.25">
      <c r="E29" s="22"/>
      <c r="N29"/>
      <c r="O29"/>
      <c r="R29" s="35" t="s">
        <v>99</v>
      </c>
      <c r="S29" s="35" t="s">
        <v>96</v>
      </c>
      <c r="T29" s="34">
        <v>8</v>
      </c>
      <c r="U29" s="35" t="s">
        <v>89</v>
      </c>
    </row>
    <row r="30" spans="5:21" x14ac:dyDescent="0.25">
      <c r="H30" s="22"/>
      <c r="N30"/>
      <c r="O30"/>
      <c r="R30" s="35" t="s">
        <v>100</v>
      </c>
      <c r="S30" s="35" t="s">
        <v>104</v>
      </c>
      <c r="T30" s="34">
        <v>8</v>
      </c>
      <c r="U30" s="35" t="s">
        <v>89</v>
      </c>
    </row>
    <row r="31" spans="5:21" x14ac:dyDescent="0.25">
      <c r="N31"/>
      <c r="O31"/>
      <c r="R31" s="35" t="s">
        <v>100</v>
      </c>
      <c r="S31" s="35" t="s">
        <v>105</v>
      </c>
      <c r="T31" s="34">
        <v>8</v>
      </c>
      <c r="U31" s="35" t="s">
        <v>89</v>
      </c>
    </row>
    <row r="32" spans="5:21" x14ac:dyDescent="0.25">
      <c r="N32"/>
      <c r="O32"/>
      <c r="R32" s="35" t="s">
        <v>100</v>
      </c>
      <c r="S32" s="35" t="s">
        <v>106</v>
      </c>
      <c r="T32" s="34">
        <v>8</v>
      </c>
      <c r="U32" s="35" t="s">
        <v>89</v>
      </c>
    </row>
    <row r="33" spans="14:21" x14ac:dyDescent="0.25">
      <c r="N33"/>
      <c r="O33"/>
      <c r="R33" s="35" t="s">
        <v>100</v>
      </c>
      <c r="S33" s="35" t="s">
        <v>107</v>
      </c>
      <c r="T33" s="34">
        <v>8</v>
      </c>
      <c r="U33" s="35" t="s">
        <v>89</v>
      </c>
    </row>
    <row r="34" spans="14:21" x14ac:dyDescent="0.25">
      <c r="N34"/>
      <c r="O34"/>
      <c r="R34" s="35" t="s">
        <v>100</v>
      </c>
      <c r="S34" s="35" t="s">
        <v>108</v>
      </c>
      <c r="T34" s="34">
        <v>8</v>
      </c>
      <c r="U34" s="35" t="s">
        <v>89</v>
      </c>
    </row>
    <row r="35" spans="14:21" x14ac:dyDescent="0.25">
      <c r="N35"/>
      <c r="O35"/>
      <c r="R35" s="35" t="s">
        <v>100</v>
      </c>
      <c r="S35" s="35" t="s">
        <v>109</v>
      </c>
      <c r="T35" s="34">
        <v>8</v>
      </c>
      <c r="U35" s="35" t="s">
        <v>89</v>
      </c>
    </row>
    <row r="36" spans="14:21" x14ac:dyDescent="0.25">
      <c r="N36"/>
      <c r="O36"/>
      <c r="R36" s="35" t="s">
        <v>100</v>
      </c>
      <c r="S36" s="35" t="s">
        <v>96</v>
      </c>
      <c r="T36" s="34">
        <v>8</v>
      </c>
      <c r="U36" s="35" t="s">
        <v>89</v>
      </c>
    </row>
    <row r="37" spans="14:21" x14ac:dyDescent="0.25">
      <c r="N37"/>
      <c r="O37"/>
      <c r="R37" s="35" t="s">
        <v>96</v>
      </c>
      <c r="S37" s="35" t="s">
        <v>104</v>
      </c>
      <c r="T37" s="34">
        <v>8</v>
      </c>
      <c r="U37" s="35" t="s">
        <v>101</v>
      </c>
    </row>
    <row r="38" spans="14:21" x14ac:dyDescent="0.25">
      <c r="N38"/>
      <c r="O38"/>
      <c r="R38" s="35" t="s">
        <v>96</v>
      </c>
      <c r="S38" s="35" t="s">
        <v>105</v>
      </c>
      <c r="T38" s="34">
        <v>8</v>
      </c>
      <c r="U38" s="35" t="s">
        <v>101</v>
      </c>
    </row>
    <row r="39" spans="14:21" x14ac:dyDescent="0.25">
      <c r="N39"/>
      <c r="O39"/>
      <c r="R39" s="35" t="s">
        <v>96</v>
      </c>
      <c r="S39" s="35" t="s">
        <v>106</v>
      </c>
      <c r="T39" s="34">
        <v>8</v>
      </c>
      <c r="U39" s="35" t="s">
        <v>101</v>
      </c>
    </row>
    <row r="40" spans="14:21" x14ac:dyDescent="0.25">
      <c r="N40"/>
      <c r="O40"/>
      <c r="R40" s="35" t="s">
        <v>96</v>
      </c>
      <c r="S40" s="35" t="s">
        <v>107</v>
      </c>
      <c r="T40" s="34">
        <v>8</v>
      </c>
      <c r="U40" s="35" t="s">
        <v>101</v>
      </c>
    </row>
    <row r="41" spans="14:21" x14ac:dyDescent="0.25">
      <c r="N41"/>
      <c r="O41"/>
      <c r="R41" s="35" t="s">
        <v>96</v>
      </c>
      <c r="S41" s="35" t="s">
        <v>108</v>
      </c>
      <c r="T41" s="34">
        <v>8</v>
      </c>
      <c r="U41" s="35" t="s">
        <v>101</v>
      </c>
    </row>
    <row r="42" spans="14:21" x14ac:dyDescent="0.25">
      <c r="N42"/>
      <c r="O42"/>
      <c r="R42" s="35" t="s">
        <v>96</v>
      </c>
      <c r="S42" s="35" t="s">
        <v>109</v>
      </c>
      <c r="T42" s="34">
        <v>8</v>
      </c>
      <c r="U42" s="35" t="s">
        <v>101</v>
      </c>
    </row>
    <row r="43" spans="14:21" x14ac:dyDescent="0.25">
      <c r="N43"/>
      <c r="O43"/>
      <c r="R43" s="35" t="s">
        <v>96</v>
      </c>
      <c r="S43" s="35" t="s">
        <v>96</v>
      </c>
      <c r="T43" s="34">
        <v>8</v>
      </c>
      <c r="U43" s="35" t="s">
        <v>101</v>
      </c>
    </row>
    <row r="44" spans="14:21" x14ac:dyDescent="0.25">
      <c r="N44"/>
      <c r="O44"/>
      <c r="R44" s="35" t="s">
        <v>97</v>
      </c>
      <c r="S44" s="35" t="s">
        <v>104</v>
      </c>
      <c r="T44" s="34">
        <v>8</v>
      </c>
      <c r="U44" s="35" t="s">
        <v>101</v>
      </c>
    </row>
    <row r="45" spans="14:21" x14ac:dyDescent="0.25">
      <c r="N45"/>
      <c r="O45"/>
      <c r="R45" s="35" t="s">
        <v>97</v>
      </c>
      <c r="S45" s="35" t="s">
        <v>105</v>
      </c>
      <c r="T45" s="34">
        <v>8</v>
      </c>
      <c r="U45" s="35" t="s">
        <v>101</v>
      </c>
    </row>
    <row r="46" spans="14:21" x14ac:dyDescent="0.25">
      <c r="N46"/>
      <c r="O46"/>
      <c r="R46" s="35" t="s">
        <v>97</v>
      </c>
      <c r="S46" s="35" t="s">
        <v>106</v>
      </c>
      <c r="T46" s="34">
        <v>8</v>
      </c>
      <c r="U46" s="35" t="s">
        <v>101</v>
      </c>
    </row>
    <row r="47" spans="14:21" x14ac:dyDescent="0.25">
      <c r="N47"/>
      <c r="O47"/>
      <c r="R47" s="35" t="s">
        <v>97</v>
      </c>
      <c r="S47" s="35" t="s">
        <v>107</v>
      </c>
      <c r="T47" s="34">
        <v>8</v>
      </c>
      <c r="U47" s="35" t="s">
        <v>101</v>
      </c>
    </row>
    <row r="48" spans="14:21" x14ac:dyDescent="0.25">
      <c r="N48"/>
      <c r="O48"/>
      <c r="R48" s="35" t="s">
        <v>97</v>
      </c>
      <c r="S48" s="35" t="s">
        <v>108</v>
      </c>
      <c r="T48" s="34">
        <v>8</v>
      </c>
      <c r="U48" s="35" t="s">
        <v>101</v>
      </c>
    </row>
    <row r="49" spans="14:21" x14ac:dyDescent="0.25">
      <c r="N49"/>
      <c r="O49"/>
      <c r="R49" s="35" t="s">
        <v>97</v>
      </c>
      <c r="S49" s="35" t="s">
        <v>109</v>
      </c>
      <c r="T49" s="34">
        <v>8</v>
      </c>
      <c r="U49" s="35" t="s">
        <v>101</v>
      </c>
    </row>
    <row r="50" spans="14:21" x14ac:dyDescent="0.25">
      <c r="R50" s="35" t="s">
        <v>97</v>
      </c>
      <c r="S50" s="35" t="s">
        <v>96</v>
      </c>
      <c r="T50" s="34">
        <v>8</v>
      </c>
      <c r="U50" s="35" t="s">
        <v>101</v>
      </c>
    </row>
    <row r="51" spans="14:21" x14ac:dyDescent="0.25">
      <c r="R51" s="35" t="s">
        <v>98</v>
      </c>
      <c r="S51" s="35" t="s">
        <v>104</v>
      </c>
      <c r="T51" s="34">
        <v>8</v>
      </c>
      <c r="U51" s="35" t="s">
        <v>101</v>
      </c>
    </row>
    <row r="52" spans="14:21" x14ac:dyDescent="0.25">
      <c r="R52" s="35" t="s">
        <v>98</v>
      </c>
      <c r="S52" s="35" t="s">
        <v>105</v>
      </c>
      <c r="T52" s="34">
        <v>8</v>
      </c>
      <c r="U52" s="35" t="s">
        <v>101</v>
      </c>
    </row>
    <row r="53" spans="14:21" x14ac:dyDescent="0.25">
      <c r="R53" s="35" t="s">
        <v>98</v>
      </c>
      <c r="S53" s="35" t="s">
        <v>106</v>
      </c>
      <c r="T53" s="34">
        <v>8</v>
      </c>
      <c r="U53" s="35" t="s">
        <v>101</v>
      </c>
    </row>
    <row r="54" spans="14:21" x14ac:dyDescent="0.25">
      <c r="R54" s="35" t="s">
        <v>98</v>
      </c>
      <c r="S54" s="35" t="s">
        <v>107</v>
      </c>
      <c r="T54" s="34">
        <v>8</v>
      </c>
      <c r="U54" s="35" t="s">
        <v>101</v>
      </c>
    </row>
    <row r="55" spans="14:21" x14ac:dyDescent="0.25">
      <c r="R55" s="35" t="s">
        <v>98</v>
      </c>
      <c r="S55" s="35" t="s">
        <v>108</v>
      </c>
      <c r="T55" s="34">
        <v>8</v>
      </c>
      <c r="U55" s="35" t="s">
        <v>101</v>
      </c>
    </row>
    <row r="56" spans="14:21" x14ac:dyDescent="0.25">
      <c r="R56" s="35" t="s">
        <v>98</v>
      </c>
      <c r="S56" s="35" t="s">
        <v>109</v>
      </c>
      <c r="T56" s="34">
        <v>8</v>
      </c>
      <c r="U56" s="35" t="s">
        <v>101</v>
      </c>
    </row>
    <row r="57" spans="14:21" x14ac:dyDescent="0.25">
      <c r="R57" s="35" t="s">
        <v>98</v>
      </c>
      <c r="S57" s="35" t="s">
        <v>96</v>
      </c>
      <c r="T57" s="34">
        <v>8</v>
      </c>
      <c r="U57" s="35" t="s">
        <v>101</v>
      </c>
    </row>
    <row r="58" spans="14:21" x14ac:dyDescent="0.25">
      <c r="R58" s="35" t="s">
        <v>99</v>
      </c>
      <c r="S58" s="35" t="s">
        <v>104</v>
      </c>
      <c r="T58" s="34">
        <v>8</v>
      </c>
      <c r="U58" s="35" t="s">
        <v>101</v>
      </c>
    </row>
    <row r="59" spans="14:21" x14ac:dyDescent="0.25">
      <c r="R59" s="35" t="s">
        <v>99</v>
      </c>
      <c r="S59" s="35" t="s">
        <v>105</v>
      </c>
      <c r="T59" s="34">
        <v>8</v>
      </c>
      <c r="U59" s="35" t="s">
        <v>101</v>
      </c>
    </row>
    <row r="60" spans="14:21" x14ac:dyDescent="0.25">
      <c r="R60" s="35" t="s">
        <v>99</v>
      </c>
      <c r="S60" s="35" t="s">
        <v>106</v>
      </c>
      <c r="T60" s="34">
        <v>8</v>
      </c>
      <c r="U60" s="35" t="s">
        <v>101</v>
      </c>
    </row>
    <row r="61" spans="14:21" x14ac:dyDescent="0.25">
      <c r="R61" s="35" t="s">
        <v>99</v>
      </c>
      <c r="S61" s="35" t="s">
        <v>107</v>
      </c>
      <c r="T61" s="34">
        <v>8</v>
      </c>
      <c r="U61" s="35" t="s">
        <v>101</v>
      </c>
    </row>
    <row r="62" spans="14:21" x14ac:dyDescent="0.25">
      <c r="R62" s="35" t="s">
        <v>99</v>
      </c>
      <c r="S62" s="35" t="s">
        <v>108</v>
      </c>
      <c r="T62" s="34">
        <v>8</v>
      </c>
      <c r="U62" s="35" t="s">
        <v>101</v>
      </c>
    </row>
    <row r="63" spans="14:21" x14ac:dyDescent="0.25">
      <c r="R63" s="35" t="s">
        <v>99</v>
      </c>
      <c r="S63" s="35" t="s">
        <v>109</v>
      </c>
      <c r="T63" s="34">
        <v>8</v>
      </c>
      <c r="U63" s="35" t="s">
        <v>101</v>
      </c>
    </row>
    <row r="64" spans="14:21" x14ac:dyDescent="0.25">
      <c r="R64" s="35" t="s">
        <v>99</v>
      </c>
      <c r="S64" s="35" t="s">
        <v>96</v>
      </c>
      <c r="T64" s="34">
        <v>8</v>
      </c>
      <c r="U64" s="35" t="s">
        <v>101</v>
      </c>
    </row>
    <row r="65" spans="18:21" x14ac:dyDescent="0.25">
      <c r="R65" s="35" t="s">
        <v>100</v>
      </c>
      <c r="S65" s="35" t="s">
        <v>104</v>
      </c>
      <c r="T65" s="34">
        <v>8</v>
      </c>
      <c r="U65" s="35" t="s">
        <v>101</v>
      </c>
    </row>
    <row r="66" spans="18:21" x14ac:dyDescent="0.25">
      <c r="R66" s="35" t="s">
        <v>100</v>
      </c>
      <c r="S66" s="35" t="s">
        <v>105</v>
      </c>
      <c r="T66" s="34">
        <v>8</v>
      </c>
      <c r="U66" s="35" t="s">
        <v>101</v>
      </c>
    </row>
    <row r="67" spans="18:21" x14ac:dyDescent="0.25">
      <c r="R67" s="35" t="s">
        <v>100</v>
      </c>
      <c r="S67" s="35" t="s">
        <v>106</v>
      </c>
      <c r="T67" s="34">
        <v>8</v>
      </c>
      <c r="U67" s="35" t="s">
        <v>101</v>
      </c>
    </row>
    <row r="68" spans="18:21" x14ac:dyDescent="0.25">
      <c r="R68" s="35" t="s">
        <v>100</v>
      </c>
      <c r="S68" s="35" t="s">
        <v>107</v>
      </c>
      <c r="T68" s="34">
        <v>8</v>
      </c>
      <c r="U68" s="35" t="s">
        <v>101</v>
      </c>
    </row>
    <row r="69" spans="18:21" x14ac:dyDescent="0.25">
      <c r="R69" s="35" t="s">
        <v>100</v>
      </c>
      <c r="S69" s="35" t="s">
        <v>108</v>
      </c>
      <c r="T69" s="34">
        <v>8</v>
      </c>
      <c r="U69" s="35" t="s">
        <v>101</v>
      </c>
    </row>
    <row r="70" spans="18:21" x14ac:dyDescent="0.25">
      <c r="R70" s="35" t="s">
        <v>100</v>
      </c>
      <c r="S70" s="35" t="s">
        <v>109</v>
      </c>
      <c r="T70" s="34">
        <v>8</v>
      </c>
      <c r="U70" s="35" t="s">
        <v>101</v>
      </c>
    </row>
    <row r="71" spans="18:21" x14ac:dyDescent="0.25">
      <c r="R71" s="35" t="s">
        <v>100</v>
      </c>
      <c r="S71" s="35" t="s">
        <v>96</v>
      </c>
      <c r="T71" s="34">
        <v>8</v>
      </c>
      <c r="U71" s="35" t="s">
        <v>101</v>
      </c>
    </row>
    <row r="72" spans="18:21" x14ac:dyDescent="0.25">
      <c r="R72" s="34"/>
      <c r="S72" s="34"/>
      <c r="T72" s="35"/>
      <c r="U72" s="35"/>
    </row>
    <row r="73" spans="18:21" x14ac:dyDescent="0.25">
      <c r="R73" s="34"/>
      <c r="S73" s="34"/>
      <c r="T73" s="35"/>
      <c r="U73" s="35"/>
    </row>
    <row r="74" spans="18:21" x14ac:dyDescent="0.25">
      <c r="R74" s="34"/>
      <c r="S74" s="34"/>
      <c r="T74" s="35"/>
      <c r="U74" s="35"/>
    </row>
    <row r="75" spans="18:21" x14ac:dyDescent="0.25">
      <c r="R75" s="34"/>
      <c r="S75" s="34"/>
      <c r="T75" s="35"/>
      <c r="U75" s="35"/>
    </row>
    <row r="76" spans="18:21" x14ac:dyDescent="0.25">
      <c r="R76" s="34"/>
      <c r="S76" s="34"/>
      <c r="T76" s="35"/>
      <c r="U76" s="35"/>
    </row>
    <row r="77" spans="18:21" x14ac:dyDescent="0.25">
      <c r="R77" s="34"/>
      <c r="S77" s="34"/>
      <c r="T77" s="35"/>
      <c r="U77" s="35"/>
    </row>
    <row r="78" spans="18:21" x14ac:dyDescent="0.25">
      <c r="R78" s="34"/>
      <c r="S78" s="34"/>
      <c r="T78" s="35"/>
      <c r="U78" s="35"/>
    </row>
    <row r="79" spans="18:21" x14ac:dyDescent="0.25">
      <c r="R79" s="34"/>
      <c r="S79" s="34"/>
      <c r="T79" s="35"/>
      <c r="U79" s="35"/>
    </row>
    <row r="80" spans="18:21" x14ac:dyDescent="0.25">
      <c r="R80" s="34"/>
      <c r="S80" s="34"/>
      <c r="T80" s="35"/>
      <c r="U80" s="35"/>
    </row>
    <row r="81" spans="18:21" x14ac:dyDescent="0.25">
      <c r="R81" s="34"/>
      <c r="S81" s="34"/>
      <c r="T81" s="35"/>
      <c r="U81" s="35"/>
    </row>
    <row r="82" spans="18:21" x14ac:dyDescent="0.25">
      <c r="R82" s="34"/>
      <c r="S82" s="34"/>
      <c r="T82" s="35"/>
      <c r="U82" s="35"/>
    </row>
    <row r="83" spans="18:21" x14ac:dyDescent="0.25">
      <c r="R83" s="34"/>
      <c r="S83" s="34"/>
      <c r="T83" s="35"/>
      <c r="U83" s="35"/>
    </row>
    <row r="84" spans="18:21" x14ac:dyDescent="0.25">
      <c r="R84" s="34"/>
      <c r="S84" s="34"/>
      <c r="T84" s="35"/>
      <c r="U84" s="35"/>
    </row>
    <row r="85" spans="18:21" x14ac:dyDescent="0.25">
      <c r="R85" s="34"/>
      <c r="S85" s="34"/>
      <c r="T85" s="35"/>
      <c r="U85" s="35"/>
    </row>
    <row r="86" spans="18:21" x14ac:dyDescent="0.25">
      <c r="R86" s="34"/>
      <c r="S86" s="34"/>
      <c r="T86" s="35"/>
      <c r="U86" s="35"/>
    </row>
    <row r="87" spans="18:21" x14ac:dyDescent="0.25">
      <c r="R87" s="34"/>
      <c r="S87" s="34"/>
      <c r="T87" s="35"/>
      <c r="U87" s="35"/>
    </row>
    <row r="88" spans="18:21" x14ac:dyDescent="0.25">
      <c r="R88" s="34"/>
      <c r="S88" s="34"/>
      <c r="T88" s="35"/>
      <c r="U88" s="35"/>
    </row>
    <row r="89" spans="18:21" x14ac:dyDescent="0.25">
      <c r="R89" s="34"/>
      <c r="S89" s="34"/>
      <c r="T89" s="35"/>
      <c r="U89" s="35"/>
    </row>
    <row r="90" spans="18:21" x14ac:dyDescent="0.25">
      <c r="R90" s="34"/>
      <c r="S90" s="34"/>
      <c r="T90" s="35"/>
      <c r="U90" s="35"/>
    </row>
    <row r="91" spans="18:21" x14ac:dyDescent="0.25">
      <c r="R91" s="34"/>
      <c r="S91" s="34"/>
      <c r="T91" s="35"/>
      <c r="U91" s="35"/>
    </row>
    <row r="92" spans="18:21" x14ac:dyDescent="0.25">
      <c r="R92" s="34"/>
      <c r="S92" s="34"/>
      <c r="T92" s="35"/>
      <c r="U92" s="35"/>
    </row>
    <row r="93" spans="18:21" x14ac:dyDescent="0.25">
      <c r="R93" s="34"/>
      <c r="S93" s="34"/>
      <c r="T93" s="35"/>
      <c r="U93" s="35"/>
    </row>
    <row r="94" spans="18:21" x14ac:dyDescent="0.25">
      <c r="R94" s="34"/>
      <c r="S94" s="34"/>
      <c r="T94" s="35"/>
      <c r="U94" s="35"/>
    </row>
    <row r="95" spans="18:21" x14ac:dyDescent="0.25">
      <c r="R95" s="34"/>
      <c r="S95" s="34"/>
      <c r="T95" s="35"/>
      <c r="U95" s="35"/>
    </row>
    <row r="96" spans="18:21" x14ac:dyDescent="0.25">
      <c r="R96" s="34"/>
      <c r="S96" s="34"/>
      <c r="T96" s="35"/>
      <c r="U96" s="35"/>
    </row>
    <row r="97" spans="18:21" x14ac:dyDescent="0.25">
      <c r="R97" s="34"/>
      <c r="S97" s="34"/>
      <c r="T97" s="35"/>
      <c r="U97" s="35"/>
    </row>
    <row r="98" spans="18:21" x14ac:dyDescent="0.25">
      <c r="R98" s="34"/>
      <c r="S98" s="34"/>
      <c r="T98" s="35"/>
      <c r="U98" s="35"/>
    </row>
    <row r="99" spans="18:21" x14ac:dyDescent="0.25">
      <c r="R99" s="34"/>
      <c r="S99" s="34"/>
      <c r="T99" s="35"/>
      <c r="U99" s="35"/>
    </row>
    <row r="100" spans="18:21" x14ac:dyDescent="0.25">
      <c r="R100" s="34"/>
      <c r="S100" s="34"/>
      <c r="T100" s="35"/>
      <c r="U100" s="35"/>
    </row>
    <row r="101" spans="18:21" x14ac:dyDescent="0.25">
      <c r="R101" s="34"/>
      <c r="S101" s="34"/>
      <c r="T101" s="35"/>
      <c r="U101" s="35"/>
    </row>
    <row r="102" spans="18:21" x14ac:dyDescent="0.25">
      <c r="R102" s="34"/>
      <c r="S102" s="34"/>
      <c r="T102" s="35"/>
      <c r="U102" s="35"/>
    </row>
    <row r="103" spans="18:21" x14ac:dyDescent="0.25">
      <c r="R103" s="34"/>
      <c r="S103" s="34"/>
      <c r="T103" s="35"/>
      <c r="U103" s="35"/>
    </row>
    <row r="104" spans="18:21" x14ac:dyDescent="0.25">
      <c r="R104" s="34"/>
      <c r="S104" s="34"/>
      <c r="T104" s="35"/>
      <c r="U104" s="35"/>
    </row>
    <row r="105" spans="18:21" x14ac:dyDescent="0.25">
      <c r="R105" s="34"/>
      <c r="S105" s="34"/>
      <c r="T105" s="35"/>
      <c r="U105" s="35"/>
    </row>
    <row r="106" spans="18:21" x14ac:dyDescent="0.25">
      <c r="R106" s="34"/>
      <c r="S106" s="34"/>
      <c r="T106" s="35"/>
      <c r="U106" s="35"/>
    </row>
    <row r="107" spans="18:21" x14ac:dyDescent="0.25">
      <c r="R107" s="34"/>
      <c r="S107" s="34"/>
      <c r="T107" s="35"/>
      <c r="U107" s="35"/>
    </row>
    <row r="108" spans="18:21" x14ac:dyDescent="0.25">
      <c r="R108" s="34"/>
      <c r="S108" s="34"/>
      <c r="T108" s="35"/>
      <c r="U108" s="35"/>
    </row>
    <row r="109" spans="18:21" x14ac:dyDescent="0.25">
      <c r="R109" s="34"/>
      <c r="S109" s="34"/>
      <c r="T109" s="35"/>
      <c r="U109" s="35"/>
    </row>
    <row r="110" spans="18:21" x14ac:dyDescent="0.25">
      <c r="R110" s="34"/>
      <c r="S110" s="34"/>
      <c r="T110" s="35"/>
      <c r="U110" s="35"/>
    </row>
    <row r="111" spans="18:21" x14ac:dyDescent="0.25">
      <c r="R111" s="34"/>
      <c r="S111" s="34"/>
      <c r="T111" s="35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5"/>
      <c r="U122" s="35"/>
    </row>
    <row r="123" spans="18:21" x14ac:dyDescent="0.25">
      <c r="R123" s="34"/>
      <c r="S123" s="34"/>
      <c r="T123" s="35"/>
      <c r="U123" s="35"/>
    </row>
    <row r="124" spans="18:21" x14ac:dyDescent="0.25">
      <c r="R124" s="34"/>
      <c r="S124" s="34"/>
      <c r="T124" s="35"/>
      <c r="U124" s="35"/>
    </row>
    <row r="125" spans="18:21" x14ac:dyDescent="0.25">
      <c r="R125" s="34"/>
      <c r="S125" s="34"/>
      <c r="T125" s="35"/>
      <c r="U125" s="35"/>
    </row>
    <row r="126" spans="18:21" x14ac:dyDescent="0.25">
      <c r="R126" s="34"/>
      <c r="S126" s="34"/>
      <c r="T126" s="35"/>
      <c r="U126" s="35"/>
    </row>
    <row r="127" spans="18:21" x14ac:dyDescent="0.25">
      <c r="R127" s="34"/>
      <c r="S127" s="34"/>
      <c r="T127" s="35"/>
      <c r="U127" s="35"/>
    </row>
    <row r="128" spans="18:21" x14ac:dyDescent="0.25">
      <c r="R128" s="34"/>
      <c r="S128" s="34"/>
      <c r="T128" s="35"/>
      <c r="U128" s="35"/>
    </row>
    <row r="129" spans="18:21" x14ac:dyDescent="0.25">
      <c r="R129" s="34"/>
      <c r="S129" s="34"/>
      <c r="T129" s="35"/>
      <c r="U129" s="35"/>
    </row>
    <row r="130" spans="18:21" x14ac:dyDescent="0.25">
      <c r="R130" s="34"/>
      <c r="S130" s="34"/>
      <c r="T130" s="35"/>
      <c r="U130" s="35"/>
    </row>
    <row r="131" spans="18:21" x14ac:dyDescent="0.25">
      <c r="R131" s="34"/>
      <c r="S131" s="34"/>
      <c r="T131" s="35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4"/>
      <c r="S162" s="34"/>
      <c r="T162" s="35"/>
      <c r="U162" s="35"/>
    </row>
    <row r="163" spans="18:21" x14ac:dyDescent="0.25">
      <c r="R163" s="34"/>
      <c r="S163" s="34"/>
      <c r="T163" s="35"/>
      <c r="U163" s="35"/>
    </row>
    <row r="164" spans="18:21" x14ac:dyDescent="0.25">
      <c r="R164" s="34"/>
      <c r="S164" s="34"/>
      <c r="T164" s="35"/>
      <c r="U164" s="35"/>
    </row>
    <row r="165" spans="18:21" x14ac:dyDescent="0.25">
      <c r="R165" s="34"/>
      <c r="S165" s="34"/>
      <c r="T165" s="35"/>
      <c r="U165" s="35"/>
    </row>
    <row r="166" spans="18:21" x14ac:dyDescent="0.25">
      <c r="R166" s="34"/>
      <c r="S166" s="34"/>
      <c r="T166" s="35"/>
      <c r="U166" s="35"/>
    </row>
    <row r="167" spans="18:21" x14ac:dyDescent="0.25">
      <c r="R167" s="34"/>
      <c r="S167" s="34"/>
      <c r="T167" s="35"/>
      <c r="U167" s="35"/>
    </row>
    <row r="168" spans="18:21" x14ac:dyDescent="0.25">
      <c r="R168" s="34"/>
      <c r="S168" s="34"/>
      <c r="T168" s="35"/>
      <c r="U168" s="35"/>
    </row>
    <row r="169" spans="18:21" x14ac:dyDescent="0.25">
      <c r="R169" s="34"/>
      <c r="S169" s="34"/>
      <c r="T169" s="35"/>
      <c r="U169" s="35"/>
    </row>
    <row r="170" spans="18:21" x14ac:dyDescent="0.25">
      <c r="R170" s="34"/>
      <c r="S170" s="34"/>
      <c r="T170" s="35"/>
      <c r="U170" s="35"/>
    </row>
    <row r="171" spans="18:21" x14ac:dyDescent="0.25">
      <c r="R171" s="34"/>
      <c r="S171" s="34"/>
      <c r="T171" s="35"/>
      <c r="U171" s="35"/>
    </row>
    <row r="172" spans="18:21" x14ac:dyDescent="0.25">
      <c r="R172" s="34"/>
      <c r="S172" s="34"/>
      <c r="T172" s="35"/>
      <c r="U172" s="35"/>
    </row>
    <row r="173" spans="18:21" x14ac:dyDescent="0.25">
      <c r="R173" s="34"/>
      <c r="S173" s="34"/>
      <c r="T173" s="35"/>
      <c r="U173" s="35"/>
    </row>
    <row r="174" spans="18:21" x14ac:dyDescent="0.25">
      <c r="R174" s="34"/>
      <c r="S174" s="34"/>
      <c r="T174" s="35"/>
      <c r="U174" s="35"/>
    </row>
    <row r="175" spans="18:21" x14ac:dyDescent="0.25">
      <c r="R175" s="34"/>
      <c r="S175" s="34"/>
      <c r="T175" s="35"/>
      <c r="U175" s="35"/>
    </row>
    <row r="176" spans="18:21" x14ac:dyDescent="0.25">
      <c r="R176" s="34"/>
      <c r="S176" s="34"/>
      <c r="T176" s="35"/>
      <c r="U176" s="35"/>
    </row>
    <row r="177" spans="18:21" x14ac:dyDescent="0.25">
      <c r="R177" s="34"/>
      <c r="S177" s="34"/>
      <c r="T177" s="35"/>
      <c r="U177" s="35"/>
    </row>
    <row r="178" spans="18:21" x14ac:dyDescent="0.25">
      <c r="R178" s="34"/>
      <c r="S178" s="34"/>
      <c r="T178" s="35"/>
      <c r="U178" s="35"/>
    </row>
    <row r="179" spans="18:21" x14ac:dyDescent="0.25">
      <c r="R179" s="34"/>
      <c r="S179" s="34"/>
      <c r="T179" s="35"/>
      <c r="U179" s="35"/>
    </row>
    <row r="180" spans="18:21" x14ac:dyDescent="0.25">
      <c r="R180" s="34"/>
      <c r="S180" s="34"/>
      <c r="T180" s="35"/>
      <c r="U180" s="35"/>
    </row>
    <row r="181" spans="18:21" x14ac:dyDescent="0.25">
      <c r="R181" s="34"/>
      <c r="S181" s="34"/>
      <c r="T181" s="35"/>
      <c r="U181" s="35"/>
    </row>
    <row r="182" spans="18:21" x14ac:dyDescent="0.25">
      <c r="R182" s="34"/>
      <c r="S182" s="34"/>
      <c r="T182" s="35"/>
      <c r="U182" s="35"/>
    </row>
    <row r="183" spans="18:21" x14ac:dyDescent="0.25">
      <c r="R183" s="34"/>
      <c r="S183" s="34"/>
      <c r="T183" s="35"/>
      <c r="U183" s="35"/>
    </row>
    <row r="184" spans="18:21" x14ac:dyDescent="0.25">
      <c r="R184" s="34"/>
      <c r="S184" s="34"/>
      <c r="T184" s="35"/>
      <c r="U184" s="35"/>
    </row>
    <row r="185" spans="18:21" x14ac:dyDescent="0.25">
      <c r="R185" s="34"/>
      <c r="S185" s="34"/>
      <c r="T185" s="35"/>
      <c r="U185" s="35"/>
    </row>
    <row r="186" spans="18:21" x14ac:dyDescent="0.25">
      <c r="R186" s="34"/>
      <c r="S186" s="34"/>
      <c r="T186" s="35"/>
      <c r="U186" s="35"/>
    </row>
    <row r="187" spans="18:21" x14ac:dyDescent="0.25">
      <c r="R187" s="34"/>
      <c r="S187" s="34"/>
      <c r="T187" s="35"/>
      <c r="U187" s="35"/>
    </row>
    <row r="188" spans="18:21" x14ac:dyDescent="0.25">
      <c r="R188" s="34"/>
      <c r="S188" s="34"/>
      <c r="T188" s="35"/>
      <c r="U188" s="35"/>
    </row>
    <row r="189" spans="18:21" x14ac:dyDescent="0.25">
      <c r="R189" s="34"/>
      <c r="S189" s="34"/>
      <c r="T189" s="35"/>
      <c r="U189" s="35"/>
    </row>
    <row r="190" spans="18:21" x14ac:dyDescent="0.25">
      <c r="R190" s="34"/>
      <c r="S190" s="34"/>
      <c r="T190" s="35"/>
      <c r="U190" s="35"/>
    </row>
    <row r="191" spans="18:21" x14ac:dyDescent="0.25">
      <c r="R191" s="34"/>
      <c r="S191" s="34"/>
      <c r="T191" s="35"/>
      <c r="U191" s="35"/>
    </row>
    <row r="192" spans="18:21" x14ac:dyDescent="0.25">
      <c r="R192" s="34"/>
      <c r="S192" s="34"/>
      <c r="T192" s="35"/>
      <c r="U192" s="35"/>
    </row>
    <row r="193" spans="18:21" x14ac:dyDescent="0.25">
      <c r="R193" s="34"/>
      <c r="S193" s="34"/>
      <c r="T193" s="35"/>
      <c r="U193" s="35"/>
    </row>
    <row r="194" spans="18:21" x14ac:dyDescent="0.25">
      <c r="R194" s="34"/>
      <c r="S194" s="34"/>
      <c r="T194" s="35"/>
      <c r="U194" s="35"/>
    </row>
    <row r="195" spans="18:21" x14ac:dyDescent="0.25">
      <c r="R195" s="34"/>
      <c r="S195" s="34"/>
      <c r="T195" s="35"/>
      <c r="U195" s="35"/>
    </row>
    <row r="196" spans="18:21" x14ac:dyDescent="0.25">
      <c r="R196" s="34"/>
      <c r="S196" s="34"/>
      <c r="T196" s="35"/>
      <c r="U196" s="35"/>
    </row>
    <row r="197" spans="18:21" x14ac:dyDescent="0.25">
      <c r="R197" s="34"/>
      <c r="S197" s="34"/>
      <c r="T197" s="35"/>
      <c r="U197" s="35"/>
    </row>
    <row r="198" spans="18:21" x14ac:dyDescent="0.25">
      <c r="R198" s="34"/>
      <c r="S198" s="34"/>
      <c r="T198" s="35"/>
      <c r="U198" s="35"/>
    </row>
    <row r="199" spans="18:21" x14ac:dyDescent="0.25">
      <c r="R199" s="34"/>
      <c r="S199" s="34"/>
      <c r="T199" s="35"/>
      <c r="U199" s="35"/>
    </row>
    <row r="200" spans="18:21" x14ac:dyDescent="0.25">
      <c r="R200" s="34"/>
      <c r="S200" s="34"/>
      <c r="T200" s="35"/>
      <c r="U200" s="35"/>
    </row>
    <row r="201" spans="18:21" x14ac:dyDescent="0.25">
      <c r="R201" s="34"/>
      <c r="S201" s="34"/>
      <c r="T201" s="35"/>
      <c r="U201" s="35"/>
    </row>
    <row r="202" spans="18:21" x14ac:dyDescent="0.25">
      <c r="R202" s="34"/>
      <c r="S202" s="34"/>
      <c r="T202" s="35"/>
      <c r="U202" s="35"/>
    </row>
    <row r="203" spans="18:21" x14ac:dyDescent="0.25">
      <c r="R203" s="34"/>
      <c r="S203" s="34"/>
      <c r="T203" s="35"/>
      <c r="U203" s="35"/>
    </row>
    <row r="204" spans="18:21" x14ac:dyDescent="0.25">
      <c r="R204" s="34"/>
      <c r="S204" s="34"/>
      <c r="T204" s="35"/>
      <c r="U204" s="35"/>
    </row>
    <row r="205" spans="18:21" x14ac:dyDescent="0.25">
      <c r="R205" s="34"/>
      <c r="S205" s="34"/>
      <c r="T205" s="35"/>
      <c r="U205" s="35"/>
    </row>
    <row r="206" spans="18:21" x14ac:dyDescent="0.25">
      <c r="R206" s="34"/>
      <c r="S206" s="34"/>
      <c r="T206" s="35"/>
      <c r="U206" s="35"/>
    </row>
    <row r="207" spans="18:21" x14ac:dyDescent="0.25">
      <c r="R207" s="34"/>
      <c r="S207" s="34"/>
      <c r="T207" s="35"/>
      <c r="U207" s="35"/>
    </row>
    <row r="208" spans="18:21" x14ac:dyDescent="0.25">
      <c r="R208" s="34"/>
      <c r="S208" s="34"/>
      <c r="T208" s="35"/>
      <c r="U208" s="35"/>
    </row>
    <row r="209" spans="18:21" x14ac:dyDescent="0.25">
      <c r="R209" s="34"/>
      <c r="S209" s="34"/>
      <c r="T209" s="35"/>
      <c r="U209" s="35"/>
    </row>
    <row r="210" spans="18:21" x14ac:dyDescent="0.25">
      <c r="R210" s="34"/>
      <c r="S210" s="34"/>
      <c r="T210" s="35"/>
      <c r="U210" s="35"/>
    </row>
    <row r="211" spans="18:21" x14ac:dyDescent="0.25">
      <c r="R211" s="34"/>
      <c r="S211" s="34"/>
      <c r="T211" s="35"/>
      <c r="U211" s="35"/>
    </row>
    <row r="212" spans="18:21" x14ac:dyDescent="0.25">
      <c r="R212" s="34"/>
      <c r="S212" s="34"/>
      <c r="T212" s="35"/>
      <c r="U212" s="35"/>
    </row>
    <row r="213" spans="18:21" x14ac:dyDescent="0.25">
      <c r="R213" s="34"/>
      <c r="S213" s="34"/>
      <c r="T213" s="35"/>
      <c r="U213" s="35"/>
    </row>
    <row r="214" spans="18:21" x14ac:dyDescent="0.25">
      <c r="R214" s="34"/>
      <c r="S214" s="34"/>
      <c r="T214" s="35"/>
      <c r="U214" s="35"/>
    </row>
    <row r="215" spans="18:21" x14ac:dyDescent="0.25">
      <c r="R215" s="34"/>
      <c r="S215" s="34"/>
      <c r="T215" s="35"/>
      <c r="U215" s="35"/>
    </row>
    <row r="216" spans="18:21" x14ac:dyDescent="0.25">
      <c r="R216" s="34"/>
      <c r="S216" s="34"/>
      <c r="T216" s="35"/>
      <c r="U216" s="35"/>
    </row>
    <row r="217" spans="18:21" x14ac:dyDescent="0.25">
      <c r="R217" s="34"/>
      <c r="S217" s="34"/>
      <c r="T217" s="35"/>
      <c r="U217" s="35"/>
    </row>
    <row r="218" spans="18:21" x14ac:dyDescent="0.25">
      <c r="R218" s="34"/>
      <c r="S218" s="34"/>
      <c r="T218" s="35"/>
      <c r="U218" s="35"/>
    </row>
    <row r="219" spans="18:21" x14ac:dyDescent="0.25">
      <c r="R219" s="34"/>
      <c r="S219" s="34"/>
      <c r="T219" s="35"/>
      <c r="U219" s="35"/>
    </row>
    <row r="220" spans="18:21" x14ac:dyDescent="0.25">
      <c r="R220" s="34"/>
      <c r="S220" s="34"/>
      <c r="T220" s="35"/>
      <c r="U220" s="35"/>
    </row>
    <row r="221" spans="18:21" x14ac:dyDescent="0.25">
      <c r="R221" s="34"/>
      <c r="S221" s="34"/>
      <c r="T221" s="35"/>
      <c r="U221" s="35"/>
    </row>
    <row r="222" spans="18:21" x14ac:dyDescent="0.25">
      <c r="R222" s="34"/>
      <c r="S222" s="34"/>
      <c r="T222" s="35"/>
      <c r="U222" s="35"/>
    </row>
    <row r="223" spans="18:21" x14ac:dyDescent="0.25">
      <c r="R223" s="34"/>
      <c r="S223" s="34"/>
      <c r="T223" s="35"/>
      <c r="U223" s="35"/>
    </row>
    <row r="224" spans="18:21" x14ac:dyDescent="0.25">
      <c r="R224" s="34"/>
      <c r="S224" s="34"/>
      <c r="T224" s="35"/>
      <c r="U224" s="35"/>
    </row>
    <row r="225" spans="18:21" x14ac:dyDescent="0.25">
      <c r="R225" s="34"/>
      <c r="S225" s="34"/>
      <c r="T225" s="35"/>
      <c r="U225" s="35"/>
    </row>
    <row r="226" spans="18:21" x14ac:dyDescent="0.25">
      <c r="R226" s="34"/>
      <c r="S226" s="34"/>
      <c r="T226" s="35"/>
      <c r="U226" s="35"/>
    </row>
    <row r="227" spans="18:21" x14ac:dyDescent="0.25">
      <c r="R227" s="34"/>
      <c r="S227" s="34"/>
      <c r="T227" s="35"/>
      <c r="U227" s="35"/>
    </row>
    <row r="228" spans="18:21" x14ac:dyDescent="0.25">
      <c r="R228" s="34"/>
      <c r="S228" s="34"/>
      <c r="T228" s="35"/>
      <c r="U228" s="35"/>
    </row>
    <row r="229" spans="18:21" x14ac:dyDescent="0.25">
      <c r="R229" s="34"/>
      <c r="S229" s="34"/>
      <c r="T229" s="35"/>
      <c r="U229" s="35"/>
    </row>
    <row r="230" spans="18:21" x14ac:dyDescent="0.25">
      <c r="R230" s="34"/>
      <c r="S230" s="34"/>
      <c r="T230" s="35"/>
      <c r="U230" s="35"/>
    </row>
    <row r="231" spans="18:21" x14ac:dyDescent="0.25">
      <c r="R231" s="34"/>
      <c r="S231" s="34"/>
      <c r="T231" s="35"/>
      <c r="U231" s="35"/>
    </row>
    <row r="232" spans="18:21" x14ac:dyDescent="0.25">
      <c r="R232" s="34"/>
      <c r="S232" s="34"/>
      <c r="T232" s="35"/>
      <c r="U232" s="35"/>
    </row>
    <row r="233" spans="18:21" x14ac:dyDescent="0.25">
      <c r="R233" s="34"/>
      <c r="S233" s="34"/>
      <c r="T233" s="35"/>
      <c r="U233" s="35"/>
    </row>
    <row r="234" spans="18:21" x14ac:dyDescent="0.25">
      <c r="R234" s="34"/>
      <c r="S234" s="34"/>
      <c r="T234" s="35"/>
      <c r="U234" s="35"/>
    </row>
    <row r="235" spans="18:21" x14ac:dyDescent="0.25">
      <c r="R235" s="34"/>
      <c r="S235" s="34"/>
      <c r="T235" s="35"/>
      <c r="U235" s="35"/>
    </row>
    <row r="236" spans="18:21" x14ac:dyDescent="0.25">
      <c r="R236" s="34"/>
      <c r="S236" s="34"/>
      <c r="T236" s="35"/>
      <c r="U236" s="35"/>
    </row>
    <row r="237" spans="18:21" x14ac:dyDescent="0.25">
      <c r="R237" s="34"/>
      <c r="S237" s="34"/>
      <c r="T237" s="35"/>
      <c r="U237" s="35"/>
    </row>
    <row r="238" spans="18:21" x14ac:dyDescent="0.25">
      <c r="R238" s="34"/>
      <c r="S238" s="34"/>
      <c r="T238" s="35"/>
      <c r="U238" s="35"/>
    </row>
    <row r="239" spans="18:21" x14ac:dyDescent="0.25">
      <c r="R239" s="34"/>
      <c r="S239" s="34"/>
      <c r="T239" s="35"/>
      <c r="U239" s="35"/>
    </row>
    <row r="240" spans="18:21" x14ac:dyDescent="0.25">
      <c r="R240" s="34"/>
      <c r="S240" s="34"/>
      <c r="T240" s="35"/>
      <c r="U240" s="35"/>
    </row>
    <row r="241" spans="18:21" x14ac:dyDescent="0.25">
      <c r="R241" s="34"/>
      <c r="S241" s="34"/>
      <c r="T241" s="35"/>
      <c r="U241" s="35"/>
    </row>
    <row r="242" spans="18:21" x14ac:dyDescent="0.25">
      <c r="R242" s="34"/>
      <c r="S242" s="34"/>
      <c r="T242" s="35"/>
      <c r="U242" s="35"/>
    </row>
    <row r="243" spans="18:21" x14ac:dyDescent="0.25">
      <c r="R243" s="34"/>
      <c r="S243" s="34"/>
      <c r="T243" s="35"/>
      <c r="U243" s="35"/>
    </row>
    <row r="244" spans="18:21" x14ac:dyDescent="0.25">
      <c r="R244" s="34"/>
      <c r="S244" s="34"/>
      <c r="T244" s="35"/>
      <c r="U244" s="35"/>
    </row>
    <row r="245" spans="18:21" x14ac:dyDescent="0.25">
      <c r="R245" s="34"/>
      <c r="S245" s="34"/>
      <c r="T245" s="35"/>
      <c r="U245" s="35"/>
    </row>
    <row r="246" spans="18:21" x14ac:dyDescent="0.25">
      <c r="R246" s="34"/>
      <c r="S246" s="34"/>
      <c r="T246" s="35"/>
      <c r="U246" s="35"/>
    </row>
    <row r="247" spans="18:21" x14ac:dyDescent="0.25">
      <c r="R247" s="34"/>
      <c r="S247" s="34"/>
      <c r="T247" s="35"/>
      <c r="U247" s="35"/>
    </row>
    <row r="248" spans="18:21" x14ac:dyDescent="0.25">
      <c r="R248" s="34"/>
      <c r="S248" s="34"/>
      <c r="T248" s="35"/>
      <c r="U248" s="35"/>
    </row>
    <row r="249" spans="18:21" x14ac:dyDescent="0.25">
      <c r="R249" s="34"/>
      <c r="S249" s="34"/>
      <c r="T249" s="35"/>
      <c r="U249" s="35"/>
    </row>
    <row r="250" spans="18:21" x14ac:dyDescent="0.25">
      <c r="R250" s="34"/>
      <c r="S250" s="34"/>
      <c r="T250" s="35"/>
      <c r="U250" s="35"/>
    </row>
    <row r="251" spans="18:21" x14ac:dyDescent="0.25">
      <c r="R251" s="34"/>
      <c r="S251" s="34"/>
      <c r="T251" s="35"/>
      <c r="U251" s="35"/>
    </row>
    <row r="252" spans="18:21" x14ac:dyDescent="0.25">
      <c r="R252" s="34"/>
      <c r="S252" s="34"/>
      <c r="T252" s="35"/>
      <c r="U252" s="35"/>
    </row>
    <row r="253" spans="18:21" x14ac:dyDescent="0.25">
      <c r="R253" s="34"/>
      <c r="S253" s="34"/>
      <c r="T253" s="35"/>
      <c r="U253" s="35"/>
    </row>
    <row r="254" spans="18:21" x14ac:dyDescent="0.25">
      <c r="R254" s="34"/>
      <c r="S254" s="34"/>
      <c r="T254" s="35"/>
      <c r="U254" s="35"/>
    </row>
    <row r="255" spans="18:21" x14ac:dyDescent="0.25">
      <c r="R255" s="34"/>
      <c r="S255" s="34"/>
      <c r="T255" s="35"/>
      <c r="U255" s="35"/>
    </row>
    <row r="256" spans="18:21" x14ac:dyDescent="0.25">
      <c r="R256" s="34"/>
      <c r="S256" s="34"/>
      <c r="T256" s="35"/>
      <c r="U256" s="35"/>
    </row>
    <row r="257" spans="18:21" x14ac:dyDescent="0.25">
      <c r="R257" s="34"/>
      <c r="S257" s="34"/>
      <c r="T257" s="35"/>
      <c r="U257" s="35"/>
    </row>
    <row r="258" spans="18:21" x14ac:dyDescent="0.25">
      <c r="R258" s="34"/>
      <c r="S258" s="34"/>
      <c r="T258" s="35"/>
      <c r="U258" s="35"/>
    </row>
    <row r="259" spans="18:21" x14ac:dyDescent="0.25">
      <c r="R259" s="34"/>
      <c r="S259" s="34"/>
      <c r="T259" s="35"/>
      <c r="U259" s="35"/>
    </row>
    <row r="260" spans="18:21" x14ac:dyDescent="0.25">
      <c r="R260" s="34"/>
      <c r="S260" s="34"/>
      <c r="T260" s="35"/>
      <c r="U260" s="35"/>
    </row>
    <row r="261" spans="18:21" x14ac:dyDescent="0.25">
      <c r="R261" s="34"/>
      <c r="S261" s="34"/>
      <c r="T261" s="35"/>
      <c r="U261" s="35"/>
    </row>
    <row r="262" spans="18:21" x14ac:dyDescent="0.25">
      <c r="R262" s="34"/>
      <c r="S262" s="34"/>
      <c r="T262" s="35"/>
      <c r="U262" s="35"/>
    </row>
    <row r="263" spans="18:21" x14ac:dyDescent="0.25">
      <c r="R263" s="34"/>
      <c r="S263" s="34"/>
      <c r="T263" s="35"/>
      <c r="U263" s="35"/>
    </row>
    <row r="264" spans="18:21" x14ac:dyDescent="0.25">
      <c r="R264" s="34"/>
      <c r="S264" s="34"/>
      <c r="T264" s="35"/>
      <c r="U264" s="35"/>
    </row>
    <row r="265" spans="18:21" x14ac:dyDescent="0.25">
      <c r="R265" s="34"/>
      <c r="S265" s="34"/>
      <c r="T265" s="35"/>
      <c r="U265" s="35"/>
    </row>
    <row r="266" spans="18:21" x14ac:dyDescent="0.25">
      <c r="R266" s="34"/>
      <c r="S266" s="34"/>
      <c r="T266" s="35"/>
      <c r="U266" s="35"/>
    </row>
    <row r="267" spans="18:21" x14ac:dyDescent="0.25">
      <c r="R267" s="34"/>
      <c r="S267" s="34"/>
      <c r="T267" s="35"/>
      <c r="U267" s="35"/>
    </row>
    <row r="268" spans="18:21" x14ac:dyDescent="0.25">
      <c r="R268" s="34"/>
      <c r="S268" s="34"/>
      <c r="T268" s="35"/>
      <c r="U268" s="35"/>
    </row>
    <row r="269" spans="18:21" x14ac:dyDescent="0.25">
      <c r="R269" s="34"/>
      <c r="S269" s="34"/>
      <c r="T269" s="35"/>
      <c r="U269" s="35"/>
    </row>
    <row r="270" spans="18:21" x14ac:dyDescent="0.25">
      <c r="R270" s="34"/>
      <c r="S270" s="34"/>
      <c r="T270" s="35"/>
      <c r="U270" s="35"/>
    </row>
    <row r="271" spans="18:21" x14ac:dyDescent="0.25">
      <c r="R271" s="34"/>
      <c r="S271" s="34"/>
      <c r="T271" s="35"/>
      <c r="U271" s="35"/>
    </row>
    <row r="272" spans="18:21" x14ac:dyDescent="0.25">
      <c r="R272" s="34"/>
      <c r="S272" s="34"/>
      <c r="T272" s="35"/>
      <c r="U272" s="35"/>
    </row>
    <row r="273" spans="18:21" x14ac:dyDescent="0.25">
      <c r="R273" s="34"/>
      <c r="S273" s="34"/>
      <c r="T273" s="35"/>
      <c r="U273" s="35"/>
    </row>
    <row r="274" spans="18:21" x14ac:dyDescent="0.25">
      <c r="R274" s="34"/>
      <c r="S274" s="34"/>
      <c r="T274" s="35"/>
      <c r="U274" s="35"/>
    </row>
    <row r="275" spans="18:21" x14ac:dyDescent="0.25">
      <c r="R275" s="34"/>
      <c r="S275" s="34"/>
      <c r="T275" s="35"/>
      <c r="U275" s="35"/>
    </row>
    <row r="276" spans="18:21" x14ac:dyDescent="0.25">
      <c r="R276" s="34"/>
      <c r="S276" s="34"/>
      <c r="T276" s="35"/>
      <c r="U276" s="35"/>
    </row>
    <row r="277" spans="18:21" x14ac:dyDescent="0.25">
      <c r="R277" s="34"/>
      <c r="S277" s="34"/>
      <c r="T277" s="35"/>
      <c r="U277" s="35"/>
    </row>
    <row r="278" spans="18:21" x14ac:dyDescent="0.25">
      <c r="R278" s="34"/>
      <c r="S278" s="34"/>
      <c r="T278" s="35"/>
      <c r="U278" s="35"/>
    </row>
    <row r="279" spans="18:21" x14ac:dyDescent="0.25">
      <c r="R279" s="34"/>
      <c r="S279" s="34"/>
      <c r="T279" s="35"/>
      <c r="U279" s="35"/>
    </row>
    <row r="280" spans="18:21" x14ac:dyDescent="0.25">
      <c r="R280" s="34"/>
      <c r="S280" s="34"/>
      <c r="T280" s="35"/>
      <c r="U280" s="35"/>
    </row>
    <row r="281" spans="18:21" x14ac:dyDescent="0.25">
      <c r="R281" s="34"/>
      <c r="S281" s="34"/>
      <c r="T281" s="35"/>
      <c r="U281" s="35"/>
    </row>
    <row r="282" spans="18:21" x14ac:dyDescent="0.25">
      <c r="R282" s="34"/>
      <c r="S282" s="34"/>
      <c r="T282" s="34"/>
      <c r="U282" s="35"/>
    </row>
    <row r="283" spans="18:21" x14ac:dyDescent="0.25">
      <c r="R283" s="34"/>
      <c r="S283" s="34"/>
      <c r="T283" s="34"/>
      <c r="U283" s="35"/>
    </row>
    <row r="284" spans="18:21" x14ac:dyDescent="0.25">
      <c r="R284" s="34"/>
      <c r="S284" s="34"/>
      <c r="T284" s="34"/>
      <c r="U284" s="35"/>
    </row>
    <row r="285" spans="18:21" x14ac:dyDescent="0.25">
      <c r="R285" s="34"/>
      <c r="S285" s="34"/>
      <c r="T285" s="34"/>
      <c r="U285" s="35"/>
    </row>
    <row r="286" spans="18:21" x14ac:dyDescent="0.25">
      <c r="R286" s="34"/>
      <c r="S286" s="34"/>
      <c r="T286" s="34"/>
      <c r="U286" s="35"/>
    </row>
    <row r="287" spans="18:21" x14ac:dyDescent="0.25">
      <c r="R287" s="34"/>
      <c r="S287" s="34"/>
      <c r="T287" s="34"/>
      <c r="U287" s="35"/>
    </row>
    <row r="288" spans="18:21" x14ac:dyDescent="0.25">
      <c r="R288" s="34"/>
      <c r="S288" s="34"/>
      <c r="T288" s="34"/>
      <c r="U288" s="35"/>
    </row>
    <row r="289" spans="18:21" x14ac:dyDescent="0.25">
      <c r="R289" s="34"/>
      <c r="S289" s="34"/>
      <c r="T289" s="34"/>
      <c r="U289" s="35"/>
    </row>
    <row r="290" spans="18:21" x14ac:dyDescent="0.25">
      <c r="R290" s="34"/>
      <c r="S290" s="34"/>
      <c r="T290" s="34"/>
      <c r="U290" s="35"/>
    </row>
    <row r="291" spans="18:21" x14ac:dyDescent="0.25">
      <c r="R291" s="34"/>
      <c r="S291" s="34"/>
      <c r="T291" s="34"/>
      <c r="U291" s="35"/>
    </row>
    <row r="292" spans="18:21" x14ac:dyDescent="0.25">
      <c r="R292" s="34"/>
      <c r="S292" s="34"/>
      <c r="T292" s="34"/>
      <c r="U292" s="35"/>
    </row>
    <row r="293" spans="18:21" x14ac:dyDescent="0.25">
      <c r="R293" s="34"/>
      <c r="S293" s="34"/>
      <c r="T293" s="34"/>
      <c r="U293" s="35"/>
    </row>
    <row r="294" spans="18:21" x14ac:dyDescent="0.25">
      <c r="R294" s="34"/>
      <c r="S294" s="34"/>
      <c r="T294" s="34"/>
      <c r="U294" s="35"/>
    </row>
    <row r="295" spans="18:21" x14ac:dyDescent="0.25">
      <c r="R295" s="34"/>
      <c r="S295" s="34"/>
      <c r="T295" s="34"/>
      <c r="U295" s="35"/>
    </row>
    <row r="296" spans="18:21" x14ac:dyDescent="0.25">
      <c r="R296" s="34"/>
      <c r="S296" s="34"/>
      <c r="T296" s="34"/>
      <c r="U296" s="35"/>
    </row>
    <row r="297" spans="18:21" x14ac:dyDescent="0.25">
      <c r="R297" s="34"/>
      <c r="S297" s="34"/>
      <c r="T297" s="34"/>
      <c r="U297" s="35"/>
    </row>
    <row r="298" spans="18:21" x14ac:dyDescent="0.25">
      <c r="R298" s="34"/>
      <c r="S298" s="34"/>
      <c r="T298" s="34"/>
      <c r="U298" s="35"/>
    </row>
    <row r="299" spans="18:21" x14ac:dyDescent="0.25">
      <c r="R299" s="34"/>
      <c r="S299" s="34"/>
      <c r="T299" s="34"/>
      <c r="U299" s="35"/>
    </row>
    <row r="300" spans="18:21" x14ac:dyDescent="0.25">
      <c r="R300" s="34"/>
      <c r="S300" s="34"/>
      <c r="T300" s="34"/>
      <c r="U300" s="35"/>
    </row>
    <row r="301" spans="18:21" x14ac:dyDescent="0.25">
      <c r="R301" s="34"/>
      <c r="S301" s="34"/>
      <c r="T301" s="34"/>
      <c r="U301" s="35"/>
    </row>
    <row r="302" spans="18:21" x14ac:dyDescent="0.25">
      <c r="R302" s="34"/>
      <c r="S302" s="34"/>
      <c r="T302" s="34"/>
      <c r="U302" s="35"/>
    </row>
    <row r="303" spans="18:21" x14ac:dyDescent="0.25">
      <c r="R303" s="34"/>
      <c r="S303" s="34"/>
      <c r="T303" s="34"/>
      <c r="U303" s="35"/>
    </row>
    <row r="304" spans="18:21" x14ac:dyDescent="0.25">
      <c r="R304" s="34"/>
      <c r="S304" s="34"/>
      <c r="T304" s="34"/>
      <c r="U304" s="35"/>
    </row>
    <row r="305" spans="18:21" x14ac:dyDescent="0.25">
      <c r="R305" s="34"/>
      <c r="S305" s="34"/>
      <c r="T305" s="34"/>
      <c r="U305" s="35"/>
    </row>
    <row r="306" spans="18:21" x14ac:dyDescent="0.25">
      <c r="R306" s="34"/>
      <c r="S306" s="34"/>
      <c r="T306" s="34"/>
      <c r="U306" s="35"/>
    </row>
    <row r="307" spans="18:21" x14ac:dyDescent="0.25">
      <c r="R307" s="34"/>
      <c r="S307" s="34"/>
      <c r="T307" s="34"/>
      <c r="U307" s="35"/>
    </row>
    <row r="308" spans="18:21" x14ac:dyDescent="0.25">
      <c r="R308" s="34"/>
      <c r="S308" s="34"/>
      <c r="T308" s="34"/>
      <c r="U308" s="35"/>
    </row>
    <row r="309" spans="18:21" x14ac:dyDescent="0.25">
      <c r="R309" s="34"/>
      <c r="S309" s="34"/>
      <c r="T309" s="34"/>
      <c r="U309" s="35"/>
    </row>
    <row r="310" spans="18:21" x14ac:dyDescent="0.25">
      <c r="R310" s="34"/>
      <c r="S310" s="34"/>
      <c r="T310" s="34"/>
      <c r="U310" s="35"/>
    </row>
    <row r="311" spans="18:21" x14ac:dyDescent="0.25">
      <c r="R311" s="34"/>
      <c r="S311" s="34"/>
      <c r="T311" s="34"/>
      <c r="U311" s="35"/>
    </row>
    <row r="312" spans="18:21" x14ac:dyDescent="0.25">
      <c r="R312" s="34"/>
      <c r="S312" s="34"/>
      <c r="T312" s="34"/>
      <c r="U312" s="35"/>
    </row>
    <row r="313" spans="18:21" x14ac:dyDescent="0.25">
      <c r="R313" s="34"/>
      <c r="S313" s="34"/>
      <c r="T313" s="34"/>
      <c r="U313" s="35"/>
    </row>
    <row r="314" spans="18:21" x14ac:dyDescent="0.25">
      <c r="R314" s="34"/>
      <c r="S314" s="34"/>
      <c r="T314" s="34"/>
      <c r="U314" s="35"/>
    </row>
    <row r="315" spans="18:21" x14ac:dyDescent="0.25">
      <c r="R315" s="34"/>
      <c r="S315" s="34"/>
      <c r="T315" s="34"/>
      <c r="U315" s="35"/>
    </row>
    <row r="316" spans="18:21" x14ac:dyDescent="0.25">
      <c r="R316" s="34"/>
      <c r="S316" s="34"/>
      <c r="T316" s="34"/>
      <c r="U316" s="35"/>
    </row>
    <row r="317" spans="18:21" x14ac:dyDescent="0.25">
      <c r="R317" s="34"/>
      <c r="S317" s="34"/>
      <c r="T317" s="34"/>
      <c r="U317" s="35"/>
    </row>
    <row r="318" spans="18:21" x14ac:dyDescent="0.25">
      <c r="R318" s="34"/>
      <c r="S318" s="34"/>
      <c r="T318" s="34"/>
      <c r="U318" s="35"/>
    </row>
    <row r="319" spans="18:21" x14ac:dyDescent="0.25">
      <c r="R319" s="34"/>
      <c r="S319" s="34"/>
      <c r="T319" s="34"/>
      <c r="U319" s="35"/>
    </row>
    <row r="320" spans="18:21" x14ac:dyDescent="0.25">
      <c r="R320" s="34"/>
      <c r="S320" s="34"/>
      <c r="T320" s="34"/>
      <c r="U320" s="35"/>
    </row>
    <row r="321" spans="18:21" x14ac:dyDescent="0.25">
      <c r="R321" s="34"/>
      <c r="S321" s="34"/>
      <c r="T321" s="34"/>
      <c r="U321" s="35"/>
    </row>
    <row r="322" spans="18:21" x14ac:dyDescent="0.25">
      <c r="R322" s="34"/>
      <c r="S322" s="34"/>
      <c r="T322" s="34"/>
      <c r="U322" s="35"/>
    </row>
    <row r="323" spans="18:21" x14ac:dyDescent="0.25">
      <c r="R323" s="34"/>
      <c r="S323" s="34"/>
      <c r="T323" s="34"/>
      <c r="U323" s="35"/>
    </row>
    <row r="324" spans="18:21" x14ac:dyDescent="0.25">
      <c r="R324" s="34"/>
      <c r="S324" s="34"/>
      <c r="T324" s="34"/>
      <c r="U324" s="35"/>
    </row>
    <row r="325" spans="18:21" x14ac:dyDescent="0.25">
      <c r="R325" s="34"/>
      <c r="S325" s="34"/>
      <c r="T325" s="34"/>
      <c r="U325" s="35"/>
    </row>
    <row r="326" spans="18:21" x14ac:dyDescent="0.25">
      <c r="R326" s="34"/>
      <c r="S326" s="34"/>
      <c r="T326" s="34"/>
      <c r="U326" s="35"/>
    </row>
    <row r="327" spans="18:21" x14ac:dyDescent="0.25">
      <c r="R327" s="34"/>
      <c r="S327" s="34"/>
      <c r="T327" s="34"/>
      <c r="U327" s="35"/>
    </row>
    <row r="328" spans="18:21" x14ac:dyDescent="0.25">
      <c r="R328" s="34"/>
      <c r="S328" s="34"/>
      <c r="T328" s="34"/>
      <c r="U328" s="35"/>
    </row>
    <row r="329" spans="18:21" x14ac:dyDescent="0.25">
      <c r="R329" s="34"/>
      <c r="S329" s="34"/>
      <c r="T329" s="34"/>
      <c r="U329" s="35"/>
    </row>
    <row r="330" spans="18:21" x14ac:dyDescent="0.25">
      <c r="R330" s="34"/>
      <c r="S330" s="34"/>
      <c r="T330" s="34"/>
      <c r="U330" s="35"/>
    </row>
    <row r="331" spans="18:21" x14ac:dyDescent="0.25">
      <c r="R331" s="34"/>
      <c r="S331" s="34"/>
      <c r="T331" s="34"/>
      <c r="U331" s="35"/>
    </row>
    <row r="332" spans="18:21" x14ac:dyDescent="0.25">
      <c r="R332" s="34"/>
      <c r="S332" s="34"/>
      <c r="T332" s="34"/>
      <c r="U332" s="35"/>
    </row>
    <row r="333" spans="18:21" x14ac:dyDescent="0.25">
      <c r="R333" s="34"/>
      <c r="S333" s="34"/>
      <c r="T333" s="34"/>
      <c r="U333" s="35"/>
    </row>
    <row r="334" spans="18:21" x14ac:dyDescent="0.25">
      <c r="R334" s="34"/>
      <c r="S334" s="34"/>
      <c r="T334" s="34"/>
      <c r="U334" s="35"/>
    </row>
    <row r="335" spans="18:21" x14ac:dyDescent="0.25">
      <c r="R335" s="34"/>
      <c r="S335" s="34"/>
      <c r="T335" s="34"/>
      <c r="U335" s="35"/>
    </row>
    <row r="336" spans="18:21" x14ac:dyDescent="0.25">
      <c r="R336" s="34"/>
      <c r="S336" s="34"/>
      <c r="T336" s="34"/>
      <c r="U336" s="35"/>
    </row>
    <row r="337" spans="18:21" x14ac:dyDescent="0.25">
      <c r="R337" s="34"/>
      <c r="S337" s="34"/>
      <c r="T337" s="34"/>
      <c r="U337" s="35"/>
    </row>
    <row r="338" spans="18:21" x14ac:dyDescent="0.25">
      <c r="R338" s="34"/>
      <c r="S338" s="34"/>
      <c r="T338" s="34"/>
      <c r="U338" s="35"/>
    </row>
    <row r="339" spans="18:21" x14ac:dyDescent="0.25">
      <c r="R339" s="34"/>
      <c r="S339" s="34"/>
      <c r="T339" s="34"/>
      <c r="U339" s="35"/>
    </row>
    <row r="340" spans="18:21" x14ac:dyDescent="0.25">
      <c r="R340" s="34"/>
      <c r="S340" s="34"/>
      <c r="T340" s="34"/>
      <c r="U340" s="35"/>
    </row>
    <row r="341" spans="18:21" x14ac:dyDescent="0.25">
      <c r="R341" s="34"/>
      <c r="S341" s="34"/>
      <c r="T341" s="34"/>
      <c r="U341" s="35"/>
    </row>
    <row r="342" spans="18:21" x14ac:dyDescent="0.25">
      <c r="R342" s="34"/>
      <c r="S342" s="34"/>
      <c r="T342" s="34"/>
      <c r="U342" s="35"/>
    </row>
    <row r="343" spans="18:21" x14ac:dyDescent="0.25">
      <c r="R343" s="34"/>
      <c r="S343" s="34"/>
      <c r="T343" s="34"/>
      <c r="U343" s="35"/>
    </row>
    <row r="344" spans="18:21" x14ac:dyDescent="0.25">
      <c r="R344" s="34"/>
      <c r="S344" s="34"/>
      <c r="T344" s="34"/>
      <c r="U344" s="35"/>
    </row>
    <row r="345" spans="18:21" x14ac:dyDescent="0.25">
      <c r="R345" s="34"/>
      <c r="S345" s="34"/>
      <c r="T345" s="34"/>
      <c r="U345" s="35"/>
    </row>
    <row r="346" spans="18:21" x14ac:dyDescent="0.25">
      <c r="R346" s="34"/>
      <c r="S346" s="34"/>
      <c r="T346" s="34"/>
      <c r="U346" s="35"/>
    </row>
    <row r="347" spans="18:21" x14ac:dyDescent="0.25">
      <c r="R347" s="34"/>
      <c r="S347" s="34"/>
      <c r="T347" s="34"/>
      <c r="U347" s="35"/>
    </row>
    <row r="348" spans="18:21" x14ac:dyDescent="0.25">
      <c r="R348" s="34"/>
      <c r="S348" s="34"/>
      <c r="T348" s="34"/>
      <c r="U348" s="35"/>
    </row>
    <row r="349" spans="18:21" x14ac:dyDescent="0.25">
      <c r="R349" s="34"/>
      <c r="S349" s="34"/>
      <c r="T349" s="34"/>
      <c r="U349" s="35"/>
    </row>
    <row r="350" spans="18:21" x14ac:dyDescent="0.25">
      <c r="R350" s="34"/>
      <c r="S350" s="34"/>
      <c r="T350" s="34"/>
      <c r="U350" s="35"/>
    </row>
    <row r="351" spans="18:21" x14ac:dyDescent="0.25">
      <c r="R351" s="34"/>
      <c r="S351" s="34"/>
      <c r="T351" s="34"/>
      <c r="U351" s="35"/>
    </row>
    <row r="352" spans="18:21" x14ac:dyDescent="0.25">
      <c r="R352" s="34"/>
      <c r="S352" s="34"/>
      <c r="T352" s="35"/>
      <c r="U352" s="35"/>
    </row>
    <row r="353" spans="18:21" x14ac:dyDescent="0.25">
      <c r="R353" s="34"/>
      <c r="S353" s="34"/>
      <c r="T353" s="35"/>
      <c r="U353" s="35"/>
    </row>
    <row r="354" spans="18:21" x14ac:dyDescent="0.25">
      <c r="R354" s="34"/>
      <c r="S354" s="34"/>
      <c r="T354" s="35"/>
      <c r="U354" s="35"/>
    </row>
    <row r="355" spans="18:21" x14ac:dyDescent="0.25">
      <c r="R355" s="34"/>
      <c r="S355" s="34"/>
      <c r="T355" s="35"/>
      <c r="U355" s="35"/>
    </row>
    <row r="356" spans="18:21" x14ac:dyDescent="0.25">
      <c r="R356" s="34"/>
      <c r="S356" s="34"/>
      <c r="T356" s="35"/>
      <c r="U356" s="35"/>
    </row>
    <row r="357" spans="18:21" x14ac:dyDescent="0.25">
      <c r="R357" s="34"/>
      <c r="S357" s="34"/>
      <c r="T357" s="35"/>
      <c r="U357" s="35"/>
    </row>
    <row r="358" spans="18:21" x14ac:dyDescent="0.25">
      <c r="R358" s="34"/>
      <c r="S358" s="34"/>
      <c r="T358" s="35"/>
      <c r="U358" s="35"/>
    </row>
    <row r="359" spans="18:21" x14ac:dyDescent="0.25">
      <c r="R359" s="34"/>
      <c r="S359" s="34"/>
      <c r="T359" s="35"/>
      <c r="U359" s="35"/>
    </row>
    <row r="360" spans="18:21" x14ac:dyDescent="0.25">
      <c r="R360" s="34"/>
      <c r="S360" s="34"/>
      <c r="T360" s="35"/>
      <c r="U360" s="35"/>
    </row>
    <row r="361" spans="18:21" x14ac:dyDescent="0.25">
      <c r="R361" s="34"/>
      <c r="S361" s="34"/>
      <c r="T361" s="35"/>
      <c r="U361" s="35"/>
    </row>
    <row r="362" spans="18:21" x14ac:dyDescent="0.25">
      <c r="R362" s="34"/>
      <c r="S362" s="34"/>
      <c r="T362" s="35"/>
      <c r="U362" s="35"/>
    </row>
    <row r="363" spans="18:21" x14ac:dyDescent="0.25">
      <c r="R363" s="34"/>
      <c r="S363" s="34"/>
      <c r="T363" s="35"/>
      <c r="U363" s="35"/>
    </row>
    <row r="364" spans="18:21" x14ac:dyDescent="0.25">
      <c r="R364" s="34"/>
      <c r="S364" s="34"/>
      <c r="T364" s="35"/>
      <c r="U364" s="35"/>
    </row>
    <row r="365" spans="18:21" x14ac:dyDescent="0.25">
      <c r="R365" s="34"/>
      <c r="S365" s="34"/>
      <c r="T365" s="35"/>
      <c r="U365" s="35"/>
    </row>
    <row r="366" spans="18:21" x14ac:dyDescent="0.25">
      <c r="R366" s="34"/>
      <c r="S366" s="34"/>
      <c r="T366" s="35"/>
      <c r="U366" s="35"/>
    </row>
    <row r="367" spans="18:21" x14ac:dyDescent="0.25">
      <c r="R367" s="34"/>
      <c r="S367" s="34"/>
      <c r="T367" s="35"/>
      <c r="U367" s="35"/>
    </row>
    <row r="368" spans="18:21" x14ac:dyDescent="0.25">
      <c r="R368" s="34"/>
      <c r="S368" s="34"/>
      <c r="T368" s="35"/>
      <c r="U368" s="35"/>
    </row>
    <row r="369" spans="18:21" x14ac:dyDescent="0.25">
      <c r="R369" s="34"/>
      <c r="S369" s="34"/>
      <c r="T369" s="35"/>
      <c r="U369" s="35"/>
    </row>
    <row r="370" spans="18:21" x14ac:dyDescent="0.25">
      <c r="R370" s="34"/>
      <c r="S370" s="34"/>
      <c r="T370" s="35"/>
      <c r="U370" s="35"/>
    </row>
    <row r="371" spans="18:21" x14ac:dyDescent="0.25">
      <c r="R371" s="34"/>
      <c r="S371" s="34"/>
      <c r="T371" s="35"/>
      <c r="U371" s="35"/>
    </row>
    <row r="372" spans="18:21" x14ac:dyDescent="0.25">
      <c r="R372" s="34"/>
      <c r="S372" s="34"/>
      <c r="T372" s="35"/>
      <c r="U372" s="35"/>
    </row>
    <row r="373" spans="18:21" x14ac:dyDescent="0.25">
      <c r="R373" s="34"/>
      <c r="S373" s="34"/>
      <c r="T373" s="35"/>
      <c r="U373" s="35"/>
    </row>
    <row r="374" spans="18:21" x14ac:dyDescent="0.25">
      <c r="R374" s="34"/>
      <c r="S374" s="34"/>
      <c r="T374" s="35"/>
      <c r="U374" s="35"/>
    </row>
    <row r="375" spans="18:21" x14ac:dyDescent="0.25">
      <c r="R375" s="34"/>
      <c r="S375" s="34"/>
      <c r="T375" s="35"/>
      <c r="U375" s="35"/>
    </row>
    <row r="376" spans="18:21" x14ac:dyDescent="0.25">
      <c r="R376" s="34"/>
      <c r="S376" s="34"/>
      <c r="T376" s="35"/>
      <c r="U376" s="35"/>
    </row>
    <row r="377" spans="18:21" x14ac:dyDescent="0.25">
      <c r="R377" s="34"/>
      <c r="S377" s="34"/>
      <c r="T377" s="35"/>
      <c r="U377" s="35"/>
    </row>
    <row r="378" spans="18:21" x14ac:dyDescent="0.25">
      <c r="R378" s="34"/>
      <c r="S378" s="34"/>
      <c r="T378" s="35"/>
      <c r="U378" s="35"/>
    </row>
    <row r="379" spans="18:21" x14ac:dyDescent="0.25">
      <c r="R379" s="34"/>
      <c r="S379" s="34"/>
      <c r="T379" s="35"/>
      <c r="U379" s="35"/>
    </row>
    <row r="380" spans="18:21" x14ac:dyDescent="0.25">
      <c r="R380" s="34"/>
      <c r="S380" s="34"/>
      <c r="T380" s="35"/>
      <c r="U380" s="35"/>
    </row>
    <row r="381" spans="18:21" x14ac:dyDescent="0.25">
      <c r="R381" s="34"/>
      <c r="S381" s="34"/>
      <c r="T381" s="35"/>
      <c r="U381" s="35"/>
    </row>
    <row r="382" spans="18:21" x14ac:dyDescent="0.25">
      <c r="R382" s="34"/>
      <c r="S382" s="34"/>
      <c r="T382" s="35"/>
      <c r="U382" s="35"/>
    </row>
    <row r="383" spans="18:21" x14ac:dyDescent="0.25">
      <c r="R383" s="34"/>
      <c r="S383" s="34"/>
      <c r="T383" s="35"/>
      <c r="U383" s="35"/>
    </row>
    <row r="384" spans="18:21" x14ac:dyDescent="0.25">
      <c r="R384" s="34"/>
      <c r="S384" s="34"/>
      <c r="T384" s="35"/>
      <c r="U384" s="35"/>
    </row>
    <row r="385" spans="18:21" x14ac:dyDescent="0.25">
      <c r="R385" s="34"/>
      <c r="S385" s="34"/>
      <c r="T385" s="35"/>
      <c r="U385" s="35"/>
    </row>
    <row r="386" spans="18:21" x14ac:dyDescent="0.25">
      <c r="R386" s="34"/>
      <c r="S386" s="34"/>
      <c r="T386" s="35"/>
      <c r="U386" s="35"/>
    </row>
    <row r="387" spans="18:21" x14ac:dyDescent="0.25">
      <c r="R387" s="34"/>
      <c r="S387" s="34"/>
      <c r="T387" s="35"/>
      <c r="U387" s="35"/>
    </row>
    <row r="388" spans="18:21" x14ac:dyDescent="0.25">
      <c r="R388" s="34"/>
      <c r="S388" s="34"/>
      <c r="T388" s="35"/>
      <c r="U388" s="35"/>
    </row>
    <row r="389" spans="18:21" x14ac:dyDescent="0.25">
      <c r="R389" s="34"/>
      <c r="S389" s="34"/>
      <c r="T389" s="35"/>
      <c r="U389" s="35"/>
    </row>
    <row r="390" spans="18:21" x14ac:dyDescent="0.25">
      <c r="R390" s="34"/>
      <c r="S390" s="34"/>
      <c r="T390" s="35"/>
      <c r="U390" s="35"/>
    </row>
    <row r="391" spans="18:21" x14ac:dyDescent="0.25">
      <c r="R391" s="34"/>
      <c r="S391" s="34"/>
      <c r="T391" s="35"/>
      <c r="U391" s="35"/>
    </row>
    <row r="392" spans="18:21" x14ac:dyDescent="0.25">
      <c r="R392" s="34"/>
      <c r="S392" s="34"/>
      <c r="T392" s="35"/>
      <c r="U392" s="35"/>
    </row>
    <row r="393" spans="18:21" x14ac:dyDescent="0.25">
      <c r="R393" s="34"/>
      <c r="S393" s="34"/>
      <c r="T393" s="35"/>
      <c r="U393" s="35"/>
    </row>
    <row r="394" spans="18:21" x14ac:dyDescent="0.25">
      <c r="R394" s="34"/>
      <c r="S394" s="34"/>
      <c r="T394" s="35"/>
      <c r="U394" s="35"/>
    </row>
    <row r="395" spans="18:21" x14ac:dyDescent="0.25">
      <c r="R395" s="34"/>
      <c r="S395" s="34"/>
      <c r="T395" s="35"/>
      <c r="U395" s="35"/>
    </row>
    <row r="396" spans="18:21" x14ac:dyDescent="0.25">
      <c r="R396" s="34"/>
      <c r="S396" s="34"/>
      <c r="T396" s="35"/>
      <c r="U396" s="35"/>
    </row>
    <row r="397" spans="18:21" x14ac:dyDescent="0.25">
      <c r="R397" s="34"/>
      <c r="S397" s="34"/>
      <c r="T397" s="35"/>
      <c r="U397" s="35"/>
    </row>
    <row r="398" spans="18:21" x14ac:dyDescent="0.25">
      <c r="R398" s="34"/>
      <c r="S398" s="34"/>
      <c r="T398" s="35"/>
      <c r="U398" s="35"/>
    </row>
    <row r="399" spans="18:21" x14ac:dyDescent="0.25">
      <c r="R399" s="34"/>
      <c r="S399" s="34"/>
      <c r="T399" s="35"/>
      <c r="U399" s="35"/>
    </row>
    <row r="400" spans="18:21" x14ac:dyDescent="0.25">
      <c r="R400" s="34"/>
      <c r="S400" s="34"/>
      <c r="T400" s="35"/>
      <c r="U400" s="35"/>
    </row>
    <row r="401" spans="18:21" x14ac:dyDescent="0.25">
      <c r="R401" s="34"/>
      <c r="S401" s="34"/>
      <c r="T401" s="35"/>
      <c r="U401" s="35"/>
    </row>
    <row r="402" spans="18:21" x14ac:dyDescent="0.25">
      <c r="R402" s="34"/>
      <c r="S402" s="34"/>
      <c r="T402" s="35"/>
      <c r="U402" s="35"/>
    </row>
    <row r="403" spans="18:21" x14ac:dyDescent="0.25">
      <c r="R403" s="34"/>
      <c r="S403" s="34"/>
      <c r="T403" s="35"/>
      <c r="U403" s="35"/>
    </row>
    <row r="404" spans="18:21" x14ac:dyDescent="0.25">
      <c r="R404" s="34"/>
      <c r="S404" s="34"/>
      <c r="T404" s="35"/>
      <c r="U404" s="35"/>
    </row>
    <row r="405" spans="18:21" x14ac:dyDescent="0.25">
      <c r="R405" s="34"/>
      <c r="S405" s="34"/>
      <c r="T405" s="35"/>
      <c r="U405" s="35"/>
    </row>
    <row r="406" spans="18:21" x14ac:dyDescent="0.25">
      <c r="R406" s="34"/>
      <c r="S406" s="34"/>
      <c r="T406" s="35"/>
      <c r="U406" s="35"/>
    </row>
    <row r="407" spans="18:21" x14ac:dyDescent="0.25">
      <c r="R407" s="34"/>
      <c r="S407" s="34"/>
      <c r="T407" s="35"/>
      <c r="U407" s="35"/>
    </row>
    <row r="408" spans="18:21" x14ac:dyDescent="0.25">
      <c r="R408" s="34"/>
      <c r="S408" s="34"/>
      <c r="T408" s="35"/>
      <c r="U408" s="35"/>
    </row>
    <row r="409" spans="18:21" x14ac:dyDescent="0.25">
      <c r="R409" s="34"/>
      <c r="S409" s="34"/>
      <c r="T409" s="35"/>
      <c r="U409" s="35"/>
    </row>
    <row r="410" spans="18:21" x14ac:dyDescent="0.25">
      <c r="R410" s="34"/>
      <c r="S410" s="34"/>
      <c r="T410" s="35"/>
      <c r="U410" s="35"/>
    </row>
    <row r="411" spans="18:21" x14ac:dyDescent="0.25">
      <c r="R411" s="34"/>
      <c r="S411" s="34"/>
      <c r="T411" s="35"/>
      <c r="U411" s="35"/>
    </row>
    <row r="412" spans="18:21" x14ac:dyDescent="0.25">
      <c r="R412" s="34"/>
      <c r="S412" s="34"/>
      <c r="T412" s="35"/>
      <c r="U412" s="35"/>
    </row>
    <row r="413" spans="18:21" x14ac:dyDescent="0.25">
      <c r="R413" s="34"/>
      <c r="S413" s="34"/>
      <c r="T413" s="35"/>
      <c r="U413" s="35"/>
    </row>
    <row r="414" spans="18:21" x14ac:dyDescent="0.25">
      <c r="R414" s="34"/>
      <c r="S414" s="34"/>
      <c r="T414" s="35"/>
      <c r="U414" s="35"/>
    </row>
    <row r="415" spans="18:21" x14ac:dyDescent="0.25">
      <c r="R415" s="34"/>
      <c r="S415" s="34"/>
      <c r="T415" s="35"/>
      <c r="U415" s="35"/>
    </row>
    <row r="416" spans="18:21" x14ac:dyDescent="0.25">
      <c r="R416" s="34"/>
      <c r="S416" s="34"/>
      <c r="T416" s="35"/>
      <c r="U416" s="35"/>
    </row>
    <row r="417" spans="18:21" x14ac:dyDescent="0.25">
      <c r="R417" s="34"/>
      <c r="S417" s="34"/>
      <c r="T417" s="35"/>
      <c r="U417" s="35"/>
    </row>
    <row r="418" spans="18:21" x14ac:dyDescent="0.25">
      <c r="R418" s="34"/>
      <c r="S418" s="34"/>
      <c r="T418" s="35"/>
      <c r="U418" s="35"/>
    </row>
    <row r="419" spans="18:21" x14ac:dyDescent="0.25">
      <c r="R419" s="34"/>
      <c r="S419" s="34"/>
      <c r="T419" s="35"/>
      <c r="U419" s="35"/>
    </row>
    <row r="420" spans="18:21" x14ac:dyDescent="0.25">
      <c r="R420" s="34"/>
      <c r="S420" s="34"/>
      <c r="T420" s="35"/>
      <c r="U420" s="35"/>
    </row>
    <row r="421" spans="18:21" x14ac:dyDescent="0.25">
      <c r="R421" s="34"/>
      <c r="S421" s="34"/>
      <c r="T421" s="35"/>
      <c r="U421" s="35"/>
    </row>
    <row r="422" spans="18:21" x14ac:dyDescent="0.25">
      <c r="R422" s="34"/>
      <c r="S422" s="34"/>
      <c r="T422" s="34"/>
      <c r="U422" s="35"/>
    </row>
    <row r="423" spans="18:21" x14ac:dyDescent="0.25">
      <c r="R423" s="34"/>
      <c r="S423" s="34"/>
      <c r="T423" s="34"/>
      <c r="U423" s="35"/>
    </row>
    <row r="424" spans="18:21" x14ac:dyDescent="0.25">
      <c r="R424" s="34"/>
      <c r="S424" s="34"/>
      <c r="T424" s="34"/>
      <c r="U424" s="35"/>
    </row>
    <row r="425" spans="18:21" x14ac:dyDescent="0.25">
      <c r="R425" s="34"/>
      <c r="S425" s="34"/>
      <c r="T425" s="34"/>
      <c r="U425" s="35"/>
    </row>
    <row r="426" spans="18:21" x14ac:dyDescent="0.25">
      <c r="R426" s="34"/>
      <c r="S426" s="34"/>
      <c r="T426" s="34"/>
      <c r="U426" s="35"/>
    </row>
    <row r="427" spans="18:21" x14ac:dyDescent="0.25">
      <c r="R427" s="34"/>
      <c r="S427" s="34"/>
      <c r="T427" s="34"/>
      <c r="U427" s="35"/>
    </row>
    <row r="428" spans="18:21" x14ac:dyDescent="0.25">
      <c r="R428" s="34"/>
      <c r="S428" s="34"/>
      <c r="T428" s="34"/>
      <c r="U428" s="35"/>
    </row>
    <row r="429" spans="18:21" x14ac:dyDescent="0.25">
      <c r="R429" s="34"/>
      <c r="S429" s="34"/>
      <c r="T429" s="34"/>
      <c r="U429" s="35"/>
    </row>
    <row r="430" spans="18:21" x14ac:dyDescent="0.25">
      <c r="R430" s="34"/>
      <c r="S430" s="34"/>
      <c r="T430" s="34"/>
      <c r="U430" s="35"/>
    </row>
    <row r="431" spans="18:21" x14ac:dyDescent="0.25">
      <c r="R431" s="34"/>
      <c r="S431" s="34"/>
      <c r="T431" s="34"/>
      <c r="U431" s="35"/>
    </row>
    <row r="432" spans="18:21" x14ac:dyDescent="0.25">
      <c r="R432" s="34"/>
      <c r="S432" s="34"/>
      <c r="T432" s="34"/>
      <c r="U432" s="35"/>
    </row>
    <row r="433" spans="18:21" x14ac:dyDescent="0.25">
      <c r="R433" s="34"/>
      <c r="S433" s="34"/>
      <c r="T433" s="34"/>
      <c r="U433" s="35"/>
    </row>
    <row r="434" spans="18:21" x14ac:dyDescent="0.25">
      <c r="R434" s="34"/>
      <c r="S434" s="34"/>
      <c r="T434" s="34"/>
      <c r="U434" s="35"/>
    </row>
    <row r="435" spans="18:21" x14ac:dyDescent="0.25">
      <c r="R435" s="34"/>
      <c r="S435" s="34"/>
      <c r="T435" s="34"/>
      <c r="U435" s="35"/>
    </row>
    <row r="436" spans="18:21" x14ac:dyDescent="0.25">
      <c r="R436" s="34"/>
      <c r="S436" s="34"/>
      <c r="T436" s="34"/>
      <c r="U436" s="35"/>
    </row>
    <row r="437" spans="18:21" x14ac:dyDescent="0.25">
      <c r="R437" s="34"/>
      <c r="S437" s="34"/>
      <c r="T437" s="34"/>
      <c r="U437" s="35"/>
    </row>
    <row r="438" spans="18:21" x14ac:dyDescent="0.25">
      <c r="R438" s="34"/>
      <c r="S438" s="34"/>
      <c r="T438" s="34"/>
      <c r="U438" s="35"/>
    </row>
    <row r="439" spans="18:21" x14ac:dyDescent="0.25">
      <c r="R439" s="34"/>
      <c r="S439" s="34"/>
      <c r="T439" s="34"/>
      <c r="U439" s="35"/>
    </row>
    <row r="440" spans="18:21" x14ac:dyDescent="0.25">
      <c r="R440" s="34"/>
      <c r="S440" s="34"/>
      <c r="T440" s="34"/>
      <c r="U440" s="35"/>
    </row>
    <row r="441" spans="18:21" x14ac:dyDescent="0.25">
      <c r="R441" s="34"/>
      <c r="S441" s="34"/>
      <c r="T441" s="34"/>
      <c r="U441" s="35"/>
    </row>
    <row r="442" spans="18:21" x14ac:dyDescent="0.25">
      <c r="R442" s="34"/>
      <c r="S442" s="34"/>
      <c r="T442" s="34"/>
      <c r="U442" s="35"/>
    </row>
    <row r="443" spans="18:21" x14ac:dyDescent="0.25">
      <c r="R443" s="34"/>
      <c r="S443" s="34"/>
      <c r="T443" s="34"/>
      <c r="U443" s="35"/>
    </row>
    <row r="444" spans="18:21" x14ac:dyDescent="0.25">
      <c r="R444" s="34"/>
      <c r="S444" s="34"/>
      <c r="T444" s="34"/>
      <c r="U444" s="35"/>
    </row>
    <row r="445" spans="18:21" x14ac:dyDescent="0.25">
      <c r="R445" s="34"/>
      <c r="S445" s="34"/>
      <c r="T445" s="34"/>
      <c r="U445" s="35"/>
    </row>
    <row r="446" spans="18:21" x14ac:dyDescent="0.25">
      <c r="R446" s="34"/>
      <c r="S446" s="34"/>
      <c r="T446" s="34"/>
      <c r="U446" s="35"/>
    </row>
    <row r="447" spans="18:21" x14ac:dyDescent="0.25">
      <c r="R447" s="34"/>
      <c r="S447" s="34"/>
      <c r="T447" s="34"/>
      <c r="U447" s="35"/>
    </row>
    <row r="448" spans="18:21" x14ac:dyDescent="0.25">
      <c r="R448" s="34"/>
      <c r="S448" s="34"/>
      <c r="T448" s="34"/>
      <c r="U448" s="35"/>
    </row>
    <row r="449" spans="18:21" x14ac:dyDescent="0.25">
      <c r="R449" s="34"/>
      <c r="S449" s="34"/>
      <c r="T449" s="34"/>
      <c r="U449" s="35"/>
    </row>
    <row r="450" spans="18:21" x14ac:dyDescent="0.25">
      <c r="R450" s="34"/>
      <c r="S450" s="34"/>
      <c r="T450" s="34"/>
      <c r="U450" s="35"/>
    </row>
    <row r="451" spans="18:21" x14ac:dyDescent="0.25">
      <c r="R451" s="34"/>
      <c r="S451" s="34"/>
      <c r="T451" s="34"/>
      <c r="U451" s="35"/>
    </row>
    <row r="452" spans="18:21" x14ac:dyDescent="0.25">
      <c r="R452" s="34"/>
      <c r="S452" s="34"/>
      <c r="T452" s="34"/>
      <c r="U452" s="35"/>
    </row>
    <row r="453" spans="18:21" x14ac:dyDescent="0.25">
      <c r="R453" s="34"/>
      <c r="S453" s="34"/>
      <c r="T453" s="34"/>
      <c r="U453" s="35"/>
    </row>
    <row r="454" spans="18:21" x14ac:dyDescent="0.25">
      <c r="R454" s="34"/>
      <c r="S454" s="34"/>
      <c r="T454" s="34"/>
      <c r="U454" s="35"/>
    </row>
    <row r="455" spans="18:21" x14ac:dyDescent="0.25">
      <c r="R455" s="34"/>
      <c r="S455" s="34"/>
      <c r="T455" s="34"/>
      <c r="U455" s="35"/>
    </row>
    <row r="456" spans="18:21" x14ac:dyDescent="0.25">
      <c r="R456" s="34"/>
      <c r="S456" s="34"/>
      <c r="T456" s="34"/>
      <c r="U456" s="35"/>
    </row>
    <row r="457" spans="18:21" x14ac:dyDescent="0.25">
      <c r="R457" s="34"/>
      <c r="S457" s="34"/>
      <c r="T457" s="34"/>
      <c r="U457" s="35"/>
    </row>
    <row r="458" spans="18:21" x14ac:dyDescent="0.25">
      <c r="R458" s="34"/>
      <c r="S458" s="34"/>
      <c r="T458" s="34"/>
      <c r="U458" s="35"/>
    </row>
    <row r="459" spans="18:21" x14ac:dyDescent="0.25">
      <c r="R459" s="34"/>
      <c r="S459" s="34"/>
      <c r="T459" s="34"/>
      <c r="U459" s="35"/>
    </row>
    <row r="460" spans="18:21" x14ac:dyDescent="0.25">
      <c r="R460" s="34"/>
      <c r="S460" s="34"/>
      <c r="T460" s="34"/>
      <c r="U460" s="35"/>
    </row>
    <row r="461" spans="18:21" x14ac:dyDescent="0.25">
      <c r="R461" s="34"/>
      <c r="S461" s="34"/>
      <c r="T461" s="34"/>
      <c r="U461" s="35"/>
    </row>
    <row r="462" spans="18:21" x14ac:dyDescent="0.25">
      <c r="R462" s="34"/>
      <c r="S462" s="34"/>
      <c r="T462" s="34"/>
      <c r="U462" s="35"/>
    </row>
    <row r="463" spans="18:21" x14ac:dyDescent="0.25">
      <c r="R463" s="34"/>
      <c r="S463" s="34"/>
      <c r="T463" s="34"/>
      <c r="U463" s="35"/>
    </row>
    <row r="464" spans="18:21" x14ac:dyDescent="0.25">
      <c r="R464" s="34"/>
      <c r="S464" s="34"/>
      <c r="T464" s="34"/>
      <c r="U464" s="35"/>
    </row>
    <row r="465" spans="18:21" x14ac:dyDescent="0.25">
      <c r="R465" s="34"/>
      <c r="S465" s="34"/>
      <c r="T465" s="34"/>
      <c r="U465" s="35"/>
    </row>
    <row r="466" spans="18:21" x14ac:dyDescent="0.25">
      <c r="R466" s="34"/>
      <c r="S466" s="34"/>
      <c r="T466" s="34"/>
      <c r="U466" s="35"/>
    </row>
    <row r="467" spans="18:21" x14ac:dyDescent="0.25">
      <c r="R467" s="34"/>
      <c r="S467" s="34"/>
      <c r="T467" s="34"/>
      <c r="U467" s="35"/>
    </row>
    <row r="468" spans="18:21" x14ac:dyDescent="0.25">
      <c r="R468" s="34"/>
      <c r="S468" s="34"/>
      <c r="T468" s="34"/>
      <c r="U468" s="35"/>
    </row>
    <row r="469" spans="18:21" x14ac:dyDescent="0.25">
      <c r="R469" s="34"/>
      <c r="S469" s="34"/>
      <c r="T469" s="34"/>
      <c r="U469" s="35"/>
    </row>
    <row r="470" spans="18:21" x14ac:dyDescent="0.25">
      <c r="R470" s="34"/>
      <c r="S470" s="34"/>
      <c r="T470" s="34"/>
      <c r="U470" s="35"/>
    </row>
    <row r="471" spans="18:21" x14ac:dyDescent="0.25">
      <c r="R471" s="34"/>
      <c r="S471" s="34"/>
      <c r="T471" s="34"/>
      <c r="U471" s="35"/>
    </row>
    <row r="472" spans="18:21" x14ac:dyDescent="0.25">
      <c r="R472" s="34"/>
      <c r="S472" s="34"/>
      <c r="T472" s="34"/>
      <c r="U472" s="35"/>
    </row>
    <row r="473" spans="18:21" x14ac:dyDescent="0.25">
      <c r="R473" s="34"/>
      <c r="S473" s="34"/>
      <c r="T473" s="34"/>
      <c r="U473" s="35"/>
    </row>
    <row r="474" spans="18:21" x14ac:dyDescent="0.25">
      <c r="R474" s="34"/>
      <c r="S474" s="34"/>
      <c r="T474" s="34"/>
      <c r="U474" s="35"/>
    </row>
    <row r="475" spans="18:21" x14ac:dyDescent="0.25">
      <c r="R475" s="34"/>
      <c r="S475" s="34"/>
      <c r="T475" s="34"/>
      <c r="U475" s="35"/>
    </row>
    <row r="476" spans="18:21" x14ac:dyDescent="0.25">
      <c r="R476" s="34"/>
      <c r="S476" s="34"/>
      <c r="T476" s="34"/>
      <c r="U476" s="35"/>
    </row>
    <row r="477" spans="18:21" x14ac:dyDescent="0.25">
      <c r="R477" s="34"/>
      <c r="S477" s="34"/>
      <c r="T477" s="34"/>
      <c r="U477" s="35"/>
    </row>
    <row r="478" spans="18:21" x14ac:dyDescent="0.25">
      <c r="R478" s="34"/>
      <c r="S478" s="34"/>
      <c r="T478" s="34"/>
      <c r="U478" s="35"/>
    </row>
    <row r="479" spans="18:21" x14ac:dyDescent="0.25">
      <c r="R479" s="34"/>
      <c r="S479" s="34"/>
      <c r="T479" s="34"/>
      <c r="U479" s="35"/>
    </row>
    <row r="480" spans="18:21" x14ac:dyDescent="0.25">
      <c r="R480" s="34"/>
      <c r="S480" s="34"/>
      <c r="T480" s="34"/>
      <c r="U480" s="35"/>
    </row>
    <row r="481" spans="18:21" x14ac:dyDescent="0.25">
      <c r="R481" s="34"/>
      <c r="S481" s="34"/>
      <c r="T481" s="34"/>
      <c r="U481" s="35"/>
    </row>
    <row r="482" spans="18:21" x14ac:dyDescent="0.25">
      <c r="R482" s="34"/>
      <c r="S482" s="34"/>
      <c r="T482" s="34"/>
      <c r="U482" s="35"/>
    </row>
    <row r="483" spans="18:21" x14ac:dyDescent="0.25">
      <c r="R483" s="34"/>
      <c r="S483" s="34"/>
      <c r="T483" s="34"/>
      <c r="U483" s="35"/>
    </row>
    <row r="484" spans="18:21" x14ac:dyDescent="0.25">
      <c r="R484" s="34"/>
      <c r="S484" s="34"/>
      <c r="T484" s="34"/>
      <c r="U484" s="35"/>
    </row>
    <row r="485" spans="18:21" x14ac:dyDescent="0.25">
      <c r="R485" s="34"/>
      <c r="S485" s="34"/>
      <c r="T485" s="34"/>
      <c r="U485" s="35"/>
    </row>
    <row r="486" spans="18:21" x14ac:dyDescent="0.25">
      <c r="R486" s="34"/>
      <c r="S486" s="34"/>
      <c r="T486" s="34"/>
      <c r="U486" s="35"/>
    </row>
    <row r="487" spans="18:21" x14ac:dyDescent="0.25">
      <c r="R487" s="34"/>
      <c r="S487" s="34"/>
      <c r="T487" s="34"/>
      <c r="U487" s="35"/>
    </row>
    <row r="488" spans="18:21" x14ac:dyDescent="0.25">
      <c r="R488" s="34"/>
      <c r="S488" s="34"/>
      <c r="T488" s="34"/>
      <c r="U488" s="35"/>
    </row>
    <row r="489" spans="18:21" x14ac:dyDescent="0.25">
      <c r="R489" s="34"/>
      <c r="S489" s="34"/>
      <c r="T489" s="34"/>
      <c r="U489" s="35"/>
    </row>
    <row r="490" spans="18:21" x14ac:dyDescent="0.25">
      <c r="R490" s="34"/>
      <c r="S490" s="34"/>
      <c r="T490" s="34"/>
      <c r="U490" s="35"/>
    </row>
    <row r="491" spans="18:21" x14ac:dyDescent="0.25">
      <c r="R491" s="34"/>
      <c r="S491" s="34"/>
      <c r="T491" s="34"/>
      <c r="U491" s="35"/>
    </row>
    <row r="492" spans="18:21" x14ac:dyDescent="0.25">
      <c r="R492" s="34"/>
      <c r="S492" s="34"/>
      <c r="T492" s="35"/>
      <c r="U492" s="35"/>
    </row>
    <row r="493" spans="18:21" x14ac:dyDescent="0.25">
      <c r="R493" s="34"/>
      <c r="S493" s="34"/>
      <c r="T493" s="35"/>
      <c r="U493" s="35"/>
    </row>
    <row r="494" spans="18:21" x14ac:dyDescent="0.25">
      <c r="R494" s="34"/>
      <c r="S494" s="34"/>
      <c r="T494" s="35"/>
      <c r="U494" s="35"/>
    </row>
    <row r="495" spans="18:21" x14ac:dyDescent="0.25">
      <c r="R495" s="34"/>
      <c r="S495" s="34"/>
      <c r="T495" s="35"/>
      <c r="U495" s="35"/>
    </row>
    <row r="496" spans="18:21" x14ac:dyDescent="0.25">
      <c r="R496" s="34"/>
      <c r="S496" s="34"/>
      <c r="T496" s="35"/>
      <c r="U496" s="35"/>
    </row>
    <row r="497" spans="18:21" x14ac:dyDescent="0.25">
      <c r="R497" s="34"/>
      <c r="S497" s="34"/>
      <c r="T497" s="35"/>
      <c r="U497" s="35"/>
    </row>
    <row r="498" spans="18:21" x14ac:dyDescent="0.25">
      <c r="R498" s="34"/>
      <c r="S498" s="34"/>
      <c r="T498" s="35"/>
      <c r="U498" s="35"/>
    </row>
    <row r="499" spans="18:21" x14ac:dyDescent="0.25">
      <c r="R499" s="34"/>
      <c r="S499" s="34"/>
      <c r="T499" s="35"/>
      <c r="U499" s="35"/>
    </row>
    <row r="500" spans="18:21" x14ac:dyDescent="0.25">
      <c r="R500" s="34"/>
      <c r="S500" s="34"/>
      <c r="T500" s="35"/>
      <c r="U500" s="35"/>
    </row>
    <row r="501" spans="18:21" x14ac:dyDescent="0.25">
      <c r="R501" s="34"/>
      <c r="S501" s="34"/>
      <c r="T501" s="35"/>
      <c r="U501" s="35"/>
    </row>
    <row r="502" spans="18:21" x14ac:dyDescent="0.25">
      <c r="R502" s="34"/>
      <c r="S502" s="34"/>
      <c r="T502" s="35"/>
      <c r="U502" s="35"/>
    </row>
    <row r="503" spans="18:21" x14ac:dyDescent="0.25">
      <c r="R503" s="34"/>
      <c r="S503" s="34"/>
      <c r="T503" s="35"/>
      <c r="U503" s="35"/>
    </row>
    <row r="504" spans="18:21" x14ac:dyDescent="0.25">
      <c r="R504" s="34"/>
      <c r="S504" s="34"/>
      <c r="T504" s="35"/>
      <c r="U504" s="35"/>
    </row>
    <row r="505" spans="18:21" x14ac:dyDescent="0.25">
      <c r="R505" s="34"/>
      <c r="S505" s="34"/>
      <c r="T505" s="35"/>
      <c r="U505" s="35"/>
    </row>
    <row r="506" spans="18:21" x14ac:dyDescent="0.25">
      <c r="R506" s="34"/>
      <c r="S506" s="34"/>
      <c r="T506" s="35"/>
      <c r="U506" s="35"/>
    </row>
    <row r="507" spans="18:21" x14ac:dyDescent="0.25">
      <c r="R507" s="34"/>
      <c r="S507" s="34"/>
      <c r="T507" s="35"/>
      <c r="U507" s="35"/>
    </row>
    <row r="508" spans="18:21" x14ac:dyDescent="0.25">
      <c r="R508" s="34"/>
      <c r="S508" s="34"/>
      <c r="T508" s="35"/>
      <c r="U508" s="35"/>
    </row>
    <row r="509" spans="18:21" x14ac:dyDescent="0.25">
      <c r="R509" s="34"/>
      <c r="S509" s="34"/>
      <c r="T509" s="35"/>
      <c r="U509" s="35"/>
    </row>
    <row r="510" spans="18:21" x14ac:dyDescent="0.25">
      <c r="R510" s="34"/>
      <c r="S510" s="34"/>
      <c r="T510" s="35"/>
      <c r="U510" s="35"/>
    </row>
    <row r="511" spans="18:21" x14ac:dyDescent="0.25">
      <c r="R511" s="34"/>
      <c r="S511" s="34"/>
      <c r="T511" s="35"/>
      <c r="U511" s="35"/>
    </row>
    <row r="512" spans="18:21" x14ac:dyDescent="0.25">
      <c r="R512" s="34"/>
      <c r="S512" s="34"/>
      <c r="T512" s="35"/>
      <c r="U512" s="35"/>
    </row>
    <row r="513" spans="18:21" x14ac:dyDescent="0.25">
      <c r="R513" s="34"/>
      <c r="S513" s="34"/>
      <c r="T513" s="35"/>
      <c r="U513" s="35"/>
    </row>
    <row r="514" spans="18:21" x14ac:dyDescent="0.25">
      <c r="R514" s="34"/>
      <c r="S514" s="34"/>
      <c r="T514" s="35"/>
      <c r="U514" s="35"/>
    </row>
    <row r="515" spans="18:21" x14ac:dyDescent="0.25">
      <c r="R515" s="34"/>
      <c r="S515" s="34"/>
      <c r="T515" s="35"/>
      <c r="U515" s="35"/>
    </row>
    <row r="516" spans="18:21" x14ac:dyDescent="0.25">
      <c r="R516" s="34"/>
      <c r="S516" s="34"/>
      <c r="T516" s="35"/>
      <c r="U516" s="35"/>
    </row>
    <row r="517" spans="18:21" x14ac:dyDescent="0.25">
      <c r="R517" s="34"/>
      <c r="S517" s="34"/>
      <c r="T517" s="35"/>
      <c r="U517" s="35"/>
    </row>
    <row r="518" spans="18:21" x14ac:dyDescent="0.25">
      <c r="R518" s="34"/>
      <c r="S518" s="34"/>
      <c r="T518" s="35"/>
      <c r="U518" s="35"/>
    </row>
    <row r="519" spans="18:21" x14ac:dyDescent="0.25">
      <c r="R519" s="34"/>
      <c r="S519" s="34"/>
      <c r="T519" s="35"/>
      <c r="U519" s="35"/>
    </row>
    <row r="520" spans="18:21" x14ac:dyDescent="0.25">
      <c r="R520" s="34"/>
      <c r="S520" s="34"/>
      <c r="T520" s="35"/>
      <c r="U520" s="35"/>
    </row>
    <row r="521" spans="18:21" x14ac:dyDescent="0.25">
      <c r="R521" s="34"/>
      <c r="S521" s="34"/>
      <c r="T521" s="35"/>
      <c r="U521" s="35"/>
    </row>
    <row r="522" spans="18:21" x14ac:dyDescent="0.25">
      <c r="R522" s="34"/>
      <c r="S522" s="34"/>
      <c r="T522" s="35"/>
      <c r="U522" s="35"/>
    </row>
    <row r="523" spans="18:21" x14ac:dyDescent="0.25">
      <c r="R523" s="34"/>
      <c r="S523" s="34"/>
      <c r="T523" s="35"/>
      <c r="U523" s="35"/>
    </row>
    <row r="524" spans="18:21" x14ac:dyDescent="0.25">
      <c r="R524" s="34"/>
      <c r="S524" s="34"/>
      <c r="T524" s="35"/>
      <c r="U524" s="35"/>
    </row>
    <row r="525" spans="18:21" x14ac:dyDescent="0.25">
      <c r="R525" s="34"/>
      <c r="S525" s="34"/>
      <c r="T525" s="35"/>
      <c r="U525" s="35"/>
    </row>
    <row r="526" spans="18:21" x14ac:dyDescent="0.25">
      <c r="R526" s="34"/>
      <c r="S526" s="34"/>
      <c r="T526" s="35"/>
      <c r="U526" s="35"/>
    </row>
    <row r="527" spans="18:21" x14ac:dyDescent="0.25">
      <c r="R527" s="34"/>
      <c r="S527" s="34"/>
      <c r="T527" s="35"/>
      <c r="U527" s="35"/>
    </row>
    <row r="528" spans="18:21" x14ac:dyDescent="0.25">
      <c r="R528" s="34"/>
      <c r="S528" s="34"/>
      <c r="T528" s="35"/>
      <c r="U528" s="35"/>
    </row>
    <row r="529" spans="18:21" x14ac:dyDescent="0.25">
      <c r="R529" s="34"/>
      <c r="S529" s="34"/>
      <c r="T529" s="35"/>
      <c r="U529" s="35"/>
    </row>
    <row r="530" spans="18:21" x14ac:dyDescent="0.25">
      <c r="R530" s="34"/>
      <c r="S530" s="34"/>
      <c r="T530" s="35"/>
      <c r="U530" s="35"/>
    </row>
    <row r="531" spans="18:21" x14ac:dyDescent="0.25">
      <c r="R531" s="34"/>
      <c r="S531" s="34"/>
      <c r="T531" s="35"/>
      <c r="U531" s="35"/>
    </row>
    <row r="532" spans="18:21" x14ac:dyDescent="0.25">
      <c r="R532" s="34"/>
      <c r="S532" s="34"/>
      <c r="T532" s="35"/>
      <c r="U532" s="35"/>
    </row>
    <row r="533" spans="18:21" x14ac:dyDescent="0.25">
      <c r="R533" s="34"/>
      <c r="S533" s="34"/>
      <c r="T533" s="35"/>
      <c r="U533" s="35"/>
    </row>
    <row r="534" spans="18:21" x14ac:dyDescent="0.25">
      <c r="R534" s="34"/>
      <c r="S534" s="34"/>
      <c r="T534" s="35"/>
      <c r="U534" s="35"/>
    </row>
    <row r="535" spans="18:21" x14ac:dyDescent="0.25">
      <c r="R535" s="34"/>
      <c r="S535" s="34"/>
      <c r="T535" s="35"/>
      <c r="U535" s="35"/>
    </row>
    <row r="536" spans="18:21" x14ac:dyDescent="0.25">
      <c r="R536" s="34"/>
      <c r="S536" s="34"/>
      <c r="T536" s="35"/>
      <c r="U536" s="35"/>
    </row>
    <row r="537" spans="18:21" x14ac:dyDescent="0.25">
      <c r="R537" s="34"/>
      <c r="S537" s="34"/>
      <c r="T537" s="35"/>
      <c r="U537" s="35"/>
    </row>
    <row r="538" spans="18:21" x14ac:dyDescent="0.25">
      <c r="R538" s="34"/>
      <c r="S538" s="34"/>
      <c r="T538" s="35"/>
      <c r="U538" s="35"/>
    </row>
    <row r="539" spans="18:21" x14ac:dyDescent="0.25">
      <c r="R539" s="34"/>
      <c r="S539" s="34"/>
      <c r="T539" s="35"/>
      <c r="U539" s="35"/>
    </row>
    <row r="540" spans="18:21" x14ac:dyDescent="0.25">
      <c r="R540" s="34"/>
      <c r="S540" s="34"/>
      <c r="T540" s="35"/>
      <c r="U540" s="35"/>
    </row>
    <row r="541" spans="18:21" x14ac:dyDescent="0.25">
      <c r="R541" s="34"/>
      <c r="S541" s="34"/>
      <c r="T541" s="35"/>
      <c r="U541" s="35"/>
    </row>
    <row r="542" spans="18:21" x14ac:dyDescent="0.25">
      <c r="R542" s="34"/>
      <c r="S542" s="34"/>
      <c r="T542" s="35"/>
      <c r="U542" s="35"/>
    </row>
    <row r="543" spans="18:21" x14ac:dyDescent="0.25">
      <c r="R543" s="34"/>
      <c r="S543" s="34"/>
      <c r="T543" s="35"/>
      <c r="U543" s="35"/>
    </row>
    <row r="544" spans="18:21" x14ac:dyDescent="0.25">
      <c r="R544" s="34"/>
      <c r="S544" s="34"/>
      <c r="T544" s="35"/>
      <c r="U544" s="35"/>
    </row>
    <row r="545" spans="18:21" x14ac:dyDescent="0.25">
      <c r="R545" s="34"/>
      <c r="S545" s="34"/>
      <c r="T545" s="35"/>
      <c r="U545" s="35"/>
    </row>
    <row r="546" spans="18:21" x14ac:dyDescent="0.25">
      <c r="R546" s="34"/>
      <c r="S546" s="34"/>
      <c r="T546" s="35"/>
      <c r="U546" s="35"/>
    </row>
    <row r="547" spans="18:21" x14ac:dyDescent="0.25">
      <c r="R547" s="34"/>
      <c r="S547" s="34"/>
      <c r="T547" s="35"/>
      <c r="U547" s="35"/>
    </row>
    <row r="548" spans="18:21" x14ac:dyDescent="0.25">
      <c r="R548" s="34"/>
      <c r="S548" s="34"/>
      <c r="T548" s="35"/>
      <c r="U548" s="35"/>
    </row>
    <row r="549" spans="18:21" x14ac:dyDescent="0.25">
      <c r="R549" s="34"/>
      <c r="S549" s="34"/>
      <c r="T549" s="35"/>
      <c r="U549" s="35"/>
    </row>
    <row r="550" spans="18:21" x14ac:dyDescent="0.25">
      <c r="R550" s="34"/>
      <c r="S550" s="34"/>
      <c r="T550" s="35"/>
      <c r="U550" s="35"/>
    </row>
    <row r="551" spans="18:21" x14ac:dyDescent="0.25">
      <c r="R551" s="34"/>
      <c r="S551" s="34"/>
      <c r="T551" s="35"/>
      <c r="U551" s="35"/>
    </row>
    <row r="552" spans="18:21" x14ac:dyDescent="0.25">
      <c r="R552" s="34"/>
      <c r="S552" s="34"/>
      <c r="T552" s="35"/>
      <c r="U552" s="35"/>
    </row>
    <row r="553" spans="18:21" x14ac:dyDescent="0.25">
      <c r="R553" s="34"/>
      <c r="S553" s="34"/>
      <c r="T553" s="35"/>
      <c r="U553" s="35"/>
    </row>
    <row r="554" spans="18:21" x14ac:dyDescent="0.25">
      <c r="R554" s="34"/>
      <c r="S554" s="34"/>
      <c r="T554" s="35"/>
      <c r="U554" s="35"/>
    </row>
    <row r="555" spans="18:21" x14ac:dyDescent="0.25">
      <c r="R555" s="34"/>
      <c r="S555" s="34"/>
      <c r="T555" s="35"/>
      <c r="U555" s="35"/>
    </row>
    <row r="556" spans="18:21" x14ac:dyDescent="0.25">
      <c r="R556" s="34"/>
      <c r="S556" s="34"/>
      <c r="T556" s="35"/>
      <c r="U556" s="35"/>
    </row>
    <row r="557" spans="18:21" x14ac:dyDescent="0.25">
      <c r="R557" s="34"/>
      <c r="S557" s="34"/>
      <c r="T557" s="35"/>
      <c r="U557" s="35"/>
    </row>
    <row r="558" spans="18:21" x14ac:dyDescent="0.25">
      <c r="R558" s="34"/>
      <c r="S558" s="34"/>
      <c r="T558" s="35"/>
      <c r="U558" s="35"/>
    </row>
    <row r="559" spans="18:21" x14ac:dyDescent="0.25">
      <c r="R559" s="34"/>
      <c r="S559" s="34"/>
      <c r="T559" s="35"/>
      <c r="U559" s="35"/>
    </row>
    <row r="560" spans="18:21" x14ac:dyDescent="0.25">
      <c r="R560" s="34"/>
      <c r="S560" s="34"/>
      <c r="T560" s="35"/>
      <c r="U560" s="35"/>
    </row>
    <row r="561" spans="18:21" x14ac:dyDescent="0.25">
      <c r="R561" s="34"/>
      <c r="S561" s="34"/>
      <c r="T561" s="35"/>
      <c r="U561" s="35"/>
    </row>
    <row r="562" spans="18:21" x14ac:dyDescent="0.25">
      <c r="R562" s="35"/>
      <c r="S562" s="35"/>
      <c r="T562" s="35"/>
      <c r="U562" s="35"/>
    </row>
    <row r="563" spans="18:21" x14ac:dyDescent="0.25">
      <c r="R563" s="35"/>
      <c r="S563" s="35"/>
      <c r="T563" s="35"/>
      <c r="U563" s="35"/>
    </row>
    <row r="564" spans="18:21" x14ac:dyDescent="0.25">
      <c r="R564" s="35"/>
      <c r="S564" s="35"/>
      <c r="T564" s="35"/>
      <c r="U564" s="35"/>
    </row>
    <row r="565" spans="18:21" x14ac:dyDescent="0.25">
      <c r="R565" s="35"/>
      <c r="S565" s="35"/>
      <c r="T565" s="35"/>
      <c r="U565" s="35"/>
    </row>
    <row r="566" spans="18:21" x14ac:dyDescent="0.25">
      <c r="R566" s="35"/>
      <c r="S566" s="35"/>
      <c r="T566" s="35"/>
      <c r="U566" s="35"/>
    </row>
    <row r="567" spans="18:21" x14ac:dyDescent="0.25">
      <c r="R567" s="35"/>
      <c r="S567" s="35"/>
      <c r="T567" s="35"/>
      <c r="U567" s="35"/>
    </row>
    <row r="568" spans="18:21" x14ac:dyDescent="0.25">
      <c r="R568" s="35"/>
      <c r="S568" s="35"/>
      <c r="T568" s="35"/>
      <c r="U568" s="35"/>
    </row>
    <row r="569" spans="18:21" x14ac:dyDescent="0.25">
      <c r="R569" s="35"/>
      <c r="S569" s="35"/>
      <c r="T569" s="35"/>
      <c r="U569" s="35"/>
    </row>
    <row r="570" spans="18:21" x14ac:dyDescent="0.25">
      <c r="R570" s="35"/>
      <c r="S570" s="35"/>
      <c r="T570" s="35"/>
      <c r="U570" s="35"/>
    </row>
    <row r="571" spans="18:21" x14ac:dyDescent="0.25">
      <c r="R571" s="35"/>
      <c r="S571" s="35"/>
      <c r="T571" s="35"/>
      <c r="U571" s="35"/>
    </row>
    <row r="572" spans="18:21" x14ac:dyDescent="0.25">
      <c r="R572" s="35"/>
      <c r="S572" s="35"/>
      <c r="T572" s="35"/>
      <c r="U572" s="35"/>
    </row>
    <row r="573" spans="18:21" x14ac:dyDescent="0.25">
      <c r="R573" s="35"/>
      <c r="S573" s="35"/>
      <c r="T573" s="35"/>
      <c r="U573" s="35"/>
    </row>
    <row r="574" spans="18:21" x14ac:dyDescent="0.25">
      <c r="R574" s="35"/>
      <c r="S574" s="35"/>
      <c r="T574" s="35"/>
      <c r="U574" s="35"/>
    </row>
    <row r="575" spans="18:21" x14ac:dyDescent="0.25">
      <c r="R575" s="35"/>
      <c r="S575" s="35"/>
      <c r="T575" s="35"/>
      <c r="U575" s="35"/>
    </row>
    <row r="576" spans="18:21" x14ac:dyDescent="0.25">
      <c r="R576" s="35"/>
      <c r="S576" s="35"/>
      <c r="T576" s="35"/>
      <c r="U576" s="35"/>
    </row>
    <row r="577" spans="18:21" x14ac:dyDescent="0.25">
      <c r="R577" s="35"/>
      <c r="S577" s="35"/>
      <c r="T577" s="35"/>
      <c r="U577" s="35"/>
    </row>
    <row r="578" spans="18:21" x14ac:dyDescent="0.25">
      <c r="R578" s="35"/>
      <c r="S578" s="35"/>
      <c r="T578" s="35"/>
      <c r="U578" s="35"/>
    </row>
    <row r="579" spans="18:21" x14ac:dyDescent="0.25">
      <c r="R579" s="35"/>
      <c r="S579" s="35"/>
      <c r="T579" s="35"/>
      <c r="U579" s="35"/>
    </row>
    <row r="580" spans="18:21" x14ac:dyDescent="0.25">
      <c r="R580" s="35"/>
      <c r="S580" s="35"/>
      <c r="T580" s="35"/>
      <c r="U580" s="35"/>
    </row>
    <row r="581" spans="18:21" x14ac:dyDescent="0.25">
      <c r="R581" s="35"/>
      <c r="S581" s="35"/>
      <c r="T581" s="35"/>
      <c r="U581" s="35"/>
    </row>
    <row r="582" spans="18:21" x14ac:dyDescent="0.25">
      <c r="R582" s="35"/>
      <c r="S582" s="35"/>
      <c r="T582" s="35"/>
      <c r="U582" s="35"/>
    </row>
    <row r="583" spans="18:21" x14ac:dyDescent="0.25">
      <c r="R583" s="35"/>
      <c r="S583" s="35"/>
      <c r="T583" s="35"/>
      <c r="U583" s="35"/>
    </row>
    <row r="584" spans="18:21" x14ac:dyDescent="0.25">
      <c r="R584" s="35"/>
      <c r="S584" s="35"/>
      <c r="T584" s="35"/>
      <c r="U584" s="35"/>
    </row>
    <row r="585" spans="18:21" x14ac:dyDescent="0.25">
      <c r="R585" s="35"/>
      <c r="S585" s="35"/>
      <c r="T585" s="35"/>
      <c r="U585" s="35"/>
    </row>
    <row r="586" spans="18:21" x14ac:dyDescent="0.25">
      <c r="R586" s="35"/>
      <c r="S586" s="35"/>
      <c r="T586" s="35"/>
      <c r="U586" s="35"/>
    </row>
    <row r="587" spans="18:21" x14ac:dyDescent="0.25">
      <c r="R587" s="35"/>
      <c r="S587" s="35"/>
      <c r="T587" s="35"/>
      <c r="U587" s="35"/>
    </row>
    <row r="588" spans="18:21" x14ac:dyDescent="0.25">
      <c r="R588" s="35"/>
      <c r="S588" s="35"/>
      <c r="T588" s="35"/>
      <c r="U588" s="35"/>
    </row>
    <row r="589" spans="18:21" x14ac:dyDescent="0.25">
      <c r="R589" s="35"/>
      <c r="S589" s="35"/>
      <c r="T589" s="35"/>
      <c r="U589" s="35"/>
    </row>
    <row r="590" spans="18:21" x14ac:dyDescent="0.25">
      <c r="R590" s="35"/>
      <c r="S590" s="35"/>
      <c r="T590" s="35"/>
      <c r="U590" s="35"/>
    </row>
    <row r="591" spans="18:21" x14ac:dyDescent="0.25">
      <c r="R591" s="35"/>
      <c r="S591" s="35"/>
      <c r="T591" s="35"/>
      <c r="U591" s="35"/>
    </row>
    <row r="592" spans="18:21" x14ac:dyDescent="0.25">
      <c r="R592" s="35"/>
      <c r="S592" s="35"/>
      <c r="T592" s="35"/>
      <c r="U592" s="35"/>
    </row>
    <row r="593" spans="18:21" x14ac:dyDescent="0.25">
      <c r="R593" s="35"/>
      <c r="S593" s="35"/>
      <c r="T593" s="35"/>
      <c r="U593" s="35"/>
    </row>
    <row r="594" spans="18:21" x14ac:dyDescent="0.25">
      <c r="R594" s="35"/>
      <c r="S594" s="35"/>
      <c r="T594" s="35"/>
      <c r="U594" s="35"/>
    </row>
    <row r="595" spans="18:21" x14ac:dyDescent="0.25">
      <c r="R595" s="35"/>
      <c r="S595" s="35"/>
      <c r="T595" s="35"/>
      <c r="U595" s="35"/>
    </row>
    <row r="596" spans="18:21" x14ac:dyDescent="0.25">
      <c r="R596" s="35"/>
      <c r="S596" s="35"/>
      <c r="T596" s="35"/>
      <c r="U596" s="35"/>
    </row>
    <row r="597" spans="18:21" x14ac:dyDescent="0.25">
      <c r="R597" s="35"/>
      <c r="S597" s="35"/>
      <c r="T597" s="35"/>
      <c r="U597" s="35"/>
    </row>
    <row r="598" spans="18:21" x14ac:dyDescent="0.25">
      <c r="R598" s="35"/>
      <c r="S598" s="35"/>
      <c r="T598" s="35"/>
      <c r="U598" s="35"/>
    </row>
    <row r="599" spans="18:21" x14ac:dyDescent="0.25">
      <c r="R599" s="35"/>
      <c r="S599" s="35"/>
      <c r="T599" s="35"/>
      <c r="U599" s="35"/>
    </row>
    <row r="600" spans="18:21" x14ac:dyDescent="0.25">
      <c r="R600" s="35"/>
      <c r="S600" s="35"/>
      <c r="T600" s="35"/>
      <c r="U600" s="35"/>
    </row>
    <row r="601" spans="18:21" x14ac:dyDescent="0.25">
      <c r="R601" s="35"/>
      <c r="S601" s="35"/>
      <c r="T601" s="35"/>
      <c r="U60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642" spans="18:21" x14ac:dyDescent="0.25">
      <c r="R642" s="35"/>
      <c r="S642" s="35"/>
      <c r="T642" s="35"/>
      <c r="U642" s="35"/>
    </row>
    <row r="643" spans="18:21" x14ac:dyDescent="0.25">
      <c r="R643" s="35"/>
      <c r="S643" s="35"/>
      <c r="T643" s="35"/>
      <c r="U643" s="35"/>
    </row>
    <row r="644" spans="18:21" x14ac:dyDescent="0.25">
      <c r="R644" s="35"/>
      <c r="S644" s="35"/>
      <c r="T644" s="35"/>
      <c r="U644" s="35"/>
    </row>
    <row r="645" spans="18:21" x14ac:dyDescent="0.25">
      <c r="R645" s="35"/>
      <c r="S645" s="35"/>
      <c r="T645" s="35"/>
      <c r="U645" s="35"/>
    </row>
    <row r="646" spans="18:21" x14ac:dyDescent="0.25">
      <c r="R646" s="35"/>
      <c r="S646" s="35"/>
      <c r="T646" s="35"/>
      <c r="U646" s="35"/>
    </row>
    <row r="647" spans="18:21" x14ac:dyDescent="0.25">
      <c r="R647" s="35"/>
      <c r="S647" s="35"/>
      <c r="T647" s="35"/>
      <c r="U647" s="35"/>
    </row>
    <row r="648" spans="18:21" x14ac:dyDescent="0.25">
      <c r="R648" s="35"/>
      <c r="S648" s="35"/>
      <c r="T648" s="35"/>
      <c r="U648" s="35"/>
    </row>
    <row r="649" spans="18:21" x14ac:dyDescent="0.25">
      <c r="R649" s="35"/>
      <c r="S649" s="35"/>
      <c r="T649" s="35"/>
      <c r="U649" s="35"/>
    </row>
    <row r="650" spans="18:21" x14ac:dyDescent="0.25">
      <c r="R650" s="35"/>
      <c r="S650" s="35"/>
      <c r="T650" s="35"/>
      <c r="U650" s="35"/>
    </row>
    <row r="651" spans="18:21" x14ac:dyDescent="0.25">
      <c r="R651" s="35"/>
      <c r="S651" s="35"/>
      <c r="T651" s="35"/>
      <c r="U651" s="35"/>
    </row>
    <row r="652" spans="18:21" x14ac:dyDescent="0.25">
      <c r="R652" s="35"/>
      <c r="S652" s="35"/>
      <c r="T652" s="35"/>
      <c r="U652" s="35"/>
    </row>
    <row r="653" spans="18:21" x14ac:dyDescent="0.25">
      <c r="R653" s="35"/>
      <c r="S653" s="35"/>
      <c r="T653" s="35"/>
      <c r="U653" s="35"/>
    </row>
    <row r="654" spans="18:21" x14ac:dyDescent="0.25">
      <c r="R654" s="35"/>
      <c r="S654" s="35"/>
      <c r="T654" s="35"/>
      <c r="U654" s="35"/>
    </row>
    <row r="655" spans="18:21" x14ac:dyDescent="0.25">
      <c r="R655" s="35"/>
      <c r="S655" s="35"/>
      <c r="T655" s="35"/>
      <c r="U655" s="35"/>
    </row>
    <row r="656" spans="18:21" x14ac:dyDescent="0.25">
      <c r="R656" s="35"/>
      <c r="S656" s="35"/>
      <c r="T656" s="35"/>
      <c r="U656" s="35"/>
    </row>
    <row r="657" spans="18:21" x14ac:dyDescent="0.25">
      <c r="R657" s="35"/>
      <c r="S657" s="35"/>
      <c r="T657" s="35"/>
      <c r="U657" s="35"/>
    </row>
    <row r="658" spans="18:21" x14ac:dyDescent="0.25">
      <c r="R658" s="35"/>
      <c r="S658" s="35"/>
      <c r="T658" s="35"/>
      <c r="U658" s="35"/>
    </row>
    <row r="659" spans="18:21" x14ac:dyDescent="0.25">
      <c r="R659" s="35"/>
      <c r="S659" s="35"/>
      <c r="T659" s="35"/>
      <c r="U659" s="35"/>
    </row>
    <row r="660" spans="18:21" x14ac:dyDescent="0.25">
      <c r="R660" s="35"/>
      <c r="S660" s="35"/>
      <c r="T660" s="35"/>
      <c r="U660" s="35"/>
    </row>
    <row r="661" spans="18:21" x14ac:dyDescent="0.25">
      <c r="R661" s="35"/>
      <c r="S661" s="35"/>
      <c r="T661" s="35"/>
      <c r="U661" s="35"/>
    </row>
    <row r="662" spans="18:21" x14ac:dyDescent="0.25">
      <c r="R662" s="35"/>
      <c r="S662" s="35"/>
      <c r="T662" s="35"/>
      <c r="U662" s="35"/>
    </row>
    <row r="663" spans="18:21" x14ac:dyDescent="0.25">
      <c r="R663" s="35"/>
      <c r="S663" s="35"/>
      <c r="T663" s="35"/>
      <c r="U663" s="35"/>
    </row>
    <row r="664" spans="18:21" x14ac:dyDescent="0.25">
      <c r="R664" s="35"/>
      <c r="S664" s="35"/>
      <c r="T664" s="35"/>
      <c r="U664" s="35"/>
    </row>
    <row r="665" spans="18:21" x14ac:dyDescent="0.25">
      <c r="R665" s="35"/>
      <c r="S665" s="35"/>
      <c r="T665" s="35"/>
      <c r="U665" s="35"/>
    </row>
    <row r="666" spans="18:21" x14ac:dyDescent="0.25">
      <c r="R666" s="35"/>
      <c r="S666" s="35"/>
      <c r="T666" s="35"/>
      <c r="U666" s="35"/>
    </row>
    <row r="667" spans="18:21" x14ac:dyDescent="0.25">
      <c r="R667" s="35"/>
      <c r="S667" s="35"/>
      <c r="T667" s="35"/>
      <c r="U667" s="35"/>
    </row>
    <row r="668" spans="18:21" x14ac:dyDescent="0.25">
      <c r="R668" s="35"/>
      <c r="S668" s="35"/>
      <c r="T668" s="35"/>
      <c r="U668" s="35"/>
    </row>
    <row r="669" spans="18:21" x14ac:dyDescent="0.25">
      <c r="R669" s="35"/>
      <c r="S669" s="35"/>
      <c r="T669" s="35"/>
      <c r="U669" s="35"/>
    </row>
    <row r="670" spans="18:21" x14ac:dyDescent="0.25">
      <c r="R670" s="35"/>
      <c r="S670" s="35"/>
      <c r="T670" s="35"/>
      <c r="U670" s="35"/>
    </row>
    <row r="671" spans="18:21" x14ac:dyDescent="0.25">
      <c r="R671" s="35"/>
      <c r="S671" s="35"/>
      <c r="T671" s="35"/>
      <c r="U671" s="35"/>
    </row>
    <row r="672" spans="18:21" x14ac:dyDescent="0.25">
      <c r="R672" s="35"/>
      <c r="S672" s="35"/>
      <c r="T672" s="35"/>
      <c r="U672" s="35"/>
    </row>
    <row r="673" spans="18:21" x14ac:dyDescent="0.25">
      <c r="R673" s="35"/>
      <c r="S673" s="35"/>
      <c r="T673" s="35"/>
      <c r="U673" s="35"/>
    </row>
    <row r="674" spans="18:21" x14ac:dyDescent="0.25">
      <c r="R674" s="35"/>
      <c r="S674" s="35"/>
      <c r="T674" s="35"/>
      <c r="U674" s="35"/>
    </row>
    <row r="675" spans="18:21" x14ac:dyDescent="0.25">
      <c r="R675" s="35"/>
      <c r="S675" s="35"/>
      <c r="T675" s="35"/>
      <c r="U675" s="35"/>
    </row>
    <row r="676" spans="18:21" x14ac:dyDescent="0.25">
      <c r="R676" s="35"/>
      <c r="S676" s="35"/>
      <c r="T676" s="35"/>
      <c r="U676" s="35"/>
    </row>
    <row r="677" spans="18:21" x14ac:dyDescent="0.25">
      <c r="R677" s="35"/>
      <c r="S677" s="35"/>
      <c r="T677" s="35"/>
      <c r="U677" s="35"/>
    </row>
    <row r="678" spans="18:21" x14ac:dyDescent="0.25">
      <c r="R678" s="35"/>
      <c r="S678" s="35"/>
      <c r="T678" s="35"/>
      <c r="U678" s="35"/>
    </row>
    <row r="679" spans="18:21" x14ac:dyDescent="0.25">
      <c r="R679" s="35"/>
      <c r="S679" s="35"/>
      <c r="T679" s="35"/>
      <c r="U679" s="35"/>
    </row>
    <row r="680" spans="18:21" x14ac:dyDescent="0.25">
      <c r="R680" s="35"/>
      <c r="S680" s="35"/>
      <c r="T680" s="35"/>
      <c r="U680" s="35"/>
    </row>
    <row r="681" spans="18:21" x14ac:dyDescent="0.25">
      <c r="R681" s="35"/>
      <c r="S681" s="35"/>
      <c r="T681" s="35"/>
      <c r="U681" s="35"/>
    </row>
    <row r="682" spans="18:21" x14ac:dyDescent="0.25">
      <c r="R682" s="35"/>
      <c r="S682" s="35"/>
      <c r="T682" s="35"/>
      <c r="U682" s="35"/>
    </row>
    <row r="683" spans="18:21" x14ac:dyDescent="0.25">
      <c r="R683" s="35"/>
      <c r="S683" s="35"/>
      <c r="T683" s="35"/>
      <c r="U683" s="35"/>
    </row>
    <row r="684" spans="18:21" x14ac:dyDescent="0.25">
      <c r="R684" s="35"/>
      <c r="S684" s="35"/>
      <c r="T684" s="35"/>
      <c r="U684" s="35"/>
    </row>
    <row r="685" spans="18:21" x14ac:dyDescent="0.25">
      <c r="R685" s="35"/>
      <c r="S685" s="35"/>
      <c r="T685" s="35"/>
      <c r="U685" s="35"/>
    </row>
    <row r="686" spans="18:21" x14ac:dyDescent="0.25">
      <c r="R686" s="35"/>
      <c r="S686" s="35"/>
      <c r="T686" s="35"/>
      <c r="U686" s="35"/>
    </row>
    <row r="687" spans="18:21" x14ac:dyDescent="0.25">
      <c r="R687" s="35"/>
      <c r="S687" s="35"/>
      <c r="T687" s="35"/>
      <c r="U687" s="35"/>
    </row>
    <row r="688" spans="18:21" x14ac:dyDescent="0.25">
      <c r="R688" s="35"/>
      <c r="S688" s="35"/>
      <c r="T688" s="35"/>
      <c r="U688" s="35"/>
    </row>
    <row r="689" spans="18:21" x14ac:dyDescent="0.25">
      <c r="R689" s="35"/>
      <c r="S689" s="35"/>
      <c r="T689" s="35"/>
      <c r="U689" s="35"/>
    </row>
    <row r="690" spans="18:21" x14ac:dyDescent="0.25">
      <c r="R690" s="35"/>
      <c r="S690" s="35"/>
      <c r="T690" s="35"/>
      <c r="U690" s="35"/>
    </row>
    <row r="691" spans="18:21" x14ac:dyDescent="0.25">
      <c r="R691" s="35"/>
      <c r="S691" s="35"/>
      <c r="T691" s="35"/>
      <c r="U691" s="35"/>
    </row>
    <row r="692" spans="18:21" x14ac:dyDescent="0.25">
      <c r="R692" s="35"/>
      <c r="S692" s="35"/>
      <c r="T692" s="35"/>
      <c r="U692" s="35"/>
    </row>
    <row r="693" spans="18:21" x14ac:dyDescent="0.25">
      <c r="R693" s="35"/>
      <c r="S693" s="35"/>
      <c r="T693" s="35"/>
      <c r="U693" s="35"/>
    </row>
    <row r="694" spans="18:21" x14ac:dyDescent="0.25">
      <c r="R694" s="35"/>
      <c r="S694" s="35"/>
      <c r="T694" s="35"/>
      <c r="U694" s="35"/>
    </row>
    <row r="695" spans="18:21" x14ac:dyDescent="0.25">
      <c r="R695" s="35"/>
      <c r="S695" s="35"/>
      <c r="T695" s="35"/>
      <c r="U695" s="35"/>
    </row>
    <row r="696" spans="18:21" x14ac:dyDescent="0.25">
      <c r="R696" s="35"/>
      <c r="S696" s="35"/>
      <c r="T696" s="35"/>
      <c r="U696" s="35"/>
    </row>
    <row r="697" spans="18:21" x14ac:dyDescent="0.25">
      <c r="R697" s="35"/>
      <c r="S697" s="35"/>
      <c r="T697" s="35"/>
      <c r="U697" s="35"/>
    </row>
    <row r="698" spans="18:21" x14ac:dyDescent="0.25">
      <c r="R698" s="35"/>
      <c r="S698" s="35"/>
      <c r="T698" s="35"/>
      <c r="U698" s="35"/>
    </row>
    <row r="699" spans="18:21" x14ac:dyDescent="0.25">
      <c r="R699" s="35"/>
      <c r="S699" s="35"/>
      <c r="T699" s="35"/>
      <c r="U699" s="35"/>
    </row>
    <row r="700" spans="18:21" x14ac:dyDescent="0.25">
      <c r="R700" s="35"/>
      <c r="S700" s="35"/>
      <c r="T700" s="35"/>
      <c r="U700" s="35"/>
    </row>
    <row r="701" spans="18:21" x14ac:dyDescent="0.25">
      <c r="R701" s="35"/>
      <c r="S701" s="35"/>
      <c r="T701" s="35"/>
      <c r="U701" s="35"/>
    </row>
    <row r="702" spans="18:21" x14ac:dyDescent="0.25">
      <c r="R702" s="35"/>
      <c r="S702" s="35"/>
      <c r="T702" s="35"/>
      <c r="U702" s="35"/>
    </row>
    <row r="703" spans="18:21" x14ac:dyDescent="0.25">
      <c r="R703" s="35"/>
      <c r="S703" s="35"/>
      <c r="T703" s="35"/>
      <c r="U703" s="35"/>
    </row>
    <row r="704" spans="18:21" x14ac:dyDescent="0.25">
      <c r="R704" s="35"/>
      <c r="S704" s="35"/>
      <c r="T704" s="35"/>
      <c r="U704" s="35"/>
    </row>
    <row r="705" spans="18:21" x14ac:dyDescent="0.25">
      <c r="R705" s="35"/>
      <c r="S705" s="35"/>
      <c r="T705" s="35"/>
      <c r="U705" s="35"/>
    </row>
    <row r="706" spans="18:21" x14ac:dyDescent="0.25">
      <c r="R706" s="35"/>
      <c r="S706" s="35"/>
      <c r="T706" s="35"/>
      <c r="U706" s="35"/>
    </row>
    <row r="707" spans="18:21" x14ac:dyDescent="0.25">
      <c r="R707" s="35"/>
      <c r="S707" s="35"/>
      <c r="T707" s="35"/>
      <c r="U707" s="35"/>
    </row>
    <row r="708" spans="18:21" x14ac:dyDescent="0.25">
      <c r="R708" s="35"/>
      <c r="S708" s="35"/>
      <c r="T708" s="35"/>
      <c r="U708" s="35"/>
    </row>
    <row r="709" spans="18:21" x14ac:dyDescent="0.25">
      <c r="R709" s="35"/>
      <c r="S709" s="35"/>
      <c r="T709" s="35"/>
      <c r="U709" s="35"/>
    </row>
    <row r="710" spans="18:21" x14ac:dyDescent="0.25">
      <c r="R710" s="35"/>
      <c r="S710" s="35"/>
      <c r="T710" s="35"/>
      <c r="U710" s="35"/>
    </row>
    <row r="711" spans="18:21" x14ac:dyDescent="0.25">
      <c r="R711" s="35"/>
      <c r="S711" s="35"/>
      <c r="T711" s="35"/>
      <c r="U711" s="35"/>
    </row>
    <row r="712" spans="18:21" x14ac:dyDescent="0.25">
      <c r="R712" s="35"/>
      <c r="S712" s="35"/>
      <c r="T712" s="35"/>
      <c r="U712" s="35"/>
    </row>
    <row r="713" spans="18:21" x14ac:dyDescent="0.25">
      <c r="R713" s="35"/>
      <c r="S713" s="35"/>
      <c r="T713" s="35"/>
      <c r="U713" s="35"/>
    </row>
    <row r="714" spans="18:21" x14ac:dyDescent="0.25">
      <c r="R714" s="35"/>
      <c r="S714" s="35"/>
      <c r="T714" s="35"/>
      <c r="U714" s="35"/>
    </row>
    <row r="715" spans="18:21" x14ac:dyDescent="0.25">
      <c r="R715" s="35"/>
      <c r="S715" s="35"/>
      <c r="T715" s="35"/>
      <c r="U715" s="35"/>
    </row>
    <row r="716" spans="18:21" x14ac:dyDescent="0.25">
      <c r="R716" s="35"/>
      <c r="S716" s="35"/>
      <c r="T716" s="35"/>
      <c r="U716" s="35"/>
    </row>
    <row r="717" spans="18:21" x14ac:dyDescent="0.25">
      <c r="R717" s="35"/>
      <c r="S717" s="35"/>
      <c r="T717" s="35"/>
      <c r="U717" s="35"/>
    </row>
    <row r="718" spans="18:21" x14ac:dyDescent="0.25">
      <c r="R718" s="35"/>
      <c r="S718" s="35"/>
      <c r="T718" s="35"/>
      <c r="U718" s="35"/>
    </row>
    <row r="719" spans="18:21" x14ac:dyDescent="0.25">
      <c r="R719" s="35"/>
      <c r="S719" s="35"/>
      <c r="T719" s="35"/>
      <c r="U719" s="35"/>
    </row>
    <row r="720" spans="18:21" x14ac:dyDescent="0.25">
      <c r="R720" s="35"/>
      <c r="S720" s="35"/>
      <c r="T720" s="35"/>
      <c r="U720" s="35"/>
    </row>
    <row r="721" spans="18:21" x14ac:dyDescent="0.25">
      <c r="R721" s="35"/>
      <c r="S721" s="35"/>
      <c r="T721" s="35"/>
      <c r="U72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02" spans="18:21" x14ac:dyDescent="0.25">
      <c r="R802" s="35"/>
      <c r="S802" s="35"/>
      <c r="T802" s="35"/>
      <c r="U802" s="35"/>
    </row>
    <row r="803" spans="18:21" x14ac:dyDescent="0.25">
      <c r="R803" s="35"/>
      <c r="S803" s="35"/>
      <c r="T803" s="35"/>
      <c r="U803" s="35"/>
    </row>
    <row r="804" spans="18:21" x14ac:dyDescent="0.25">
      <c r="R804" s="35"/>
      <c r="S804" s="35"/>
      <c r="T804" s="35"/>
      <c r="U804" s="35"/>
    </row>
    <row r="805" spans="18:21" x14ac:dyDescent="0.25">
      <c r="R805" s="35"/>
      <c r="S805" s="35"/>
      <c r="T805" s="35"/>
      <c r="U805" s="35"/>
    </row>
    <row r="806" spans="18:21" x14ac:dyDescent="0.25">
      <c r="R806" s="35"/>
      <c r="S806" s="35"/>
      <c r="T806" s="35"/>
      <c r="U806" s="35"/>
    </row>
    <row r="807" spans="18:21" x14ac:dyDescent="0.25">
      <c r="R807" s="35"/>
      <c r="S807" s="35"/>
      <c r="T807" s="35"/>
      <c r="U807" s="35"/>
    </row>
    <row r="808" spans="18:21" x14ac:dyDescent="0.25">
      <c r="R808" s="35"/>
      <c r="S808" s="35"/>
      <c r="T808" s="35"/>
      <c r="U808" s="35"/>
    </row>
    <row r="809" spans="18:21" x14ac:dyDescent="0.25">
      <c r="R809" s="35"/>
      <c r="S809" s="35"/>
      <c r="T809" s="35"/>
      <c r="U809" s="35"/>
    </row>
    <row r="810" spans="18:21" x14ac:dyDescent="0.25">
      <c r="R810" s="35"/>
      <c r="S810" s="35"/>
      <c r="T810" s="35"/>
      <c r="U810" s="35"/>
    </row>
    <row r="811" spans="18:21" x14ac:dyDescent="0.25">
      <c r="R811" s="35"/>
      <c r="S811" s="35"/>
      <c r="T811" s="35"/>
      <c r="U811" s="35"/>
    </row>
    <row r="812" spans="18:21" x14ac:dyDescent="0.25">
      <c r="R812" s="35"/>
      <c r="S812" s="35"/>
      <c r="T812" s="35"/>
      <c r="U812" s="35"/>
    </row>
    <row r="813" spans="18:21" x14ac:dyDescent="0.25">
      <c r="R813" s="35"/>
      <c r="S813" s="35"/>
      <c r="T813" s="35"/>
      <c r="U813" s="35"/>
    </row>
    <row r="814" spans="18:21" x14ac:dyDescent="0.25">
      <c r="R814" s="35"/>
      <c r="S814" s="35"/>
      <c r="T814" s="35"/>
      <c r="U814" s="35"/>
    </row>
    <row r="815" spans="18:21" x14ac:dyDescent="0.25">
      <c r="R815" s="35"/>
      <c r="S815" s="35"/>
      <c r="T815" s="35"/>
      <c r="U815" s="35"/>
    </row>
    <row r="816" spans="18:21" x14ac:dyDescent="0.25">
      <c r="R816" s="35"/>
      <c r="S816" s="35"/>
      <c r="T816" s="35"/>
      <c r="U816" s="35"/>
    </row>
    <row r="817" spans="18:21" x14ac:dyDescent="0.25">
      <c r="R817" s="35"/>
      <c r="S817" s="35"/>
      <c r="T817" s="35"/>
      <c r="U817" s="35"/>
    </row>
    <row r="818" spans="18:21" x14ac:dyDescent="0.25">
      <c r="R818" s="35"/>
      <c r="S818" s="35"/>
      <c r="T818" s="35"/>
      <c r="U818" s="35"/>
    </row>
    <row r="819" spans="18:21" x14ac:dyDescent="0.25">
      <c r="R819" s="35"/>
      <c r="S819" s="35"/>
      <c r="T819" s="35"/>
      <c r="U819" s="35"/>
    </row>
    <row r="820" spans="18:21" x14ac:dyDescent="0.25">
      <c r="R820" s="35"/>
      <c r="S820" s="35"/>
      <c r="T820" s="35"/>
      <c r="U820" s="35"/>
    </row>
    <row r="821" spans="18:21" x14ac:dyDescent="0.25">
      <c r="R821" s="35"/>
      <c r="S821" s="35"/>
      <c r="T821" s="35"/>
      <c r="U821" s="35"/>
    </row>
    <row r="822" spans="18:21" x14ac:dyDescent="0.25">
      <c r="R822" s="35"/>
      <c r="S822" s="35"/>
      <c r="T822" s="35"/>
      <c r="U822" s="35"/>
    </row>
    <row r="823" spans="18:21" x14ac:dyDescent="0.25">
      <c r="R823" s="35"/>
      <c r="S823" s="35"/>
      <c r="T823" s="35"/>
      <c r="U823" s="35"/>
    </row>
    <row r="824" spans="18:21" x14ac:dyDescent="0.25">
      <c r="R824" s="35"/>
      <c r="S824" s="35"/>
      <c r="T824" s="35"/>
      <c r="U824" s="35"/>
    </row>
    <row r="825" spans="18:21" x14ac:dyDescent="0.25">
      <c r="R825" s="35"/>
      <c r="S825" s="35"/>
      <c r="T825" s="35"/>
      <c r="U825" s="35"/>
    </row>
    <row r="826" spans="18:21" x14ac:dyDescent="0.25">
      <c r="R826" s="35"/>
      <c r="S826" s="35"/>
      <c r="T826" s="35"/>
      <c r="U826" s="35"/>
    </row>
    <row r="827" spans="18:21" x14ac:dyDescent="0.25">
      <c r="R827" s="35"/>
      <c r="S827" s="35"/>
      <c r="T827" s="35"/>
      <c r="U827" s="35"/>
    </row>
    <row r="828" spans="18:21" x14ac:dyDescent="0.25">
      <c r="R828" s="35"/>
      <c r="S828" s="35"/>
      <c r="T828" s="35"/>
      <c r="U828" s="35"/>
    </row>
    <row r="829" spans="18:21" x14ac:dyDescent="0.25">
      <c r="R829" s="35"/>
      <c r="S829" s="35"/>
      <c r="T829" s="35"/>
      <c r="U829" s="35"/>
    </row>
    <row r="830" spans="18:21" x14ac:dyDescent="0.25">
      <c r="R830" s="35"/>
      <c r="S830" s="35"/>
      <c r="T830" s="35"/>
      <c r="U830" s="35"/>
    </row>
    <row r="831" spans="18:21" x14ac:dyDescent="0.25">
      <c r="R831" s="35"/>
      <c r="S831" s="35"/>
      <c r="T831" s="35"/>
      <c r="U831" s="35"/>
    </row>
    <row r="832" spans="18:21" x14ac:dyDescent="0.25">
      <c r="R832" s="35"/>
      <c r="S832" s="35"/>
      <c r="T832" s="35"/>
      <c r="U832" s="35"/>
    </row>
    <row r="833" spans="18:21" x14ac:dyDescent="0.25">
      <c r="R833" s="35"/>
      <c r="S833" s="35"/>
      <c r="T833" s="35"/>
      <c r="U833" s="35"/>
    </row>
    <row r="834" spans="18:21" x14ac:dyDescent="0.25">
      <c r="R834" s="35"/>
      <c r="S834" s="35"/>
      <c r="T834" s="35"/>
      <c r="U834" s="35"/>
    </row>
    <row r="835" spans="18:21" x14ac:dyDescent="0.25">
      <c r="R835" s="35"/>
      <c r="S835" s="35"/>
      <c r="T835" s="35"/>
      <c r="U835" s="35"/>
    </row>
    <row r="836" spans="18:21" x14ac:dyDescent="0.25">
      <c r="R836" s="35"/>
      <c r="S836" s="35"/>
      <c r="T836" s="35"/>
      <c r="U836" s="35"/>
    </row>
    <row r="837" spans="18:21" x14ac:dyDescent="0.25">
      <c r="R837" s="35"/>
      <c r="S837" s="35"/>
      <c r="T837" s="35"/>
      <c r="U837" s="35"/>
    </row>
    <row r="838" spans="18:21" x14ac:dyDescent="0.25">
      <c r="R838" s="35"/>
      <c r="S838" s="35"/>
      <c r="T838" s="35"/>
      <c r="U838" s="35"/>
    </row>
    <row r="839" spans="18:21" x14ac:dyDescent="0.25">
      <c r="R839" s="35"/>
      <c r="S839" s="35"/>
      <c r="T839" s="35"/>
      <c r="U839" s="35"/>
    </row>
    <row r="840" spans="18:21" x14ac:dyDescent="0.25">
      <c r="R840" s="35"/>
      <c r="S840" s="35"/>
      <c r="T840" s="35"/>
      <c r="U840" s="35"/>
    </row>
    <row r="841" spans="18:21" x14ac:dyDescent="0.25">
      <c r="R841" s="35"/>
      <c r="S841" s="35"/>
      <c r="T841" s="35"/>
      <c r="U84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116</v>
      </c>
      <c r="C2">
        <v>10</v>
      </c>
      <c r="D2" t="s">
        <v>186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116</v>
      </c>
      <c r="C3">
        <v>20</v>
      </c>
      <c r="D3" t="s">
        <v>110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116</v>
      </c>
      <c r="C4">
        <v>30</v>
      </c>
      <c r="D4" t="s">
        <v>111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116</v>
      </c>
      <c r="C5">
        <v>40</v>
      </c>
      <c r="D5" t="s">
        <v>102</v>
      </c>
      <c r="E5" t="s">
        <v>103</v>
      </c>
      <c r="F5">
        <v>0.52100000000000002</v>
      </c>
      <c r="G5" t="s">
        <v>14</v>
      </c>
    </row>
    <row r="6" spans="1:7" x14ac:dyDescent="0.25">
      <c r="A6">
        <v>1</v>
      </c>
      <c r="B6" t="s">
        <v>116</v>
      </c>
      <c r="C6">
        <v>50</v>
      </c>
      <c r="D6" t="s">
        <v>18</v>
      </c>
      <c r="E6" t="s">
        <v>15</v>
      </c>
      <c r="F6">
        <v>84.125</v>
      </c>
      <c r="G6" t="s">
        <v>14</v>
      </c>
    </row>
    <row r="7" spans="1:7" x14ac:dyDescent="0.25">
      <c r="A7">
        <v>1</v>
      </c>
      <c r="B7" t="s">
        <v>116</v>
      </c>
      <c r="C7">
        <v>60</v>
      </c>
      <c r="D7" t="s">
        <v>92</v>
      </c>
      <c r="E7" t="s">
        <v>15</v>
      </c>
      <c r="F7">
        <v>16.001999999999999</v>
      </c>
      <c r="G7" t="s">
        <v>14</v>
      </c>
    </row>
    <row r="8" spans="1:7" x14ac:dyDescent="0.25">
      <c r="A8">
        <v>1</v>
      </c>
      <c r="B8" t="s">
        <v>116</v>
      </c>
      <c r="C8">
        <v>70</v>
      </c>
      <c r="D8" t="s">
        <v>93</v>
      </c>
      <c r="E8" t="s">
        <v>15</v>
      </c>
      <c r="F8">
        <v>99.35</v>
      </c>
      <c r="G8" t="s">
        <v>14</v>
      </c>
    </row>
    <row r="9" spans="1:7" x14ac:dyDescent="0.25">
      <c r="A9">
        <v>1</v>
      </c>
      <c r="B9" t="s">
        <v>116</v>
      </c>
      <c r="C9">
        <v>80</v>
      </c>
      <c r="D9" t="s">
        <v>114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116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116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116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116</v>
      </c>
      <c r="C13">
        <v>120</v>
      </c>
      <c r="D13" t="s">
        <v>115</v>
      </c>
      <c r="E13" t="s">
        <v>13</v>
      </c>
      <c r="F13">
        <v>0.3</v>
      </c>
      <c r="G13" t="s">
        <v>14</v>
      </c>
    </row>
    <row r="14" spans="1:7" x14ac:dyDescent="0.25">
      <c r="A14">
        <v>1</v>
      </c>
      <c r="B14" t="s">
        <v>116</v>
      </c>
      <c r="C14">
        <v>130</v>
      </c>
      <c r="D14" t="s">
        <v>256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116</v>
      </c>
      <c r="C15">
        <v>140</v>
      </c>
      <c r="D15" t="s">
        <v>187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117</v>
      </c>
      <c r="C16">
        <v>10</v>
      </c>
      <c r="D16" t="s">
        <v>188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117</v>
      </c>
      <c r="C17">
        <v>20</v>
      </c>
      <c r="D17" t="s">
        <v>110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117</v>
      </c>
      <c r="C18">
        <v>30</v>
      </c>
      <c r="D18" t="s">
        <v>111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117</v>
      </c>
      <c r="C19">
        <v>40</v>
      </c>
      <c r="D19" t="s">
        <v>102</v>
      </c>
      <c r="E19" t="s">
        <v>103</v>
      </c>
      <c r="F19">
        <v>0.629</v>
      </c>
      <c r="G19" t="s">
        <v>14</v>
      </c>
    </row>
    <row r="20" spans="1:7" x14ac:dyDescent="0.25">
      <c r="A20">
        <v>2</v>
      </c>
      <c r="B20" t="s">
        <v>117</v>
      </c>
      <c r="C20">
        <v>50</v>
      </c>
      <c r="D20" t="s">
        <v>18</v>
      </c>
      <c r="E20" t="s">
        <v>15</v>
      </c>
      <c r="F20">
        <v>89.001999999999995</v>
      </c>
      <c r="G20" t="s">
        <v>14</v>
      </c>
    </row>
    <row r="21" spans="1:7" x14ac:dyDescent="0.25">
      <c r="A21">
        <v>2</v>
      </c>
      <c r="B21" t="s">
        <v>117</v>
      </c>
      <c r="C21">
        <v>60</v>
      </c>
      <c r="D21" t="s">
        <v>92</v>
      </c>
      <c r="E21" t="s">
        <v>15</v>
      </c>
      <c r="F21">
        <v>16.916</v>
      </c>
      <c r="G21" t="s">
        <v>14</v>
      </c>
    </row>
    <row r="22" spans="1:7" x14ac:dyDescent="0.25">
      <c r="A22">
        <v>2</v>
      </c>
      <c r="B22" t="s">
        <v>117</v>
      </c>
      <c r="C22">
        <v>70</v>
      </c>
      <c r="D22" t="s">
        <v>93</v>
      </c>
      <c r="E22" t="s">
        <v>15</v>
      </c>
      <c r="F22">
        <v>104.973</v>
      </c>
      <c r="G22" t="s">
        <v>14</v>
      </c>
    </row>
    <row r="23" spans="1:7" x14ac:dyDescent="0.25">
      <c r="A23">
        <v>2</v>
      </c>
      <c r="B23" t="s">
        <v>117</v>
      </c>
      <c r="C23">
        <v>80</v>
      </c>
      <c r="D23" t="s">
        <v>114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117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117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117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117</v>
      </c>
      <c r="C27">
        <v>120</v>
      </c>
      <c r="D27" t="s">
        <v>115</v>
      </c>
      <c r="E27" t="s">
        <v>13</v>
      </c>
      <c r="F27">
        <v>0.34499999999999997</v>
      </c>
      <c r="G27" t="s">
        <v>14</v>
      </c>
    </row>
    <row r="28" spans="1:7" x14ac:dyDescent="0.25">
      <c r="A28">
        <v>2</v>
      </c>
      <c r="B28" t="s">
        <v>117</v>
      </c>
      <c r="C28">
        <v>130</v>
      </c>
      <c r="D28" t="s">
        <v>257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117</v>
      </c>
      <c r="C29">
        <v>140</v>
      </c>
      <c r="D29" t="s">
        <v>189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118</v>
      </c>
      <c r="C30">
        <v>10</v>
      </c>
      <c r="D30" t="s">
        <v>190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118</v>
      </c>
      <c r="C31">
        <v>20</v>
      </c>
      <c r="D31" t="s">
        <v>110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118</v>
      </c>
      <c r="C32">
        <v>30</v>
      </c>
      <c r="D32" t="s">
        <v>111</v>
      </c>
      <c r="E32" t="s">
        <v>15</v>
      </c>
      <c r="F32">
        <v>1.0920000000000001</v>
      </c>
      <c r="G32" t="s">
        <v>16</v>
      </c>
    </row>
    <row r="33" spans="1:7" x14ac:dyDescent="0.25">
      <c r="A33">
        <v>3</v>
      </c>
      <c r="B33" t="s">
        <v>118</v>
      </c>
      <c r="C33">
        <v>40</v>
      </c>
      <c r="D33" t="s">
        <v>102</v>
      </c>
      <c r="E33" t="s">
        <v>103</v>
      </c>
      <c r="F33">
        <v>0.73699999999999999</v>
      </c>
      <c r="G33" t="s">
        <v>14</v>
      </c>
    </row>
    <row r="34" spans="1:7" x14ac:dyDescent="0.25">
      <c r="A34">
        <v>3</v>
      </c>
      <c r="B34" t="s">
        <v>118</v>
      </c>
      <c r="C34">
        <v>50</v>
      </c>
      <c r="D34" t="s">
        <v>18</v>
      </c>
      <c r="E34" t="s">
        <v>15</v>
      </c>
      <c r="F34">
        <v>93.878</v>
      </c>
      <c r="G34" t="s">
        <v>14</v>
      </c>
    </row>
    <row r="35" spans="1:7" x14ac:dyDescent="0.25">
      <c r="A35">
        <v>3</v>
      </c>
      <c r="B35" t="s">
        <v>118</v>
      </c>
      <c r="C35">
        <v>60</v>
      </c>
      <c r="D35" t="s">
        <v>92</v>
      </c>
      <c r="E35" t="s">
        <v>15</v>
      </c>
      <c r="F35">
        <v>17.831</v>
      </c>
      <c r="G35" t="s">
        <v>14</v>
      </c>
    </row>
    <row r="36" spans="1:7" x14ac:dyDescent="0.25">
      <c r="A36">
        <v>3</v>
      </c>
      <c r="B36" t="s">
        <v>118</v>
      </c>
      <c r="C36">
        <v>70</v>
      </c>
      <c r="D36" t="s">
        <v>93</v>
      </c>
      <c r="E36" t="s">
        <v>15</v>
      </c>
      <c r="F36">
        <v>110.59699999999999</v>
      </c>
      <c r="G36" t="s">
        <v>14</v>
      </c>
    </row>
    <row r="37" spans="1:7" x14ac:dyDescent="0.25">
      <c r="A37">
        <v>3</v>
      </c>
      <c r="B37" t="s">
        <v>118</v>
      </c>
      <c r="C37">
        <v>80</v>
      </c>
      <c r="D37" t="s">
        <v>114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118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118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118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118</v>
      </c>
      <c r="C41">
        <v>120</v>
      </c>
      <c r="D41" t="s">
        <v>115</v>
      </c>
      <c r="E41" t="s">
        <v>13</v>
      </c>
      <c r="F41">
        <v>0.39</v>
      </c>
      <c r="G41" t="s">
        <v>14</v>
      </c>
    </row>
    <row r="42" spans="1:7" x14ac:dyDescent="0.25">
      <c r="A42">
        <v>3</v>
      </c>
      <c r="B42" t="s">
        <v>118</v>
      </c>
      <c r="C42">
        <v>130</v>
      </c>
      <c r="D42" t="s">
        <v>258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118</v>
      </c>
      <c r="C43">
        <v>140</v>
      </c>
      <c r="D43" t="s">
        <v>191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119</v>
      </c>
      <c r="C44">
        <v>10</v>
      </c>
      <c r="D44" t="s">
        <v>192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119</v>
      </c>
      <c r="C45">
        <v>20</v>
      </c>
      <c r="D45" t="s">
        <v>110</v>
      </c>
      <c r="E45" t="s">
        <v>15</v>
      </c>
      <c r="F45">
        <v>1.2450000000000001</v>
      </c>
      <c r="G45" t="s">
        <v>16</v>
      </c>
    </row>
    <row r="46" spans="1:7" x14ac:dyDescent="0.25">
      <c r="A46">
        <v>4</v>
      </c>
      <c r="B46" t="s">
        <v>119</v>
      </c>
      <c r="C46">
        <v>30</v>
      </c>
      <c r="D46" t="s">
        <v>111</v>
      </c>
      <c r="E46" t="s">
        <v>15</v>
      </c>
      <c r="F46">
        <v>1.2450000000000001</v>
      </c>
      <c r="G46" t="s">
        <v>16</v>
      </c>
    </row>
    <row r="47" spans="1:7" x14ac:dyDescent="0.25">
      <c r="A47">
        <v>4</v>
      </c>
      <c r="B47" t="s">
        <v>119</v>
      </c>
      <c r="C47">
        <v>40</v>
      </c>
      <c r="D47" t="s">
        <v>102</v>
      </c>
      <c r="E47" t="s">
        <v>103</v>
      </c>
      <c r="F47">
        <v>0.84499999999999997</v>
      </c>
      <c r="G47" t="s">
        <v>14</v>
      </c>
    </row>
    <row r="48" spans="1:7" x14ac:dyDescent="0.25">
      <c r="A48">
        <v>4</v>
      </c>
      <c r="B48" t="s">
        <v>119</v>
      </c>
      <c r="C48">
        <v>50</v>
      </c>
      <c r="D48" t="s">
        <v>18</v>
      </c>
      <c r="E48" t="s">
        <v>15</v>
      </c>
      <c r="F48">
        <v>98.754999999999995</v>
      </c>
      <c r="G48" t="s">
        <v>14</v>
      </c>
    </row>
    <row r="49" spans="1:7" x14ac:dyDescent="0.25">
      <c r="A49">
        <v>4</v>
      </c>
      <c r="B49" t="s">
        <v>119</v>
      </c>
      <c r="C49">
        <v>60</v>
      </c>
      <c r="D49" t="s">
        <v>92</v>
      </c>
      <c r="E49" t="s">
        <v>15</v>
      </c>
      <c r="F49">
        <v>18.745000000000001</v>
      </c>
      <c r="G49" t="s">
        <v>14</v>
      </c>
    </row>
    <row r="50" spans="1:7" x14ac:dyDescent="0.25">
      <c r="A50">
        <v>4</v>
      </c>
      <c r="B50" t="s">
        <v>119</v>
      </c>
      <c r="C50">
        <v>70</v>
      </c>
      <c r="D50" t="s">
        <v>93</v>
      </c>
      <c r="E50" t="s">
        <v>15</v>
      </c>
      <c r="F50">
        <v>116.22</v>
      </c>
      <c r="G50" t="s">
        <v>14</v>
      </c>
    </row>
    <row r="51" spans="1:7" x14ac:dyDescent="0.25">
      <c r="A51">
        <v>4</v>
      </c>
      <c r="B51" t="s">
        <v>119</v>
      </c>
      <c r="C51">
        <v>80</v>
      </c>
      <c r="D51" t="s">
        <v>114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119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119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119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119</v>
      </c>
      <c r="C55">
        <v>120</v>
      </c>
      <c r="D55" t="s">
        <v>115</v>
      </c>
      <c r="E55" t="s">
        <v>13</v>
      </c>
      <c r="F55">
        <v>0.435</v>
      </c>
      <c r="G55" t="s">
        <v>14</v>
      </c>
    </row>
    <row r="56" spans="1:7" x14ac:dyDescent="0.25">
      <c r="A56">
        <v>4</v>
      </c>
      <c r="B56" t="s">
        <v>119</v>
      </c>
      <c r="C56">
        <v>130</v>
      </c>
      <c r="D56" t="s">
        <v>259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119</v>
      </c>
      <c r="C57">
        <v>140</v>
      </c>
      <c r="D57" t="s">
        <v>193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120</v>
      </c>
      <c r="C58">
        <v>10</v>
      </c>
      <c r="D58" t="s">
        <v>194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120</v>
      </c>
      <c r="C59">
        <v>20</v>
      </c>
      <c r="D59" t="s">
        <v>110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120</v>
      </c>
      <c r="C60">
        <v>30</v>
      </c>
      <c r="D60" t="s">
        <v>111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120</v>
      </c>
      <c r="C61">
        <v>40</v>
      </c>
      <c r="D61" t="s">
        <v>102</v>
      </c>
      <c r="E61" t="s">
        <v>103</v>
      </c>
      <c r="F61">
        <v>1.06</v>
      </c>
      <c r="G61" t="s">
        <v>14</v>
      </c>
    </row>
    <row r="62" spans="1:7" x14ac:dyDescent="0.25">
      <c r="A62">
        <v>5</v>
      </c>
      <c r="B62" t="s">
        <v>120</v>
      </c>
      <c r="C62">
        <v>50</v>
      </c>
      <c r="D62" t="s">
        <v>18</v>
      </c>
      <c r="E62" t="s">
        <v>15</v>
      </c>
      <c r="F62">
        <v>108.509</v>
      </c>
      <c r="G62" t="s">
        <v>14</v>
      </c>
    </row>
    <row r="63" spans="1:7" x14ac:dyDescent="0.25">
      <c r="A63">
        <v>5</v>
      </c>
      <c r="B63" t="s">
        <v>120</v>
      </c>
      <c r="C63">
        <v>60</v>
      </c>
      <c r="D63" t="s">
        <v>92</v>
      </c>
      <c r="E63" t="s">
        <v>15</v>
      </c>
      <c r="F63">
        <v>20.574000000000002</v>
      </c>
      <c r="G63" t="s">
        <v>14</v>
      </c>
    </row>
    <row r="64" spans="1:7" x14ac:dyDescent="0.25">
      <c r="A64">
        <v>5</v>
      </c>
      <c r="B64" t="s">
        <v>120</v>
      </c>
      <c r="C64">
        <v>70</v>
      </c>
      <c r="D64" t="s">
        <v>93</v>
      </c>
      <c r="E64" t="s">
        <v>15</v>
      </c>
      <c r="F64">
        <v>127.467</v>
      </c>
      <c r="G64" t="s">
        <v>14</v>
      </c>
    </row>
    <row r="65" spans="1:7" x14ac:dyDescent="0.25">
      <c r="A65">
        <v>5</v>
      </c>
      <c r="B65" t="s">
        <v>120</v>
      </c>
      <c r="C65">
        <v>80</v>
      </c>
      <c r="D65" t="s">
        <v>114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120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120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120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120</v>
      </c>
      <c r="C69">
        <v>120</v>
      </c>
      <c r="D69" t="s">
        <v>115</v>
      </c>
      <c r="E69" t="s">
        <v>13</v>
      </c>
      <c r="F69">
        <v>0.52500000000000002</v>
      </c>
      <c r="G69" t="s">
        <v>14</v>
      </c>
    </row>
    <row r="70" spans="1:7" x14ac:dyDescent="0.25">
      <c r="A70">
        <v>5</v>
      </c>
      <c r="B70" t="s">
        <v>120</v>
      </c>
      <c r="C70">
        <v>130</v>
      </c>
      <c r="D70" t="s">
        <v>260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120</v>
      </c>
      <c r="C71">
        <v>140</v>
      </c>
      <c r="D71" t="s">
        <v>195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121</v>
      </c>
      <c r="C72">
        <v>10</v>
      </c>
      <c r="D72" t="s">
        <v>196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121</v>
      </c>
      <c r="C73">
        <v>20</v>
      </c>
      <c r="D73" t="s">
        <v>110</v>
      </c>
      <c r="E73" t="s">
        <v>15</v>
      </c>
      <c r="F73">
        <v>1.702</v>
      </c>
      <c r="G73" t="s">
        <v>16</v>
      </c>
    </row>
    <row r="74" spans="1:7" x14ac:dyDescent="0.25">
      <c r="A74">
        <v>6</v>
      </c>
      <c r="B74" t="s">
        <v>121</v>
      </c>
      <c r="C74">
        <v>30</v>
      </c>
      <c r="D74" t="s">
        <v>111</v>
      </c>
      <c r="E74" t="s">
        <v>15</v>
      </c>
      <c r="F74">
        <v>1.702</v>
      </c>
      <c r="G74" t="s">
        <v>16</v>
      </c>
    </row>
    <row r="75" spans="1:7" x14ac:dyDescent="0.25">
      <c r="A75">
        <v>6</v>
      </c>
      <c r="B75" t="s">
        <v>121</v>
      </c>
      <c r="C75">
        <v>40</v>
      </c>
      <c r="D75" t="s">
        <v>102</v>
      </c>
      <c r="E75" t="s">
        <v>103</v>
      </c>
      <c r="F75">
        <v>1.1679999999999999</v>
      </c>
      <c r="G75" t="s">
        <v>14</v>
      </c>
    </row>
    <row r="76" spans="1:7" x14ac:dyDescent="0.25">
      <c r="A76">
        <v>6</v>
      </c>
      <c r="B76" t="s">
        <v>121</v>
      </c>
      <c r="C76">
        <v>50</v>
      </c>
      <c r="D76" t="s">
        <v>18</v>
      </c>
      <c r="E76" t="s">
        <v>15</v>
      </c>
      <c r="F76">
        <v>113.386</v>
      </c>
      <c r="G76" t="s">
        <v>14</v>
      </c>
    </row>
    <row r="77" spans="1:7" x14ac:dyDescent="0.25">
      <c r="A77">
        <v>6</v>
      </c>
      <c r="B77" t="s">
        <v>121</v>
      </c>
      <c r="C77">
        <v>60</v>
      </c>
      <c r="D77" t="s">
        <v>92</v>
      </c>
      <c r="E77" t="s">
        <v>15</v>
      </c>
      <c r="F77">
        <v>21.488</v>
      </c>
      <c r="G77" t="s">
        <v>14</v>
      </c>
    </row>
    <row r="78" spans="1:7" x14ac:dyDescent="0.25">
      <c r="A78">
        <v>6</v>
      </c>
      <c r="B78" t="s">
        <v>121</v>
      </c>
      <c r="C78">
        <v>70</v>
      </c>
      <c r="D78" t="s">
        <v>93</v>
      </c>
      <c r="E78" t="s">
        <v>15</v>
      </c>
      <c r="F78">
        <v>133.09100000000001</v>
      </c>
      <c r="G78" t="s">
        <v>14</v>
      </c>
    </row>
    <row r="79" spans="1:7" x14ac:dyDescent="0.25">
      <c r="A79">
        <v>6</v>
      </c>
      <c r="B79" t="s">
        <v>121</v>
      </c>
      <c r="C79">
        <v>80</v>
      </c>
      <c r="D79" t="s">
        <v>114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121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121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121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121</v>
      </c>
      <c r="C83">
        <v>120</v>
      </c>
      <c r="D83" t="s">
        <v>115</v>
      </c>
      <c r="E83" t="s">
        <v>13</v>
      </c>
      <c r="F83">
        <v>0.56999999999999995</v>
      </c>
      <c r="G83" t="s">
        <v>14</v>
      </c>
    </row>
    <row r="84" spans="1:7" x14ac:dyDescent="0.25">
      <c r="A84">
        <v>6</v>
      </c>
      <c r="B84" t="s">
        <v>121</v>
      </c>
      <c r="C84">
        <v>130</v>
      </c>
      <c r="D84" t="s">
        <v>261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121</v>
      </c>
      <c r="C85">
        <v>140</v>
      </c>
      <c r="D85" t="s">
        <v>197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122</v>
      </c>
      <c r="C86">
        <v>10</v>
      </c>
      <c r="D86" t="s">
        <v>198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122</v>
      </c>
      <c r="C87">
        <v>20</v>
      </c>
      <c r="D87" t="s">
        <v>110</v>
      </c>
      <c r="E87" t="s">
        <v>15</v>
      </c>
      <c r="F87">
        <v>1.8540000000000001</v>
      </c>
      <c r="G87" t="s">
        <v>16</v>
      </c>
    </row>
    <row r="88" spans="1:7" x14ac:dyDescent="0.25">
      <c r="A88">
        <v>7</v>
      </c>
      <c r="B88" t="s">
        <v>122</v>
      </c>
      <c r="C88">
        <v>30</v>
      </c>
      <c r="D88" t="s">
        <v>111</v>
      </c>
      <c r="E88" t="s">
        <v>15</v>
      </c>
      <c r="F88">
        <v>1.8540000000000001</v>
      </c>
      <c r="G88" t="s">
        <v>16</v>
      </c>
    </row>
    <row r="89" spans="1:7" x14ac:dyDescent="0.25">
      <c r="A89">
        <v>7</v>
      </c>
      <c r="B89" t="s">
        <v>122</v>
      </c>
      <c r="C89">
        <v>40</v>
      </c>
      <c r="D89" t="s">
        <v>102</v>
      </c>
      <c r="E89" t="s">
        <v>103</v>
      </c>
      <c r="F89">
        <v>1.276</v>
      </c>
      <c r="G89" t="s">
        <v>14</v>
      </c>
    </row>
    <row r="90" spans="1:7" x14ac:dyDescent="0.25">
      <c r="A90">
        <v>7</v>
      </c>
      <c r="B90" t="s">
        <v>122</v>
      </c>
      <c r="C90">
        <v>50</v>
      </c>
      <c r="D90" t="s">
        <v>18</v>
      </c>
      <c r="E90" t="s">
        <v>15</v>
      </c>
      <c r="F90">
        <v>118.262</v>
      </c>
      <c r="G90" t="s">
        <v>14</v>
      </c>
    </row>
    <row r="91" spans="1:7" x14ac:dyDescent="0.25">
      <c r="A91">
        <v>7</v>
      </c>
      <c r="B91" t="s">
        <v>122</v>
      </c>
      <c r="C91">
        <v>60</v>
      </c>
      <c r="D91" t="s">
        <v>92</v>
      </c>
      <c r="E91" t="s">
        <v>15</v>
      </c>
      <c r="F91">
        <v>22.402999999999999</v>
      </c>
      <c r="G91" t="s">
        <v>14</v>
      </c>
    </row>
    <row r="92" spans="1:7" x14ac:dyDescent="0.25">
      <c r="A92">
        <v>7</v>
      </c>
      <c r="B92" t="s">
        <v>122</v>
      </c>
      <c r="C92">
        <v>70</v>
      </c>
      <c r="D92" t="s">
        <v>93</v>
      </c>
      <c r="E92" t="s">
        <v>15</v>
      </c>
      <c r="F92">
        <v>138.714</v>
      </c>
      <c r="G92" t="s">
        <v>14</v>
      </c>
    </row>
    <row r="93" spans="1:7" x14ac:dyDescent="0.25">
      <c r="A93">
        <v>7</v>
      </c>
      <c r="B93" t="s">
        <v>122</v>
      </c>
      <c r="C93">
        <v>80</v>
      </c>
      <c r="D93" t="s">
        <v>114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122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122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122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122</v>
      </c>
      <c r="C97">
        <v>120</v>
      </c>
      <c r="D97" t="s">
        <v>115</v>
      </c>
      <c r="E97" t="s">
        <v>13</v>
      </c>
      <c r="F97">
        <v>0.61599999999999999</v>
      </c>
      <c r="G97" t="s">
        <v>14</v>
      </c>
    </row>
    <row r="98" spans="1:7" x14ac:dyDescent="0.25">
      <c r="A98">
        <v>7</v>
      </c>
      <c r="B98" t="s">
        <v>122</v>
      </c>
      <c r="C98">
        <v>130</v>
      </c>
      <c r="D98" t="s">
        <v>262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122</v>
      </c>
      <c r="C99">
        <v>140</v>
      </c>
      <c r="D99" t="s">
        <v>199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123</v>
      </c>
      <c r="C100">
        <v>10</v>
      </c>
      <c r="D100" t="s">
        <v>200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123</v>
      </c>
      <c r="C101">
        <v>20</v>
      </c>
      <c r="D101" t="s">
        <v>110</v>
      </c>
      <c r="E101" t="s">
        <v>15</v>
      </c>
      <c r="F101">
        <v>0.78700000000000003</v>
      </c>
      <c r="G101" t="s">
        <v>16</v>
      </c>
    </row>
    <row r="102" spans="1:7" x14ac:dyDescent="0.25">
      <c r="A102">
        <v>8</v>
      </c>
      <c r="B102" t="s">
        <v>123</v>
      </c>
      <c r="C102">
        <v>30</v>
      </c>
      <c r="D102" t="s">
        <v>111</v>
      </c>
      <c r="E102" t="s">
        <v>15</v>
      </c>
      <c r="F102">
        <v>0.78700000000000003</v>
      </c>
      <c r="G102" t="s">
        <v>16</v>
      </c>
    </row>
    <row r="103" spans="1:7" x14ac:dyDescent="0.25">
      <c r="A103">
        <v>8</v>
      </c>
      <c r="B103" t="s">
        <v>123</v>
      </c>
      <c r="C103">
        <v>40</v>
      </c>
      <c r="D103" t="s">
        <v>102</v>
      </c>
      <c r="E103" t="s">
        <v>103</v>
      </c>
      <c r="F103">
        <v>0.54300000000000004</v>
      </c>
      <c r="G103" t="s">
        <v>14</v>
      </c>
    </row>
    <row r="104" spans="1:7" x14ac:dyDescent="0.25">
      <c r="A104">
        <v>8</v>
      </c>
      <c r="B104" t="s">
        <v>123</v>
      </c>
      <c r="C104">
        <v>50</v>
      </c>
      <c r="D104" t="s">
        <v>18</v>
      </c>
      <c r="E104" t="s">
        <v>15</v>
      </c>
      <c r="F104">
        <v>86.563000000000002</v>
      </c>
      <c r="G104" t="s">
        <v>14</v>
      </c>
    </row>
    <row r="105" spans="1:7" x14ac:dyDescent="0.25">
      <c r="A105">
        <v>8</v>
      </c>
      <c r="B105" t="s">
        <v>123</v>
      </c>
      <c r="C105">
        <v>60</v>
      </c>
      <c r="D105" t="s">
        <v>92</v>
      </c>
      <c r="E105" t="s">
        <v>15</v>
      </c>
      <c r="F105">
        <v>16.459</v>
      </c>
      <c r="G105" t="s">
        <v>14</v>
      </c>
    </row>
    <row r="106" spans="1:7" x14ac:dyDescent="0.25">
      <c r="A106">
        <v>8</v>
      </c>
      <c r="B106" t="s">
        <v>123</v>
      </c>
      <c r="C106">
        <v>70</v>
      </c>
      <c r="D106" t="s">
        <v>93</v>
      </c>
      <c r="E106" t="s">
        <v>15</v>
      </c>
      <c r="F106">
        <v>102.161</v>
      </c>
      <c r="G106" t="s">
        <v>14</v>
      </c>
    </row>
    <row r="107" spans="1:7" x14ac:dyDescent="0.25">
      <c r="A107">
        <v>8</v>
      </c>
      <c r="B107" t="s">
        <v>123</v>
      </c>
      <c r="C107">
        <v>80</v>
      </c>
      <c r="D107" t="s">
        <v>114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123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123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123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123</v>
      </c>
      <c r="C111">
        <v>120</v>
      </c>
      <c r="D111" t="s">
        <v>115</v>
      </c>
      <c r="E111" t="s">
        <v>13</v>
      </c>
      <c r="F111">
        <v>0.3</v>
      </c>
      <c r="G111" t="s">
        <v>14</v>
      </c>
    </row>
    <row r="112" spans="1:7" x14ac:dyDescent="0.25">
      <c r="A112">
        <v>8</v>
      </c>
      <c r="B112" t="s">
        <v>123</v>
      </c>
      <c r="C112">
        <v>130</v>
      </c>
      <c r="D112" t="s">
        <v>263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123</v>
      </c>
      <c r="C113">
        <v>140</v>
      </c>
      <c r="D113" t="s">
        <v>201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124</v>
      </c>
      <c r="C114">
        <v>10</v>
      </c>
      <c r="D114" t="s">
        <v>202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124</v>
      </c>
      <c r="C115">
        <v>20</v>
      </c>
      <c r="D115" t="s">
        <v>110</v>
      </c>
      <c r="E115" t="s">
        <v>15</v>
      </c>
      <c r="F115">
        <v>0.94</v>
      </c>
      <c r="G115" t="s">
        <v>16</v>
      </c>
    </row>
    <row r="116" spans="1:7" x14ac:dyDescent="0.25">
      <c r="A116">
        <v>9</v>
      </c>
      <c r="B116" t="s">
        <v>124</v>
      </c>
      <c r="C116">
        <v>30</v>
      </c>
      <c r="D116" t="s">
        <v>111</v>
      </c>
      <c r="E116" t="s">
        <v>15</v>
      </c>
      <c r="F116">
        <v>0.94</v>
      </c>
      <c r="G116" t="s">
        <v>16</v>
      </c>
    </row>
    <row r="117" spans="1:7" x14ac:dyDescent="0.25">
      <c r="A117">
        <v>9</v>
      </c>
      <c r="B117" t="s">
        <v>124</v>
      </c>
      <c r="C117">
        <v>40</v>
      </c>
      <c r="D117" t="s">
        <v>102</v>
      </c>
      <c r="E117" t="s">
        <v>103</v>
      </c>
      <c r="F117">
        <v>0.65600000000000003</v>
      </c>
      <c r="G117" t="s">
        <v>14</v>
      </c>
    </row>
    <row r="118" spans="1:7" x14ac:dyDescent="0.25">
      <c r="A118">
        <v>9</v>
      </c>
      <c r="B118" t="s">
        <v>124</v>
      </c>
      <c r="C118">
        <v>50</v>
      </c>
      <c r="D118" t="s">
        <v>18</v>
      </c>
      <c r="E118" t="s">
        <v>15</v>
      </c>
      <c r="F118">
        <v>91.44</v>
      </c>
      <c r="G118" t="s">
        <v>14</v>
      </c>
    </row>
    <row r="119" spans="1:7" x14ac:dyDescent="0.25">
      <c r="A119">
        <v>9</v>
      </c>
      <c r="B119" t="s">
        <v>124</v>
      </c>
      <c r="C119">
        <v>60</v>
      </c>
      <c r="D119" t="s">
        <v>92</v>
      </c>
      <c r="E119" t="s">
        <v>15</v>
      </c>
      <c r="F119">
        <v>17.373999999999999</v>
      </c>
      <c r="G119" t="s">
        <v>14</v>
      </c>
    </row>
    <row r="120" spans="1:7" x14ac:dyDescent="0.25">
      <c r="A120">
        <v>9</v>
      </c>
      <c r="B120" t="s">
        <v>124</v>
      </c>
      <c r="C120">
        <v>70</v>
      </c>
      <c r="D120" t="s">
        <v>93</v>
      </c>
      <c r="E120" t="s">
        <v>15</v>
      </c>
      <c r="F120">
        <v>107.785</v>
      </c>
      <c r="G120" t="s">
        <v>14</v>
      </c>
    </row>
    <row r="121" spans="1:7" x14ac:dyDescent="0.25">
      <c r="A121">
        <v>9</v>
      </c>
      <c r="B121" t="s">
        <v>124</v>
      </c>
      <c r="C121">
        <v>80</v>
      </c>
      <c r="D121" t="s">
        <v>114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124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124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124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124</v>
      </c>
      <c r="C125">
        <v>120</v>
      </c>
      <c r="D125" t="s">
        <v>115</v>
      </c>
      <c r="E125" t="s">
        <v>13</v>
      </c>
      <c r="F125">
        <v>0.34499999999999997</v>
      </c>
      <c r="G125" t="s">
        <v>14</v>
      </c>
    </row>
    <row r="126" spans="1:7" x14ac:dyDescent="0.25">
      <c r="A126">
        <v>9</v>
      </c>
      <c r="B126" t="s">
        <v>124</v>
      </c>
      <c r="C126">
        <v>130</v>
      </c>
      <c r="D126" t="s">
        <v>264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124</v>
      </c>
      <c r="C127">
        <v>140</v>
      </c>
      <c r="D127" t="s">
        <v>203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125</v>
      </c>
      <c r="C128">
        <v>10</v>
      </c>
      <c r="D128" t="s">
        <v>204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125</v>
      </c>
      <c r="C129">
        <v>20</v>
      </c>
      <c r="D129" t="s">
        <v>110</v>
      </c>
      <c r="E129" t="s">
        <v>15</v>
      </c>
      <c r="F129">
        <v>1.0920000000000001</v>
      </c>
      <c r="G129" t="s">
        <v>16</v>
      </c>
    </row>
    <row r="130" spans="1:7" x14ac:dyDescent="0.25">
      <c r="A130">
        <v>10</v>
      </c>
      <c r="B130" t="s">
        <v>125</v>
      </c>
      <c r="C130">
        <v>30</v>
      </c>
      <c r="D130" t="s">
        <v>111</v>
      </c>
      <c r="E130" t="s">
        <v>15</v>
      </c>
      <c r="F130">
        <v>1.0920000000000001</v>
      </c>
      <c r="G130" t="s">
        <v>16</v>
      </c>
    </row>
    <row r="131" spans="1:7" x14ac:dyDescent="0.25">
      <c r="A131">
        <v>10</v>
      </c>
      <c r="B131" t="s">
        <v>125</v>
      </c>
      <c r="C131">
        <v>40</v>
      </c>
      <c r="D131" t="s">
        <v>102</v>
      </c>
      <c r="E131" t="s">
        <v>103</v>
      </c>
      <c r="F131">
        <v>0.76800000000000002</v>
      </c>
      <c r="G131" t="s">
        <v>14</v>
      </c>
    </row>
    <row r="132" spans="1:7" x14ac:dyDescent="0.25">
      <c r="A132">
        <v>10</v>
      </c>
      <c r="B132" t="s">
        <v>125</v>
      </c>
      <c r="C132">
        <v>50</v>
      </c>
      <c r="D132" t="s">
        <v>18</v>
      </c>
      <c r="E132" t="s">
        <v>15</v>
      </c>
      <c r="F132">
        <v>96.316999999999993</v>
      </c>
      <c r="G132" t="s">
        <v>14</v>
      </c>
    </row>
    <row r="133" spans="1:7" x14ac:dyDescent="0.25">
      <c r="A133">
        <v>10</v>
      </c>
      <c r="B133" t="s">
        <v>125</v>
      </c>
      <c r="C133">
        <v>60</v>
      </c>
      <c r="D133" t="s">
        <v>92</v>
      </c>
      <c r="E133" t="s">
        <v>15</v>
      </c>
      <c r="F133">
        <v>18.288</v>
      </c>
      <c r="G133" t="s">
        <v>14</v>
      </c>
    </row>
    <row r="134" spans="1:7" x14ac:dyDescent="0.25">
      <c r="A134">
        <v>10</v>
      </c>
      <c r="B134" t="s">
        <v>125</v>
      </c>
      <c r="C134">
        <v>70</v>
      </c>
      <c r="D134" t="s">
        <v>93</v>
      </c>
      <c r="E134" t="s">
        <v>15</v>
      </c>
      <c r="F134">
        <v>113.408</v>
      </c>
      <c r="G134" t="s">
        <v>14</v>
      </c>
    </row>
    <row r="135" spans="1:7" x14ac:dyDescent="0.25">
      <c r="A135">
        <v>10</v>
      </c>
      <c r="B135" t="s">
        <v>125</v>
      </c>
      <c r="C135">
        <v>80</v>
      </c>
      <c r="D135" t="s">
        <v>114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125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125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125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125</v>
      </c>
      <c r="C139">
        <v>120</v>
      </c>
      <c r="D139" t="s">
        <v>115</v>
      </c>
      <c r="E139" t="s">
        <v>13</v>
      </c>
      <c r="F139">
        <v>0.39</v>
      </c>
      <c r="G139" t="s">
        <v>14</v>
      </c>
    </row>
    <row r="140" spans="1:7" x14ac:dyDescent="0.25">
      <c r="A140">
        <v>10</v>
      </c>
      <c r="B140" t="s">
        <v>125</v>
      </c>
      <c r="C140">
        <v>130</v>
      </c>
      <c r="D140" t="s">
        <v>265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125</v>
      </c>
      <c r="C141">
        <v>140</v>
      </c>
      <c r="D141" t="s">
        <v>205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126</v>
      </c>
      <c r="C142">
        <v>10</v>
      </c>
      <c r="D142" t="s">
        <v>206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126</v>
      </c>
      <c r="C143">
        <v>20</v>
      </c>
      <c r="D143" t="s">
        <v>110</v>
      </c>
      <c r="E143" t="s">
        <v>15</v>
      </c>
      <c r="F143">
        <v>1.2450000000000001</v>
      </c>
      <c r="G143" t="s">
        <v>16</v>
      </c>
    </row>
    <row r="144" spans="1:7" x14ac:dyDescent="0.25">
      <c r="A144">
        <v>11</v>
      </c>
      <c r="B144" t="s">
        <v>126</v>
      </c>
      <c r="C144">
        <v>30</v>
      </c>
      <c r="D144" t="s">
        <v>111</v>
      </c>
      <c r="E144" t="s">
        <v>15</v>
      </c>
      <c r="F144">
        <v>1.2450000000000001</v>
      </c>
      <c r="G144" t="s">
        <v>16</v>
      </c>
    </row>
    <row r="145" spans="1:7" x14ac:dyDescent="0.25">
      <c r="A145">
        <v>11</v>
      </c>
      <c r="B145" t="s">
        <v>126</v>
      </c>
      <c r="C145">
        <v>40</v>
      </c>
      <c r="D145" t="s">
        <v>102</v>
      </c>
      <c r="E145" t="s">
        <v>103</v>
      </c>
      <c r="F145">
        <v>0.88</v>
      </c>
      <c r="G145" t="s">
        <v>14</v>
      </c>
    </row>
    <row r="146" spans="1:7" x14ac:dyDescent="0.25">
      <c r="A146">
        <v>11</v>
      </c>
      <c r="B146" t="s">
        <v>126</v>
      </c>
      <c r="C146">
        <v>50</v>
      </c>
      <c r="D146" t="s">
        <v>18</v>
      </c>
      <c r="E146" t="s">
        <v>15</v>
      </c>
      <c r="F146">
        <v>101.194</v>
      </c>
      <c r="G146" t="s">
        <v>14</v>
      </c>
    </row>
    <row r="147" spans="1:7" x14ac:dyDescent="0.25">
      <c r="A147">
        <v>11</v>
      </c>
      <c r="B147" t="s">
        <v>126</v>
      </c>
      <c r="C147">
        <v>60</v>
      </c>
      <c r="D147" t="s">
        <v>92</v>
      </c>
      <c r="E147" t="s">
        <v>15</v>
      </c>
      <c r="F147">
        <v>19.202000000000002</v>
      </c>
      <c r="G147" t="s">
        <v>14</v>
      </c>
    </row>
    <row r="148" spans="1:7" x14ac:dyDescent="0.25">
      <c r="A148">
        <v>11</v>
      </c>
      <c r="B148" t="s">
        <v>126</v>
      </c>
      <c r="C148">
        <v>70</v>
      </c>
      <c r="D148" t="s">
        <v>93</v>
      </c>
      <c r="E148" t="s">
        <v>15</v>
      </c>
      <c r="F148">
        <v>119.032</v>
      </c>
      <c r="G148" t="s">
        <v>14</v>
      </c>
    </row>
    <row r="149" spans="1:7" x14ac:dyDescent="0.25">
      <c r="A149">
        <v>11</v>
      </c>
      <c r="B149" t="s">
        <v>126</v>
      </c>
      <c r="C149">
        <v>80</v>
      </c>
      <c r="D149" t="s">
        <v>114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126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126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126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126</v>
      </c>
      <c r="C153">
        <v>120</v>
      </c>
      <c r="D153" t="s">
        <v>115</v>
      </c>
      <c r="E153" t="s">
        <v>13</v>
      </c>
      <c r="F153">
        <v>0.435</v>
      </c>
      <c r="G153" t="s">
        <v>14</v>
      </c>
    </row>
    <row r="154" spans="1:7" x14ac:dyDescent="0.25">
      <c r="A154">
        <v>11</v>
      </c>
      <c r="B154" t="s">
        <v>126</v>
      </c>
      <c r="C154">
        <v>130</v>
      </c>
      <c r="D154" t="s">
        <v>266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126</v>
      </c>
      <c r="C155">
        <v>140</v>
      </c>
      <c r="D155" t="s">
        <v>207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127</v>
      </c>
      <c r="C156">
        <v>10</v>
      </c>
      <c r="D156" t="s">
        <v>208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127</v>
      </c>
      <c r="C157">
        <v>20</v>
      </c>
      <c r="D157" t="s">
        <v>110</v>
      </c>
      <c r="E157" t="s">
        <v>15</v>
      </c>
      <c r="F157">
        <v>1.5489999999999999</v>
      </c>
      <c r="G157" t="s">
        <v>16</v>
      </c>
    </row>
    <row r="158" spans="1:7" x14ac:dyDescent="0.25">
      <c r="A158">
        <v>12</v>
      </c>
      <c r="B158" t="s">
        <v>127</v>
      </c>
      <c r="C158">
        <v>30</v>
      </c>
      <c r="D158" t="s">
        <v>111</v>
      </c>
      <c r="E158" t="s">
        <v>15</v>
      </c>
      <c r="F158">
        <v>1.5489999999999999</v>
      </c>
      <c r="G158" t="s">
        <v>16</v>
      </c>
    </row>
    <row r="159" spans="1:7" x14ac:dyDescent="0.25">
      <c r="A159">
        <v>12</v>
      </c>
      <c r="B159" t="s">
        <v>127</v>
      </c>
      <c r="C159">
        <v>40</v>
      </c>
      <c r="D159" t="s">
        <v>102</v>
      </c>
      <c r="E159" t="s">
        <v>103</v>
      </c>
      <c r="F159">
        <v>1.105</v>
      </c>
      <c r="G159" t="s">
        <v>14</v>
      </c>
    </row>
    <row r="160" spans="1:7" x14ac:dyDescent="0.25">
      <c r="A160">
        <v>12</v>
      </c>
      <c r="B160" t="s">
        <v>127</v>
      </c>
      <c r="C160">
        <v>50</v>
      </c>
      <c r="D160" t="s">
        <v>18</v>
      </c>
      <c r="E160" t="s">
        <v>15</v>
      </c>
      <c r="F160">
        <v>110.947</v>
      </c>
      <c r="G160" t="s">
        <v>14</v>
      </c>
    </row>
    <row r="161" spans="1:7" x14ac:dyDescent="0.25">
      <c r="A161">
        <v>12</v>
      </c>
      <c r="B161" t="s">
        <v>127</v>
      </c>
      <c r="C161">
        <v>60</v>
      </c>
      <c r="D161" t="s">
        <v>92</v>
      </c>
      <c r="E161" t="s">
        <v>15</v>
      </c>
      <c r="F161">
        <v>21.030999999999999</v>
      </c>
      <c r="G161" t="s">
        <v>14</v>
      </c>
    </row>
    <row r="162" spans="1:7" x14ac:dyDescent="0.25">
      <c r="A162">
        <v>12</v>
      </c>
      <c r="B162" t="s">
        <v>127</v>
      </c>
      <c r="C162">
        <v>70</v>
      </c>
      <c r="D162" t="s">
        <v>93</v>
      </c>
      <c r="E162" t="s">
        <v>15</v>
      </c>
      <c r="F162">
        <v>130.279</v>
      </c>
      <c r="G162" t="s">
        <v>14</v>
      </c>
    </row>
    <row r="163" spans="1:7" x14ac:dyDescent="0.25">
      <c r="A163">
        <v>12</v>
      </c>
      <c r="B163" t="s">
        <v>127</v>
      </c>
      <c r="C163">
        <v>80</v>
      </c>
      <c r="D163" t="s">
        <v>114</v>
      </c>
      <c r="E163" t="s">
        <v>11</v>
      </c>
      <c r="F163">
        <v>4</v>
      </c>
      <c r="G163" t="s">
        <v>14</v>
      </c>
    </row>
    <row r="164" spans="1:7" x14ac:dyDescent="0.25">
      <c r="A164">
        <v>12</v>
      </c>
      <c r="B164" t="s">
        <v>127</v>
      </c>
      <c r="C164">
        <v>90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127</v>
      </c>
      <c r="C165">
        <v>100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127</v>
      </c>
      <c r="C166">
        <v>110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127</v>
      </c>
      <c r="C167">
        <v>120</v>
      </c>
      <c r="D167" t="s">
        <v>115</v>
      </c>
      <c r="E167" t="s">
        <v>13</v>
      </c>
      <c r="F167">
        <v>0.52500000000000002</v>
      </c>
      <c r="G167" t="s">
        <v>14</v>
      </c>
    </row>
    <row r="168" spans="1:7" x14ac:dyDescent="0.25">
      <c r="A168">
        <v>12</v>
      </c>
      <c r="B168" t="s">
        <v>127</v>
      </c>
      <c r="C168">
        <v>130</v>
      </c>
      <c r="D168" t="s">
        <v>267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127</v>
      </c>
      <c r="C169">
        <v>140</v>
      </c>
      <c r="D169" t="s">
        <v>209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128</v>
      </c>
      <c r="C170">
        <v>10</v>
      </c>
      <c r="D170" t="s">
        <v>210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128</v>
      </c>
      <c r="C171">
        <v>20</v>
      </c>
      <c r="D171" t="s">
        <v>110</v>
      </c>
      <c r="E171" t="s">
        <v>15</v>
      </c>
      <c r="F171">
        <v>1.702</v>
      </c>
      <c r="G171" t="s">
        <v>16</v>
      </c>
    </row>
    <row r="172" spans="1:7" x14ac:dyDescent="0.25">
      <c r="A172">
        <v>13</v>
      </c>
      <c r="B172" t="s">
        <v>128</v>
      </c>
      <c r="C172">
        <v>30</v>
      </c>
      <c r="D172" t="s">
        <v>111</v>
      </c>
      <c r="E172" t="s">
        <v>15</v>
      </c>
      <c r="F172">
        <v>1.702</v>
      </c>
      <c r="G172" t="s">
        <v>16</v>
      </c>
    </row>
    <row r="173" spans="1:7" x14ac:dyDescent="0.25">
      <c r="A173">
        <v>13</v>
      </c>
      <c r="B173" t="s">
        <v>128</v>
      </c>
      <c r="C173">
        <v>40</v>
      </c>
      <c r="D173" t="s">
        <v>102</v>
      </c>
      <c r="E173" t="s">
        <v>103</v>
      </c>
      <c r="F173">
        <v>1.218</v>
      </c>
      <c r="G173" t="s">
        <v>14</v>
      </c>
    </row>
    <row r="174" spans="1:7" x14ac:dyDescent="0.25">
      <c r="A174">
        <v>13</v>
      </c>
      <c r="B174" t="s">
        <v>128</v>
      </c>
      <c r="C174">
        <v>50</v>
      </c>
      <c r="D174" t="s">
        <v>18</v>
      </c>
      <c r="E174" t="s">
        <v>15</v>
      </c>
      <c r="F174">
        <v>115.824</v>
      </c>
      <c r="G174" t="s">
        <v>14</v>
      </c>
    </row>
    <row r="175" spans="1:7" x14ac:dyDescent="0.25">
      <c r="A175">
        <v>13</v>
      </c>
      <c r="B175" t="s">
        <v>128</v>
      </c>
      <c r="C175">
        <v>60</v>
      </c>
      <c r="D175" t="s">
        <v>92</v>
      </c>
      <c r="E175" t="s">
        <v>15</v>
      </c>
      <c r="F175">
        <v>21.946000000000002</v>
      </c>
      <c r="G175" t="s">
        <v>14</v>
      </c>
    </row>
    <row r="176" spans="1:7" x14ac:dyDescent="0.25">
      <c r="A176">
        <v>13</v>
      </c>
      <c r="B176" t="s">
        <v>128</v>
      </c>
      <c r="C176">
        <v>70</v>
      </c>
      <c r="D176" t="s">
        <v>93</v>
      </c>
      <c r="E176" t="s">
        <v>15</v>
      </c>
      <c r="F176">
        <v>135.90299999999999</v>
      </c>
      <c r="G176" t="s">
        <v>14</v>
      </c>
    </row>
    <row r="177" spans="1:7" x14ac:dyDescent="0.25">
      <c r="A177">
        <v>13</v>
      </c>
      <c r="B177" t="s">
        <v>128</v>
      </c>
      <c r="C177">
        <v>80</v>
      </c>
      <c r="D177" t="s">
        <v>114</v>
      </c>
      <c r="E177" t="s">
        <v>11</v>
      </c>
      <c r="F177">
        <v>4</v>
      </c>
      <c r="G177" t="s">
        <v>14</v>
      </c>
    </row>
    <row r="178" spans="1:7" x14ac:dyDescent="0.25">
      <c r="A178">
        <v>13</v>
      </c>
      <c r="B178" t="s">
        <v>128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13</v>
      </c>
      <c r="B179" t="s">
        <v>128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128</v>
      </c>
      <c r="C180">
        <v>110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128</v>
      </c>
      <c r="C181">
        <v>120</v>
      </c>
      <c r="D181" t="s">
        <v>115</v>
      </c>
      <c r="E181" t="s">
        <v>13</v>
      </c>
      <c r="F181">
        <v>0.56999999999999995</v>
      </c>
      <c r="G181" t="s">
        <v>14</v>
      </c>
    </row>
    <row r="182" spans="1:7" x14ac:dyDescent="0.25">
      <c r="A182">
        <v>13</v>
      </c>
      <c r="B182" t="s">
        <v>128</v>
      </c>
      <c r="C182">
        <v>130</v>
      </c>
      <c r="D182" t="s">
        <v>268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128</v>
      </c>
      <c r="C183">
        <v>140</v>
      </c>
      <c r="D183" t="s">
        <v>211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129</v>
      </c>
      <c r="C184">
        <v>10</v>
      </c>
      <c r="D184" t="s">
        <v>212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129</v>
      </c>
      <c r="C185">
        <v>20</v>
      </c>
      <c r="D185" t="s">
        <v>110</v>
      </c>
      <c r="E185" t="s">
        <v>15</v>
      </c>
      <c r="F185">
        <v>1.8540000000000001</v>
      </c>
      <c r="G185" t="s">
        <v>16</v>
      </c>
    </row>
    <row r="186" spans="1:7" x14ac:dyDescent="0.25">
      <c r="A186">
        <v>14</v>
      </c>
      <c r="B186" t="s">
        <v>129</v>
      </c>
      <c r="C186">
        <v>30</v>
      </c>
      <c r="D186" t="s">
        <v>111</v>
      </c>
      <c r="E186" t="s">
        <v>15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129</v>
      </c>
      <c r="C187">
        <v>40</v>
      </c>
      <c r="D187" t="s">
        <v>102</v>
      </c>
      <c r="E187" t="s">
        <v>103</v>
      </c>
      <c r="F187">
        <v>1.33</v>
      </c>
      <c r="G187" t="s">
        <v>14</v>
      </c>
    </row>
    <row r="188" spans="1:7" x14ac:dyDescent="0.25">
      <c r="A188">
        <v>14</v>
      </c>
      <c r="B188" t="s">
        <v>129</v>
      </c>
      <c r="C188">
        <v>50</v>
      </c>
      <c r="D188" t="s">
        <v>18</v>
      </c>
      <c r="E188" t="s">
        <v>15</v>
      </c>
      <c r="F188">
        <v>120.70099999999999</v>
      </c>
      <c r="G188" t="s">
        <v>14</v>
      </c>
    </row>
    <row r="189" spans="1:7" x14ac:dyDescent="0.25">
      <c r="A189">
        <v>14</v>
      </c>
      <c r="B189" t="s">
        <v>129</v>
      </c>
      <c r="C189">
        <v>60</v>
      </c>
      <c r="D189" t="s">
        <v>92</v>
      </c>
      <c r="E189" t="s">
        <v>15</v>
      </c>
      <c r="F189">
        <v>22.86</v>
      </c>
      <c r="G189" t="s">
        <v>14</v>
      </c>
    </row>
    <row r="190" spans="1:7" x14ac:dyDescent="0.25">
      <c r="A190">
        <v>14</v>
      </c>
      <c r="B190" t="s">
        <v>129</v>
      </c>
      <c r="C190">
        <v>70</v>
      </c>
      <c r="D190" t="s">
        <v>93</v>
      </c>
      <c r="E190" t="s">
        <v>15</v>
      </c>
      <c r="F190">
        <v>141.52600000000001</v>
      </c>
      <c r="G190" t="s">
        <v>14</v>
      </c>
    </row>
    <row r="191" spans="1:7" x14ac:dyDescent="0.25">
      <c r="A191">
        <v>14</v>
      </c>
      <c r="B191" t="s">
        <v>129</v>
      </c>
      <c r="C191">
        <v>80</v>
      </c>
      <c r="D191" t="s">
        <v>114</v>
      </c>
      <c r="E191" t="s">
        <v>11</v>
      </c>
      <c r="F191">
        <v>4</v>
      </c>
      <c r="G191" t="s">
        <v>14</v>
      </c>
    </row>
    <row r="192" spans="1:7" x14ac:dyDescent="0.25">
      <c r="A192">
        <v>14</v>
      </c>
      <c r="B192" t="s">
        <v>129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14</v>
      </c>
      <c r="B193" t="s">
        <v>129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129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129</v>
      </c>
      <c r="C195">
        <v>120</v>
      </c>
      <c r="D195" t="s">
        <v>115</v>
      </c>
      <c r="E195" t="s">
        <v>13</v>
      </c>
      <c r="F195">
        <v>0.61599999999999999</v>
      </c>
      <c r="G195" t="s">
        <v>14</v>
      </c>
    </row>
    <row r="196" spans="1:7" x14ac:dyDescent="0.25">
      <c r="A196">
        <v>14</v>
      </c>
      <c r="B196" t="s">
        <v>129</v>
      </c>
      <c r="C196">
        <v>130</v>
      </c>
      <c r="D196" t="s">
        <v>269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129</v>
      </c>
      <c r="C197">
        <v>140</v>
      </c>
      <c r="D197" t="s">
        <v>213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130</v>
      </c>
      <c r="C198">
        <v>10</v>
      </c>
      <c r="D198" t="s">
        <v>214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130</v>
      </c>
      <c r="C199">
        <v>20</v>
      </c>
      <c r="D199" t="s">
        <v>110</v>
      </c>
      <c r="E199" t="s">
        <v>15</v>
      </c>
      <c r="F199">
        <v>0.78700000000000003</v>
      </c>
      <c r="G199" t="s">
        <v>16</v>
      </c>
    </row>
    <row r="200" spans="1:7" x14ac:dyDescent="0.25">
      <c r="A200">
        <v>15</v>
      </c>
      <c r="B200" t="s">
        <v>130</v>
      </c>
      <c r="C200">
        <v>30</v>
      </c>
      <c r="D200" t="s">
        <v>111</v>
      </c>
      <c r="E200" t="s">
        <v>15</v>
      </c>
      <c r="F200">
        <v>0.78700000000000003</v>
      </c>
      <c r="G200" t="s">
        <v>16</v>
      </c>
    </row>
    <row r="201" spans="1:7" x14ac:dyDescent="0.25">
      <c r="A201">
        <v>15</v>
      </c>
      <c r="B201" t="s">
        <v>130</v>
      </c>
      <c r="C201">
        <v>40</v>
      </c>
      <c r="D201" t="s">
        <v>102</v>
      </c>
      <c r="E201" t="s">
        <v>103</v>
      </c>
      <c r="F201">
        <v>0.56499999999999995</v>
      </c>
      <c r="G201" t="s">
        <v>14</v>
      </c>
    </row>
    <row r="202" spans="1:7" x14ac:dyDescent="0.25">
      <c r="A202">
        <v>15</v>
      </c>
      <c r="B202" t="s">
        <v>130</v>
      </c>
      <c r="C202">
        <v>50</v>
      </c>
      <c r="D202" t="s">
        <v>18</v>
      </c>
      <c r="E202" t="s">
        <v>15</v>
      </c>
      <c r="F202">
        <v>89.001999999999995</v>
      </c>
      <c r="G202" t="s">
        <v>14</v>
      </c>
    </row>
    <row r="203" spans="1:7" x14ac:dyDescent="0.25">
      <c r="A203">
        <v>15</v>
      </c>
      <c r="B203" t="s">
        <v>130</v>
      </c>
      <c r="C203">
        <v>60</v>
      </c>
      <c r="D203" t="s">
        <v>92</v>
      </c>
      <c r="E203" t="s">
        <v>15</v>
      </c>
      <c r="F203">
        <v>16.916</v>
      </c>
      <c r="G203" t="s">
        <v>14</v>
      </c>
    </row>
    <row r="204" spans="1:7" x14ac:dyDescent="0.25">
      <c r="A204">
        <v>15</v>
      </c>
      <c r="B204" t="s">
        <v>130</v>
      </c>
      <c r="C204">
        <v>70</v>
      </c>
      <c r="D204" t="s">
        <v>93</v>
      </c>
      <c r="E204" t="s">
        <v>15</v>
      </c>
      <c r="F204">
        <v>104.973</v>
      </c>
      <c r="G204" t="s">
        <v>14</v>
      </c>
    </row>
    <row r="205" spans="1:7" x14ac:dyDescent="0.25">
      <c r="A205">
        <v>15</v>
      </c>
      <c r="B205" t="s">
        <v>130</v>
      </c>
      <c r="C205">
        <v>80</v>
      </c>
      <c r="D205" t="s">
        <v>114</v>
      </c>
      <c r="E205" t="s">
        <v>11</v>
      </c>
      <c r="F205">
        <v>4</v>
      </c>
      <c r="G205" t="s">
        <v>14</v>
      </c>
    </row>
    <row r="206" spans="1:7" x14ac:dyDescent="0.25">
      <c r="A206">
        <v>15</v>
      </c>
      <c r="B206" t="s">
        <v>130</v>
      </c>
      <c r="C206">
        <v>90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15</v>
      </c>
      <c r="B207" t="s">
        <v>130</v>
      </c>
      <c r="C207">
        <v>100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130</v>
      </c>
      <c r="C208">
        <v>110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130</v>
      </c>
      <c r="C209">
        <v>120</v>
      </c>
      <c r="D209" t="s">
        <v>115</v>
      </c>
      <c r="E209" t="s">
        <v>13</v>
      </c>
      <c r="F209">
        <v>0.3</v>
      </c>
      <c r="G209" t="s">
        <v>14</v>
      </c>
    </row>
    <row r="210" spans="1:7" x14ac:dyDescent="0.25">
      <c r="A210">
        <v>15</v>
      </c>
      <c r="B210" t="s">
        <v>130</v>
      </c>
      <c r="C210">
        <v>130</v>
      </c>
      <c r="D210" t="s">
        <v>270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130</v>
      </c>
      <c r="C211">
        <v>140</v>
      </c>
      <c r="D211" t="s">
        <v>215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131</v>
      </c>
      <c r="C212">
        <v>10</v>
      </c>
      <c r="D212" t="s">
        <v>216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131</v>
      </c>
      <c r="C213">
        <v>20</v>
      </c>
      <c r="D213" t="s">
        <v>110</v>
      </c>
      <c r="E213" t="s">
        <v>15</v>
      </c>
      <c r="F213">
        <v>0.94</v>
      </c>
      <c r="G213" t="s">
        <v>16</v>
      </c>
    </row>
    <row r="214" spans="1:7" x14ac:dyDescent="0.25">
      <c r="A214">
        <v>16</v>
      </c>
      <c r="B214" t="s">
        <v>131</v>
      </c>
      <c r="C214">
        <v>30</v>
      </c>
      <c r="D214" t="s">
        <v>111</v>
      </c>
      <c r="E214" t="s">
        <v>15</v>
      </c>
      <c r="F214">
        <v>0.94</v>
      </c>
      <c r="G214" t="s">
        <v>16</v>
      </c>
    </row>
    <row r="215" spans="1:7" x14ac:dyDescent="0.25">
      <c r="A215">
        <v>16</v>
      </c>
      <c r="B215" t="s">
        <v>131</v>
      </c>
      <c r="C215">
        <v>40</v>
      </c>
      <c r="D215" t="s">
        <v>102</v>
      </c>
      <c r="E215" t="s">
        <v>103</v>
      </c>
      <c r="F215">
        <v>0.68200000000000005</v>
      </c>
      <c r="G215" t="s">
        <v>14</v>
      </c>
    </row>
    <row r="216" spans="1:7" x14ac:dyDescent="0.25">
      <c r="A216">
        <v>16</v>
      </c>
      <c r="B216" t="s">
        <v>131</v>
      </c>
      <c r="C216">
        <v>50</v>
      </c>
      <c r="D216" t="s">
        <v>18</v>
      </c>
      <c r="E216" t="s">
        <v>15</v>
      </c>
      <c r="F216">
        <v>93.878</v>
      </c>
      <c r="G216" t="s">
        <v>14</v>
      </c>
    </row>
    <row r="217" spans="1:7" x14ac:dyDescent="0.25">
      <c r="A217">
        <v>16</v>
      </c>
      <c r="B217" t="s">
        <v>131</v>
      </c>
      <c r="C217">
        <v>60</v>
      </c>
      <c r="D217" t="s">
        <v>92</v>
      </c>
      <c r="E217" t="s">
        <v>15</v>
      </c>
      <c r="F217">
        <v>17.831</v>
      </c>
      <c r="G217" t="s">
        <v>14</v>
      </c>
    </row>
    <row r="218" spans="1:7" x14ac:dyDescent="0.25">
      <c r="A218">
        <v>16</v>
      </c>
      <c r="B218" t="s">
        <v>131</v>
      </c>
      <c r="C218">
        <v>70</v>
      </c>
      <c r="D218" t="s">
        <v>93</v>
      </c>
      <c r="E218" t="s">
        <v>15</v>
      </c>
      <c r="F218">
        <v>110.59699999999999</v>
      </c>
      <c r="G218" t="s">
        <v>14</v>
      </c>
    </row>
    <row r="219" spans="1:7" x14ac:dyDescent="0.25">
      <c r="A219">
        <v>16</v>
      </c>
      <c r="B219" t="s">
        <v>131</v>
      </c>
      <c r="C219">
        <v>80</v>
      </c>
      <c r="D219" t="s">
        <v>114</v>
      </c>
      <c r="E219" t="s">
        <v>11</v>
      </c>
      <c r="F219">
        <v>4</v>
      </c>
      <c r="G219" t="s">
        <v>14</v>
      </c>
    </row>
    <row r="220" spans="1:7" x14ac:dyDescent="0.25">
      <c r="A220">
        <v>16</v>
      </c>
      <c r="B220" t="s">
        <v>131</v>
      </c>
      <c r="C220">
        <v>90</v>
      </c>
      <c r="D220" t="s">
        <v>21</v>
      </c>
      <c r="E220" t="s">
        <v>11</v>
      </c>
      <c r="F220">
        <v>1</v>
      </c>
      <c r="G220" t="s">
        <v>14</v>
      </c>
    </row>
    <row r="221" spans="1:7" x14ac:dyDescent="0.25">
      <c r="A221">
        <v>16</v>
      </c>
      <c r="B221" t="s">
        <v>131</v>
      </c>
      <c r="C221">
        <v>100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131</v>
      </c>
      <c r="C222">
        <v>110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131</v>
      </c>
      <c r="C223">
        <v>120</v>
      </c>
      <c r="D223" t="s">
        <v>115</v>
      </c>
      <c r="E223" t="s">
        <v>13</v>
      </c>
      <c r="F223">
        <v>0.34499999999999997</v>
      </c>
      <c r="G223" t="s">
        <v>14</v>
      </c>
    </row>
    <row r="224" spans="1:7" x14ac:dyDescent="0.25">
      <c r="A224">
        <v>16</v>
      </c>
      <c r="B224" t="s">
        <v>131</v>
      </c>
      <c r="C224">
        <v>130</v>
      </c>
      <c r="D224" t="s">
        <v>271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131</v>
      </c>
      <c r="C225">
        <v>140</v>
      </c>
      <c r="D225" t="s">
        <v>217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132</v>
      </c>
      <c r="C226">
        <v>10</v>
      </c>
      <c r="D226" t="s">
        <v>218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132</v>
      </c>
      <c r="C227">
        <v>20</v>
      </c>
      <c r="D227" t="s">
        <v>110</v>
      </c>
      <c r="E227" t="s">
        <v>15</v>
      </c>
      <c r="F227">
        <v>1.0920000000000001</v>
      </c>
      <c r="G227" t="s">
        <v>16</v>
      </c>
    </row>
    <row r="228" spans="1:7" x14ac:dyDescent="0.25">
      <c r="A228">
        <v>17</v>
      </c>
      <c r="B228" t="s">
        <v>132</v>
      </c>
      <c r="C228">
        <v>30</v>
      </c>
      <c r="D228" t="s">
        <v>111</v>
      </c>
      <c r="E228" t="s">
        <v>15</v>
      </c>
      <c r="F228">
        <v>1.0920000000000001</v>
      </c>
      <c r="G228" t="s">
        <v>16</v>
      </c>
    </row>
    <row r="229" spans="1:7" x14ac:dyDescent="0.25">
      <c r="A229">
        <v>17</v>
      </c>
      <c r="B229" t="s">
        <v>132</v>
      </c>
      <c r="C229">
        <v>40</v>
      </c>
      <c r="D229" t="s">
        <v>102</v>
      </c>
      <c r="E229" t="s">
        <v>103</v>
      </c>
      <c r="F229">
        <v>0.79900000000000004</v>
      </c>
      <c r="G229" t="s">
        <v>14</v>
      </c>
    </row>
    <row r="230" spans="1:7" x14ac:dyDescent="0.25">
      <c r="A230">
        <v>17</v>
      </c>
      <c r="B230" t="s">
        <v>132</v>
      </c>
      <c r="C230">
        <v>50</v>
      </c>
      <c r="D230" t="s">
        <v>18</v>
      </c>
      <c r="E230" t="s">
        <v>15</v>
      </c>
      <c r="F230">
        <v>98.754999999999995</v>
      </c>
      <c r="G230" t="s">
        <v>14</v>
      </c>
    </row>
    <row r="231" spans="1:7" x14ac:dyDescent="0.25">
      <c r="A231">
        <v>17</v>
      </c>
      <c r="B231" t="s">
        <v>132</v>
      </c>
      <c r="C231">
        <v>60</v>
      </c>
      <c r="D231" t="s">
        <v>92</v>
      </c>
      <c r="E231" t="s">
        <v>15</v>
      </c>
      <c r="F231">
        <v>18.745000000000001</v>
      </c>
      <c r="G231" t="s">
        <v>14</v>
      </c>
    </row>
    <row r="232" spans="1:7" x14ac:dyDescent="0.25">
      <c r="A232">
        <v>17</v>
      </c>
      <c r="B232" t="s">
        <v>132</v>
      </c>
      <c r="C232">
        <v>70</v>
      </c>
      <c r="D232" t="s">
        <v>93</v>
      </c>
      <c r="E232" t="s">
        <v>15</v>
      </c>
      <c r="F232">
        <v>116.22</v>
      </c>
      <c r="G232" t="s">
        <v>14</v>
      </c>
    </row>
    <row r="233" spans="1:7" x14ac:dyDescent="0.25">
      <c r="A233">
        <v>17</v>
      </c>
      <c r="B233" t="s">
        <v>132</v>
      </c>
      <c r="C233">
        <v>80</v>
      </c>
      <c r="D233" t="s">
        <v>114</v>
      </c>
      <c r="E233" t="s">
        <v>11</v>
      </c>
      <c r="F233">
        <v>4</v>
      </c>
      <c r="G233" t="s">
        <v>14</v>
      </c>
    </row>
    <row r="234" spans="1:7" x14ac:dyDescent="0.25">
      <c r="A234">
        <v>17</v>
      </c>
      <c r="B234" t="s">
        <v>132</v>
      </c>
      <c r="C234">
        <v>90</v>
      </c>
      <c r="D234" t="s">
        <v>21</v>
      </c>
      <c r="E234" t="s">
        <v>11</v>
      </c>
      <c r="F234">
        <v>1</v>
      </c>
      <c r="G234" t="s">
        <v>14</v>
      </c>
    </row>
    <row r="235" spans="1:7" x14ac:dyDescent="0.25">
      <c r="A235">
        <v>17</v>
      </c>
      <c r="B235" t="s">
        <v>132</v>
      </c>
      <c r="C235">
        <v>100</v>
      </c>
      <c r="D235" t="s">
        <v>22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132</v>
      </c>
      <c r="C236">
        <v>110</v>
      </c>
      <c r="D236" t="s">
        <v>23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132</v>
      </c>
      <c r="C237">
        <v>120</v>
      </c>
      <c r="D237" t="s">
        <v>115</v>
      </c>
      <c r="E237" t="s">
        <v>13</v>
      </c>
      <c r="F237">
        <v>0.39</v>
      </c>
      <c r="G237" t="s">
        <v>14</v>
      </c>
    </row>
    <row r="238" spans="1:7" x14ac:dyDescent="0.25">
      <c r="A238">
        <v>17</v>
      </c>
      <c r="B238" t="s">
        <v>132</v>
      </c>
      <c r="C238">
        <v>130</v>
      </c>
      <c r="D238" t="s">
        <v>272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132</v>
      </c>
      <c r="C239">
        <v>140</v>
      </c>
      <c r="D239" t="s">
        <v>219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133</v>
      </c>
      <c r="C240">
        <v>10</v>
      </c>
      <c r="D240" t="s">
        <v>220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133</v>
      </c>
      <c r="C241">
        <v>20</v>
      </c>
      <c r="D241" t="s">
        <v>110</v>
      </c>
      <c r="E241" t="s">
        <v>15</v>
      </c>
      <c r="F241">
        <v>1.2450000000000001</v>
      </c>
      <c r="G241" t="s">
        <v>16</v>
      </c>
    </row>
    <row r="242" spans="1:7" x14ac:dyDescent="0.25">
      <c r="A242">
        <v>18</v>
      </c>
      <c r="B242" t="s">
        <v>133</v>
      </c>
      <c r="C242">
        <v>30</v>
      </c>
      <c r="D242" t="s">
        <v>111</v>
      </c>
      <c r="E242" t="s">
        <v>15</v>
      </c>
      <c r="F242">
        <v>1.2450000000000001</v>
      </c>
      <c r="G242" t="s">
        <v>16</v>
      </c>
    </row>
    <row r="243" spans="1:7" x14ac:dyDescent="0.25">
      <c r="A243">
        <v>18</v>
      </c>
      <c r="B243" t="s">
        <v>133</v>
      </c>
      <c r="C243">
        <v>40</v>
      </c>
      <c r="D243" t="s">
        <v>102</v>
      </c>
      <c r="E243" t="s">
        <v>103</v>
      </c>
      <c r="F243">
        <v>0.91600000000000004</v>
      </c>
      <c r="G243" t="s">
        <v>14</v>
      </c>
    </row>
    <row r="244" spans="1:7" x14ac:dyDescent="0.25">
      <c r="A244">
        <v>18</v>
      </c>
      <c r="B244" t="s">
        <v>133</v>
      </c>
      <c r="C244">
        <v>50</v>
      </c>
      <c r="D244" t="s">
        <v>18</v>
      </c>
      <c r="E244" t="s">
        <v>15</v>
      </c>
      <c r="F244">
        <v>103.63200000000001</v>
      </c>
      <c r="G244" t="s">
        <v>14</v>
      </c>
    </row>
    <row r="245" spans="1:7" x14ac:dyDescent="0.25">
      <c r="A245">
        <v>18</v>
      </c>
      <c r="B245" t="s">
        <v>133</v>
      </c>
      <c r="C245">
        <v>60</v>
      </c>
      <c r="D245" t="s">
        <v>92</v>
      </c>
      <c r="E245" t="s">
        <v>15</v>
      </c>
      <c r="F245">
        <v>19.66</v>
      </c>
      <c r="G245" t="s">
        <v>14</v>
      </c>
    </row>
    <row r="246" spans="1:7" x14ac:dyDescent="0.25">
      <c r="A246">
        <v>18</v>
      </c>
      <c r="B246" t="s">
        <v>133</v>
      </c>
      <c r="C246">
        <v>70</v>
      </c>
      <c r="D246" t="s">
        <v>93</v>
      </c>
      <c r="E246" t="s">
        <v>15</v>
      </c>
      <c r="F246">
        <v>121.84399999999999</v>
      </c>
      <c r="G246" t="s">
        <v>14</v>
      </c>
    </row>
    <row r="247" spans="1:7" x14ac:dyDescent="0.25">
      <c r="A247">
        <v>18</v>
      </c>
      <c r="B247" t="s">
        <v>133</v>
      </c>
      <c r="C247">
        <v>80</v>
      </c>
      <c r="D247" t="s">
        <v>114</v>
      </c>
      <c r="E247" t="s">
        <v>11</v>
      </c>
      <c r="F247">
        <v>4</v>
      </c>
      <c r="G247" t="s">
        <v>14</v>
      </c>
    </row>
    <row r="248" spans="1:7" x14ac:dyDescent="0.25">
      <c r="A248">
        <v>18</v>
      </c>
      <c r="B248" t="s">
        <v>133</v>
      </c>
      <c r="C248">
        <v>90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18</v>
      </c>
      <c r="B249" t="s">
        <v>133</v>
      </c>
      <c r="C249">
        <v>100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133</v>
      </c>
      <c r="C250">
        <v>110</v>
      </c>
      <c r="D250" t="s">
        <v>23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133</v>
      </c>
      <c r="C251">
        <v>120</v>
      </c>
      <c r="D251" t="s">
        <v>115</v>
      </c>
      <c r="E251" t="s">
        <v>13</v>
      </c>
      <c r="F251">
        <v>0.435</v>
      </c>
      <c r="G251" t="s">
        <v>14</v>
      </c>
    </row>
    <row r="252" spans="1:7" x14ac:dyDescent="0.25">
      <c r="A252">
        <v>18</v>
      </c>
      <c r="B252" t="s">
        <v>133</v>
      </c>
      <c r="C252">
        <v>130</v>
      </c>
      <c r="D252" t="s">
        <v>273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133</v>
      </c>
      <c r="C253">
        <v>140</v>
      </c>
      <c r="D253" t="s">
        <v>221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134</v>
      </c>
      <c r="C254">
        <v>10</v>
      </c>
      <c r="D254" t="s">
        <v>222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134</v>
      </c>
      <c r="C255">
        <v>20</v>
      </c>
      <c r="D255" t="s">
        <v>110</v>
      </c>
      <c r="E255" t="s">
        <v>15</v>
      </c>
      <c r="F255">
        <v>1.5489999999999999</v>
      </c>
      <c r="G255" t="s">
        <v>16</v>
      </c>
    </row>
    <row r="256" spans="1:7" x14ac:dyDescent="0.25">
      <c r="A256">
        <v>19</v>
      </c>
      <c r="B256" t="s">
        <v>134</v>
      </c>
      <c r="C256">
        <v>30</v>
      </c>
      <c r="D256" t="s">
        <v>111</v>
      </c>
      <c r="E256" t="s">
        <v>15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134</v>
      </c>
      <c r="C257">
        <v>40</v>
      </c>
      <c r="D257" t="s">
        <v>102</v>
      </c>
      <c r="E257" t="s">
        <v>103</v>
      </c>
      <c r="F257">
        <v>1.1499999999999999</v>
      </c>
      <c r="G257" t="s">
        <v>14</v>
      </c>
    </row>
    <row r="258" spans="1:7" x14ac:dyDescent="0.25">
      <c r="A258">
        <v>19</v>
      </c>
      <c r="B258" t="s">
        <v>134</v>
      </c>
      <c r="C258">
        <v>50</v>
      </c>
      <c r="D258" t="s">
        <v>18</v>
      </c>
      <c r="E258" t="s">
        <v>15</v>
      </c>
      <c r="F258">
        <v>113.386</v>
      </c>
      <c r="G258" t="s">
        <v>14</v>
      </c>
    </row>
    <row r="259" spans="1:7" x14ac:dyDescent="0.25">
      <c r="A259">
        <v>19</v>
      </c>
      <c r="B259" t="s">
        <v>134</v>
      </c>
      <c r="C259">
        <v>60</v>
      </c>
      <c r="D259" t="s">
        <v>92</v>
      </c>
      <c r="E259" t="s">
        <v>15</v>
      </c>
      <c r="F259">
        <v>21.488</v>
      </c>
      <c r="G259" t="s">
        <v>14</v>
      </c>
    </row>
    <row r="260" spans="1:7" x14ac:dyDescent="0.25">
      <c r="A260">
        <v>19</v>
      </c>
      <c r="B260" t="s">
        <v>134</v>
      </c>
      <c r="C260">
        <v>70</v>
      </c>
      <c r="D260" t="s">
        <v>93</v>
      </c>
      <c r="E260" t="s">
        <v>15</v>
      </c>
      <c r="F260">
        <v>133.09100000000001</v>
      </c>
      <c r="G260" t="s">
        <v>14</v>
      </c>
    </row>
    <row r="261" spans="1:7" x14ac:dyDescent="0.25">
      <c r="A261">
        <v>19</v>
      </c>
      <c r="B261" t="s">
        <v>134</v>
      </c>
      <c r="C261">
        <v>80</v>
      </c>
      <c r="D261" t="s">
        <v>114</v>
      </c>
      <c r="E261" t="s">
        <v>11</v>
      </c>
      <c r="F261">
        <v>4</v>
      </c>
      <c r="G261" t="s">
        <v>14</v>
      </c>
    </row>
    <row r="262" spans="1:7" x14ac:dyDescent="0.25">
      <c r="A262">
        <v>19</v>
      </c>
      <c r="B262" t="s">
        <v>134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19</v>
      </c>
      <c r="B263" t="s">
        <v>134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134</v>
      </c>
      <c r="C264">
        <v>110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134</v>
      </c>
      <c r="C265">
        <v>120</v>
      </c>
      <c r="D265" t="s">
        <v>115</v>
      </c>
      <c r="E265" t="s">
        <v>13</v>
      </c>
      <c r="F265">
        <v>0.52500000000000002</v>
      </c>
      <c r="G265" t="s">
        <v>14</v>
      </c>
    </row>
    <row r="266" spans="1:7" x14ac:dyDescent="0.25">
      <c r="A266">
        <v>19</v>
      </c>
      <c r="B266" t="s">
        <v>134</v>
      </c>
      <c r="C266">
        <v>130</v>
      </c>
      <c r="D266" t="s">
        <v>274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134</v>
      </c>
      <c r="C267">
        <v>140</v>
      </c>
      <c r="D267" t="s">
        <v>223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135</v>
      </c>
      <c r="C268">
        <v>10</v>
      </c>
      <c r="D268" t="s">
        <v>224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135</v>
      </c>
      <c r="C269">
        <v>20</v>
      </c>
      <c r="D269" t="s">
        <v>110</v>
      </c>
      <c r="E269" t="s">
        <v>15</v>
      </c>
      <c r="F269">
        <v>1.702</v>
      </c>
      <c r="G269" t="s">
        <v>16</v>
      </c>
    </row>
    <row r="270" spans="1:7" x14ac:dyDescent="0.25">
      <c r="A270">
        <v>20</v>
      </c>
      <c r="B270" t="s">
        <v>135</v>
      </c>
      <c r="C270">
        <v>30</v>
      </c>
      <c r="D270" t="s">
        <v>111</v>
      </c>
      <c r="E270" t="s">
        <v>15</v>
      </c>
      <c r="F270">
        <v>1.702</v>
      </c>
      <c r="G270" t="s">
        <v>16</v>
      </c>
    </row>
    <row r="271" spans="1:7" x14ac:dyDescent="0.25">
      <c r="A271">
        <v>20</v>
      </c>
      <c r="B271" t="s">
        <v>135</v>
      </c>
      <c r="C271">
        <v>40</v>
      </c>
      <c r="D271" t="s">
        <v>102</v>
      </c>
      <c r="E271" t="s">
        <v>103</v>
      </c>
      <c r="F271">
        <v>1.2669999999999999</v>
      </c>
      <c r="G271" t="s">
        <v>14</v>
      </c>
    </row>
    <row r="272" spans="1:7" x14ac:dyDescent="0.25">
      <c r="A272">
        <v>20</v>
      </c>
      <c r="B272" t="s">
        <v>135</v>
      </c>
      <c r="C272">
        <v>50</v>
      </c>
      <c r="D272" t="s">
        <v>18</v>
      </c>
      <c r="E272" t="s">
        <v>15</v>
      </c>
      <c r="F272">
        <v>118.262</v>
      </c>
      <c r="G272" t="s">
        <v>14</v>
      </c>
    </row>
    <row r="273" spans="1:7" x14ac:dyDescent="0.25">
      <c r="A273">
        <v>20</v>
      </c>
      <c r="B273" t="s">
        <v>135</v>
      </c>
      <c r="C273">
        <v>60</v>
      </c>
      <c r="D273" t="s">
        <v>92</v>
      </c>
      <c r="E273" t="s">
        <v>15</v>
      </c>
      <c r="F273">
        <v>22.402999999999999</v>
      </c>
      <c r="G273" t="s">
        <v>14</v>
      </c>
    </row>
    <row r="274" spans="1:7" x14ac:dyDescent="0.25">
      <c r="A274">
        <v>20</v>
      </c>
      <c r="B274" t="s">
        <v>135</v>
      </c>
      <c r="C274">
        <v>70</v>
      </c>
      <c r="D274" t="s">
        <v>93</v>
      </c>
      <c r="E274" t="s">
        <v>15</v>
      </c>
      <c r="F274">
        <v>138.714</v>
      </c>
      <c r="G274" t="s">
        <v>14</v>
      </c>
    </row>
    <row r="275" spans="1:7" x14ac:dyDescent="0.25">
      <c r="A275">
        <v>20</v>
      </c>
      <c r="B275" t="s">
        <v>135</v>
      </c>
      <c r="C275">
        <v>80</v>
      </c>
      <c r="D275" t="s">
        <v>114</v>
      </c>
      <c r="E275" t="s">
        <v>11</v>
      </c>
      <c r="F275">
        <v>4</v>
      </c>
      <c r="G275" t="s">
        <v>14</v>
      </c>
    </row>
    <row r="276" spans="1:7" x14ac:dyDescent="0.25">
      <c r="A276">
        <v>20</v>
      </c>
      <c r="B276" t="s">
        <v>135</v>
      </c>
      <c r="C276">
        <v>90</v>
      </c>
      <c r="D276" t="s">
        <v>21</v>
      </c>
      <c r="E276" t="s">
        <v>11</v>
      </c>
      <c r="F276">
        <v>1</v>
      </c>
      <c r="G276" t="s">
        <v>14</v>
      </c>
    </row>
    <row r="277" spans="1:7" x14ac:dyDescent="0.25">
      <c r="A277">
        <v>20</v>
      </c>
      <c r="B277" t="s">
        <v>135</v>
      </c>
      <c r="C277">
        <v>100</v>
      </c>
      <c r="D277" t="s">
        <v>22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135</v>
      </c>
      <c r="C278">
        <v>110</v>
      </c>
      <c r="D278" t="s">
        <v>23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135</v>
      </c>
      <c r="C279">
        <v>120</v>
      </c>
      <c r="D279" t="s">
        <v>115</v>
      </c>
      <c r="E279" t="s">
        <v>13</v>
      </c>
      <c r="F279">
        <v>0.56999999999999995</v>
      </c>
      <c r="G279" t="s">
        <v>14</v>
      </c>
    </row>
    <row r="280" spans="1:7" x14ac:dyDescent="0.25">
      <c r="A280">
        <v>20</v>
      </c>
      <c r="B280" t="s">
        <v>135</v>
      </c>
      <c r="C280">
        <v>130</v>
      </c>
      <c r="D280" t="s">
        <v>275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135</v>
      </c>
      <c r="C281">
        <v>140</v>
      </c>
      <c r="D281" t="s">
        <v>225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136</v>
      </c>
      <c r="C282">
        <v>10</v>
      </c>
      <c r="D282" t="s">
        <v>226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136</v>
      </c>
      <c r="C283">
        <v>20</v>
      </c>
      <c r="D283" t="s">
        <v>110</v>
      </c>
      <c r="E283" t="s">
        <v>15</v>
      </c>
      <c r="F283">
        <v>1.8540000000000001</v>
      </c>
      <c r="G283" t="s">
        <v>16</v>
      </c>
    </row>
    <row r="284" spans="1:7" x14ac:dyDescent="0.25">
      <c r="A284">
        <v>21</v>
      </c>
      <c r="B284" t="s">
        <v>136</v>
      </c>
      <c r="C284">
        <v>30</v>
      </c>
      <c r="D284" t="s">
        <v>111</v>
      </c>
      <c r="E284" t="s">
        <v>15</v>
      </c>
      <c r="F284">
        <v>1.8540000000000001</v>
      </c>
      <c r="G284" t="s">
        <v>16</v>
      </c>
    </row>
    <row r="285" spans="1:7" x14ac:dyDescent="0.25">
      <c r="A285">
        <v>21</v>
      </c>
      <c r="B285" t="s">
        <v>136</v>
      </c>
      <c r="C285">
        <v>40</v>
      </c>
      <c r="D285" t="s">
        <v>102</v>
      </c>
      <c r="E285" t="s">
        <v>103</v>
      </c>
      <c r="F285">
        <v>1.3839999999999999</v>
      </c>
      <c r="G285" t="s">
        <v>14</v>
      </c>
    </row>
    <row r="286" spans="1:7" x14ac:dyDescent="0.25">
      <c r="A286">
        <v>21</v>
      </c>
      <c r="B286" t="s">
        <v>136</v>
      </c>
      <c r="C286">
        <v>50</v>
      </c>
      <c r="D286" t="s">
        <v>18</v>
      </c>
      <c r="E286" t="s">
        <v>15</v>
      </c>
      <c r="F286">
        <v>123.139</v>
      </c>
      <c r="G286" t="s">
        <v>14</v>
      </c>
    </row>
    <row r="287" spans="1:7" x14ac:dyDescent="0.25">
      <c r="A287">
        <v>21</v>
      </c>
      <c r="B287" t="s">
        <v>136</v>
      </c>
      <c r="C287">
        <v>60</v>
      </c>
      <c r="D287" t="s">
        <v>92</v>
      </c>
      <c r="E287" t="s">
        <v>15</v>
      </c>
      <c r="F287">
        <v>23.317</v>
      </c>
      <c r="G287" t="s">
        <v>14</v>
      </c>
    </row>
    <row r="288" spans="1:7" x14ac:dyDescent="0.25">
      <c r="A288">
        <v>21</v>
      </c>
      <c r="B288" t="s">
        <v>136</v>
      </c>
      <c r="C288">
        <v>70</v>
      </c>
      <c r="D288" t="s">
        <v>93</v>
      </c>
      <c r="E288" t="s">
        <v>15</v>
      </c>
      <c r="F288">
        <v>144.33799999999999</v>
      </c>
      <c r="G288" t="s">
        <v>14</v>
      </c>
    </row>
    <row r="289" spans="1:7" x14ac:dyDescent="0.25">
      <c r="A289">
        <v>21</v>
      </c>
      <c r="B289" t="s">
        <v>136</v>
      </c>
      <c r="C289">
        <v>80</v>
      </c>
      <c r="D289" t="s">
        <v>114</v>
      </c>
      <c r="E289" t="s">
        <v>11</v>
      </c>
      <c r="F289">
        <v>4</v>
      </c>
      <c r="G289" t="s">
        <v>14</v>
      </c>
    </row>
    <row r="290" spans="1:7" x14ac:dyDescent="0.25">
      <c r="A290">
        <v>21</v>
      </c>
      <c r="B290" t="s">
        <v>136</v>
      </c>
      <c r="C290">
        <v>90</v>
      </c>
      <c r="D290" t="s">
        <v>21</v>
      </c>
      <c r="E290" t="s">
        <v>11</v>
      </c>
      <c r="F290">
        <v>1</v>
      </c>
      <c r="G290" t="s">
        <v>14</v>
      </c>
    </row>
    <row r="291" spans="1:7" x14ac:dyDescent="0.25">
      <c r="A291">
        <v>21</v>
      </c>
      <c r="B291" t="s">
        <v>136</v>
      </c>
      <c r="C291">
        <v>100</v>
      </c>
      <c r="D291" t="s">
        <v>22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136</v>
      </c>
      <c r="C292">
        <v>110</v>
      </c>
      <c r="D292" t="s">
        <v>23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136</v>
      </c>
      <c r="C293">
        <v>120</v>
      </c>
      <c r="D293" t="s">
        <v>115</v>
      </c>
      <c r="E293" t="s">
        <v>13</v>
      </c>
      <c r="F293">
        <v>0.61599999999999999</v>
      </c>
      <c r="G293" t="s">
        <v>14</v>
      </c>
    </row>
    <row r="294" spans="1:7" x14ac:dyDescent="0.25">
      <c r="A294">
        <v>21</v>
      </c>
      <c r="B294" t="s">
        <v>136</v>
      </c>
      <c r="C294">
        <v>130</v>
      </c>
      <c r="D294" t="s">
        <v>276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136</v>
      </c>
      <c r="C295">
        <v>140</v>
      </c>
      <c r="D295" t="s">
        <v>227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137</v>
      </c>
      <c r="C296">
        <v>10</v>
      </c>
      <c r="D296" t="s">
        <v>228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137</v>
      </c>
      <c r="C297">
        <v>20</v>
      </c>
      <c r="D297" t="s">
        <v>110</v>
      </c>
      <c r="E297" t="s">
        <v>15</v>
      </c>
      <c r="F297">
        <v>2.0569999999999999</v>
      </c>
      <c r="G297" t="s">
        <v>16</v>
      </c>
    </row>
    <row r="298" spans="1:7" x14ac:dyDescent="0.25">
      <c r="A298">
        <v>22</v>
      </c>
      <c r="B298" t="s">
        <v>137</v>
      </c>
      <c r="C298">
        <v>30</v>
      </c>
      <c r="D298" t="s">
        <v>111</v>
      </c>
      <c r="E298" t="s">
        <v>15</v>
      </c>
      <c r="F298">
        <v>2.0569999999999999</v>
      </c>
      <c r="G298" t="s">
        <v>16</v>
      </c>
    </row>
    <row r="299" spans="1:7" x14ac:dyDescent="0.25">
      <c r="A299">
        <v>22</v>
      </c>
      <c r="B299" t="s">
        <v>137</v>
      </c>
      <c r="C299">
        <v>40</v>
      </c>
      <c r="D299" t="s">
        <v>102</v>
      </c>
      <c r="E299" t="s">
        <v>103</v>
      </c>
      <c r="F299">
        <v>0.57999999999999996</v>
      </c>
      <c r="G299" t="s">
        <v>14</v>
      </c>
    </row>
    <row r="300" spans="1:7" x14ac:dyDescent="0.25">
      <c r="A300">
        <v>22</v>
      </c>
      <c r="B300" t="s">
        <v>137</v>
      </c>
      <c r="C300">
        <v>50</v>
      </c>
      <c r="D300" t="s">
        <v>18</v>
      </c>
      <c r="E300" t="s">
        <v>15</v>
      </c>
      <c r="F300">
        <v>90.626999999999995</v>
      </c>
      <c r="G300" t="s">
        <v>14</v>
      </c>
    </row>
    <row r="301" spans="1:7" x14ac:dyDescent="0.25">
      <c r="A301">
        <v>22</v>
      </c>
      <c r="B301" t="s">
        <v>137</v>
      </c>
      <c r="C301">
        <v>60</v>
      </c>
      <c r="D301" t="s">
        <v>92</v>
      </c>
      <c r="E301" t="s">
        <v>15</v>
      </c>
      <c r="F301">
        <v>17.221</v>
      </c>
      <c r="G301" t="s">
        <v>14</v>
      </c>
    </row>
    <row r="302" spans="1:7" x14ac:dyDescent="0.25">
      <c r="A302">
        <v>22</v>
      </c>
      <c r="B302" t="s">
        <v>137</v>
      </c>
      <c r="C302">
        <v>70</v>
      </c>
      <c r="D302" t="s">
        <v>93</v>
      </c>
      <c r="E302" t="s">
        <v>15</v>
      </c>
      <c r="F302">
        <v>106.848</v>
      </c>
      <c r="G302" t="s">
        <v>14</v>
      </c>
    </row>
    <row r="303" spans="1:7" x14ac:dyDescent="0.25">
      <c r="A303">
        <v>22</v>
      </c>
      <c r="B303" t="s">
        <v>137</v>
      </c>
      <c r="C303">
        <v>80</v>
      </c>
      <c r="D303" t="s">
        <v>114</v>
      </c>
      <c r="E303" t="s">
        <v>11</v>
      </c>
      <c r="F303">
        <v>4</v>
      </c>
      <c r="G303" t="s">
        <v>14</v>
      </c>
    </row>
    <row r="304" spans="1:7" x14ac:dyDescent="0.25">
      <c r="A304">
        <v>22</v>
      </c>
      <c r="B304" t="s">
        <v>137</v>
      </c>
      <c r="C304">
        <v>90</v>
      </c>
      <c r="D304" t="s">
        <v>21</v>
      </c>
      <c r="E304" t="s">
        <v>11</v>
      </c>
      <c r="F304">
        <v>1</v>
      </c>
      <c r="G304" t="s">
        <v>14</v>
      </c>
    </row>
    <row r="305" spans="1:7" x14ac:dyDescent="0.25">
      <c r="A305">
        <v>22</v>
      </c>
      <c r="B305" t="s">
        <v>137</v>
      </c>
      <c r="C305">
        <v>100</v>
      </c>
      <c r="D305" t="s">
        <v>22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137</v>
      </c>
      <c r="C306">
        <v>110</v>
      </c>
      <c r="D306" t="s">
        <v>23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137</v>
      </c>
      <c r="C307">
        <v>120</v>
      </c>
      <c r="D307" t="s">
        <v>115</v>
      </c>
      <c r="E307" t="s">
        <v>13</v>
      </c>
      <c r="F307">
        <v>0.67600000000000005</v>
      </c>
      <c r="G307" t="s">
        <v>14</v>
      </c>
    </row>
    <row r="308" spans="1:7" x14ac:dyDescent="0.25">
      <c r="A308">
        <v>22</v>
      </c>
      <c r="B308" t="s">
        <v>137</v>
      </c>
      <c r="C308">
        <v>130</v>
      </c>
      <c r="D308" t="s">
        <v>277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137</v>
      </c>
      <c r="C309">
        <v>140</v>
      </c>
      <c r="D309" t="s">
        <v>229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138</v>
      </c>
      <c r="C310">
        <v>10</v>
      </c>
      <c r="D310" t="s">
        <v>230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138</v>
      </c>
      <c r="C311">
        <v>20</v>
      </c>
      <c r="D311" t="s">
        <v>110</v>
      </c>
      <c r="E311" t="s">
        <v>15</v>
      </c>
      <c r="F311">
        <v>2.0569999999999999</v>
      </c>
      <c r="G311" t="s">
        <v>16</v>
      </c>
    </row>
    <row r="312" spans="1:7" x14ac:dyDescent="0.25">
      <c r="A312">
        <v>23</v>
      </c>
      <c r="B312" t="s">
        <v>138</v>
      </c>
      <c r="C312">
        <v>30</v>
      </c>
      <c r="D312" t="s">
        <v>111</v>
      </c>
      <c r="E312" t="s">
        <v>15</v>
      </c>
      <c r="F312">
        <v>2.0569999999999999</v>
      </c>
      <c r="G312" t="s">
        <v>16</v>
      </c>
    </row>
    <row r="313" spans="1:7" x14ac:dyDescent="0.25">
      <c r="A313">
        <v>23</v>
      </c>
      <c r="B313" t="s">
        <v>138</v>
      </c>
      <c r="C313">
        <v>40</v>
      </c>
      <c r="D313" t="s">
        <v>102</v>
      </c>
      <c r="E313" t="s">
        <v>103</v>
      </c>
      <c r="F313">
        <v>0.7</v>
      </c>
      <c r="G313" t="s">
        <v>14</v>
      </c>
    </row>
    <row r="314" spans="1:7" x14ac:dyDescent="0.25">
      <c r="A314">
        <v>23</v>
      </c>
      <c r="B314" t="s">
        <v>138</v>
      </c>
      <c r="C314">
        <v>50</v>
      </c>
      <c r="D314" t="s">
        <v>18</v>
      </c>
      <c r="E314" t="s">
        <v>15</v>
      </c>
      <c r="F314">
        <v>95.504000000000005</v>
      </c>
      <c r="G314" t="s">
        <v>14</v>
      </c>
    </row>
    <row r="315" spans="1:7" x14ac:dyDescent="0.25">
      <c r="A315">
        <v>23</v>
      </c>
      <c r="B315" t="s">
        <v>138</v>
      </c>
      <c r="C315">
        <v>60</v>
      </c>
      <c r="D315" t="s">
        <v>92</v>
      </c>
      <c r="E315" t="s">
        <v>15</v>
      </c>
      <c r="F315">
        <v>18.135999999999999</v>
      </c>
      <c r="G315" t="s">
        <v>14</v>
      </c>
    </row>
    <row r="316" spans="1:7" x14ac:dyDescent="0.25">
      <c r="A316">
        <v>23</v>
      </c>
      <c r="B316" t="s">
        <v>138</v>
      </c>
      <c r="C316">
        <v>70</v>
      </c>
      <c r="D316" t="s">
        <v>93</v>
      </c>
      <c r="E316" t="s">
        <v>15</v>
      </c>
      <c r="F316">
        <v>112.471</v>
      </c>
      <c r="G316" t="s">
        <v>14</v>
      </c>
    </row>
    <row r="317" spans="1:7" x14ac:dyDescent="0.25">
      <c r="A317">
        <v>23</v>
      </c>
      <c r="B317" t="s">
        <v>138</v>
      </c>
      <c r="C317">
        <v>80</v>
      </c>
      <c r="D317" t="s">
        <v>114</v>
      </c>
      <c r="E317" t="s">
        <v>11</v>
      </c>
      <c r="F317">
        <v>4</v>
      </c>
      <c r="G317" t="s">
        <v>14</v>
      </c>
    </row>
    <row r="318" spans="1:7" x14ac:dyDescent="0.25">
      <c r="A318">
        <v>23</v>
      </c>
      <c r="B318" t="s">
        <v>138</v>
      </c>
      <c r="C318">
        <v>90</v>
      </c>
      <c r="D318" t="s">
        <v>21</v>
      </c>
      <c r="E318" t="s">
        <v>11</v>
      </c>
      <c r="F318">
        <v>1</v>
      </c>
      <c r="G318" t="s">
        <v>14</v>
      </c>
    </row>
    <row r="319" spans="1:7" x14ac:dyDescent="0.25">
      <c r="A319">
        <v>23</v>
      </c>
      <c r="B319" t="s">
        <v>138</v>
      </c>
      <c r="C319">
        <v>100</v>
      </c>
      <c r="D319" t="s">
        <v>22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138</v>
      </c>
      <c r="C320">
        <v>110</v>
      </c>
      <c r="D320" t="s">
        <v>23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138</v>
      </c>
      <c r="C321">
        <v>120</v>
      </c>
      <c r="D321" t="s">
        <v>115</v>
      </c>
      <c r="E321" t="s">
        <v>13</v>
      </c>
      <c r="F321">
        <v>0.67600000000000005</v>
      </c>
      <c r="G321" t="s">
        <v>14</v>
      </c>
    </row>
    <row r="322" spans="1:7" x14ac:dyDescent="0.25">
      <c r="A322">
        <v>23</v>
      </c>
      <c r="B322" t="s">
        <v>138</v>
      </c>
      <c r="C322">
        <v>130</v>
      </c>
      <c r="D322" t="s">
        <v>278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138</v>
      </c>
      <c r="C323">
        <v>140</v>
      </c>
      <c r="D323" t="s">
        <v>231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139</v>
      </c>
      <c r="C324">
        <v>10</v>
      </c>
      <c r="D324" t="s">
        <v>232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139</v>
      </c>
      <c r="C325">
        <v>20</v>
      </c>
      <c r="D325" t="s">
        <v>110</v>
      </c>
      <c r="E325" t="s">
        <v>15</v>
      </c>
      <c r="F325">
        <v>2.0569999999999999</v>
      </c>
      <c r="G325" t="s">
        <v>16</v>
      </c>
    </row>
    <row r="326" spans="1:7" x14ac:dyDescent="0.25">
      <c r="A326">
        <v>24</v>
      </c>
      <c r="B326" t="s">
        <v>139</v>
      </c>
      <c r="C326">
        <v>30</v>
      </c>
      <c r="D326" t="s">
        <v>111</v>
      </c>
      <c r="E326" t="s">
        <v>15</v>
      </c>
      <c r="F326">
        <v>2.0569999999999999</v>
      </c>
      <c r="G326" t="s">
        <v>16</v>
      </c>
    </row>
    <row r="327" spans="1:7" x14ac:dyDescent="0.25">
      <c r="A327">
        <v>24</v>
      </c>
      <c r="B327" t="s">
        <v>139</v>
      </c>
      <c r="C327">
        <v>40</v>
      </c>
      <c r="D327" t="s">
        <v>102</v>
      </c>
      <c r="E327" t="s">
        <v>103</v>
      </c>
      <c r="F327">
        <v>0.82</v>
      </c>
      <c r="G327" t="s">
        <v>14</v>
      </c>
    </row>
    <row r="328" spans="1:7" x14ac:dyDescent="0.25">
      <c r="A328">
        <v>24</v>
      </c>
      <c r="B328" t="s">
        <v>139</v>
      </c>
      <c r="C328">
        <v>50</v>
      </c>
      <c r="D328" t="s">
        <v>18</v>
      </c>
      <c r="E328" t="s">
        <v>15</v>
      </c>
      <c r="F328">
        <v>100.381</v>
      </c>
      <c r="G328" t="s">
        <v>14</v>
      </c>
    </row>
    <row r="329" spans="1:7" x14ac:dyDescent="0.25">
      <c r="A329">
        <v>24</v>
      </c>
      <c r="B329" t="s">
        <v>139</v>
      </c>
      <c r="C329">
        <v>60</v>
      </c>
      <c r="D329" t="s">
        <v>92</v>
      </c>
      <c r="E329" t="s">
        <v>15</v>
      </c>
      <c r="F329">
        <v>19.05</v>
      </c>
      <c r="G329" t="s">
        <v>14</v>
      </c>
    </row>
    <row r="330" spans="1:7" x14ac:dyDescent="0.25">
      <c r="A330">
        <v>24</v>
      </c>
      <c r="B330" t="s">
        <v>139</v>
      </c>
      <c r="C330">
        <v>70</v>
      </c>
      <c r="D330" t="s">
        <v>93</v>
      </c>
      <c r="E330" t="s">
        <v>15</v>
      </c>
      <c r="F330">
        <v>118.095</v>
      </c>
      <c r="G330" t="s">
        <v>14</v>
      </c>
    </row>
    <row r="331" spans="1:7" x14ac:dyDescent="0.25">
      <c r="A331">
        <v>24</v>
      </c>
      <c r="B331" t="s">
        <v>139</v>
      </c>
      <c r="C331">
        <v>80</v>
      </c>
      <c r="D331" t="s">
        <v>114</v>
      </c>
      <c r="E331" t="s">
        <v>11</v>
      </c>
      <c r="F331">
        <v>4</v>
      </c>
      <c r="G331" t="s">
        <v>14</v>
      </c>
    </row>
    <row r="332" spans="1:7" x14ac:dyDescent="0.25">
      <c r="A332">
        <v>24</v>
      </c>
      <c r="B332" t="s">
        <v>139</v>
      </c>
      <c r="C332">
        <v>90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24</v>
      </c>
      <c r="B333" t="s">
        <v>139</v>
      </c>
      <c r="C333">
        <v>100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139</v>
      </c>
      <c r="C334">
        <v>110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139</v>
      </c>
      <c r="C335">
        <v>120</v>
      </c>
      <c r="D335" t="s">
        <v>115</v>
      </c>
      <c r="E335" t="s">
        <v>13</v>
      </c>
      <c r="F335">
        <v>0.67600000000000005</v>
      </c>
      <c r="G335" t="s">
        <v>14</v>
      </c>
    </row>
    <row r="336" spans="1:7" x14ac:dyDescent="0.25">
      <c r="A336">
        <v>24</v>
      </c>
      <c r="B336" t="s">
        <v>139</v>
      </c>
      <c r="C336">
        <v>130</v>
      </c>
      <c r="D336" t="s">
        <v>279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139</v>
      </c>
      <c r="C337">
        <v>140</v>
      </c>
      <c r="D337" t="s">
        <v>233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140</v>
      </c>
      <c r="C338">
        <v>10</v>
      </c>
      <c r="D338" t="s">
        <v>234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140</v>
      </c>
      <c r="C339">
        <v>20</v>
      </c>
      <c r="D339" t="s">
        <v>110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25</v>
      </c>
      <c r="B340" t="s">
        <v>140</v>
      </c>
      <c r="C340">
        <v>30</v>
      </c>
      <c r="D340" t="s">
        <v>111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140</v>
      </c>
      <c r="C341">
        <v>40</v>
      </c>
      <c r="D341" t="s">
        <v>102</v>
      </c>
      <c r="E341" t="s">
        <v>103</v>
      </c>
      <c r="F341">
        <v>0.94</v>
      </c>
      <c r="G341" t="s">
        <v>14</v>
      </c>
    </row>
    <row r="342" spans="1:7" x14ac:dyDescent="0.25">
      <c r="A342">
        <v>25</v>
      </c>
      <c r="B342" t="s">
        <v>140</v>
      </c>
      <c r="C342">
        <v>50</v>
      </c>
      <c r="D342" t="s">
        <v>18</v>
      </c>
      <c r="E342" t="s">
        <v>15</v>
      </c>
      <c r="F342">
        <v>105.258</v>
      </c>
      <c r="G342" t="s">
        <v>14</v>
      </c>
    </row>
    <row r="343" spans="1:7" x14ac:dyDescent="0.25">
      <c r="A343">
        <v>25</v>
      </c>
      <c r="B343" t="s">
        <v>140</v>
      </c>
      <c r="C343">
        <v>60</v>
      </c>
      <c r="D343" t="s">
        <v>92</v>
      </c>
      <c r="E343" t="s">
        <v>15</v>
      </c>
      <c r="F343">
        <v>19.963999999999999</v>
      </c>
      <c r="G343" t="s">
        <v>14</v>
      </c>
    </row>
    <row r="344" spans="1:7" x14ac:dyDescent="0.25">
      <c r="A344">
        <v>25</v>
      </c>
      <c r="B344" t="s">
        <v>140</v>
      </c>
      <c r="C344">
        <v>70</v>
      </c>
      <c r="D344" t="s">
        <v>93</v>
      </c>
      <c r="E344" t="s">
        <v>15</v>
      </c>
      <c r="F344">
        <v>123.718</v>
      </c>
      <c r="G344" t="s">
        <v>14</v>
      </c>
    </row>
    <row r="345" spans="1:7" x14ac:dyDescent="0.25">
      <c r="A345">
        <v>25</v>
      </c>
      <c r="B345" t="s">
        <v>140</v>
      </c>
      <c r="C345">
        <v>80</v>
      </c>
      <c r="D345" t="s">
        <v>114</v>
      </c>
      <c r="E345" t="s">
        <v>11</v>
      </c>
      <c r="F345">
        <v>4</v>
      </c>
      <c r="G345" t="s">
        <v>14</v>
      </c>
    </row>
    <row r="346" spans="1:7" x14ac:dyDescent="0.25">
      <c r="A346">
        <v>25</v>
      </c>
      <c r="B346" t="s">
        <v>140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25</v>
      </c>
      <c r="B347" t="s">
        <v>140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140</v>
      </c>
      <c r="C348">
        <v>110</v>
      </c>
      <c r="D348" t="s">
        <v>23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140</v>
      </c>
      <c r="C349">
        <v>120</v>
      </c>
      <c r="D349" t="s">
        <v>115</v>
      </c>
      <c r="E349" t="s">
        <v>13</v>
      </c>
      <c r="F349">
        <v>0.67600000000000005</v>
      </c>
      <c r="G349" t="s">
        <v>14</v>
      </c>
    </row>
    <row r="350" spans="1:7" x14ac:dyDescent="0.25">
      <c r="A350">
        <v>25</v>
      </c>
      <c r="B350" t="s">
        <v>140</v>
      </c>
      <c r="C350">
        <v>130</v>
      </c>
      <c r="D350" t="s">
        <v>280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140</v>
      </c>
      <c r="C351">
        <v>140</v>
      </c>
      <c r="D351" t="s">
        <v>235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141</v>
      </c>
      <c r="C352">
        <v>10</v>
      </c>
      <c r="D352" t="s">
        <v>236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141</v>
      </c>
      <c r="C353">
        <v>20</v>
      </c>
      <c r="D353" t="s">
        <v>110</v>
      </c>
      <c r="E353" t="s">
        <v>15</v>
      </c>
      <c r="F353">
        <v>2.0569999999999999</v>
      </c>
      <c r="G353" t="s">
        <v>16</v>
      </c>
    </row>
    <row r="354" spans="1:7" x14ac:dyDescent="0.25">
      <c r="A354">
        <v>26</v>
      </c>
      <c r="B354" t="s">
        <v>141</v>
      </c>
      <c r="C354">
        <v>30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141</v>
      </c>
      <c r="C355">
        <v>40</v>
      </c>
      <c r="D355" t="s">
        <v>102</v>
      </c>
      <c r="E355" t="s">
        <v>103</v>
      </c>
      <c r="F355">
        <v>1.18</v>
      </c>
      <c r="G355" t="s">
        <v>14</v>
      </c>
    </row>
    <row r="356" spans="1:7" x14ac:dyDescent="0.25">
      <c r="A356">
        <v>26</v>
      </c>
      <c r="B356" t="s">
        <v>141</v>
      </c>
      <c r="C356">
        <v>50</v>
      </c>
      <c r="D356" t="s">
        <v>18</v>
      </c>
      <c r="E356" t="s">
        <v>15</v>
      </c>
      <c r="F356">
        <v>115.011</v>
      </c>
      <c r="G356" t="s">
        <v>14</v>
      </c>
    </row>
    <row r="357" spans="1:7" x14ac:dyDescent="0.25">
      <c r="A357">
        <v>26</v>
      </c>
      <c r="B357" t="s">
        <v>141</v>
      </c>
      <c r="C357">
        <v>60</v>
      </c>
      <c r="D357" t="s">
        <v>92</v>
      </c>
      <c r="E357" t="s">
        <v>15</v>
      </c>
      <c r="F357">
        <v>21.792999999999999</v>
      </c>
      <c r="G357" t="s">
        <v>14</v>
      </c>
    </row>
    <row r="358" spans="1:7" x14ac:dyDescent="0.25">
      <c r="A358">
        <v>26</v>
      </c>
      <c r="B358" t="s">
        <v>141</v>
      </c>
      <c r="C358">
        <v>70</v>
      </c>
      <c r="D358" t="s">
        <v>93</v>
      </c>
      <c r="E358" t="s">
        <v>15</v>
      </c>
      <c r="F358">
        <v>134.965</v>
      </c>
      <c r="G358" t="s">
        <v>14</v>
      </c>
    </row>
    <row r="359" spans="1:7" x14ac:dyDescent="0.25">
      <c r="A359">
        <v>26</v>
      </c>
      <c r="B359" t="s">
        <v>141</v>
      </c>
      <c r="C359">
        <v>80</v>
      </c>
      <c r="D359" t="s">
        <v>114</v>
      </c>
      <c r="E359" t="s">
        <v>11</v>
      </c>
      <c r="F359">
        <v>4</v>
      </c>
      <c r="G359" t="s">
        <v>14</v>
      </c>
    </row>
    <row r="360" spans="1:7" x14ac:dyDescent="0.25">
      <c r="A360">
        <v>26</v>
      </c>
      <c r="B360" t="s">
        <v>141</v>
      </c>
      <c r="C360">
        <v>90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26</v>
      </c>
      <c r="B361" t="s">
        <v>141</v>
      </c>
      <c r="C361">
        <v>100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141</v>
      </c>
      <c r="C362">
        <v>110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141</v>
      </c>
      <c r="C363">
        <v>120</v>
      </c>
      <c r="D363" t="s">
        <v>115</v>
      </c>
      <c r="E363" t="s">
        <v>13</v>
      </c>
      <c r="F363">
        <v>0.67600000000000005</v>
      </c>
      <c r="G363" t="s">
        <v>14</v>
      </c>
    </row>
    <row r="364" spans="1:7" x14ac:dyDescent="0.25">
      <c r="A364">
        <v>26</v>
      </c>
      <c r="B364" t="s">
        <v>141</v>
      </c>
      <c r="C364">
        <v>130</v>
      </c>
      <c r="D364" t="s">
        <v>281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141</v>
      </c>
      <c r="C365">
        <v>140</v>
      </c>
      <c r="D365" t="s">
        <v>237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142</v>
      </c>
      <c r="C366">
        <v>10</v>
      </c>
      <c r="D366" t="s">
        <v>238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142</v>
      </c>
      <c r="C367">
        <v>20</v>
      </c>
      <c r="D367" t="s">
        <v>110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27</v>
      </c>
      <c r="B368" t="s">
        <v>142</v>
      </c>
      <c r="C368">
        <v>30</v>
      </c>
      <c r="D368" t="s">
        <v>111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142</v>
      </c>
      <c r="C369">
        <v>40</v>
      </c>
      <c r="D369" t="s">
        <v>102</v>
      </c>
      <c r="E369" t="s">
        <v>103</v>
      </c>
      <c r="F369">
        <v>1.3</v>
      </c>
      <c r="G369" t="s">
        <v>14</v>
      </c>
    </row>
    <row r="370" spans="1:7" x14ac:dyDescent="0.25">
      <c r="A370">
        <v>27</v>
      </c>
      <c r="B370" t="s">
        <v>142</v>
      </c>
      <c r="C370">
        <v>50</v>
      </c>
      <c r="D370" t="s">
        <v>18</v>
      </c>
      <c r="E370" t="s">
        <v>15</v>
      </c>
      <c r="F370">
        <v>119.88800000000001</v>
      </c>
      <c r="G370" t="s">
        <v>14</v>
      </c>
    </row>
    <row r="371" spans="1:7" x14ac:dyDescent="0.25">
      <c r="A371">
        <v>27</v>
      </c>
      <c r="B371" t="s">
        <v>142</v>
      </c>
      <c r="C371">
        <v>60</v>
      </c>
      <c r="D371" t="s">
        <v>92</v>
      </c>
      <c r="E371" t="s">
        <v>15</v>
      </c>
      <c r="F371">
        <v>22.707999999999998</v>
      </c>
      <c r="G371" t="s">
        <v>14</v>
      </c>
    </row>
    <row r="372" spans="1:7" x14ac:dyDescent="0.25">
      <c r="A372">
        <v>27</v>
      </c>
      <c r="B372" t="s">
        <v>142</v>
      </c>
      <c r="C372">
        <v>70</v>
      </c>
      <c r="D372" t="s">
        <v>93</v>
      </c>
      <c r="E372" t="s">
        <v>15</v>
      </c>
      <c r="F372">
        <v>140.589</v>
      </c>
      <c r="G372" t="s">
        <v>14</v>
      </c>
    </row>
    <row r="373" spans="1:7" x14ac:dyDescent="0.25">
      <c r="A373">
        <v>27</v>
      </c>
      <c r="B373" t="s">
        <v>142</v>
      </c>
      <c r="C373">
        <v>80</v>
      </c>
      <c r="D373" t="s">
        <v>114</v>
      </c>
      <c r="E373" t="s">
        <v>11</v>
      </c>
      <c r="F373">
        <v>4</v>
      </c>
      <c r="G373" t="s">
        <v>14</v>
      </c>
    </row>
    <row r="374" spans="1:7" x14ac:dyDescent="0.25">
      <c r="A374">
        <v>27</v>
      </c>
      <c r="B374" t="s">
        <v>142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27</v>
      </c>
      <c r="B375" t="s">
        <v>142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142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142</v>
      </c>
      <c r="C377">
        <v>120</v>
      </c>
      <c r="D377" t="s">
        <v>115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27</v>
      </c>
      <c r="B378" t="s">
        <v>142</v>
      </c>
      <c r="C378">
        <v>130</v>
      </c>
      <c r="D378" t="s">
        <v>282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142</v>
      </c>
      <c r="C379">
        <v>140</v>
      </c>
      <c r="D379" t="s">
        <v>239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143</v>
      </c>
      <c r="C380">
        <v>10</v>
      </c>
      <c r="D380" t="s">
        <v>240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143</v>
      </c>
      <c r="C381">
        <v>20</v>
      </c>
      <c r="D381" t="s">
        <v>110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28</v>
      </c>
      <c r="B382" t="s">
        <v>143</v>
      </c>
      <c r="C382">
        <v>30</v>
      </c>
      <c r="D382" t="s">
        <v>111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143</v>
      </c>
      <c r="C383">
        <v>40</v>
      </c>
      <c r="D383" t="s">
        <v>102</v>
      </c>
      <c r="E383" t="s">
        <v>103</v>
      </c>
      <c r="F383">
        <v>1.42</v>
      </c>
      <c r="G383" t="s">
        <v>14</v>
      </c>
    </row>
    <row r="384" spans="1:7" x14ac:dyDescent="0.25">
      <c r="A384">
        <v>28</v>
      </c>
      <c r="B384" t="s">
        <v>143</v>
      </c>
      <c r="C384">
        <v>50</v>
      </c>
      <c r="D384" t="s">
        <v>18</v>
      </c>
      <c r="E384" t="s">
        <v>15</v>
      </c>
      <c r="F384">
        <v>124.765</v>
      </c>
      <c r="G384" t="s">
        <v>14</v>
      </c>
    </row>
    <row r="385" spans="1:7" x14ac:dyDescent="0.25">
      <c r="A385">
        <v>28</v>
      </c>
      <c r="B385" t="s">
        <v>143</v>
      </c>
      <c r="C385">
        <v>60</v>
      </c>
      <c r="D385" t="s">
        <v>92</v>
      </c>
      <c r="E385" t="s">
        <v>15</v>
      </c>
      <c r="F385">
        <v>23.622</v>
      </c>
      <c r="G385" t="s">
        <v>14</v>
      </c>
    </row>
    <row r="386" spans="1:7" x14ac:dyDescent="0.25">
      <c r="A386">
        <v>28</v>
      </c>
      <c r="B386" t="s">
        <v>143</v>
      </c>
      <c r="C386">
        <v>70</v>
      </c>
      <c r="D386" t="s">
        <v>93</v>
      </c>
      <c r="E386" t="s">
        <v>15</v>
      </c>
      <c r="F386">
        <v>146.21299999999999</v>
      </c>
      <c r="G386" t="s">
        <v>14</v>
      </c>
    </row>
    <row r="387" spans="1:7" x14ac:dyDescent="0.25">
      <c r="A387">
        <v>28</v>
      </c>
      <c r="B387" t="s">
        <v>143</v>
      </c>
      <c r="C387">
        <v>80</v>
      </c>
      <c r="D387" t="s">
        <v>114</v>
      </c>
      <c r="E387" t="s">
        <v>11</v>
      </c>
      <c r="F387">
        <v>4</v>
      </c>
      <c r="G387" t="s">
        <v>14</v>
      </c>
    </row>
    <row r="388" spans="1:7" x14ac:dyDescent="0.25">
      <c r="A388">
        <v>28</v>
      </c>
      <c r="B388" t="s">
        <v>143</v>
      </c>
      <c r="C388">
        <v>90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28</v>
      </c>
      <c r="B389" t="s">
        <v>143</v>
      </c>
      <c r="C389">
        <v>100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143</v>
      </c>
      <c r="C390">
        <v>110</v>
      </c>
      <c r="D390" t="s">
        <v>23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143</v>
      </c>
      <c r="C391">
        <v>120</v>
      </c>
      <c r="D391" t="s">
        <v>115</v>
      </c>
      <c r="E391" t="s">
        <v>13</v>
      </c>
      <c r="F391">
        <v>0.67600000000000005</v>
      </c>
      <c r="G391" t="s">
        <v>14</v>
      </c>
    </row>
    <row r="392" spans="1:7" x14ac:dyDescent="0.25">
      <c r="A392">
        <v>28</v>
      </c>
      <c r="B392" t="s">
        <v>143</v>
      </c>
      <c r="C392">
        <v>130</v>
      </c>
      <c r="D392" t="s">
        <v>283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143</v>
      </c>
      <c r="C393">
        <v>140</v>
      </c>
      <c r="D393" t="s">
        <v>241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144</v>
      </c>
      <c r="C394">
        <v>10</v>
      </c>
      <c r="D394" t="s">
        <v>242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144</v>
      </c>
      <c r="C395">
        <v>20</v>
      </c>
      <c r="D395" t="s">
        <v>110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29</v>
      </c>
      <c r="B396" t="s">
        <v>144</v>
      </c>
      <c r="C396">
        <v>30</v>
      </c>
      <c r="D396" t="s">
        <v>111</v>
      </c>
      <c r="E396" t="s">
        <v>15</v>
      </c>
      <c r="F396">
        <v>2.1589999999999998</v>
      </c>
      <c r="G396" t="s">
        <v>16</v>
      </c>
    </row>
    <row r="397" spans="1:7" x14ac:dyDescent="0.25">
      <c r="A397">
        <v>29</v>
      </c>
      <c r="B397" t="s">
        <v>144</v>
      </c>
      <c r="C397">
        <v>40</v>
      </c>
      <c r="D397" t="s">
        <v>102</v>
      </c>
      <c r="E397" t="s">
        <v>103</v>
      </c>
      <c r="F397">
        <v>0.60899999999999999</v>
      </c>
      <c r="G397" t="s">
        <v>14</v>
      </c>
    </row>
    <row r="398" spans="1:7" x14ac:dyDescent="0.25">
      <c r="A398">
        <v>29</v>
      </c>
      <c r="B398" t="s">
        <v>144</v>
      </c>
      <c r="C398">
        <v>50</v>
      </c>
      <c r="D398" t="s">
        <v>18</v>
      </c>
      <c r="E398" t="s">
        <v>15</v>
      </c>
      <c r="F398">
        <v>93.878</v>
      </c>
      <c r="G398" t="s">
        <v>14</v>
      </c>
    </row>
    <row r="399" spans="1:7" x14ac:dyDescent="0.25">
      <c r="A399">
        <v>29</v>
      </c>
      <c r="B399" t="s">
        <v>144</v>
      </c>
      <c r="C399">
        <v>60</v>
      </c>
      <c r="D399" t="s">
        <v>92</v>
      </c>
      <c r="E399" t="s">
        <v>15</v>
      </c>
      <c r="F399">
        <v>17.831</v>
      </c>
      <c r="G399" t="s">
        <v>14</v>
      </c>
    </row>
    <row r="400" spans="1:7" x14ac:dyDescent="0.25">
      <c r="A400">
        <v>29</v>
      </c>
      <c r="B400" t="s">
        <v>144</v>
      </c>
      <c r="C400">
        <v>70</v>
      </c>
      <c r="D400" t="s">
        <v>93</v>
      </c>
      <c r="E400" t="s">
        <v>15</v>
      </c>
      <c r="F400">
        <v>110.59699999999999</v>
      </c>
      <c r="G400" t="s">
        <v>14</v>
      </c>
    </row>
    <row r="401" spans="1:7" x14ac:dyDescent="0.25">
      <c r="A401">
        <v>29</v>
      </c>
      <c r="B401" t="s">
        <v>144</v>
      </c>
      <c r="C401">
        <v>80</v>
      </c>
      <c r="D401" t="s">
        <v>114</v>
      </c>
      <c r="E401" t="s">
        <v>11</v>
      </c>
      <c r="F401">
        <v>4</v>
      </c>
      <c r="G401" t="s">
        <v>14</v>
      </c>
    </row>
    <row r="402" spans="1:7" x14ac:dyDescent="0.25">
      <c r="A402">
        <v>29</v>
      </c>
      <c r="B402" t="s">
        <v>144</v>
      </c>
      <c r="C402">
        <v>90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29</v>
      </c>
      <c r="B403" t="s">
        <v>144</v>
      </c>
      <c r="C403">
        <v>100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144</v>
      </c>
      <c r="C404">
        <v>110</v>
      </c>
      <c r="D404" t="s">
        <v>23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144</v>
      </c>
      <c r="C405">
        <v>120</v>
      </c>
      <c r="D405" t="s">
        <v>115</v>
      </c>
      <c r="E405" t="s">
        <v>13</v>
      </c>
      <c r="F405">
        <v>0.70599999999999996</v>
      </c>
      <c r="G405" t="s">
        <v>14</v>
      </c>
    </row>
    <row r="406" spans="1:7" x14ac:dyDescent="0.25">
      <c r="A406">
        <v>29</v>
      </c>
      <c r="B406" t="s">
        <v>144</v>
      </c>
      <c r="C406">
        <v>130</v>
      </c>
      <c r="D406" t="s">
        <v>284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144</v>
      </c>
      <c r="C407">
        <v>140</v>
      </c>
      <c r="D407" t="s">
        <v>243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145</v>
      </c>
      <c r="C408">
        <v>10</v>
      </c>
      <c r="D408" t="s">
        <v>244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145</v>
      </c>
      <c r="C409">
        <v>20</v>
      </c>
      <c r="D409" t="s">
        <v>110</v>
      </c>
      <c r="E409" t="s">
        <v>15</v>
      </c>
      <c r="F409">
        <v>2.1589999999999998</v>
      </c>
      <c r="G409" t="s">
        <v>16</v>
      </c>
    </row>
    <row r="410" spans="1:7" x14ac:dyDescent="0.25">
      <c r="A410">
        <v>30</v>
      </c>
      <c r="B410" t="s">
        <v>145</v>
      </c>
      <c r="C410">
        <v>30</v>
      </c>
      <c r="D410" t="s">
        <v>111</v>
      </c>
      <c r="E410" t="s">
        <v>15</v>
      </c>
      <c r="F410">
        <v>2.1589999999999998</v>
      </c>
      <c r="G410" t="s">
        <v>16</v>
      </c>
    </row>
    <row r="411" spans="1:7" x14ac:dyDescent="0.25">
      <c r="A411">
        <v>30</v>
      </c>
      <c r="B411" t="s">
        <v>145</v>
      </c>
      <c r="C411">
        <v>40</v>
      </c>
      <c r="D411" t="s">
        <v>102</v>
      </c>
      <c r="E411" t="s">
        <v>103</v>
      </c>
      <c r="F411">
        <v>0.73499999999999999</v>
      </c>
      <c r="G411" t="s">
        <v>14</v>
      </c>
    </row>
    <row r="412" spans="1:7" x14ac:dyDescent="0.25">
      <c r="A412">
        <v>30</v>
      </c>
      <c r="B412" t="s">
        <v>145</v>
      </c>
      <c r="C412">
        <v>50</v>
      </c>
      <c r="D412" t="s">
        <v>18</v>
      </c>
      <c r="E412" t="s">
        <v>15</v>
      </c>
      <c r="F412">
        <v>98.754999999999995</v>
      </c>
      <c r="G412" t="s">
        <v>14</v>
      </c>
    </row>
    <row r="413" spans="1:7" x14ac:dyDescent="0.25">
      <c r="A413">
        <v>30</v>
      </c>
      <c r="B413" t="s">
        <v>145</v>
      </c>
      <c r="C413">
        <v>60</v>
      </c>
      <c r="D413" t="s">
        <v>92</v>
      </c>
      <c r="E413" t="s">
        <v>15</v>
      </c>
      <c r="F413">
        <v>18.745000000000001</v>
      </c>
      <c r="G413" t="s">
        <v>14</v>
      </c>
    </row>
    <row r="414" spans="1:7" x14ac:dyDescent="0.25">
      <c r="A414">
        <v>30</v>
      </c>
      <c r="B414" t="s">
        <v>145</v>
      </c>
      <c r="C414">
        <v>70</v>
      </c>
      <c r="D414" t="s">
        <v>93</v>
      </c>
      <c r="E414" t="s">
        <v>15</v>
      </c>
      <c r="F414">
        <v>116.22</v>
      </c>
      <c r="G414" t="s">
        <v>14</v>
      </c>
    </row>
    <row r="415" spans="1:7" x14ac:dyDescent="0.25">
      <c r="A415">
        <v>30</v>
      </c>
      <c r="B415" t="s">
        <v>145</v>
      </c>
      <c r="C415">
        <v>80</v>
      </c>
      <c r="D415" t="s">
        <v>114</v>
      </c>
      <c r="E415" t="s">
        <v>11</v>
      </c>
      <c r="F415">
        <v>4</v>
      </c>
      <c r="G415" t="s">
        <v>14</v>
      </c>
    </row>
    <row r="416" spans="1:7" x14ac:dyDescent="0.25">
      <c r="A416">
        <v>30</v>
      </c>
      <c r="B416" t="s">
        <v>145</v>
      </c>
      <c r="C416">
        <v>90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30</v>
      </c>
      <c r="B417" t="s">
        <v>145</v>
      </c>
      <c r="C417">
        <v>100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145</v>
      </c>
      <c r="C418">
        <v>110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145</v>
      </c>
      <c r="C419">
        <v>120</v>
      </c>
      <c r="D419" t="s">
        <v>115</v>
      </c>
      <c r="E419" t="s">
        <v>13</v>
      </c>
      <c r="F419">
        <v>0.70599999999999996</v>
      </c>
      <c r="G419" t="s">
        <v>14</v>
      </c>
    </row>
    <row r="420" spans="1:7" x14ac:dyDescent="0.25">
      <c r="A420">
        <v>30</v>
      </c>
      <c r="B420" t="s">
        <v>145</v>
      </c>
      <c r="C420">
        <v>130</v>
      </c>
      <c r="D420" t="s">
        <v>285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145</v>
      </c>
      <c r="C421">
        <v>140</v>
      </c>
      <c r="D421" t="s">
        <v>245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146</v>
      </c>
      <c r="C422">
        <v>10</v>
      </c>
      <c r="D422" t="s">
        <v>246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146</v>
      </c>
      <c r="C423">
        <v>20</v>
      </c>
      <c r="D423" t="s">
        <v>110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31</v>
      </c>
      <c r="B424" t="s">
        <v>146</v>
      </c>
      <c r="C424">
        <v>30</v>
      </c>
      <c r="D424" t="s">
        <v>111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31</v>
      </c>
      <c r="B425" t="s">
        <v>146</v>
      </c>
      <c r="C425">
        <v>40</v>
      </c>
      <c r="D425" t="s">
        <v>102</v>
      </c>
      <c r="E425" t="s">
        <v>103</v>
      </c>
      <c r="F425">
        <v>0.86099999999999999</v>
      </c>
      <c r="G425" t="s">
        <v>14</v>
      </c>
    </row>
    <row r="426" spans="1:7" x14ac:dyDescent="0.25">
      <c r="A426">
        <v>31</v>
      </c>
      <c r="B426" t="s">
        <v>146</v>
      </c>
      <c r="C426">
        <v>50</v>
      </c>
      <c r="D426" t="s">
        <v>18</v>
      </c>
      <c r="E426" t="s">
        <v>15</v>
      </c>
      <c r="F426">
        <v>103.63200000000001</v>
      </c>
      <c r="G426" t="s">
        <v>14</v>
      </c>
    </row>
    <row r="427" spans="1:7" x14ac:dyDescent="0.25">
      <c r="A427">
        <v>31</v>
      </c>
      <c r="B427" t="s">
        <v>146</v>
      </c>
      <c r="C427">
        <v>60</v>
      </c>
      <c r="D427" t="s">
        <v>92</v>
      </c>
      <c r="E427" t="s">
        <v>15</v>
      </c>
      <c r="F427">
        <v>19.66</v>
      </c>
      <c r="G427" t="s">
        <v>14</v>
      </c>
    </row>
    <row r="428" spans="1:7" x14ac:dyDescent="0.25">
      <c r="A428">
        <v>31</v>
      </c>
      <c r="B428" t="s">
        <v>146</v>
      </c>
      <c r="C428">
        <v>70</v>
      </c>
      <c r="D428" t="s">
        <v>93</v>
      </c>
      <c r="E428" t="s">
        <v>15</v>
      </c>
      <c r="F428">
        <v>121.84399999999999</v>
      </c>
      <c r="G428" t="s">
        <v>14</v>
      </c>
    </row>
    <row r="429" spans="1:7" x14ac:dyDescent="0.25">
      <c r="A429">
        <v>31</v>
      </c>
      <c r="B429" t="s">
        <v>146</v>
      </c>
      <c r="C429">
        <v>80</v>
      </c>
      <c r="D429" t="s">
        <v>114</v>
      </c>
      <c r="E429" t="s">
        <v>11</v>
      </c>
      <c r="F429">
        <v>4</v>
      </c>
      <c r="G429" t="s">
        <v>14</v>
      </c>
    </row>
    <row r="430" spans="1:7" x14ac:dyDescent="0.25">
      <c r="A430">
        <v>31</v>
      </c>
      <c r="B430" t="s">
        <v>146</v>
      </c>
      <c r="C430">
        <v>90</v>
      </c>
      <c r="D430" t="s">
        <v>21</v>
      </c>
      <c r="E430" t="s">
        <v>11</v>
      </c>
      <c r="F430">
        <v>1</v>
      </c>
      <c r="G430" t="s">
        <v>14</v>
      </c>
    </row>
    <row r="431" spans="1:7" x14ac:dyDescent="0.25">
      <c r="A431">
        <v>31</v>
      </c>
      <c r="B431" t="s">
        <v>146</v>
      </c>
      <c r="C431">
        <v>100</v>
      </c>
      <c r="D431" t="s">
        <v>22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146</v>
      </c>
      <c r="C432">
        <v>110</v>
      </c>
      <c r="D432" t="s">
        <v>23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146</v>
      </c>
      <c r="C433">
        <v>120</v>
      </c>
      <c r="D433" t="s">
        <v>115</v>
      </c>
      <c r="E433" t="s">
        <v>13</v>
      </c>
      <c r="F433">
        <v>0.70599999999999996</v>
      </c>
      <c r="G433" t="s">
        <v>14</v>
      </c>
    </row>
    <row r="434" spans="1:7" x14ac:dyDescent="0.25">
      <c r="A434">
        <v>31</v>
      </c>
      <c r="B434" t="s">
        <v>146</v>
      </c>
      <c r="C434">
        <v>130</v>
      </c>
      <c r="D434" t="s">
        <v>286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146</v>
      </c>
      <c r="C435">
        <v>140</v>
      </c>
      <c r="D435" t="s">
        <v>247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147</v>
      </c>
      <c r="C436">
        <v>10</v>
      </c>
      <c r="D436" t="s">
        <v>248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147</v>
      </c>
      <c r="C437">
        <v>20</v>
      </c>
      <c r="D437" t="s">
        <v>110</v>
      </c>
      <c r="E437" t="s">
        <v>15</v>
      </c>
      <c r="F437">
        <v>2.1589999999999998</v>
      </c>
      <c r="G437" t="s">
        <v>16</v>
      </c>
    </row>
    <row r="438" spans="1:7" x14ac:dyDescent="0.25">
      <c r="A438">
        <v>32</v>
      </c>
      <c r="B438" t="s">
        <v>147</v>
      </c>
      <c r="C438">
        <v>30</v>
      </c>
      <c r="D438" t="s">
        <v>111</v>
      </c>
      <c r="E438" t="s">
        <v>15</v>
      </c>
      <c r="F438">
        <v>2.1589999999999998</v>
      </c>
      <c r="G438" t="s">
        <v>16</v>
      </c>
    </row>
    <row r="439" spans="1:7" x14ac:dyDescent="0.25">
      <c r="A439">
        <v>32</v>
      </c>
      <c r="B439" t="s">
        <v>147</v>
      </c>
      <c r="C439">
        <v>40</v>
      </c>
      <c r="D439" t="s">
        <v>102</v>
      </c>
      <c r="E439" t="s">
        <v>103</v>
      </c>
      <c r="F439">
        <v>0.98699999999999999</v>
      </c>
      <c r="G439" t="s">
        <v>14</v>
      </c>
    </row>
    <row r="440" spans="1:7" x14ac:dyDescent="0.25">
      <c r="A440">
        <v>32</v>
      </c>
      <c r="B440" t="s">
        <v>147</v>
      </c>
      <c r="C440">
        <v>50</v>
      </c>
      <c r="D440" t="s">
        <v>18</v>
      </c>
      <c r="E440" t="s">
        <v>15</v>
      </c>
      <c r="F440">
        <v>108.509</v>
      </c>
      <c r="G440" t="s">
        <v>14</v>
      </c>
    </row>
    <row r="441" spans="1:7" x14ac:dyDescent="0.25">
      <c r="A441">
        <v>32</v>
      </c>
      <c r="B441" t="s">
        <v>147</v>
      </c>
      <c r="C441">
        <v>60</v>
      </c>
      <c r="D441" t="s">
        <v>92</v>
      </c>
      <c r="E441" t="s">
        <v>15</v>
      </c>
      <c r="F441">
        <v>20.574000000000002</v>
      </c>
      <c r="G441" t="s">
        <v>14</v>
      </c>
    </row>
    <row r="442" spans="1:7" x14ac:dyDescent="0.25">
      <c r="A442">
        <v>32</v>
      </c>
      <c r="B442" t="s">
        <v>147</v>
      </c>
      <c r="C442">
        <v>70</v>
      </c>
      <c r="D442" t="s">
        <v>93</v>
      </c>
      <c r="E442" t="s">
        <v>15</v>
      </c>
      <c r="F442">
        <v>127.467</v>
      </c>
      <c r="G442" t="s">
        <v>14</v>
      </c>
    </row>
    <row r="443" spans="1:7" x14ac:dyDescent="0.25">
      <c r="A443">
        <v>32</v>
      </c>
      <c r="B443" t="s">
        <v>147</v>
      </c>
      <c r="C443">
        <v>80</v>
      </c>
      <c r="D443" t="s">
        <v>114</v>
      </c>
      <c r="E443" t="s">
        <v>11</v>
      </c>
      <c r="F443">
        <v>4</v>
      </c>
      <c r="G443" t="s">
        <v>14</v>
      </c>
    </row>
    <row r="444" spans="1:7" x14ac:dyDescent="0.25">
      <c r="A444">
        <v>32</v>
      </c>
      <c r="B444" t="s">
        <v>147</v>
      </c>
      <c r="C444">
        <v>90</v>
      </c>
      <c r="D444" t="s">
        <v>21</v>
      </c>
      <c r="E444" t="s">
        <v>11</v>
      </c>
      <c r="F444">
        <v>1</v>
      </c>
      <c r="G444" t="s">
        <v>14</v>
      </c>
    </row>
    <row r="445" spans="1:7" x14ac:dyDescent="0.25">
      <c r="A445">
        <v>32</v>
      </c>
      <c r="B445" t="s">
        <v>147</v>
      </c>
      <c r="C445">
        <v>100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147</v>
      </c>
      <c r="C446">
        <v>110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147</v>
      </c>
      <c r="C447">
        <v>120</v>
      </c>
      <c r="D447" t="s">
        <v>115</v>
      </c>
      <c r="E447" t="s">
        <v>13</v>
      </c>
      <c r="F447">
        <v>0.70599999999999996</v>
      </c>
      <c r="G447" t="s">
        <v>14</v>
      </c>
    </row>
    <row r="448" spans="1:7" x14ac:dyDescent="0.25">
      <c r="A448">
        <v>32</v>
      </c>
      <c r="B448" t="s">
        <v>147</v>
      </c>
      <c r="C448">
        <v>130</v>
      </c>
      <c r="D448" t="s">
        <v>287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147</v>
      </c>
      <c r="C449">
        <v>140</v>
      </c>
      <c r="D449" t="s">
        <v>249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148</v>
      </c>
      <c r="C450">
        <v>10</v>
      </c>
      <c r="D450" t="s">
        <v>250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148</v>
      </c>
      <c r="C451">
        <v>20</v>
      </c>
      <c r="D451" t="s">
        <v>110</v>
      </c>
      <c r="E451" t="s">
        <v>15</v>
      </c>
      <c r="F451">
        <v>2.1589999999999998</v>
      </c>
      <c r="G451" t="s">
        <v>16</v>
      </c>
    </row>
    <row r="452" spans="1:7" x14ac:dyDescent="0.25">
      <c r="A452">
        <v>33</v>
      </c>
      <c r="B452" t="s">
        <v>148</v>
      </c>
      <c r="C452">
        <v>30</v>
      </c>
      <c r="D452" t="s">
        <v>111</v>
      </c>
      <c r="E452" t="s">
        <v>15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148</v>
      </c>
      <c r="C453">
        <v>40</v>
      </c>
      <c r="D453" t="s">
        <v>102</v>
      </c>
      <c r="E453" t="s">
        <v>103</v>
      </c>
      <c r="F453">
        <v>1.24</v>
      </c>
      <c r="G453" t="s">
        <v>14</v>
      </c>
    </row>
    <row r="454" spans="1:7" x14ac:dyDescent="0.25">
      <c r="A454">
        <v>33</v>
      </c>
      <c r="B454" t="s">
        <v>148</v>
      </c>
      <c r="C454">
        <v>50</v>
      </c>
      <c r="D454" t="s">
        <v>18</v>
      </c>
      <c r="E454" t="s">
        <v>15</v>
      </c>
      <c r="F454">
        <v>118.262</v>
      </c>
      <c r="G454" t="s">
        <v>14</v>
      </c>
    </row>
    <row r="455" spans="1:7" x14ac:dyDescent="0.25">
      <c r="A455">
        <v>33</v>
      </c>
      <c r="B455" t="s">
        <v>148</v>
      </c>
      <c r="C455">
        <v>60</v>
      </c>
      <c r="D455" t="s">
        <v>92</v>
      </c>
      <c r="E455" t="s">
        <v>15</v>
      </c>
      <c r="F455">
        <v>22.402999999999999</v>
      </c>
      <c r="G455" t="s">
        <v>14</v>
      </c>
    </row>
    <row r="456" spans="1:7" x14ac:dyDescent="0.25">
      <c r="A456">
        <v>33</v>
      </c>
      <c r="B456" t="s">
        <v>148</v>
      </c>
      <c r="C456">
        <v>70</v>
      </c>
      <c r="D456" t="s">
        <v>93</v>
      </c>
      <c r="E456" t="s">
        <v>15</v>
      </c>
      <c r="F456">
        <v>138.714</v>
      </c>
      <c r="G456" t="s">
        <v>14</v>
      </c>
    </row>
    <row r="457" spans="1:7" x14ac:dyDescent="0.25">
      <c r="A457">
        <v>33</v>
      </c>
      <c r="B457" t="s">
        <v>148</v>
      </c>
      <c r="C457">
        <v>80</v>
      </c>
      <c r="D457" t="s">
        <v>114</v>
      </c>
      <c r="E457" t="s">
        <v>11</v>
      </c>
      <c r="F457">
        <v>4</v>
      </c>
      <c r="G457" t="s">
        <v>14</v>
      </c>
    </row>
    <row r="458" spans="1:7" x14ac:dyDescent="0.25">
      <c r="A458">
        <v>33</v>
      </c>
      <c r="B458" t="s">
        <v>148</v>
      </c>
      <c r="C458">
        <v>90</v>
      </c>
      <c r="D458" t="s">
        <v>21</v>
      </c>
      <c r="E458" t="s">
        <v>11</v>
      </c>
      <c r="F458">
        <v>1</v>
      </c>
      <c r="G458" t="s">
        <v>14</v>
      </c>
    </row>
    <row r="459" spans="1:7" x14ac:dyDescent="0.25">
      <c r="A459">
        <v>33</v>
      </c>
      <c r="B459" t="s">
        <v>148</v>
      </c>
      <c r="C459">
        <v>100</v>
      </c>
      <c r="D459" t="s">
        <v>22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148</v>
      </c>
      <c r="C460">
        <v>110</v>
      </c>
      <c r="D460" t="s">
        <v>23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148</v>
      </c>
      <c r="C461">
        <v>120</v>
      </c>
      <c r="D461" t="s">
        <v>115</v>
      </c>
      <c r="E461" t="s">
        <v>13</v>
      </c>
      <c r="F461">
        <v>0.70599999999999996</v>
      </c>
      <c r="G461" t="s">
        <v>14</v>
      </c>
    </row>
    <row r="462" spans="1:7" x14ac:dyDescent="0.25">
      <c r="A462">
        <v>33</v>
      </c>
      <c r="B462" t="s">
        <v>148</v>
      </c>
      <c r="C462">
        <v>130</v>
      </c>
      <c r="D462" t="s">
        <v>288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148</v>
      </c>
      <c r="C463">
        <v>140</v>
      </c>
      <c r="D463" t="s">
        <v>251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149</v>
      </c>
      <c r="C464">
        <v>10</v>
      </c>
      <c r="D464" t="s">
        <v>252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149</v>
      </c>
      <c r="C465">
        <v>20</v>
      </c>
      <c r="D465" t="s">
        <v>110</v>
      </c>
      <c r="E465" t="s">
        <v>15</v>
      </c>
      <c r="F465">
        <v>2.1589999999999998</v>
      </c>
      <c r="G465" t="s">
        <v>16</v>
      </c>
    </row>
    <row r="466" spans="1:7" x14ac:dyDescent="0.25">
      <c r="A466">
        <v>34</v>
      </c>
      <c r="B466" t="s">
        <v>149</v>
      </c>
      <c r="C466">
        <v>30</v>
      </c>
      <c r="D466" t="s">
        <v>111</v>
      </c>
      <c r="E466" t="s">
        <v>15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149</v>
      </c>
      <c r="C467">
        <v>40</v>
      </c>
      <c r="D467" t="s">
        <v>102</v>
      </c>
      <c r="E467" t="s">
        <v>103</v>
      </c>
      <c r="F467">
        <v>1.3660000000000001</v>
      </c>
      <c r="G467" t="s">
        <v>14</v>
      </c>
    </row>
    <row r="468" spans="1:7" x14ac:dyDescent="0.25">
      <c r="A468">
        <v>34</v>
      </c>
      <c r="B468" t="s">
        <v>149</v>
      </c>
      <c r="C468">
        <v>50</v>
      </c>
      <c r="D468" t="s">
        <v>18</v>
      </c>
      <c r="E468" t="s">
        <v>15</v>
      </c>
      <c r="F468">
        <v>123.139</v>
      </c>
      <c r="G468" t="s">
        <v>14</v>
      </c>
    </row>
    <row r="469" spans="1:7" x14ac:dyDescent="0.25">
      <c r="A469">
        <v>34</v>
      </c>
      <c r="B469" t="s">
        <v>149</v>
      </c>
      <c r="C469">
        <v>60</v>
      </c>
      <c r="D469" t="s">
        <v>92</v>
      </c>
      <c r="E469" t="s">
        <v>15</v>
      </c>
      <c r="F469">
        <v>23.317</v>
      </c>
      <c r="G469" t="s">
        <v>14</v>
      </c>
    </row>
    <row r="470" spans="1:7" x14ac:dyDescent="0.25">
      <c r="A470">
        <v>34</v>
      </c>
      <c r="B470" t="s">
        <v>149</v>
      </c>
      <c r="C470">
        <v>70</v>
      </c>
      <c r="D470" t="s">
        <v>93</v>
      </c>
      <c r="E470" t="s">
        <v>15</v>
      </c>
      <c r="F470">
        <v>144.33799999999999</v>
      </c>
      <c r="G470" t="s">
        <v>14</v>
      </c>
    </row>
    <row r="471" spans="1:7" x14ac:dyDescent="0.25">
      <c r="A471">
        <v>34</v>
      </c>
      <c r="B471" t="s">
        <v>149</v>
      </c>
      <c r="C471">
        <v>80</v>
      </c>
      <c r="D471" t="s">
        <v>114</v>
      </c>
      <c r="E471" t="s">
        <v>11</v>
      </c>
      <c r="F471">
        <v>4</v>
      </c>
      <c r="G471" t="s">
        <v>14</v>
      </c>
    </row>
    <row r="472" spans="1:7" x14ac:dyDescent="0.25">
      <c r="A472">
        <v>34</v>
      </c>
      <c r="B472" t="s">
        <v>149</v>
      </c>
      <c r="C472">
        <v>90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34</v>
      </c>
      <c r="B473" t="s">
        <v>149</v>
      </c>
      <c r="C473">
        <v>100</v>
      </c>
      <c r="D473" t="s">
        <v>22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149</v>
      </c>
      <c r="C474">
        <v>110</v>
      </c>
      <c r="D474" t="s">
        <v>23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149</v>
      </c>
      <c r="C475">
        <v>120</v>
      </c>
      <c r="D475" t="s">
        <v>115</v>
      </c>
      <c r="E475" t="s">
        <v>13</v>
      </c>
      <c r="F475">
        <v>0.70599999999999996</v>
      </c>
      <c r="G475" t="s">
        <v>14</v>
      </c>
    </row>
    <row r="476" spans="1:7" x14ac:dyDescent="0.25">
      <c r="A476">
        <v>34</v>
      </c>
      <c r="B476" t="s">
        <v>149</v>
      </c>
      <c r="C476">
        <v>130</v>
      </c>
      <c r="D476" t="s">
        <v>289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149</v>
      </c>
      <c r="C477">
        <v>140</v>
      </c>
      <c r="D477" t="s">
        <v>253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150</v>
      </c>
      <c r="C478">
        <v>10</v>
      </c>
      <c r="D478" t="s">
        <v>254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150</v>
      </c>
      <c r="C479">
        <v>20</v>
      </c>
      <c r="D479" t="s">
        <v>110</v>
      </c>
      <c r="E479" t="s">
        <v>15</v>
      </c>
      <c r="F479">
        <v>2.1589999999999998</v>
      </c>
      <c r="G479" t="s">
        <v>16</v>
      </c>
    </row>
    <row r="480" spans="1:7" x14ac:dyDescent="0.25">
      <c r="A480">
        <v>35</v>
      </c>
      <c r="B480" t="s">
        <v>150</v>
      </c>
      <c r="C480">
        <v>30</v>
      </c>
      <c r="D480" t="s">
        <v>111</v>
      </c>
      <c r="E480" t="s">
        <v>15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150</v>
      </c>
      <c r="C481">
        <v>40</v>
      </c>
      <c r="D481" t="s">
        <v>102</v>
      </c>
      <c r="E481" t="s">
        <v>103</v>
      </c>
      <c r="F481">
        <v>1.492</v>
      </c>
      <c r="G481" t="s">
        <v>14</v>
      </c>
    </row>
    <row r="482" spans="1:7" x14ac:dyDescent="0.25">
      <c r="A482">
        <v>35</v>
      </c>
      <c r="B482" t="s">
        <v>150</v>
      </c>
      <c r="C482">
        <v>50</v>
      </c>
      <c r="D482" t="s">
        <v>18</v>
      </c>
      <c r="E482" t="s">
        <v>15</v>
      </c>
      <c r="F482">
        <v>128.01599999999999</v>
      </c>
      <c r="G482" t="s">
        <v>14</v>
      </c>
    </row>
    <row r="483" spans="1:7" x14ac:dyDescent="0.25">
      <c r="A483">
        <v>35</v>
      </c>
      <c r="B483" t="s">
        <v>150</v>
      </c>
      <c r="C483">
        <v>60</v>
      </c>
      <c r="D483" t="s">
        <v>92</v>
      </c>
      <c r="E483" t="s">
        <v>15</v>
      </c>
      <c r="F483">
        <v>24.231999999999999</v>
      </c>
      <c r="G483" t="s">
        <v>14</v>
      </c>
    </row>
    <row r="484" spans="1:7" x14ac:dyDescent="0.25">
      <c r="A484">
        <v>35</v>
      </c>
      <c r="B484" t="s">
        <v>150</v>
      </c>
      <c r="C484">
        <v>70</v>
      </c>
      <c r="D484" t="s">
        <v>93</v>
      </c>
      <c r="E484" t="s">
        <v>15</v>
      </c>
      <c r="F484">
        <v>149.96199999999999</v>
      </c>
      <c r="G484" t="s">
        <v>14</v>
      </c>
    </row>
    <row r="485" spans="1:7" x14ac:dyDescent="0.25">
      <c r="A485">
        <v>35</v>
      </c>
      <c r="B485" t="s">
        <v>150</v>
      </c>
      <c r="C485">
        <v>80</v>
      </c>
      <c r="D485" t="s">
        <v>114</v>
      </c>
      <c r="E485" t="s">
        <v>11</v>
      </c>
      <c r="F485">
        <v>4</v>
      </c>
      <c r="G485" t="s">
        <v>14</v>
      </c>
    </row>
    <row r="486" spans="1:7" x14ac:dyDescent="0.25">
      <c r="A486">
        <v>35</v>
      </c>
      <c r="B486" t="s">
        <v>150</v>
      </c>
      <c r="C486">
        <v>90</v>
      </c>
      <c r="D486" t="s">
        <v>21</v>
      </c>
      <c r="E486" t="s">
        <v>11</v>
      </c>
      <c r="F486">
        <v>1</v>
      </c>
      <c r="G486" t="s">
        <v>14</v>
      </c>
    </row>
    <row r="487" spans="1:7" x14ac:dyDescent="0.25">
      <c r="A487">
        <v>35</v>
      </c>
      <c r="B487" t="s">
        <v>150</v>
      </c>
      <c r="C487">
        <v>100</v>
      </c>
      <c r="D487" t="s">
        <v>22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150</v>
      </c>
      <c r="C488">
        <v>110</v>
      </c>
      <c r="D488" t="s">
        <v>23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150</v>
      </c>
      <c r="C489">
        <v>120</v>
      </c>
      <c r="D489" t="s">
        <v>115</v>
      </c>
      <c r="E489" t="s">
        <v>13</v>
      </c>
      <c r="F489">
        <v>0.70599999999999996</v>
      </c>
      <c r="G489" t="s">
        <v>14</v>
      </c>
    </row>
    <row r="490" spans="1:7" x14ac:dyDescent="0.25">
      <c r="A490">
        <v>35</v>
      </c>
      <c r="B490" t="s">
        <v>150</v>
      </c>
      <c r="C490">
        <v>130</v>
      </c>
      <c r="D490" t="s">
        <v>290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150</v>
      </c>
      <c r="C491">
        <v>140</v>
      </c>
      <c r="D491" t="s">
        <v>255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151</v>
      </c>
      <c r="C492">
        <v>10</v>
      </c>
      <c r="D492" t="s">
        <v>186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151</v>
      </c>
      <c r="C493">
        <v>20</v>
      </c>
      <c r="D493" t="s">
        <v>112</v>
      </c>
      <c r="E493" t="s">
        <v>15</v>
      </c>
      <c r="F493">
        <v>0.78700000000000003</v>
      </c>
      <c r="G493" t="s">
        <v>16</v>
      </c>
    </row>
    <row r="494" spans="1:7" x14ac:dyDescent="0.25">
      <c r="A494">
        <v>36</v>
      </c>
      <c r="B494" t="s">
        <v>151</v>
      </c>
      <c r="C494">
        <v>30</v>
      </c>
      <c r="D494" t="s">
        <v>113</v>
      </c>
      <c r="E494" t="s">
        <v>15</v>
      </c>
      <c r="F494">
        <v>0.78700000000000003</v>
      </c>
      <c r="G494" t="s">
        <v>16</v>
      </c>
    </row>
    <row r="495" spans="1:7" x14ac:dyDescent="0.25">
      <c r="A495">
        <v>36</v>
      </c>
      <c r="B495" t="s">
        <v>151</v>
      </c>
      <c r="C495">
        <v>40</v>
      </c>
      <c r="D495" t="s">
        <v>102</v>
      </c>
      <c r="E495" t="s">
        <v>103</v>
      </c>
      <c r="F495">
        <v>0.52100000000000002</v>
      </c>
      <c r="G495" t="s">
        <v>14</v>
      </c>
    </row>
    <row r="496" spans="1:7" x14ac:dyDescent="0.25">
      <c r="A496">
        <v>36</v>
      </c>
      <c r="B496" t="s">
        <v>151</v>
      </c>
      <c r="C496">
        <v>50</v>
      </c>
      <c r="D496" t="s">
        <v>18</v>
      </c>
      <c r="E496" t="s">
        <v>15</v>
      </c>
      <c r="F496">
        <v>84.125</v>
      </c>
      <c r="G496" t="s">
        <v>14</v>
      </c>
    </row>
    <row r="497" spans="1:7" x14ac:dyDescent="0.25">
      <c r="A497">
        <v>36</v>
      </c>
      <c r="B497" t="s">
        <v>151</v>
      </c>
      <c r="C497">
        <v>60</v>
      </c>
      <c r="D497" t="s">
        <v>91</v>
      </c>
      <c r="E497" t="s">
        <v>15</v>
      </c>
      <c r="F497">
        <v>16.001999999999999</v>
      </c>
      <c r="G497" t="s">
        <v>14</v>
      </c>
    </row>
    <row r="498" spans="1:7" x14ac:dyDescent="0.25">
      <c r="A498">
        <v>36</v>
      </c>
      <c r="B498" t="s">
        <v>151</v>
      </c>
      <c r="C498">
        <v>70</v>
      </c>
      <c r="D498" t="s">
        <v>90</v>
      </c>
      <c r="E498" t="s">
        <v>15</v>
      </c>
      <c r="F498">
        <v>99.35</v>
      </c>
      <c r="G498" t="s">
        <v>14</v>
      </c>
    </row>
    <row r="499" spans="1:7" x14ac:dyDescent="0.25">
      <c r="A499">
        <v>36</v>
      </c>
      <c r="B499" t="s">
        <v>151</v>
      </c>
      <c r="C499">
        <v>80</v>
      </c>
      <c r="D499" t="s">
        <v>114</v>
      </c>
      <c r="E499" t="s">
        <v>11</v>
      </c>
      <c r="F499">
        <v>4</v>
      </c>
      <c r="G499" t="s">
        <v>14</v>
      </c>
    </row>
    <row r="500" spans="1:7" x14ac:dyDescent="0.25">
      <c r="A500">
        <v>36</v>
      </c>
      <c r="B500" t="s">
        <v>151</v>
      </c>
      <c r="C500">
        <v>90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36</v>
      </c>
      <c r="B501" t="s">
        <v>151</v>
      </c>
      <c r="C501">
        <v>100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151</v>
      </c>
      <c r="C502">
        <v>110</v>
      </c>
      <c r="D502" t="s">
        <v>23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151</v>
      </c>
      <c r="C503">
        <v>120</v>
      </c>
      <c r="D503" t="s">
        <v>115</v>
      </c>
      <c r="E503" t="s">
        <v>13</v>
      </c>
      <c r="F503">
        <v>0.3</v>
      </c>
      <c r="G503" t="s">
        <v>14</v>
      </c>
    </row>
    <row r="504" spans="1:7" x14ac:dyDescent="0.25">
      <c r="A504">
        <v>36</v>
      </c>
      <c r="B504" t="s">
        <v>151</v>
      </c>
      <c r="C504">
        <v>130</v>
      </c>
      <c r="D504" t="s">
        <v>256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151</v>
      </c>
      <c r="C505">
        <v>140</v>
      </c>
      <c r="D505" t="s">
        <v>187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152</v>
      </c>
      <c r="C506">
        <v>10</v>
      </c>
      <c r="D506" t="s">
        <v>188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152</v>
      </c>
      <c r="C507">
        <v>20</v>
      </c>
      <c r="D507" t="s">
        <v>112</v>
      </c>
      <c r="E507" t="s">
        <v>15</v>
      </c>
      <c r="F507">
        <v>0.94</v>
      </c>
      <c r="G507" t="s">
        <v>16</v>
      </c>
    </row>
    <row r="508" spans="1:7" x14ac:dyDescent="0.25">
      <c r="A508">
        <v>37</v>
      </c>
      <c r="B508" t="s">
        <v>152</v>
      </c>
      <c r="C508">
        <v>30</v>
      </c>
      <c r="D508" t="s">
        <v>113</v>
      </c>
      <c r="E508" t="s">
        <v>15</v>
      </c>
      <c r="F508">
        <v>0.94</v>
      </c>
      <c r="G508" t="s">
        <v>16</v>
      </c>
    </row>
    <row r="509" spans="1:7" x14ac:dyDescent="0.25">
      <c r="A509">
        <v>37</v>
      </c>
      <c r="B509" t="s">
        <v>152</v>
      </c>
      <c r="C509">
        <v>40</v>
      </c>
      <c r="D509" t="s">
        <v>102</v>
      </c>
      <c r="E509" t="s">
        <v>103</v>
      </c>
      <c r="F509">
        <v>0.629</v>
      </c>
      <c r="G509" t="s">
        <v>14</v>
      </c>
    </row>
    <row r="510" spans="1:7" x14ac:dyDescent="0.25">
      <c r="A510">
        <v>37</v>
      </c>
      <c r="B510" t="s">
        <v>152</v>
      </c>
      <c r="C510">
        <v>50</v>
      </c>
      <c r="D510" t="s">
        <v>18</v>
      </c>
      <c r="E510" t="s">
        <v>15</v>
      </c>
      <c r="F510">
        <v>89.001999999999995</v>
      </c>
      <c r="G510" t="s">
        <v>14</v>
      </c>
    </row>
    <row r="511" spans="1:7" x14ac:dyDescent="0.25">
      <c r="A511">
        <v>37</v>
      </c>
      <c r="B511" t="s">
        <v>152</v>
      </c>
      <c r="C511">
        <v>60</v>
      </c>
      <c r="D511" t="s">
        <v>91</v>
      </c>
      <c r="E511" t="s">
        <v>15</v>
      </c>
      <c r="F511">
        <v>16.916</v>
      </c>
      <c r="G511" t="s">
        <v>14</v>
      </c>
    </row>
    <row r="512" spans="1:7" x14ac:dyDescent="0.25">
      <c r="A512">
        <v>37</v>
      </c>
      <c r="B512" t="s">
        <v>152</v>
      </c>
      <c r="C512">
        <v>70</v>
      </c>
      <c r="D512" t="s">
        <v>90</v>
      </c>
      <c r="E512" t="s">
        <v>15</v>
      </c>
      <c r="F512">
        <v>104.973</v>
      </c>
      <c r="G512" t="s">
        <v>14</v>
      </c>
    </row>
    <row r="513" spans="1:7" x14ac:dyDescent="0.25">
      <c r="A513">
        <v>37</v>
      </c>
      <c r="B513" t="s">
        <v>152</v>
      </c>
      <c r="C513">
        <v>80</v>
      </c>
      <c r="D513" t="s">
        <v>114</v>
      </c>
      <c r="E513" t="s">
        <v>11</v>
      </c>
      <c r="F513">
        <v>4</v>
      </c>
      <c r="G513" t="s">
        <v>14</v>
      </c>
    </row>
    <row r="514" spans="1:7" x14ac:dyDescent="0.25">
      <c r="A514">
        <v>37</v>
      </c>
      <c r="B514" t="s">
        <v>152</v>
      </c>
      <c r="C514">
        <v>90</v>
      </c>
      <c r="D514" t="s">
        <v>21</v>
      </c>
      <c r="E514" t="s">
        <v>11</v>
      </c>
      <c r="F514">
        <v>1</v>
      </c>
      <c r="G514" t="s">
        <v>14</v>
      </c>
    </row>
    <row r="515" spans="1:7" x14ac:dyDescent="0.25">
      <c r="A515">
        <v>37</v>
      </c>
      <c r="B515" t="s">
        <v>152</v>
      </c>
      <c r="C515">
        <v>100</v>
      </c>
      <c r="D515" t="s">
        <v>22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152</v>
      </c>
      <c r="C516">
        <v>110</v>
      </c>
      <c r="D516" t="s">
        <v>23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152</v>
      </c>
      <c r="C517">
        <v>120</v>
      </c>
      <c r="D517" t="s">
        <v>115</v>
      </c>
      <c r="E517" t="s">
        <v>13</v>
      </c>
      <c r="F517">
        <v>0.34499999999999997</v>
      </c>
      <c r="G517" t="s">
        <v>14</v>
      </c>
    </row>
    <row r="518" spans="1:7" x14ac:dyDescent="0.25">
      <c r="A518">
        <v>37</v>
      </c>
      <c r="B518" t="s">
        <v>152</v>
      </c>
      <c r="C518">
        <v>130</v>
      </c>
      <c r="D518" t="s">
        <v>257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152</v>
      </c>
      <c r="C519">
        <v>140</v>
      </c>
      <c r="D519" t="s">
        <v>189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153</v>
      </c>
      <c r="C520">
        <v>10</v>
      </c>
      <c r="D520" t="s">
        <v>190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153</v>
      </c>
      <c r="C521">
        <v>20</v>
      </c>
      <c r="D521" t="s">
        <v>112</v>
      </c>
      <c r="E521" t="s">
        <v>15</v>
      </c>
      <c r="F521">
        <v>1.0920000000000001</v>
      </c>
      <c r="G521" t="s">
        <v>16</v>
      </c>
    </row>
    <row r="522" spans="1:7" x14ac:dyDescent="0.25">
      <c r="A522">
        <v>38</v>
      </c>
      <c r="B522" t="s">
        <v>153</v>
      </c>
      <c r="C522">
        <v>30</v>
      </c>
      <c r="D522" t="s">
        <v>113</v>
      </c>
      <c r="E522" t="s">
        <v>15</v>
      </c>
      <c r="F522">
        <v>1.0920000000000001</v>
      </c>
      <c r="G522" t="s">
        <v>16</v>
      </c>
    </row>
    <row r="523" spans="1:7" x14ac:dyDescent="0.25">
      <c r="A523">
        <v>38</v>
      </c>
      <c r="B523" t="s">
        <v>153</v>
      </c>
      <c r="C523">
        <v>40</v>
      </c>
      <c r="D523" t="s">
        <v>102</v>
      </c>
      <c r="E523" t="s">
        <v>103</v>
      </c>
      <c r="F523">
        <v>0.73699999999999999</v>
      </c>
      <c r="G523" t="s">
        <v>14</v>
      </c>
    </row>
    <row r="524" spans="1:7" x14ac:dyDescent="0.25">
      <c r="A524">
        <v>38</v>
      </c>
      <c r="B524" t="s">
        <v>153</v>
      </c>
      <c r="C524">
        <v>50</v>
      </c>
      <c r="D524" t="s">
        <v>18</v>
      </c>
      <c r="E524" t="s">
        <v>15</v>
      </c>
      <c r="F524">
        <v>93.878</v>
      </c>
      <c r="G524" t="s">
        <v>14</v>
      </c>
    </row>
    <row r="525" spans="1:7" x14ac:dyDescent="0.25">
      <c r="A525">
        <v>38</v>
      </c>
      <c r="B525" t="s">
        <v>153</v>
      </c>
      <c r="C525">
        <v>60</v>
      </c>
      <c r="D525" t="s">
        <v>91</v>
      </c>
      <c r="E525" t="s">
        <v>15</v>
      </c>
      <c r="F525">
        <v>17.831</v>
      </c>
      <c r="G525" t="s">
        <v>14</v>
      </c>
    </row>
    <row r="526" spans="1:7" x14ac:dyDescent="0.25">
      <c r="A526">
        <v>38</v>
      </c>
      <c r="B526" t="s">
        <v>153</v>
      </c>
      <c r="C526">
        <v>70</v>
      </c>
      <c r="D526" t="s">
        <v>90</v>
      </c>
      <c r="E526" t="s">
        <v>15</v>
      </c>
      <c r="F526">
        <v>110.59699999999999</v>
      </c>
      <c r="G526" t="s">
        <v>14</v>
      </c>
    </row>
    <row r="527" spans="1:7" x14ac:dyDescent="0.25">
      <c r="A527">
        <v>38</v>
      </c>
      <c r="B527" t="s">
        <v>153</v>
      </c>
      <c r="C527">
        <v>80</v>
      </c>
      <c r="D527" t="s">
        <v>114</v>
      </c>
      <c r="E527" t="s">
        <v>11</v>
      </c>
      <c r="F527">
        <v>4</v>
      </c>
      <c r="G527" t="s">
        <v>14</v>
      </c>
    </row>
    <row r="528" spans="1:7" x14ac:dyDescent="0.25">
      <c r="A528">
        <v>38</v>
      </c>
      <c r="B528" t="s">
        <v>153</v>
      </c>
      <c r="C528">
        <v>90</v>
      </c>
      <c r="D528" t="s">
        <v>21</v>
      </c>
      <c r="E528" t="s">
        <v>11</v>
      </c>
      <c r="F528">
        <v>1</v>
      </c>
      <c r="G528" t="s">
        <v>14</v>
      </c>
    </row>
    <row r="529" spans="1:7" x14ac:dyDescent="0.25">
      <c r="A529">
        <v>38</v>
      </c>
      <c r="B529" t="s">
        <v>153</v>
      </c>
      <c r="C529">
        <v>100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153</v>
      </c>
      <c r="C530">
        <v>110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153</v>
      </c>
      <c r="C531">
        <v>120</v>
      </c>
      <c r="D531" t="s">
        <v>115</v>
      </c>
      <c r="E531" t="s">
        <v>13</v>
      </c>
      <c r="F531">
        <v>0.39</v>
      </c>
      <c r="G531" t="s">
        <v>14</v>
      </c>
    </row>
    <row r="532" spans="1:7" x14ac:dyDescent="0.25">
      <c r="A532">
        <v>38</v>
      </c>
      <c r="B532" t="s">
        <v>153</v>
      </c>
      <c r="C532">
        <v>130</v>
      </c>
      <c r="D532" t="s">
        <v>258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153</v>
      </c>
      <c r="C533">
        <v>140</v>
      </c>
      <c r="D533" t="s">
        <v>191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154</v>
      </c>
      <c r="C534">
        <v>10</v>
      </c>
      <c r="D534" t="s">
        <v>192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154</v>
      </c>
      <c r="C535">
        <v>20</v>
      </c>
      <c r="D535" t="s">
        <v>112</v>
      </c>
      <c r="E535" t="s">
        <v>15</v>
      </c>
      <c r="F535">
        <v>1.2450000000000001</v>
      </c>
      <c r="G535" t="s">
        <v>16</v>
      </c>
    </row>
    <row r="536" spans="1:7" x14ac:dyDescent="0.25">
      <c r="A536">
        <v>39</v>
      </c>
      <c r="B536" t="s">
        <v>154</v>
      </c>
      <c r="C536">
        <v>30</v>
      </c>
      <c r="D536" t="s">
        <v>113</v>
      </c>
      <c r="E536" t="s">
        <v>15</v>
      </c>
      <c r="F536">
        <v>1.2450000000000001</v>
      </c>
      <c r="G536" t="s">
        <v>16</v>
      </c>
    </row>
    <row r="537" spans="1:7" x14ac:dyDescent="0.25">
      <c r="A537">
        <v>39</v>
      </c>
      <c r="B537" t="s">
        <v>154</v>
      </c>
      <c r="C537">
        <v>40</v>
      </c>
      <c r="D537" t="s">
        <v>102</v>
      </c>
      <c r="E537" t="s">
        <v>103</v>
      </c>
      <c r="F537">
        <v>0.84499999999999997</v>
      </c>
      <c r="G537" t="s">
        <v>14</v>
      </c>
    </row>
    <row r="538" spans="1:7" x14ac:dyDescent="0.25">
      <c r="A538">
        <v>39</v>
      </c>
      <c r="B538" t="s">
        <v>154</v>
      </c>
      <c r="C538">
        <v>50</v>
      </c>
      <c r="D538" t="s">
        <v>18</v>
      </c>
      <c r="E538" t="s">
        <v>15</v>
      </c>
      <c r="F538">
        <v>98.754999999999995</v>
      </c>
      <c r="G538" t="s">
        <v>14</v>
      </c>
    </row>
    <row r="539" spans="1:7" x14ac:dyDescent="0.25">
      <c r="A539">
        <v>39</v>
      </c>
      <c r="B539" t="s">
        <v>154</v>
      </c>
      <c r="C539">
        <v>60</v>
      </c>
      <c r="D539" t="s">
        <v>91</v>
      </c>
      <c r="E539" t="s">
        <v>15</v>
      </c>
      <c r="F539">
        <v>18.745000000000001</v>
      </c>
      <c r="G539" t="s">
        <v>14</v>
      </c>
    </row>
    <row r="540" spans="1:7" x14ac:dyDescent="0.25">
      <c r="A540">
        <v>39</v>
      </c>
      <c r="B540" t="s">
        <v>154</v>
      </c>
      <c r="C540">
        <v>70</v>
      </c>
      <c r="D540" t="s">
        <v>90</v>
      </c>
      <c r="E540" t="s">
        <v>15</v>
      </c>
      <c r="F540">
        <v>116.22</v>
      </c>
      <c r="G540" t="s">
        <v>14</v>
      </c>
    </row>
    <row r="541" spans="1:7" x14ac:dyDescent="0.25">
      <c r="A541">
        <v>39</v>
      </c>
      <c r="B541" t="s">
        <v>154</v>
      </c>
      <c r="C541">
        <v>80</v>
      </c>
      <c r="D541" t="s">
        <v>114</v>
      </c>
      <c r="E541" t="s">
        <v>11</v>
      </c>
      <c r="F541">
        <v>4</v>
      </c>
      <c r="G541" t="s">
        <v>14</v>
      </c>
    </row>
    <row r="542" spans="1:7" x14ac:dyDescent="0.25">
      <c r="A542">
        <v>39</v>
      </c>
      <c r="B542" t="s">
        <v>154</v>
      </c>
      <c r="C542">
        <v>90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39</v>
      </c>
      <c r="B543" t="s">
        <v>154</v>
      </c>
      <c r="C543">
        <v>100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154</v>
      </c>
      <c r="C544">
        <v>110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154</v>
      </c>
      <c r="C545">
        <v>120</v>
      </c>
      <c r="D545" t="s">
        <v>115</v>
      </c>
      <c r="E545" t="s">
        <v>13</v>
      </c>
      <c r="F545">
        <v>0.435</v>
      </c>
      <c r="G545" t="s">
        <v>14</v>
      </c>
    </row>
    <row r="546" spans="1:7" x14ac:dyDescent="0.25">
      <c r="A546">
        <v>39</v>
      </c>
      <c r="B546" t="s">
        <v>154</v>
      </c>
      <c r="C546">
        <v>130</v>
      </c>
      <c r="D546" t="s">
        <v>259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154</v>
      </c>
      <c r="C547">
        <v>140</v>
      </c>
      <c r="D547" t="s">
        <v>193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155</v>
      </c>
      <c r="C548">
        <v>10</v>
      </c>
      <c r="D548" t="s">
        <v>194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155</v>
      </c>
      <c r="C549">
        <v>20</v>
      </c>
      <c r="D549" t="s">
        <v>112</v>
      </c>
      <c r="E549" t="s">
        <v>15</v>
      </c>
      <c r="F549">
        <v>1.5489999999999999</v>
      </c>
      <c r="G549" t="s">
        <v>16</v>
      </c>
    </row>
    <row r="550" spans="1:7" x14ac:dyDescent="0.25">
      <c r="A550">
        <v>40</v>
      </c>
      <c r="B550" t="s">
        <v>155</v>
      </c>
      <c r="C550">
        <v>30</v>
      </c>
      <c r="D550" t="s">
        <v>113</v>
      </c>
      <c r="E550" t="s">
        <v>15</v>
      </c>
      <c r="F550">
        <v>1.5489999999999999</v>
      </c>
      <c r="G550" t="s">
        <v>16</v>
      </c>
    </row>
    <row r="551" spans="1:7" x14ac:dyDescent="0.25">
      <c r="A551">
        <v>40</v>
      </c>
      <c r="B551" t="s">
        <v>155</v>
      </c>
      <c r="C551">
        <v>40</v>
      </c>
      <c r="D551" t="s">
        <v>102</v>
      </c>
      <c r="E551" t="s">
        <v>103</v>
      </c>
      <c r="F551">
        <v>1.06</v>
      </c>
      <c r="G551" t="s">
        <v>14</v>
      </c>
    </row>
    <row r="552" spans="1:7" x14ac:dyDescent="0.25">
      <c r="A552">
        <v>40</v>
      </c>
      <c r="B552" t="s">
        <v>155</v>
      </c>
      <c r="C552">
        <v>50</v>
      </c>
      <c r="D552" t="s">
        <v>18</v>
      </c>
      <c r="E552" t="s">
        <v>15</v>
      </c>
      <c r="F552">
        <v>108.509</v>
      </c>
      <c r="G552" t="s">
        <v>14</v>
      </c>
    </row>
    <row r="553" spans="1:7" x14ac:dyDescent="0.25">
      <c r="A553">
        <v>40</v>
      </c>
      <c r="B553" t="s">
        <v>155</v>
      </c>
      <c r="C553">
        <v>60</v>
      </c>
      <c r="D553" t="s">
        <v>91</v>
      </c>
      <c r="E553" t="s">
        <v>15</v>
      </c>
      <c r="F553">
        <v>20.574000000000002</v>
      </c>
      <c r="G553" t="s">
        <v>14</v>
      </c>
    </row>
    <row r="554" spans="1:7" x14ac:dyDescent="0.25">
      <c r="A554">
        <v>40</v>
      </c>
      <c r="B554" t="s">
        <v>155</v>
      </c>
      <c r="C554">
        <v>70</v>
      </c>
      <c r="D554" t="s">
        <v>90</v>
      </c>
      <c r="E554" t="s">
        <v>15</v>
      </c>
      <c r="F554">
        <v>127.467</v>
      </c>
      <c r="G554" t="s">
        <v>14</v>
      </c>
    </row>
    <row r="555" spans="1:7" x14ac:dyDescent="0.25">
      <c r="A555">
        <v>40</v>
      </c>
      <c r="B555" t="s">
        <v>155</v>
      </c>
      <c r="C555">
        <v>80</v>
      </c>
      <c r="D555" t="s">
        <v>114</v>
      </c>
      <c r="E555" t="s">
        <v>11</v>
      </c>
      <c r="F555">
        <v>4</v>
      </c>
      <c r="G555" t="s">
        <v>14</v>
      </c>
    </row>
    <row r="556" spans="1:7" x14ac:dyDescent="0.25">
      <c r="A556">
        <v>40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40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155</v>
      </c>
      <c r="C559">
        <v>120</v>
      </c>
      <c r="D559" t="s">
        <v>115</v>
      </c>
      <c r="E559" t="s">
        <v>13</v>
      </c>
      <c r="F559">
        <v>0.52500000000000002</v>
      </c>
      <c r="G559" t="s">
        <v>14</v>
      </c>
    </row>
    <row r="560" spans="1:7" x14ac:dyDescent="0.25">
      <c r="A560">
        <v>40</v>
      </c>
      <c r="B560" t="s">
        <v>155</v>
      </c>
      <c r="C560">
        <v>130</v>
      </c>
      <c r="D560" t="s">
        <v>260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155</v>
      </c>
      <c r="C561">
        <v>140</v>
      </c>
      <c r="D561" t="s">
        <v>195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156</v>
      </c>
      <c r="C562">
        <v>10</v>
      </c>
      <c r="D562" t="s">
        <v>196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156</v>
      </c>
      <c r="C563">
        <v>20</v>
      </c>
      <c r="D563" t="s">
        <v>112</v>
      </c>
      <c r="E563" t="s">
        <v>15</v>
      </c>
      <c r="F563">
        <v>1.702</v>
      </c>
      <c r="G563" t="s">
        <v>16</v>
      </c>
    </row>
    <row r="564" spans="1:7" x14ac:dyDescent="0.25">
      <c r="A564">
        <v>41</v>
      </c>
      <c r="B564" t="s">
        <v>156</v>
      </c>
      <c r="C564">
        <v>30</v>
      </c>
      <c r="D564" t="s">
        <v>113</v>
      </c>
      <c r="E564" t="s">
        <v>15</v>
      </c>
      <c r="F564">
        <v>1.702</v>
      </c>
      <c r="G564" t="s">
        <v>16</v>
      </c>
    </row>
    <row r="565" spans="1:7" x14ac:dyDescent="0.25">
      <c r="A565">
        <v>41</v>
      </c>
      <c r="B565" t="s">
        <v>156</v>
      </c>
      <c r="C565">
        <v>40</v>
      </c>
      <c r="D565" t="s">
        <v>102</v>
      </c>
      <c r="E565" t="s">
        <v>103</v>
      </c>
      <c r="F565">
        <v>1.1679999999999999</v>
      </c>
      <c r="G565" t="s">
        <v>14</v>
      </c>
    </row>
    <row r="566" spans="1:7" x14ac:dyDescent="0.25">
      <c r="A566">
        <v>41</v>
      </c>
      <c r="B566" t="s">
        <v>156</v>
      </c>
      <c r="C566">
        <v>50</v>
      </c>
      <c r="D566" t="s">
        <v>18</v>
      </c>
      <c r="E566" t="s">
        <v>15</v>
      </c>
      <c r="F566">
        <v>113.386</v>
      </c>
      <c r="G566" t="s">
        <v>14</v>
      </c>
    </row>
    <row r="567" spans="1:7" x14ac:dyDescent="0.25">
      <c r="A567">
        <v>41</v>
      </c>
      <c r="B567" t="s">
        <v>156</v>
      </c>
      <c r="C567">
        <v>60</v>
      </c>
      <c r="D567" t="s">
        <v>91</v>
      </c>
      <c r="E567" t="s">
        <v>15</v>
      </c>
      <c r="F567">
        <v>21.488</v>
      </c>
      <c r="G567" t="s">
        <v>14</v>
      </c>
    </row>
    <row r="568" spans="1:7" x14ac:dyDescent="0.25">
      <c r="A568">
        <v>41</v>
      </c>
      <c r="B568" t="s">
        <v>156</v>
      </c>
      <c r="C568">
        <v>70</v>
      </c>
      <c r="D568" t="s">
        <v>90</v>
      </c>
      <c r="E568" t="s">
        <v>15</v>
      </c>
      <c r="F568">
        <v>133.09100000000001</v>
      </c>
      <c r="G568" t="s">
        <v>14</v>
      </c>
    </row>
    <row r="569" spans="1:7" x14ac:dyDescent="0.25">
      <c r="A569">
        <v>41</v>
      </c>
      <c r="B569" t="s">
        <v>156</v>
      </c>
      <c r="C569">
        <v>80</v>
      </c>
      <c r="D569" t="s">
        <v>114</v>
      </c>
      <c r="E569" t="s">
        <v>11</v>
      </c>
      <c r="F569">
        <v>4</v>
      </c>
      <c r="G569" t="s">
        <v>14</v>
      </c>
    </row>
    <row r="570" spans="1:7" x14ac:dyDescent="0.25">
      <c r="A570">
        <v>41</v>
      </c>
      <c r="B570" t="s">
        <v>156</v>
      </c>
      <c r="C570">
        <v>90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41</v>
      </c>
      <c r="B571" t="s">
        <v>156</v>
      </c>
      <c r="C571">
        <v>100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156</v>
      </c>
      <c r="C572">
        <v>110</v>
      </c>
      <c r="D572" t="s">
        <v>23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156</v>
      </c>
      <c r="C573">
        <v>120</v>
      </c>
      <c r="D573" t="s">
        <v>115</v>
      </c>
      <c r="E573" t="s">
        <v>13</v>
      </c>
      <c r="F573">
        <v>0.56999999999999995</v>
      </c>
      <c r="G573" t="s">
        <v>14</v>
      </c>
    </row>
    <row r="574" spans="1:7" x14ac:dyDescent="0.25">
      <c r="A574">
        <v>41</v>
      </c>
      <c r="B574" t="s">
        <v>156</v>
      </c>
      <c r="C574">
        <v>130</v>
      </c>
      <c r="D574" t="s">
        <v>261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156</v>
      </c>
      <c r="C575">
        <v>140</v>
      </c>
      <c r="D575" t="s">
        <v>197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157</v>
      </c>
      <c r="C576">
        <v>10</v>
      </c>
      <c r="D576" t="s">
        <v>198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157</v>
      </c>
      <c r="C577">
        <v>20</v>
      </c>
      <c r="D577" t="s">
        <v>112</v>
      </c>
      <c r="E577" t="s">
        <v>15</v>
      </c>
      <c r="F577">
        <v>1.8540000000000001</v>
      </c>
      <c r="G577" t="s">
        <v>16</v>
      </c>
    </row>
    <row r="578" spans="1:7" x14ac:dyDescent="0.25">
      <c r="A578">
        <v>42</v>
      </c>
      <c r="B578" t="s">
        <v>157</v>
      </c>
      <c r="C578">
        <v>30</v>
      </c>
      <c r="D578" t="s">
        <v>113</v>
      </c>
      <c r="E578" t="s">
        <v>15</v>
      </c>
      <c r="F578">
        <v>1.8540000000000001</v>
      </c>
      <c r="G578" t="s">
        <v>16</v>
      </c>
    </row>
    <row r="579" spans="1:7" x14ac:dyDescent="0.25">
      <c r="A579">
        <v>42</v>
      </c>
      <c r="B579" t="s">
        <v>157</v>
      </c>
      <c r="C579">
        <v>40</v>
      </c>
      <c r="D579" t="s">
        <v>102</v>
      </c>
      <c r="E579" t="s">
        <v>103</v>
      </c>
      <c r="F579">
        <v>1.276</v>
      </c>
      <c r="G579" t="s">
        <v>14</v>
      </c>
    </row>
    <row r="580" spans="1:7" x14ac:dyDescent="0.25">
      <c r="A580">
        <v>42</v>
      </c>
      <c r="B580" t="s">
        <v>157</v>
      </c>
      <c r="C580">
        <v>50</v>
      </c>
      <c r="D580" t="s">
        <v>18</v>
      </c>
      <c r="E580" t="s">
        <v>15</v>
      </c>
      <c r="F580">
        <v>118.262</v>
      </c>
      <c r="G580" t="s">
        <v>14</v>
      </c>
    </row>
    <row r="581" spans="1:7" x14ac:dyDescent="0.25">
      <c r="A581">
        <v>42</v>
      </c>
      <c r="B581" t="s">
        <v>157</v>
      </c>
      <c r="C581">
        <v>60</v>
      </c>
      <c r="D581" t="s">
        <v>91</v>
      </c>
      <c r="E581" t="s">
        <v>15</v>
      </c>
      <c r="F581">
        <v>22.402999999999999</v>
      </c>
      <c r="G581" t="s">
        <v>14</v>
      </c>
    </row>
    <row r="582" spans="1:7" x14ac:dyDescent="0.25">
      <c r="A582">
        <v>42</v>
      </c>
      <c r="B582" t="s">
        <v>157</v>
      </c>
      <c r="C582">
        <v>70</v>
      </c>
      <c r="D582" t="s">
        <v>90</v>
      </c>
      <c r="E582" t="s">
        <v>15</v>
      </c>
      <c r="F582">
        <v>138.714</v>
      </c>
      <c r="G582" t="s">
        <v>14</v>
      </c>
    </row>
    <row r="583" spans="1:7" x14ac:dyDescent="0.25">
      <c r="A583">
        <v>42</v>
      </c>
      <c r="B583" t="s">
        <v>157</v>
      </c>
      <c r="C583">
        <v>80</v>
      </c>
      <c r="D583" t="s">
        <v>114</v>
      </c>
      <c r="E583" t="s">
        <v>11</v>
      </c>
      <c r="F583">
        <v>4</v>
      </c>
      <c r="G583" t="s">
        <v>14</v>
      </c>
    </row>
    <row r="584" spans="1:7" x14ac:dyDescent="0.25">
      <c r="A584">
        <v>42</v>
      </c>
      <c r="B584" t="s">
        <v>157</v>
      </c>
      <c r="C584">
        <v>90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42</v>
      </c>
      <c r="B585" t="s">
        <v>157</v>
      </c>
      <c r="C585">
        <v>100</v>
      </c>
      <c r="D585" t="s">
        <v>22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157</v>
      </c>
      <c r="C586">
        <v>110</v>
      </c>
      <c r="D586" t="s">
        <v>23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157</v>
      </c>
      <c r="C587">
        <v>120</v>
      </c>
      <c r="D587" t="s">
        <v>115</v>
      </c>
      <c r="E587" t="s">
        <v>13</v>
      </c>
      <c r="F587">
        <v>0.61599999999999999</v>
      </c>
      <c r="G587" t="s">
        <v>14</v>
      </c>
    </row>
    <row r="588" spans="1:7" x14ac:dyDescent="0.25">
      <c r="A588">
        <v>42</v>
      </c>
      <c r="B588" t="s">
        <v>157</v>
      </c>
      <c r="C588">
        <v>130</v>
      </c>
      <c r="D588" t="s">
        <v>262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157</v>
      </c>
      <c r="C589">
        <v>140</v>
      </c>
      <c r="D589" t="s">
        <v>199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158</v>
      </c>
      <c r="C590">
        <v>10</v>
      </c>
      <c r="D590" t="s">
        <v>200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158</v>
      </c>
      <c r="C591">
        <v>20</v>
      </c>
      <c r="D591" t="s">
        <v>112</v>
      </c>
      <c r="E591" t="s">
        <v>15</v>
      </c>
      <c r="F591">
        <v>0.78700000000000003</v>
      </c>
      <c r="G591" t="s">
        <v>16</v>
      </c>
    </row>
    <row r="592" spans="1:7" x14ac:dyDescent="0.25">
      <c r="A592">
        <v>43</v>
      </c>
      <c r="B592" t="s">
        <v>158</v>
      </c>
      <c r="C592">
        <v>30</v>
      </c>
      <c r="D592" t="s">
        <v>113</v>
      </c>
      <c r="E592" t="s">
        <v>15</v>
      </c>
      <c r="F592">
        <v>0.78700000000000003</v>
      </c>
      <c r="G592" t="s">
        <v>16</v>
      </c>
    </row>
    <row r="593" spans="1:7" x14ac:dyDescent="0.25">
      <c r="A593">
        <v>43</v>
      </c>
      <c r="B593" t="s">
        <v>158</v>
      </c>
      <c r="C593">
        <v>40</v>
      </c>
      <c r="D593" t="s">
        <v>102</v>
      </c>
      <c r="E593" t="s">
        <v>103</v>
      </c>
      <c r="F593">
        <v>0.54300000000000004</v>
      </c>
      <c r="G593" t="s">
        <v>14</v>
      </c>
    </row>
    <row r="594" spans="1:7" x14ac:dyDescent="0.25">
      <c r="A594">
        <v>43</v>
      </c>
      <c r="B594" t="s">
        <v>158</v>
      </c>
      <c r="C594">
        <v>50</v>
      </c>
      <c r="D594" t="s">
        <v>18</v>
      </c>
      <c r="E594" t="s">
        <v>15</v>
      </c>
      <c r="F594">
        <v>86.563000000000002</v>
      </c>
      <c r="G594" t="s">
        <v>14</v>
      </c>
    </row>
    <row r="595" spans="1:7" x14ac:dyDescent="0.25">
      <c r="A595">
        <v>43</v>
      </c>
      <c r="B595" t="s">
        <v>158</v>
      </c>
      <c r="C595">
        <v>60</v>
      </c>
      <c r="D595" t="s">
        <v>91</v>
      </c>
      <c r="E595" t="s">
        <v>15</v>
      </c>
      <c r="F595">
        <v>16.459</v>
      </c>
      <c r="G595" t="s">
        <v>14</v>
      </c>
    </row>
    <row r="596" spans="1:7" x14ac:dyDescent="0.25">
      <c r="A596">
        <v>43</v>
      </c>
      <c r="B596" t="s">
        <v>158</v>
      </c>
      <c r="C596">
        <v>70</v>
      </c>
      <c r="D596" t="s">
        <v>90</v>
      </c>
      <c r="E596" t="s">
        <v>15</v>
      </c>
      <c r="F596">
        <v>102.161</v>
      </c>
      <c r="G596" t="s">
        <v>14</v>
      </c>
    </row>
    <row r="597" spans="1:7" x14ac:dyDescent="0.25">
      <c r="A597">
        <v>43</v>
      </c>
      <c r="B597" t="s">
        <v>158</v>
      </c>
      <c r="C597">
        <v>80</v>
      </c>
      <c r="D597" t="s">
        <v>114</v>
      </c>
      <c r="E597" t="s">
        <v>11</v>
      </c>
      <c r="F597">
        <v>4</v>
      </c>
      <c r="G597" t="s">
        <v>14</v>
      </c>
    </row>
    <row r="598" spans="1:7" x14ac:dyDescent="0.25">
      <c r="A598">
        <v>43</v>
      </c>
      <c r="B598" t="s">
        <v>158</v>
      </c>
      <c r="C598">
        <v>90</v>
      </c>
      <c r="D598" t="s">
        <v>21</v>
      </c>
      <c r="E598" t="s">
        <v>11</v>
      </c>
      <c r="F598">
        <v>1</v>
      </c>
      <c r="G598" t="s">
        <v>14</v>
      </c>
    </row>
    <row r="599" spans="1:7" x14ac:dyDescent="0.25">
      <c r="A599">
        <v>43</v>
      </c>
      <c r="B599" t="s">
        <v>158</v>
      </c>
      <c r="C599">
        <v>100</v>
      </c>
      <c r="D599" t="s">
        <v>22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158</v>
      </c>
      <c r="C600">
        <v>110</v>
      </c>
      <c r="D600" t="s">
        <v>23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158</v>
      </c>
      <c r="C601">
        <v>120</v>
      </c>
      <c r="D601" t="s">
        <v>115</v>
      </c>
      <c r="E601" t="s">
        <v>13</v>
      </c>
      <c r="F601">
        <v>0.3</v>
      </c>
      <c r="G601" t="s">
        <v>14</v>
      </c>
    </row>
    <row r="602" spans="1:7" x14ac:dyDescent="0.25">
      <c r="A602">
        <v>43</v>
      </c>
      <c r="B602" t="s">
        <v>158</v>
      </c>
      <c r="C602">
        <v>130</v>
      </c>
      <c r="D602" t="s">
        <v>263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158</v>
      </c>
      <c r="C603">
        <v>140</v>
      </c>
      <c r="D603" t="s">
        <v>201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159</v>
      </c>
      <c r="C604">
        <v>10</v>
      </c>
      <c r="D604" t="s">
        <v>202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159</v>
      </c>
      <c r="C605">
        <v>20</v>
      </c>
      <c r="D605" t="s">
        <v>112</v>
      </c>
      <c r="E605" t="s">
        <v>15</v>
      </c>
      <c r="F605">
        <v>0.94</v>
      </c>
      <c r="G605" t="s">
        <v>16</v>
      </c>
    </row>
    <row r="606" spans="1:7" x14ac:dyDescent="0.25">
      <c r="A606">
        <v>44</v>
      </c>
      <c r="B606" t="s">
        <v>159</v>
      </c>
      <c r="C606">
        <v>30</v>
      </c>
      <c r="D606" t="s">
        <v>113</v>
      </c>
      <c r="E606" t="s">
        <v>15</v>
      </c>
      <c r="F606">
        <v>0.94</v>
      </c>
      <c r="G606" t="s">
        <v>16</v>
      </c>
    </row>
    <row r="607" spans="1:7" x14ac:dyDescent="0.25">
      <c r="A607">
        <v>44</v>
      </c>
      <c r="B607" t="s">
        <v>159</v>
      </c>
      <c r="C607">
        <v>40</v>
      </c>
      <c r="D607" t="s">
        <v>102</v>
      </c>
      <c r="E607" t="s">
        <v>103</v>
      </c>
      <c r="F607">
        <v>0.65600000000000003</v>
      </c>
      <c r="G607" t="s">
        <v>14</v>
      </c>
    </row>
    <row r="608" spans="1:7" x14ac:dyDescent="0.25">
      <c r="A608">
        <v>44</v>
      </c>
      <c r="B608" t="s">
        <v>159</v>
      </c>
      <c r="C608">
        <v>50</v>
      </c>
      <c r="D608" t="s">
        <v>18</v>
      </c>
      <c r="E608" t="s">
        <v>15</v>
      </c>
      <c r="F608">
        <v>91.44</v>
      </c>
      <c r="G608" t="s">
        <v>14</v>
      </c>
    </row>
    <row r="609" spans="1:7" x14ac:dyDescent="0.25">
      <c r="A609">
        <v>44</v>
      </c>
      <c r="B609" t="s">
        <v>159</v>
      </c>
      <c r="C609">
        <v>60</v>
      </c>
      <c r="D609" t="s">
        <v>91</v>
      </c>
      <c r="E609" t="s">
        <v>15</v>
      </c>
      <c r="F609">
        <v>17.373999999999999</v>
      </c>
      <c r="G609" t="s">
        <v>14</v>
      </c>
    </row>
    <row r="610" spans="1:7" x14ac:dyDescent="0.25">
      <c r="A610">
        <v>44</v>
      </c>
      <c r="B610" t="s">
        <v>159</v>
      </c>
      <c r="C610">
        <v>70</v>
      </c>
      <c r="D610" t="s">
        <v>90</v>
      </c>
      <c r="E610" t="s">
        <v>15</v>
      </c>
      <c r="F610">
        <v>107.785</v>
      </c>
      <c r="G610" t="s">
        <v>14</v>
      </c>
    </row>
    <row r="611" spans="1:7" x14ac:dyDescent="0.25">
      <c r="A611">
        <v>44</v>
      </c>
      <c r="B611" t="s">
        <v>159</v>
      </c>
      <c r="C611">
        <v>80</v>
      </c>
      <c r="D611" t="s">
        <v>114</v>
      </c>
      <c r="E611" t="s">
        <v>11</v>
      </c>
      <c r="F611">
        <v>4</v>
      </c>
      <c r="G611" t="s">
        <v>14</v>
      </c>
    </row>
    <row r="612" spans="1:7" x14ac:dyDescent="0.25">
      <c r="A612">
        <v>44</v>
      </c>
      <c r="B612" t="s">
        <v>159</v>
      </c>
      <c r="C612">
        <v>90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44</v>
      </c>
      <c r="B613" t="s">
        <v>159</v>
      </c>
      <c r="C613">
        <v>100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159</v>
      </c>
      <c r="C614">
        <v>110</v>
      </c>
      <c r="D614" t="s">
        <v>23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159</v>
      </c>
      <c r="C615">
        <v>120</v>
      </c>
      <c r="D615" t="s">
        <v>115</v>
      </c>
      <c r="E615" t="s">
        <v>13</v>
      </c>
      <c r="F615">
        <v>0.34499999999999997</v>
      </c>
      <c r="G615" t="s">
        <v>14</v>
      </c>
    </row>
    <row r="616" spans="1:7" x14ac:dyDescent="0.25">
      <c r="A616">
        <v>44</v>
      </c>
      <c r="B616" t="s">
        <v>159</v>
      </c>
      <c r="C616">
        <v>130</v>
      </c>
      <c r="D616" t="s">
        <v>264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159</v>
      </c>
      <c r="C617">
        <v>140</v>
      </c>
      <c r="D617" t="s">
        <v>203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160</v>
      </c>
      <c r="C618">
        <v>10</v>
      </c>
      <c r="D618" t="s">
        <v>204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160</v>
      </c>
      <c r="C619">
        <v>20</v>
      </c>
      <c r="D619" t="s">
        <v>112</v>
      </c>
      <c r="E619" t="s">
        <v>15</v>
      </c>
      <c r="F619">
        <v>1.0920000000000001</v>
      </c>
      <c r="G619" t="s">
        <v>16</v>
      </c>
    </row>
    <row r="620" spans="1:7" x14ac:dyDescent="0.25">
      <c r="A620">
        <v>45</v>
      </c>
      <c r="B620" t="s">
        <v>160</v>
      </c>
      <c r="C620">
        <v>30</v>
      </c>
      <c r="D620" t="s">
        <v>113</v>
      </c>
      <c r="E620" t="s">
        <v>15</v>
      </c>
      <c r="F620">
        <v>1.0920000000000001</v>
      </c>
      <c r="G620" t="s">
        <v>16</v>
      </c>
    </row>
    <row r="621" spans="1:7" x14ac:dyDescent="0.25">
      <c r="A621">
        <v>45</v>
      </c>
      <c r="B621" t="s">
        <v>160</v>
      </c>
      <c r="C621">
        <v>40</v>
      </c>
      <c r="D621" t="s">
        <v>102</v>
      </c>
      <c r="E621" t="s">
        <v>103</v>
      </c>
      <c r="F621">
        <v>0.76800000000000002</v>
      </c>
      <c r="G621" t="s">
        <v>14</v>
      </c>
    </row>
    <row r="622" spans="1:7" x14ac:dyDescent="0.25">
      <c r="A622">
        <v>45</v>
      </c>
      <c r="B622" t="s">
        <v>160</v>
      </c>
      <c r="C622">
        <v>50</v>
      </c>
      <c r="D622" t="s">
        <v>18</v>
      </c>
      <c r="E622" t="s">
        <v>15</v>
      </c>
      <c r="F622">
        <v>96.316999999999993</v>
      </c>
      <c r="G622" t="s">
        <v>14</v>
      </c>
    </row>
    <row r="623" spans="1:7" x14ac:dyDescent="0.25">
      <c r="A623">
        <v>45</v>
      </c>
      <c r="B623" t="s">
        <v>160</v>
      </c>
      <c r="C623">
        <v>60</v>
      </c>
      <c r="D623" t="s">
        <v>91</v>
      </c>
      <c r="E623" t="s">
        <v>15</v>
      </c>
      <c r="F623">
        <v>18.288</v>
      </c>
      <c r="G623" t="s">
        <v>14</v>
      </c>
    </row>
    <row r="624" spans="1:7" x14ac:dyDescent="0.25">
      <c r="A624">
        <v>45</v>
      </c>
      <c r="B624" t="s">
        <v>160</v>
      </c>
      <c r="C624">
        <v>70</v>
      </c>
      <c r="D624" t="s">
        <v>90</v>
      </c>
      <c r="E624" t="s">
        <v>15</v>
      </c>
      <c r="F624">
        <v>113.408</v>
      </c>
      <c r="G624" t="s">
        <v>14</v>
      </c>
    </row>
    <row r="625" spans="1:7" x14ac:dyDescent="0.25">
      <c r="A625">
        <v>45</v>
      </c>
      <c r="B625" t="s">
        <v>160</v>
      </c>
      <c r="C625">
        <v>80</v>
      </c>
      <c r="D625" t="s">
        <v>114</v>
      </c>
      <c r="E625" t="s">
        <v>11</v>
      </c>
      <c r="F625">
        <v>4</v>
      </c>
      <c r="G625" t="s">
        <v>14</v>
      </c>
    </row>
    <row r="626" spans="1:7" x14ac:dyDescent="0.25">
      <c r="A626">
        <v>45</v>
      </c>
      <c r="B626" t="s">
        <v>160</v>
      </c>
      <c r="C626">
        <v>90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45</v>
      </c>
      <c r="B627" t="s">
        <v>160</v>
      </c>
      <c r="C627">
        <v>100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160</v>
      </c>
      <c r="C628">
        <v>110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160</v>
      </c>
      <c r="C629">
        <v>120</v>
      </c>
      <c r="D629" t="s">
        <v>115</v>
      </c>
      <c r="E629" t="s">
        <v>13</v>
      </c>
      <c r="F629">
        <v>0.39</v>
      </c>
      <c r="G629" t="s">
        <v>14</v>
      </c>
    </row>
    <row r="630" spans="1:7" x14ac:dyDescent="0.25">
      <c r="A630">
        <v>45</v>
      </c>
      <c r="B630" t="s">
        <v>160</v>
      </c>
      <c r="C630">
        <v>130</v>
      </c>
      <c r="D630" t="s">
        <v>265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160</v>
      </c>
      <c r="C631">
        <v>140</v>
      </c>
      <c r="D631" t="s">
        <v>205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161</v>
      </c>
      <c r="C632">
        <v>10</v>
      </c>
      <c r="D632" t="s">
        <v>206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161</v>
      </c>
      <c r="C633">
        <v>20</v>
      </c>
      <c r="D633" t="s">
        <v>112</v>
      </c>
      <c r="E633" t="s">
        <v>15</v>
      </c>
      <c r="F633">
        <v>1.2450000000000001</v>
      </c>
      <c r="G633" t="s">
        <v>16</v>
      </c>
    </row>
    <row r="634" spans="1:7" x14ac:dyDescent="0.25">
      <c r="A634">
        <v>46</v>
      </c>
      <c r="B634" t="s">
        <v>161</v>
      </c>
      <c r="C634">
        <v>30</v>
      </c>
      <c r="D634" t="s">
        <v>113</v>
      </c>
      <c r="E634" t="s">
        <v>15</v>
      </c>
      <c r="F634">
        <v>1.2450000000000001</v>
      </c>
      <c r="G634" t="s">
        <v>16</v>
      </c>
    </row>
    <row r="635" spans="1:7" x14ac:dyDescent="0.25">
      <c r="A635">
        <v>46</v>
      </c>
      <c r="B635" t="s">
        <v>161</v>
      </c>
      <c r="C635">
        <v>40</v>
      </c>
      <c r="D635" t="s">
        <v>102</v>
      </c>
      <c r="E635" t="s">
        <v>103</v>
      </c>
      <c r="F635">
        <v>0.88</v>
      </c>
      <c r="G635" t="s">
        <v>14</v>
      </c>
    </row>
    <row r="636" spans="1:7" x14ac:dyDescent="0.25">
      <c r="A636">
        <v>46</v>
      </c>
      <c r="B636" t="s">
        <v>161</v>
      </c>
      <c r="C636">
        <v>50</v>
      </c>
      <c r="D636" t="s">
        <v>18</v>
      </c>
      <c r="E636" t="s">
        <v>15</v>
      </c>
      <c r="F636">
        <v>101.194</v>
      </c>
      <c r="G636" t="s">
        <v>14</v>
      </c>
    </row>
    <row r="637" spans="1:7" x14ac:dyDescent="0.25">
      <c r="A637">
        <v>46</v>
      </c>
      <c r="B637" t="s">
        <v>161</v>
      </c>
      <c r="C637">
        <v>60</v>
      </c>
      <c r="D637" t="s">
        <v>91</v>
      </c>
      <c r="E637" t="s">
        <v>15</v>
      </c>
      <c r="F637">
        <v>19.202000000000002</v>
      </c>
      <c r="G637" t="s">
        <v>14</v>
      </c>
    </row>
    <row r="638" spans="1:7" x14ac:dyDescent="0.25">
      <c r="A638">
        <v>46</v>
      </c>
      <c r="B638" t="s">
        <v>161</v>
      </c>
      <c r="C638">
        <v>70</v>
      </c>
      <c r="D638" t="s">
        <v>90</v>
      </c>
      <c r="E638" t="s">
        <v>15</v>
      </c>
      <c r="F638">
        <v>119.032</v>
      </c>
      <c r="G638" t="s">
        <v>14</v>
      </c>
    </row>
    <row r="639" spans="1:7" x14ac:dyDescent="0.25">
      <c r="A639">
        <v>46</v>
      </c>
      <c r="B639" t="s">
        <v>161</v>
      </c>
      <c r="C639">
        <v>80</v>
      </c>
      <c r="D639" t="s">
        <v>114</v>
      </c>
      <c r="E639" t="s">
        <v>11</v>
      </c>
      <c r="F639">
        <v>4</v>
      </c>
      <c r="G639" t="s">
        <v>14</v>
      </c>
    </row>
    <row r="640" spans="1:7" x14ac:dyDescent="0.25">
      <c r="A640">
        <v>46</v>
      </c>
      <c r="B640" t="s">
        <v>161</v>
      </c>
      <c r="C640">
        <v>90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46</v>
      </c>
      <c r="B641" t="s">
        <v>161</v>
      </c>
      <c r="C641">
        <v>100</v>
      </c>
      <c r="D641" t="s">
        <v>22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161</v>
      </c>
      <c r="C642">
        <v>110</v>
      </c>
      <c r="D642" t="s">
        <v>23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161</v>
      </c>
      <c r="C643">
        <v>120</v>
      </c>
      <c r="D643" t="s">
        <v>115</v>
      </c>
      <c r="E643" t="s">
        <v>13</v>
      </c>
      <c r="F643">
        <v>0.435</v>
      </c>
      <c r="G643" t="s">
        <v>14</v>
      </c>
    </row>
    <row r="644" spans="1:7" x14ac:dyDescent="0.25">
      <c r="A644">
        <v>46</v>
      </c>
      <c r="B644" t="s">
        <v>161</v>
      </c>
      <c r="C644">
        <v>130</v>
      </c>
      <c r="D644" t="s">
        <v>266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161</v>
      </c>
      <c r="C645">
        <v>140</v>
      </c>
      <c r="D645" t="s">
        <v>207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162</v>
      </c>
      <c r="C646">
        <v>10</v>
      </c>
      <c r="D646" t="s">
        <v>208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162</v>
      </c>
      <c r="C647">
        <v>20</v>
      </c>
      <c r="D647" t="s">
        <v>112</v>
      </c>
      <c r="E647" t="s">
        <v>15</v>
      </c>
      <c r="F647">
        <v>1.5489999999999999</v>
      </c>
      <c r="G647" t="s">
        <v>16</v>
      </c>
    </row>
    <row r="648" spans="1:7" x14ac:dyDescent="0.25">
      <c r="A648">
        <v>47</v>
      </c>
      <c r="B648" t="s">
        <v>162</v>
      </c>
      <c r="C648">
        <v>30</v>
      </c>
      <c r="D648" t="s">
        <v>113</v>
      </c>
      <c r="E648" t="s">
        <v>15</v>
      </c>
      <c r="F648">
        <v>1.5489999999999999</v>
      </c>
      <c r="G648" t="s">
        <v>16</v>
      </c>
    </row>
    <row r="649" spans="1:7" x14ac:dyDescent="0.25">
      <c r="A649">
        <v>47</v>
      </c>
      <c r="B649" t="s">
        <v>162</v>
      </c>
      <c r="C649">
        <v>40</v>
      </c>
      <c r="D649" t="s">
        <v>102</v>
      </c>
      <c r="E649" t="s">
        <v>103</v>
      </c>
      <c r="F649">
        <v>1.105</v>
      </c>
      <c r="G649" t="s">
        <v>14</v>
      </c>
    </row>
    <row r="650" spans="1:7" x14ac:dyDescent="0.25">
      <c r="A650">
        <v>47</v>
      </c>
      <c r="B650" t="s">
        <v>162</v>
      </c>
      <c r="C650">
        <v>50</v>
      </c>
      <c r="D650" t="s">
        <v>18</v>
      </c>
      <c r="E650" t="s">
        <v>15</v>
      </c>
      <c r="F650">
        <v>110.947</v>
      </c>
      <c r="G650" t="s">
        <v>14</v>
      </c>
    </row>
    <row r="651" spans="1:7" x14ac:dyDescent="0.25">
      <c r="A651">
        <v>47</v>
      </c>
      <c r="B651" t="s">
        <v>162</v>
      </c>
      <c r="C651">
        <v>60</v>
      </c>
      <c r="D651" t="s">
        <v>91</v>
      </c>
      <c r="E651" t="s">
        <v>15</v>
      </c>
      <c r="F651">
        <v>21.030999999999999</v>
      </c>
      <c r="G651" t="s">
        <v>14</v>
      </c>
    </row>
    <row r="652" spans="1:7" x14ac:dyDescent="0.25">
      <c r="A652">
        <v>47</v>
      </c>
      <c r="B652" t="s">
        <v>162</v>
      </c>
      <c r="C652">
        <v>70</v>
      </c>
      <c r="D652" t="s">
        <v>90</v>
      </c>
      <c r="E652" t="s">
        <v>15</v>
      </c>
      <c r="F652">
        <v>130.279</v>
      </c>
      <c r="G652" t="s">
        <v>14</v>
      </c>
    </row>
    <row r="653" spans="1:7" x14ac:dyDescent="0.25">
      <c r="A653">
        <v>47</v>
      </c>
      <c r="B653" t="s">
        <v>162</v>
      </c>
      <c r="C653">
        <v>80</v>
      </c>
      <c r="D653" t="s">
        <v>114</v>
      </c>
      <c r="E653" t="s">
        <v>11</v>
      </c>
      <c r="F653">
        <v>4</v>
      </c>
      <c r="G653" t="s">
        <v>14</v>
      </c>
    </row>
    <row r="654" spans="1:7" x14ac:dyDescent="0.25">
      <c r="A654">
        <v>47</v>
      </c>
      <c r="B654" t="s">
        <v>162</v>
      </c>
      <c r="C654">
        <v>90</v>
      </c>
      <c r="D654" t="s">
        <v>21</v>
      </c>
      <c r="E654" t="s">
        <v>11</v>
      </c>
      <c r="F654">
        <v>1</v>
      </c>
      <c r="G654" t="s">
        <v>14</v>
      </c>
    </row>
    <row r="655" spans="1:7" x14ac:dyDescent="0.25">
      <c r="A655">
        <v>47</v>
      </c>
      <c r="B655" t="s">
        <v>162</v>
      </c>
      <c r="C655">
        <v>100</v>
      </c>
      <c r="D655" t="s">
        <v>22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162</v>
      </c>
      <c r="C656">
        <v>110</v>
      </c>
      <c r="D656" t="s">
        <v>23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162</v>
      </c>
      <c r="C657">
        <v>120</v>
      </c>
      <c r="D657" t="s">
        <v>115</v>
      </c>
      <c r="E657" t="s">
        <v>13</v>
      </c>
      <c r="F657">
        <v>0.52500000000000002</v>
      </c>
      <c r="G657" t="s">
        <v>14</v>
      </c>
    </row>
    <row r="658" spans="1:7" x14ac:dyDescent="0.25">
      <c r="A658">
        <v>47</v>
      </c>
      <c r="B658" t="s">
        <v>162</v>
      </c>
      <c r="C658">
        <v>130</v>
      </c>
      <c r="D658" t="s">
        <v>267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162</v>
      </c>
      <c r="C659">
        <v>140</v>
      </c>
      <c r="D659" t="s">
        <v>209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163</v>
      </c>
      <c r="C660">
        <v>10</v>
      </c>
      <c r="D660" t="s">
        <v>210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163</v>
      </c>
      <c r="C661">
        <v>20</v>
      </c>
      <c r="D661" t="s">
        <v>112</v>
      </c>
      <c r="E661" t="s">
        <v>15</v>
      </c>
      <c r="F661">
        <v>1.702</v>
      </c>
      <c r="G661" t="s">
        <v>16</v>
      </c>
    </row>
    <row r="662" spans="1:7" x14ac:dyDescent="0.25">
      <c r="A662">
        <v>48</v>
      </c>
      <c r="B662" t="s">
        <v>163</v>
      </c>
      <c r="C662">
        <v>30</v>
      </c>
      <c r="D662" t="s">
        <v>113</v>
      </c>
      <c r="E662" t="s">
        <v>15</v>
      </c>
      <c r="F662">
        <v>1.702</v>
      </c>
      <c r="G662" t="s">
        <v>16</v>
      </c>
    </row>
    <row r="663" spans="1:7" x14ac:dyDescent="0.25">
      <c r="A663">
        <v>48</v>
      </c>
      <c r="B663" t="s">
        <v>163</v>
      </c>
      <c r="C663">
        <v>40</v>
      </c>
      <c r="D663" t="s">
        <v>102</v>
      </c>
      <c r="E663" t="s">
        <v>103</v>
      </c>
      <c r="F663">
        <v>1.218</v>
      </c>
      <c r="G663" t="s">
        <v>14</v>
      </c>
    </row>
    <row r="664" spans="1:7" x14ac:dyDescent="0.25">
      <c r="A664">
        <v>48</v>
      </c>
      <c r="B664" t="s">
        <v>163</v>
      </c>
      <c r="C664">
        <v>50</v>
      </c>
      <c r="D664" t="s">
        <v>18</v>
      </c>
      <c r="E664" t="s">
        <v>15</v>
      </c>
      <c r="F664">
        <v>115.824</v>
      </c>
      <c r="G664" t="s">
        <v>14</v>
      </c>
    </row>
    <row r="665" spans="1:7" x14ac:dyDescent="0.25">
      <c r="A665">
        <v>48</v>
      </c>
      <c r="B665" t="s">
        <v>163</v>
      </c>
      <c r="C665">
        <v>60</v>
      </c>
      <c r="D665" t="s">
        <v>91</v>
      </c>
      <c r="E665" t="s">
        <v>15</v>
      </c>
      <c r="F665">
        <v>21.946000000000002</v>
      </c>
      <c r="G665" t="s">
        <v>14</v>
      </c>
    </row>
    <row r="666" spans="1:7" x14ac:dyDescent="0.25">
      <c r="A666">
        <v>48</v>
      </c>
      <c r="B666" t="s">
        <v>163</v>
      </c>
      <c r="C666">
        <v>70</v>
      </c>
      <c r="D666" t="s">
        <v>90</v>
      </c>
      <c r="E666" t="s">
        <v>15</v>
      </c>
      <c r="F666">
        <v>135.90299999999999</v>
      </c>
      <c r="G666" t="s">
        <v>14</v>
      </c>
    </row>
    <row r="667" spans="1:7" x14ac:dyDescent="0.25">
      <c r="A667">
        <v>48</v>
      </c>
      <c r="B667" t="s">
        <v>163</v>
      </c>
      <c r="C667">
        <v>80</v>
      </c>
      <c r="D667" t="s">
        <v>114</v>
      </c>
      <c r="E667" t="s">
        <v>11</v>
      </c>
      <c r="F667">
        <v>4</v>
      </c>
      <c r="G667" t="s">
        <v>14</v>
      </c>
    </row>
    <row r="668" spans="1:7" x14ac:dyDescent="0.25">
      <c r="A668">
        <v>48</v>
      </c>
      <c r="B668" t="s">
        <v>163</v>
      </c>
      <c r="C668">
        <v>90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48</v>
      </c>
      <c r="B669" t="s">
        <v>163</v>
      </c>
      <c r="C669">
        <v>100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163</v>
      </c>
      <c r="C670">
        <v>110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163</v>
      </c>
      <c r="C671">
        <v>120</v>
      </c>
      <c r="D671" t="s">
        <v>115</v>
      </c>
      <c r="E671" t="s">
        <v>13</v>
      </c>
      <c r="F671">
        <v>0.56999999999999995</v>
      </c>
      <c r="G671" t="s">
        <v>14</v>
      </c>
    </row>
    <row r="672" spans="1:7" x14ac:dyDescent="0.25">
      <c r="A672">
        <v>48</v>
      </c>
      <c r="B672" t="s">
        <v>163</v>
      </c>
      <c r="C672">
        <v>130</v>
      </c>
      <c r="D672" t="s">
        <v>268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163</v>
      </c>
      <c r="C673">
        <v>140</v>
      </c>
      <c r="D673" t="s">
        <v>211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164</v>
      </c>
      <c r="C674">
        <v>10</v>
      </c>
      <c r="D674" t="s">
        <v>212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164</v>
      </c>
      <c r="C675">
        <v>20</v>
      </c>
      <c r="D675" t="s">
        <v>112</v>
      </c>
      <c r="E675" t="s">
        <v>15</v>
      </c>
      <c r="F675">
        <v>1.8540000000000001</v>
      </c>
      <c r="G675" t="s">
        <v>16</v>
      </c>
    </row>
    <row r="676" spans="1:7" x14ac:dyDescent="0.25">
      <c r="A676">
        <v>49</v>
      </c>
      <c r="B676" t="s">
        <v>164</v>
      </c>
      <c r="C676">
        <v>30</v>
      </c>
      <c r="D676" t="s">
        <v>113</v>
      </c>
      <c r="E676" t="s">
        <v>15</v>
      </c>
      <c r="F676">
        <v>1.8540000000000001</v>
      </c>
      <c r="G676" t="s">
        <v>16</v>
      </c>
    </row>
    <row r="677" spans="1:7" x14ac:dyDescent="0.25">
      <c r="A677">
        <v>49</v>
      </c>
      <c r="B677" t="s">
        <v>164</v>
      </c>
      <c r="C677">
        <v>40</v>
      </c>
      <c r="D677" t="s">
        <v>102</v>
      </c>
      <c r="E677" t="s">
        <v>103</v>
      </c>
      <c r="F677">
        <v>1.33</v>
      </c>
      <c r="G677" t="s">
        <v>14</v>
      </c>
    </row>
    <row r="678" spans="1:7" x14ac:dyDescent="0.25">
      <c r="A678">
        <v>49</v>
      </c>
      <c r="B678" t="s">
        <v>164</v>
      </c>
      <c r="C678">
        <v>50</v>
      </c>
      <c r="D678" t="s">
        <v>18</v>
      </c>
      <c r="E678" t="s">
        <v>15</v>
      </c>
      <c r="F678">
        <v>120.70099999999999</v>
      </c>
      <c r="G678" t="s">
        <v>14</v>
      </c>
    </row>
    <row r="679" spans="1:7" x14ac:dyDescent="0.25">
      <c r="A679">
        <v>49</v>
      </c>
      <c r="B679" t="s">
        <v>164</v>
      </c>
      <c r="C679">
        <v>60</v>
      </c>
      <c r="D679" t="s">
        <v>91</v>
      </c>
      <c r="E679" t="s">
        <v>15</v>
      </c>
      <c r="F679">
        <v>22.86</v>
      </c>
      <c r="G679" t="s">
        <v>14</v>
      </c>
    </row>
    <row r="680" spans="1:7" x14ac:dyDescent="0.25">
      <c r="A680">
        <v>49</v>
      </c>
      <c r="B680" t="s">
        <v>164</v>
      </c>
      <c r="C680">
        <v>70</v>
      </c>
      <c r="D680" t="s">
        <v>90</v>
      </c>
      <c r="E680" t="s">
        <v>15</v>
      </c>
      <c r="F680">
        <v>141.52600000000001</v>
      </c>
      <c r="G680" t="s">
        <v>14</v>
      </c>
    </row>
    <row r="681" spans="1:7" x14ac:dyDescent="0.25">
      <c r="A681">
        <v>49</v>
      </c>
      <c r="B681" t="s">
        <v>164</v>
      </c>
      <c r="C681">
        <v>80</v>
      </c>
      <c r="D681" t="s">
        <v>114</v>
      </c>
      <c r="E681" t="s">
        <v>11</v>
      </c>
      <c r="F681">
        <v>4</v>
      </c>
      <c r="G681" t="s">
        <v>14</v>
      </c>
    </row>
    <row r="682" spans="1:7" x14ac:dyDescent="0.25">
      <c r="A682">
        <v>49</v>
      </c>
      <c r="B682" t="s">
        <v>164</v>
      </c>
      <c r="C682">
        <v>90</v>
      </c>
      <c r="D682" t="s">
        <v>21</v>
      </c>
      <c r="E682" t="s">
        <v>11</v>
      </c>
      <c r="F682">
        <v>1</v>
      </c>
      <c r="G682" t="s">
        <v>14</v>
      </c>
    </row>
    <row r="683" spans="1:7" x14ac:dyDescent="0.25">
      <c r="A683">
        <v>49</v>
      </c>
      <c r="B683" t="s">
        <v>164</v>
      </c>
      <c r="C683">
        <v>100</v>
      </c>
      <c r="D683" t="s">
        <v>22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164</v>
      </c>
      <c r="C684">
        <v>110</v>
      </c>
      <c r="D684" t="s">
        <v>23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164</v>
      </c>
      <c r="C685">
        <v>120</v>
      </c>
      <c r="D685" t="s">
        <v>115</v>
      </c>
      <c r="E685" t="s">
        <v>13</v>
      </c>
      <c r="F685">
        <v>0.61599999999999999</v>
      </c>
      <c r="G685" t="s">
        <v>14</v>
      </c>
    </row>
    <row r="686" spans="1:7" x14ac:dyDescent="0.25">
      <c r="A686">
        <v>49</v>
      </c>
      <c r="B686" t="s">
        <v>164</v>
      </c>
      <c r="C686">
        <v>130</v>
      </c>
      <c r="D686" t="s">
        <v>269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164</v>
      </c>
      <c r="C687">
        <v>140</v>
      </c>
      <c r="D687" t="s">
        <v>213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165</v>
      </c>
      <c r="C688">
        <v>10</v>
      </c>
      <c r="D688" t="s">
        <v>214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165</v>
      </c>
      <c r="C689">
        <v>20</v>
      </c>
      <c r="D689" t="s">
        <v>112</v>
      </c>
      <c r="E689" t="s">
        <v>15</v>
      </c>
      <c r="F689">
        <v>0.78700000000000003</v>
      </c>
      <c r="G689" t="s">
        <v>16</v>
      </c>
    </row>
    <row r="690" spans="1:7" x14ac:dyDescent="0.25">
      <c r="A690">
        <v>50</v>
      </c>
      <c r="B690" t="s">
        <v>165</v>
      </c>
      <c r="C690">
        <v>30</v>
      </c>
      <c r="D690" t="s">
        <v>113</v>
      </c>
      <c r="E690" t="s">
        <v>15</v>
      </c>
      <c r="F690">
        <v>0.78700000000000003</v>
      </c>
      <c r="G690" t="s">
        <v>16</v>
      </c>
    </row>
    <row r="691" spans="1:7" x14ac:dyDescent="0.25">
      <c r="A691">
        <v>50</v>
      </c>
      <c r="B691" t="s">
        <v>165</v>
      </c>
      <c r="C691">
        <v>40</v>
      </c>
      <c r="D691" t="s">
        <v>102</v>
      </c>
      <c r="E691" t="s">
        <v>103</v>
      </c>
      <c r="F691">
        <v>0.56499999999999995</v>
      </c>
      <c r="G691" t="s">
        <v>14</v>
      </c>
    </row>
    <row r="692" spans="1:7" x14ac:dyDescent="0.25">
      <c r="A692">
        <v>50</v>
      </c>
      <c r="B692" t="s">
        <v>165</v>
      </c>
      <c r="C692">
        <v>50</v>
      </c>
      <c r="D692" t="s">
        <v>18</v>
      </c>
      <c r="E692" t="s">
        <v>15</v>
      </c>
      <c r="F692">
        <v>89.001999999999995</v>
      </c>
      <c r="G692" t="s">
        <v>14</v>
      </c>
    </row>
    <row r="693" spans="1:7" x14ac:dyDescent="0.25">
      <c r="A693">
        <v>50</v>
      </c>
      <c r="B693" t="s">
        <v>165</v>
      </c>
      <c r="C693">
        <v>60</v>
      </c>
      <c r="D693" t="s">
        <v>91</v>
      </c>
      <c r="E693" t="s">
        <v>15</v>
      </c>
      <c r="F693">
        <v>16.916</v>
      </c>
      <c r="G693" t="s">
        <v>14</v>
      </c>
    </row>
    <row r="694" spans="1:7" x14ac:dyDescent="0.25">
      <c r="A694">
        <v>50</v>
      </c>
      <c r="B694" t="s">
        <v>165</v>
      </c>
      <c r="C694">
        <v>70</v>
      </c>
      <c r="D694" t="s">
        <v>90</v>
      </c>
      <c r="E694" t="s">
        <v>15</v>
      </c>
      <c r="F694">
        <v>104.973</v>
      </c>
      <c r="G694" t="s">
        <v>14</v>
      </c>
    </row>
    <row r="695" spans="1:7" x14ac:dyDescent="0.25">
      <c r="A695">
        <v>50</v>
      </c>
      <c r="B695" t="s">
        <v>165</v>
      </c>
      <c r="C695">
        <v>80</v>
      </c>
      <c r="D695" t="s">
        <v>114</v>
      </c>
      <c r="E695" t="s">
        <v>11</v>
      </c>
      <c r="F695">
        <v>4</v>
      </c>
      <c r="G695" t="s">
        <v>14</v>
      </c>
    </row>
    <row r="696" spans="1:7" x14ac:dyDescent="0.25">
      <c r="A696">
        <v>50</v>
      </c>
      <c r="B696" t="s">
        <v>165</v>
      </c>
      <c r="C696">
        <v>90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50</v>
      </c>
      <c r="B697" t="s">
        <v>165</v>
      </c>
      <c r="C697">
        <v>100</v>
      </c>
      <c r="D697" t="s">
        <v>22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165</v>
      </c>
      <c r="C698">
        <v>110</v>
      </c>
      <c r="D698" t="s">
        <v>23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165</v>
      </c>
      <c r="C699">
        <v>120</v>
      </c>
      <c r="D699" t="s">
        <v>115</v>
      </c>
      <c r="E699" t="s">
        <v>13</v>
      </c>
      <c r="F699">
        <v>0.3</v>
      </c>
      <c r="G699" t="s">
        <v>14</v>
      </c>
    </row>
    <row r="700" spans="1:7" x14ac:dyDescent="0.25">
      <c r="A700">
        <v>50</v>
      </c>
      <c r="B700" t="s">
        <v>165</v>
      </c>
      <c r="C700">
        <v>130</v>
      </c>
      <c r="D700" t="s">
        <v>270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165</v>
      </c>
      <c r="C701">
        <v>140</v>
      </c>
      <c r="D701" t="s">
        <v>215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166</v>
      </c>
      <c r="C702">
        <v>10</v>
      </c>
      <c r="D702" t="s">
        <v>216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166</v>
      </c>
      <c r="C703">
        <v>20</v>
      </c>
      <c r="D703" t="s">
        <v>112</v>
      </c>
      <c r="E703" t="s">
        <v>15</v>
      </c>
      <c r="F703">
        <v>0.94</v>
      </c>
      <c r="G703" t="s">
        <v>16</v>
      </c>
    </row>
    <row r="704" spans="1:7" x14ac:dyDescent="0.25">
      <c r="A704">
        <v>51</v>
      </c>
      <c r="B704" t="s">
        <v>166</v>
      </c>
      <c r="C704">
        <v>30</v>
      </c>
      <c r="D704" t="s">
        <v>113</v>
      </c>
      <c r="E704" t="s">
        <v>15</v>
      </c>
      <c r="F704">
        <v>0.94</v>
      </c>
      <c r="G704" t="s">
        <v>16</v>
      </c>
    </row>
    <row r="705" spans="1:7" x14ac:dyDescent="0.25">
      <c r="A705">
        <v>51</v>
      </c>
      <c r="B705" t="s">
        <v>166</v>
      </c>
      <c r="C705">
        <v>40</v>
      </c>
      <c r="D705" t="s">
        <v>102</v>
      </c>
      <c r="E705" t="s">
        <v>103</v>
      </c>
      <c r="F705">
        <v>0.68200000000000005</v>
      </c>
      <c r="G705" t="s">
        <v>14</v>
      </c>
    </row>
    <row r="706" spans="1:7" x14ac:dyDescent="0.25">
      <c r="A706">
        <v>51</v>
      </c>
      <c r="B706" t="s">
        <v>166</v>
      </c>
      <c r="C706">
        <v>50</v>
      </c>
      <c r="D706" t="s">
        <v>18</v>
      </c>
      <c r="E706" t="s">
        <v>15</v>
      </c>
      <c r="F706">
        <v>93.878</v>
      </c>
      <c r="G706" t="s">
        <v>14</v>
      </c>
    </row>
    <row r="707" spans="1:7" x14ac:dyDescent="0.25">
      <c r="A707">
        <v>51</v>
      </c>
      <c r="B707" t="s">
        <v>166</v>
      </c>
      <c r="C707">
        <v>60</v>
      </c>
      <c r="D707" t="s">
        <v>91</v>
      </c>
      <c r="E707" t="s">
        <v>15</v>
      </c>
      <c r="F707">
        <v>17.831</v>
      </c>
      <c r="G707" t="s">
        <v>14</v>
      </c>
    </row>
    <row r="708" spans="1:7" x14ac:dyDescent="0.25">
      <c r="A708">
        <v>51</v>
      </c>
      <c r="B708" t="s">
        <v>166</v>
      </c>
      <c r="C708">
        <v>70</v>
      </c>
      <c r="D708" t="s">
        <v>90</v>
      </c>
      <c r="E708" t="s">
        <v>15</v>
      </c>
      <c r="F708">
        <v>110.59699999999999</v>
      </c>
      <c r="G708" t="s">
        <v>14</v>
      </c>
    </row>
    <row r="709" spans="1:7" x14ac:dyDescent="0.25">
      <c r="A709">
        <v>51</v>
      </c>
      <c r="B709" t="s">
        <v>166</v>
      </c>
      <c r="C709">
        <v>80</v>
      </c>
      <c r="D709" t="s">
        <v>114</v>
      </c>
      <c r="E709" t="s">
        <v>11</v>
      </c>
      <c r="F709">
        <v>4</v>
      </c>
      <c r="G709" t="s">
        <v>14</v>
      </c>
    </row>
    <row r="710" spans="1:7" x14ac:dyDescent="0.25">
      <c r="A710">
        <v>51</v>
      </c>
      <c r="B710" t="s">
        <v>166</v>
      </c>
      <c r="C710">
        <v>90</v>
      </c>
      <c r="D710" t="s">
        <v>21</v>
      </c>
      <c r="E710" t="s">
        <v>11</v>
      </c>
      <c r="F710">
        <v>1</v>
      </c>
      <c r="G710" t="s">
        <v>14</v>
      </c>
    </row>
    <row r="711" spans="1:7" x14ac:dyDescent="0.25">
      <c r="A711">
        <v>51</v>
      </c>
      <c r="B711" t="s">
        <v>166</v>
      </c>
      <c r="C711">
        <v>100</v>
      </c>
      <c r="D711" t="s">
        <v>22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166</v>
      </c>
      <c r="C712">
        <v>110</v>
      </c>
      <c r="D712" t="s">
        <v>23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166</v>
      </c>
      <c r="C713">
        <v>120</v>
      </c>
      <c r="D713" t="s">
        <v>115</v>
      </c>
      <c r="E713" t="s">
        <v>13</v>
      </c>
      <c r="F713">
        <v>0.34499999999999997</v>
      </c>
      <c r="G713" t="s">
        <v>14</v>
      </c>
    </row>
    <row r="714" spans="1:7" x14ac:dyDescent="0.25">
      <c r="A714">
        <v>51</v>
      </c>
      <c r="B714" t="s">
        <v>166</v>
      </c>
      <c r="C714">
        <v>130</v>
      </c>
      <c r="D714" t="s">
        <v>271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166</v>
      </c>
      <c r="C715">
        <v>140</v>
      </c>
      <c r="D715" t="s">
        <v>217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167</v>
      </c>
      <c r="C716">
        <v>10</v>
      </c>
      <c r="D716" t="s">
        <v>218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167</v>
      </c>
      <c r="C717">
        <v>20</v>
      </c>
      <c r="D717" t="s">
        <v>112</v>
      </c>
      <c r="E717" t="s">
        <v>15</v>
      </c>
      <c r="F717">
        <v>1.0920000000000001</v>
      </c>
      <c r="G717" t="s">
        <v>16</v>
      </c>
    </row>
    <row r="718" spans="1:7" x14ac:dyDescent="0.25">
      <c r="A718">
        <v>52</v>
      </c>
      <c r="B718" t="s">
        <v>167</v>
      </c>
      <c r="C718">
        <v>30</v>
      </c>
      <c r="D718" t="s">
        <v>113</v>
      </c>
      <c r="E718" t="s">
        <v>15</v>
      </c>
      <c r="F718">
        <v>1.0920000000000001</v>
      </c>
      <c r="G718" t="s">
        <v>16</v>
      </c>
    </row>
    <row r="719" spans="1:7" x14ac:dyDescent="0.25">
      <c r="A719">
        <v>52</v>
      </c>
      <c r="B719" t="s">
        <v>167</v>
      </c>
      <c r="C719">
        <v>40</v>
      </c>
      <c r="D719" t="s">
        <v>102</v>
      </c>
      <c r="E719" t="s">
        <v>103</v>
      </c>
      <c r="F719">
        <v>0.79900000000000004</v>
      </c>
      <c r="G719" t="s">
        <v>14</v>
      </c>
    </row>
    <row r="720" spans="1:7" x14ac:dyDescent="0.25">
      <c r="A720">
        <v>52</v>
      </c>
      <c r="B720" t="s">
        <v>167</v>
      </c>
      <c r="C720">
        <v>50</v>
      </c>
      <c r="D720" t="s">
        <v>18</v>
      </c>
      <c r="E720" t="s">
        <v>15</v>
      </c>
      <c r="F720">
        <v>98.754999999999995</v>
      </c>
      <c r="G720" t="s">
        <v>14</v>
      </c>
    </row>
    <row r="721" spans="1:7" x14ac:dyDescent="0.25">
      <c r="A721">
        <v>52</v>
      </c>
      <c r="B721" t="s">
        <v>167</v>
      </c>
      <c r="C721">
        <v>60</v>
      </c>
      <c r="D721" t="s">
        <v>91</v>
      </c>
      <c r="E721" t="s">
        <v>15</v>
      </c>
      <c r="F721">
        <v>18.745000000000001</v>
      </c>
      <c r="G721" t="s">
        <v>14</v>
      </c>
    </row>
    <row r="722" spans="1:7" x14ac:dyDescent="0.25">
      <c r="A722">
        <v>52</v>
      </c>
      <c r="B722" t="s">
        <v>167</v>
      </c>
      <c r="C722">
        <v>70</v>
      </c>
      <c r="D722" t="s">
        <v>90</v>
      </c>
      <c r="E722" t="s">
        <v>15</v>
      </c>
      <c r="F722">
        <v>116.22</v>
      </c>
      <c r="G722" t="s">
        <v>14</v>
      </c>
    </row>
    <row r="723" spans="1:7" x14ac:dyDescent="0.25">
      <c r="A723">
        <v>52</v>
      </c>
      <c r="B723" t="s">
        <v>167</v>
      </c>
      <c r="C723">
        <v>80</v>
      </c>
      <c r="D723" t="s">
        <v>114</v>
      </c>
      <c r="E723" t="s">
        <v>11</v>
      </c>
      <c r="F723">
        <v>4</v>
      </c>
      <c r="G723" t="s">
        <v>14</v>
      </c>
    </row>
    <row r="724" spans="1:7" x14ac:dyDescent="0.25">
      <c r="A724">
        <v>52</v>
      </c>
      <c r="B724" t="s">
        <v>167</v>
      </c>
      <c r="C724">
        <v>90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52</v>
      </c>
      <c r="B725" t="s">
        <v>167</v>
      </c>
      <c r="C725">
        <v>100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167</v>
      </c>
      <c r="C726">
        <v>110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167</v>
      </c>
      <c r="C727">
        <v>120</v>
      </c>
      <c r="D727" t="s">
        <v>115</v>
      </c>
      <c r="E727" t="s">
        <v>13</v>
      </c>
      <c r="F727">
        <v>0.39</v>
      </c>
      <c r="G727" t="s">
        <v>14</v>
      </c>
    </row>
    <row r="728" spans="1:7" x14ac:dyDescent="0.25">
      <c r="A728">
        <v>52</v>
      </c>
      <c r="B728" t="s">
        <v>167</v>
      </c>
      <c r="C728">
        <v>130</v>
      </c>
      <c r="D728" t="s">
        <v>272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167</v>
      </c>
      <c r="C729">
        <v>140</v>
      </c>
      <c r="D729" t="s">
        <v>219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168</v>
      </c>
      <c r="C730">
        <v>10</v>
      </c>
      <c r="D730" t="s">
        <v>220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168</v>
      </c>
      <c r="C731">
        <v>20</v>
      </c>
      <c r="D731" t="s">
        <v>112</v>
      </c>
      <c r="E731" t="s">
        <v>15</v>
      </c>
      <c r="F731">
        <v>1.2450000000000001</v>
      </c>
      <c r="G731" t="s">
        <v>16</v>
      </c>
    </row>
    <row r="732" spans="1:7" x14ac:dyDescent="0.25">
      <c r="A732">
        <v>53</v>
      </c>
      <c r="B732" t="s">
        <v>168</v>
      </c>
      <c r="C732">
        <v>30</v>
      </c>
      <c r="D732" t="s">
        <v>113</v>
      </c>
      <c r="E732" t="s">
        <v>15</v>
      </c>
      <c r="F732">
        <v>1.2450000000000001</v>
      </c>
      <c r="G732" t="s">
        <v>16</v>
      </c>
    </row>
    <row r="733" spans="1:7" x14ac:dyDescent="0.25">
      <c r="A733">
        <v>53</v>
      </c>
      <c r="B733" t="s">
        <v>168</v>
      </c>
      <c r="C733">
        <v>40</v>
      </c>
      <c r="D733" t="s">
        <v>102</v>
      </c>
      <c r="E733" t="s">
        <v>103</v>
      </c>
      <c r="F733">
        <v>0.91600000000000004</v>
      </c>
      <c r="G733" t="s">
        <v>14</v>
      </c>
    </row>
    <row r="734" spans="1:7" x14ac:dyDescent="0.25">
      <c r="A734">
        <v>53</v>
      </c>
      <c r="B734" t="s">
        <v>168</v>
      </c>
      <c r="C734">
        <v>50</v>
      </c>
      <c r="D734" t="s">
        <v>18</v>
      </c>
      <c r="E734" t="s">
        <v>15</v>
      </c>
      <c r="F734">
        <v>103.63200000000001</v>
      </c>
      <c r="G734" t="s">
        <v>14</v>
      </c>
    </row>
    <row r="735" spans="1:7" x14ac:dyDescent="0.25">
      <c r="A735">
        <v>53</v>
      </c>
      <c r="B735" t="s">
        <v>168</v>
      </c>
      <c r="C735">
        <v>60</v>
      </c>
      <c r="D735" t="s">
        <v>91</v>
      </c>
      <c r="E735" t="s">
        <v>15</v>
      </c>
      <c r="F735">
        <v>19.66</v>
      </c>
      <c r="G735" t="s">
        <v>14</v>
      </c>
    </row>
    <row r="736" spans="1:7" x14ac:dyDescent="0.25">
      <c r="A736">
        <v>53</v>
      </c>
      <c r="B736" t="s">
        <v>168</v>
      </c>
      <c r="C736">
        <v>70</v>
      </c>
      <c r="D736" t="s">
        <v>90</v>
      </c>
      <c r="E736" t="s">
        <v>15</v>
      </c>
      <c r="F736">
        <v>121.84399999999999</v>
      </c>
      <c r="G736" t="s">
        <v>14</v>
      </c>
    </row>
    <row r="737" spans="1:7" x14ac:dyDescent="0.25">
      <c r="A737">
        <v>53</v>
      </c>
      <c r="B737" t="s">
        <v>168</v>
      </c>
      <c r="C737">
        <v>80</v>
      </c>
      <c r="D737" t="s">
        <v>114</v>
      </c>
      <c r="E737" t="s">
        <v>11</v>
      </c>
      <c r="F737">
        <v>4</v>
      </c>
      <c r="G737" t="s">
        <v>14</v>
      </c>
    </row>
    <row r="738" spans="1:7" x14ac:dyDescent="0.25">
      <c r="A738">
        <v>53</v>
      </c>
      <c r="B738" t="s">
        <v>168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53</v>
      </c>
      <c r="B739" t="s">
        <v>168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168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168</v>
      </c>
      <c r="C741">
        <v>120</v>
      </c>
      <c r="D741" t="s">
        <v>115</v>
      </c>
      <c r="E741" t="s">
        <v>13</v>
      </c>
      <c r="F741">
        <v>0.435</v>
      </c>
      <c r="G741" t="s">
        <v>14</v>
      </c>
    </row>
    <row r="742" spans="1:7" x14ac:dyDescent="0.25">
      <c r="A742">
        <v>53</v>
      </c>
      <c r="B742" t="s">
        <v>168</v>
      </c>
      <c r="C742">
        <v>130</v>
      </c>
      <c r="D742" t="s">
        <v>273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168</v>
      </c>
      <c r="C743">
        <v>140</v>
      </c>
      <c r="D743" t="s">
        <v>221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169</v>
      </c>
      <c r="C744">
        <v>10</v>
      </c>
      <c r="D744" t="s">
        <v>222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169</v>
      </c>
      <c r="C745">
        <v>20</v>
      </c>
      <c r="D745" t="s">
        <v>112</v>
      </c>
      <c r="E745" t="s">
        <v>15</v>
      </c>
      <c r="F745">
        <v>1.5489999999999999</v>
      </c>
      <c r="G745" t="s">
        <v>16</v>
      </c>
    </row>
    <row r="746" spans="1:7" x14ac:dyDescent="0.25">
      <c r="A746">
        <v>54</v>
      </c>
      <c r="B746" t="s">
        <v>169</v>
      </c>
      <c r="C746">
        <v>30</v>
      </c>
      <c r="D746" t="s">
        <v>113</v>
      </c>
      <c r="E746" t="s">
        <v>15</v>
      </c>
      <c r="F746">
        <v>1.5489999999999999</v>
      </c>
      <c r="G746" t="s">
        <v>16</v>
      </c>
    </row>
    <row r="747" spans="1:7" x14ac:dyDescent="0.25">
      <c r="A747">
        <v>54</v>
      </c>
      <c r="B747" t="s">
        <v>169</v>
      </c>
      <c r="C747">
        <v>40</v>
      </c>
      <c r="D747" t="s">
        <v>102</v>
      </c>
      <c r="E747" t="s">
        <v>103</v>
      </c>
      <c r="F747">
        <v>1.1499999999999999</v>
      </c>
      <c r="G747" t="s">
        <v>14</v>
      </c>
    </row>
    <row r="748" spans="1:7" x14ac:dyDescent="0.25">
      <c r="A748">
        <v>54</v>
      </c>
      <c r="B748" t="s">
        <v>169</v>
      </c>
      <c r="C748">
        <v>50</v>
      </c>
      <c r="D748" t="s">
        <v>18</v>
      </c>
      <c r="E748" t="s">
        <v>15</v>
      </c>
      <c r="F748">
        <v>113.386</v>
      </c>
      <c r="G748" t="s">
        <v>14</v>
      </c>
    </row>
    <row r="749" spans="1:7" x14ac:dyDescent="0.25">
      <c r="A749">
        <v>54</v>
      </c>
      <c r="B749" t="s">
        <v>169</v>
      </c>
      <c r="C749">
        <v>60</v>
      </c>
      <c r="D749" t="s">
        <v>91</v>
      </c>
      <c r="E749" t="s">
        <v>15</v>
      </c>
      <c r="F749">
        <v>21.488</v>
      </c>
      <c r="G749" t="s">
        <v>14</v>
      </c>
    </row>
    <row r="750" spans="1:7" x14ac:dyDescent="0.25">
      <c r="A750">
        <v>54</v>
      </c>
      <c r="B750" t="s">
        <v>169</v>
      </c>
      <c r="C750">
        <v>70</v>
      </c>
      <c r="D750" t="s">
        <v>90</v>
      </c>
      <c r="E750" t="s">
        <v>15</v>
      </c>
      <c r="F750">
        <v>133.09100000000001</v>
      </c>
      <c r="G750" t="s">
        <v>14</v>
      </c>
    </row>
    <row r="751" spans="1:7" x14ac:dyDescent="0.25">
      <c r="A751">
        <v>54</v>
      </c>
      <c r="B751" t="s">
        <v>169</v>
      </c>
      <c r="C751">
        <v>80</v>
      </c>
      <c r="D751" t="s">
        <v>114</v>
      </c>
      <c r="E751" t="s">
        <v>11</v>
      </c>
      <c r="F751">
        <v>4</v>
      </c>
      <c r="G751" t="s">
        <v>14</v>
      </c>
    </row>
    <row r="752" spans="1:7" x14ac:dyDescent="0.25">
      <c r="A752">
        <v>54</v>
      </c>
      <c r="B752" t="s">
        <v>169</v>
      </c>
      <c r="C752">
        <v>90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54</v>
      </c>
      <c r="B753" t="s">
        <v>169</v>
      </c>
      <c r="C753">
        <v>100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169</v>
      </c>
      <c r="C754">
        <v>110</v>
      </c>
      <c r="D754" t="s">
        <v>23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169</v>
      </c>
      <c r="C755">
        <v>120</v>
      </c>
      <c r="D755" t="s">
        <v>115</v>
      </c>
      <c r="E755" t="s">
        <v>13</v>
      </c>
      <c r="F755">
        <v>0.52500000000000002</v>
      </c>
      <c r="G755" t="s">
        <v>14</v>
      </c>
    </row>
    <row r="756" spans="1:7" x14ac:dyDescent="0.25">
      <c r="A756">
        <v>54</v>
      </c>
      <c r="B756" t="s">
        <v>169</v>
      </c>
      <c r="C756">
        <v>130</v>
      </c>
      <c r="D756" t="s">
        <v>274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169</v>
      </c>
      <c r="C757">
        <v>140</v>
      </c>
      <c r="D757" t="s">
        <v>223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170</v>
      </c>
      <c r="C758">
        <v>10</v>
      </c>
      <c r="D758" t="s">
        <v>224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170</v>
      </c>
      <c r="C759">
        <v>20</v>
      </c>
      <c r="D759" t="s">
        <v>112</v>
      </c>
      <c r="E759" t="s">
        <v>15</v>
      </c>
      <c r="F759">
        <v>1.702</v>
      </c>
      <c r="G759" t="s">
        <v>16</v>
      </c>
    </row>
    <row r="760" spans="1:7" x14ac:dyDescent="0.25">
      <c r="A760">
        <v>55</v>
      </c>
      <c r="B760" t="s">
        <v>170</v>
      </c>
      <c r="C760">
        <v>30</v>
      </c>
      <c r="D760" t="s">
        <v>113</v>
      </c>
      <c r="E760" t="s">
        <v>15</v>
      </c>
      <c r="F760">
        <v>1.702</v>
      </c>
      <c r="G760" t="s">
        <v>16</v>
      </c>
    </row>
    <row r="761" spans="1:7" x14ac:dyDescent="0.25">
      <c r="A761">
        <v>55</v>
      </c>
      <c r="B761" t="s">
        <v>170</v>
      </c>
      <c r="C761">
        <v>40</v>
      </c>
      <c r="D761" t="s">
        <v>102</v>
      </c>
      <c r="E761" t="s">
        <v>103</v>
      </c>
      <c r="F761">
        <v>1.2669999999999999</v>
      </c>
      <c r="G761" t="s">
        <v>14</v>
      </c>
    </row>
    <row r="762" spans="1:7" x14ac:dyDescent="0.25">
      <c r="A762">
        <v>55</v>
      </c>
      <c r="B762" t="s">
        <v>170</v>
      </c>
      <c r="C762">
        <v>50</v>
      </c>
      <c r="D762" t="s">
        <v>18</v>
      </c>
      <c r="E762" t="s">
        <v>15</v>
      </c>
      <c r="F762">
        <v>118.262</v>
      </c>
      <c r="G762" t="s">
        <v>14</v>
      </c>
    </row>
    <row r="763" spans="1:7" x14ac:dyDescent="0.25">
      <c r="A763">
        <v>55</v>
      </c>
      <c r="B763" t="s">
        <v>170</v>
      </c>
      <c r="C763">
        <v>60</v>
      </c>
      <c r="D763" t="s">
        <v>91</v>
      </c>
      <c r="E763" t="s">
        <v>15</v>
      </c>
      <c r="F763">
        <v>22.402999999999999</v>
      </c>
      <c r="G763" t="s">
        <v>14</v>
      </c>
    </row>
    <row r="764" spans="1:7" x14ac:dyDescent="0.25">
      <c r="A764">
        <v>55</v>
      </c>
      <c r="B764" t="s">
        <v>170</v>
      </c>
      <c r="C764">
        <v>70</v>
      </c>
      <c r="D764" t="s">
        <v>90</v>
      </c>
      <c r="E764" t="s">
        <v>15</v>
      </c>
      <c r="F764">
        <v>138.714</v>
      </c>
      <c r="G764" t="s">
        <v>14</v>
      </c>
    </row>
    <row r="765" spans="1:7" x14ac:dyDescent="0.25">
      <c r="A765">
        <v>55</v>
      </c>
      <c r="B765" t="s">
        <v>170</v>
      </c>
      <c r="C765">
        <v>80</v>
      </c>
      <c r="D765" t="s">
        <v>114</v>
      </c>
      <c r="E765" t="s">
        <v>11</v>
      </c>
      <c r="F765">
        <v>4</v>
      </c>
      <c r="G765" t="s">
        <v>14</v>
      </c>
    </row>
    <row r="766" spans="1:7" x14ac:dyDescent="0.25">
      <c r="A766">
        <v>55</v>
      </c>
      <c r="B766" t="s">
        <v>170</v>
      </c>
      <c r="C766">
        <v>90</v>
      </c>
      <c r="D766" t="s">
        <v>21</v>
      </c>
      <c r="E766" t="s">
        <v>11</v>
      </c>
      <c r="F766">
        <v>1</v>
      </c>
      <c r="G766" t="s">
        <v>14</v>
      </c>
    </row>
    <row r="767" spans="1:7" x14ac:dyDescent="0.25">
      <c r="A767">
        <v>55</v>
      </c>
      <c r="B767" t="s">
        <v>170</v>
      </c>
      <c r="C767">
        <v>100</v>
      </c>
      <c r="D767" t="s">
        <v>22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170</v>
      </c>
      <c r="C768">
        <v>110</v>
      </c>
      <c r="D768" t="s">
        <v>23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170</v>
      </c>
      <c r="C769">
        <v>120</v>
      </c>
      <c r="D769" t="s">
        <v>115</v>
      </c>
      <c r="E769" t="s">
        <v>13</v>
      </c>
      <c r="F769">
        <v>0.56999999999999995</v>
      </c>
      <c r="G769" t="s">
        <v>14</v>
      </c>
    </row>
    <row r="770" spans="1:7" x14ac:dyDescent="0.25">
      <c r="A770">
        <v>55</v>
      </c>
      <c r="B770" t="s">
        <v>170</v>
      </c>
      <c r="C770">
        <v>130</v>
      </c>
      <c r="D770" t="s">
        <v>275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170</v>
      </c>
      <c r="C771">
        <v>140</v>
      </c>
      <c r="D771" t="s">
        <v>225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171</v>
      </c>
      <c r="C772">
        <v>10</v>
      </c>
      <c r="D772" t="s">
        <v>226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171</v>
      </c>
      <c r="C773">
        <v>20</v>
      </c>
      <c r="D773" t="s">
        <v>112</v>
      </c>
      <c r="E773" t="s">
        <v>15</v>
      </c>
      <c r="F773">
        <v>1.8540000000000001</v>
      </c>
      <c r="G773" t="s">
        <v>16</v>
      </c>
    </row>
    <row r="774" spans="1:7" x14ac:dyDescent="0.25">
      <c r="A774">
        <v>56</v>
      </c>
      <c r="B774" t="s">
        <v>171</v>
      </c>
      <c r="C774">
        <v>30</v>
      </c>
      <c r="D774" t="s">
        <v>113</v>
      </c>
      <c r="E774" t="s">
        <v>15</v>
      </c>
      <c r="F774">
        <v>1.8540000000000001</v>
      </c>
      <c r="G774" t="s">
        <v>16</v>
      </c>
    </row>
    <row r="775" spans="1:7" x14ac:dyDescent="0.25">
      <c r="A775">
        <v>56</v>
      </c>
      <c r="B775" t="s">
        <v>171</v>
      </c>
      <c r="C775">
        <v>40</v>
      </c>
      <c r="D775" t="s">
        <v>102</v>
      </c>
      <c r="E775" t="s">
        <v>103</v>
      </c>
      <c r="F775">
        <v>1.3839999999999999</v>
      </c>
      <c r="G775" t="s">
        <v>14</v>
      </c>
    </row>
    <row r="776" spans="1:7" x14ac:dyDescent="0.25">
      <c r="A776">
        <v>56</v>
      </c>
      <c r="B776" t="s">
        <v>171</v>
      </c>
      <c r="C776">
        <v>50</v>
      </c>
      <c r="D776" t="s">
        <v>18</v>
      </c>
      <c r="E776" t="s">
        <v>15</v>
      </c>
      <c r="F776">
        <v>123.139</v>
      </c>
      <c r="G776" t="s">
        <v>14</v>
      </c>
    </row>
    <row r="777" spans="1:7" x14ac:dyDescent="0.25">
      <c r="A777">
        <v>56</v>
      </c>
      <c r="B777" t="s">
        <v>171</v>
      </c>
      <c r="C777">
        <v>60</v>
      </c>
      <c r="D777" t="s">
        <v>91</v>
      </c>
      <c r="E777" t="s">
        <v>15</v>
      </c>
      <c r="F777">
        <v>23.317</v>
      </c>
      <c r="G777" t="s">
        <v>14</v>
      </c>
    </row>
    <row r="778" spans="1:7" x14ac:dyDescent="0.25">
      <c r="A778">
        <v>56</v>
      </c>
      <c r="B778" t="s">
        <v>171</v>
      </c>
      <c r="C778">
        <v>70</v>
      </c>
      <c r="D778" t="s">
        <v>90</v>
      </c>
      <c r="E778" t="s">
        <v>15</v>
      </c>
      <c r="F778">
        <v>144.33799999999999</v>
      </c>
      <c r="G778" t="s">
        <v>14</v>
      </c>
    </row>
    <row r="779" spans="1:7" x14ac:dyDescent="0.25">
      <c r="A779">
        <v>56</v>
      </c>
      <c r="B779" t="s">
        <v>171</v>
      </c>
      <c r="C779">
        <v>80</v>
      </c>
      <c r="D779" t="s">
        <v>114</v>
      </c>
      <c r="E779" t="s">
        <v>11</v>
      </c>
      <c r="F779">
        <v>4</v>
      </c>
      <c r="G779" t="s">
        <v>14</v>
      </c>
    </row>
    <row r="780" spans="1:7" x14ac:dyDescent="0.25">
      <c r="A780">
        <v>56</v>
      </c>
      <c r="B780" t="s">
        <v>171</v>
      </c>
      <c r="C780">
        <v>90</v>
      </c>
      <c r="D780" t="s">
        <v>21</v>
      </c>
      <c r="E780" t="s">
        <v>11</v>
      </c>
      <c r="F780">
        <v>1</v>
      </c>
      <c r="G780" t="s">
        <v>14</v>
      </c>
    </row>
    <row r="781" spans="1:7" x14ac:dyDescent="0.25">
      <c r="A781">
        <v>56</v>
      </c>
      <c r="B781" t="s">
        <v>171</v>
      </c>
      <c r="C781">
        <v>100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171</v>
      </c>
      <c r="C782">
        <v>110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171</v>
      </c>
      <c r="C783">
        <v>120</v>
      </c>
      <c r="D783" t="s">
        <v>115</v>
      </c>
      <c r="E783" t="s">
        <v>13</v>
      </c>
      <c r="F783">
        <v>0.61599999999999999</v>
      </c>
      <c r="G783" t="s">
        <v>14</v>
      </c>
    </row>
    <row r="784" spans="1:7" x14ac:dyDescent="0.25">
      <c r="A784">
        <v>56</v>
      </c>
      <c r="B784" t="s">
        <v>171</v>
      </c>
      <c r="C784">
        <v>130</v>
      </c>
      <c r="D784" t="s">
        <v>276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171</v>
      </c>
      <c r="C785">
        <v>140</v>
      </c>
      <c r="D785" t="s">
        <v>227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172</v>
      </c>
      <c r="C786">
        <v>10</v>
      </c>
      <c r="D786" t="s">
        <v>228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172</v>
      </c>
      <c r="C787">
        <v>20</v>
      </c>
      <c r="D787" t="s">
        <v>112</v>
      </c>
      <c r="E787" t="s">
        <v>15</v>
      </c>
      <c r="F787">
        <v>2.0569999999999999</v>
      </c>
      <c r="G787" t="s">
        <v>16</v>
      </c>
    </row>
    <row r="788" spans="1:7" x14ac:dyDescent="0.25">
      <c r="A788">
        <v>57</v>
      </c>
      <c r="B788" t="s">
        <v>172</v>
      </c>
      <c r="C788">
        <v>30</v>
      </c>
      <c r="D788" t="s">
        <v>113</v>
      </c>
      <c r="E788" t="s">
        <v>15</v>
      </c>
      <c r="F788">
        <v>2.0569999999999999</v>
      </c>
      <c r="G788" t="s">
        <v>16</v>
      </c>
    </row>
    <row r="789" spans="1:7" x14ac:dyDescent="0.25">
      <c r="A789">
        <v>57</v>
      </c>
      <c r="B789" t="s">
        <v>172</v>
      </c>
      <c r="C789">
        <v>40</v>
      </c>
      <c r="D789" t="s">
        <v>102</v>
      </c>
      <c r="E789" t="s">
        <v>103</v>
      </c>
      <c r="F789">
        <v>0.57999999999999996</v>
      </c>
      <c r="G789" t="s">
        <v>14</v>
      </c>
    </row>
    <row r="790" spans="1:7" x14ac:dyDescent="0.25">
      <c r="A790">
        <v>57</v>
      </c>
      <c r="B790" t="s">
        <v>172</v>
      </c>
      <c r="C790">
        <v>50</v>
      </c>
      <c r="D790" t="s">
        <v>18</v>
      </c>
      <c r="E790" t="s">
        <v>15</v>
      </c>
      <c r="F790">
        <v>90.626999999999995</v>
      </c>
      <c r="G790" t="s">
        <v>14</v>
      </c>
    </row>
    <row r="791" spans="1:7" x14ac:dyDescent="0.25">
      <c r="A791">
        <v>57</v>
      </c>
      <c r="B791" t="s">
        <v>172</v>
      </c>
      <c r="C791">
        <v>60</v>
      </c>
      <c r="D791" t="s">
        <v>91</v>
      </c>
      <c r="E791" t="s">
        <v>15</v>
      </c>
      <c r="F791">
        <v>17.221</v>
      </c>
      <c r="G791" t="s">
        <v>14</v>
      </c>
    </row>
    <row r="792" spans="1:7" x14ac:dyDescent="0.25">
      <c r="A792">
        <v>57</v>
      </c>
      <c r="B792" t="s">
        <v>172</v>
      </c>
      <c r="C792">
        <v>70</v>
      </c>
      <c r="D792" t="s">
        <v>90</v>
      </c>
      <c r="E792" t="s">
        <v>15</v>
      </c>
      <c r="F792">
        <v>106.848</v>
      </c>
      <c r="G792" t="s">
        <v>14</v>
      </c>
    </row>
    <row r="793" spans="1:7" x14ac:dyDescent="0.25">
      <c r="A793">
        <v>57</v>
      </c>
      <c r="B793" t="s">
        <v>172</v>
      </c>
      <c r="C793">
        <v>80</v>
      </c>
      <c r="D793" t="s">
        <v>114</v>
      </c>
      <c r="E793" t="s">
        <v>11</v>
      </c>
      <c r="F793">
        <v>4</v>
      </c>
      <c r="G793" t="s">
        <v>14</v>
      </c>
    </row>
    <row r="794" spans="1:7" x14ac:dyDescent="0.25">
      <c r="A794">
        <v>57</v>
      </c>
      <c r="B794" t="s">
        <v>172</v>
      </c>
      <c r="C794">
        <v>90</v>
      </c>
      <c r="D794" t="s">
        <v>21</v>
      </c>
      <c r="E794" t="s">
        <v>11</v>
      </c>
      <c r="F794">
        <v>1</v>
      </c>
      <c r="G794" t="s">
        <v>14</v>
      </c>
    </row>
    <row r="795" spans="1:7" x14ac:dyDescent="0.25">
      <c r="A795">
        <v>57</v>
      </c>
      <c r="B795" t="s">
        <v>172</v>
      </c>
      <c r="C795">
        <v>100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172</v>
      </c>
      <c r="C796">
        <v>110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172</v>
      </c>
      <c r="C797">
        <v>120</v>
      </c>
      <c r="D797" t="s">
        <v>115</v>
      </c>
      <c r="E797" t="s">
        <v>13</v>
      </c>
      <c r="F797">
        <v>0.67600000000000005</v>
      </c>
      <c r="G797" t="s">
        <v>14</v>
      </c>
    </row>
    <row r="798" spans="1:7" x14ac:dyDescent="0.25">
      <c r="A798">
        <v>57</v>
      </c>
      <c r="B798" t="s">
        <v>172</v>
      </c>
      <c r="C798">
        <v>130</v>
      </c>
      <c r="D798" t="s">
        <v>277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172</v>
      </c>
      <c r="C799">
        <v>140</v>
      </c>
      <c r="D799" t="s">
        <v>229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173</v>
      </c>
      <c r="C800">
        <v>10</v>
      </c>
      <c r="D800" t="s">
        <v>230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173</v>
      </c>
      <c r="C801">
        <v>20</v>
      </c>
      <c r="D801" t="s">
        <v>112</v>
      </c>
      <c r="E801" t="s">
        <v>15</v>
      </c>
      <c r="F801">
        <v>2.0569999999999999</v>
      </c>
      <c r="G801" t="s">
        <v>16</v>
      </c>
    </row>
    <row r="802" spans="1:7" x14ac:dyDescent="0.25">
      <c r="A802">
        <v>58</v>
      </c>
      <c r="B802" t="s">
        <v>173</v>
      </c>
      <c r="C802">
        <v>30</v>
      </c>
      <c r="D802" t="s">
        <v>113</v>
      </c>
      <c r="E802" t="s">
        <v>15</v>
      </c>
      <c r="F802">
        <v>2.0569999999999999</v>
      </c>
      <c r="G802" t="s">
        <v>16</v>
      </c>
    </row>
    <row r="803" spans="1:7" x14ac:dyDescent="0.25">
      <c r="A803">
        <v>58</v>
      </c>
      <c r="B803" t="s">
        <v>173</v>
      </c>
      <c r="C803">
        <v>40</v>
      </c>
      <c r="D803" t="s">
        <v>102</v>
      </c>
      <c r="E803" t="s">
        <v>103</v>
      </c>
      <c r="F803">
        <v>0.7</v>
      </c>
      <c r="G803" t="s">
        <v>14</v>
      </c>
    </row>
    <row r="804" spans="1:7" x14ac:dyDescent="0.25">
      <c r="A804">
        <v>58</v>
      </c>
      <c r="B804" t="s">
        <v>173</v>
      </c>
      <c r="C804">
        <v>50</v>
      </c>
      <c r="D804" t="s">
        <v>18</v>
      </c>
      <c r="E804" t="s">
        <v>15</v>
      </c>
      <c r="F804">
        <v>95.504000000000005</v>
      </c>
      <c r="G804" t="s">
        <v>14</v>
      </c>
    </row>
    <row r="805" spans="1:7" x14ac:dyDescent="0.25">
      <c r="A805">
        <v>58</v>
      </c>
      <c r="B805" t="s">
        <v>173</v>
      </c>
      <c r="C805">
        <v>60</v>
      </c>
      <c r="D805" t="s">
        <v>91</v>
      </c>
      <c r="E805" t="s">
        <v>15</v>
      </c>
      <c r="F805">
        <v>18.135999999999999</v>
      </c>
      <c r="G805" t="s">
        <v>14</v>
      </c>
    </row>
    <row r="806" spans="1:7" x14ac:dyDescent="0.25">
      <c r="A806">
        <v>58</v>
      </c>
      <c r="B806" t="s">
        <v>173</v>
      </c>
      <c r="C806">
        <v>70</v>
      </c>
      <c r="D806" t="s">
        <v>90</v>
      </c>
      <c r="E806" t="s">
        <v>15</v>
      </c>
      <c r="F806">
        <v>112.471</v>
      </c>
      <c r="G806" t="s">
        <v>14</v>
      </c>
    </row>
    <row r="807" spans="1:7" x14ac:dyDescent="0.25">
      <c r="A807">
        <v>58</v>
      </c>
      <c r="B807" t="s">
        <v>173</v>
      </c>
      <c r="C807">
        <v>80</v>
      </c>
      <c r="D807" t="s">
        <v>114</v>
      </c>
      <c r="E807" t="s">
        <v>11</v>
      </c>
      <c r="F807">
        <v>4</v>
      </c>
      <c r="G807" t="s">
        <v>14</v>
      </c>
    </row>
    <row r="808" spans="1:7" x14ac:dyDescent="0.25">
      <c r="A808">
        <v>58</v>
      </c>
      <c r="B808" t="s">
        <v>173</v>
      </c>
      <c r="C808">
        <v>90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58</v>
      </c>
      <c r="B809" t="s">
        <v>173</v>
      </c>
      <c r="C809">
        <v>100</v>
      </c>
      <c r="D809" t="s">
        <v>22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173</v>
      </c>
      <c r="C810">
        <v>110</v>
      </c>
      <c r="D810" t="s">
        <v>23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173</v>
      </c>
      <c r="C811">
        <v>120</v>
      </c>
      <c r="D811" t="s">
        <v>115</v>
      </c>
      <c r="E811" t="s">
        <v>13</v>
      </c>
      <c r="F811">
        <v>0.67600000000000005</v>
      </c>
      <c r="G811" t="s">
        <v>14</v>
      </c>
    </row>
    <row r="812" spans="1:7" x14ac:dyDescent="0.25">
      <c r="A812">
        <v>58</v>
      </c>
      <c r="B812" t="s">
        <v>173</v>
      </c>
      <c r="C812">
        <v>130</v>
      </c>
      <c r="D812" t="s">
        <v>278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173</v>
      </c>
      <c r="C813">
        <v>140</v>
      </c>
      <c r="D813" t="s">
        <v>231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174</v>
      </c>
      <c r="C814">
        <v>10</v>
      </c>
      <c r="D814" t="s">
        <v>232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174</v>
      </c>
      <c r="C815">
        <v>20</v>
      </c>
      <c r="D815" t="s">
        <v>112</v>
      </c>
      <c r="E815" t="s">
        <v>15</v>
      </c>
      <c r="F815">
        <v>2.0569999999999999</v>
      </c>
      <c r="G815" t="s">
        <v>16</v>
      </c>
    </row>
    <row r="816" spans="1:7" x14ac:dyDescent="0.25">
      <c r="A816">
        <v>59</v>
      </c>
      <c r="B816" t="s">
        <v>174</v>
      </c>
      <c r="C816">
        <v>30</v>
      </c>
      <c r="D816" t="s">
        <v>113</v>
      </c>
      <c r="E816" t="s">
        <v>15</v>
      </c>
      <c r="F816">
        <v>2.0569999999999999</v>
      </c>
      <c r="G816" t="s">
        <v>16</v>
      </c>
    </row>
    <row r="817" spans="1:7" x14ac:dyDescent="0.25">
      <c r="A817">
        <v>59</v>
      </c>
      <c r="B817" t="s">
        <v>174</v>
      </c>
      <c r="C817">
        <v>40</v>
      </c>
      <c r="D817" t="s">
        <v>102</v>
      </c>
      <c r="E817" t="s">
        <v>103</v>
      </c>
      <c r="F817">
        <v>0.82</v>
      </c>
      <c r="G817" t="s">
        <v>14</v>
      </c>
    </row>
    <row r="818" spans="1:7" x14ac:dyDescent="0.25">
      <c r="A818">
        <v>59</v>
      </c>
      <c r="B818" t="s">
        <v>174</v>
      </c>
      <c r="C818">
        <v>50</v>
      </c>
      <c r="D818" t="s">
        <v>18</v>
      </c>
      <c r="E818" t="s">
        <v>15</v>
      </c>
      <c r="F818">
        <v>100.381</v>
      </c>
      <c r="G818" t="s">
        <v>14</v>
      </c>
    </row>
    <row r="819" spans="1:7" x14ac:dyDescent="0.25">
      <c r="A819">
        <v>59</v>
      </c>
      <c r="B819" t="s">
        <v>174</v>
      </c>
      <c r="C819">
        <v>60</v>
      </c>
      <c r="D819" t="s">
        <v>91</v>
      </c>
      <c r="E819" t="s">
        <v>15</v>
      </c>
      <c r="F819">
        <v>19.05</v>
      </c>
      <c r="G819" t="s">
        <v>14</v>
      </c>
    </row>
    <row r="820" spans="1:7" x14ac:dyDescent="0.25">
      <c r="A820">
        <v>59</v>
      </c>
      <c r="B820" t="s">
        <v>174</v>
      </c>
      <c r="C820">
        <v>70</v>
      </c>
      <c r="D820" t="s">
        <v>90</v>
      </c>
      <c r="E820" t="s">
        <v>15</v>
      </c>
      <c r="F820">
        <v>118.095</v>
      </c>
      <c r="G820" t="s">
        <v>14</v>
      </c>
    </row>
    <row r="821" spans="1:7" x14ac:dyDescent="0.25">
      <c r="A821">
        <v>59</v>
      </c>
      <c r="B821" t="s">
        <v>174</v>
      </c>
      <c r="C821">
        <v>80</v>
      </c>
      <c r="D821" t="s">
        <v>114</v>
      </c>
      <c r="E821" t="s">
        <v>11</v>
      </c>
      <c r="F821">
        <v>4</v>
      </c>
      <c r="G821" t="s">
        <v>14</v>
      </c>
    </row>
    <row r="822" spans="1:7" x14ac:dyDescent="0.25">
      <c r="A822">
        <v>59</v>
      </c>
      <c r="B822" t="s">
        <v>174</v>
      </c>
      <c r="C822">
        <v>90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59</v>
      </c>
      <c r="B823" t="s">
        <v>174</v>
      </c>
      <c r="C823">
        <v>100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174</v>
      </c>
      <c r="C824">
        <v>110</v>
      </c>
      <c r="D824" t="s">
        <v>23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174</v>
      </c>
      <c r="C825">
        <v>120</v>
      </c>
      <c r="D825" t="s">
        <v>115</v>
      </c>
      <c r="E825" t="s">
        <v>13</v>
      </c>
      <c r="F825">
        <v>0.67600000000000005</v>
      </c>
      <c r="G825" t="s">
        <v>14</v>
      </c>
    </row>
    <row r="826" spans="1:7" x14ac:dyDescent="0.25">
      <c r="A826">
        <v>59</v>
      </c>
      <c r="B826" t="s">
        <v>174</v>
      </c>
      <c r="C826">
        <v>130</v>
      </c>
      <c r="D826" t="s">
        <v>279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174</v>
      </c>
      <c r="C827">
        <v>140</v>
      </c>
      <c r="D827" t="s">
        <v>233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175</v>
      </c>
      <c r="C828">
        <v>10</v>
      </c>
      <c r="D828" t="s">
        <v>234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175</v>
      </c>
      <c r="C829">
        <v>20</v>
      </c>
      <c r="D829" t="s">
        <v>112</v>
      </c>
      <c r="E829" t="s">
        <v>15</v>
      </c>
      <c r="F829">
        <v>2.0569999999999999</v>
      </c>
      <c r="G829" t="s">
        <v>16</v>
      </c>
    </row>
    <row r="830" spans="1:7" x14ac:dyDescent="0.25">
      <c r="A830">
        <v>60</v>
      </c>
      <c r="B830" t="s">
        <v>175</v>
      </c>
      <c r="C830">
        <v>30</v>
      </c>
      <c r="D830" t="s">
        <v>113</v>
      </c>
      <c r="E830" t="s">
        <v>15</v>
      </c>
      <c r="F830">
        <v>2.0569999999999999</v>
      </c>
      <c r="G830" t="s">
        <v>16</v>
      </c>
    </row>
    <row r="831" spans="1:7" x14ac:dyDescent="0.25">
      <c r="A831">
        <v>60</v>
      </c>
      <c r="B831" t="s">
        <v>175</v>
      </c>
      <c r="C831">
        <v>40</v>
      </c>
      <c r="D831" t="s">
        <v>102</v>
      </c>
      <c r="E831" t="s">
        <v>103</v>
      </c>
      <c r="F831">
        <v>0.94</v>
      </c>
      <c r="G831" t="s">
        <v>14</v>
      </c>
    </row>
    <row r="832" spans="1:7" x14ac:dyDescent="0.25">
      <c r="A832">
        <v>60</v>
      </c>
      <c r="B832" t="s">
        <v>175</v>
      </c>
      <c r="C832">
        <v>50</v>
      </c>
      <c r="D832" t="s">
        <v>18</v>
      </c>
      <c r="E832" t="s">
        <v>15</v>
      </c>
      <c r="F832">
        <v>105.258</v>
      </c>
      <c r="G832" t="s">
        <v>14</v>
      </c>
    </row>
    <row r="833" spans="1:7" x14ac:dyDescent="0.25">
      <c r="A833">
        <v>60</v>
      </c>
      <c r="B833" t="s">
        <v>175</v>
      </c>
      <c r="C833">
        <v>60</v>
      </c>
      <c r="D833" t="s">
        <v>91</v>
      </c>
      <c r="E833" t="s">
        <v>15</v>
      </c>
      <c r="F833">
        <v>19.963999999999999</v>
      </c>
      <c r="G833" t="s">
        <v>14</v>
      </c>
    </row>
    <row r="834" spans="1:7" x14ac:dyDescent="0.25">
      <c r="A834">
        <v>60</v>
      </c>
      <c r="B834" t="s">
        <v>175</v>
      </c>
      <c r="C834">
        <v>70</v>
      </c>
      <c r="D834" t="s">
        <v>90</v>
      </c>
      <c r="E834" t="s">
        <v>15</v>
      </c>
      <c r="F834">
        <v>123.718</v>
      </c>
      <c r="G834" t="s">
        <v>14</v>
      </c>
    </row>
    <row r="835" spans="1:7" x14ac:dyDescent="0.25">
      <c r="A835">
        <v>60</v>
      </c>
      <c r="B835" t="s">
        <v>175</v>
      </c>
      <c r="C835">
        <v>80</v>
      </c>
      <c r="D835" t="s">
        <v>114</v>
      </c>
      <c r="E835" t="s">
        <v>11</v>
      </c>
      <c r="F835">
        <v>4</v>
      </c>
      <c r="G835" t="s">
        <v>14</v>
      </c>
    </row>
    <row r="836" spans="1:7" x14ac:dyDescent="0.25">
      <c r="A836">
        <v>60</v>
      </c>
      <c r="B836" t="s">
        <v>175</v>
      </c>
      <c r="C836">
        <v>90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60</v>
      </c>
      <c r="B837" t="s">
        <v>175</v>
      </c>
      <c r="C837">
        <v>100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175</v>
      </c>
      <c r="C838">
        <v>110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175</v>
      </c>
      <c r="C839">
        <v>120</v>
      </c>
      <c r="D839" t="s">
        <v>115</v>
      </c>
      <c r="E839" t="s">
        <v>13</v>
      </c>
      <c r="F839">
        <v>0.67600000000000005</v>
      </c>
      <c r="G839" t="s">
        <v>14</v>
      </c>
    </row>
    <row r="840" spans="1:7" x14ac:dyDescent="0.25">
      <c r="A840">
        <v>60</v>
      </c>
      <c r="B840" t="s">
        <v>175</v>
      </c>
      <c r="C840">
        <v>130</v>
      </c>
      <c r="D840" t="s">
        <v>280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175</v>
      </c>
      <c r="C841">
        <v>140</v>
      </c>
      <c r="D841" t="s">
        <v>235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176</v>
      </c>
      <c r="C842">
        <v>10</v>
      </c>
      <c r="D842" t="s">
        <v>236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176</v>
      </c>
      <c r="C843">
        <v>20</v>
      </c>
      <c r="D843" t="s">
        <v>112</v>
      </c>
      <c r="E843" t="s">
        <v>15</v>
      </c>
      <c r="F843">
        <v>2.0569999999999999</v>
      </c>
      <c r="G843" t="s">
        <v>16</v>
      </c>
    </row>
    <row r="844" spans="1:7" x14ac:dyDescent="0.25">
      <c r="A844">
        <v>61</v>
      </c>
      <c r="B844" t="s">
        <v>176</v>
      </c>
      <c r="C844">
        <v>30</v>
      </c>
      <c r="D844" t="s">
        <v>113</v>
      </c>
      <c r="E844" t="s">
        <v>15</v>
      </c>
      <c r="F844">
        <v>2.0569999999999999</v>
      </c>
      <c r="G844" t="s">
        <v>16</v>
      </c>
    </row>
    <row r="845" spans="1:7" x14ac:dyDescent="0.25">
      <c r="A845">
        <v>61</v>
      </c>
      <c r="B845" t="s">
        <v>176</v>
      </c>
      <c r="C845">
        <v>40</v>
      </c>
      <c r="D845" t="s">
        <v>102</v>
      </c>
      <c r="E845" t="s">
        <v>103</v>
      </c>
      <c r="F845">
        <v>1.18</v>
      </c>
      <c r="G845" t="s">
        <v>14</v>
      </c>
    </row>
    <row r="846" spans="1:7" x14ac:dyDescent="0.25">
      <c r="A846">
        <v>61</v>
      </c>
      <c r="B846" t="s">
        <v>176</v>
      </c>
      <c r="C846">
        <v>50</v>
      </c>
      <c r="D846" t="s">
        <v>18</v>
      </c>
      <c r="E846" t="s">
        <v>15</v>
      </c>
      <c r="F846">
        <v>115.011</v>
      </c>
      <c r="G846" t="s">
        <v>14</v>
      </c>
    </row>
    <row r="847" spans="1:7" x14ac:dyDescent="0.25">
      <c r="A847">
        <v>61</v>
      </c>
      <c r="B847" t="s">
        <v>176</v>
      </c>
      <c r="C847">
        <v>60</v>
      </c>
      <c r="D847" t="s">
        <v>91</v>
      </c>
      <c r="E847" t="s">
        <v>15</v>
      </c>
      <c r="F847">
        <v>21.792999999999999</v>
      </c>
      <c r="G847" t="s">
        <v>14</v>
      </c>
    </row>
    <row r="848" spans="1:7" x14ac:dyDescent="0.25">
      <c r="A848">
        <v>61</v>
      </c>
      <c r="B848" t="s">
        <v>176</v>
      </c>
      <c r="C848">
        <v>70</v>
      </c>
      <c r="D848" t="s">
        <v>90</v>
      </c>
      <c r="E848" t="s">
        <v>15</v>
      </c>
      <c r="F848">
        <v>134.965</v>
      </c>
      <c r="G848" t="s">
        <v>14</v>
      </c>
    </row>
    <row r="849" spans="1:7" x14ac:dyDescent="0.25">
      <c r="A849">
        <v>61</v>
      </c>
      <c r="B849" t="s">
        <v>176</v>
      </c>
      <c r="C849">
        <v>80</v>
      </c>
      <c r="D849" t="s">
        <v>114</v>
      </c>
      <c r="E849" t="s">
        <v>11</v>
      </c>
      <c r="F849">
        <v>4</v>
      </c>
      <c r="G849" t="s">
        <v>14</v>
      </c>
    </row>
    <row r="850" spans="1:7" x14ac:dyDescent="0.25">
      <c r="A850">
        <v>61</v>
      </c>
      <c r="B850" t="s">
        <v>176</v>
      </c>
      <c r="C850">
        <v>90</v>
      </c>
      <c r="D850" t="s">
        <v>21</v>
      </c>
      <c r="E850" t="s">
        <v>11</v>
      </c>
      <c r="F850">
        <v>1</v>
      </c>
      <c r="G850" t="s">
        <v>14</v>
      </c>
    </row>
    <row r="851" spans="1:7" x14ac:dyDescent="0.25">
      <c r="A851">
        <v>61</v>
      </c>
      <c r="B851" t="s">
        <v>176</v>
      </c>
      <c r="C851">
        <v>100</v>
      </c>
      <c r="D851" t="s">
        <v>22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176</v>
      </c>
      <c r="C852">
        <v>110</v>
      </c>
      <c r="D852" t="s">
        <v>23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176</v>
      </c>
      <c r="C853">
        <v>120</v>
      </c>
      <c r="D853" t="s">
        <v>115</v>
      </c>
      <c r="E853" t="s">
        <v>13</v>
      </c>
      <c r="F853">
        <v>0.67600000000000005</v>
      </c>
      <c r="G853" t="s">
        <v>14</v>
      </c>
    </row>
    <row r="854" spans="1:7" x14ac:dyDescent="0.25">
      <c r="A854">
        <v>61</v>
      </c>
      <c r="B854" t="s">
        <v>176</v>
      </c>
      <c r="C854">
        <v>130</v>
      </c>
      <c r="D854" t="s">
        <v>281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176</v>
      </c>
      <c r="C855">
        <v>140</v>
      </c>
      <c r="D855" t="s">
        <v>237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177</v>
      </c>
      <c r="C856">
        <v>10</v>
      </c>
      <c r="D856" t="s">
        <v>238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177</v>
      </c>
      <c r="C857">
        <v>20</v>
      </c>
      <c r="D857" t="s">
        <v>112</v>
      </c>
      <c r="E857" t="s">
        <v>15</v>
      </c>
      <c r="F857">
        <v>2.0569999999999999</v>
      </c>
      <c r="G857" t="s">
        <v>16</v>
      </c>
    </row>
    <row r="858" spans="1:7" x14ac:dyDescent="0.25">
      <c r="A858">
        <v>62</v>
      </c>
      <c r="B858" t="s">
        <v>177</v>
      </c>
      <c r="C858">
        <v>30</v>
      </c>
      <c r="D858" t="s">
        <v>113</v>
      </c>
      <c r="E858" t="s">
        <v>15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177</v>
      </c>
      <c r="C859">
        <v>40</v>
      </c>
      <c r="D859" t="s">
        <v>102</v>
      </c>
      <c r="E859" t="s">
        <v>103</v>
      </c>
      <c r="F859">
        <v>1.3</v>
      </c>
      <c r="G859" t="s">
        <v>14</v>
      </c>
    </row>
    <row r="860" spans="1:7" x14ac:dyDescent="0.25">
      <c r="A860">
        <v>62</v>
      </c>
      <c r="B860" t="s">
        <v>177</v>
      </c>
      <c r="C860">
        <v>50</v>
      </c>
      <c r="D860" t="s">
        <v>18</v>
      </c>
      <c r="E860" t="s">
        <v>15</v>
      </c>
      <c r="F860">
        <v>119.88800000000001</v>
      </c>
      <c r="G860" t="s">
        <v>14</v>
      </c>
    </row>
    <row r="861" spans="1:7" x14ac:dyDescent="0.25">
      <c r="A861">
        <v>62</v>
      </c>
      <c r="B861" t="s">
        <v>177</v>
      </c>
      <c r="C861">
        <v>60</v>
      </c>
      <c r="D861" t="s">
        <v>91</v>
      </c>
      <c r="E861" t="s">
        <v>15</v>
      </c>
      <c r="F861">
        <v>22.707999999999998</v>
      </c>
      <c r="G861" t="s">
        <v>14</v>
      </c>
    </row>
    <row r="862" spans="1:7" x14ac:dyDescent="0.25">
      <c r="A862">
        <v>62</v>
      </c>
      <c r="B862" t="s">
        <v>177</v>
      </c>
      <c r="C862">
        <v>70</v>
      </c>
      <c r="D862" t="s">
        <v>90</v>
      </c>
      <c r="E862" t="s">
        <v>15</v>
      </c>
      <c r="F862">
        <v>140.589</v>
      </c>
      <c r="G862" t="s">
        <v>14</v>
      </c>
    </row>
    <row r="863" spans="1:7" x14ac:dyDescent="0.25">
      <c r="A863">
        <v>62</v>
      </c>
      <c r="B863" t="s">
        <v>177</v>
      </c>
      <c r="C863">
        <v>80</v>
      </c>
      <c r="D863" t="s">
        <v>114</v>
      </c>
      <c r="E863" t="s">
        <v>11</v>
      </c>
      <c r="F863">
        <v>4</v>
      </c>
      <c r="G863" t="s">
        <v>14</v>
      </c>
    </row>
    <row r="864" spans="1:7" x14ac:dyDescent="0.25">
      <c r="A864">
        <v>62</v>
      </c>
      <c r="B864" t="s">
        <v>177</v>
      </c>
      <c r="C864">
        <v>90</v>
      </c>
      <c r="D864" t="s">
        <v>21</v>
      </c>
      <c r="E864" t="s">
        <v>11</v>
      </c>
      <c r="F864">
        <v>1</v>
      </c>
      <c r="G864" t="s">
        <v>14</v>
      </c>
    </row>
    <row r="865" spans="1:7" x14ac:dyDescent="0.25">
      <c r="A865">
        <v>62</v>
      </c>
      <c r="B865" t="s">
        <v>177</v>
      </c>
      <c r="C865">
        <v>100</v>
      </c>
      <c r="D865" t="s">
        <v>22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177</v>
      </c>
      <c r="C866">
        <v>110</v>
      </c>
      <c r="D866" t="s">
        <v>23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177</v>
      </c>
      <c r="C867">
        <v>120</v>
      </c>
      <c r="D867" t="s">
        <v>115</v>
      </c>
      <c r="E867" t="s">
        <v>13</v>
      </c>
      <c r="F867">
        <v>0.67600000000000005</v>
      </c>
      <c r="G867" t="s">
        <v>14</v>
      </c>
    </row>
    <row r="868" spans="1:7" x14ac:dyDescent="0.25">
      <c r="A868">
        <v>62</v>
      </c>
      <c r="B868" t="s">
        <v>177</v>
      </c>
      <c r="C868">
        <v>130</v>
      </c>
      <c r="D868" t="s">
        <v>282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177</v>
      </c>
      <c r="C869">
        <v>140</v>
      </c>
      <c r="D869" t="s">
        <v>239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178</v>
      </c>
      <c r="C870">
        <v>10</v>
      </c>
      <c r="D870" t="s">
        <v>240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178</v>
      </c>
      <c r="C871">
        <v>20</v>
      </c>
      <c r="D871" t="s">
        <v>112</v>
      </c>
      <c r="E871" t="s">
        <v>15</v>
      </c>
      <c r="F871">
        <v>2.0569999999999999</v>
      </c>
      <c r="G871" t="s">
        <v>16</v>
      </c>
    </row>
    <row r="872" spans="1:7" x14ac:dyDescent="0.25">
      <c r="A872">
        <v>63</v>
      </c>
      <c r="B872" t="s">
        <v>178</v>
      </c>
      <c r="C872">
        <v>30</v>
      </c>
      <c r="D872" t="s">
        <v>113</v>
      </c>
      <c r="E872" t="s">
        <v>15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178</v>
      </c>
      <c r="C873">
        <v>40</v>
      </c>
      <c r="D873" t="s">
        <v>102</v>
      </c>
      <c r="E873" t="s">
        <v>103</v>
      </c>
      <c r="F873">
        <v>1.42</v>
      </c>
      <c r="G873" t="s">
        <v>14</v>
      </c>
    </row>
    <row r="874" spans="1:7" x14ac:dyDescent="0.25">
      <c r="A874">
        <v>63</v>
      </c>
      <c r="B874" t="s">
        <v>178</v>
      </c>
      <c r="C874">
        <v>50</v>
      </c>
      <c r="D874" t="s">
        <v>18</v>
      </c>
      <c r="E874" t="s">
        <v>15</v>
      </c>
      <c r="F874">
        <v>124.765</v>
      </c>
      <c r="G874" t="s">
        <v>14</v>
      </c>
    </row>
    <row r="875" spans="1:7" x14ac:dyDescent="0.25">
      <c r="A875">
        <v>63</v>
      </c>
      <c r="B875" t="s">
        <v>178</v>
      </c>
      <c r="C875">
        <v>60</v>
      </c>
      <c r="D875" t="s">
        <v>91</v>
      </c>
      <c r="E875" t="s">
        <v>15</v>
      </c>
      <c r="F875">
        <v>23.622</v>
      </c>
      <c r="G875" t="s">
        <v>14</v>
      </c>
    </row>
    <row r="876" spans="1:7" x14ac:dyDescent="0.25">
      <c r="A876">
        <v>63</v>
      </c>
      <c r="B876" t="s">
        <v>178</v>
      </c>
      <c r="C876">
        <v>70</v>
      </c>
      <c r="D876" t="s">
        <v>90</v>
      </c>
      <c r="E876" t="s">
        <v>15</v>
      </c>
      <c r="F876">
        <v>146.21299999999999</v>
      </c>
      <c r="G876" t="s">
        <v>14</v>
      </c>
    </row>
    <row r="877" spans="1:7" x14ac:dyDescent="0.25">
      <c r="A877">
        <v>63</v>
      </c>
      <c r="B877" t="s">
        <v>178</v>
      </c>
      <c r="C877">
        <v>80</v>
      </c>
      <c r="D877" t="s">
        <v>114</v>
      </c>
      <c r="E877" t="s">
        <v>11</v>
      </c>
      <c r="F877">
        <v>4</v>
      </c>
      <c r="G877" t="s">
        <v>14</v>
      </c>
    </row>
    <row r="878" spans="1:7" x14ac:dyDescent="0.25">
      <c r="A878">
        <v>63</v>
      </c>
      <c r="B878" t="s">
        <v>178</v>
      </c>
      <c r="C878">
        <v>90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63</v>
      </c>
      <c r="B879" t="s">
        <v>178</v>
      </c>
      <c r="C879">
        <v>100</v>
      </c>
      <c r="D879" t="s">
        <v>22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178</v>
      </c>
      <c r="C880">
        <v>110</v>
      </c>
      <c r="D880" t="s">
        <v>23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178</v>
      </c>
      <c r="C881">
        <v>120</v>
      </c>
      <c r="D881" t="s">
        <v>115</v>
      </c>
      <c r="E881" t="s">
        <v>13</v>
      </c>
      <c r="F881">
        <v>0.67600000000000005</v>
      </c>
      <c r="G881" t="s">
        <v>14</v>
      </c>
    </row>
    <row r="882" spans="1:7" x14ac:dyDescent="0.25">
      <c r="A882">
        <v>63</v>
      </c>
      <c r="B882" t="s">
        <v>178</v>
      </c>
      <c r="C882">
        <v>130</v>
      </c>
      <c r="D882" t="s">
        <v>283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178</v>
      </c>
      <c r="C883">
        <v>140</v>
      </c>
      <c r="D883" t="s">
        <v>241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179</v>
      </c>
      <c r="C884">
        <v>10</v>
      </c>
      <c r="D884" t="s">
        <v>242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179</v>
      </c>
      <c r="C885">
        <v>20</v>
      </c>
      <c r="D885" t="s">
        <v>112</v>
      </c>
      <c r="E885" t="s">
        <v>15</v>
      </c>
      <c r="F885">
        <v>2.1589999999999998</v>
      </c>
      <c r="G885" t="s">
        <v>16</v>
      </c>
    </row>
    <row r="886" spans="1:7" x14ac:dyDescent="0.25">
      <c r="A886">
        <v>64</v>
      </c>
      <c r="B886" t="s">
        <v>179</v>
      </c>
      <c r="C886">
        <v>30</v>
      </c>
      <c r="D886" t="s">
        <v>113</v>
      </c>
      <c r="E886" t="s">
        <v>15</v>
      </c>
      <c r="F886">
        <v>2.1589999999999998</v>
      </c>
      <c r="G886" t="s">
        <v>16</v>
      </c>
    </row>
    <row r="887" spans="1:7" x14ac:dyDescent="0.25">
      <c r="A887">
        <v>64</v>
      </c>
      <c r="B887" t="s">
        <v>179</v>
      </c>
      <c r="C887">
        <v>40</v>
      </c>
      <c r="D887" t="s">
        <v>102</v>
      </c>
      <c r="E887" t="s">
        <v>103</v>
      </c>
      <c r="F887">
        <v>0.60899999999999999</v>
      </c>
      <c r="G887" t="s">
        <v>14</v>
      </c>
    </row>
    <row r="888" spans="1:7" x14ac:dyDescent="0.25">
      <c r="A888">
        <v>64</v>
      </c>
      <c r="B888" t="s">
        <v>179</v>
      </c>
      <c r="C888">
        <v>50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64</v>
      </c>
      <c r="B889" t="s">
        <v>179</v>
      </c>
      <c r="C889">
        <v>60</v>
      </c>
      <c r="D889" t="s">
        <v>91</v>
      </c>
      <c r="E889" t="s">
        <v>15</v>
      </c>
      <c r="F889">
        <v>17.831</v>
      </c>
      <c r="G889" t="s">
        <v>14</v>
      </c>
    </row>
    <row r="890" spans="1:7" x14ac:dyDescent="0.25">
      <c r="A890">
        <v>64</v>
      </c>
      <c r="B890" t="s">
        <v>179</v>
      </c>
      <c r="C890">
        <v>70</v>
      </c>
      <c r="D890" t="s">
        <v>90</v>
      </c>
      <c r="E890" t="s">
        <v>15</v>
      </c>
      <c r="F890">
        <v>110.59699999999999</v>
      </c>
      <c r="G890" t="s">
        <v>14</v>
      </c>
    </row>
    <row r="891" spans="1:7" x14ac:dyDescent="0.25">
      <c r="A891">
        <v>64</v>
      </c>
      <c r="B891" t="s">
        <v>179</v>
      </c>
      <c r="C891">
        <v>80</v>
      </c>
      <c r="D891" t="s">
        <v>114</v>
      </c>
      <c r="E891" t="s">
        <v>11</v>
      </c>
      <c r="F891">
        <v>4</v>
      </c>
      <c r="G891" t="s">
        <v>14</v>
      </c>
    </row>
    <row r="892" spans="1:7" x14ac:dyDescent="0.25">
      <c r="A892">
        <v>64</v>
      </c>
      <c r="B892" t="s">
        <v>179</v>
      </c>
      <c r="C892">
        <v>90</v>
      </c>
      <c r="D892" t="s">
        <v>21</v>
      </c>
      <c r="E892" t="s">
        <v>11</v>
      </c>
      <c r="F892">
        <v>1</v>
      </c>
      <c r="G892" t="s">
        <v>14</v>
      </c>
    </row>
    <row r="893" spans="1:7" x14ac:dyDescent="0.25">
      <c r="A893">
        <v>64</v>
      </c>
      <c r="B893" t="s">
        <v>179</v>
      </c>
      <c r="C893">
        <v>100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179</v>
      </c>
      <c r="C894">
        <v>110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179</v>
      </c>
      <c r="C895">
        <v>120</v>
      </c>
      <c r="D895" t="s">
        <v>115</v>
      </c>
      <c r="E895" t="s">
        <v>13</v>
      </c>
      <c r="F895">
        <v>0.70599999999999996</v>
      </c>
      <c r="G895" t="s">
        <v>14</v>
      </c>
    </row>
    <row r="896" spans="1:7" x14ac:dyDescent="0.25">
      <c r="A896">
        <v>64</v>
      </c>
      <c r="B896" t="s">
        <v>179</v>
      </c>
      <c r="C896">
        <v>130</v>
      </c>
      <c r="D896" t="s">
        <v>284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179</v>
      </c>
      <c r="C897">
        <v>140</v>
      </c>
      <c r="D897" t="s">
        <v>243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180</v>
      </c>
      <c r="C898">
        <v>10</v>
      </c>
      <c r="D898" t="s">
        <v>244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180</v>
      </c>
      <c r="C899">
        <v>20</v>
      </c>
      <c r="D899" t="s">
        <v>112</v>
      </c>
      <c r="E899" t="s">
        <v>15</v>
      </c>
      <c r="F899">
        <v>2.1589999999999998</v>
      </c>
      <c r="G899" t="s">
        <v>16</v>
      </c>
    </row>
    <row r="900" spans="1:7" x14ac:dyDescent="0.25">
      <c r="A900">
        <v>65</v>
      </c>
      <c r="B900" t="s">
        <v>180</v>
      </c>
      <c r="C900">
        <v>30</v>
      </c>
      <c r="D900" t="s">
        <v>113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65</v>
      </c>
      <c r="B901" t="s">
        <v>180</v>
      </c>
      <c r="C901">
        <v>40</v>
      </c>
      <c r="D901" t="s">
        <v>102</v>
      </c>
      <c r="E901" t="s">
        <v>103</v>
      </c>
      <c r="F901">
        <v>0.73499999999999999</v>
      </c>
      <c r="G901" t="s">
        <v>14</v>
      </c>
    </row>
    <row r="902" spans="1:7" x14ac:dyDescent="0.25">
      <c r="A902">
        <v>65</v>
      </c>
      <c r="B902" t="s">
        <v>180</v>
      </c>
      <c r="C902">
        <v>50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65</v>
      </c>
      <c r="B903" t="s">
        <v>180</v>
      </c>
      <c r="C903">
        <v>60</v>
      </c>
      <c r="D903" t="s">
        <v>91</v>
      </c>
      <c r="E903" t="s">
        <v>15</v>
      </c>
      <c r="F903">
        <v>18.745000000000001</v>
      </c>
      <c r="G903" t="s">
        <v>14</v>
      </c>
    </row>
    <row r="904" spans="1:7" x14ac:dyDescent="0.25">
      <c r="A904">
        <v>65</v>
      </c>
      <c r="B904" t="s">
        <v>180</v>
      </c>
      <c r="C904">
        <v>70</v>
      </c>
      <c r="D904" t="s">
        <v>90</v>
      </c>
      <c r="E904" t="s">
        <v>15</v>
      </c>
      <c r="F904">
        <v>116.22</v>
      </c>
      <c r="G904" t="s">
        <v>14</v>
      </c>
    </row>
    <row r="905" spans="1:7" x14ac:dyDescent="0.25">
      <c r="A905">
        <v>65</v>
      </c>
      <c r="B905" t="s">
        <v>180</v>
      </c>
      <c r="C905">
        <v>80</v>
      </c>
      <c r="D905" t="s">
        <v>114</v>
      </c>
      <c r="E905" t="s">
        <v>11</v>
      </c>
      <c r="F905">
        <v>4</v>
      </c>
      <c r="G905" t="s">
        <v>14</v>
      </c>
    </row>
    <row r="906" spans="1:7" x14ac:dyDescent="0.25">
      <c r="A906">
        <v>65</v>
      </c>
      <c r="B906" t="s">
        <v>180</v>
      </c>
      <c r="C906">
        <v>90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65</v>
      </c>
      <c r="B907" t="s">
        <v>180</v>
      </c>
      <c r="C907">
        <v>100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180</v>
      </c>
      <c r="C908">
        <v>110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180</v>
      </c>
      <c r="C909">
        <v>120</v>
      </c>
      <c r="D909" t="s">
        <v>115</v>
      </c>
      <c r="E909" t="s">
        <v>13</v>
      </c>
      <c r="F909">
        <v>0.70599999999999996</v>
      </c>
      <c r="G909" t="s">
        <v>14</v>
      </c>
    </row>
    <row r="910" spans="1:7" x14ac:dyDescent="0.25">
      <c r="A910">
        <v>65</v>
      </c>
      <c r="B910" t="s">
        <v>180</v>
      </c>
      <c r="C910">
        <v>130</v>
      </c>
      <c r="D910" t="s">
        <v>285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180</v>
      </c>
      <c r="C911">
        <v>140</v>
      </c>
      <c r="D911" t="s">
        <v>245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181</v>
      </c>
      <c r="C912">
        <v>10</v>
      </c>
      <c r="D912" t="s">
        <v>246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181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66</v>
      </c>
      <c r="B914" t="s">
        <v>181</v>
      </c>
      <c r="C914">
        <v>30</v>
      </c>
      <c r="D914" t="s">
        <v>113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66</v>
      </c>
      <c r="B915" t="s">
        <v>181</v>
      </c>
      <c r="C915">
        <v>40</v>
      </c>
      <c r="D915" t="s">
        <v>102</v>
      </c>
      <c r="E915" t="s">
        <v>103</v>
      </c>
      <c r="F915">
        <v>0.86099999999999999</v>
      </c>
      <c r="G915" t="s">
        <v>14</v>
      </c>
    </row>
    <row r="916" spans="1:7" x14ac:dyDescent="0.25">
      <c r="A916">
        <v>66</v>
      </c>
      <c r="B916" t="s">
        <v>181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66</v>
      </c>
      <c r="B917" t="s">
        <v>181</v>
      </c>
      <c r="C917">
        <v>60</v>
      </c>
      <c r="D917" t="s">
        <v>91</v>
      </c>
      <c r="E917" t="s">
        <v>15</v>
      </c>
      <c r="F917">
        <v>19.66</v>
      </c>
      <c r="G917" t="s">
        <v>14</v>
      </c>
    </row>
    <row r="918" spans="1:7" x14ac:dyDescent="0.25">
      <c r="A918">
        <v>66</v>
      </c>
      <c r="B918" t="s">
        <v>181</v>
      </c>
      <c r="C918">
        <v>70</v>
      </c>
      <c r="D918" t="s">
        <v>90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66</v>
      </c>
      <c r="B919" t="s">
        <v>181</v>
      </c>
      <c r="C919">
        <v>80</v>
      </c>
      <c r="D919" t="s">
        <v>114</v>
      </c>
      <c r="E919" t="s">
        <v>11</v>
      </c>
      <c r="F919">
        <v>4</v>
      </c>
      <c r="G919" t="s">
        <v>14</v>
      </c>
    </row>
    <row r="920" spans="1:7" x14ac:dyDescent="0.25">
      <c r="A920">
        <v>66</v>
      </c>
      <c r="B920" t="s">
        <v>181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66</v>
      </c>
      <c r="B921" t="s">
        <v>181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181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181</v>
      </c>
      <c r="C923">
        <v>120</v>
      </c>
      <c r="D923" t="s">
        <v>115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66</v>
      </c>
      <c r="B924" t="s">
        <v>181</v>
      </c>
      <c r="C924">
        <v>130</v>
      </c>
      <c r="D924" t="s">
        <v>286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181</v>
      </c>
      <c r="C925">
        <v>140</v>
      </c>
      <c r="D925" t="s">
        <v>247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182</v>
      </c>
      <c r="C926">
        <v>10</v>
      </c>
      <c r="D926" t="s">
        <v>248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182</v>
      </c>
      <c r="C927">
        <v>20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67</v>
      </c>
      <c r="B928" t="s">
        <v>182</v>
      </c>
      <c r="C928">
        <v>30</v>
      </c>
      <c r="D928" t="s">
        <v>113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67</v>
      </c>
      <c r="B929" t="s">
        <v>182</v>
      </c>
      <c r="C929">
        <v>40</v>
      </c>
      <c r="D929" t="s">
        <v>102</v>
      </c>
      <c r="E929" t="s">
        <v>103</v>
      </c>
      <c r="F929">
        <v>0.98699999999999999</v>
      </c>
      <c r="G929" t="s">
        <v>14</v>
      </c>
    </row>
    <row r="930" spans="1:7" x14ac:dyDescent="0.25">
      <c r="A930">
        <v>67</v>
      </c>
      <c r="B930" t="s">
        <v>182</v>
      </c>
      <c r="C930">
        <v>50</v>
      </c>
      <c r="D930" t="s">
        <v>18</v>
      </c>
      <c r="E930" t="s">
        <v>15</v>
      </c>
      <c r="F930">
        <v>108.509</v>
      </c>
      <c r="G930" t="s">
        <v>14</v>
      </c>
    </row>
    <row r="931" spans="1:7" x14ac:dyDescent="0.25">
      <c r="A931">
        <v>67</v>
      </c>
      <c r="B931" t="s">
        <v>182</v>
      </c>
      <c r="C931">
        <v>60</v>
      </c>
      <c r="D931" t="s">
        <v>91</v>
      </c>
      <c r="E931" t="s">
        <v>15</v>
      </c>
      <c r="F931">
        <v>20.574000000000002</v>
      </c>
      <c r="G931" t="s">
        <v>14</v>
      </c>
    </row>
    <row r="932" spans="1:7" x14ac:dyDescent="0.25">
      <c r="A932">
        <v>67</v>
      </c>
      <c r="B932" t="s">
        <v>182</v>
      </c>
      <c r="C932">
        <v>70</v>
      </c>
      <c r="D932" t="s">
        <v>90</v>
      </c>
      <c r="E932" t="s">
        <v>15</v>
      </c>
      <c r="F932">
        <v>127.467</v>
      </c>
      <c r="G932" t="s">
        <v>14</v>
      </c>
    </row>
    <row r="933" spans="1:7" x14ac:dyDescent="0.25">
      <c r="A933">
        <v>67</v>
      </c>
      <c r="B933" t="s">
        <v>182</v>
      </c>
      <c r="C933">
        <v>80</v>
      </c>
      <c r="D933" t="s">
        <v>114</v>
      </c>
      <c r="E933" t="s">
        <v>11</v>
      </c>
      <c r="F933">
        <v>4</v>
      </c>
      <c r="G933" t="s">
        <v>14</v>
      </c>
    </row>
    <row r="934" spans="1:7" x14ac:dyDescent="0.25">
      <c r="A934">
        <v>67</v>
      </c>
      <c r="B934" t="s">
        <v>182</v>
      </c>
      <c r="C934">
        <v>90</v>
      </c>
      <c r="D934" t="s">
        <v>21</v>
      </c>
      <c r="E934" t="s">
        <v>11</v>
      </c>
      <c r="F934">
        <v>1</v>
      </c>
      <c r="G934" t="s">
        <v>14</v>
      </c>
    </row>
    <row r="935" spans="1:7" x14ac:dyDescent="0.25">
      <c r="A935">
        <v>67</v>
      </c>
      <c r="B935" t="s">
        <v>182</v>
      </c>
      <c r="C935">
        <v>100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182</v>
      </c>
      <c r="C936">
        <v>110</v>
      </c>
      <c r="D936" t="s">
        <v>23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182</v>
      </c>
      <c r="C937">
        <v>120</v>
      </c>
      <c r="D937" t="s">
        <v>115</v>
      </c>
      <c r="E937" t="s">
        <v>13</v>
      </c>
      <c r="F937">
        <v>0.70599999999999996</v>
      </c>
      <c r="G937" t="s">
        <v>14</v>
      </c>
    </row>
    <row r="938" spans="1:7" x14ac:dyDescent="0.25">
      <c r="A938">
        <v>67</v>
      </c>
      <c r="B938" t="s">
        <v>182</v>
      </c>
      <c r="C938">
        <v>130</v>
      </c>
      <c r="D938" t="s">
        <v>287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182</v>
      </c>
      <c r="C939">
        <v>140</v>
      </c>
      <c r="D939" t="s">
        <v>249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183</v>
      </c>
      <c r="C940">
        <v>10</v>
      </c>
      <c r="D940" t="s">
        <v>250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183</v>
      </c>
      <c r="C941">
        <v>20</v>
      </c>
      <c r="D941" t="s">
        <v>112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68</v>
      </c>
      <c r="B942" t="s">
        <v>183</v>
      </c>
      <c r="C942">
        <v>30</v>
      </c>
      <c r="D942" t="s">
        <v>113</v>
      </c>
      <c r="E942" t="s">
        <v>15</v>
      </c>
      <c r="F942">
        <v>2.1589999999999998</v>
      </c>
      <c r="G942" t="s">
        <v>16</v>
      </c>
    </row>
    <row r="943" spans="1:7" x14ac:dyDescent="0.25">
      <c r="A943">
        <v>68</v>
      </c>
      <c r="B943" t="s">
        <v>183</v>
      </c>
      <c r="C943">
        <v>40</v>
      </c>
      <c r="D943" t="s">
        <v>102</v>
      </c>
      <c r="E943" t="s">
        <v>103</v>
      </c>
      <c r="F943">
        <v>1.24</v>
      </c>
      <c r="G943" t="s">
        <v>14</v>
      </c>
    </row>
    <row r="944" spans="1:7" x14ac:dyDescent="0.25">
      <c r="A944">
        <v>68</v>
      </c>
      <c r="B944" t="s">
        <v>183</v>
      </c>
      <c r="C944">
        <v>50</v>
      </c>
      <c r="D944" t="s">
        <v>18</v>
      </c>
      <c r="E944" t="s">
        <v>15</v>
      </c>
      <c r="F944">
        <v>118.262</v>
      </c>
      <c r="G944" t="s">
        <v>14</v>
      </c>
    </row>
    <row r="945" spans="1:7" x14ac:dyDescent="0.25">
      <c r="A945">
        <v>68</v>
      </c>
      <c r="B945" t="s">
        <v>183</v>
      </c>
      <c r="C945">
        <v>60</v>
      </c>
      <c r="D945" t="s">
        <v>91</v>
      </c>
      <c r="E945" t="s">
        <v>15</v>
      </c>
      <c r="F945">
        <v>22.402999999999999</v>
      </c>
      <c r="G945" t="s">
        <v>14</v>
      </c>
    </row>
    <row r="946" spans="1:7" x14ac:dyDescent="0.25">
      <c r="A946">
        <v>68</v>
      </c>
      <c r="B946" t="s">
        <v>183</v>
      </c>
      <c r="C946">
        <v>70</v>
      </c>
      <c r="D946" t="s">
        <v>90</v>
      </c>
      <c r="E946" t="s">
        <v>15</v>
      </c>
      <c r="F946">
        <v>138.714</v>
      </c>
      <c r="G946" t="s">
        <v>14</v>
      </c>
    </row>
    <row r="947" spans="1:7" x14ac:dyDescent="0.25">
      <c r="A947">
        <v>68</v>
      </c>
      <c r="B947" t="s">
        <v>183</v>
      </c>
      <c r="C947">
        <v>80</v>
      </c>
      <c r="D947" t="s">
        <v>114</v>
      </c>
      <c r="E947" t="s">
        <v>11</v>
      </c>
      <c r="F947">
        <v>4</v>
      </c>
      <c r="G947" t="s">
        <v>14</v>
      </c>
    </row>
    <row r="948" spans="1:7" x14ac:dyDescent="0.25">
      <c r="A948">
        <v>68</v>
      </c>
      <c r="B948" t="s">
        <v>183</v>
      </c>
      <c r="C948">
        <v>90</v>
      </c>
      <c r="D948" t="s">
        <v>21</v>
      </c>
      <c r="E948" t="s">
        <v>11</v>
      </c>
      <c r="F948">
        <v>1</v>
      </c>
      <c r="G948" t="s">
        <v>14</v>
      </c>
    </row>
    <row r="949" spans="1:7" x14ac:dyDescent="0.25">
      <c r="A949">
        <v>68</v>
      </c>
      <c r="B949" t="s">
        <v>183</v>
      </c>
      <c r="C949">
        <v>100</v>
      </c>
      <c r="D949" t="s">
        <v>22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183</v>
      </c>
      <c r="C950">
        <v>110</v>
      </c>
      <c r="D950" t="s">
        <v>23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183</v>
      </c>
      <c r="C951">
        <v>120</v>
      </c>
      <c r="D951" t="s">
        <v>115</v>
      </c>
      <c r="E951" t="s">
        <v>13</v>
      </c>
      <c r="F951">
        <v>0.70599999999999996</v>
      </c>
      <c r="G951" t="s">
        <v>14</v>
      </c>
    </row>
    <row r="952" spans="1:7" x14ac:dyDescent="0.25">
      <c r="A952">
        <v>68</v>
      </c>
      <c r="B952" t="s">
        <v>183</v>
      </c>
      <c r="C952">
        <v>130</v>
      </c>
      <c r="D952" t="s">
        <v>288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183</v>
      </c>
      <c r="C953">
        <v>140</v>
      </c>
      <c r="D953" t="s">
        <v>251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184</v>
      </c>
      <c r="C954">
        <v>10</v>
      </c>
      <c r="D954" t="s">
        <v>252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184</v>
      </c>
      <c r="C955">
        <v>20</v>
      </c>
      <c r="D955" t="s">
        <v>112</v>
      </c>
      <c r="E955" t="s">
        <v>15</v>
      </c>
      <c r="F955">
        <v>2.1589999999999998</v>
      </c>
      <c r="G955" t="s">
        <v>16</v>
      </c>
    </row>
    <row r="956" spans="1:7" x14ac:dyDescent="0.25">
      <c r="A956">
        <v>69</v>
      </c>
      <c r="B956" t="s">
        <v>184</v>
      </c>
      <c r="C956">
        <v>30</v>
      </c>
      <c r="D956" t="s">
        <v>113</v>
      </c>
      <c r="E956" t="s">
        <v>15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184</v>
      </c>
      <c r="C957">
        <v>40</v>
      </c>
      <c r="D957" t="s">
        <v>102</v>
      </c>
      <c r="E957" t="s">
        <v>103</v>
      </c>
      <c r="F957">
        <v>1.3660000000000001</v>
      </c>
      <c r="G957" t="s">
        <v>14</v>
      </c>
    </row>
    <row r="958" spans="1:7" x14ac:dyDescent="0.25">
      <c r="A958">
        <v>69</v>
      </c>
      <c r="B958" t="s">
        <v>184</v>
      </c>
      <c r="C958">
        <v>50</v>
      </c>
      <c r="D958" t="s">
        <v>18</v>
      </c>
      <c r="E958" t="s">
        <v>15</v>
      </c>
      <c r="F958">
        <v>123.139</v>
      </c>
      <c r="G958" t="s">
        <v>14</v>
      </c>
    </row>
    <row r="959" spans="1:7" x14ac:dyDescent="0.25">
      <c r="A959">
        <v>69</v>
      </c>
      <c r="B959" t="s">
        <v>184</v>
      </c>
      <c r="C959">
        <v>60</v>
      </c>
      <c r="D959" t="s">
        <v>91</v>
      </c>
      <c r="E959" t="s">
        <v>15</v>
      </c>
      <c r="F959">
        <v>23.317</v>
      </c>
      <c r="G959" t="s">
        <v>14</v>
      </c>
    </row>
    <row r="960" spans="1:7" x14ac:dyDescent="0.25">
      <c r="A960">
        <v>69</v>
      </c>
      <c r="B960" t="s">
        <v>184</v>
      </c>
      <c r="C960">
        <v>70</v>
      </c>
      <c r="D960" t="s">
        <v>90</v>
      </c>
      <c r="E960" t="s">
        <v>15</v>
      </c>
      <c r="F960">
        <v>144.33799999999999</v>
      </c>
      <c r="G960" t="s">
        <v>14</v>
      </c>
    </row>
    <row r="961" spans="1:7" x14ac:dyDescent="0.25">
      <c r="A961">
        <v>69</v>
      </c>
      <c r="B961" t="s">
        <v>184</v>
      </c>
      <c r="C961">
        <v>80</v>
      </c>
      <c r="D961" t="s">
        <v>114</v>
      </c>
      <c r="E961" t="s">
        <v>11</v>
      </c>
      <c r="F961">
        <v>4</v>
      </c>
      <c r="G961" t="s">
        <v>14</v>
      </c>
    </row>
    <row r="962" spans="1:7" x14ac:dyDescent="0.25">
      <c r="A962">
        <v>69</v>
      </c>
      <c r="B962" t="s">
        <v>184</v>
      </c>
      <c r="C962">
        <v>90</v>
      </c>
      <c r="D962" t="s">
        <v>21</v>
      </c>
      <c r="E962" t="s">
        <v>11</v>
      </c>
      <c r="F962">
        <v>1</v>
      </c>
      <c r="G962" t="s">
        <v>14</v>
      </c>
    </row>
    <row r="963" spans="1:7" x14ac:dyDescent="0.25">
      <c r="A963">
        <v>69</v>
      </c>
      <c r="B963" t="s">
        <v>184</v>
      </c>
      <c r="C963">
        <v>100</v>
      </c>
      <c r="D963" t="s">
        <v>22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184</v>
      </c>
      <c r="C964">
        <v>110</v>
      </c>
      <c r="D964" t="s">
        <v>23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184</v>
      </c>
      <c r="C965">
        <v>120</v>
      </c>
      <c r="D965" t="s">
        <v>115</v>
      </c>
      <c r="E965" t="s">
        <v>13</v>
      </c>
      <c r="F965">
        <v>0.70599999999999996</v>
      </c>
      <c r="G965" t="s">
        <v>14</v>
      </c>
    </row>
    <row r="966" spans="1:7" x14ac:dyDescent="0.25">
      <c r="A966">
        <v>69</v>
      </c>
      <c r="B966" t="s">
        <v>184</v>
      </c>
      <c r="C966">
        <v>130</v>
      </c>
      <c r="D966" t="s">
        <v>289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184</v>
      </c>
      <c r="C967">
        <v>140</v>
      </c>
      <c r="D967" t="s">
        <v>253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185</v>
      </c>
      <c r="C968">
        <v>10</v>
      </c>
      <c r="D968" t="s">
        <v>254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185</v>
      </c>
      <c r="C969">
        <v>20</v>
      </c>
      <c r="D969" t="s">
        <v>112</v>
      </c>
      <c r="E969" t="s">
        <v>15</v>
      </c>
      <c r="F969">
        <v>2.1589999999999998</v>
      </c>
      <c r="G969" t="s">
        <v>16</v>
      </c>
    </row>
    <row r="970" spans="1:7" x14ac:dyDescent="0.25">
      <c r="A970">
        <v>70</v>
      </c>
      <c r="B970" t="s">
        <v>185</v>
      </c>
      <c r="C970">
        <v>30</v>
      </c>
      <c r="D970" t="s">
        <v>113</v>
      </c>
      <c r="E970" t="s">
        <v>15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185</v>
      </c>
      <c r="C971">
        <v>40</v>
      </c>
      <c r="D971" t="s">
        <v>102</v>
      </c>
      <c r="E971" t="s">
        <v>103</v>
      </c>
      <c r="F971">
        <v>1.492</v>
      </c>
      <c r="G971" t="s">
        <v>14</v>
      </c>
    </row>
    <row r="972" spans="1:7" x14ac:dyDescent="0.25">
      <c r="A972">
        <v>70</v>
      </c>
      <c r="B972" t="s">
        <v>185</v>
      </c>
      <c r="C972">
        <v>50</v>
      </c>
      <c r="D972" t="s">
        <v>18</v>
      </c>
      <c r="E972" t="s">
        <v>15</v>
      </c>
      <c r="F972">
        <v>128.01599999999999</v>
      </c>
      <c r="G972" t="s">
        <v>14</v>
      </c>
    </row>
    <row r="973" spans="1:7" x14ac:dyDescent="0.25">
      <c r="A973">
        <v>70</v>
      </c>
      <c r="B973" t="s">
        <v>185</v>
      </c>
      <c r="C973">
        <v>60</v>
      </c>
      <c r="D973" t="s">
        <v>91</v>
      </c>
      <c r="E973" t="s">
        <v>15</v>
      </c>
      <c r="F973">
        <v>24.231999999999999</v>
      </c>
      <c r="G973" t="s">
        <v>14</v>
      </c>
    </row>
    <row r="974" spans="1:7" x14ac:dyDescent="0.25">
      <c r="A974">
        <v>70</v>
      </c>
      <c r="B974" t="s">
        <v>185</v>
      </c>
      <c r="C974">
        <v>70</v>
      </c>
      <c r="D974" t="s">
        <v>90</v>
      </c>
      <c r="E974" t="s">
        <v>15</v>
      </c>
      <c r="F974">
        <v>149.96199999999999</v>
      </c>
      <c r="G974" t="s">
        <v>14</v>
      </c>
    </row>
    <row r="975" spans="1:7" x14ac:dyDescent="0.25">
      <c r="A975">
        <v>70</v>
      </c>
      <c r="B975" t="s">
        <v>185</v>
      </c>
      <c r="C975">
        <v>80</v>
      </c>
      <c r="D975" t="s">
        <v>114</v>
      </c>
      <c r="E975" t="s">
        <v>11</v>
      </c>
      <c r="F975">
        <v>4</v>
      </c>
      <c r="G975" t="s">
        <v>14</v>
      </c>
    </row>
    <row r="976" spans="1:7" x14ac:dyDescent="0.25">
      <c r="A976">
        <v>70</v>
      </c>
      <c r="B976" t="s">
        <v>185</v>
      </c>
      <c r="C976">
        <v>90</v>
      </c>
      <c r="D976" t="s">
        <v>21</v>
      </c>
      <c r="E976" t="s">
        <v>11</v>
      </c>
      <c r="F976">
        <v>1</v>
      </c>
      <c r="G976" t="s">
        <v>14</v>
      </c>
    </row>
    <row r="977" spans="1:7" x14ac:dyDescent="0.25">
      <c r="A977">
        <v>70</v>
      </c>
      <c r="B977" t="s">
        <v>185</v>
      </c>
      <c r="C977">
        <v>100</v>
      </c>
      <c r="D977" t="s">
        <v>22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185</v>
      </c>
      <c r="C978">
        <v>110</v>
      </c>
      <c r="D978" t="s">
        <v>23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185</v>
      </c>
      <c r="C979">
        <v>120</v>
      </c>
      <c r="D979" t="s">
        <v>115</v>
      </c>
      <c r="E979" t="s">
        <v>13</v>
      </c>
      <c r="F979">
        <v>0.70599999999999996</v>
      </c>
      <c r="G979" t="s">
        <v>14</v>
      </c>
    </row>
    <row r="980" spans="1:7" x14ac:dyDescent="0.25">
      <c r="A980">
        <v>70</v>
      </c>
      <c r="B980" t="s">
        <v>185</v>
      </c>
      <c r="C980">
        <v>130</v>
      </c>
      <c r="D980" t="s">
        <v>290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185</v>
      </c>
      <c r="C981">
        <v>140</v>
      </c>
      <c r="D981" t="s">
        <v>255</v>
      </c>
      <c r="E981" t="s">
        <v>11</v>
      </c>
      <c r="F981">
        <v>1</v>
      </c>
      <c r="G9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abSelected="1"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26</v>
      </c>
      <c r="B1" s="43" t="s">
        <v>27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28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29</v>
      </c>
      <c r="C2" s="40" t="s">
        <v>30</v>
      </c>
      <c r="D2" s="40" t="s">
        <v>31</v>
      </c>
      <c r="E2" s="40" t="s">
        <v>30</v>
      </c>
      <c r="F2" s="40" t="s">
        <v>31</v>
      </c>
      <c r="G2" s="40" t="s">
        <v>29</v>
      </c>
      <c r="H2" s="40" t="s">
        <v>31</v>
      </c>
      <c r="I2" s="40" t="s">
        <v>31</v>
      </c>
      <c r="J2" s="40" t="s">
        <v>31</v>
      </c>
      <c r="K2" s="40" t="s">
        <v>31</v>
      </c>
      <c r="L2" s="40" t="s">
        <v>29</v>
      </c>
      <c r="M2" s="41" t="s">
        <v>32</v>
      </c>
      <c r="N2" s="27" t="s">
        <v>32</v>
      </c>
      <c r="O2" s="41" t="s">
        <v>32</v>
      </c>
      <c r="P2" s="41" t="s">
        <v>33</v>
      </c>
      <c r="Q2" s="41" t="s">
        <v>32</v>
      </c>
      <c r="R2" s="41" t="s">
        <v>33</v>
      </c>
      <c r="S2" s="41" t="s">
        <v>32</v>
      </c>
      <c r="T2" s="41" t="s">
        <v>32</v>
      </c>
      <c r="U2" s="41" t="s">
        <v>33</v>
      </c>
      <c r="V2" s="41" t="s">
        <v>32</v>
      </c>
      <c r="W2" s="41" t="s">
        <v>32</v>
      </c>
      <c r="X2" s="41" t="s">
        <v>32</v>
      </c>
      <c r="Y2" s="41" t="s">
        <v>33</v>
      </c>
      <c r="Z2" s="41" t="s">
        <v>34</v>
      </c>
      <c r="AA2" s="41" t="s">
        <v>32</v>
      </c>
      <c r="AB2" s="41" t="s">
        <v>32</v>
      </c>
      <c r="AC2" s="41" t="s">
        <v>32</v>
      </c>
      <c r="AD2" s="41" t="s">
        <v>32</v>
      </c>
      <c r="AE2" s="41" t="s">
        <v>32</v>
      </c>
      <c r="AF2" s="41" t="s">
        <v>32</v>
      </c>
      <c r="AG2" s="41" t="s">
        <v>34</v>
      </c>
      <c r="AH2" s="41" t="s">
        <v>34</v>
      </c>
      <c r="AI2" s="41" t="s">
        <v>34</v>
      </c>
      <c r="AJ2" s="41" t="s">
        <v>32</v>
      </c>
      <c r="AK2" s="41" t="s">
        <v>32</v>
      </c>
      <c r="AL2" s="41" t="s">
        <v>32</v>
      </c>
    </row>
    <row r="3" spans="1:38" x14ac:dyDescent="0.25">
      <c r="A3" s="42"/>
      <c r="B3" s="40" t="s">
        <v>35</v>
      </c>
      <c r="C3" s="40" t="s">
        <v>36</v>
      </c>
      <c r="D3" s="40" t="s">
        <v>37</v>
      </c>
      <c r="E3" s="40" t="s">
        <v>36</v>
      </c>
      <c r="F3" s="40" t="s">
        <v>38</v>
      </c>
      <c r="G3" s="40" t="s">
        <v>39</v>
      </c>
      <c r="H3" s="40" t="s">
        <v>40</v>
      </c>
      <c r="I3" s="40" t="s">
        <v>41</v>
      </c>
      <c r="J3" s="40" t="s">
        <v>36</v>
      </c>
      <c r="K3" s="40" t="s">
        <v>36</v>
      </c>
      <c r="L3" s="40" t="s">
        <v>42</v>
      </c>
      <c r="M3" s="41" t="s">
        <v>43</v>
      </c>
      <c r="N3" s="27" t="s">
        <v>36</v>
      </c>
      <c r="O3" s="41" t="s">
        <v>38</v>
      </c>
      <c r="P3" s="41" t="s">
        <v>44</v>
      </c>
      <c r="Q3" s="41" t="s">
        <v>41</v>
      </c>
      <c r="R3" s="41" t="s">
        <v>40</v>
      </c>
      <c r="S3" s="41" t="s">
        <v>45</v>
      </c>
      <c r="T3" s="41" t="s">
        <v>43</v>
      </c>
      <c r="U3" s="41" t="s">
        <v>46</v>
      </c>
      <c r="V3" s="41" t="s">
        <v>40</v>
      </c>
      <c r="W3" s="41" t="s">
        <v>41</v>
      </c>
      <c r="X3" s="41" t="s">
        <v>41</v>
      </c>
      <c r="Y3" s="41" t="s">
        <v>35</v>
      </c>
      <c r="Z3" s="41" t="s">
        <v>42</v>
      </c>
      <c r="AA3" s="41" t="s">
        <v>47</v>
      </c>
      <c r="AB3" s="41" t="s">
        <v>47</v>
      </c>
      <c r="AC3" s="41" t="s">
        <v>41</v>
      </c>
      <c r="AD3" s="41" t="s">
        <v>41</v>
      </c>
      <c r="AE3" s="41" t="s">
        <v>46</v>
      </c>
      <c r="AF3" s="41" t="s">
        <v>45</v>
      </c>
      <c r="AG3" s="41" t="s">
        <v>35</v>
      </c>
      <c r="AH3" s="41" t="s">
        <v>42</v>
      </c>
      <c r="AI3" s="41" t="s">
        <v>42</v>
      </c>
      <c r="AJ3" s="41" t="s">
        <v>36</v>
      </c>
      <c r="AK3" s="41" t="s">
        <v>38</v>
      </c>
      <c r="AL3" s="41" t="s">
        <v>48</v>
      </c>
    </row>
    <row r="4" spans="1:38" x14ac:dyDescent="0.25">
      <c r="A4" s="42"/>
      <c r="B4" s="28" t="s">
        <v>49</v>
      </c>
      <c r="C4" s="28" t="s">
        <v>50</v>
      </c>
      <c r="D4" s="40" t="s">
        <v>51</v>
      </c>
      <c r="E4" s="28" t="s">
        <v>3</v>
      </c>
      <c r="F4" s="40" t="s">
        <v>52</v>
      </c>
      <c r="G4" s="28" t="s">
        <v>53</v>
      </c>
      <c r="H4" s="28" t="s">
        <v>6</v>
      </c>
      <c r="I4" s="28" t="s">
        <v>54</v>
      </c>
      <c r="J4" s="40" t="s">
        <v>55</v>
      </c>
      <c r="K4" s="40" t="s">
        <v>56</v>
      </c>
      <c r="L4" s="40" t="s">
        <v>57</v>
      </c>
      <c r="M4" s="29" t="s">
        <v>58</v>
      </c>
      <c r="N4" s="30" t="s">
        <v>3</v>
      </c>
      <c r="O4" s="41" t="s">
        <v>52</v>
      </c>
      <c r="P4" s="41" t="s">
        <v>59</v>
      </c>
      <c r="Q4" s="41" t="s">
        <v>60</v>
      </c>
      <c r="R4" s="41" t="s">
        <v>4</v>
      </c>
      <c r="S4" s="41" t="s">
        <v>61</v>
      </c>
      <c r="T4" s="41" t="s">
        <v>62</v>
      </c>
      <c r="U4" s="41" t="s">
        <v>63</v>
      </c>
      <c r="V4" s="41" t="s">
        <v>6</v>
      </c>
      <c r="W4" s="41" t="s">
        <v>64</v>
      </c>
      <c r="X4" s="41" t="s">
        <v>65</v>
      </c>
      <c r="Y4" s="41" t="s">
        <v>66</v>
      </c>
      <c r="Z4" s="41" t="s">
        <v>67</v>
      </c>
      <c r="AA4" s="41" t="s">
        <v>68</v>
      </c>
      <c r="AB4" s="41" t="s">
        <v>69</v>
      </c>
      <c r="AC4" s="41" t="s">
        <v>70</v>
      </c>
      <c r="AD4" s="41" t="s">
        <v>71</v>
      </c>
      <c r="AE4" s="41" t="s">
        <v>72</v>
      </c>
      <c r="AF4" s="41" t="s">
        <v>73</v>
      </c>
      <c r="AG4" s="41" t="s">
        <v>74</v>
      </c>
      <c r="AH4" s="41" t="s">
        <v>75</v>
      </c>
      <c r="AI4" s="41" t="s">
        <v>76</v>
      </c>
      <c r="AJ4" s="41" t="s">
        <v>77</v>
      </c>
      <c r="AK4" s="41" t="s">
        <v>78</v>
      </c>
      <c r="AL4" s="41" t="s">
        <v>79</v>
      </c>
    </row>
    <row r="5" spans="1:38" x14ac:dyDescent="0.25">
      <c r="A5" s="3">
        <v>1</v>
      </c>
      <c r="B5" s="3" t="s">
        <v>94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186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110</v>
      </c>
      <c r="O6" s="3"/>
      <c r="P6" s="3"/>
      <c r="Q6" s="3">
        <v>0.78700000000000003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111</v>
      </c>
      <c r="O7" s="3"/>
      <c r="P7" s="3"/>
      <c r="Q7" s="3">
        <v>0.78700000000000003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102</v>
      </c>
      <c r="O8" s="3"/>
      <c r="P8" s="3"/>
      <c r="Q8" s="3">
        <v>0.52100000000000002</v>
      </c>
      <c r="R8" s="3" t="s">
        <v>103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18</v>
      </c>
      <c r="O9" s="3"/>
      <c r="P9" s="3"/>
      <c r="Q9" s="3">
        <v>84.125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92</v>
      </c>
      <c r="O10" s="3"/>
      <c r="P10" s="3"/>
      <c r="Q10" s="3">
        <v>16.001999999999999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93</v>
      </c>
      <c r="O11" s="3"/>
      <c r="P11" s="3"/>
      <c r="Q11" s="3">
        <v>99.35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115</v>
      </c>
      <c r="O16" s="3"/>
      <c r="P16" s="3"/>
      <c r="Q16" s="3">
        <v>0.3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256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187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188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110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117</v>
      </c>
      <c r="D21" s="3"/>
      <c r="E21" s="3" t="s">
        <v>117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111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117</v>
      </c>
      <c r="D22" s="3"/>
      <c r="E22" s="3" t="s">
        <v>117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102</v>
      </c>
      <c r="O22" s="3"/>
      <c r="P22" s="3"/>
      <c r="Q22" s="3">
        <v>0.629</v>
      </c>
      <c r="R22" s="3" t="s">
        <v>103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18</v>
      </c>
      <c r="O23" s="3"/>
      <c r="P23" s="3"/>
      <c r="Q23" s="3">
        <v>89.001999999999995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92</v>
      </c>
      <c r="O24" s="3"/>
      <c r="P24" s="3"/>
      <c r="Q24" s="3">
        <v>16.916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93</v>
      </c>
      <c r="O25" s="3"/>
      <c r="P25" s="3"/>
      <c r="Q25" s="3">
        <v>104.973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114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115</v>
      </c>
      <c r="O30" s="3"/>
      <c r="P30" s="3"/>
      <c r="Q30" s="3">
        <v>0.34499999999999997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257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189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190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110</v>
      </c>
      <c r="O34" s="3"/>
      <c r="P34" s="3"/>
      <c r="Q34" s="3">
        <v>1.0920000000000001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111</v>
      </c>
      <c r="O35" s="3"/>
      <c r="P35" s="3"/>
      <c r="Q35" s="3">
        <v>1.0920000000000001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102</v>
      </c>
      <c r="O36" s="3"/>
      <c r="P36" s="3"/>
      <c r="Q36" s="3">
        <v>0.73699999999999999</v>
      </c>
      <c r="R36" s="3" t="s">
        <v>103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18</v>
      </c>
      <c r="O37" s="3"/>
      <c r="P37" s="3"/>
      <c r="Q37" s="3">
        <v>93.878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92</v>
      </c>
      <c r="O38" s="3"/>
      <c r="P38" s="3"/>
      <c r="Q38" s="3">
        <v>17.831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93</v>
      </c>
      <c r="O39" s="3"/>
      <c r="P39" s="3"/>
      <c r="Q39" s="3">
        <v>110.59699999999999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114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115</v>
      </c>
      <c r="O44" s="3"/>
      <c r="P44" s="3"/>
      <c r="Q44" s="3">
        <v>0.39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258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191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192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110</v>
      </c>
      <c r="O48" s="3"/>
      <c r="P48" s="3"/>
      <c r="Q48" s="3">
        <v>1.2450000000000001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111</v>
      </c>
      <c r="O49" s="3"/>
      <c r="P49" s="3"/>
      <c r="Q49" s="3">
        <v>1.2450000000000001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102</v>
      </c>
      <c r="O50" s="3"/>
      <c r="P50" s="3"/>
      <c r="Q50" s="3">
        <v>0.84499999999999997</v>
      </c>
      <c r="R50" s="3" t="s">
        <v>103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18</v>
      </c>
      <c r="O51" s="3"/>
      <c r="P51" s="3"/>
      <c r="Q51" s="3">
        <v>98.754999999999995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92</v>
      </c>
      <c r="O52" s="3"/>
      <c r="P52" s="3"/>
      <c r="Q52" s="3">
        <v>18.745000000000001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93</v>
      </c>
      <c r="O53" s="3"/>
      <c r="P53" s="3"/>
      <c r="Q53" s="3">
        <v>116.22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114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115</v>
      </c>
      <c r="O58" s="3"/>
      <c r="P58" s="3"/>
      <c r="Q58" s="3">
        <v>0.435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259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193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120</v>
      </c>
      <c r="D61" s="3"/>
      <c r="E61" s="3" t="s">
        <v>120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194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120</v>
      </c>
      <c r="D62" s="3"/>
      <c r="E62" s="3" t="s">
        <v>120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110</v>
      </c>
      <c r="O62" s="3"/>
      <c r="P62" s="3"/>
      <c r="Q62" s="3">
        <v>1.5489999999999999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120</v>
      </c>
      <c r="D63" s="3"/>
      <c r="E63" s="3" t="s">
        <v>120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111</v>
      </c>
      <c r="O63" s="3"/>
      <c r="P63" s="3"/>
      <c r="Q63" s="3">
        <v>1.5489999999999999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120</v>
      </c>
      <c r="D64" s="3"/>
      <c r="E64" s="3" t="s">
        <v>120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102</v>
      </c>
      <c r="O64" s="3"/>
      <c r="P64" s="3"/>
      <c r="Q64" s="3">
        <v>1.06</v>
      </c>
      <c r="R64" s="3" t="s">
        <v>103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120</v>
      </c>
      <c r="D65" s="3"/>
      <c r="E65" s="3" t="s">
        <v>120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18</v>
      </c>
      <c r="O65" s="3"/>
      <c r="P65" s="3"/>
      <c r="Q65" s="3">
        <v>108.509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120</v>
      </c>
      <c r="D66" s="3"/>
      <c r="E66" s="3" t="s">
        <v>120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92</v>
      </c>
      <c r="O66" s="3"/>
      <c r="P66" s="3"/>
      <c r="Q66" s="3">
        <v>20.574000000000002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120</v>
      </c>
      <c r="D67" s="3"/>
      <c r="E67" s="3" t="s">
        <v>120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93</v>
      </c>
      <c r="O67" s="3"/>
      <c r="P67" s="3"/>
      <c r="Q67" s="3">
        <v>127.467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114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120</v>
      </c>
      <c r="D70" s="3"/>
      <c r="E70" s="3" t="s">
        <v>120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120</v>
      </c>
      <c r="D71" s="3"/>
      <c r="E71" s="3" t="s">
        <v>120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120</v>
      </c>
      <c r="D72" s="3"/>
      <c r="E72" s="3" t="s">
        <v>120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115</v>
      </c>
      <c r="O72" s="3"/>
      <c r="P72" s="3"/>
      <c r="Q72" s="3">
        <v>0.52500000000000002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120</v>
      </c>
      <c r="D73" s="3"/>
      <c r="E73" s="3" t="s">
        <v>120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260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120</v>
      </c>
      <c r="D74" s="3"/>
      <c r="E74" s="3" t="s">
        <v>120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195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196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110</v>
      </c>
      <c r="O76" s="3"/>
      <c r="P76" s="3"/>
      <c r="Q76" s="3">
        <v>1.702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111</v>
      </c>
      <c r="O77" s="3"/>
      <c r="P77" s="3"/>
      <c r="Q77" s="3">
        <v>1.702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102</v>
      </c>
      <c r="O78" s="3"/>
      <c r="P78" s="3"/>
      <c r="Q78" s="3">
        <v>1.1679999999999999</v>
      </c>
      <c r="R78" s="3" t="s">
        <v>103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18</v>
      </c>
      <c r="O79" s="3"/>
      <c r="P79" s="3"/>
      <c r="Q79" s="3">
        <v>113.386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92</v>
      </c>
      <c r="O80" s="3"/>
      <c r="P80" s="3"/>
      <c r="Q80" s="3">
        <v>21.488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93</v>
      </c>
      <c r="O81" s="3"/>
      <c r="P81" s="3"/>
      <c r="Q81" s="3">
        <v>133.09100000000001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114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115</v>
      </c>
      <c r="O86" s="3"/>
      <c r="P86" s="3"/>
      <c r="Q86" s="3">
        <v>0.56999999999999995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261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197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198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110</v>
      </c>
      <c r="O90" s="3"/>
      <c r="P90" s="3"/>
      <c r="Q90" s="3">
        <v>1.8540000000000001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111</v>
      </c>
      <c r="O91" s="3"/>
      <c r="P91" s="3"/>
      <c r="Q91" s="3">
        <v>1.8540000000000001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102</v>
      </c>
      <c r="O92" s="3"/>
      <c r="P92" s="3"/>
      <c r="Q92" s="3">
        <v>1.276</v>
      </c>
      <c r="R92" s="3" t="s">
        <v>103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18</v>
      </c>
      <c r="O93" s="3"/>
      <c r="P93" s="3"/>
      <c r="Q93" s="3">
        <v>118.262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92</v>
      </c>
      <c r="O94" s="3"/>
      <c r="P94" s="3"/>
      <c r="Q94" s="3">
        <v>22.402999999999999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93</v>
      </c>
      <c r="O95" s="3"/>
      <c r="P95" s="3"/>
      <c r="Q95" s="3">
        <v>138.714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114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115</v>
      </c>
      <c r="O100" s="3"/>
      <c r="P100" s="3"/>
      <c r="Q100" s="3">
        <v>0.61599999999999999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122</v>
      </c>
      <c r="D101" s="3"/>
      <c r="E101" s="3" t="s">
        <v>122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262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122</v>
      </c>
      <c r="D102" s="3"/>
      <c r="E102" s="3" t="s">
        <v>122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199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200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110</v>
      </c>
      <c r="O104" s="3"/>
      <c r="P104" s="3"/>
      <c r="Q104" s="3">
        <v>0.78700000000000003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111</v>
      </c>
      <c r="O105" s="3"/>
      <c r="P105" s="3"/>
      <c r="Q105" s="3">
        <v>0.78700000000000003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102</v>
      </c>
      <c r="O106" s="3"/>
      <c r="P106" s="3"/>
      <c r="Q106" s="3">
        <v>0.54300000000000004</v>
      </c>
      <c r="R106" s="3" t="s">
        <v>103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18</v>
      </c>
      <c r="O107" s="3"/>
      <c r="P107" s="3"/>
      <c r="Q107" s="3">
        <v>86.563000000000002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92</v>
      </c>
      <c r="O108" s="3"/>
      <c r="P108" s="3"/>
      <c r="Q108" s="3">
        <v>16.459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93</v>
      </c>
      <c r="O109" s="3"/>
      <c r="P109" s="3"/>
      <c r="Q109" s="3">
        <v>102.161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114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123</v>
      </c>
      <c r="D113" s="3"/>
      <c r="E113" s="3" t="s">
        <v>123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123</v>
      </c>
      <c r="D114" s="3"/>
      <c r="E114" s="3" t="s">
        <v>123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115</v>
      </c>
      <c r="O114" s="3"/>
      <c r="P114" s="3"/>
      <c r="Q114" s="3">
        <v>0.3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123</v>
      </c>
      <c r="D115" s="3"/>
      <c r="E115" s="3" t="s">
        <v>123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263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123</v>
      </c>
      <c r="D116" s="3"/>
      <c r="E116" s="3" t="s">
        <v>123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201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124</v>
      </c>
      <c r="D117" s="3"/>
      <c r="E117" s="3" t="s">
        <v>124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202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124</v>
      </c>
      <c r="D118" s="3"/>
      <c r="E118" s="3" t="s">
        <v>124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110</v>
      </c>
      <c r="O118" s="3"/>
      <c r="P118" s="3"/>
      <c r="Q118" s="3">
        <v>0.94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124</v>
      </c>
      <c r="D119" s="3"/>
      <c r="E119" s="3" t="s">
        <v>124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111</v>
      </c>
      <c r="O119" s="3"/>
      <c r="P119" s="3"/>
      <c r="Q119" s="3">
        <v>0.94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124</v>
      </c>
      <c r="D120" s="3"/>
      <c r="E120" s="3" t="s">
        <v>124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102</v>
      </c>
      <c r="O120" s="3"/>
      <c r="P120" s="3"/>
      <c r="Q120" s="3">
        <v>0.65600000000000003</v>
      </c>
      <c r="R120" s="3" t="s">
        <v>103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124</v>
      </c>
      <c r="D121" s="3"/>
      <c r="E121" s="3" t="s">
        <v>124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18</v>
      </c>
      <c r="O121" s="3"/>
      <c r="P121" s="3"/>
      <c r="Q121" s="3">
        <v>91.44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124</v>
      </c>
      <c r="D122" s="3"/>
      <c r="E122" s="3" t="s">
        <v>124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92</v>
      </c>
      <c r="O122" s="3"/>
      <c r="P122" s="3"/>
      <c r="Q122" s="3">
        <v>17.373999999999999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124</v>
      </c>
      <c r="D123" s="3"/>
      <c r="E123" s="3" t="s">
        <v>124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93</v>
      </c>
      <c r="O123" s="3"/>
      <c r="P123" s="3"/>
      <c r="Q123" s="3">
        <v>107.785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124</v>
      </c>
      <c r="D124" s="3"/>
      <c r="E124" s="3" t="s">
        <v>124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114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124</v>
      </c>
      <c r="D125" s="3"/>
      <c r="E125" s="3" t="s">
        <v>124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124</v>
      </c>
      <c r="D126" s="3"/>
      <c r="E126" s="3" t="s">
        <v>124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124</v>
      </c>
      <c r="D127" s="3"/>
      <c r="E127" s="3" t="s">
        <v>124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124</v>
      </c>
      <c r="D128" s="3"/>
      <c r="E128" s="3" t="s">
        <v>124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115</v>
      </c>
      <c r="O128" s="3"/>
      <c r="P128" s="3"/>
      <c r="Q128" s="3">
        <v>0.34499999999999997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124</v>
      </c>
      <c r="D129" s="3"/>
      <c r="E129" s="3" t="s">
        <v>124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264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124</v>
      </c>
      <c r="D130" s="3"/>
      <c r="E130" s="3" t="s">
        <v>124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203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125</v>
      </c>
      <c r="D131" s="3"/>
      <c r="E131" s="3" t="s">
        <v>125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204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125</v>
      </c>
      <c r="D132" s="3"/>
      <c r="E132" s="3" t="s">
        <v>125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110</v>
      </c>
      <c r="O132" s="3"/>
      <c r="P132" s="3"/>
      <c r="Q132" s="3">
        <v>1.0920000000000001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125</v>
      </c>
      <c r="D133" s="3"/>
      <c r="E133" s="3" t="s">
        <v>125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111</v>
      </c>
      <c r="O133" s="3"/>
      <c r="P133" s="3"/>
      <c r="Q133" s="3">
        <v>1.0920000000000001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125</v>
      </c>
      <c r="D134" s="3"/>
      <c r="E134" s="3" t="s">
        <v>125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102</v>
      </c>
      <c r="O134" s="3"/>
      <c r="P134" s="3"/>
      <c r="Q134" s="3">
        <v>0.76800000000000002</v>
      </c>
      <c r="R134" s="3" t="s">
        <v>103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125</v>
      </c>
      <c r="D135" s="3"/>
      <c r="E135" s="3" t="s">
        <v>125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18</v>
      </c>
      <c r="O135" s="3"/>
      <c r="P135" s="3"/>
      <c r="Q135" s="3">
        <v>96.316999999999993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125</v>
      </c>
      <c r="D136" s="3"/>
      <c r="E136" s="3" t="s">
        <v>125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92</v>
      </c>
      <c r="O136" s="3"/>
      <c r="P136" s="3"/>
      <c r="Q136" s="3">
        <v>18.288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125</v>
      </c>
      <c r="D137" s="3"/>
      <c r="E137" s="3" t="s">
        <v>125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93</v>
      </c>
      <c r="O137" s="3"/>
      <c r="P137" s="3"/>
      <c r="Q137" s="3">
        <v>113.408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125</v>
      </c>
      <c r="D138" s="3"/>
      <c r="E138" s="3" t="s">
        <v>125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114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125</v>
      </c>
      <c r="D139" s="3"/>
      <c r="E139" s="3" t="s">
        <v>125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125</v>
      </c>
      <c r="D140" s="3"/>
      <c r="E140" s="3" t="s">
        <v>125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125</v>
      </c>
      <c r="D141" s="3"/>
      <c r="E141" s="3" t="s">
        <v>125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125</v>
      </c>
      <c r="D142" s="3"/>
      <c r="E142" s="3" t="s">
        <v>125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115</v>
      </c>
      <c r="O142" s="3"/>
      <c r="P142" s="3"/>
      <c r="Q142" s="3">
        <v>0.39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125</v>
      </c>
      <c r="D143" s="3"/>
      <c r="E143" s="3" t="s">
        <v>125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265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125</v>
      </c>
      <c r="D144" s="3"/>
      <c r="E144" s="3" t="s">
        <v>125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205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126</v>
      </c>
      <c r="D145" s="3"/>
      <c r="E145" s="3" t="s">
        <v>126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206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126</v>
      </c>
      <c r="D146" s="3"/>
      <c r="E146" s="3" t="s">
        <v>126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110</v>
      </c>
      <c r="O146" s="3"/>
      <c r="P146" s="3"/>
      <c r="Q146" s="3">
        <v>1.2450000000000001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126</v>
      </c>
      <c r="D147" s="3"/>
      <c r="E147" s="3" t="s">
        <v>126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111</v>
      </c>
      <c r="O147" s="3"/>
      <c r="P147" s="3"/>
      <c r="Q147" s="3">
        <v>1.2450000000000001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126</v>
      </c>
      <c r="D148" s="3"/>
      <c r="E148" s="3" t="s">
        <v>126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102</v>
      </c>
      <c r="O148" s="3"/>
      <c r="P148" s="3"/>
      <c r="Q148" s="3">
        <v>0.88</v>
      </c>
      <c r="R148" s="3" t="s">
        <v>103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126</v>
      </c>
      <c r="D149" s="3"/>
      <c r="E149" s="3" t="s">
        <v>126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18</v>
      </c>
      <c r="O149" s="3"/>
      <c r="P149" s="3"/>
      <c r="Q149" s="3">
        <v>101.194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126</v>
      </c>
      <c r="D150" s="3"/>
      <c r="E150" s="3" t="s">
        <v>126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92</v>
      </c>
      <c r="O150" s="3"/>
      <c r="P150" s="3"/>
      <c r="Q150" s="3">
        <v>19.202000000000002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126</v>
      </c>
      <c r="D151" s="3"/>
      <c r="E151" s="3" t="s">
        <v>126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93</v>
      </c>
      <c r="O151" s="3"/>
      <c r="P151" s="3"/>
      <c r="Q151" s="3">
        <v>119.032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126</v>
      </c>
      <c r="D152" s="3"/>
      <c r="E152" s="3" t="s">
        <v>126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114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126</v>
      </c>
      <c r="D153" s="3"/>
      <c r="E153" s="3" t="s">
        <v>126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126</v>
      </c>
      <c r="D154" s="3"/>
      <c r="E154" s="3" t="s">
        <v>126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126</v>
      </c>
      <c r="D155" s="3"/>
      <c r="E155" s="3" t="s">
        <v>126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126</v>
      </c>
      <c r="D156" s="3"/>
      <c r="E156" s="3" t="s">
        <v>126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115</v>
      </c>
      <c r="O156" s="3"/>
      <c r="P156" s="3"/>
      <c r="Q156" s="3">
        <v>0.435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126</v>
      </c>
      <c r="D157" s="3"/>
      <c r="E157" s="3" t="s">
        <v>126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266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126</v>
      </c>
      <c r="D158" s="3"/>
      <c r="E158" s="3" t="s">
        <v>126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207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127</v>
      </c>
      <c r="D159" s="3"/>
      <c r="E159" s="3" t="s">
        <v>127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208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127</v>
      </c>
      <c r="D160" s="3"/>
      <c r="E160" s="3" t="s">
        <v>127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110</v>
      </c>
      <c r="O160" s="3"/>
      <c r="P160" s="3"/>
      <c r="Q160" s="3">
        <v>1.5489999999999999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127</v>
      </c>
      <c r="D161" s="3"/>
      <c r="E161" s="3" t="s">
        <v>127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111</v>
      </c>
      <c r="O161" s="3"/>
      <c r="P161" s="3"/>
      <c r="Q161" s="3">
        <v>1.5489999999999999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127</v>
      </c>
      <c r="D162" s="3"/>
      <c r="E162" s="3" t="s">
        <v>127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102</v>
      </c>
      <c r="O162" s="3"/>
      <c r="P162" s="3"/>
      <c r="Q162" s="3">
        <v>1.105</v>
      </c>
      <c r="R162" s="3" t="s">
        <v>103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127</v>
      </c>
      <c r="D163" s="3"/>
      <c r="E163" s="3" t="s">
        <v>127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18</v>
      </c>
      <c r="O163" s="3"/>
      <c r="P163" s="3"/>
      <c r="Q163" s="3">
        <v>110.947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127</v>
      </c>
      <c r="D164" s="3"/>
      <c r="E164" s="3" t="s">
        <v>127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92</v>
      </c>
      <c r="O164" s="3"/>
      <c r="P164" s="3"/>
      <c r="Q164" s="3">
        <v>21.030999999999999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127</v>
      </c>
      <c r="D165" s="3"/>
      <c r="E165" s="3" t="s">
        <v>127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93</v>
      </c>
      <c r="O165" s="3"/>
      <c r="P165" s="3"/>
      <c r="Q165" s="3">
        <v>130.279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127</v>
      </c>
      <c r="D166" s="3"/>
      <c r="E166" s="3" t="s">
        <v>127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114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127</v>
      </c>
      <c r="D167" s="3"/>
      <c r="E167" s="3" t="s">
        <v>127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127</v>
      </c>
      <c r="D168" s="3"/>
      <c r="E168" s="3" t="s">
        <v>127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127</v>
      </c>
      <c r="D169" s="3"/>
      <c r="E169" s="3" t="s">
        <v>127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127</v>
      </c>
      <c r="D170" s="3"/>
      <c r="E170" s="3" t="s">
        <v>127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115</v>
      </c>
      <c r="O170" s="3"/>
      <c r="P170" s="3"/>
      <c r="Q170" s="3">
        <v>0.52500000000000002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127</v>
      </c>
      <c r="D171" s="3"/>
      <c r="E171" s="3" t="s">
        <v>127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267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127</v>
      </c>
      <c r="D172" s="3"/>
      <c r="E172" s="3" t="s">
        <v>127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209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128</v>
      </c>
      <c r="D173" s="3"/>
      <c r="E173" s="3" t="s">
        <v>128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210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128</v>
      </c>
      <c r="D174" s="3"/>
      <c r="E174" s="3" t="s">
        <v>128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110</v>
      </c>
      <c r="O174" s="3"/>
      <c r="P174" s="3"/>
      <c r="Q174" s="3">
        <v>1.702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128</v>
      </c>
      <c r="D175" s="3"/>
      <c r="E175" s="3" t="s">
        <v>128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111</v>
      </c>
      <c r="O175" s="3"/>
      <c r="P175" s="3"/>
      <c r="Q175" s="3">
        <v>1.702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128</v>
      </c>
      <c r="D176" s="3"/>
      <c r="E176" s="3" t="s">
        <v>128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102</v>
      </c>
      <c r="O176" s="3"/>
      <c r="P176" s="3"/>
      <c r="Q176" s="3">
        <v>1.218</v>
      </c>
      <c r="R176" s="3" t="s">
        <v>103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128</v>
      </c>
      <c r="D177" s="3"/>
      <c r="E177" s="3" t="s">
        <v>128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18</v>
      </c>
      <c r="O177" s="3"/>
      <c r="P177" s="3"/>
      <c r="Q177" s="3">
        <v>115.824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128</v>
      </c>
      <c r="D178" s="3"/>
      <c r="E178" s="3" t="s">
        <v>128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92</v>
      </c>
      <c r="O178" s="3"/>
      <c r="P178" s="3"/>
      <c r="Q178" s="3">
        <v>21.946000000000002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128</v>
      </c>
      <c r="D179" s="3"/>
      <c r="E179" s="3" t="s">
        <v>128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93</v>
      </c>
      <c r="O179" s="3"/>
      <c r="P179" s="3"/>
      <c r="Q179" s="3">
        <v>135.90299999999999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128</v>
      </c>
      <c r="D180" s="3"/>
      <c r="E180" s="3" t="s">
        <v>128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114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128</v>
      </c>
      <c r="D181" s="3"/>
      <c r="E181" s="3" t="s">
        <v>128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128</v>
      </c>
      <c r="D182" s="3"/>
      <c r="E182" s="3" t="s">
        <v>128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128</v>
      </c>
      <c r="D183" s="3"/>
      <c r="E183" s="3" t="s">
        <v>128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128</v>
      </c>
      <c r="D184" s="3"/>
      <c r="E184" s="3" t="s">
        <v>128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115</v>
      </c>
      <c r="O184" s="3"/>
      <c r="P184" s="3"/>
      <c r="Q184" s="3">
        <v>0.56999999999999995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268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211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129</v>
      </c>
      <c r="D187" s="3"/>
      <c r="E187" s="3" t="s">
        <v>129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212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129</v>
      </c>
      <c r="D188" s="3"/>
      <c r="E188" s="3" t="s">
        <v>129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110</v>
      </c>
      <c r="O188" s="3"/>
      <c r="P188" s="3"/>
      <c r="Q188" s="3">
        <v>1.8540000000000001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129</v>
      </c>
      <c r="D189" s="3"/>
      <c r="E189" s="3" t="s">
        <v>129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111</v>
      </c>
      <c r="O189" s="3"/>
      <c r="P189" s="3"/>
      <c r="Q189" s="3">
        <v>1.8540000000000001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129</v>
      </c>
      <c r="D190" s="3"/>
      <c r="E190" s="3" t="s">
        <v>129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102</v>
      </c>
      <c r="O190" s="3"/>
      <c r="P190" s="3"/>
      <c r="Q190" s="3">
        <v>1.33</v>
      </c>
      <c r="R190" s="3" t="s">
        <v>103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129</v>
      </c>
      <c r="D191" s="3"/>
      <c r="E191" s="3" t="s">
        <v>129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18</v>
      </c>
      <c r="O191" s="3"/>
      <c r="P191" s="3"/>
      <c r="Q191" s="3">
        <v>120.70099999999999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129</v>
      </c>
      <c r="D192" s="3"/>
      <c r="E192" s="3" t="s">
        <v>129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92</v>
      </c>
      <c r="O192" s="3"/>
      <c r="P192" s="3"/>
      <c r="Q192" s="3">
        <v>22.86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129</v>
      </c>
      <c r="D193" s="3"/>
      <c r="E193" s="3" t="s">
        <v>129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93</v>
      </c>
      <c r="O193" s="3"/>
      <c r="P193" s="3"/>
      <c r="Q193" s="3">
        <v>141.52600000000001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129</v>
      </c>
      <c r="D194" s="3"/>
      <c r="E194" s="3" t="s">
        <v>129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114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129</v>
      </c>
      <c r="D195" s="3"/>
      <c r="E195" s="3" t="s">
        <v>129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129</v>
      </c>
      <c r="D196" s="3"/>
      <c r="E196" s="3" t="s">
        <v>129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115</v>
      </c>
      <c r="O198" s="3"/>
      <c r="P198" s="3"/>
      <c r="Q198" s="3">
        <v>0.61599999999999999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269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213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130</v>
      </c>
      <c r="D201" s="3"/>
      <c r="E201" s="3" t="s">
        <v>130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214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130</v>
      </c>
      <c r="D202" s="3"/>
      <c r="E202" s="3" t="s">
        <v>130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110</v>
      </c>
      <c r="O202" s="3"/>
      <c r="P202" s="3"/>
      <c r="Q202" s="3">
        <v>0.78700000000000003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130</v>
      </c>
      <c r="D203" s="3"/>
      <c r="E203" s="3" t="s">
        <v>130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111</v>
      </c>
      <c r="O203" s="3"/>
      <c r="P203" s="3"/>
      <c r="Q203" s="3">
        <v>0.78700000000000003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130</v>
      </c>
      <c r="D204" s="3"/>
      <c r="E204" s="3" t="s">
        <v>130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102</v>
      </c>
      <c r="O204" s="3"/>
      <c r="P204" s="3"/>
      <c r="Q204" s="3">
        <v>0.56499999999999995</v>
      </c>
      <c r="R204" s="3" t="s">
        <v>103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130</v>
      </c>
      <c r="D205" s="3"/>
      <c r="E205" s="3" t="s">
        <v>130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18</v>
      </c>
      <c r="O205" s="3"/>
      <c r="P205" s="3"/>
      <c r="Q205" s="3">
        <v>89.001999999999995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130</v>
      </c>
      <c r="D206" s="3"/>
      <c r="E206" s="3" t="s">
        <v>130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92</v>
      </c>
      <c r="O206" s="3"/>
      <c r="P206" s="3"/>
      <c r="Q206" s="3">
        <v>16.916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130</v>
      </c>
      <c r="D207" s="3"/>
      <c r="E207" s="3" t="s">
        <v>130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93</v>
      </c>
      <c r="O207" s="3"/>
      <c r="P207" s="3"/>
      <c r="Q207" s="3">
        <v>104.973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130</v>
      </c>
      <c r="D208" s="3"/>
      <c r="E208" s="3" t="s">
        <v>130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114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115</v>
      </c>
      <c r="O212" s="3"/>
      <c r="P212" s="3"/>
      <c r="Q212" s="3">
        <v>0.3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270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215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131</v>
      </c>
      <c r="D215" s="3"/>
      <c r="E215" s="3" t="s">
        <v>131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216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131</v>
      </c>
      <c r="D216" s="3"/>
      <c r="E216" s="3" t="s">
        <v>131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110</v>
      </c>
      <c r="O216" s="3"/>
      <c r="P216" s="3"/>
      <c r="Q216" s="3">
        <v>0.94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131</v>
      </c>
      <c r="D217" s="3"/>
      <c r="E217" s="3" t="s">
        <v>131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111</v>
      </c>
      <c r="O217" s="3"/>
      <c r="P217" s="3"/>
      <c r="Q217" s="3">
        <v>0.94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131</v>
      </c>
      <c r="D218" s="3"/>
      <c r="E218" s="3" t="s">
        <v>131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102</v>
      </c>
      <c r="O218" s="3"/>
      <c r="P218" s="3"/>
      <c r="Q218" s="3">
        <v>0.68200000000000005</v>
      </c>
      <c r="R218" s="3" t="s">
        <v>103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131</v>
      </c>
      <c r="D219" s="3"/>
      <c r="E219" s="3" t="s">
        <v>131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18</v>
      </c>
      <c r="O219" s="3"/>
      <c r="P219" s="3"/>
      <c r="Q219" s="3">
        <v>93.878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131</v>
      </c>
      <c r="D220" s="3"/>
      <c r="E220" s="3" t="s">
        <v>131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92</v>
      </c>
      <c r="O220" s="3"/>
      <c r="P220" s="3"/>
      <c r="Q220" s="3">
        <v>17.831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93</v>
      </c>
      <c r="O221" s="3"/>
      <c r="P221" s="3"/>
      <c r="Q221" s="3">
        <v>110.59699999999999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114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115</v>
      </c>
      <c r="O226" s="3"/>
      <c r="P226" s="3"/>
      <c r="Q226" s="3">
        <v>0.34499999999999997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217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132</v>
      </c>
      <c r="D229" s="3"/>
      <c r="E229" s="3" t="s">
        <v>132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132</v>
      </c>
      <c r="D230" s="3"/>
      <c r="E230" s="3" t="s">
        <v>132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110</v>
      </c>
      <c r="O230" s="3"/>
      <c r="P230" s="3"/>
      <c r="Q230" s="3">
        <v>1.0920000000000001</v>
      </c>
      <c r="R230" s="3" t="s">
        <v>15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132</v>
      </c>
      <c r="D231" s="3"/>
      <c r="E231" s="3" t="s">
        <v>132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111</v>
      </c>
      <c r="O231" s="3"/>
      <c r="P231" s="3"/>
      <c r="Q231" s="3">
        <v>1.0920000000000001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132</v>
      </c>
      <c r="D232" s="3"/>
      <c r="E232" s="3" t="s">
        <v>132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102</v>
      </c>
      <c r="O232" s="3"/>
      <c r="P232" s="3"/>
      <c r="Q232" s="3">
        <v>0.79900000000000004</v>
      </c>
      <c r="R232" s="3" t="s">
        <v>103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18</v>
      </c>
      <c r="O233" s="3"/>
      <c r="P233" s="3"/>
      <c r="Q233" s="3">
        <v>98.754999999999995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92</v>
      </c>
      <c r="O234" s="3"/>
      <c r="P234" s="3"/>
      <c r="Q234" s="3">
        <v>18.745000000000001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93</v>
      </c>
      <c r="O235" s="3"/>
      <c r="P235" s="3"/>
      <c r="Q235" s="3">
        <v>116.22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114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21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115</v>
      </c>
      <c r="O240" s="3"/>
      <c r="P240" s="3"/>
      <c r="Q240" s="3">
        <v>0.39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272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133</v>
      </c>
      <c r="D243" s="3"/>
      <c r="E243" s="3" t="s">
        <v>133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220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133</v>
      </c>
      <c r="D244" s="3"/>
      <c r="E244" s="3" t="s">
        <v>133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110</v>
      </c>
      <c r="O244" s="3"/>
      <c r="P244" s="3"/>
      <c r="Q244" s="3">
        <v>1.2450000000000001</v>
      </c>
      <c r="R244" s="3" t="s">
        <v>15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111</v>
      </c>
      <c r="O245" s="3"/>
      <c r="P245" s="3"/>
      <c r="Q245" s="3">
        <v>1.2450000000000001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102</v>
      </c>
      <c r="O246" s="3"/>
      <c r="P246" s="3"/>
      <c r="Q246" s="3">
        <v>0.91600000000000004</v>
      </c>
      <c r="R246" s="3" t="s">
        <v>103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18</v>
      </c>
      <c r="O247" s="3"/>
      <c r="P247" s="3"/>
      <c r="Q247" s="3">
        <v>103.63200000000001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92</v>
      </c>
      <c r="O248" s="3"/>
      <c r="P248" s="3"/>
      <c r="Q248" s="3">
        <v>19.66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93</v>
      </c>
      <c r="O249" s="3"/>
      <c r="P249" s="3"/>
      <c r="Q249" s="3">
        <v>121.84399999999999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114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115</v>
      </c>
      <c r="O254" s="3"/>
      <c r="P254" s="3"/>
      <c r="Q254" s="3">
        <v>0.435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273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221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222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110</v>
      </c>
      <c r="O258" s="3"/>
      <c r="P258" s="3"/>
      <c r="Q258" s="3">
        <v>1.5489999999999999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111</v>
      </c>
      <c r="O259" s="3"/>
      <c r="P259" s="3"/>
      <c r="Q259" s="3">
        <v>1.5489999999999999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102</v>
      </c>
      <c r="O260" s="3"/>
      <c r="P260" s="3"/>
      <c r="Q260" s="3">
        <v>1.1499999999999999</v>
      </c>
      <c r="R260" s="3" t="s">
        <v>103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18</v>
      </c>
      <c r="O261" s="3"/>
      <c r="P261" s="3"/>
      <c r="Q261" s="3">
        <v>113.386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92</v>
      </c>
      <c r="O262" s="3"/>
      <c r="P262" s="3"/>
      <c r="Q262" s="3">
        <v>21.488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93</v>
      </c>
      <c r="O263" s="3"/>
      <c r="P263" s="3"/>
      <c r="Q263" s="3">
        <v>133.09100000000001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114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115</v>
      </c>
      <c r="O268" s="3"/>
      <c r="P268" s="3"/>
      <c r="Q268" s="3">
        <v>0.52500000000000002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134</v>
      </c>
      <c r="D269" s="3"/>
      <c r="E269" s="3" t="s">
        <v>134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274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134</v>
      </c>
      <c r="D270" s="3"/>
      <c r="E270" s="3" t="s">
        <v>134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223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110</v>
      </c>
      <c r="O272" s="3"/>
      <c r="P272" s="3"/>
      <c r="Q272" s="3">
        <v>1.702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111</v>
      </c>
      <c r="O273" s="3"/>
      <c r="P273" s="3"/>
      <c r="Q273" s="3">
        <v>1.702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102</v>
      </c>
      <c r="O274" s="3"/>
      <c r="P274" s="3"/>
      <c r="Q274" s="3">
        <v>1.2669999999999999</v>
      </c>
      <c r="R274" s="3" t="s">
        <v>103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18</v>
      </c>
      <c r="O275" s="3"/>
      <c r="P275" s="3"/>
      <c r="Q275" s="3">
        <v>118.262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92</v>
      </c>
      <c r="O276" s="3"/>
      <c r="P276" s="3"/>
      <c r="Q276" s="3">
        <v>22.402999999999999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93</v>
      </c>
      <c r="O277" s="3"/>
      <c r="P277" s="3"/>
      <c r="Q277" s="3">
        <v>138.714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114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135</v>
      </c>
      <c r="D281" s="3"/>
      <c r="E281" s="3" t="s">
        <v>135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135</v>
      </c>
      <c r="D282" s="3"/>
      <c r="E282" s="3" t="s">
        <v>135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115</v>
      </c>
      <c r="O282" s="3"/>
      <c r="P282" s="3"/>
      <c r="Q282" s="3">
        <v>0.56999999999999995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135</v>
      </c>
      <c r="D283" s="3"/>
      <c r="E283" s="3" t="s">
        <v>135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275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135</v>
      </c>
      <c r="D284" s="3"/>
      <c r="E284" s="3" t="s">
        <v>135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110</v>
      </c>
      <c r="O286" s="3"/>
      <c r="P286" s="3"/>
      <c r="Q286" s="3">
        <v>1.8540000000000001</v>
      </c>
      <c r="R286" s="3" t="s">
        <v>15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111</v>
      </c>
      <c r="O287" s="3"/>
      <c r="P287" s="3"/>
      <c r="Q287" s="3">
        <v>1.8540000000000001</v>
      </c>
      <c r="R287" s="3" t="s">
        <v>15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102</v>
      </c>
      <c r="O288" s="3"/>
      <c r="P288" s="3"/>
      <c r="Q288" s="3">
        <v>1.3839999999999999</v>
      </c>
      <c r="R288" s="3" t="s">
        <v>103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18</v>
      </c>
      <c r="O289" s="3"/>
      <c r="P289" s="3"/>
      <c r="Q289" s="3">
        <v>123.139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92</v>
      </c>
      <c r="O290" s="3"/>
      <c r="P290" s="3"/>
      <c r="Q290" s="3">
        <v>23.317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93</v>
      </c>
      <c r="O291" s="3"/>
      <c r="P291" s="3"/>
      <c r="Q291" s="3">
        <v>144.33799999999999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114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136</v>
      </c>
      <c r="D293" s="3"/>
      <c r="E293" s="3" t="s">
        <v>136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136</v>
      </c>
      <c r="D294" s="3"/>
      <c r="E294" s="3" t="s">
        <v>136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136</v>
      </c>
      <c r="D295" s="3"/>
      <c r="E295" s="3" t="s">
        <v>136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23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136</v>
      </c>
      <c r="D296" s="3"/>
      <c r="E296" s="3" t="s">
        <v>136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115</v>
      </c>
      <c r="O296" s="3"/>
      <c r="P296" s="3"/>
      <c r="Q296" s="3">
        <v>0.61599999999999999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136</v>
      </c>
      <c r="D297" s="3"/>
      <c r="E297" s="3" t="s">
        <v>136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276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136</v>
      </c>
      <c r="D298" s="3"/>
      <c r="E298" s="3" t="s">
        <v>136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227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228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110</v>
      </c>
      <c r="O300" s="3"/>
      <c r="P300" s="3"/>
      <c r="Q300" s="3">
        <v>2.0569999999999999</v>
      </c>
      <c r="R300" s="3" t="s">
        <v>15</v>
      </c>
      <c r="S300" s="3"/>
      <c r="T300" s="3">
        <v>10</v>
      </c>
      <c r="U300" s="3"/>
      <c r="V300" s="3" t="s">
        <v>16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111</v>
      </c>
      <c r="O301" s="3"/>
      <c r="P301" s="3"/>
      <c r="Q301" s="3">
        <v>2.0569999999999999</v>
      </c>
      <c r="R301" s="3" t="s">
        <v>15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102</v>
      </c>
      <c r="O302" s="3"/>
      <c r="P302" s="3"/>
      <c r="Q302" s="3">
        <v>0.57999999999999996</v>
      </c>
      <c r="R302" s="3" t="s">
        <v>103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18</v>
      </c>
      <c r="O303" s="3"/>
      <c r="P303" s="3"/>
      <c r="Q303" s="3">
        <v>90.626999999999995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92</v>
      </c>
      <c r="O304" s="3"/>
      <c r="P304" s="3"/>
      <c r="Q304" s="3">
        <v>17.221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137</v>
      </c>
      <c r="D305" s="3"/>
      <c r="E305" s="3" t="s">
        <v>137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93</v>
      </c>
      <c r="O305" s="3"/>
      <c r="P305" s="3"/>
      <c r="Q305" s="3">
        <v>106.848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137</v>
      </c>
      <c r="D306" s="3"/>
      <c r="E306" s="3" t="s">
        <v>137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114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137</v>
      </c>
      <c r="D307" s="3"/>
      <c r="E307" s="3" t="s">
        <v>137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21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137</v>
      </c>
      <c r="D308" s="3"/>
      <c r="E308" s="3" t="s">
        <v>137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137</v>
      </c>
      <c r="D309" s="3"/>
      <c r="E309" s="3" t="s">
        <v>137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137</v>
      </c>
      <c r="D310" s="3"/>
      <c r="E310" s="3" t="s">
        <v>137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115</v>
      </c>
      <c r="O310" s="3"/>
      <c r="P310" s="3"/>
      <c r="Q310" s="3">
        <v>0.67600000000000005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137</v>
      </c>
      <c r="D311" s="3"/>
      <c r="E311" s="3" t="s">
        <v>137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277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137</v>
      </c>
      <c r="D312" s="3"/>
      <c r="E312" s="3" t="s">
        <v>137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229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230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110</v>
      </c>
      <c r="O314" s="3"/>
      <c r="P314" s="3"/>
      <c r="Q314" s="3">
        <v>2.0569999999999999</v>
      </c>
      <c r="R314" s="3" t="s">
        <v>15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111</v>
      </c>
      <c r="O315" s="3"/>
      <c r="P315" s="3"/>
      <c r="Q315" s="3">
        <v>2.0569999999999999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102</v>
      </c>
      <c r="O316" s="3"/>
      <c r="P316" s="3"/>
      <c r="Q316" s="3">
        <v>0.7</v>
      </c>
      <c r="R316" s="3" t="s">
        <v>103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138</v>
      </c>
      <c r="D317" s="3"/>
      <c r="E317" s="3" t="s">
        <v>138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18</v>
      </c>
      <c r="O317" s="3"/>
      <c r="P317" s="3"/>
      <c r="Q317" s="3">
        <v>95.504000000000005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138</v>
      </c>
      <c r="D318" s="3"/>
      <c r="E318" s="3" t="s">
        <v>138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92</v>
      </c>
      <c r="O318" s="3"/>
      <c r="P318" s="3"/>
      <c r="Q318" s="3">
        <v>18.135999999999999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138</v>
      </c>
      <c r="D319" s="3"/>
      <c r="E319" s="3" t="s">
        <v>138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93</v>
      </c>
      <c r="O319" s="3"/>
      <c r="P319" s="3"/>
      <c r="Q319" s="3">
        <v>112.471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138</v>
      </c>
      <c r="D320" s="3"/>
      <c r="E320" s="3" t="s">
        <v>138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114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138</v>
      </c>
      <c r="D321" s="3"/>
      <c r="E321" s="3" t="s">
        <v>138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21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138</v>
      </c>
      <c r="D322" s="3"/>
      <c r="E322" s="3" t="s">
        <v>138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138</v>
      </c>
      <c r="D323" s="3"/>
      <c r="E323" s="3" t="s">
        <v>138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138</v>
      </c>
      <c r="D324" s="3"/>
      <c r="E324" s="3" t="s">
        <v>138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115</v>
      </c>
      <c r="O324" s="3"/>
      <c r="P324" s="3"/>
      <c r="Q324" s="3">
        <v>0.67600000000000005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138</v>
      </c>
      <c r="D325" s="3"/>
      <c r="E325" s="3" t="s">
        <v>138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278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138</v>
      </c>
      <c r="D326" s="3"/>
      <c r="E326" s="3" t="s">
        <v>138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231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232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110</v>
      </c>
      <c r="O328" s="3"/>
      <c r="P328" s="3"/>
      <c r="Q328" s="3">
        <v>2.0569999999999999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139</v>
      </c>
      <c r="D329" s="3"/>
      <c r="E329" s="3" t="s">
        <v>139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111</v>
      </c>
      <c r="O329" s="3"/>
      <c r="P329" s="3"/>
      <c r="Q329" s="3">
        <v>2.0569999999999999</v>
      </c>
      <c r="R329" s="3" t="s">
        <v>15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139</v>
      </c>
      <c r="D330" s="3"/>
      <c r="E330" s="3" t="s">
        <v>139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102</v>
      </c>
      <c r="O330" s="3"/>
      <c r="P330" s="3"/>
      <c r="Q330" s="3">
        <v>0.82</v>
      </c>
      <c r="R330" s="3" t="s">
        <v>103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139</v>
      </c>
      <c r="D331" s="3"/>
      <c r="E331" s="3" t="s">
        <v>139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18</v>
      </c>
      <c r="O331" s="3"/>
      <c r="P331" s="3"/>
      <c r="Q331" s="3">
        <v>100.381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139</v>
      </c>
      <c r="D332" s="3"/>
      <c r="E332" s="3" t="s">
        <v>139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92</v>
      </c>
      <c r="O332" s="3"/>
      <c r="P332" s="3"/>
      <c r="Q332" s="3">
        <v>19.05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139</v>
      </c>
      <c r="D333" s="3"/>
      <c r="E333" s="3" t="s">
        <v>139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93</v>
      </c>
      <c r="O333" s="3"/>
      <c r="P333" s="3"/>
      <c r="Q333" s="3">
        <v>118.095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139</v>
      </c>
      <c r="D334" s="3"/>
      <c r="E334" s="3" t="s">
        <v>139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114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139</v>
      </c>
      <c r="D335" s="3"/>
      <c r="E335" s="3" t="s">
        <v>139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139</v>
      </c>
      <c r="D336" s="3"/>
      <c r="E336" s="3" t="s">
        <v>139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139</v>
      </c>
      <c r="D337" s="3"/>
      <c r="E337" s="3" t="s">
        <v>139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139</v>
      </c>
      <c r="D338" s="3"/>
      <c r="E338" s="3" t="s">
        <v>139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115</v>
      </c>
      <c r="O338" s="3"/>
      <c r="P338" s="3"/>
      <c r="Q338" s="3">
        <v>0.67600000000000005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139</v>
      </c>
      <c r="D339" s="3"/>
      <c r="E339" s="3" t="s">
        <v>139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279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139</v>
      </c>
      <c r="D340" s="3"/>
      <c r="E340" s="3" t="s">
        <v>139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233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140</v>
      </c>
      <c r="D341" s="3"/>
      <c r="E341" s="3" t="s">
        <v>140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234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140</v>
      </c>
      <c r="D342" s="3"/>
      <c r="E342" s="3" t="s">
        <v>140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110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140</v>
      </c>
      <c r="D343" s="3"/>
      <c r="E343" s="3" t="s">
        <v>140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111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140</v>
      </c>
      <c r="D344" s="3"/>
      <c r="E344" s="3" t="s">
        <v>140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102</v>
      </c>
      <c r="O344" s="3"/>
      <c r="P344" s="3"/>
      <c r="Q344" s="3">
        <v>0.94</v>
      </c>
      <c r="R344" s="3" t="s">
        <v>103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140</v>
      </c>
      <c r="D345" s="3"/>
      <c r="E345" s="3" t="s">
        <v>140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18</v>
      </c>
      <c r="O345" s="3"/>
      <c r="P345" s="3"/>
      <c r="Q345" s="3">
        <v>105.258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140</v>
      </c>
      <c r="D346" s="3"/>
      <c r="E346" s="3" t="s">
        <v>140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92</v>
      </c>
      <c r="O346" s="3"/>
      <c r="P346" s="3"/>
      <c r="Q346" s="3">
        <v>19.963999999999999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140</v>
      </c>
      <c r="D347" s="3"/>
      <c r="E347" s="3" t="s">
        <v>140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93</v>
      </c>
      <c r="O347" s="3"/>
      <c r="P347" s="3"/>
      <c r="Q347" s="3">
        <v>123.718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140</v>
      </c>
      <c r="D348" s="3"/>
      <c r="E348" s="3" t="s">
        <v>140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114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140</v>
      </c>
      <c r="D349" s="3"/>
      <c r="E349" s="3" t="s">
        <v>140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140</v>
      </c>
      <c r="D350" s="3"/>
      <c r="E350" s="3" t="s">
        <v>140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140</v>
      </c>
      <c r="D351" s="3"/>
      <c r="E351" s="3" t="s">
        <v>140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140</v>
      </c>
      <c r="D352" s="3"/>
      <c r="E352" s="3" t="s">
        <v>140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115</v>
      </c>
      <c r="O352" s="3"/>
      <c r="P352" s="3"/>
      <c r="Q352" s="3">
        <v>0.67600000000000005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280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235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141</v>
      </c>
      <c r="D355" s="3"/>
      <c r="E355" s="3" t="s">
        <v>141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236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141</v>
      </c>
      <c r="D356" s="3"/>
      <c r="E356" s="3" t="s">
        <v>141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110</v>
      </c>
      <c r="O356" s="3"/>
      <c r="P356" s="3"/>
      <c r="Q356" s="3">
        <v>2.0569999999999999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141</v>
      </c>
      <c r="D357" s="3"/>
      <c r="E357" s="3" t="s">
        <v>141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141</v>
      </c>
      <c r="D358" s="3"/>
      <c r="E358" s="3" t="s">
        <v>141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102</v>
      </c>
      <c r="O358" s="3"/>
      <c r="P358" s="3"/>
      <c r="Q358" s="3">
        <v>1.18</v>
      </c>
      <c r="R358" s="3" t="s">
        <v>103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141</v>
      </c>
      <c r="D359" s="3"/>
      <c r="E359" s="3" t="s">
        <v>141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18</v>
      </c>
      <c r="O359" s="3"/>
      <c r="P359" s="3"/>
      <c r="Q359" s="3">
        <v>115.011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141</v>
      </c>
      <c r="D360" s="3"/>
      <c r="E360" s="3" t="s">
        <v>141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92</v>
      </c>
      <c r="O360" s="3"/>
      <c r="P360" s="3"/>
      <c r="Q360" s="3">
        <v>21.792999999999999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141</v>
      </c>
      <c r="D361" s="3"/>
      <c r="E361" s="3" t="s">
        <v>141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93</v>
      </c>
      <c r="O361" s="3"/>
      <c r="P361" s="3"/>
      <c r="Q361" s="3">
        <v>134.965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141</v>
      </c>
      <c r="D362" s="3"/>
      <c r="E362" s="3" t="s">
        <v>141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114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141</v>
      </c>
      <c r="D363" s="3"/>
      <c r="E363" s="3" t="s">
        <v>141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141</v>
      </c>
      <c r="D364" s="3"/>
      <c r="E364" s="3" t="s">
        <v>141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115</v>
      </c>
      <c r="O366" s="3"/>
      <c r="P366" s="3"/>
      <c r="Q366" s="3">
        <v>0.67600000000000005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281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237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142</v>
      </c>
      <c r="D369" s="3"/>
      <c r="E369" s="3" t="s">
        <v>142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238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142</v>
      </c>
      <c r="D370" s="3"/>
      <c r="E370" s="3" t="s">
        <v>142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110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142</v>
      </c>
      <c r="D371" s="3"/>
      <c r="E371" s="3" t="s">
        <v>142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111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142</v>
      </c>
      <c r="D372" s="3"/>
      <c r="E372" s="3" t="s">
        <v>142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102</v>
      </c>
      <c r="O372" s="3"/>
      <c r="P372" s="3"/>
      <c r="Q372" s="3">
        <v>1.3</v>
      </c>
      <c r="R372" s="3" t="s">
        <v>103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142</v>
      </c>
      <c r="D373" s="3"/>
      <c r="E373" s="3" t="s">
        <v>142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18</v>
      </c>
      <c r="O373" s="3"/>
      <c r="P373" s="3"/>
      <c r="Q373" s="3">
        <v>119.88800000000001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142</v>
      </c>
      <c r="D374" s="3"/>
      <c r="E374" s="3" t="s">
        <v>142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92</v>
      </c>
      <c r="O374" s="3"/>
      <c r="P374" s="3"/>
      <c r="Q374" s="3">
        <v>22.707999999999998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142</v>
      </c>
      <c r="D375" s="3"/>
      <c r="E375" s="3" t="s">
        <v>142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93</v>
      </c>
      <c r="O375" s="3"/>
      <c r="P375" s="3"/>
      <c r="Q375" s="3">
        <v>140.589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142</v>
      </c>
      <c r="D376" s="3"/>
      <c r="E376" s="3" t="s">
        <v>142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114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115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282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239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143</v>
      </c>
      <c r="D383" s="3"/>
      <c r="E383" s="3" t="s">
        <v>143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240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143</v>
      </c>
      <c r="D384" s="3"/>
      <c r="E384" s="3" t="s">
        <v>143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110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143</v>
      </c>
      <c r="D385" s="3"/>
      <c r="E385" s="3" t="s">
        <v>143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111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143</v>
      </c>
      <c r="D386" s="3"/>
      <c r="E386" s="3" t="s">
        <v>143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102</v>
      </c>
      <c r="O386" s="3"/>
      <c r="P386" s="3"/>
      <c r="Q386" s="3">
        <v>1.42</v>
      </c>
      <c r="R386" s="3" t="s">
        <v>103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143</v>
      </c>
      <c r="D387" s="3"/>
      <c r="E387" s="3" t="s">
        <v>143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18</v>
      </c>
      <c r="O387" s="3"/>
      <c r="P387" s="3"/>
      <c r="Q387" s="3">
        <v>124.765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143</v>
      </c>
      <c r="D388" s="3"/>
      <c r="E388" s="3" t="s">
        <v>143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92</v>
      </c>
      <c r="O388" s="3"/>
      <c r="P388" s="3"/>
      <c r="Q388" s="3">
        <v>23.622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93</v>
      </c>
      <c r="O389" s="3"/>
      <c r="P389" s="3"/>
      <c r="Q389" s="3">
        <v>146.21299999999999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114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115</v>
      </c>
      <c r="O394" s="3"/>
      <c r="P394" s="3"/>
      <c r="Q394" s="3">
        <v>0.67600000000000005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283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241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144</v>
      </c>
      <c r="D397" s="3"/>
      <c r="E397" s="3" t="s">
        <v>144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242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144</v>
      </c>
      <c r="D398" s="3"/>
      <c r="E398" s="3" t="s">
        <v>144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110</v>
      </c>
      <c r="O398" s="3"/>
      <c r="P398" s="3"/>
      <c r="Q398" s="3">
        <v>2.1589999999999998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144</v>
      </c>
      <c r="D399" s="3"/>
      <c r="E399" s="3" t="s">
        <v>144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111</v>
      </c>
      <c r="O399" s="3"/>
      <c r="P399" s="3"/>
      <c r="Q399" s="3">
        <v>2.1589999999999998</v>
      </c>
      <c r="R399" s="3" t="s">
        <v>15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144</v>
      </c>
      <c r="D400" s="3"/>
      <c r="E400" s="3" t="s">
        <v>144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102</v>
      </c>
      <c r="O400" s="3"/>
      <c r="P400" s="3"/>
      <c r="Q400" s="3">
        <v>0.60899999999999999</v>
      </c>
      <c r="R400" s="3" t="s">
        <v>103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18</v>
      </c>
      <c r="O401" s="3"/>
      <c r="P401" s="3"/>
      <c r="Q401" s="3">
        <v>93.878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92</v>
      </c>
      <c r="O402" s="3"/>
      <c r="P402" s="3"/>
      <c r="Q402" s="3">
        <v>17.831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93</v>
      </c>
      <c r="O403" s="3"/>
      <c r="P403" s="3"/>
      <c r="Q403" s="3">
        <v>110.59699999999999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114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115</v>
      </c>
      <c r="O408" s="3"/>
      <c r="P408" s="3"/>
      <c r="Q408" s="3">
        <v>0.70599999999999996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284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243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145</v>
      </c>
      <c r="D411" s="3"/>
      <c r="E411" s="3" t="s">
        <v>145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244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145</v>
      </c>
      <c r="D412" s="3"/>
      <c r="E412" s="3" t="s">
        <v>145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110</v>
      </c>
      <c r="O412" s="3"/>
      <c r="P412" s="3"/>
      <c r="Q412" s="3">
        <v>2.1589999999999998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111</v>
      </c>
      <c r="O413" s="3"/>
      <c r="P413" s="3"/>
      <c r="Q413" s="3">
        <v>2.1589999999999998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102</v>
      </c>
      <c r="O414" s="3"/>
      <c r="P414" s="3"/>
      <c r="Q414" s="3">
        <v>0.73499999999999999</v>
      </c>
      <c r="R414" s="3" t="s">
        <v>103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18</v>
      </c>
      <c r="O415" s="3"/>
      <c r="P415" s="3"/>
      <c r="Q415" s="3">
        <v>98.754999999999995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92</v>
      </c>
      <c r="O416" s="3"/>
      <c r="P416" s="3"/>
      <c r="Q416" s="3">
        <v>18.745000000000001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93</v>
      </c>
      <c r="O417" s="3"/>
      <c r="P417" s="3"/>
      <c r="Q417" s="3">
        <v>116.22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114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115</v>
      </c>
      <c r="O422" s="3"/>
      <c r="P422" s="3"/>
      <c r="Q422" s="3">
        <v>0.70599999999999996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285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245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246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110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111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102</v>
      </c>
      <c r="O428" s="3"/>
      <c r="P428" s="3"/>
      <c r="Q428" s="3">
        <v>0.86099999999999999</v>
      </c>
      <c r="R428" s="3" t="s">
        <v>103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18</v>
      </c>
      <c r="O429" s="3"/>
      <c r="P429" s="3"/>
      <c r="Q429" s="3">
        <v>103.63200000000001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92</v>
      </c>
      <c r="O430" s="3"/>
      <c r="P430" s="3"/>
      <c r="Q430" s="3">
        <v>19.66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93</v>
      </c>
      <c r="O431" s="3"/>
      <c r="P431" s="3"/>
      <c r="Q431" s="3">
        <v>121.84399999999999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114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115</v>
      </c>
      <c r="O436" s="3"/>
      <c r="P436" s="3"/>
      <c r="Q436" s="3">
        <v>0.70599999999999996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286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247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248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110</v>
      </c>
      <c r="O440" s="3"/>
      <c r="P440" s="3"/>
      <c r="Q440" s="3">
        <v>2.1589999999999998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111</v>
      </c>
      <c r="O441" s="3"/>
      <c r="P441" s="3"/>
      <c r="Q441" s="3">
        <v>2.1589999999999998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102</v>
      </c>
      <c r="O442" s="3"/>
      <c r="P442" s="3"/>
      <c r="Q442" s="3">
        <v>0.98699999999999999</v>
      </c>
      <c r="R442" s="3" t="s">
        <v>103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18</v>
      </c>
      <c r="O443" s="3"/>
      <c r="P443" s="3"/>
      <c r="Q443" s="3">
        <v>108.509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92</v>
      </c>
      <c r="O444" s="3"/>
      <c r="P444" s="3"/>
      <c r="Q444" s="3">
        <v>20.574000000000002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93</v>
      </c>
      <c r="O445" s="3"/>
      <c r="P445" s="3"/>
      <c r="Q445" s="3">
        <v>127.467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114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21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115</v>
      </c>
      <c r="O450" s="3"/>
      <c r="P450" s="3"/>
      <c r="Q450" s="3">
        <v>0.70599999999999996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287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249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250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110</v>
      </c>
      <c r="O454" s="3"/>
      <c r="P454" s="3"/>
      <c r="Q454" s="3">
        <v>2.1589999999999998</v>
      </c>
      <c r="R454" s="3" t="s">
        <v>15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111</v>
      </c>
      <c r="O455" s="3"/>
      <c r="P455" s="3"/>
      <c r="Q455" s="3">
        <v>2.1589999999999998</v>
      </c>
      <c r="R455" s="3" t="s">
        <v>15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102</v>
      </c>
      <c r="O456" s="3"/>
      <c r="P456" s="3"/>
      <c r="Q456" s="3">
        <v>1.24</v>
      </c>
      <c r="R456" s="3" t="s">
        <v>103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18</v>
      </c>
      <c r="O457" s="3"/>
      <c r="P457" s="3"/>
      <c r="Q457" s="3">
        <v>118.262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92</v>
      </c>
      <c r="O458" s="3"/>
      <c r="P458" s="3"/>
      <c r="Q458" s="3">
        <v>22.402999999999999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93</v>
      </c>
      <c r="O459" s="3"/>
      <c r="P459" s="3"/>
      <c r="Q459" s="3">
        <v>138.714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114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21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115</v>
      </c>
      <c r="O464" s="3"/>
      <c r="P464" s="3"/>
      <c r="Q464" s="3">
        <v>0.70599999999999996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288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251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110</v>
      </c>
      <c r="O468" s="3"/>
      <c r="P468" s="3"/>
      <c r="Q468" s="3">
        <v>2.1589999999999998</v>
      </c>
      <c r="R468" s="3" t="s">
        <v>15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111</v>
      </c>
      <c r="O469" s="3"/>
      <c r="P469" s="3"/>
      <c r="Q469" s="3">
        <v>2.1589999999999998</v>
      </c>
      <c r="R469" s="3" t="s">
        <v>15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102</v>
      </c>
      <c r="O470" s="3"/>
      <c r="P470" s="3"/>
      <c r="Q470" s="3">
        <v>1.3660000000000001</v>
      </c>
      <c r="R470" s="3" t="s">
        <v>103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18</v>
      </c>
      <c r="O471" s="3"/>
      <c r="P471" s="3"/>
      <c r="Q471" s="3">
        <v>123.139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92</v>
      </c>
      <c r="O472" s="3"/>
      <c r="P472" s="3"/>
      <c r="Q472" s="3">
        <v>23.317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93</v>
      </c>
      <c r="O473" s="3"/>
      <c r="P473" s="3"/>
      <c r="Q473" s="3">
        <v>144.33799999999999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114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115</v>
      </c>
      <c r="O478" s="3"/>
      <c r="P478" s="3"/>
      <c r="Q478" s="3">
        <v>0.70599999999999996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289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253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254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110</v>
      </c>
      <c r="O482" s="3"/>
      <c r="P482" s="3"/>
      <c r="Q482" s="3">
        <v>2.1589999999999998</v>
      </c>
      <c r="R482" s="3" t="s">
        <v>15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111</v>
      </c>
      <c r="O483" s="3"/>
      <c r="P483" s="3"/>
      <c r="Q483" s="3">
        <v>2.1589999999999998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102</v>
      </c>
      <c r="O484" s="3"/>
      <c r="P484" s="3"/>
      <c r="Q484" s="3">
        <v>1.492</v>
      </c>
      <c r="R484" s="3" t="s">
        <v>103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18</v>
      </c>
      <c r="O485" s="3"/>
      <c r="P485" s="3"/>
      <c r="Q485" s="3">
        <v>128.01599999999999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92</v>
      </c>
      <c r="O486" s="3"/>
      <c r="P486" s="3"/>
      <c r="Q486" s="3">
        <v>24.231999999999999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93</v>
      </c>
      <c r="O487" s="3"/>
      <c r="P487" s="3"/>
      <c r="Q487" s="3">
        <v>149.96199999999999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114</v>
      </c>
      <c r="O488" s="3"/>
      <c r="P488" s="3"/>
      <c r="Q488" s="3">
        <v>4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115</v>
      </c>
      <c r="O492" s="3"/>
      <c r="P492" s="3"/>
      <c r="Q492" s="3">
        <v>0.70599999999999996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290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255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151</v>
      </c>
      <c r="D495" s="3"/>
      <c r="E495" s="3" t="s">
        <v>151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186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151</v>
      </c>
      <c r="D496" s="3"/>
      <c r="E496" s="3" t="s">
        <v>151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112</v>
      </c>
      <c r="O496" s="3"/>
      <c r="P496" s="3"/>
      <c r="Q496" s="3">
        <v>0.78700000000000003</v>
      </c>
      <c r="R496" s="3" t="s">
        <v>15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113</v>
      </c>
      <c r="O497" s="3"/>
      <c r="P497" s="3"/>
      <c r="Q497" s="3">
        <v>0.78700000000000003</v>
      </c>
      <c r="R497" s="3" t="s">
        <v>15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102</v>
      </c>
      <c r="O498" s="3"/>
      <c r="P498" s="3"/>
      <c r="Q498" s="3">
        <v>0.52100000000000002</v>
      </c>
      <c r="R498" s="3" t="s">
        <v>103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18</v>
      </c>
      <c r="O499" s="3"/>
      <c r="P499" s="3"/>
      <c r="Q499" s="3">
        <v>84.125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91</v>
      </c>
      <c r="O500" s="3"/>
      <c r="P500" s="3"/>
      <c r="Q500" s="3">
        <v>16.001999999999999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90</v>
      </c>
      <c r="O501" s="3"/>
      <c r="P501" s="3"/>
      <c r="Q501" s="3">
        <v>99.35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114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115</v>
      </c>
      <c r="O506" s="3"/>
      <c r="P506" s="3"/>
      <c r="Q506" s="3">
        <v>0.3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256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187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188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112</v>
      </c>
      <c r="O510" s="3"/>
      <c r="P510" s="3"/>
      <c r="Q510" s="3">
        <v>0.94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113</v>
      </c>
      <c r="O511" s="3"/>
      <c r="P511" s="3"/>
      <c r="Q511" s="3">
        <v>0.94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102</v>
      </c>
      <c r="O512" s="3"/>
      <c r="P512" s="3"/>
      <c r="Q512" s="3">
        <v>0.629</v>
      </c>
      <c r="R512" s="3" t="s">
        <v>103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18</v>
      </c>
      <c r="O513" s="3"/>
      <c r="P513" s="3"/>
      <c r="Q513" s="3">
        <v>89.001999999999995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91</v>
      </c>
      <c r="O514" s="3"/>
      <c r="P514" s="3"/>
      <c r="Q514" s="3">
        <v>16.916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90</v>
      </c>
      <c r="O515" s="3"/>
      <c r="P515" s="3"/>
      <c r="Q515" s="3">
        <v>104.973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114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21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115</v>
      </c>
      <c r="O520" s="3"/>
      <c r="P520" s="3"/>
      <c r="Q520" s="3">
        <v>0.34499999999999997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257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189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190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112</v>
      </c>
      <c r="O524" s="3"/>
      <c r="P524" s="3"/>
      <c r="Q524" s="3">
        <v>1.0920000000000001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113</v>
      </c>
      <c r="O525" s="3"/>
      <c r="P525" s="3"/>
      <c r="Q525" s="3">
        <v>1.0920000000000001</v>
      </c>
      <c r="R525" s="3" t="s">
        <v>15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102</v>
      </c>
      <c r="O526" s="3"/>
      <c r="P526" s="3"/>
      <c r="Q526" s="3">
        <v>0.73699999999999999</v>
      </c>
      <c r="R526" s="3" t="s">
        <v>103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18</v>
      </c>
      <c r="O527" s="3"/>
      <c r="P527" s="3"/>
      <c r="Q527" s="3">
        <v>93.878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91</v>
      </c>
      <c r="O528" s="3"/>
      <c r="P528" s="3"/>
      <c r="Q528" s="3">
        <v>17.831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90</v>
      </c>
      <c r="O529" s="3"/>
      <c r="P529" s="3"/>
      <c r="Q529" s="3">
        <v>110.59699999999999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114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21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115</v>
      </c>
      <c r="O534" s="3"/>
      <c r="P534" s="3"/>
      <c r="Q534" s="3">
        <v>0.39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258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191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192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112</v>
      </c>
      <c r="O538" s="3"/>
      <c r="P538" s="3"/>
      <c r="Q538" s="3">
        <v>1.2450000000000001</v>
      </c>
      <c r="R538" s="3" t="s">
        <v>15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113</v>
      </c>
      <c r="O539" s="3"/>
      <c r="P539" s="3"/>
      <c r="Q539" s="3">
        <v>1.2450000000000001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102</v>
      </c>
      <c r="O540" s="3"/>
      <c r="P540" s="3"/>
      <c r="Q540" s="3">
        <v>0.84499999999999997</v>
      </c>
      <c r="R540" s="3" t="s">
        <v>103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18</v>
      </c>
      <c r="O541" s="3"/>
      <c r="P541" s="3"/>
      <c r="Q541" s="3">
        <v>98.754999999999995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91</v>
      </c>
      <c r="O542" s="3"/>
      <c r="P542" s="3"/>
      <c r="Q542" s="3">
        <v>18.745000000000001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90</v>
      </c>
      <c r="O543" s="3"/>
      <c r="P543" s="3"/>
      <c r="Q543" s="3">
        <v>116.22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114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115</v>
      </c>
      <c r="O548" s="3"/>
      <c r="P548" s="3"/>
      <c r="Q548" s="3">
        <v>0.435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259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193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194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112</v>
      </c>
      <c r="O552" s="3"/>
      <c r="P552" s="3"/>
      <c r="Q552" s="3">
        <v>1.5489999999999999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113</v>
      </c>
      <c r="O553" s="3"/>
      <c r="P553" s="3"/>
      <c r="Q553" s="3">
        <v>1.5489999999999999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102</v>
      </c>
      <c r="O554" s="3"/>
      <c r="P554" s="3"/>
      <c r="Q554" s="3">
        <v>1.06</v>
      </c>
      <c r="R554" s="3" t="s">
        <v>103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18</v>
      </c>
      <c r="O555" s="3"/>
      <c r="P555" s="3"/>
      <c r="Q555" s="3">
        <v>108.509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91</v>
      </c>
      <c r="O556" s="3"/>
      <c r="P556" s="3"/>
      <c r="Q556" s="3">
        <v>20.574000000000002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90</v>
      </c>
      <c r="O557" s="3"/>
      <c r="P557" s="3"/>
      <c r="Q557" s="3">
        <v>127.467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114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115</v>
      </c>
      <c r="O562" s="3"/>
      <c r="P562" s="3"/>
      <c r="Q562" s="3">
        <v>0.52500000000000002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260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155</v>
      </c>
      <c r="D564" s="3"/>
      <c r="E564" s="3" t="s">
        <v>155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195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196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112</v>
      </c>
      <c r="O566" s="3"/>
      <c r="P566" s="3"/>
      <c r="Q566" s="3">
        <v>1.702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113</v>
      </c>
      <c r="O567" s="3"/>
      <c r="P567" s="3"/>
      <c r="Q567" s="3">
        <v>1.702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102</v>
      </c>
      <c r="O568" s="3"/>
      <c r="P568" s="3"/>
      <c r="Q568" s="3">
        <v>1.1679999999999999</v>
      </c>
      <c r="R568" s="3" t="s">
        <v>103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18</v>
      </c>
      <c r="O569" s="3"/>
      <c r="P569" s="3"/>
      <c r="Q569" s="3">
        <v>113.386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91</v>
      </c>
      <c r="O570" s="3"/>
      <c r="P570" s="3"/>
      <c r="Q570" s="3">
        <v>21.488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90</v>
      </c>
      <c r="O571" s="3"/>
      <c r="P571" s="3"/>
      <c r="Q571" s="3">
        <v>133.09100000000001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114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23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115</v>
      </c>
      <c r="O576" s="3"/>
      <c r="P576" s="3"/>
      <c r="Q576" s="3">
        <v>0.56999999999999995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156</v>
      </c>
      <c r="D577" s="3"/>
      <c r="E577" s="3" t="s">
        <v>156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261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156</v>
      </c>
      <c r="D578" s="3"/>
      <c r="E578" s="3" t="s">
        <v>156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197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198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112</v>
      </c>
      <c r="O580" s="3"/>
      <c r="P580" s="3"/>
      <c r="Q580" s="3">
        <v>1.8540000000000001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113</v>
      </c>
      <c r="O581" s="3"/>
      <c r="P581" s="3"/>
      <c r="Q581" s="3">
        <v>1.8540000000000001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102</v>
      </c>
      <c r="O582" s="3"/>
      <c r="P582" s="3"/>
      <c r="Q582" s="3">
        <v>1.276</v>
      </c>
      <c r="R582" s="3" t="s">
        <v>103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18</v>
      </c>
      <c r="O583" s="3"/>
      <c r="P583" s="3"/>
      <c r="Q583" s="3">
        <v>118.262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91</v>
      </c>
      <c r="O584" s="3"/>
      <c r="P584" s="3"/>
      <c r="Q584" s="3">
        <v>22.402999999999999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90</v>
      </c>
      <c r="O585" s="3"/>
      <c r="P585" s="3"/>
      <c r="Q585" s="3">
        <v>138.714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114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22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157</v>
      </c>
      <c r="D590" s="3"/>
      <c r="E590" s="3" t="s">
        <v>157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115</v>
      </c>
      <c r="O590" s="3"/>
      <c r="P590" s="3"/>
      <c r="Q590" s="3">
        <v>0.61599999999999999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157</v>
      </c>
      <c r="D591" s="3"/>
      <c r="E591" s="3" t="s">
        <v>157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262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157</v>
      </c>
      <c r="D592" s="3"/>
      <c r="E592" s="3" t="s">
        <v>157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199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200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112</v>
      </c>
      <c r="O594" s="3"/>
      <c r="P594" s="3"/>
      <c r="Q594" s="3">
        <v>0.78700000000000003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113</v>
      </c>
      <c r="O595" s="3"/>
      <c r="P595" s="3"/>
      <c r="Q595" s="3">
        <v>0.78700000000000003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102</v>
      </c>
      <c r="O596" s="3"/>
      <c r="P596" s="3"/>
      <c r="Q596" s="3">
        <v>0.54300000000000004</v>
      </c>
      <c r="R596" s="3" t="s">
        <v>103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18</v>
      </c>
      <c r="O597" s="3"/>
      <c r="P597" s="3"/>
      <c r="Q597" s="3">
        <v>86.563000000000002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91</v>
      </c>
      <c r="O598" s="3"/>
      <c r="P598" s="3"/>
      <c r="Q598" s="3">
        <v>16.459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90</v>
      </c>
      <c r="O599" s="3"/>
      <c r="P599" s="3"/>
      <c r="Q599" s="3">
        <v>102.161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114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21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158</v>
      </c>
      <c r="D603" s="3"/>
      <c r="E603" s="3" t="s">
        <v>158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158</v>
      </c>
      <c r="D604" s="3"/>
      <c r="E604" s="3" t="s">
        <v>158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115</v>
      </c>
      <c r="O604" s="3"/>
      <c r="P604" s="3"/>
      <c r="Q604" s="3">
        <v>0.3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158</v>
      </c>
      <c r="D605" s="3"/>
      <c r="E605" s="3" t="s">
        <v>158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263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158</v>
      </c>
      <c r="D606" s="3"/>
      <c r="E606" s="3" t="s">
        <v>158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201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202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112</v>
      </c>
      <c r="O608" s="3"/>
      <c r="P608" s="3"/>
      <c r="Q608" s="3">
        <v>0.94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113</v>
      </c>
      <c r="O609" s="3"/>
      <c r="P609" s="3"/>
      <c r="Q609" s="3">
        <v>0.94</v>
      </c>
      <c r="R609" s="3" t="s">
        <v>15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102</v>
      </c>
      <c r="O610" s="3"/>
      <c r="P610" s="3"/>
      <c r="Q610" s="3">
        <v>0.65600000000000003</v>
      </c>
      <c r="R610" s="3" t="s">
        <v>103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18</v>
      </c>
      <c r="O611" s="3"/>
      <c r="P611" s="3"/>
      <c r="Q611" s="3">
        <v>91.44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91</v>
      </c>
      <c r="O612" s="3"/>
      <c r="P612" s="3"/>
      <c r="Q612" s="3">
        <v>17.373999999999999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90</v>
      </c>
      <c r="O613" s="3"/>
      <c r="P613" s="3"/>
      <c r="Q613" s="3">
        <v>107.785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114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159</v>
      </c>
      <c r="D616" s="3"/>
      <c r="E616" s="3" t="s">
        <v>159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159</v>
      </c>
      <c r="D617" s="3"/>
      <c r="E617" s="3" t="s">
        <v>159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159</v>
      </c>
      <c r="D618" s="3"/>
      <c r="E618" s="3" t="s">
        <v>159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115</v>
      </c>
      <c r="O618" s="3"/>
      <c r="P618" s="3"/>
      <c r="Q618" s="3">
        <v>0.34499999999999997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159</v>
      </c>
      <c r="D619" s="3"/>
      <c r="E619" s="3" t="s">
        <v>159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264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159</v>
      </c>
      <c r="D620" s="3"/>
      <c r="E620" s="3" t="s">
        <v>159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203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204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112</v>
      </c>
      <c r="O622" s="3"/>
      <c r="P622" s="3"/>
      <c r="Q622" s="3">
        <v>1.0920000000000001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113</v>
      </c>
      <c r="O623" s="3"/>
      <c r="P623" s="3"/>
      <c r="Q623" s="3">
        <v>1.0920000000000001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102</v>
      </c>
      <c r="O624" s="3"/>
      <c r="P624" s="3"/>
      <c r="Q624" s="3">
        <v>0.76800000000000002</v>
      </c>
      <c r="R624" s="3" t="s">
        <v>103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18</v>
      </c>
      <c r="O625" s="3"/>
      <c r="P625" s="3"/>
      <c r="Q625" s="3">
        <v>96.316999999999993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91</v>
      </c>
      <c r="O626" s="3"/>
      <c r="P626" s="3"/>
      <c r="Q626" s="3">
        <v>18.288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90</v>
      </c>
      <c r="O627" s="3"/>
      <c r="P627" s="3"/>
      <c r="Q627" s="3">
        <v>113.408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114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160</v>
      </c>
      <c r="D629" s="3"/>
      <c r="E629" s="3" t="s">
        <v>160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160</v>
      </c>
      <c r="D630" s="3"/>
      <c r="E630" s="3" t="s">
        <v>160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160</v>
      </c>
      <c r="D631" s="3"/>
      <c r="E631" s="3" t="s">
        <v>160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160</v>
      </c>
      <c r="D632" s="3"/>
      <c r="E632" s="3" t="s">
        <v>160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115</v>
      </c>
      <c r="O632" s="3"/>
      <c r="P632" s="3"/>
      <c r="Q632" s="3">
        <v>0.39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160</v>
      </c>
      <c r="D633" s="3"/>
      <c r="E633" s="3" t="s">
        <v>160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265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160</v>
      </c>
      <c r="D634" s="3"/>
      <c r="E634" s="3" t="s">
        <v>160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205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206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112</v>
      </c>
      <c r="O636" s="3"/>
      <c r="P636" s="3"/>
      <c r="Q636" s="3">
        <v>1.2450000000000001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113</v>
      </c>
      <c r="O637" s="3"/>
      <c r="P637" s="3"/>
      <c r="Q637" s="3">
        <v>1.2450000000000001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102</v>
      </c>
      <c r="O638" s="3"/>
      <c r="P638" s="3"/>
      <c r="Q638" s="3">
        <v>0.88</v>
      </c>
      <c r="R638" s="3" t="s">
        <v>103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18</v>
      </c>
      <c r="O639" s="3"/>
      <c r="P639" s="3"/>
      <c r="Q639" s="3">
        <v>101.194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91</v>
      </c>
      <c r="O640" s="3"/>
      <c r="P640" s="3"/>
      <c r="Q640" s="3">
        <v>19.202000000000002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90</v>
      </c>
      <c r="O641" s="3"/>
      <c r="P641" s="3"/>
      <c r="Q641" s="3">
        <v>119.032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161</v>
      </c>
      <c r="D642" s="3"/>
      <c r="E642" s="3" t="s">
        <v>161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114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161</v>
      </c>
      <c r="D643" s="3"/>
      <c r="E643" s="3" t="s">
        <v>161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161</v>
      </c>
      <c r="D644" s="3"/>
      <c r="E644" s="3" t="s">
        <v>161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22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161</v>
      </c>
      <c r="D645" s="3"/>
      <c r="E645" s="3" t="s">
        <v>161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23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161</v>
      </c>
      <c r="D646" s="3"/>
      <c r="E646" s="3" t="s">
        <v>161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115</v>
      </c>
      <c r="O646" s="3"/>
      <c r="P646" s="3"/>
      <c r="Q646" s="3">
        <v>0.435</v>
      </c>
      <c r="R646" s="3" t="s">
        <v>13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161</v>
      </c>
      <c r="D647" s="3"/>
      <c r="E647" s="3" t="s">
        <v>161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266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161</v>
      </c>
      <c r="D648" s="3"/>
      <c r="E648" s="3" t="s">
        <v>161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207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208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112</v>
      </c>
      <c r="O650" s="3"/>
      <c r="P650" s="3"/>
      <c r="Q650" s="3">
        <v>1.5489999999999999</v>
      </c>
      <c r="R650" s="3" t="s">
        <v>15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113</v>
      </c>
      <c r="O651" s="3"/>
      <c r="P651" s="3"/>
      <c r="Q651" s="3">
        <v>1.5489999999999999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102</v>
      </c>
      <c r="O652" s="3"/>
      <c r="P652" s="3"/>
      <c r="Q652" s="3">
        <v>1.105</v>
      </c>
      <c r="R652" s="3" t="s">
        <v>103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18</v>
      </c>
      <c r="O653" s="3"/>
      <c r="P653" s="3"/>
      <c r="Q653" s="3">
        <v>110.947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91</v>
      </c>
      <c r="O654" s="3"/>
      <c r="P654" s="3"/>
      <c r="Q654" s="3">
        <v>21.030999999999999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162</v>
      </c>
      <c r="D655" s="3"/>
      <c r="E655" s="3" t="s">
        <v>162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90</v>
      </c>
      <c r="O655" s="3"/>
      <c r="P655" s="3"/>
      <c r="Q655" s="3">
        <v>130.279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162</v>
      </c>
      <c r="D656" s="3"/>
      <c r="E656" s="3" t="s">
        <v>162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114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162</v>
      </c>
      <c r="D657" s="3"/>
      <c r="E657" s="3" t="s">
        <v>162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21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162</v>
      </c>
      <c r="D658" s="3"/>
      <c r="E658" s="3" t="s">
        <v>162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22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162</v>
      </c>
      <c r="D659" s="3"/>
      <c r="E659" s="3" t="s">
        <v>162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162</v>
      </c>
      <c r="D660" s="3"/>
      <c r="E660" s="3" t="s">
        <v>162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115</v>
      </c>
      <c r="O660" s="3"/>
      <c r="P660" s="3"/>
      <c r="Q660" s="3">
        <v>0.52500000000000002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162</v>
      </c>
      <c r="D661" s="3"/>
      <c r="E661" s="3" t="s">
        <v>162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267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162</v>
      </c>
      <c r="D662" s="3"/>
      <c r="E662" s="3" t="s">
        <v>162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209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210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112</v>
      </c>
      <c r="O664" s="3"/>
      <c r="P664" s="3"/>
      <c r="Q664" s="3">
        <v>1.702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113</v>
      </c>
      <c r="O665" s="3"/>
      <c r="P665" s="3"/>
      <c r="Q665" s="3">
        <v>1.702</v>
      </c>
      <c r="R665" s="3" t="s">
        <v>15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102</v>
      </c>
      <c r="O666" s="3"/>
      <c r="P666" s="3"/>
      <c r="Q666" s="3">
        <v>1.218</v>
      </c>
      <c r="R666" s="3" t="s">
        <v>103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18</v>
      </c>
      <c r="O667" s="3"/>
      <c r="P667" s="3"/>
      <c r="Q667" s="3">
        <v>115.824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163</v>
      </c>
      <c r="D668" s="3"/>
      <c r="E668" s="3" t="s">
        <v>163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91</v>
      </c>
      <c r="O668" s="3"/>
      <c r="P668" s="3"/>
      <c r="Q668" s="3">
        <v>21.946000000000002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163</v>
      </c>
      <c r="D669" s="3"/>
      <c r="E669" s="3" t="s">
        <v>163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90</v>
      </c>
      <c r="O669" s="3"/>
      <c r="P669" s="3"/>
      <c r="Q669" s="3">
        <v>135.90299999999999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163</v>
      </c>
      <c r="D670" s="3"/>
      <c r="E670" s="3" t="s">
        <v>163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114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163</v>
      </c>
      <c r="D671" s="3"/>
      <c r="E671" s="3" t="s">
        <v>163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163</v>
      </c>
      <c r="D672" s="3"/>
      <c r="E672" s="3" t="s">
        <v>163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163</v>
      </c>
      <c r="D673" s="3"/>
      <c r="E673" s="3" t="s">
        <v>163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163</v>
      </c>
      <c r="D674" s="3"/>
      <c r="E674" s="3" t="s">
        <v>163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115</v>
      </c>
      <c r="O674" s="3"/>
      <c r="P674" s="3"/>
      <c r="Q674" s="3">
        <v>0.56999999999999995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163</v>
      </c>
      <c r="D675" s="3"/>
      <c r="E675" s="3" t="s">
        <v>163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268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163</v>
      </c>
      <c r="D676" s="3"/>
      <c r="E676" s="3" t="s">
        <v>163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211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212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112</v>
      </c>
      <c r="O678" s="3"/>
      <c r="P678" s="3"/>
      <c r="Q678" s="3">
        <v>1.8540000000000001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113</v>
      </c>
      <c r="O679" s="3"/>
      <c r="P679" s="3"/>
      <c r="Q679" s="3">
        <v>1.8540000000000001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102</v>
      </c>
      <c r="O680" s="3"/>
      <c r="P680" s="3"/>
      <c r="Q680" s="3">
        <v>1.33</v>
      </c>
      <c r="R680" s="3" t="s">
        <v>103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164</v>
      </c>
      <c r="D681" s="3"/>
      <c r="E681" s="3" t="s">
        <v>164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18</v>
      </c>
      <c r="O681" s="3"/>
      <c r="P681" s="3"/>
      <c r="Q681" s="3">
        <v>120.70099999999999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164</v>
      </c>
      <c r="D682" s="3"/>
      <c r="E682" s="3" t="s">
        <v>164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91</v>
      </c>
      <c r="O682" s="3"/>
      <c r="P682" s="3"/>
      <c r="Q682" s="3">
        <v>22.86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164</v>
      </c>
      <c r="D683" s="3"/>
      <c r="E683" s="3" t="s">
        <v>164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90</v>
      </c>
      <c r="O683" s="3"/>
      <c r="P683" s="3"/>
      <c r="Q683" s="3">
        <v>141.52600000000001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164</v>
      </c>
      <c r="D684" s="3"/>
      <c r="E684" s="3" t="s">
        <v>164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114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164</v>
      </c>
      <c r="D685" s="3"/>
      <c r="E685" s="3" t="s">
        <v>164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21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164</v>
      </c>
      <c r="D686" s="3"/>
      <c r="E686" s="3" t="s">
        <v>164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164</v>
      </c>
      <c r="D687" s="3"/>
      <c r="E687" s="3" t="s">
        <v>164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164</v>
      </c>
      <c r="D688" s="3"/>
      <c r="E688" s="3" t="s">
        <v>164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115</v>
      </c>
      <c r="O688" s="3"/>
      <c r="P688" s="3"/>
      <c r="Q688" s="3">
        <v>0.61599999999999999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164</v>
      </c>
      <c r="D689" s="3"/>
      <c r="E689" s="3" t="s">
        <v>164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269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164</v>
      </c>
      <c r="D690" s="3"/>
      <c r="E690" s="3" t="s">
        <v>164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213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214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112</v>
      </c>
      <c r="O692" s="3"/>
      <c r="P692" s="3"/>
      <c r="Q692" s="3">
        <v>0.78700000000000003</v>
      </c>
      <c r="R692" s="3" t="s">
        <v>15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113</v>
      </c>
      <c r="O693" s="3"/>
      <c r="P693" s="3"/>
      <c r="Q693" s="3">
        <v>0.78700000000000003</v>
      </c>
      <c r="R693" s="3" t="s">
        <v>15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165</v>
      </c>
      <c r="D694" s="3"/>
      <c r="E694" s="3" t="s">
        <v>165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102</v>
      </c>
      <c r="O694" s="3"/>
      <c r="P694" s="3"/>
      <c r="Q694" s="3">
        <v>0.56499999999999995</v>
      </c>
      <c r="R694" s="3" t="s">
        <v>103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165</v>
      </c>
      <c r="D695" s="3"/>
      <c r="E695" s="3" t="s">
        <v>165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18</v>
      </c>
      <c r="O695" s="3"/>
      <c r="P695" s="3"/>
      <c r="Q695" s="3">
        <v>89.001999999999995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165</v>
      </c>
      <c r="D696" s="3"/>
      <c r="E696" s="3" t="s">
        <v>165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91</v>
      </c>
      <c r="O696" s="3"/>
      <c r="P696" s="3"/>
      <c r="Q696" s="3">
        <v>16.916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165</v>
      </c>
      <c r="D697" s="3"/>
      <c r="E697" s="3" t="s">
        <v>165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90</v>
      </c>
      <c r="O697" s="3"/>
      <c r="P697" s="3"/>
      <c r="Q697" s="3">
        <v>104.973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165</v>
      </c>
      <c r="D698" s="3"/>
      <c r="E698" s="3" t="s">
        <v>165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114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165</v>
      </c>
      <c r="D699" s="3"/>
      <c r="E699" s="3" t="s">
        <v>165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165</v>
      </c>
      <c r="D700" s="3"/>
      <c r="E700" s="3" t="s">
        <v>165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165</v>
      </c>
      <c r="D701" s="3"/>
      <c r="E701" s="3" t="s">
        <v>165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165</v>
      </c>
      <c r="D702" s="3"/>
      <c r="E702" s="3" t="s">
        <v>165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115</v>
      </c>
      <c r="O702" s="3"/>
      <c r="P702" s="3"/>
      <c r="Q702" s="3">
        <v>0.3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165</v>
      </c>
      <c r="D703" s="3"/>
      <c r="E703" s="3" t="s">
        <v>165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270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165</v>
      </c>
      <c r="D704" s="3"/>
      <c r="E704" s="3" t="s">
        <v>165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215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216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112</v>
      </c>
      <c r="O706" s="3"/>
      <c r="P706" s="3"/>
      <c r="Q706" s="3">
        <v>0.94</v>
      </c>
      <c r="R706" s="3" t="s">
        <v>15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166</v>
      </c>
      <c r="D707" s="3"/>
      <c r="E707" s="3" t="s">
        <v>166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113</v>
      </c>
      <c r="O707" s="3"/>
      <c r="P707" s="3"/>
      <c r="Q707" s="3">
        <v>0.94</v>
      </c>
      <c r="R707" s="3" t="s">
        <v>15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166</v>
      </c>
      <c r="D708" s="3"/>
      <c r="E708" s="3" t="s">
        <v>166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102</v>
      </c>
      <c r="O708" s="3"/>
      <c r="P708" s="3"/>
      <c r="Q708" s="3">
        <v>0.68200000000000005</v>
      </c>
      <c r="R708" s="3" t="s">
        <v>103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166</v>
      </c>
      <c r="D709" s="3"/>
      <c r="E709" s="3" t="s">
        <v>166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18</v>
      </c>
      <c r="O709" s="3"/>
      <c r="P709" s="3"/>
      <c r="Q709" s="3">
        <v>93.878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166</v>
      </c>
      <c r="D710" s="3"/>
      <c r="E710" s="3" t="s">
        <v>166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91</v>
      </c>
      <c r="O710" s="3"/>
      <c r="P710" s="3"/>
      <c r="Q710" s="3">
        <v>17.831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166</v>
      </c>
      <c r="D711" s="3"/>
      <c r="E711" s="3" t="s">
        <v>166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90</v>
      </c>
      <c r="O711" s="3"/>
      <c r="P711" s="3"/>
      <c r="Q711" s="3">
        <v>110.59699999999999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166</v>
      </c>
      <c r="D712" s="3"/>
      <c r="E712" s="3" t="s">
        <v>166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114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166</v>
      </c>
      <c r="D713" s="3"/>
      <c r="E713" s="3" t="s">
        <v>166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166</v>
      </c>
      <c r="D714" s="3"/>
      <c r="E714" s="3" t="s">
        <v>166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166</v>
      </c>
      <c r="D715" s="3"/>
      <c r="E715" s="3" t="s">
        <v>166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23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166</v>
      </c>
      <c r="D716" s="3"/>
      <c r="E716" s="3" t="s">
        <v>166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115</v>
      </c>
      <c r="O716" s="3"/>
      <c r="P716" s="3"/>
      <c r="Q716" s="3">
        <v>0.34499999999999997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166</v>
      </c>
      <c r="D717" s="3"/>
      <c r="E717" s="3" t="s">
        <v>166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271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166</v>
      </c>
      <c r="D718" s="3"/>
      <c r="E718" s="3" t="s">
        <v>166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217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218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167</v>
      </c>
      <c r="D720" s="3"/>
      <c r="E720" s="3" t="s">
        <v>167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112</v>
      </c>
      <c r="O720" s="3"/>
      <c r="P720" s="3"/>
      <c r="Q720" s="3">
        <v>1.0920000000000001</v>
      </c>
      <c r="R720" s="3" t="s">
        <v>15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167</v>
      </c>
      <c r="D721" s="3"/>
      <c r="E721" s="3" t="s">
        <v>167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113</v>
      </c>
      <c r="O721" s="3"/>
      <c r="P721" s="3"/>
      <c r="Q721" s="3">
        <v>1.0920000000000001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167</v>
      </c>
      <c r="D722" s="3"/>
      <c r="E722" s="3" t="s">
        <v>167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102</v>
      </c>
      <c r="O722" s="3"/>
      <c r="P722" s="3"/>
      <c r="Q722" s="3">
        <v>0.79900000000000004</v>
      </c>
      <c r="R722" s="3" t="s">
        <v>103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167</v>
      </c>
      <c r="D723" s="3"/>
      <c r="E723" s="3" t="s">
        <v>167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18</v>
      </c>
      <c r="O723" s="3"/>
      <c r="P723" s="3"/>
      <c r="Q723" s="3">
        <v>98.754999999999995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167</v>
      </c>
      <c r="D724" s="3"/>
      <c r="E724" s="3" t="s">
        <v>167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91</v>
      </c>
      <c r="O724" s="3"/>
      <c r="P724" s="3"/>
      <c r="Q724" s="3">
        <v>18.745000000000001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167</v>
      </c>
      <c r="D725" s="3"/>
      <c r="E725" s="3" t="s">
        <v>167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90</v>
      </c>
      <c r="O725" s="3"/>
      <c r="P725" s="3"/>
      <c r="Q725" s="3">
        <v>116.22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167</v>
      </c>
      <c r="D726" s="3"/>
      <c r="E726" s="3" t="s">
        <v>167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114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167</v>
      </c>
      <c r="D727" s="3"/>
      <c r="E727" s="3" t="s">
        <v>167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167</v>
      </c>
      <c r="D728" s="3"/>
      <c r="E728" s="3" t="s">
        <v>167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167</v>
      </c>
      <c r="D729" s="3"/>
      <c r="E729" s="3" t="s">
        <v>167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167</v>
      </c>
      <c r="D730" s="3"/>
      <c r="E730" s="3" t="s">
        <v>167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115</v>
      </c>
      <c r="O730" s="3"/>
      <c r="P730" s="3"/>
      <c r="Q730" s="3">
        <v>0.39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167</v>
      </c>
      <c r="D731" s="3"/>
      <c r="E731" s="3" t="s">
        <v>167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272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167</v>
      </c>
      <c r="D732" s="3"/>
      <c r="E732" s="3" t="s">
        <v>167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219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168</v>
      </c>
      <c r="D733" s="3"/>
      <c r="E733" s="3" t="s">
        <v>168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220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168</v>
      </c>
      <c r="D734" s="3"/>
      <c r="E734" s="3" t="s">
        <v>168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112</v>
      </c>
      <c r="O734" s="3"/>
      <c r="P734" s="3"/>
      <c r="Q734" s="3">
        <v>1.2450000000000001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168</v>
      </c>
      <c r="D735" s="3"/>
      <c r="E735" s="3" t="s">
        <v>168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113</v>
      </c>
      <c r="O735" s="3"/>
      <c r="P735" s="3"/>
      <c r="Q735" s="3">
        <v>1.2450000000000001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168</v>
      </c>
      <c r="D736" s="3"/>
      <c r="E736" s="3" t="s">
        <v>168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102</v>
      </c>
      <c r="O736" s="3"/>
      <c r="P736" s="3"/>
      <c r="Q736" s="3">
        <v>0.91600000000000004</v>
      </c>
      <c r="R736" s="3" t="s">
        <v>103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168</v>
      </c>
      <c r="D737" s="3"/>
      <c r="E737" s="3" t="s">
        <v>168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18</v>
      </c>
      <c r="O737" s="3"/>
      <c r="P737" s="3"/>
      <c r="Q737" s="3">
        <v>103.63200000000001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168</v>
      </c>
      <c r="D738" s="3"/>
      <c r="E738" s="3" t="s">
        <v>168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91</v>
      </c>
      <c r="O738" s="3"/>
      <c r="P738" s="3"/>
      <c r="Q738" s="3">
        <v>19.66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168</v>
      </c>
      <c r="D739" s="3"/>
      <c r="E739" s="3" t="s">
        <v>168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90</v>
      </c>
      <c r="O739" s="3"/>
      <c r="P739" s="3"/>
      <c r="Q739" s="3">
        <v>121.84399999999999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168</v>
      </c>
      <c r="D740" s="3"/>
      <c r="E740" s="3" t="s">
        <v>168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114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168</v>
      </c>
      <c r="D741" s="3"/>
      <c r="E741" s="3" t="s">
        <v>168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168</v>
      </c>
      <c r="D742" s="3"/>
      <c r="E742" s="3" t="s">
        <v>168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168</v>
      </c>
      <c r="D743" s="3"/>
      <c r="E743" s="3" t="s">
        <v>168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168</v>
      </c>
      <c r="D744" s="3"/>
      <c r="E744" s="3" t="s">
        <v>168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115</v>
      </c>
      <c r="O744" s="3"/>
      <c r="P744" s="3"/>
      <c r="Q744" s="3">
        <v>0.435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168</v>
      </c>
      <c r="D745" s="3"/>
      <c r="E745" s="3" t="s">
        <v>168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273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168</v>
      </c>
      <c r="D746" s="3"/>
      <c r="E746" s="3" t="s">
        <v>168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221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169</v>
      </c>
      <c r="D747" s="3"/>
      <c r="E747" s="3" t="s">
        <v>169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222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169</v>
      </c>
      <c r="D748" s="3"/>
      <c r="E748" s="3" t="s">
        <v>169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112</v>
      </c>
      <c r="O748" s="3"/>
      <c r="P748" s="3"/>
      <c r="Q748" s="3">
        <v>1.5489999999999999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169</v>
      </c>
      <c r="D749" s="3"/>
      <c r="E749" s="3" t="s">
        <v>169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113</v>
      </c>
      <c r="O749" s="3"/>
      <c r="P749" s="3"/>
      <c r="Q749" s="3">
        <v>1.5489999999999999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169</v>
      </c>
      <c r="D750" s="3"/>
      <c r="E750" s="3" t="s">
        <v>169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102</v>
      </c>
      <c r="O750" s="3"/>
      <c r="P750" s="3"/>
      <c r="Q750" s="3">
        <v>1.1499999999999999</v>
      </c>
      <c r="R750" s="3" t="s">
        <v>103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169</v>
      </c>
      <c r="D751" s="3"/>
      <c r="E751" s="3" t="s">
        <v>169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18</v>
      </c>
      <c r="O751" s="3"/>
      <c r="P751" s="3"/>
      <c r="Q751" s="3">
        <v>113.386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169</v>
      </c>
      <c r="D752" s="3"/>
      <c r="E752" s="3" t="s">
        <v>169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91</v>
      </c>
      <c r="O752" s="3"/>
      <c r="P752" s="3"/>
      <c r="Q752" s="3">
        <v>21.488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169</v>
      </c>
      <c r="D753" s="3"/>
      <c r="E753" s="3" t="s">
        <v>169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90</v>
      </c>
      <c r="O753" s="3"/>
      <c r="P753" s="3"/>
      <c r="Q753" s="3">
        <v>133.09100000000001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169</v>
      </c>
      <c r="D754" s="3"/>
      <c r="E754" s="3" t="s">
        <v>169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114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169</v>
      </c>
      <c r="D755" s="3"/>
      <c r="E755" s="3" t="s">
        <v>169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169</v>
      </c>
      <c r="D756" s="3"/>
      <c r="E756" s="3" t="s">
        <v>169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169</v>
      </c>
      <c r="D757" s="3"/>
      <c r="E757" s="3" t="s">
        <v>169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169</v>
      </c>
      <c r="D758" s="3"/>
      <c r="E758" s="3" t="s">
        <v>169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115</v>
      </c>
      <c r="O758" s="3"/>
      <c r="P758" s="3"/>
      <c r="Q758" s="3">
        <v>0.52500000000000002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169</v>
      </c>
      <c r="D759" s="3"/>
      <c r="E759" s="3" t="s">
        <v>169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274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169</v>
      </c>
      <c r="D760" s="3"/>
      <c r="E760" s="3" t="s">
        <v>169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223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170</v>
      </c>
      <c r="D761" s="3"/>
      <c r="E761" s="3" t="s">
        <v>170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224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170</v>
      </c>
      <c r="D762" s="3"/>
      <c r="E762" s="3" t="s">
        <v>170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112</v>
      </c>
      <c r="O762" s="3"/>
      <c r="P762" s="3"/>
      <c r="Q762" s="3">
        <v>1.702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170</v>
      </c>
      <c r="D763" s="3"/>
      <c r="E763" s="3" t="s">
        <v>170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113</v>
      </c>
      <c r="O763" s="3"/>
      <c r="P763" s="3"/>
      <c r="Q763" s="3">
        <v>1.702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170</v>
      </c>
      <c r="D764" s="3"/>
      <c r="E764" s="3" t="s">
        <v>170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102</v>
      </c>
      <c r="O764" s="3"/>
      <c r="P764" s="3"/>
      <c r="Q764" s="3">
        <v>1.2669999999999999</v>
      </c>
      <c r="R764" s="3" t="s">
        <v>103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170</v>
      </c>
      <c r="D765" s="3"/>
      <c r="E765" s="3" t="s">
        <v>170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18</v>
      </c>
      <c r="O765" s="3"/>
      <c r="P765" s="3"/>
      <c r="Q765" s="3">
        <v>118.262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170</v>
      </c>
      <c r="D766" s="3"/>
      <c r="E766" s="3" t="s">
        <v>170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91</v>
      </c>
      <c r="O766" s="3"/>
      <c r="P766" s="3"/>
      <c r="Q766" s="3">
        <v>22.402999999999999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170</v>
      </c>
      <c r="D767" s="3"/>
      <c r="E767" s="3" t="s">
        <v>170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90</v>
      </c>
      <c r="O767" s="3"/>
      <c r="P767" s="3"/>
      <c r="Q767" s="3">
        <v>138.714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170</v>
      </c>
      <c r="D768" s="3"/>
      <c r="E768" s="3" t="s">
        <v>170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114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170</v>
      </c>
      <c r="D769" s="3"/>
      <c r="E769" s="3" t="s">
        <v>170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170</v>
      </c>
      <c r="D770" s="3"/>
      <c r="E770" s="3" t="s">
        <v>170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22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170</v>
      </c>
      <c r="D771" s="3"/>
      <c r="E771" s="3" t="s">
        <v>170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23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170</v>
      </c>
      <c r="D772" s="3"/>
      <c r="E772" s="3" t="s">
        <v>170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115</v>
      </c>
      <c r="O772" s="3"/>
      <c r="P772" s="3"/>
      <c r="Q772" s="3">
        <v>0.56999999999999995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170</v>
      </c>
      <c r="D773" s="3"/>
      <c r="E773" s="3" t="s">
        <v>170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275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170</v>
      </c>
      <c r="D774" s="3"/>
      <c r="E774" s="3" t="s">
        <v>170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225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171</v>
      </c>
      <c r="D775" s="3"/>
      <c r="E775" s="3" t="s">
        <v>171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226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171</v>
      </c>
      <c r="D776" s="3"/>
      <c r="E776" s="3" t="s">
        <v>171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112</v>
      </c>
      <c r="O776" s="3"/>
      <c r="P776" s="3"/>
      <c r="Q776" s="3">
        <v>1.8540000000000001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171</v>
      </c>
      <c r="D777" s="3"/>
      <c r="E777" s="3" t="s">
        <v>171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113</v>
      </c>
      <c r="O777" s="3"/>
      <c r="P777" s="3"/>
      <c r="Q777" s="3">
        <v>1.8540000000000001</v>
      </c>
      <c r="R777" s="3" t="s">
        <v>15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171</v>
      </c>
      <c r="D778" s="3"/>
      <c r="E778" s="3" t="s">
        <v>171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102</v>
      </c>
      <c r="O778" s="3"/>
      <c r="P778" s="3"/>
      <c r="Q778" s="3">
        <v>1.3839999999999999</v>
      </c>
      <c r="R778" s="3" t="s">
        <v>103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171</v>
      </c>
      <c r="D779" s="3"/>
      <c r="E779" s="3" t="s">
        <v>171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18</v>
      </c>
      <c r="O779" s="3"/>
      <c r="P779" s="3"/>
      <c r="Q779" s="3">
        <v>123.139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171</v>
      </c>
      <c r="D780" s="3"/>
      <c r="E780" s="3" t="s">
        <v>171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91</v>
      </c>
      <c r="O780" s="3"/>
      <c r="P780" s="3"/>
      <c r="Q780" s="3">
        <v>23.317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171</v>
      </c>
      <c r="D781" s="3"/>
      <c r="E781" s="3" t="s">
        <v>171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90</v>
      </c>
      <c r="O781" s="3"/>
      <c r="P781" s="3"/>
      <c r="Q781" s="3">
        <v>144.33799999999999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171</v>
      </c>
      <c r="D782" s="3"/>
      <c r="E782" s="3" t="s">
        <v>171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114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171</v>
      </c>
      <c r="D783" s="3"/>
      <c r="E783" s="3" t="s">
        <v>171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21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171</v>
      </c>
      <c r="D784" s="3"/>
      <c r="E784" s="3" t="s">
        <v>171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171</v>
      </c>
      <c r="D785" s="3"/>
      <c r="E785" s="3" t="s">
        <v>171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171</v>
      </c>
      <c r="D786" s="3"/>
      <c r="E786" s="3" t="s">
        <v>171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115</v>
      </c>
      <c r="O786" s="3"/>
      <c r="P786" s="3"/>
      <c r="Q786" s="3">
        <v>0.61599999999999999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171</v>
      </c>
      <c r="D787" s="3"/>
      <c r="E787" s="3" t="s">
        <v>171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276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171</v>
      </c>
      <c r="D788" s="3"/>
      <c r="E788" s="3" t="s">
        <v>171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227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172</v>
      </c>
      <c r="D789" s="3"/>
      <c r="E789" s="3" t="s">
        <v>172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228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172</v>
      </c>
      <c r="D790" s="3"/>
      <c r="E790" s="3" t="s">
        <v>172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112</v>
      </c>
      <c r="O790" s="3"/>
      <c r="P790" s="3"/>
      <c r="Q790" s="3">
        <v>2.0569999999999999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172</v>
      </c>
      <c r="D791" s="3"/>
      <c r="E791" s="3" t="s">
        <v>172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113</v>
      </c>
      <c r="O791" s="3"/>
      <c r="P791" s="3"/>
      <c r="Q791" s="3">
        <v>2.0569999999999999</v>
      </c>
      <c r="R791" s="3" t="s">
        <v>15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172</v>
      </c>
      <c r="D792" s="3"/>
      <c r="E792" s="3" t="s">
        <v>172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102</v>
      </c>
      <c r="O792" s="3"/>
      <c r="P792" s="3"/>
      <c r="Q792" s="3">
        <v>0.57999999999999996</v>
      </c>
      <c r="R792" s="3" t="s">
        <v>103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172</v>
      </c>
      <c r="D793" s="3"/>
      <c r="E793" s="3" t="s">
        <v>172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18</v>
      </c>
      <c r="O793" s="3"/>
      <c r="P793" s="3"/>
      <c r="Q793" s="3">
        <v>90.626999999999995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172</v>
      </c>
      <c r="D794" s="3"/>
      <c r="E794" s="3" t="s">
        <v>172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91</v>
      </c>
      <c r="O794" s="3"/>
      <c r="P794" s="3"/>
      <c r="Q794" s="3">
        <v>17.221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172</v>
      </c>
      <c r="D795" s="3"/>
      <c r="E795" s="3" t="s">
        <v>172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90</v>
      </c>
      <c r="O795" s="3"/>
      <c r="P795" s="3"/>
      <c r="Q795" s="3">
        <v>106.848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172</v>
      </c>
      <c r="D796" s="3"/>
      <c r="E796" s="3" t="s">
        <v>172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114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172</v>
      </c>
      <c r="D797" s="3"/>
      <c r="E797" s="3" t="s">
        <v>172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172</v>
      </c>
      <c r="D798" s="3"/>
      <c r="E798" s="3" t="s">
        <v>172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172</v>
      </c>
      <c r="D799" s="3"/>
      <c r="E799" s="3" t="s">
        <v>172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172</v>
      </c>
      <c r="D800" s="3"/>
      <c r="E800" s="3" t="s">
        <v>172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115</v>
      </c>
      <c r="O800" s="3"/>
      <c r="P800" s="3"/>
      <c r="Q800" s="3">
        <v>0.67600000000000005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172</v>
      </c>
      <c r="D801" s="3"/>
      <c r="E801" s="3" t="s">
        <v>172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277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172</v>
      </c>
      <c r="D802" s="3"/>
      <c r="E802" s="3" t="s">
        <v>172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229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173</v>
      </c>
      <c r="D803" s="3"/>
      <c r="E803" s="3" t="s">
        <v>173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230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173</v>
      </c>
      <c r="D804" s="3"/>
      <c r="E804" s="3" t="s">
        <v>173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112</v>
      </c>
      <c r="O804" s="3"/>
      <c r="P804" s="3"/>
      <c r="Q804" s="3">
        <v>2.0569999999999999</v>
      </c>
      <c r="R804" s="3" t="s">
        <v>15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173</v>
      </c>
      <c r="D805" s="3"/>
      <c r="E805" s="3" t="s">
        <v>173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113</v>
      </c>
      <c r="O805" s="3"/>
      <c r="P805" s="3"/>
      <c r="Q805" s="3">
        <v>2.0569999999999999</v>
      </c>
      <c r="R805" s="3" t="s">
        <v>15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173</v>
      </c>
      <c r="D806" s="3"/>
      <c r="E806" s="3" t="s">
        <v>173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102</v>
      </c>
      <c r="O806" s="3"/>
      <c r="P806" s="3"/>
      <c r="Q806" s="3">
        <v>0.7</v>
      </c>
      <c r="R806" s="3" t="s">
        <v>103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173</v>
      </c>
      <c r="D807" s="3"/>
      <c r="E807" s="3" t="s">
        <v>173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18</v>
      </c>
      <c r="O807" s="3"/>
      <c r="P807" s="3"/>
      <c r="Q807" s="3">
        <v>95.504000000000005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173</v>
      </c>
      <c r="D808" s="3"/>
      <c r="E808" s="3" t="s">
        <v>173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91</v>
      </c>
      <c r="O808" s="3"/>
      <c r="P808" s="3"/>
      <c r="Q808" s="3">
        <v>18.135999999999999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173</v>
      </c>
      <c r="D809" s="3"/>
      <c r="E809" s="3" t="s">
        <v>173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90</v>
      </c>
      <c r="O809" s="3"/>
      <c r="P809" s="3"/>
      <c r="Q809" s="3">
        <v>112.471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173</v>
      </c>
      <c r="D810" s="3"/>
      <c r="E810" s="3" t="s">
        <v>173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114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173</v>
      </c>
      <c r="D811" s="3"/>
      <c r="E811" s="3" t="s">
        <v>173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173</v>
      </c>
      <c r="D812" s="3"/>
      <c r="E812" s="3" t="s">
        <v>173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173</v>
      </c>
      <c r="D813" s="3"/>
      <c r="E813" s="3" t="s">
        <v>173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173</v>
      </c>
      <c r="D814" s="3"/>
      <c r="E814" s="3" t="s">
        <v>173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115</v>
      </c>
      <c r="O814" s="3"/>
      <c r="P814" s="3"/>
      <c r="Q814" s="3">
        <v>0.67600000000000005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173</v>
      </c>
      <c r="D815" s="3"/>
      <c r="E815" s="3" t="s">
        <v>173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278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173</v>
      </c>
      <c r="D816" s="3"/>
      <c r="E816" s="3" t="s">
        <v>173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231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174</v>
      </c>
      <c r="D817" s="3"/>
      <c r="E817" s="3" t="s">
        <v>174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232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174</v>
      </c>
      <c r="D818" s="3"/>
      <c r="E818" s="3" t="s">
        <v>174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112</v>
      </c>
      <c r="O818" s="3"/>
      <c r="P818" s="3"/>
      <c r="Q818" s="3">
        <v>2.0569999999999999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174</v>
      </c>
      <c r="D819" s="3"/>
      <c r="E819" s="3" t="s">
        <v>174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113</v>
      </c>
      <c r="O819" s="3"/>
      <c r="P819" s="3"/>
      <c r="Q819" s="3">
        <v>2.0569999999999999</v>
      </c>
      <c r="R819" s="3" t="s">
        <v>15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174</v>
      </c>
      <c r="D820" s="3"/>
      <c r="E820" s="3" t="s">
        <v>174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102</v>
      </c>
      <c r="O820" s="3"/>
      <c r="P820" s="3"/>
      <c r="Q820" s="3">
        <v>0.82</v>
      </c>
      <c r="R820" s="3" t="s">
        <v>103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174</v>
      </c>
      <c r="D821" s="3"/>
      <c r="E821" s="3" t="s">
        <v>174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18</v>
      </c>
      <c r="O821" s="3"/>
      <c r="P821" s="3"/>
      <c r="Q821" s="3">
        <v>100.381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174</v>
      </c>
      <c r="D822" s="3"/>
      <c r="E822" s="3" t="s">
        <v>174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91</v>
      </c>
      <c r="O822" s="3"/>
      <c r="P822" s="3"/>
      <c r="Q822" s="3">
        <v>19.05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174</v>
      </c>
      <c r="D823" s="3"/>
      <c r="E823" s="3" t="s">
        <v>174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90</v>
      </c>
      <c r="O823" s="3"/>
      <c r="P823" s="3"/>
      <c r="Q823" s="3">
        <v>118.095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174</v>
      </c>
      <c r="D824" s="3"/>
      <c r="E824" s="3" t="s">
        <v>174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114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174</v>
      </c>
      <c r="D825" s="3"/>
      <c r="E825" s="3" t="s">
        <v>174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174</v>
      </c>
      <c r="D826" s="3"/>
      <c r="E826" s="3" t="s">
        <v>174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174</v>
      </c>
      <c r="D827" s="3"/>
      <c r="E827" s="3" t="s">
        <v>174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23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174</v>
      </c>
      <c r="D828" s="3"/>
      <c r="E828" s="3" t="s">
        <v>174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115</v>
      </c>
      <c r="O828" s="3"/>
      <c r="P828" s="3"/>
      <c r="Q828" s="3">
        <v>0.67600000000000005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174</v>
      </c>
      <c r="D829" s="3"/>
      <c r="E829" s="3" t="s">
        <v>174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279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174</v>
      </c>
      <c r="D830" s="3"/>
      <c r="E830" s="3" t="s">
        <v>174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233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175</v>
      </c>
      <c r="D831" s="3"/>
      <c r="E831" s="3" t="s">
        <v>175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234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175</v>
      </c>
      <c r="D832" s="3"/>
      <c r="E832" s="3" t="s">
        <v>175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112</v>
      </c>
      <c r="O832" s="3"/>
      <c r="P832" s="3"/>
      <c r="Q832" s="3">
        <v>2.0569999999999999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175</v>
      </c>
      <c r="D833" s="3"/>
      <c r="E833" s="3" t="s">
        <v>175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113</v>
      </c>
      <c r="O833" s="3"/>
      <c r="P833" s="3"/>
      <c r="Q833" s="3">
        <v>2.0569999999999999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175</v>
      </c>
      <c r="D834" s="3"/>
      <c r="E834" s="3" t="s">
        <v>175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102</v>
      </c>
      <c r="O834" s="3"/>
      <c r="P834" s="3"/>
      <c r="Q834" s="3">
        <v>0.94</v>
      </c>
      <c r="R834" s="3" t="s">
        <v>103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175</v>
      </c>
      <c r="D835" s="3"/>
      <c r="E835" s="3" t="s">
        <v>175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18</v>
      </c>
      <c r="O835" s="3"/>
      <c r="P835" s="3"/>
      <c r="Q835" s="3">
        <v>105.258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175</v>
      </c>
      <c r="D836" s="3"/>
      <c r="E836" s="3" t="s">
        <v>175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91</v>
      </c>
      <c r="O836" s="3"/>
      <c r="P836" s="3"/>
      <c r="Q836" s="3">
        <v>19.963999999999999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175</v>
      </c>
      <c r="D837" s="3"/>
      <c r="E837" s="3" t="s">
        <v>175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90</v>
      </c>
      <c r="O837" s="3"/>
      <c r="P837" s="3"/>
      <c r="Q837" s="3">
        <v>123.718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175</v>
      </c>
      <c r="D838" s="3"/>
      <c r="E838" s="3" t="s">
        <v>175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114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175</v>
      </c>
      <c r="D839" s="3"/>
      <c r="E839" s="3" t="s">
        <v>175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175</v>
      </c>
      <c r="D840" s="3"/>
      <c r="E840" s="3" t="s">
        <v>175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175</v>
      </c>
      <c r="D841" s="3"/>
      <c r="E841" s="3" t="s">
        <v>175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175</v>
      </c>
      <c r="D842" s="3"/>
      <c r="E842" s="3" t="s">
        <v>175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115</v>
      </c>
      <c r="O842" s="3"/>
      <c r="P842" s="3"/>
      <c r="Q842" s="3">
        <v>0.67600000000000005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175</v>
      </c>
      <c r="D843" s="3"/>
      <c r="E843" s="3" t="s">
        <v>175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280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175</v>
      </c>
      <c r="D844" s="3"/>
      <c r="E844" s="3" t="s">
        <v>175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235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176</v>
      </c>
      <c r="D845" s="3"/>
      <c r="E845" s="3" t="s">
        <v>176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236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176</v>
      </c>
      <c r="D846" s="3"/>
      <c r="E846" s="3" t="s">
        <v>176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112</v>
      </c>
      <c r="O846" s="3"/>
      <c r="P846" s="3"/>
      <c r="Q846" s="3">
        <v>2.0569999999999999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176</v>
      </c>
      <c r="D847" s="3"/>
      <c r="E847" s="3" t="s">
        <v>176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113</v>
      </c>
      <c r="O847" s="3"/>
      <c r="P847" s="3"/>
      <c r="Q847" s="3">
        <v>2.0569999999999999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176</v>
      </c>
      <c r="D848" s="3"/>
      <c r="E848" s="3" t="s">
        <v>176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102</v>
      </c>
      <c r="O848" s="3"/>
      <c r="P848" s="3"/>
      <c r="Q848" s="3">
        <v>1.18</v>
      </c>
      <c r="R848" s="3" t="s">
        <v>103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176</v>
      </c>
      <c r="D849" s="3"/>
      <c r="E849" s="3" t="s">
        <v>176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18</v>
      </c>
      <c r="O849" s="3"/>
      <c r="P849" s="3"/>
      <c r="Q849" s="3">
        <v>115.011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176</v>
      </c>
      <c r="D850" s="3"/>
      <c r="E850" s="3" t="s">
        <v>176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91</v>
      </c>
      <c r="O850" s="3"/>
      <c r="P850" s="3"/>
      <c r="Q850" s="3">
        <v>21.792999999999999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176</v>
      </c>
      <c r="D851" s="3"/>
      <c r="E851" s="3" t="s">
        <v>176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90</v>
      </c>
      <c r="O851" s="3"/>
      <c r="P851" s="3"/>
      <c r="Q851" s="3">
        <v>134.965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176</v>
      </c>
      <c r="D852" s="3"/>
      <c r="E852" s="3" t="s">
        <v>176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114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176</v>
      </c>
      <c r="D853" s="3"/>
      <c r="E853" s="3" t="s">
        <v>176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176</v>
      </c>
      <c r="D854" s="3"/>
      <c r="E854" s="3" t="s">
        <v>176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22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176</v>
      </c>
      <c r="D855" s="3"/>
      <c r="E855" s="3" t="s">
        <v>176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23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176</v>
      </c>
      <c r="D856" s="3"/>
      <c r="E856" s="3" t="s">
        <v>176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115</v>
      </c>
      <c r="O856" s="3"/>
      <c r="P856" s="3"/>
      <c r="Q856" s="3">
        <v>0.67600000000000005</v>
      </c>
      <c r="R856" s="3" t="s">
        <v>13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176</v>
      </c>
      <c r="D857" s="3"/>
      <c r="E857" s="3" t="s">
        <v>176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281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176</v>
      </c>
      <c r="D858" s="3"/>
      <c r="E858" s="3" t="s">
        <v>176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237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177</v>
      </c>
      <c r="D859" s="3"/>
      <c r="E859" s="3" t="s">
        <v>177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238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177</v>
      </c>
      <c r="D860" s="3"/>
      <c r="E860" s="3" t="s">
        <v>177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112</v>
      </c>
      <c r="O860" s="3"/>
      <c r="P860" s="3"/>
      <c r="Q860" s="3">
        <v>2.0569999999999999</v>
      </c>
      <c r="R860" s="3" t="s">
        <v>15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177</v>
      </c>
      <c r="D861" s="3"/>
      <c r="E861" s="3" t="s">
        <v>177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113</v>
      </c>
      <c r="O861" s="3"/>
      <c r="P861" s="3"/>
      <c r="Q861" s="3">
        <v>2.0569999999999999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177</v>
      </c>
      <c r="D862" s="3"/>
      <c r="E862" s="3" t="s">
        <v>177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102</v>
      </c>
      <c r="O862" s="3"/>
      <c r="P862" s="3"/>
      <c r="Q862" s="3">
        <v>1.3</v>
      </c>
      <c r="R862" s="3" t="s">
        <v>103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177</v>
      </c>
      <c r="D863" s="3"/>
      <c r="E863" s="3" t="s">
        <v>177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18</v>
      </c>
      <c r="O863" s="3"/>
      <c r="P863" s="3"/>
      <c r="Q863" s="3">
        <v>119.88800000000001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177</v>
      </c>
      <c r="D864" s="3"/>
      <c r="E864" s="3" t="s">
        <v>177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91</v>
      </c>
      <c r="O864" s="3"/>
      <c r="P864" s="3"/>
      <c r="Q864" s="3">
        <v>22.707999999999998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177</v>
      </c>
      <c r="D865" s="3"/>
      <c r="E865" s="3" t="s">
        <v>177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90</v>
      </c>
      <c r="O865" s="3"/>
      <c r="P865" s="3"/>
      <c r="Q865" s="3">
        <v>140.589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177</v>
      </c>
      <c r="D866" s="3"/>
      <c r="E866" s="3" t="s">
        <v>177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114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177</v>
      </c>
      <c r="D867" s="3"/>
      <c r="E867" s="3" t="s">
        <v>177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21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177</v>
      </c>
      <c r="D868" s="3"/>
      <c r="E868" s="3" t="s">
        <v>177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177</v>
      </c>
      <c r="D869" s="3"/>
      <c r="E869" s="3" t="s">
        <v>177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177</v>
      </c>
      <c r="D870" s="3"/>
      <c r="E870" s="3" t="s">
        <v>177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115</v>
      </c>
      <c r="O870" s="3"/>
      <c r="P870" s="3"/>
      <c r="Q870" s="3">
        <v>0.67600000000000005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177</v>
      </c>
      <c r="D871" s="3"/>
      <c r="E871" s="3" t="s">
        <v>177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282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177</v>
      </c>
      <c r="D872" s="3"/>
      <c r="E872" s="3" t="s">
        <v>177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239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178</v>
      </c>
      <c r="D873" s="3"/>
      <c r="E873" s="3" t="s">
        <v>178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240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178</v>
      </c>
      <c r="D874" s="3"/>
      <c r="E874" s="3" t="s">
        <v>178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112</v>
      </c>
      <c r="O874" s="3"/>
      <c r="P874" s="3"/>
      <c r="Q874" s="3">
        <v>2.0569999999999999</v>
      </c>
      <c r="R874" s="3" t="s">
        <v>15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178</v>
      </c>
      <c r="D875" s="3"/>
      <c r="E875" s="3" t="s">
        <v>178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113</v>
      </c>
      <c r="O875" s="3"/>
      <c r="P875" s="3"/>
      <c r="Q875" s="3">
        <v>2.0569999999999999</v>
      </c>
      <c r="R875" s="3" t="s">
        <v>15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178</v>
      </c>
      <c r="D876" s="3"/>
      <c r="E876" s="3" t="s">
        <v>178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102</v>
      </c>
      <c r="O876" s="3"/>
      <c r="P876" s="3"/>
      <c r="Q876" s="3">
        <v>1.42</v>
      </c>
      <c r="R876" s="3" t="s">
        <v>103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178</v>
      </c>
      <c r="D877" s="3"/>
      <c r="E877" s="3" t="s">
        <v>178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18</v>
      </c>
      <c r="O877" s="3"/>
      <c r="P877" s="3"/>
      <c r="Q877" s="3">
        <v>124.765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178</v>
      </c>
      <c r="D878" s="3"/>
      <c r="E878" s="3" t="s">
        <v>178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91</v>
      </c>
      <c r="O878" s="3"/>
      <c r="P878" s="3"/>
      <c r="Q878" s="3">
        <v>23.622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178</v>
      </c>
      <c r="D879" s="3"/>
      <c r="E879" s="3" t="s">
        <v>178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90</v>
      </c>
      <c r="O879" s="3"/>
      <c r="P879" s="3"/>
      <c r="Q879" s="3">
        <v>146.21299999999999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178</v>
      </c>
      <c r="D880" s="3"/>
      <c r="E880" s="3" t="s">
        <v>178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114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178</v>
      </c>
      <c r="D881" s="3"/>
      <c r="E881" s="3" t="s">
        <v>178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178</v>
      </c>
      <c r="D882" s="3"/>
      <c r="E882" s="3" t="s">
        <v>178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22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178</v>
      </c>
      <c r="D883" s="3"/>
      <c r="E883" s="3" t="s">
        <v>178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178</v>
      </c>
      <c r="D884" s="3"/>
      <c r="E884" s="3" t="s">
        <v>178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115</v>
      </c>
      <c r="O884" s="3"/>
      <c r="P884" s="3"/>
      <c r="Q884" s="3">
        <v>0.67600000000000005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178</v>
      </c>
      <c r="D885" s="3"/>
      <c r="E885" s="3" t="s">
        <v>178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283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178</v>
      </c>
      <c r="D886" s="3"/>
      <c r="E886" s="3" t="s">
        <v>178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241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179</v>
      </c>
      <c r="D887" s="3"/>
      <c r="E887" s="3" t="s">
        <v>179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242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179</v>
      </c>
      <c r="D888" s="3"/>
      <c r="E888" s="3" t="s">
        <v>179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112</v>
      </c>
      <c r="O888" s="3"/>
      <c r="P888" s="3"/>
      <c r="Q888" s="3">
        <v>2.1589999999999998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179</v>
      </c>
      <c r="D889" s="3"/>
      <c r="E889" s="3" t="s">
        <v>179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113</v>
      </c>
      <c r="O889" s="3"/>
      <c r="P889" s="3"/>
      <c r="Q889" s="3">
        <v>2.1589999999999998</v>
      </c>
      <c r="R889" s="3" t="s">
        <v>15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179</v>
      </c>
      <c r="D890" s="3"/>
      <c r="E890" s="3" t="s">
        <v>179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102</v>
      </c>
      <c r="O890" s="3"/>
      <c r="P890" s="3"/>
      <c r="Q890" s="3">
        <v>0.60899999999999999</v>
      </c>
      <c r="R890" s="3" t="s">
        <v>103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179</v>
      </c>
      <c r="D891" s="3"/>
      <c r="E891" s="3" t="s">
        <v>179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179</v>
      </c>
      <c r="D892" s="3"/>
      <c r="E892" s="3" t="s">
        <v>179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91</v>
      </c>
      <c r="O892" s="3"/>
      <c r="P892" s="3"/>
      <c r="Q892" s="3">
        <v>17.831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179</v>
      </c>
      <c r="D893" s="3"/>
      <c r="E893" s="3" t="s">
        <v>179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90</v>
      </c>
      <c r="O893" s="3"/>
      <c r="P893" s="3"/>
      <c r="Q893" s="3">
        <v>110.59699999999999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179</v>
      </c>
      <c r="D894" s="3"/>
      <c r="E894" s="3" t="s">
        <v>179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114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179</v>
      </c>
      <c r="D895" s="3"/>
      <c r="E895" s="3" t="s">
        <v>179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21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179</v>
      </c>
      <c r="D896" s="3"/>
      <c r="E896" s="3" t="s">
        <v>179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179</v>
      </c>
      <c r="D897" s="3"/>
      <c r="E897" s="3" t="s">
        <v>179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179</v>
      </c>
      <c r="D898" s="3"/>
      <c r="E898" s="3" t="s">
        <v>179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115</v>
      </c>
      <c r="O898" s="3"/>
      <c r="P898" s="3"/>
      <c r="Q898" s="3">
        <v>0.70599999999999996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179</v>
      </c>
      <c r="D899" s="3"/>
      <c r="E899" s="3" t="s">
        <v>179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284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179</v>
      </c>
      <c r="D900" s="3"/>
      <c r="E900" s="3" t="s">
        <v>179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243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180</v>
      </c>
      <c r="D901" s="3"/>
      <c r="E901" s="3" t="s">
        <v>180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244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180</v>
      </c>
      <c r="D902" s="3"/>
      <c r="E902" s="3" t="s">
        <v>180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112</v>
      </c>
      <c r="O902" s="3"/>
      <c r="P902" s="3"/>
      <c r="Q902" s="3">
        <v>2.1589999999999998</v>
      </c>
      <c r="R902" s="3" t="s">
        <v>15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180</v>
      </c>
      <c r="D903" s="3"/>
      <c r="E903" s="3" t="s">
        <v>180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113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180</v>
      </c>
      <c r="D904" s="3"/>
      <c r="E904" s="3" t="s">
        <v>180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102</v>
      </c>
      <c r="O904" s="3"/>
      <c r="P904" s="3"/>
      <c r="Q904" s="3">
        <v>0.73499999999999999</v>
      </c>
      <c r="R904" s="3" t="s">
        <v>103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180</v>
      </c>
      <c r="D905" s="3"/>
      <c r="E905" s="3" t="s">
        <v>180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180</v>
      </c>
      <c r="D906" s="3"/>
      <c r="E906" s="3" t="s">
        <v>180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91</v>
      </c>
      <c r="O906" s="3"/>
      <c r="P906" s="3"/>
      <c r="Q906" s="3">
        <v>18.745000000000001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180</v>
      </c>
      <c r="D907" s="3"/>
      <c r="E907" s="3" t="s">
        <v>180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90</v>
      </c>
      <c r="O907" s="3"/>
      <c r="P907" s="3"/>
      <c r="Q907" s="3">
        <v>116.22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180</v>
      </c>
      <c r="D908" s="3"/>
      <c r="E908" s="3" t="s">
        <v>180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114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180</v>
      </c>
      <c r="D909" s="3"/>
      <c r="E909" s="3" t="s">
        <v>180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180</v>
      </c>
      <c r="D910" s="3"/>
      <c r="E910" s="3" t="s">
        <v>180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180</v>
      </c>
      <c r="D911" s="3"/>
      <c r="E911" s="3" t="s">
        <v>180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180</v>
      </c>
      <c r="D912" s="3"/>
      <c r="E912" s="3" t="s">
        <v>180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115</v>
      </c>
      <c r="O912" s="3"/>
      <c r="P912" s="3"/>
      <c r="Q912" s="3">
        <v>0.70599999999999996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180</v>
      </c>
      <c r="D913" s="3"/>
      <c r="E913" s="3" t="s">
        <v>180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285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180</v>
      </c>
      <c r="D914" s="3"/>
      <c r="E914" s="3" t="s">
        <v>180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245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181</v>
      </c>
      <c r="D915" s="3"/>
      <c r="E915" s="3" t="s">
        <v>181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246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181</v>
      </c>
      <c r="D916" s="3"/>
      <c r="E916" s="3" t="s">
        <v>181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181</v>
      </c>
      <c r="D917" s="3"/>
      <c r="E917" s="3" t="s">
        <v>181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113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181</v>
      </c>
      <c r="D918" s="3"/>
      <c r="E918" s="3" t="s">
        <v>181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102</v>
      </c>
      <c r="O918" s="3"/>
      <c r="P918" s="3"/>
      <c r="Q918" s="3">
        <v>0.86099999999999999</v>
      </c>
      <c r="R918" s="3" t="s">
        <v>103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181</v>
      </c>
      <c r="D919" s="3"/>
      <c r="E919" s="3" t="s">
        <v>181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181</v>
      </c>
      <c r="D920" s="3"/>
      <c r="E920" s="3" t="s">
        <v>181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91</v>
      </c>
      <c r="O920" s="3"/>
      <c r="P920" s="3"/>
      <c r="Q920" s="3">
        <v>19.66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181</v>
      </c>
      <c r="D921" s="3"/>
      <c r="E921" s="3" t="s">
        <v>181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90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181</v>
      </c>
      <c r="D922" s="3"/>
      <c r="E922" s="3" t="s">
        <v>181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114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181</v>
      </c>
      <c r="D923" s="3"/>
      <c r="E923" s="3" t="s">
        <v>181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181</v>
      </c>
      <c r="D924" s="3"/>
      <c r="E924" s="3" t="s">
        <v>181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181</v>
      </c>
      <c r="D925" s="3"/>
      <c r="E925" s="3" t="s">
        <v>181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181</v>
      </c>
      <c r="D926" s="3"/>
      <c r="E926" s="3" t="s">
        <v>181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115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181</v>
      </c>
      <c r="D927" s="3"/>
      <c r="E927" s="3" t="s">
        <v>181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286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181</v>
      </c>
      <c r="D928" s="3"/>
      <c r="E928" s="3" t="s">
        <v>181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247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182</v>
      </c>
      <c r="D929" s="3"/>
      <c r="E929" s="3" t="s">
        <v>182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248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182</v>
      </c>
      <c r="D930" s="3"/>
      <c r="E930" s="3" t="s">
        <v>182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182</v>
      </c>
      <c r="D931" s="3"/>
      <c r="E931" s="3" t="s">
        <v>182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113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182</v>
      </c>
      <c r="D932" s="3"/>
      <c r="E932" s="3" t="s">
        <v>182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102</v>
      </c>
      <c r="O932" s="3"/>
      <c r="P932" s="3"/>
      <c r="Q932" s="3">
        <v>0.98699999999999999</v>
      </c>
      <c r="R932" s="3" t="s">
        <v>103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182</v>
      </c>
      <c r="D933" s="3"/>
      <c r="E933" s="3" t="s">
        <v>182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18</v>
      </c>
      <c r="O933" s="3"/>
      <c r="P933" s="3"/>
      <c r="Q933" s="3">
        <v>108.509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182</v>
      </c>
      <c r="D934" s="3"/>
      <c r="E934" s="3" t="s">
        <v>182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91</v>
      </c>
      <c r="O934" s="3"/>
      <c r="P934" s="3"/>
      <c r="Q934" s="3">
        <v>20.574000000000002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182</v>
      </c>
      <c r="D935" s="3"/>
      <c r="E935" s="3" t="s">
        <v>182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90</v>
      </c>
      <c r="O935" s="3"/>
      <c r="P935" s="3"/>
      <c r="Q935" s="3">
        <v>127.467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182</v>
      </c>
      <c r="D936" s="3"/>
      <c r="E936" s="3" t="s">
        <v>182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114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182</v>
      </c>
      <c r="D937" s="3"/>
      <c r="E937" s="3" t="s">
        <v>182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182</v>
      </c>
      <c r="D938" s="3"/>
      <c r="E938" s="3" t="s">
        <v>182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182</v>
      </c>
      <c r="D939" s="3"/>
      <c r="E939" s="3" t="s">
        <v>182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182</v>
      </c>
      <c r="D940" s="3"/>
      <c r="E940" s="3" t="s">
        <v>182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115</v>
      </c>
      <c r="O940" s="3"/>
      <c r="P940" s="3"/>
      <c r="Q940" s="3">
        <v>0.70599999999999996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182</v>
      </c>
      <c r="D941" s="3"/>
      <c r="E941" s="3" t="s">
        <v>182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287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182</v>
      </c>
      <c r="D942" s="3"/>
      <c r="E942" s="3" t="s">
        <v>182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249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183</v>
      </c>
      <c r="D943" s="3"/>
      <c r="E943" s="3" t="s">
        <v>183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250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183</v>
      </c>
      <c r="D944" s="3"/>
      <c r="E944" s="3" t="s">
        <v>183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112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183</v>
      </c>
      <c r="D945" s="3"/>
      <c r="E945" s="3" t="s">
        <v>183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113</v>
      </c>
      <c r="O945" s="3"/>
      <c r="P945" s="3"/>
      <c r="Q945" s="3">
        <v>2.1589999999999998</v>
      </c>
      <c r="R945" s="3" t="s">
        <v>15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183</v>
      </c>
      <c r="D946" s="3"/>
      <c r="E946" s="3" t="s">
        <v>183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102</v>
      </c>
      <c r="O946" s="3"/>
      <c r="P946" s="3"/>
      <c r="Q946" s="3">
        <v>1.24</v>
      </c>
      <c r="R946" s="3" t="s">
        <v>103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183</v>
      </c>
      <c r="D947" s="3"/>
      <c r="E947" s="3" t="s">
        <v>183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18</v>
      </c>
      <c r="O947" s="3"/>
      <c r="P947" s="3"/>
      <c r="Q947" s="3">
        <v>118.262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183</v>
      </c>
      <c r="D948" s="3"/>
      <c r="E948" s="3" t="s">
        <v>183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91</v>
      </c>
      <c r="O948" s="3"/>
      <c r="P948" s="3"/>
      <c r="Q948" s="3">
        <v>22.402999999999999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183</v>
      </c>
      <c r="D949" s="3"/>
      <c r="E949" s="3" t="s">
        <v>183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90</v>
      </c>
      <c r="O949" s="3"/>
      <c r="P949" s="3"/>
      <c r="Q949" s="3">
        <v>138.714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183</v>
      </c>
      <c r="D950" s="3"/>
      <c r="E950" s="3" t="s">
        <v>183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114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183</v>
      </c>
      <c r="D951" s="3"/>
      <c r="E951" s="3" t="s">
        <v>183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21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183</v>
      </c>
      <c r="D952" s="3"/>
      <c r="E952" s="3" t="s">
        <v>183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183</v>
      </c>
      <c r="D953" s="3"/>
      <c r="E953" s="3" t="s">
        <v>183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183</v>
      </c>
      <c r="D954" s="3"/>
      <c r="E954" s="3" t="s">
        <v>183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115</v>
      </c>
      <c r="O954" s="3"/>
      <c r="P954" s="3"/>
      <c r="Q954" s="3">
        <v>0.70599999999999996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183</v>
      </c>
      <c r="D955" s="3"/>
      <c r="E955" s="3" t="s">
        <v>183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288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183</v>
      </c>
      <c r="D956" s="3"/>
      <c r="E956" s="3" t="s">
        <v>183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251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184</v>
      </c>
      <c r="D957" s="3"/>
      <c r="E957" s="3" t="s">
        <v>184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252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184</v>
      </c>
      <c r="D958" s="3"/>
      <c r="E958" s="3" t="s">
        <v>184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112</v>
      </c>
      <c r="O958" s="3"/>
      <c r="P958" s="3"/>
      <c r="Q958" s="3">
        <v>2.1589999999999998</v>
      </c>
      <c r="R958" s="3" t="s">
        <v>15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184</v>
      </c>
      <c r="D959" s="3"/>
      <c r="E959" s="3" t="s">
        <v>184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113</v>
      </c>
      <c r="O959" s="3"/>
      <c r="P959" s="3"/>
      <c r="Q959" s="3">
        <v>2.1589999999999998</v>
      </c>
      <c r="R959" s="3" t="s">
        <v>15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184</v>
      </c>
      <c r="D960" s="3"/>
      <c r="E960" s="3" t="s">
        <v>184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102</v>
      </c>
      <c r="O960" s="3"/>
      <c r="P960" s="3"/>
      <c r="Q960" s="3">
        <v>1.3660000000000001</v>
      </c>
      <c r="R960" s="3" t="s">
        <v>103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184</v>
      </c>
      <c r="D961" s="3"/>
      <c r="E961" s="3" t="s">
        <v>184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18</v>
      </c>
      <c r="O961" s="3"/>
      <c r="P961" s="3"/>
      <c r="Q961" s="3">
        <v>123.139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184</v>
      </c>
      <c r="D962" s="3"/>
      <c r="E962" s="3" t="s">
        <v>184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91</v>
      </c>
      <c r="O962" s="3"/>
      <c r="P962" s="3"/>
      <c r="Q962" s="3">
        <v>23.317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184</v>
      </c>
      <c r="D963" s="3"/>
      <c r="E963" s="3" t="s">
        <v>184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90</v>
      </c>
      <c r="O963" s="3"/>
      <c r="P963" s="3"/>
      <c r="Q963" s="3">
        <v>144.33799999999999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184</v>
      </c>
      <c r="D964" s="3"/>
      <c r="E964" s="3" t="s">
        <v>184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114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184</v>
      </c>
      <c r="D965" s="3"/>
      <c r="E965" s="3" t="s">
        <v>184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21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184</v>
      </c>
      <c r="D966" s="3"/>
      <c r="E966" s="3" t="s">
        <v>184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184</v>
      </c>
      <c r="D967" s="3"/>
      <c r="E967" s="3" t="s">
        <v>184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184</v>
      </c>
      <c r="D968" s="3"/>
      <c r="E968" s="3" t="s">
        <v>184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115</v>
      </c>
      <c r="O968" s="3"/>
      <c r="P968" s="3"/>
      <c r="Q968" s="3">
        <v>0.70599999999999996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184</v>
      </c>
      <c r="D969" s="3"/>
      <c r="E969" s="3" t="s">
        <v>184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289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184</v>
      </c>
      <c r="D970" s="3"/>
      <c r="E970" s="3" t="s">
        <v>184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253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185</v>
      </c>
      <c r="D971" s="3"/>
      <c r="E971" s="3" t="s">
        <v>185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254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185</v>
      </c>
      <c r="D972" s="3"/>
      <c r="E972" s="3" t="s">
        <v>185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112</v>
      </c>
      <c r="O972" s="3"/>
      <c r="P972" s="3"/>
      <c r="Q972" s="3">
        <v>2.1589999999999998</v>
      </c>
      <c r="R972" s="3" t="s">
        <v>15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185</v>
      </c>
      <c r="D973" s="3"/>
      <c r="E973" s="3" t="s">
        <v>185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113</v>
      </c>
      <c r="O973" s="3"/>
      <c r="P973" s="3"/>
      <c r="Q973" s="3">
        <v>2.1589999999999998</v>
      </c>
      <c r="R973" s="3" t="s">
        <v>15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185</v>
      </c>
      <c r="D974" s="3"/>
      <c r="E974" s="3" t="s">
        <v>185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102</v>
      </c>
      <c r="O974" s="3"/>
      <c r="P974" s="3"/>
      <c r="Q974" s="3">
        <v>1.492</v>
      </c>
      <c r="R974" s="3" t="s">
        <v>103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185</v>
      </c>
      <c r="D975" s="3"/>
      <c r="E975" s="3" t="s">
        <v>185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18</v>
      </c>
      <c r="O975" s="3"/>
      <c r="P975" s="3"/>
      <c r="Q975" s="3">
        <v>128.01599999999999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185</v>
      </c>
      <c r="D976" s="3"/>
      <c r="E976" s="3" t="s">
        <v>185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91</v>
      </c>
      <c r="O976" s="3"/>
      <c r="P976" s="3"/>
      <c r="Q976" s="3">
        <v>24.231999999999999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185</v>
      </c>
      <c r="D977" s="3"/>
      <c r="E977" s="3" t="s">
        <v>185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90</v>
      </c>
      <c r="O977" s="3"/>
      <c r="P977" s="3"/>
      <c r="Q977" s="3">
        <v>149.96199999999999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185</v>
      </c>
      <c r="D978" s="3"/>
      <c r="E978" s="3" t="s">
        <v>185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114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185</v>
      </c>
      <c r="D979" s="3"/>
      <c r="E979" s="3" t="s">
        <v>185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21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185</v>
      </c>
      <c r="D980" s="3"/>
      <c r="E980" s="3" t="s">
        <v>185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22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185</v>
      </c>
      <c r="D981" s="3"/>
      <c r="E981" s="3" t="s">
        <v>185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185</v>
      </c>
      <c r="D982" s="3"/>
      <c r="E982" s="3" t="s">
        <v>185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115</v>
      </c>
      <c r="O982" s="3"/>
      <c r="P982" s="3"/>
      <c r="Q982" s="3">
        <v>0.70599999999999996</v>
      </c>
      <c r="R982" s="3" t="s">
        <v>13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185</v>
      </c>
      <c r="D983" s="3"/>
      <c r="E983" s="3" t="s">
        <v>185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290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185</v>
      </c>
      <c r="D984" s="3"/>
      <c r="E984" s="3" t="s">
        <v>185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255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2026-06-03T09:41:24Z</dcterms:modified>
</cp:coreProperties>
</file>