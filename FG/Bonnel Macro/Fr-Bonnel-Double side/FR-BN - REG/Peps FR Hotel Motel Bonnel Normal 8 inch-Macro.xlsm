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G4" i="13" l="1"/>
  <c r="H4" i="13" l="1"/>
  <c r="D4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D8" i="13"/>
  <c r="G7" i="13"/>
  <c r="H7" i="13" s="1"/>
  <c r="D7" i="13"/>
  <c r="G6" i="13"/>
  <c r="H6" i="13" s="1"/>
  <c r="D6" i="13"/>
  <c r="G5" i="13"/>
  <c r="H5" i="13" s="1"/>
  <c r="D5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<sst xmlns="http://schemas.openxmlformats.org/spreadsheetml/2006/main" count="10253" uniqueCount="337">
  <si>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</si>
  <si>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</si>
  <si>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</si>
  <si>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</si>
  <si>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</si>
  <si>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</si>
  <si>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</si>
  <si>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</si>
  <si>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</si>
  <si>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</si>
  <si>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</si>
  <si>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</si>
  <si>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</si>
  <si>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</si>
  <si>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</si>
  <si>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</si>
  <si>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</si>
  <si>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</si>
  <si>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</si>
  <si>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</si>
  <si>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</si>
  <si>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</si>
  <si>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</si>
  <si>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</si>
  <si>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</si>
  <si>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</si>
  <si>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</si>
  <si>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</si>
  <si>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</si>
  <si>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</si>
  <si>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</si>
  <si>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</si>
  <si>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</si>
  <si>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</si>
  <si>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</si>
  <si>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</si>
  <si>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</si>
  <si>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</si>
  <si>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</si>
  <si>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</si>
  <si>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</si>
  <si>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</si>
  <si>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</si>
  <si>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</si>
  <si>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</si>
  <si>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</si>
  <si>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</si>
  <si>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</si>
  <si>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</si>
  <si>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</si>
  <si>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</si>
  <si>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</si>
  <si>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</si>
  <si>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</si>
  <si>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</si>
  <si>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</si>
  <si>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</si>
  <si>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</si>
  <si>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</si>
  <si>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</si>
  <si>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</si>
  <si>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</si>
  <si>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</si>
  <si>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</si>
  <si>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</si>
  <si>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</si>
  <si>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</si>
  <si>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</si>
  <si>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</si>
  <si>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</si>
  <si>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</si>
  <si>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</si>
  <si>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</si>
  <si>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</si>
  <si>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</si>
  <si>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</si>
  <si>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</si>
  <si>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</si>
  <si>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</si>
  <si>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</si>
  <si>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</si>
  <si>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</si>
  <si>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</si>
  <si>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</si>
  <si>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</si>
  <si>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</si>
  <si>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</si>
  <si>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</si>
  <si>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</si>
  <si>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</si>
  <si>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</si>
  <si>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</si>
  <si>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</si>
  <si>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</si>
  <si>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</si>
  <si>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</si>
  <si>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</si>
  <si>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</si>
  <si>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</si>
  <si>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</si>
  <si>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</si>
  <si>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</si>
  <si>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</si>
  <si>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</si>
  <si>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</si>
  <si>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</si>
  <si>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</si>
  <si>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</si>
  <si>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</si>
  <si>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</si>
  <si>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SFG-RTHTMTRG-BONPOC-QUILT</t>
  </si>
  <si>
    <t>RTHTMTBNRG72X33X08</t>
  </si>
  <si>
    <t>RML-CS-PL-8.5</t>
  </si>
  <si>
    <t>RTHTMTBNRG72X39X08</t>
  </si>
  <si>
    <t>RTHTMTBNRG72X45X08</t>
  </si>
  <si>
    <t>RTHTMTBNRG72X51X08</t>
  </si>
  <si>
    <t>RTHTMTBNRG72X54X08</t>
  </si>
  <si>
    <t>RTHTMTBNRG72X57X08</t>
  </si>
  <si>
    <t>RTHTMTBNRG72X63X08</t>
  </si>
  <si>
    <t>RTHTMTBNRG72X69X08</t>
  </si>
  <si>
    <t>RTHTMTBNRG75X33X08</t>
  </si>
  <si>
    <t>RTHTMTBNRG75X39X08</t>
  </si>
  <si>
    <t>RTHTMTBNRG75X45X08</t>
  </si>
  <si>
    <t>RTHTMTBNRG75X51X08</t>
  </si>
  <si>
    <t>RTHTMTBNRG75X54X08</t>
  </si>
  <si>
    <t>RTHTMTBNRG75X57X08</t>
  </si>
  <si>
    <t>RTHTMTBNRG75X63X08</t>
  </si>
  <si>
    <t>RTHTMTBNRG75X69X08</t>
  </si>
  <si>
    <t>RTHTMTBNRG78X33X08</t>
  </si>
  <si>
    <t>RTHTMTBNRG78X39X08</t>
  </si>
  <si>
    <t>RTHTMTBNRG78X45X08</t>
  </si>
  <si>
    <t>RTHTMTBNRG78X51X08</t>
  </si>
  <si>
    <t>RTHTMTBNRG78X54X08</t>
  </si>
  <si>
    <t>RTHTMTBNRG78X57X08</t>
  </si>
  <si>
    <t>RTHTMTBNRG78X63X08</t>
  </si>
  <si>
    <t>RTHTMTBNRG78X69X08</t>
  </si>
  <si>
    <t>RTHTMTBNRG80X33X08</t>
  </si>
  <si>
    <t>RTHTMTBNRG80X39X08</t>
  </si>
  <si>
    <t>RTHTMTBNRG80X45X08</t>
  </si>
  <si>
    <t>RTHTMTBNRG80X51X08</t>
  </si>
  <si>
    <t>RTHTMTBNRG80X54X08</t>
  </si>
  <si>
    <t>RTHTMTBNRG80X57X08</t>
  </si>
  <si>
    <t>RTHTMTBNRG80X63X08</t>
  </si>
  <si>
    <t>RTHTMTBNRG80X69X08</t>
  </si>
  <si>
    <t>RTHTMTBNRG84X33X08</t>
  </si>
  <si>
    <t>RTHTMTBNRG84X39X08</t>
  </si>
  <si>
    <t>RTHTMTBNRG84X45X08</t>
  </si>
  <si>
    <t>RTHTMTBNRG84X51X08</t>
  </si>
  <si>
    <t>RTHTMTBNRG84X54X08</t>
  </si>
  <si>
    <t>RTHTMTBNRG84X57X08</t>
  </si>
  <si>
    <t>RTHTMTBNRG84X63X08</t>
  </si>
  <si>
    <t>RTHTMTBNRG84X69X08</t>
  </si>
  <si>
    <t>RTHTMTBNRG72X30X08</t>
  </si>
  <si>
    <t>RTHTMTBNRG72X36X08</t>
  </si>
  <si>
    <t>RTHTMTBNRG72X42X08</t>
  </si>
  <si>
    <t>RTHTMTBNRG72X48X08</t>
  </si>
  <si>
    <t>RTHTMTBNRG72X60X08</t>
  </si>
  <si>
    <t>RTHTMTBNRG72X66X08</t>
  </si>
  <si>
    <t>RTHTMTBNRG72X72X08</t>
  </si>
  <si>
    <t>RTHTMTBNRG75X30X08</t>
  </si>
  <si>
    <t>RTHTMTBNRG75X36X08</t>
  </si>
  <si>
    <t>RTHTMTBNRG75X42X08</t>
  </si>
  <si>
    <t>RTHTMTBNRG75X48X08</t>
  </si>
  <si>
    <t>RTHTMTBNRG75X60X08</t>
  </si>
  <si>
    <t>RTHTMTBNRG75X66X08</t>
  </si>
  <si>
    <t>RTHTMTBNRG75X72X08</t>
  </si>
  <si>
    <t>RTHTMTBNRG78X30X08</t>
  </si>
  <si>
    <t>RTHTMTBNRG78X36X08</t>
  </si>
  <si>
    <t>RTHTMTBNRG78X42X08</t>
  </si>
  <si>
    <t>RTHTMTBNRG78X48X08</t>
  </si>
  <si>
    <t>RTHTMTBNRG78X60X08</t>
  </si>
  <si>
    <t>RTHTMTBNRG78X66X08</t>
  </si>
  <si>
    <t>RTHTMTBNRG78X72X08</t>
  </si>
  <si>
    <t>RTHTMTBNRG80X30X08</t>
  </si>
  <si>
    <t>RTHTMTBNRG80X36X08</t>
  </si>
  <si>
    <t>RTHTMTBNRG80X42X08</t>
  </si>
  <si>
    <t>RTHTMTBNRG80X48X08</t>
  </si>
  <si>
    <t>RTHTMTBNRG80X60X08</t>
  </si>
  <si>
    <t>RTHTMTBNRG80X66X08</t>
  </si>
  <si>
    <t>RTHTMTBNRG80X72X08</t>
  </si>
  <si>
    <t>RTHTMTBNRG84X30X08</t>
  </si>
  <si>
    <t>RTHTMTBNRG84X36X08</t>
  </si>
  <si>
    <t>RTHTMTBNRG84X42X08</t>
  </si>
  <si>
    <t>RTHTMTBNRG84X48X08</t>
  </si>
  <si>
    <t>RTHTMTBNRG84X60X08</t>
  </si>
  <si>
    <t>RTHTMTBNRG84X66X08</t>
  </si>
  <si>
    <t>RTHTMTBNRG84X72X08</t>
  </si>
  <si>
    <t>OEBOXBNSR71.50X32.50X140</t>
  </si>
  <si>
    <t>25D-HELIXA-FOAM-71.50X32.50X15MM</t>
  </si>
  <si>
    <t>OEBOXBNSR71.50X38.50X140</t>
  </si>
  <si>
    <t>25D-HELIXA-FOAM-71.50X38.50X15MM</t>
  </si>
  <si>
    <t>OEBOXBNSR71.50X44.50X140</t>
  </si>
  <si>
    <t>25D-HELIXA-FOAM-71.50X44.50X15MM</t>
  </si>
  <si>
    <t>OEBOXBNSR71.50X50.50X140</t>
  </si>
  <si>
    <t>25D-HELIXA-FOAM-71.50X50.50X15MM</t>
  </si>
  <si>
    <t>OEBOXBNSR71.50X53.50X140</t>
  </si>
  <si>
    <t>25D-HELIXA-FOAM-71.50X53.50X15MM</t>
  </si>
  <si>
    <t>OEBOXBNSR71.50X56.50X140</t>
  </si>
  <si>
    <t>25D-HELIXA-FOAM-71.50X56.50X15MM</t>
  </si>
  <si>
    <t>OEBOXBNSR71.50X62.50X140</t>
  </si>
  <si>
    <t>25D-HELIXA-FOAM-71.50X62.50X15MM</t>
  </si>
  <si>
    <t>OEBOXBNSR71.50X68.50X140</t>
  </si>
  <si>
    <t>25D-HELIXA-FOAM-71.50X68.50X15MM</t>
  </si>
  <si>
    <t>OEBOXBNSR74.50X32.50X140</t>
  </si>
  <si>
    <t>25D-HELIXA-FOAM-74.50X32.50X15MM</t>
  </si>
  <si>
    <t>OEBOXBNSR74.50X38.50X140</t>
  </si>
  <si>
    <t>25D-HELIXA-FOAM-74.50X38.50X15MM</t>
  </si>
  <si>
    <t>OEBOXBNSR74.50X44.50X140</t>
  </si>
  <si>
    <t>25D-HELIXA-FOAM-74.50X44.50X15MM</t>
  </si>
  <si>
    <t>OEBOXBNSR74.50X50.50X140</t>
  </si>
  <si>
    <t>25D-HELIXA-FOAM-74.50X50.50X15MM</t>
  </si>
  <si>
    <t>OEBOXBNSR74.50X53.50X140</t>
  </si>
  <si>
    <t>25D-HELIXA-FOAM-74.50X53.50X15MM</t>
  </si>
  <si>
    <t>OEBOXBNSR74.50X56.50X140</t>
  </si>
  <si>
    <t>25D-HELIXA-FOAM-74.50X56.50X15MM</t>
  </si>
  <si>
    <t>OEBOXBNSR74.50X62.50X140</t>
  </si>
  <si>
    <t>25D-HELIXA-FOAM-74.50X62.50X15MM</t>
  </si>
  <si>
    <t>OEBOXBNSR74.50X68.50X140</t>
  </si>
  <si>
    <t>25D-HELIXA-FOAM-74.50X68.50X15MM</t>
  </si>
  <si>
    <t>OEBOXBNSR77.50X32.50X140</t>
  </si>
  <si>
    <t>25D-HELIXA-FOAM-77.50X32.50X15MM</t>
  </si>
  <si>
    <t>OEBOXBNSR77.50X38.50X140</t>
  </si>
  <si>
    <t>25D-HELIXA-FOAM-77.50X38.50X15MM</t>
  </si>
  <si>
    <t>OEBOXBNSR77.50X44.50X140</t>
  </si>
  <si>
    <t>25D-HELIXA-FOAM-77.50X44.50X15MM</t>
  </si>
  <si>
    <t>OEBOXBNSR77.50X50.50X140</t>
  </si>
  <si>
    <t>25D-HELIXA-FOAM-77.50X50.50X15MM</t>
  </si>
  <si>
    <t>OEBOXBNSR77.50X53.50X140</t>
  </si>
  <si>
    <t>25D-HELIXA-FOAM-77.50X53.50X15MM</t>
  </si>
  <si>
    <t>OEBOXBNSR77.50X56.50X140</t>
  </si>
  <si>
    <t>25D-HELIXA-FOAM-77.50X56.50X15MM</t>
  </si>
  <si>
    <t>OEBOXBNSR77.50X62.50X140</t>
  </si>
  <si>
    <t>25D-HELIXA-FOAM-77.50X62.50X15MM</t>
  </si>
  <si>
    <t>OEBOXBNSR77.50X68.50X140</t>
  </si>
  <si>
    <t>25D-HELIXA-FOAM-77.50X68.50X15MM</t>
  </si>
  <si>
    <t>OEBOXBNSR79.50X32.50X140</t>
  </si>
  <si>
    <t>25D-HELIXA-FOAM-79.50X32.50X15MM</t>
  </si>
  <si>
    <t>OEBOXBNSR79.50X38.50X140</t>
  </si>
  <si>
    <t>25D-HELIXA-FOAM-79.50X38.50X15MM</t>
  </si>
  <si>
    <t>OEBOXBNSR79.50X44.50X140</t>
  </si>
  <si>
    <t>25D-HELIXA-FOAM-79.50X44.50X15MM</t>
  </si>
  <si>
    <t>OEBOXBNSR79.50X50.50X140</t>
  </si>
  <si>
    <t>25D-HELIXA-FOAM-79.50X50.50X15MM</t>
  </si>
  <si>
    <t>OEBOXBNSR79.50X53.50X140</t>
  </si>
  <si>
    <t>25D-HELIXA-FOAM-79.50X53.50X15MM</t>
  </si>
  <si>
    <t>OEBOXBNSR79.50X56.50X140</t>
  </si>
  <si>
    <t>25D-HELIXA-FOAM-79.50X56.50X15MM</t>
  </si>
  <si>
    <t>OEBOXBNSR79.50X62.50X140</t>
  </si>
  <si>
    <t>25D-HELIXA-FOAM-79.50X62.50X15MM</t>
  </si>
  <si>
    <t>OEBOXBNSR79.50X68.50X140</t>
  </si>
  <si>
    <t>25D-HELIXA-FOAM-79.50X68.50X15MM</t>
  </si>
  <si>
    <t>OEBOXBNSR83.50X32.50X140</t>
  </si>
  <si>
    <t>25D-HELIXA-FOAM-83.50X32.50X15MM</t>
  </si>
  <si>
    <t>OEBOXBNSR83.50X38.50X140</t>
  </si>
  <si>
    <t>25D-HELIXA-FOAM-83.50X38.50X15MM</t>
  </si>
  <si>
    <t>OEBOXBNSR83.50X44.50X140</t>
  </si>
  <si>
    <t>25D-HELIXA-FOAM-83.50X44.50X15MM</t>
  </si>
  <si>
    <t>OEBOXBNSR83.50X50.50X140</t>
  </si>
  <si>
    <t>25D-HELIXA-FOAM-83.50X50.50X15MM</t>
  </si>
  <si>
    <t>OEBOXBNSR83.50X53.50X140</t>
  </si>
  <si>
    <t>25D-HELIXA-FOAM-83.50X53.50X15MM</t>
  </si>
  <si>
    <t>OEBOXBNSR83.50X56.50X140</t>
  </si>
  <si>
    <t>25D-HELIXA-FOAM-83.50X56.50X15MM</t>
  </si>
  <si>
    <t>OEBOXBNSR83.50X62.50X140</t>
  </si>
  <si>
    <t>25D-HELIXA-FOAM-83.50X62.50X15MM</t>
  </si>
  <si>
    <t>OEBOXBNSR83.50X68.50X140</t>
  </si>
  <si>
    <t>25D-HELIXA-FOAM-83.50X68.50X15MM</t>
  </si>
  <si>
    <t>OEBOXBNSR71.50X29.50X140</t>
  </si>
  <si>
    <t>25D-HELIXA-FOAM-71.50X29.50X15MM</t>
  </si>
  <si>
    <t>OEBOXBNSR71.50X35.50X140</t>
  </si>
  <si>
    <t>25D-HELIXA-FOAM-71.50X35.50X15MM</t>
  </si>
  <si>
    <t>OEBOXBNSR71.50X41.50X140</t>
  </si>
  <si>
    <t>25D-HELIXA-FOAM-71.50X41.50X15MM</t>
  </si>
  <si>
    <t>OEBOXBNSR71.50X47.50X140</t>
  </si>
  <si>
    <t>25D-HELIXA-FOAM-71.50X47.50X15MM</t>
  </si>
  <si>
    <t>OEBOXBNSR71.50X59.50X140</t>
  </si>
  <si>
    <t>25D-HELIXA-FOAM-71.50X59.50X15MM</t>
  </si>
  <si>
    <t>OEBOXBNSR71.50X65.50X140</t>
  </si>
  <si>
    <t>25D-HELIXA-FOAM-71.50X65.50X15MM</t>
  </si>
  <si>
    <t>OEBOXBNSR71.50X71.50X140</t>
  </si>
  <si>
    <t>25D-HELIXA-FOAM-71.50X71.50X15MM</t>
  </si>
  <si>
    <t>OEBOXBNSR74.50X29.50X140</t>
  </si>
  <si>
    <t>25D-HELIXA-FOAM-74.50X29.50X15MM</t>
  </si>
  <si>
    <t>OEBOXBNSR74.50X35.50X140</t>
  </si>
  <si>
    <t>25D-HELIXA-FOAM-74.50X35.50X15MM</t>
  </si>
  <si>
    <t>OEBOXBNSR74.50X41.50X140</t>
  </si>
  <si>
    <t>25D-HELIXA-FOAM-74.50X41.50X15MM</t>
  </si>
  <si>
    <t>OEBOXBNSR74.50X47.50X140</t>
  </si>
  <si>
    <t>25D-HELIXA-FOAM-74.50X47.50X15MM</t>
  </si>
  <si>
    <t>OEBOXBNSR74.50X59.50X140</t>
  </si>
  <si>
    <t>25D-HELIXA-FOAM-74.50X59.50X15MM</t>
  </si>
  <si>
    <t>OEBOXBNSR74.50X65.50X140</t>
  </si>
  <si>
    <t>25D-HELIXA-FOAM-74.50X65.50X15MM</t>
  </si>
  <si>
    <t>OEBOXBNSR74.50X71.50X140</t>
  </si>
  <si>
    <t>25D-HELIXA-FOAM-74.50X71.50X15MM</t>
  </si>
  <si>
    <t>OEBOXBNSR77.50X29.50X140</t>
  </si>
  <si>
    <t>25D-HELIXA-FOAM-77.50X29.50X15MM</t>
  </si>
  <si>
    <t>OEBOXBNSR77.50X35.50X140</t>
  </si>
  <si>
    <t>25D-HELIXA-FOAM-77.50X35.50X15MM</t>
  </si>
  <si>
    <t>OEBOXBNSR77.50X41.50X140</t>
  </si>
  <si>
    <t>25D-HELIXA-FOAM-77.50X41.50X15MM</t>
  </si>
  <si>
    <t>OEBOXBNSR77.50X47.50X140</t>
  </si>
  <si>
    <t>25D-HELIXA-FOAM-77.50X47.50X15MM</t>
  </si>
  <si>
    <t>OEBOXBNSR77.50X59.50X140</t>
  </si>
  <si>
    <t>25D-HELIXA-FOAM-77.50X59.50X15MM</t>
  </si>
  <si>
    <t>OEBOXBNSR77.50X65.50X140</t>
  </si>
  <si>
    <t>25D-HELIXA-FOAM-77.50X65.50X15MM</t>
  </si>
  <si>
    <t>OEBOXBNSR77.50X71.50X140</t>
  </si>
  <si>
    <t>25D-HELIXA-FOAM-77.50X71.50X15MM</t>
  </si>
  <si>
    <t>OEBOXBNSR79.50X29.50X140</t>
  </si>
  <si>
    <t>25D-HELIXA-FOAM-79.50X29.50X15MM</t>
  </si>
  <si>
    <t>OEBOXBNSR79.50X35.50X140</t>
  </si>
  <si>
    <t>25D-HELIXA-FOAM-79.50X35.50X15MM</t>
  </si>
  <si>
    <t>OEBOXBNSR79.50X41.50X140</t>
  </si>
  <si>
    <t>25D-HELIXA-FOAM-79.50X41.50X15MM</t>
  </si>
  <si>
    <t>OEBOXBNSR79.50X47.50X140</t>
  </si>
  <si>
    <t>25D-HELIXA-FOAM-79.50X47.50X15MM</t>
  </si>
  <si>
    <t>OEBOXBNSR79.50X59.50X140</t>
  </si>
  <si>
    <t>25D-HELIXA-FOAM-79.50X59.50X15MM</t>
  </si>
  <si>
    <t>OEBOXBNSR79.50X65.50X140</t>
  </si>
  <si>
    <t>25D-HELIXA-FOAM-79.50X65.50X15MM</t>
  </si>
  <si>
    <t>OEBOXBNSR79.50X71.50X140</t>
  </si>
  <si>
    <t>25D-HELIXA-FOAM-79.50X71.50X15MM</t>
  </si>
  <si>
    <t>OEBOXBNSR83.50X29.50X140</t>
  </si>
  <si>
    <t>25D-HELIXA-FOAM-83.50X29.50X15MM</t>
  </si>
  <si>
    <t>OEBOXBNSR83.50X35.50X140</t>
  </si>
  <si>
    <t>25D-HELIXA-FOAM-83.50X35.50X15MM</t>
  </si>
  <si>
    <t>OEBOXBNSR83.50X41.50X140</t>
  </si>
  <si>
    <t>25D-HELIXA-FOAM-83.50X41.50X15MM</t>
  </si>
  <si>
    <t>OEBOXBNSR83.50X47.50X140</t>
  </si>
  <si>
    <t>25D-HELIXA-FOAM-83.50X47.50X15MM</t>
  </si>
  <si>
    <t>OEBOXBNSR83.50X59.50X140</t>
  </si>
  <si>
    <t>25D-HELIXA-FOAM-83.50X59.50X15MM</t>
  </si>
  <si>
    <t>OEBOXBNSR83.50X65.50X140</t>
  </si>
  <si>
    <t>25D-HELIXA-FOAM-83.50X65.50X15MM</t>
  </si>
  <si>
    <t>OEBOXBNSR83.50X71.50X140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</si>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</sst>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6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"RTHTMTBNRG"&amp;$K$2&amp;"X"&amp;$L$2&amp;"X"&amp;IF($M$2&gt;9,$M$2,"0"&amp;$M$2)</f>
        <v>RTHTMTBNRG75X36X08</v>
      </c>
      <c r="E2" s="1" t="str">
        <f>"OEBOXBNSR"&amp;(K2-0.5)&amp;"0"&amp;"X"&amp;(L2-0.5)&amp;"0"&amp;"X"&amp;IF(M2=6,"130",IF(M2=8,"140",IF(M2&gt;9,"180",0)))</f>
        <v>OEBOXBNSR74.50X35.50X140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37">
        <v>8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0">"RTHTMTBNRG"&amp;$K$2&amp;"X"&amp;$L$2&amp;"X"&amp;IF($M$2&gt;9,$M$2,"0"&amp;$M$2)</f>
        <v>RTHTMTBNRG75X36X08</v>
      </c>
      <c r="E3" s="19" t="s">
        <v>110</v>
      </c>
      <c r="F3" s="11" t="s">
        <v>15</v>
      </c>
      <c r="G3" s="26">
        <f>IF(K2&lt;79,(L2+1)*2,IF(L2&lt;37,(K2+1),(K2+1)*2))*0.0254</f>
        <v>1.8795999999999999</v>
      </c>
      <c r="H3" s="10">
        <f t="shared" ref="H3" si="1">ROUND(G3,3)</f>
        <v>1.88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0"/>
        <v>RTHTMTBNRG75X36X08</v>
      </c>
      <c r="E4" s="40" t="s">
        <v>18</v>
      </c>
      <c r="F4" s="41" t="s">
        <v>15</v>
      </c>
      <c r="G4" s="16">
        <f>(K2+L2+1.5)*4*0.0254*8</f>
        <v>91.44</v>
      </c>
      <c r="H4" s="10">
        <f t="shared" ref="H4:H13" si="2">ROUND(G4,3)</f>
        <v>91.44</v>
      </c>
      <c r="I4" s="8" t="s">
        <v>14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0"/>
        <v>RTHTMTBNRG75X36X08</v>
      </c>
      <c r="E5" s="21" t="s">
        <v>105</v>
      </c>
      <c r="F5" s="15" t="s">
        <v>106</v>
      </c>
      <c r="G5" s="23">
        <f>((K2-1)*(L2-1)/144)*0.00729*4</f>
        <v>0.52447499999999991</v>
      </c>
      <c r="H5" s="10">
        <f t="shared" si="2"/>
        <v>0.52400000000000002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0"/>
        <v>RTHTMTBNRG75X36X08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0"/>
        <v>RTHTMTBNRG75X36X08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0"/>
        <v>RTHTMTBNRG75X36X08</v>
      </c>
      <c r="E8" s="21" t="s">
        <v>112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0"/>
        <v>RTHTMTBNRG75X36X08</v>
      </c>
      <c r="E9" s="21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0"/>
        <v>RTHTMTBNRG75X36X08</v>
      </c>
      <c r="E10" s="21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0"/>
        <v>RTHTMTBNRG75X36X08</v>
      </c>
      <c r="E11" s="21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0"/>
        <v>RTHTMTBNRG75X36X08</v>
      </c>
      <c r="E12" s="18" t="s">
        <v>109</v>
      </c>
      <c r="F12" s="11" t="s">
        <v>13</v>
      </c>
      <c r="G12" s="24">
        <f>IF(K2&lt;79,((L2*2)+(M2*2)+4),((K2*2)+(M2*2)+4))*0.0254*89.5*0.0254*0.00005*1300</f>
        <v>0.34529608359999991</v>
      </c>
      <c r="H12" s="10">
        <f t="shared" si="2"/>
        <v>0.34499999999999997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0"/>
        <v>RTHTMTBNRG75X36X08</v>
      </c>
      <c r="E13" s="39" t="str">
        <f>"25D-HELIXA-FOAM-"&amp;(K2-0.5)&amp;"0"&amp;"X"&amp;(L2-0.5)&amp;"0"&amp;"X15MM"</f>
        <v>25D-HELIXA-FOAM-74.50X35.50X15MM</v>
      </c>
      <c r="F13" s="8" t="s">
        <v>11</v>
      </c>
      <c r="G13" s="14">
        <v>2</v>
      </c>
      <c r="H13" s="10">
        <f t="shared" si="2"/>
        <v>2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 t="s">
        <v>108</v>
      </c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 t="s">
        <v>108</v>
      </c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 t="s">
        <v>108</v>
      </c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 t="s">
        <v>108</v>
      </c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 t="s">
        <v>108</v>
      </c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 t="s">
        <v>108</v>
      </c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 t="s">
        <v>108</v>
      </c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 t="s">
        <v>108</v>
      </c>
    </row>
    <row r="50" spans="14:21" x14ac:dyDescent="0.25">
      <c r="R50" s="34">
        <v>75</v>
      </c>
      <c r="S50" s="34">
        <v>36</v>
      </c>
      <c r="T50" s="34">
        <v>8</v>
      </c>
      <c r="U50" s="35" t="s">
        <v>108</v>
      </c>
    </row>
    <row r="51" spans="14:21" x14ac:dyDescent="0.25">
      <c r="R51" s="34">
        <v>75</v>
      </c>
      <c r="S51" s="34">
        <v>42</v>
      </c>
      <c r="T51" s="34">
        <v>8</v>
      </c>
      <c r="U51" s="35" t="s">
        <v>108</v>
      </c>
    </row>
    <row r="52" spans="14:21" x14ac:dyDescent="0.25">
      <c r="R52" s="34">
        <v>75</v>
      </c>
      <c r="S52" s="34">
        <v>48</v>
      </c>
      <c r="T52" s="34">
        <v>8</v>
      </c>
      <c r="U52" s="35" t="s">
        <v>108</v>
      </c>
    </row>
    <row r="53" spans="14:21" x14ac:dyDescent="0.25">
      <c r="R53" s="34">
        <v>75</v>
      </c>
      <c r="S53" s="34">
        <v>60</v>
      </c>
      <c r="T53" s="34">
        <v>8</v>
      </c>
      <c r="U53" s="35" t="s">
        <v>108</v>
      </c>
    </row>
    <row r="54" spans="14:21" x14ac:dyDescent="0.25">
      <c r="R54" s="34">
        <v>75</v>
      </c>
      <c r="S54" s="34">
        <v>66</v>
      </c>
      <c r="T54" s="34">
        <v>8</v>
      </c>
      <c r="U54" s="35" t="s">
        <v>108</v>
      </c>
    </row>
    <row r="55" spans="14:21" x14ac:dyDescent="0.25">
      <c r="R55" s="34">
        <v>75</v>
      </c>
      <c r="S55" s="34">
        <v>72</v>
      </c>
      <c r="T55" s="34">
        <v>8</v>
      </c>
      <c r="U55" s="35" t="s">
        <v>108</v>
      </c>
    </row>
    <row r="56" spans="14:21" x14ac:dyDescent="0.25">
      <c r="R56" s="34">
        <v>78</v>
      </c>
      <c r="S56" s="34">
        <v>30</v>
      </c>
      <c r="T56" s="34">
        <v>8</v>
      </c>
      <c r="U56" s="35" t="s">
        <v>108</v>
      </c>
    </row>
    <row r="57" spans="14:21" x14ac:dyDescent="0.25">
      <c r="R57" s="34">
        <v>78</v>
      </c>
      <c r="S57" s="34">
        <v>36</v>
      </c>
      <c r="T57" s="34">
        <v>8</v>
      </c>
      <c r="U57" s="35" t="s">
        <v>108</v>
      </c>
    </row>
    <row r="58" spans="14:21" x14ac:dyDescent="0.25">
      <c r="R58" s="34">
        <v>78</v>
      </c>
      <c r="S58" s="34">
        <v>42</v>
      </c>
      <c r="T58" s="34">
        <v>8</v>
      </c>
      <c r="U58" s="35" t="s">
        <v>108</v>
      </c>
    </row>
    <row r="59" spans="14:21" x14ac:dyDescent="0.25">
      <c r="R59" s="34">
        <v>78</v>
      </c>
      <c r="S59" s="34">
        <v>48</v>
      </c>
      <c r="T59" s="34">
        <v>8</v>
      </c>
      <c r="U59" s="35" t="s">
        <v>108</v>
      </c>
    </row>
    <row r="60" spans="14:21" x14ac:dyDescent="0.25">
      <c r="R60" s="34">
        <v>78</v>
      </c>
      <c r="S60" s="34">
        <v>60</v>
      </c>
      <c r="T60" s="34">
        <v>8</v>
      </c>
      <c r="U60" s="35" t="s">
        <v>108</v>
      </c>
    </row>
    <row r="61" spans="14:21" x14ac:dyDescent="0.25">
      <c r="R61" s="34">
        <v>78</v>
      </c>
      <c r="S61" s="34">
        <v>66</v>
      </c>
      <c r="T61" s="34">
        <v>8</v>
      </c>
      <c r="U61" s="35" t="s">
        <v>108</v>
      </c>
    </row>
    <row r="62" spans="14:21" x14ac:dyDescent="0.25">
      <c r="R62" s="34">
        <v>78</v>
      </c>
      <c r="S62" s="34">
        <v>72</v>
      </c>
      <c r="T62" s="34">
        <v>8</v>
      </c>
      <c r="U62" s="35" t="s">
        <v>108</v>
      </c>
    </row>
    <row r="63" spans="14:21" x14ac:dyDescent="0.25">
      <c r="R63" s="34">
        <v>80</v>
      </c>
      <c r="S63" s="34">
        <v>30</v>
      </c>
      <c r="T63" s="34">
        <v>8</v>
      </c>
      <c r="U63" s="35" t="s">
        <v>108</v>
      </c>
    </row>
    <row r="64" spans="14:21" x14ac:dyDescent="0.25">
      <c r="R64" s="34">
        <v>80</v>
      </c>
      <c r="S64" s="34">
        <v>36</v>
      </c>
      <c r="T64" s="34">
        <v>8</v>
      </c>
      <c r="U64" s="35" t="s">
        <v>108</v>
      </c>
    </row>
    <row r="65" spans="18:21" x14ac:dyDescent="0.25">
      <c r="R65" s="34">
        <v>80</v>
      </c>
      <c r="S65" s="34">
        <v>42</v>
      </c>
      <c r="T65" s="34">
        <v>8</v>
      </c>
      <c r="U65" s="35" t="s">
        <v>108</v>
      </c>
    </row>
    <row r="66" spans="18:21" x14ac:dyDescent="0.25">
      <c r="R66" s="34">
        <v>80</v>
      </c>
      <c r="S66" s="34">
        <v>48</v>
      </c>
      <c r="T66" s="34">
        <v>8</v>
      </c>
      <c r="U66" s="35" t="s">
        <v>108</v>
      </c>
    </row>
    <row r="67" spans="18:21" x14ac:dyDescent="0.25">
      <c r="R67" s="34">
        <v>80</v>
      </c>
      <c r="S67" s="34">
        <v>60</v>
      </c>
      <c r="T67" s="34">
        <v>8</v>
      </c>
      <c r="U67" s="35" t="s">
        <v>108</v>
      </c>
    </row>
    <row r="68" spans="18:21" x14ac:dyDescent="0.25">
      <c r="R68" s="34">
        <v>80</v>
      </c>
      <c r="S68" s="34">
        <v>66</v>
      </c>
      <c r="T68" s="34">
        <v>8</v>
      </c>
      <c r="U68" s="35" t="s">
        <v>108</v>
      </c>
    </row>
    <row r="69" spans="18:21" x14ac:dyDescent="0.25">
      <c r="R69" s="34">
        <v>80</v>
      </c>
      <c r="S69" s="34">
        <v>72</v>
      </c>
      <c r="T69" s="34">
        <v>8</v>
      </c>
      <c r="U69" s="35" t="s">
        <v>108</v>
      </c>
    </row>
    <row r="70" spans="18:21" x14ac:dyDescent="0.25">
      <c r="R70" s="34">
        <v>84</v>
      </c>
      <c r="S70" s="34">
        <v>30</v>
      </c>
      <c r="T70" s="34">
        <v>8</v>
      </c>
      <c r="U70" s="35" t="s">
        <v>108</v>
      </c>
    </row>
    <row r="71" spans="18:21" x14ac:dyDescent="0.25">
      <c r="R71" s="34">
        <v>84</v>
      </c>
      <c r="S71" s="34">
        <v>36</v>
      </c>
      <c r="T71" s="34">
        <v>8</v>
      </c>
      <c r="U71" s="35" t="s">
        <v>108</v>
      </c>
    </row>
    <row r="72" spans="18:21" x14ac:dyDescent="0.25">
      <c r="R72" s="34">
        <v>84</v>
      </c>
      <c r="S72" s="34">
        <v>42</v>
      </c>
      <c r="T72" s="34">
        <v>8</v>
      </c>
      <c r="U72" s="35" t="s">
        <v>108</v>
      </c>
    </row>
    <row r="73" spans="18:21" x14ac:dyDescent="0.25">
      <c r="R73" s="34">
        <v>84</v>
      </c>
      <c r="S73" s="34">
        <v>48</v>
      </c>
      <c r="T73" s="34">
        <v>8</v>
      </c>
      <c r="U73" s="35" t="s">
        <v>108</v>
      </c>
    </row>
    <row r="74" spans="18:21" x14ac:dyDescent="0.25">
      <c r="R74" s="34">
        <v>84</v>
      </c>
      <c r="S74" s="34">
        <v>60</v>
      </c>
      <c r="T74" s="34">
        <v>8</v>
      </c>
      <c r="U74" s="35" t="s">
        <v>108</v>
      </c>
    </row>
    <row r="75" spans="18:21" x14ac:dyDescent="0.25">
      <c r="R75" s="34">
        <v>84</v>
      </c>
      <c r="S75" s="34">
        <v>66</v>
      </c>
      <c r="T75" s="34">
        <v>8</v>
      </c>
      <c r="U75" s="35" t="s">
        <v>108</v>
      </c>
    </row>
    <row r="76" spans="18:21" x14ac:dyDescent="0.25">
      <c r="R76" s="34">
        <v>84</v>
      </c>
      <c r="S76" s="34">
        <v>72</v>
      </c>
      <c r="T76" s="34">
        <v>8</v>
      </c>
      <c r="U76" s="35" t="s">
        <v>108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111</v>
      </c>
      <c r="C2">
        <v>10</v>
      </c>
      <c r="D2" t="s">
        <v>187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110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0.46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109</v>
      </c>
      <c r="E12" t="s">
        <v>13</v>
      </c>
      <c r="F12">
        <v>0.32300000000000001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188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113</v>
      </c>
      <c r="C14">
        <v>10</v>
      </c>
      <c r="D14" t="s">
        <v>189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113</v>
      </c>
      <c r="C15">
        <v>20</v>
      </c>
      <c r="D15" t="s">
        <v>110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113</v>
      </c>
      <c r="C16">
        <v>30</v>
      </c>
      <c r="D16" t="s">
        <v>18</v>
      </c>
      <c r="E16" t="s">
        <v>15</v>
      </c>
      <c r="F16">
        <v>91.44</v>
      </c>
      <c r="G16" t="s">
        <v>14</v>
      </c>
    </row>
    <row r="17" spans="1:7" x14ac:dyDescent="0.25">
      <c r="A17">
        <v>2</v>
      </c>
      <c r="B17" t="s">
        <v>113</v>
      </c>
      <c r="C17">
        <v>40</v>
      </c>
      <c r="D17" t="s">
        <v>105</v>
      </c>
      <c r="E17" t="s">
        <v>106</v>
      </c>
      <c r="F17">
        <v>0.54600000000000004</v>
      </c>
      <c r="G17" t="s">
        <v>14</v>
      </c>
    </row>
    <row r="18" spans="1:7" x14ac:dyDescent="0.25">
      <c r="A18">
        <v>2</v>
      </c>
      <c r="B18" t="s">
        <v>113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113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113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113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113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110</v>
      </c>
      <c r="D24" t="s">
        <v>109</v>
      </c>
      <c r="E24" t="s">
        <v>13</v>
      </c>
      <c r="F24">
        <v>0.36799999999999999</v>
      </c>
      <c r="G24" t="s">
        <v>14</v>
      </c>
    </row>
    <row r="25" spans="1:7" x14ac:dyDescent="0.25">
      <c r="A25">
        <v>2</v>
      </c>
      <c r="B25" t="s">
        <v>113</v>
      </c>
      <c r="C25">
        <v>120</v>
      </c>
      <c r="D25" t="s">
        <v>190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114</v>
      </c>
      <c r="C26">
        <v>10</v>
      </c>
      <c r="D26" t="s">
        <v>191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114</v>
      </c>
      <c r="C27">
        <v>20</v>
      </c>
      <c r="D27" t="s">
        <v>110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114</v>
      </c>
      <c r="C28">
        <v>30</v>
      </c>
      <c r="D28" t="s">
        <v>18</v>
      </c>
      <c r="E28" t="s">
        <v>15</v>
      </c>
      <c r="F28">
        <v>96.316999999999993</v>
      </c>
      <c r="G28" t="s">
        <v>14</v>
      </c>
    </row>
    <row r="29" spans="1:7" x14ac:dyDescent="0.25">
      <c r="A29">
        <v>3</v>
      </c>
      <c r="B29" t="s">
        <v>114</v>
      </c>
      <c r="C29">
        <v>40</v>
      </c>
      <c r="D29" t="s">
        <v>105</v>
      </c>
      <c r="E29" t="s">
        <v>106</v>
      </c>
      <c r="F29">
        <v>0.63300000000000001</v>
      </c>
      <c r="G29" t="s">
        <v>14</v>
      </c>
    </row>
    <row r="30" spans="1:7" x14ac:dyDescent="0.25">
      <c r="A30">
        <v>3</v>
      </c>
      <c r="B30" t="s">
        <v>114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114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114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114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114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114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110</v>
      </c>
      <c r="D36" t="s">
        <v>109</v>
      </c>
      <c r="E36" t="s">
        <v>13</v>
      </c>
      <c r="F36">
        <v>0.41299999999999998</v>
      </c>
      <c r="G36" t="s">
        <v>14</v>
      </c>
    </row>
    <row r="37" spans="1:7" x14ac:dyDescent="0.25">
      <c r="A37">
        <v>3</v>
      </c>
      <c r="B37" t="s">
        <v>114</v>
      </c>
      <c r="C37">
        <v>120</v>
      </c>
      <c r="D37" t="s">
        <v>192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115</v>
      </c>
      <c r="C38">
        <v>10</v>
      </c>
      <c r="D38" t="s">
        <v>193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115</v>
      </c>
      <c r="C39">
        <v>20</v>
      </c>
      <c r="D39" t="s">
        <v>110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115</v>
      </c>
      <c r="C40">
        <v>30</v>
      </c>
      <c r="D40" t="s">
        <v>18</v>
      </c>
      <c r="E40" t="s">
        <v>15</v>
      </c>
      <c r="F40">
        <v>101.194</v>
      </c>
      <c r="G40" t="s">
        <v>14</v>
      </c>
    </row>
    <row r="41" spans="1:7" x14ac:dyDescent="0.25">
      <c r="A41">
        <v>4</v>
      </c>
      <c r="B41" t="s">
        <v>115</v>
      </c>
      <c r="C41">
        <v>40</v>
      </c>
      <c r="D41" t="s">
        <v>105</v>
      </c>
      <c r="E41" t="s">
        <v>106</v>
      </c>
      <c r="F41">
        <v>0.71899999999999997</v>
      </c>
      <c r="G41" t="s">
        <v>14</v>
      </c>
    </row>
    <row r="42" spans="1:7" x14ac:dyDescent="0.25">
      <c r="A42">
        <v>4</v>
      </c>
      <c r="B42" t="s">
        <v>115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115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115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115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115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115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115</v>
      </c>
      <c r="C48">
        <v>110</v>
      </c>
      <c r="D48" t="s">
        <v>109</v>
      </c>
      <c r="E48" t="s">
        <v>13</v>
      </c>
      <c r="F48">
        <v>0.45800000000000002</v>
      </c>
      <c r="G48" t="s">
        <v>14</v>
      </c>
    </row>
    <row r="49" spans="1:7" x14ac:dyDescent="0.25">
      <c r="A49">
        <v>4</v>
      </c>
      <c r="B49" t="s">
        <v>115</v>
      </c>
      <c r="C49">
        <v>120</v>
      </c>
      <c r="D49" t="s">
        <v>194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116</v>
      </c>
      <c r="C50">
        <v>10</v>
      </c>
      <c r="D50" t="s">
        <v>195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116</v>
      </c>
      <c r="C51">
        <v>20</v>
      </c>
      <c r="D51" t="s">
        <v>110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116</v>
      </c>
      <c r="C52">
        <v>30</v>
      </c>
      <c r="D52" t="s">
        <v>18</v>
      </c>
      <c r="E52" t="s">
        <v>15</v>
      </c>
      <c r="F52">
        <v>103.63200000000001</v>
      </c>
      <c r="G52" t="s">
        <v>14</v>
      </c>
    </row>
    <row r="53" spans="1:7" x14ac:dyDescent="0.25">
      <c r="A53">
        <v>5</v>
      </c>
      <c r="B53" t="s">
        <v>116</v>
      </c>
      <c r="C53">
        <v>40</v>
      </c>
      <c r="D53" t="s">
        <v>105</v>
      </c>
      <c r="E53" t="s">
        <v>106</v>
      </c>
      <c r="F53">
        <v>0.76200000000000001</v>
      </c>
      <c r="G53" t="s">
        <v>14</v>
      </c>
    </row>
    <row r="54" spans="1:7" x14ac:dyDescent="0.25">
      <c r="A54">
        <v>5</v>
      </c>
      <c r="B54" t="s">
        <v>116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116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116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116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116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116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116</v>
      </c>
      <c r="C60">
        <v>110</v>
      </c>
      <c r="D60" t="s">
        <v>109</v>
      </c>
      <c r="E60" t="s">
        <v>13</v>
      </c>
      <c r="F60">
        <v>0.48</v>
      </c>
      <c r="G60" t="s">
        <v>14</v>
      </c>
    </row>
    <row r="61" spans="1:7" x14ac:dyDescent="0.25">
      <c r="A61">
        <v>5</v>
      </c>
      <c r="B61" t="s">
        <v>116</v>
      </c>
      <c r="C61">
        <v>120</v>
      </c>
      <c r="D61" t="s">
        <v>196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117</v>
      </c>
      <c r="C62">
        <v>10</v>
      </c>
      <c r="D62" t="s">
        <v>197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117</v>
      </c>
      <c r="C63">
        <v>20</v>
      </c>
      <c r="D63" t="s">
        <v>110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117</v>
      </c>
      <c r="C64">
        <v>30</v>
      </c>
      <c r="D64" t="s">
        <v>18</v>
      </c>
      <c r="E64" t="s">
        <v>15</v>
      </c>
      <c r="F64">
        <v>106.07</v>
      </c>
      <c r="G64" t="s">
        <v>14</v>
      </c>
    </row>
    <row r="65" spans="1:7" x14ac:dyDescent="0.25">
      <c r="A65">
        <v>6</v>
      </c>
      <c r="B65" t="s">
        <v>117</v>
      </c>
      <c r="C65">
        <v>40</v>
      </c>
      <c r="D65" t="s">
        <v>105</v>
      </c>
      <c r="E65" t="s">
        <v>106</v>
      </c>
      <c r="F65">
        <v>0.80500000000000005</v>
      </c>
      <c r="G65" t="s">
        <v>14</v>
      </c>
    </row>
    <row r="66" spans="1:7" x14ac:dyDescent="0.25">
      <c r="A66">
        <v>6</v>
      </c>
      <c r="B66" t="s">
        <v>117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117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117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117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117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117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117</v>
      </c>
      <c r="C72">
        <v>110</v>
      </c>
      <c r="D72" t="s">
        <v>109</v>
      </c>
      <c r="E72" t="s">
        <v>13</v>
      </c>
      <c r="F72">
        <v>0.503</v>
      </c>
      <c r="G72" t="s">
        <v>14</v>
      </c>
    </row>
    <row r="73" spans="1:7" x14ac:dyDescent="0.25">
      <c r="A73">
        <v>6</v>
      </c>
      <c r="B73" t="s">
        <v>117</v>
      </c>
      <c r="C73">
        <v>120</v>
      </c>
      <c r="D73" t="s">
        <v>198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118</v>
      </c>
      <c r="C74">
        <v>10</v>
      </c>
      <c r="D74" t="s">
        <v>199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118</v>
      </c>
      <c r="C75">
        <v>20</v>
      </c>
      <c r="D75" t="s">
        <v>110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118</v>
      </c>
      <c r="C76">
        <v>30</v>
      </c>
      <c r="D76" t="s">
        <v>18</v>
      </c>
      <c r="E76" t="s">
        <v>15</v>
      </c>
      <c r="F76">
        <v>110.947</v>
      </c>
      <c r="G76" t="s">
        <v>14</v>
      </c>
    </row>
    <row r="77" spans="1:7" x14ac:dyDescent="0.25">
      <c r="A77">
        <v>7</v>
      </c>
      <c r="B77" t="s">
        <v>118</v>
      </c>
      <c r="C77">
        <v>40</v>
      </c>
      <c r="D77" t="s">
        <v>105</v>
      </c>
      <c r="E77" t="s">
        <v>106</v>
      </c>
      <c r="F77">
        <v>0.89100000000000001</v>
      </c>
      <c r="G77" t="s">
        <v>14</v>
      </c>
    </row>
    <row r="78" spans="1:7" x14ac:dyDescent="0.25">
      <c r="A78">
        <v>7</v>
      </c>
      <c r="B78" t="s">
        <v>118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118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118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118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118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118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118</v>
      </c>
      <c r="C84">
        <v>110</v>
      </c>
      <c r="D84" t="s">
        <v>109</v>
      </c>
      <c r="E84" t="s">
        <v>13</v>
      </c>
      <c r="F84">
        <v>0.54800000000000004</v>
      </c>
      <c r="G84" t="s">
        <v>14</v>
      </c>
    </row>
    <row r="85" spans="1:7" x14ac:dyDescent="0.25">
      <c r="A85">
        <v>7</v>
      </c>
      <c r="B85" t="s">
        <v>118</v>
      </c>
      <c r="C85">
        <v>120</v>
      </c>
      <c r="D85" t="s">
        <v>200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119</v>
      </c>
      <c r="C86">
        <v>10</v>
      </c>
      <c r="D86" t="s">
        <v>201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119</v>
      </c>
      <c r="C87">
        <v>20</v>
      </c>
      <c r="D87" t="s">
        <v>110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119</v>
      </c>
      <c r="C88">
        <v>30</v>
      </c>
      <c r="D88" t="s">
        <v>18</v>
      </c>
      <c r="E88" t="s">
        <v>15</v>
      </c>
      <c r="F88">
        <v>115.824</v>
      </c>
      <c r="G88" t="s">
        <v>14</v>
      </c>
    </row>
    <row r="89" spans="1:7" x14ac:dyDescent="0.25">
      <c r="A89">
        <v>8</v>
      </c>
      <c r="B89" t="s">
        <v>119</v>
      </c>
      <c r="C89">
        <v>40</v>
      </c>
      <c r="D89" t="s">
        <v>105</v>
      </c>
      <c r="E89" t="s">
        <v>106</v>
      </c>
      <c r="F89">
        <v>0.97799999999999998</v>
      </c>
      <c r="G89" t="s">
        <v>14</v>
      </c>
    </row>
    <row r="90" spans="1:7" x14ac:dyDescent="0.25">
      <c r="A90">
        <v>8</v>
      </c>
      <c r="B90" t="s">
        <v>119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119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119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119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119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119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119</v>
      </c>
      <c r="C96">
        <v>110</v>
      </c>
      <c r="D96" t="s">
        <v>109</v>
      </c>
      <c r="E96" t="s">
        <v>13</v>
      </c>
      <c r="F96">
        <v>0.59299999999999997</v>
      </c>
      <c r="G96" t="s">
        <v>14</v>
      </c>
    </row>
    <row r="97" spans="1:7" x14ac:dyDescent="0.25">
      <c r="A97">
        <v>8</v>
      </c>
      <c r="B97" t="s">
        <v>119</v>
      </c>
      <c r="C97">
        <v>120</v>
      </c>
      <c r="D97" t="s">
        <v>202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120</v>
      </c>
      <c r="C98">
        <v>10</v>
      </c>
      <c r="D98" t="s">
        <v>203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120</v>
      </c>
      <c r="C99">
        <v>20</v>
      </c>
      <c r="D99" t="s">
        <v>110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120</v>
      </c>
      <c r="C100">
        <v>30</v>
      </c>
      <c r="D100" t="s">
        <v>18</v>
      </c>
      <c r="E100" t="s">
        <v>15</v>
      </c>
      <c r="F100">
        <v>89.001999999999995</v>
      </c>
      <c r="G100" t="s">
        <v>14</v>
      </c>
    </row>
    <row r="101" spans="1:7" x14ac:dyDescent="0.25">
      <c r="A101">
        <v>9</v>
      </c>
      <c r="B101" t="s">
        <v>120</v>
      </c>
      <c r="C101">
        <v>40</v>
      </c>
      <c r="D101" t="s">
        <v>105</v>
      </c>
      <c r="E101" t="s">
        <v>106</v>
      </c>
      <c r="F101">
        <v>0.48</v>
      </c>
      <c r="G101" t="s">
        <v>14</v>
      </c>
    </row>
    <row r="102" spans="1:7" x14ac:dyDescent="0.25">
      <c r="A102">
        <v>9</v>
      </c>
      <c r="B102" t="s">
        <v>120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120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120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120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120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120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120</v>
      </c>
      <c r="C108">
        <v>110</v>
      </c>
      <c r="D108" t="s">
        <v>109</v>
      </c>
      <c r="E108" t="s">
        <v>13</v>
      </c>
      <c r="F108">
        <v>0.32300000000000001</v>
      </c>
      <c r="G108" t="s">
        <v>14</v>
      </c>
    </row>
    <row r="109" spans="1:7" x14ac:dyDescent="0.25">
      <c r="A109">
        <v>9</v>
      </c>
      <c r="B109" t="s">
        <v>120</v>
      </c>
      <c r="C109">
        <v>120</v>
      </c>
      <c r="D109" t="s">
        <v>204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121</v>
      </c>
      <c r="C110">
        <v>10</v>
      </c>
      <c r="D110" t="s">
        <v>205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121</v>
      </c>
      <c r="C111">
        <v>20</v>
      </c>
      <c r="D111" t="s">
        <v>110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121</v>
      </c>
      <c r="C112">
        <v>30</v>
      </c>
      <c r="D112" t="s">
        <v>18</v>
      </c>
      <c r="E112" t="s">
        <v>15</v>
      </c>
      <c r="F112">
        <v>93.878</v>
      </c>
      <c r="G112" t="s">
        <v>14</v>
      </c>
    </row>
    <row r="113" spans="1:7" x14ac:dyDescent="0.25">
      <c r="A113">
        <v>10</v>
      </c>
      <c r="B113" t="s">
        <v>121</v>
      </c>
      <c r="C113">
        <v>40</v>
      </c>
      <c r="D113" t="s">
        <v>105</v>
      </c>
      <c r="E113" t="s">
        <v>106</v>
      </c>
      <c r="F113">
        <v>0.56899999999999995</v>
      </c>
      <c r="G113" t="s">
        <v>14</v>
      </c>
    </row>
    <row r="114" spans="1:7" x14ac:dyDescent="0.25">
      <c r="A114">
        <v>10</v>
      </c>
      <c r="B114" t="s">
        <v>121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121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121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121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121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121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121</v>
      </c>
      <c r="C120">
        <v>110</v>
      </c>
      <c r="D120" t="s">
        <v>109</v>
      </c>
      <c r="E120" t="s">
        <v>13</v>
      </c>
      <c r="F120">
        <v>0.36799999999999999</v>
      </c>
      <c r="G120" t="s">
        <v>14</v>
      </c>
    </row>
    <row r="121" spans="1:7" x14ac:dyDescent="0.25">
      <c r="A121">
        <v>10</v>
      </c>
      <c r="B121" t="s">
        <v>121</v>
      </c>
      <c r="C121">
        <v>120</v>
      </c>
      <c r="D121" t="s">
        <v>206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122</v>
      </c>
      <c r="C122">
        <v>10</v>
      </c>
      <c r="D122" t="s">
        <v>207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122</v>
      </c>
      <c r="C123">
        <v>20</v>
      </c>
      <c r="D123" t="s">
        <v>110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122</v>
      </c>
      <c r="C124">
        <v>30</v>
      </c>
      <c r="D124" t="s">
        <v>18</v>
      </c>
      <c r="E124" t="s">
        <v>15</v>
      </c>
      <c r="F124">
        <v>98.754999999999995</v>
      </c>
      <c r="G124" t="s">
        <v>14</v>
      </c>
    </row>
    <row r="125" spans="1:7" x14ac:dyDescent="0.25">
      <c r="A125">
        <v>11</v>
      </c>
      <c r="B125" t="s">
        <v>122</v>
      </c>
      <c r="C125">
        <v>40</v>
      </c>
      <c r="D125" t="s">
        <v>105</v>
      </c>
      <c r="E125" t="s">
        <v>106</v>
      </c>
      <c r="F125">
        <v>0.65900000000000003</v>
      </c>
      <c r="G125" t="s">
        <v>14</v>
      </c>
    </row>
    <row r="126" spans="1:7" x14ac:dyDescent="0.25">
      <c r="A126">
        <v>11</v>
      </c>
      <c r="B126" t="s">
        <v>122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122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122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122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122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122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122</v>
      </c>
      <c r="C132">
        <v>110</v>
      </c>
      <c r="D132" t="s">
        <v>109</v>
      </c>
      <c r="E132" t="s">
        <v>13</v>
      </c>
      <c r="F132">
        <v>0.41299999999999998</v>
      </c>
      <c r="G132" t="s">
        <v>14</v>
      </c>
    </row>
    <row r="133" spans="1:7" x14ac:dyDescent="0.25">
      <c r="A133">
        <v>11</v>
      </c>
      <c r="B133" t="s">
        <v>122</v>
      </c>
      <c r="C133">
        <v>120</v>
      </c>
      <c r="D133" t="s">
        <v>208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123</v>
      </c>
      <c r="C134">
        <v>10</v>
      </c>
      <c r="D134" t="s">
        <v>209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123</v>
      </c>
      <c r="C135">
        <v>20</v>
      </c>
      <c r="D135" t="s">
        <v>110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123</v>
      </c>
      <c r="C136">
        <v>30</v>
      </c>
      <c r="D136" t="s">
        <v>18</v>
      </c>
      <c r="E136" t="s">
        <v>15</v>
      </c>
      <c r="F136">
        <v>103.63200000000001</v>
      </c>
      <c r="G136" t="s">
        <v>14</v>
      </c>
    </row>
    <row r="137" spans="1:7" x14ac:dyDescent="0.25">
      <c r="A137">
        <v>12</v>
      </c>
      <c r="B137" t="s">
        <v>123</v>
      </c>
      <c r="C137">
        <v>40</v>
      </c>
      <c r="D137" t="s">
        <v>105</v>
      </c>
      <c r="E137" t="s">
        <v>106</v>
      </c>
      <c r="F137">
        <v>0.749</v>
      </c>
      <c r="G137" t="s">
        <v>14</v>
      </c>
    </row>
    <row r="138" spans="1:7" x14ac:dyDescent="0.25">
      <c r="A138">
        <v>12</v>
      </c>
      <c r="B138" t="s">
        <v>123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123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123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123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123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123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123</v>
      </c>
      <c r="C144">
        <v>110</v>
      </c>
      <c r="D144" t="s">
        <v>109</v>
      </c>
      <c r="E144" t="s">
        <v>13</v>
      </c>
      <c r="F144">
        <v>0.45800000000000002</v>
      </c>
      <c r="G144" t="s">
        <v>14</v>
      </c>
    </row>
    <row r="145" spans="1:7" x14ac:dyDescent="0.25">
      <c r="A145">
        <v>12</v>
      </c>
      <c r="B145" t="s">
        <v>123</v>
      </c>
      <c r="C145">
        <v>120</v>
      </c>
      <c r="D145" t="s">
        <v>210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124</v>
      </c>
      <c r="C146">
        <v>10</v>
      </c>
      <c r="D146" t="s">
        <v>211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124</v>
      </c>
      <c r="C147">
        <v>20</v>
      </c>
      <c r="D147" t="s">
        <v>110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124</v>
      </c>
      <c r="C148">
        <v>30</v>
      </c>
      <c r="D148" t="s">
        <v>18</v>
      </c>
      <c r="E148" t="s">
        <v>15</v>
      </c>
      <c r="F148">
        <v>106.07</v>
      </c>
      <c r="G148" t="s">
        <v>14</v>
      </c>
    </row>
    <row r="149" spans="1:7" x14ac:dyDescent="0.25">
      <c r="A149">
        <v>13</v>
      </c>
      <c r="B149" t="s">
        <v>124</v>
      </c>
      <c r="C149">
        <v>40</v>
      </c>
      <c r="D149" t="s">
        <v>105</v>
      </c>
      <c r="E149" t="s">
        <v>106</v>
      </c>
      <c r="F149">
        <v>0.79400000000000004</v>
      </c>
      <c r="G149" t="s">
        <v>14</v>
      </c>
    </row>
    <row r="150" spans="1:7" x14ac:dyDescent="0.25">
      <c r="A150">
        <v>13</v>
      </c>
      <c r="B150" t="s">
        <v>124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124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124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124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124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124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124</v>
      </c>
      <c r="C156">
        <v>110</v>
      </c>
      <c r="D156" t="s">
        <v>109</v>
      </c>
      <c r="E156" t="s">
        <v>13</v>
      </c>
      <c r="F156">
        <v>0.48</v>
      </c>
      <c r="G156" t="s">
        <v>14</v>
      </c>
    </row>
    <row r="157" spans="1:7" x14ac:dyDescent="0.25">
      <c r="A157">
        <v>13</v>
      </c>
      <c r="B157" t="s">
        <v>124</v>
      </c>
      <c r="C157">
        <v>120</v>
      </c>
      <c r="D157" t="s">
        <v>212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125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125</v>
      </c>
      <c r="C159">
        <v>20</v>
      </c>
      <c r="D159" t="s">
        <v>110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125</v>
      </c>
      <c r="C160">
        <v>30</v>
      </c>
      <c r="D160" t="s">
        <v>18</v>
      </c>
      <c r="E160" t="s">
        <v>15</v>
      </c>
      <c r="F160">
        <v>108.509</v>
      </c>
      <c r="G160" t="s">
        <v>14</v>
      </c>
    </row>
    <row r="161" spans="1:7" x14ac:dyDescent="0.25">
      <c r="A161">
        <v>14</v>
      </c>
      <c r="B161" t="s">
        <v>125</v>
      </c>
      <c r="C161">
        <v>40</v>
      </c>
      <c r="D161" t="s">
        <v>105</v>
      </c>
      <c r="E161" t="s">
        <v>106</v>
      </c>
      <c r="F161">
        <v>0.83899999999999997</v>
      </c>
      <c r="G161" t="s">
        <v>14</v>
      </c>
    </row>
    <row r="162" spans="1:7" x14ac:dyDescent="0.25">
      <c r="A162">
        <v>14</v>
      </c>
      <c r="B162" t="s">
        <v>125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125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125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125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125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125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125</v>
      </c>
      <c r="C168">
        <v>110</v>
      </c>
      <c r="D168" t="s">
        <v>109</v>
      </c>
      <c r="E168" t="s">
        <v>13</v>
      </c>
      <c r="F168">
        <v>0.503</v>
      </c>
      <c r="G168" t="s">
        <v>14</v>
      </c>
    </row>
    <row r="169" spans="1:7" x14ac:dyDescent="0.25">
      <c r="A169">
        <v>14</v>
      </c>
      <c r="B169" t="s">
        <v>125</v>
      </c>
      <c r="C169">
        <v>120</v>
      </c>
      <c r="D169" t="s">
        <v>214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126</v>
      </c>
      <c r="C170">
        <v>10</v>
      </c>
      <c r="D170" t="s">
        <v>215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126</v>
      </c>
      <c r="C171">
        <v>20</v>
      </c>
      <c r="D171" t="s">
        <v>110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126</v>
      </c>
      <c r="C172">
        <v>30</v>
      </c>
      <c r="D172" t="s">
        <v>18</v>
      </c>
      <c r="E172" t="s">
        <v>15</v>
      </c>
      <c r="F172">
        <v>113.386</v>
      </c>
      <c r="G172" t="s">
        <v>14</v>
      </c>
    </row>
    <row r="173" spans="1:7" x14ac:dyDescent="0.25">
      <c r="A173">
        <v>15</v>
      </c>
      <c r="B173" t="s">
        <v>126</v>
      </c>
      <c r="C173">
        <v>40</v>
      </c>
      <c r="D173" t="s">
        <v>105</v>
      </c>
      <c r="E173" t="s">
        <v>106</v>
      </c>
      <c r="F173">
        <v>0.92900000000000005</v>
      </c>
      <c r="G173" t="s">
        <v>14</v>
      </c>
    </row>
    <row r="174" spans="1:7" x14ac:dyDescent="0.25">
      <c r="A174">
        <v>15</v>
      </c>
      <c r="B174" t="s">
        <v>126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126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126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126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126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126</v>
      </c>
      <c r="C180">
        <v>110</v>
      </c>
      <c r="D180" t="s">
        <v>109</v>
      </c>
      <c r="E180" t="s">
        <v>13</v>
      </c>
      <c r="F180">
        <v>0.54800000000000004</v>
      </c>
      <c r="G180" t="s">
        <v>14</v>
      </c>
    </row>
    <row r="181" spans="1:7" x14ac:dyDescent="0.25">
      <c r="A181">
        <v>15</v>
      </c>
      <c r="B181" t="s">
        <v>126</v>
      </c>
      <c r="C181">
        <v>120</v>
      </c>
      <c r="D181" t="s">
        <v>216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127</v>
      </c>
      <c r="C182">
        <v>10</v>
      </c>
      <c r="D182" t="s">
        <v>217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127</v>
      </c>
      <c r="C183">
        <v>20</v>
      </c>
      <c r="D183" t="s">
        <v>110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127</v>
      </c>
      <c r="C184">
        <v>30</v>
      </c>
      <c r="D184" t="s">
        <v>18</v>
      </c>
      <c r="E184" t="s">
        <v>15</v>
      </c>
      <c r="F184">
        <v>118.262</v>
      </c>
      <c r="G184" t="s">
        <v>14</v>
      </c>
    </row>
    <row r="185" spans="1:7" x14ac:dyDescent="0.25">
      <c r="A185">
        <v>16</v>
      </c>
      <c r="B185" t="s">
        <v>127</v>
      </c>
      <c r="C185">
        <v>40</v>
      </c>
      <c r="D185" t="s">
        <v>105</v>
      </c>
      <c r="E185" t="s">
        <v>106</v>
      </c>
      <c r="F185">
        <v>1.0189999999999999</v>
      </c>
      <c r="G185" t="s">
        <v>14</v>
      </c>
    </row>
    <row r="186" spans="1:7" x14ac:dyDescent="0.25">
      <c r="A186">
        <v>16</v>
      </c>
      <c r="B186" t="s">
        <v>127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127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127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127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127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127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127</v>
      </c>
      <c r="C192">
        <v>110</v>
      </c>
      <c r="D192" t="s">
        <v>109</v>
      </c>
      <c r="E192" t="s">
        <v>13</v>
      </c>
      <c r="F192">
        <v>0.59299999999999997</v>
      </c>
      <c r="G192" t="s">
        <v>14</v>
      </c>
    </row>
    <row r="193" spans="1:7" x14ac:dyDescent="0.25">
      <c r="A193">
        <v>16</v>
      </c>
      <c r="B193" t="s">
        <v>127</v>
      </c>
      <c r="C193">
        <v>120</v>
      </c>
      <c r="D193" t="s">
        <v>218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128</v>
      </c>
      <c r="C194">
        <v>10</v>
      </c>
      <c r="D194" t="s">
        <v>219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128</v>
      </c>
      <c r="C195">
        <v>20</v>
      </c>
      <c r="D195" t="s">
        <v>110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128</v>
      </c>
      <c r="C196">
        <v>30</v>
      </c>
      <c r="D196" t="s">
        <v>18</v>
      </c>
      <c r="E196" t="s">
        <v>15</v>
      </c>
      <c r="F196">
        <v>91.44</v>
      </c>
      <c r="G196" t="s">
        <v>14</v>
      </c>
    </row>
    <row r="197" spans="1:7" x14ac:dyDescent="0.25">
      <c r="A197">
        <v>17</v>
      </c>
      <c r="B197" t="s">
        <v>128</v>
      </c>
      <c r="C197">
        <v>40</v>
      </c>
      <c r="D197" t="s">
        <v>105</v>
      </c>
      <c r="E197" t="s">
        <v>106</v>
      </c>
      <c r="F197">
        <v>0.499</v>
      </c>
      <c r="G197" t="s">
        <v>14</v>
      </c>
    </row>
    <row r="198" spans="1:7" x14ac:dyDescent="0.25">
      <c r="A198">
        <v>17</v>
      </c>
      <c r="B198" t="s">
        <v>128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128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128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128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128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128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128</v>
      </c>
      <c r="C204">
        <v>110</v>
      </c>
      <c r="D204" t="s">
        <v>109</v>
      </c>
      <c r="E204" t="s">
        <v>13</v>
      </c>
      <c r="F204">
        <v>0.32300000000000001</v>
      </c>
      <c r="G204" t="s">
        <v>14</v>
      </c>
    </row>
    <row r="205" spans="1:7" x14ac:dyDescent="0.25">
      <c r="A205">
        <v>17</v>
      </c>
      <c r="B205" t="s">
        <v>128</v>
      </c>
      <c r="C205">
        <v>120</v>
      </c>
      <c r="D205" t="s">
        <v>220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129</v>
      </c>
      <c r="C206">
        <v>10</v>
      </c>
      <c r="D206" t="s">
        <v>221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129</v>
      </c>
      <c r="C207">
        <v>20</v>
      </c>
      <c r="D207" t="s">
        <v>110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129</v>
      </c>
      <c r="C208">
        <v>30</v>
      </c>
      <c r="D208" t="s">
        <v>18</v>
      </c>
      <c r="E208" t="s">
        <v>15</v>
      </c>
      <c r="F208">
        <v>96.316999999999993</v>
      </c>
      <c r="G208" t="s">
        <v>14</v>
      </c>
    </row>
    <row r="209" spans="1:7" x14ac:dyDescent="0.25">
      <c r="A209">
        <v>18</v>
      </c>
      <c r="B209" t="s">
        <v>129</v>
      </c>
      <c r="C209">
        <v>40</v>
      </c>
      <c r="D209" t="s">
        <v>105</v>
      </c>
      <c r="E209" t="s">
        <v>106</v>
      </c>
      <c r="F209">
        <v>0.59299999999999997</v>
      </c>
      <c r="G209" t="s">
        <v>14</v>
      </c>
    </row>
    <row r="210" spans="1:7" x14ac:dyDescent="0.25">
      <c r="A210">
        <v>18</v>
      </c>
      <c r="B210" t="s">
        <v>129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129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129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129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129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129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129</v>
      </c>
      <c r="C216">
        <v>110</v>
      </c>
      <c r="D216" t="s">
        <v>109</v>
      </c>
      <c r="E216" t="s">
        <v>13</v>
      </c>
      <c r="F216">
        <v>0.36799999999999999</v>
      </c>
      <c r="G216" t="s">
        <v>14</v>
      </c>
    </row>
    <row r="217" spans="1:7" x14ac:dyDescent="0.25">
      <c r="A217">
        <v>18</v>
      </c>
      <c r="B217" t="s">
        <v>129</v>
      </c>
      <c r="C217">
        <v>120</v>
      </c>
      <c r="D217" t="s">
        <v>222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130</v>
      </c>
      <c r="C218">
        <v>10</v>
      </c>
      <c r="D218" t="s">
        <v>223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130</v>
      </c>
      <c r="C219">
        <v>20</v>
      </c>
      <c r="D219" t="s">
        <v>110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130</v>
      </c>
      <c r="C220">
        <v>30</v>
      </c>
      <c r="D220" t="s">
        <v>18</v>
      </c>
      <c r="E220" t="s">
        <v>15</v>
      </c>
      <c r="F220">
        <v>101.194</v>
      </c>
      <c r="G220" t="s">
        <v>14</v>
      </c>
    </row>
    <row r="221" spans="1:7" x14ac:dyDescent="0.25">
      <c r="A221">
        <v>19</v>
      </c>
      <c r="B221" t="s">
        <v>130</v>
      </c>
      <c r="C221">
        <v>40</v>
      </c>
      <c r="D221" t="s">
        <v>105</v>
      </c>
      <c r="E221" t="s">
        <v>106</v>
      </c>
      <c r="F221">
        <v>0.68600000000000005</v>
      </c>
      <c r="G221" t="s">
        <v>14</v>
      </c>
    </row>
    <row r="222" spans="1:7" x14ac:dyDescent="0.25">
      <c r="A222">
        <v>19</v>
      </c>
      <c r="B222" t="s">
        <v>130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130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130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130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130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130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130</v>
      </c>
      <c r="C228">
        <v>110</v>
      </c>
      <c r="D228" t="s">
        <v>109</v>
      </c>
      <c r="E228" t="s">
        <v>13</v>
      </c>
      <c r="F228">
        <v>0.41299999999999998</v>
      </c>
      <c r="G228" t="s">
        <v>14</v>
      </c>
    </row>
    <row r="229" spans="1:7" x14ac:dyDescent="0.25">
      <c r="A229">
        <v>19</v>
      </c>
      <c r="B229" t="s">
        <v>130</v>
      </c>
      <c r="C229">
        <v>120</v>
      </c>
      <c r="D229" t="s">
        <v>224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131</v>
      </c>
      <c r="C230">
        <v>10</v>
      </c>
      <c r="D230" t="s">
        <v>225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131</v>
      </c>
      <c r="C231">
        <v>20</v>
      </c>
      <c r="D231" t="s">
        <v>110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131</v>
      </c>
      <c r="C232">
        <v>30</v>
      </c>
      <c r="D232" t="s">
        <v>18</v>
      </c>
      <c r="E232" t="s">
        <v>15</v>
      </c>
      <c r="F232">
        <v>106.07</v>
      </c>
      <c r="G232" t="s">
        <v>14</v>
      </c>
    </row>
    <row r="233" spans="1:7" x14ac:dyDescent="0.25">
      <c r="A233">
        <v>20</v>
      </c>
      <c r="B233" t="s">
        <v>131</v>
      </c>
      <c r="C233">
        <v>40</v>
      </c>
      <c r="D233" t="s">
        <v>105</v>
      </c>
      <c r="E233" t="s">
        <v>106</v>
      </c>
      <c r="F233">
        <v>0.78</v>
      </c>
      <c r="G233" t="s">
        <v>14</v>
      </c>
    </row>
    <row r="234" spans="1:7" x14ac:dyDescent="0.25">
      <c r="A234">
        <v>20</v>
      </c>
      <c r="B234" t="s">
        <v>131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131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131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131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131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131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131</v>
      </c>
      <c r="C240">
        <v>110</v>
      </c>
      <c r="D240" t="s">
        <v>109</v>
      </c>
      <c r="E240" t="s">
        <v>13</v>
      </c>
      <c r="F240">
        <v>0.45800000000000002</v>
      </c>
      <c r="G240" t="s">
        <v>14</v>
      </c>
    </row>
    <row r="241" spans="1:7" x14ac:dyDescent="0.25">
      <c r="A241">
        <v>20</v>
      </c>
      <c r="B241" t="s">
        <v>131</v>
      </c>
      <c r="C241">
        <v>120</v>
      </c>
      <c r="D241" t="s">
        <v>226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132</v>
      </c>
      <c r="C242">
        <v>10</v>
      </c>
      <c r="D242" t="s">
        <v>227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132</v>
      </c>
      <c r="C243">
        <v>20</v>
      </c>
      <c r="D243" t="s">
        <v>110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132</v>
      </c>
      <c r="C244">
        <v>30</v>
      </c>
      <c r="D244" t="s">
        <v>18</v>
      </c>
      <c r="E244" t="s">
        <v>15</v>
      </c>
      <c r="F244">
        <v>108.509</v>
      </c>
      <c r="G244" t="s">
        <v>14</v>
      </c>
    </row>
    <row r="245" spans="1:7" x14ac:dyDescent="0.25">
      <c r="A245">
        <v>21</v>
      </c>
      <c r="B245" t="s">
        <v>132</v>
      </c>
      <c r="C245">
        <v>40</v>
      </c>
      <c r="D245" t="s">
        <v>105</v>
      </c>
      <c r="E245" t="s">
        <v>106</v>
      </c>
      <c r="F245">
        <v>0.82599999999999996</v>
      </c>
      <c r="G245" t="s">
        <v>14</v>
      </c>
    </row>
    <row r="246" spans="1:7" x14ac:dyDescent="0.25">
      <c r="A246">
        <v>21</v>
      </c>
      <c r="B246" t="s">
        <v>132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132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132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132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132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132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132</v>
      </c>
      <c r="C252">
        <v>110</v>
      </c>
      <c r="D252" t="s">
        <v>109</v>
      </c>
      <c r="E252" t="s">
        <v>13</v>
      </c>
      <c r="F252">
        <v>0.48</v>
      </c>
      <c r="G252" t="s">
        <v>14</v>
      </c>
    </row>
    <row r="253" spans="1:7" x14ac:dyDescent="0.25">
      <c r="A253">
        <v>21</v>
      </c>
      <c r="B253" t="s">
        <v>132</v>
      </c>
      <c r="C253">
        <v>120</v>
      </c>
      <c r="D253" t="s">
        <v>228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133</v>
      </c>
      <c r="C254">
        <v>10</v>
      </c>
      <c r="D254" t="s">
        <v>229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133</v>
      </c>
      <c r="C255">
        <v>20</v>
      </c>
      <c r="D255" t="s">
        <v>110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133</v>
      </c>
      <c r="C256">
        <v>30</v>
      </c>
      <c r="D256" t="s">
        <v>18</v>
      </c>
      <c r="E256" t="s">
        <v>15</v>
      </c>
      <c r="F256">
        <v>110.947</v>
      </c>
      <c r="G256" t="s">
        <v>14</v>
      </c>
    </row>
    <row r="257" spans="1:7" x14ac:dyDescent="0.25">
      <c r="A257">
        <v>22</v>
      </c>
      <c r="B257" t="s">
        <v>133</v>
      </c>
      <c r="C257">
        <v>40</v>
      </c>
      <c r="D257" t="s">
        <v>105</v>
      </c>
      <c r="E257" t="s">
        <v>106</v>
      </c>
      <c r="F257">
        <v>0.873</v>
      </c>
      <c r="G257" t="s">
        <v>14</v>
      </c>
    </row>
    <row r="258" spans="1:7" x14ac:dyDescent="0.25">
      <c r="A258">
        <v>22</v>
      </c>
      <c r="B258" t="s">
        <v>133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133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133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133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133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133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133</v>
      </c>
      <c r="C264">
        <v>110</v>
      </c>
      <c r="D264" t="s">
        <v>109</v>
      </c>
      <c r="E264" t="s">
        <v>13</v>
      </c>
      <c r="F264">
        <v>0.503</v>
      </c>
      <c r="G264" t="s">
        <v>14</v>
      </c>
    </row>
    <row r="265" spans="1:7" x14ac:dyDescent="0.25">
      <c r="A265">
        <v>22</v>
      </c>
      <c r="B265" t="s">
        <v>133</v>
      </c>
      <c r="C265">
        <v>120</v>
      </c>
      <c r="D265" t="s">
        <v>230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134</v>
      </c>
      <c r="C266">
        <v>10</v>
      </c>
      <c r="D266" t="s">
        <v>231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134</v>
      </c>
      <c r="C267">
        <v>20</v>
      </c>
      <c r="D267" t="s">
        <v>110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134</v>
      </c>
      <c r="C268">
        <v>30</v>
      </c>
      <c r="D268" t="s">
        <v>18</v>
      </c>
      <c r="E268" t="s">
        <v>15</v>
      </c>
      <c r="F268">
        <v>115.824</v>
      </c>
      <c r="G268" t="s">
        <v>14</v>
      </c>
    </row>
    <row r="269" spans="1:7" x14ac:dyDescent="0.25">
      <c r="A269">
        <v>23</v>
      </c>
      <c r="B269" t="s">
        <v>134</v>
      </c>
      <c r="C269">
        <v>40</v>
      </c>
      <c r="D269" t="s">
        <v>105</v>
      </c>
      <c r="E269" t="s">
        <v>106</v>
      </c>
      <c r="F269">
        <v>0.96699999999999997</v>
      </c>
      <c r="G269" t="s">
        <v>14</v>
      </c>
    </row>
    <row r="270" spans="1:7" x14ac:dyDescent="0.25">
      <c r="A270">
        <v>23</v>
      </c>
      <c r="B270" t="s">
        <v>134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134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134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134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134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134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134</v>
      </c>
      <c r="C276">
        <v>110</v>
      </c>
      <c r="D276" t="s">
        <v>109</v>
      </c>
      <c r="E276" t="s">
        <v>13</v>
      </c>
      <c r="F276">
        <v>0.54800000000000004</v>
      </c>
      <c r="G276" t="s">
        <v>14</v>
      </c>
    </row>
    <row r="277" spans="1:7" x14ac:dyDescent="0.25">
      <c r="A277">
        <v>23</v>
      </c>
      <c r="B277" t="s">
        <v>134</v>
      </c>
      <c r="C277">
        <v>120</v>
      </c>
      <c r="D277" t="s">
        <v>232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135</v>
      </c>
      <c r="C278">
        <v>10</v>
      </c>
      <c r="D278" t="s">
        <v>233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135</v>
      </c>
      <c r="C279">
        <v>20</v>
      </c>
      <c r="D279" t="s">
        <v>110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135</v>
      </c>
      <c r="C280">
        <v>30</v>
      </c>
      <c r="D280" t="s">
        <v>18</v>
      </c>
      <c r="E280" t="s">
        <v>15</v>
      </c>
      <c r="F280">
        <v>120.70099999999999</v>
      </c>
      <c r="G280" t="s">
        <v>14</v>
      </c>
    </row>
    <row r="281" spans="1:7" x14ac:dyDescent="0.25">
      <c r="A281">
        <v>24</v>
      </c>
      <c r="B281" t="s">
        <v>135</v>
      </c>
      <c r="C281">
        <v>40</v>
      </c>
      <c r="D281" t="s">
        <v>105</v>
      </c>
      <c r="E281" t="s">
        <v>106</v>
      </c>
      <c r="F281">
        <v>1.06</v>
      </c>
      <c r="G281" t="s">
        <v>14</v>
      </c>
    </row>
    <row r="282" spans="1:7" x14ac:dyDescent="0.25">
      <c r="A282">
        <v>24</v>
      </c>
      <c r="B282" t="s">
        <v>135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135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135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135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135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135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135</v>
      </c>
      <c r="C288">
        <v>110</v>
      </c>
      <c r="D288" t="s">
        <v>109</v>
      </c>
      <c r="E288" t="s">
        <v>13</v>
      </c>
      <c r="F288">
        <v>0.59299999999999997</v>
      </c>
      <c r="G288" t="s">
        <v>14</v>
      </c>
    </row>
    <row r="289" spans="1:7" x14ac:dyDescent="0.25">
      <c r="A289">
        <v>24</v>
      </c>
      <c r="B289" t="s">
        <v>135</v>
      </c>
      <c r="C289">
        <v>120</v>
      </c>
      <c r="D289" t="s">
        <v>234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136</v>
      </c>
      <c r="C290">
        <v>10</v>
      </c>
      <c r="D290" t="s">
        <v>235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136</v>
      </c>
      <c r="C291">
        <v>20</v>
      </c>
      <c r="D291" t="s">
        <v>110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136</v>
      </c>
      <c r="C292">
        <v>30</v>
      </c>
      <c r="D292" t="s">
        <v>18</v>
      </c>
      <c r="E292" t="s">
        <v>15</v>
      </c>
      <c r="F292">
        <v>93.066000000000003</v>
      </c>
      <c r="G292" t="s">
        <v>14</v>
      </c>
    </row>
    <row r="293" spans="1:7" x14ac:dyDescent="0.25">
      <c r="A293">
        <v>25</v>
      </c>
      <c r="B293" t="s">
        <v>136</v>
      </c>
      <c r="C293">
        <v>40</v>
      </c>
      <c r="D293" t="s">
        <v>105</v>
      </c>
      <c r="E293" t="s">
        <v>106</v>
      </c>
      <c r="F293">
        <v>0.51200000000000001</v>
      </c>
      <c r="G293" t="s">
        <v>14</v>
      </c>
    </row>
    <row r="294" spans="1:7" x14ac:dyDescent="0.25">
      <c r="A294">
        <v>25</v>
      </c>
      <c r="B294" t="s">
        <v>136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136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136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136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136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136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136</v>
      </c>
      <c r="C300">
        <v>110</v>
      </c>
      <c r="D300" t="s">
        <v>109</v>
      </c>
      <c r="E300" t="s">
        <v>13</v>
      </c>
      <c r="F300">
        <v>0.67600000000000005</v>
      </c>
      <c r="G300" t="s">
        <v>14</v>
      </c>
    </row>
    <row r="301" spans="1:7" x14ac:dyDescent="0.25">
      <c r="A301">
        <v>25</v>
      </c>
      <c r="B301" t="s">
        <v>136</v>
      </c>
      <c r="C301">
        <v>120</v>
      </c>
      <c r="D301" t="s">
        <v>236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137</v>
      </c>
      <c r="C302">
        <v>10</v>
      </c>
      <c r="D302" t="s">
        <v>237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137</v>
      </c>
      <c r="C303">
        <v>20</v>
      </c>
      <c r="D303" t="s">
        <v>110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137</v>
      </c>
      <c r="C304">
        <v>30</v>
      </c>
      <c r="D304" t="s">
        <v>18</v>
      </c>
      <c r="E304" t="s">
        <v>15</v>
      </c>
      <c r="F304">
        <v>97.941999999999993</v>
      </c>
      <c r="G304" t="s">
        <v>14</v>
      </c>
    </row>
    <row r="305" spans="1:7" x14ac:dyDescent="0.25">
      <c r="A305">
        <v>26</v>
      </c>
      <c r="B305" t="s">
        <v>137</v>
      </c>
      <c r="C305">
        <v>40</v>
      </c>
      <c r="D305" t="s">
        <v>105</v>
      </c>
      <c r="E305" t="s">
        <v>106</v>
      </c>
      <c r="F305">
        <v>0.60799999999999998</v>
      </c>
      <c r="G305" t="s">
        <v>14</v>
      </c>
    </row>
    <row r="306" spans="1:7" x14ac:dyDescent="0.25">
      <c r="A306">
        <v>26</v>
      </c>
      <c r="B306" t="s">
        <v>137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137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137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137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137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137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137</v>
      </c>
      <c r="C312">
        <v>110</v>
      </c>
      <c r="D312" t="s">
        <v>109</v>
      </c>
      <c r="E312" t="s">
        <v>13</v>
      </c>
      <c r="F312">
        <v>0.67600000000000005</v>
      </c>
      <c r="G312" t="s">
        <v>14</v>
      </c>
    </row>
    <row r="313" spans="1:7" x14ac:dyDescent="0.25">
      <c r="A313">
        <v>26</v>
      </c>
      <c r="B313" t="s">
        <v>137</v>
      </c>
      <c r="C313">
        <v>120</v>
      </c>
      <c r="D313" t="s">
        <v>238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138</v>
      </c>
      <c r="C314">
        <v>10</v>
      </c>
      <c r="D314" t="s">
        <v>239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138</v>
      </c>
      <c r="C315">
        <v>20</v>
      </c>
      <c r="D315" t="s">
        <v>110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138</v>
      </c>
      <c r="C316">
        <v>30</v>
      </c>
      <c r="D316" t="s">
        <v>18</v>
      </c>
      <c r="E316" t="s">
        <v>15</v>
      </c>
      <c r="F316">
        <v>102.819</v>
      </c>
      <c r="G316" t="s">
        <v>14</v>
      </c>
    </row>
    <row r="317" spans="1:7" x14ac:dyDescent="0.25">
      <c r="A317">
        <v>27</v>
      </c>
      <c r="B317" t="s">
        <v>138</v>
      </c>
      <c r="C317">
        <v>40</v>
      </c>
      <c r="D317" t="s">
        <v>105</v>
      </c>
      <c r="E317" t="s">
        <v>106</v>
      </c>
      <c r="F317">
        <v>0.70399999999999996</v>
      </c>
      <c r="G317" t="s">
        <v>14</v>
      </c>
    </row>
    <row r="318" spans="1:7" x14ac:dyDescent="0.25">
      <c r="A318">
        <v>27</v>
      </c>
      <c r="B318" t="s">
        <v>138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138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138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138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138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138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138</v>
      </c>
      <c r="C324">
        <v>110</v>
      </c>
      <c r="D324" t="s">
        <v>109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27</v>
      </c>
      <c r="B325" t="s">
        <v>138</v>
      </c>
      <c r="C325">
        <v>120</v>
      </c>
      <c r="D325" t="s">
        <v>240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139</v>
      </c>
      <c r="C326">
        <v>10</v>
      </c>
      <c r="D326" t="s">
        <v>241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139</v>
      </c>
      <c r="C327">
        <v>20</v>
      </c>
      <c r="D327" t="s">
        <v>110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139</v>
      </c>
      <c r="C328">
        <v>30</v>
      </c>
      <c r="D328" t="s">
        <v>18</v>
      </c>
      <c r="E328" t="s">
        <v>15</v>
      </c>
      <c r="F328">
        <v>107.696</v>
      </c>
      <c r="G328" t="s">
        <v>14</v>
      </c>
    </row>
    <row r="329" spans="1:7" x14ac:dyDescent="0.25">
      <c r="A329">
        <v>28</v>
      </c>
      <c r="B329" t="s">
        <v>139</v>
      </c>
      <c r="C329">
        <v>40</v>
      </c>
      <c r="D329" t="s">
        <v>105</v>
      </c>
      <c r="E329" t="s">
        <v>106</v>
      </c>
      <c r="F329">
        <v>0.8</v>
      </c>
      <c r="G329" t="s">
        <v>14</v>
      </c>
    </row>
    <row r="330" spans="1:7" x14ac:dyDescent="0.25">
      <c r="A330">
        <v>28</v>
      </c>
      <c r="B330" t="s">
        <v>139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139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139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139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139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139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139</v>
      </c>
      <c r="C336">
        <v>110</v>
      </c>
      <c r="D336" t="s">
        <v>109</v>
      </c>
      <c r="E336" t="s">
        <v>13</v>
      </c>
      <c r="F336">
        <v>0.67600000000000005</v>
      </c>
      <c r="G336" t="s">
        <v>14</v>
      </c>
    </row>
    <row r="337" spans="1:7" x14ac:dyDescent="0.25">
      <c r="A337">
        <v>28</v>
      </c>
      <c r="B337" t="s">
        <v>139</v>
      </c>
      <c r="C337">
        <v>120</v>
      </c>
      <c r="D337" t="s">
        <v>242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140</v>
      </c>
      <c r="C338">
        <v>10</v>
      </c>
      <c r="D338" t="s">
        <v>243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140</v>
      </c>
      <c r="C339">
        <v>20</v>
      </c>
      <c r="D339" t="s">
        <v>110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140</v>
      </c>
      <c r="C340">
        <v>30</v>
      </c>
      <c r="D340" t="s">
        <v>18</v>
      </c>
      <c r="E340" t="s">
        <v>15</v>
      </c>
      <c r="F340">
        <v>110.134</v>
      </c>
      <c r="G340" t="s">
        <v>14</v>
      </c>
    </row>
    <row r="341" spans="1:7" x14ac:dyDescent="0.25">
      <c r="A341">
        <v>29</v>
      </c>
      <c r="B341" t="s">
        <v>140</v>
      </c>
      <c r="C341">
        <v>40</v>
      </c>
      <c r="D341" t="s">
        <v>105</v>
      </c>
      <c r="E341" t="s">
        <v>106</v>
      </c>
      <c r="F341">
        <v>0.84799999999999998</v>
      </c>
      <c r="G341" t="s">
        <v>14</v>
      </c>
    </row>
    <row r="342" spans="1:7" x14ac:dyDescent="0.25">
      <c r="A342">
        <v>29</v>
      </c>
      <c r="B342" t="s">
        <v>140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140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140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140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140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140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140</v>
      </c>
      <c r="C348">
        <v>110</v>
      </c>
      <c r="D348" t="s">
        <v>109</v>
      </c>
      <c r="E348" t="s">
        <v>13</v>
      </c>
      <c r="F348">
        <v>0.67600000000000005</v>
      </c>
      <c r="G348" t="s">
        <v>14</v>
      </c>
    </row>
    <row r="349" spans="1:7" x14ac:dyDescent="0.25">
      <c r="A349">
        <v>29</v>
      </c>
      <c r="B349" t="s">
        <v>140</v>
      </c>
      <c r="C349">
        <v>120</v>
      </c>
      <c r="D349" t="s">
        <v>244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141</v>
      </c>
      <c r="C350">
        <v>10</v>
      </c>
      <c r="D350" t="s">
        <v>245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141</v>
      </c>
      <c r="C351">
        <v>20</v>
      </c>
      <c r="D351" t="s">
        <v>110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141</v>
      </c>
      <c r="C352">
        <v>30</v>
      </c>
      <c r="D352" t="s">
        <v>18</v>
      </c>
      <c r="E352" t="s">
        <v>15</v>
      </c>
      <c r="F352">
        <v>112.57299999999999</v>
      </c>
      <c r="G352" t="s">
        <v>14</v>
      </c>
    </row>
    <row r="353" spans="1:7" x14ac:dyDescent="0.25">
      <c r="A353">
        <v>30</v>
      </c>
      <c r="B353" t="s">
        <v>141</v>
      </c>
      <c r="C353">
        <v>40</v>
      </c>
      <c r="D353" t="s">
        <v>105</v>
      </c>
      <c r="E353" t="s">
        <v>106</v>
      </c>
      <c r="F353">
        <v>0.89600000000000002</v>
      </c>
      <c r="G353" t="s">
        <v>14</v>
      </c>
    </row>
    <row r="354" spans="1:7" x14ac:dyDescent="0.25">
      <c r="A354">
        <v>30</v>
      </c>
      <c r="B354" t="s">
        <v>141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141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141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141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141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141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141</v>
      </c>
      <c r="C360">
        <v>110</v>
      </c>
      <c r="D360" t="s">
        <v>109</v>
      </c>
      <c r="E360" t="s">
        <v>13</v>
      </c>
      <c r="F360">
        <v>0.67600000000000005</v>
      </c>
      <c r="G360" t="s">
        <v>14</v>
      </c>
    </row>
    <row r="361" spans="1:7" x14ac:dyDescent="0.25">
      <c r="A361">
        <v>30</v>
      </c>
      <c r="B361" t="s">
        <v>141</v>
      </c>
      <c r="C361">
        <v>120</v>
      </c>
      <c r="D361" t="s">
        <v>246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142</v>
      </c>
      <c r="C362">
        <v>10</v>
      </c>
      <c r="D362" t="s">
        <v>247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142</v>
      </c>
      <c r="C363">
        <v>20</v>
      </c>
      <c r="D363" t="s">
        <v>110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142</v>
      </c>
      <c r="C364">
        <v>30</v>
      </c>
      <c r="D364" t="s">
        <v>18</v>
      </c>
      <c r="E364" t="s">
        <v>15</v>
      </c>
      <c r="F364">
        <v>117.45</v>
      </c>
      <c r="G364" t="s">
        <v>14</v>
      </c>
    </row>
    <row r="365" spans="1:7" x14ac:dyDescent="0.25">
      <c r="A365">
        <v>31</v>
      </c>
      <c r="B365" t="s">
        <v>142</v>
      </c>
      <c r="C365">
        <v>40</v>
      </c>
      <c r="D365" t="s">
        <v>105</v>
      </c>
      <c r="E365" t="s">
        <v>106</v>
      </c>
      <c r="F365">
        <v>0.99199999999999999</v>
      </c>
      <c r="G365" t="s">
        <v>14</v>
      </c>
    </row>
    <row r="366" spans="1:7" x14ac:dyDescent="0.25">
      <c r="A366">
        <v>31</v>
      </c>
      <c r="B366" t="s">
        <v>142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142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142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142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142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142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142</v>
      </c>
      <c r="C372">
        <v>110</v>
      </c>
      <c r="D372" t="s">
        <v>109</v>
      </c>
      <c r="E372" t="s">
        <v>13</v>
      </c>
      <c r="F372">
        <v>0.67600000000000005</v>
      </c>
      <c r="G372" t="s">
        <v>14</v>
      </c>
    </row>
    <row r="373" spans="1:7" x14ac:dyDescent="0.25">
      <c r="A373">
        <v>31</v>
      </c>
      <c r="B373" t="s">
        <v>142</v>
      </c>
      <c r="C373">
        <v>120</v>
      </c>
      <c r="D373" t="s">
        <v>248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143</v>
      </c>
      <c r="C374">
        <v>10</v>
      </c>
      <c r="D374" t="s">
        <v>249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143</v>
      </c>
      <c r="C375">
        <v>20</v>
      </c>
      <c r="D375" t="s">
        <v>110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143</v>
      </c>
      <c r="C376">
        <v>30</v>
      </c>
      <c r="D376" t="s">
        <v>18</v>
      </c>
      <c r="E376" t="s">
        <v>15</v>
      </c>
      <c r="F376">
        <v>122.32599999999999</v>
      </c>
      <c r="G376" t="s">
        <v>14</v>
      </c>
    </row>
    <row r="377" spans="1:7" x14ac:dyDescent="0.25">
      <c r="A377">
        <v>32</v>
      </c>
      <c r="B377" t="s">
        <v>143</v>
      </c>
      <c r="C377">
        <v>40</v>
      </c>
      <c r="D377" t="s">
        <v>105</v>
      </c>
      <c r="E377" t="s">
        <v>106</v>
      </c>
      <c r="F377">
        <v>1.0880000000000001</v>
      </c>
      <c r="G377" t="s">
        <v>14</v>
      </c>
    </row>
    <row r="378" spans="1:7" x14ac:dyDescent="0.25">
      <c r="A378">
        <v>32</v>
      </c>
      <c r="B378" t="s">
        <v>143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143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143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143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143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143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143</v>
      </c>
      <c r="C384">
        <v>110</v>
      </c>
      <c r="D384" t="s">
        <v>109</v>
      </c>
      <c r="E384" t="s">
        <v>13</v>
      </c>
      <c r="F384">
        <v>0.67600000000000005</v>
      </c>
      <c r="G384" t="s">
        <v>14</v>
      </c>
    </row>
    <row r="385" spans="1:7" x14ac:dyDescent="0.25">
      <c r="A385">
        <v>32</v>
      </c>
      <c r="B385" t="s">
        <v>143</v>
      </c>
      <c r="C385">
        <v>120</v>
      </c>
      <c r="D385" t="s">
        <v>250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144</v>
      </c>
      <c r="C386">
        <v>10</v>
      </c>
      <c r="D386" t="s">
        <v>251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144</v>
      </c>
      <c r="C387">
        <v>20</v>
      </c>
      <c r="D387" t="s">
        <v>110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144</v>
      </c>
      <c r="C388">
        <v>30</v>
      </c>
      <c r="D388" t="s">
        <v>18</v>
      </c>
      <c r="E388" t="s">
        <v>15</v>
      </c>
      <c r="F388">
        <v>96.316999999999993</v>
      </c>
      <c r="G388" t="s">
        <v>14</v>
      </c>
    </row>
    <row r="389" spans="1:7" x14ac:dyDescent="0.25">
      <c r="A389">
        <v>33</v>
      </c>
      <c r="B389" t="s">
        <v>144</v>
      </c>
      <c r="C389">
        <v>40</v>
      </c>
      <c r="D389" t="s">
        <v>105</v>
      </c>
      <c r="E389" t="s">
        <v>106</v>
      </c>
      <c r="F389">
        <v>0.53800000000000003</v>
      </c>
      <c r="G389" t="s">
        <v>14</v>
      </c>
    </row>
    <row r="390" spans="1:7" x14ac:dyDescent="0.25">
      <c r="A390">
        <v>33</v>
      </c>
      <c r="B390" t="s">
        <v>144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144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144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144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144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144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144</v>
      </c>
      <c r="C396">
        <v>110</v>
      </c>
      <c r="D396" t="s">
        <v>109</v>
      </c>
      <c r="E396" t="s">
        <v>13</v>
      </c>
      <c r="F396">
        <v>0.70599999999999996</v>
      </c>
      <c r="G396" t="s">
        <v>14</v>
      </c>
    </row>
    <row r="397" spans="1:7" x14ac:dyDescent="0.25">
      <c r="A397">
        <v>33</v>
      </c>
      <c r="B397" t="s">
        <v>144</v>
      </c>
      <c r="C397">
        <v>120</v>
      </c>
      <c r="D397" t="s">
        <v>252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145</v>
      </c>
      <c r="C398">
        <v>10</v>
      </c>
      <c r="D398" t="s">
        <v>253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145</v>
      </c>
      <c r="C399">
        <v>20</v>
      </c>
      <c r="D399" t="s">
        <v>110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145</v>
      </c>
      <c r="C400">
        <v>30</v>
      </c>
      <c r="D400" t="s">
        <v>18</v>
      </c>
      <c r="E400" t="s">
        <v>15</v>
      </c>
      <c r="F400">
        <v>101.194</v>
      </c>
      <c r="G400" t="s">
        <v>14</v>
      </c>
    </row>
    <row r="401" spans="1:7" x14ac:dyDescent="0.25">
      <c r="A401">
        <v>34</v>
      </c>
      <c r="B401" t="s">
        <v>145</v>
      </c>
      <c r="C401">
        <v>40</v>
      </c>
      <c r="D401" t="s">
        <v>105</v>
      </c>
      <c r="E401" t="s">
        <v>106</v>
      </c>
      <c r="F401">
        <v>0.63900000000000001</v>
      </c>
      <c r="G401" t="s">
        <v>14</v>
      </c>
    </row>
    <row r="402" spans="1:7" x14ac:dyDescent="0.25">
      <c r="A402">
        <v>34</v>
      </c>
      <c r="B402" t="s">
        <v>145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145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145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145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145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145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145</v>
      </c>
      <c r="C408">
        <v>110</v>
      </c>
      <c r="D408" t="s">
        <v>109</v>
      </c>
      <c r="E408" t="s">
        <v>13</v>
      </c>
      <c r="F408">
        <v>0.70599999999999996</v>
      </c>
      <c r="G408" t="s">
        <v>14</v>
      </c>
    </row>
    <row r="409" spans="1:7" x14ac:dyDescent="0.25">
      <c r="A409">
        <v>34</v>
      </c>
      <c r="B409" t="s">
        <v>145</v>
      </c>
      <c r="C409">
        <v>120</v>
      </c>
      <c r="D409" t="s">
        <v>254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146</v>
      </c>
      <c r="C410">
        <v>10</v>
      </c>
      <c r="D410" t="s">
        <v>255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146</v>
      </c>
      <c r="C411">
        <v>20</v>
      </c>
      <c r="D411" t="s">
        <v>110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146</v>
      </c>
      <c r="C412">
        <v>30</v>
      </c>
      <c r="D412" t="s">
        <v>18</v>
      </c>
      <c r="E412" t="s">
        <v>15</v>
      </c>
      <c r="F412">
        <v>106.07</v>
      </c>
      <c r="G412" t="s">
        <v>14</v>
      </c>
    </row>
    <row r="413" spans="1:7" x14ac:dyDescent="0.25">
      <c r="A413">
        <v>35</v>
      </c>
      <c r="B413" t="s">
        <v>146</v>
      </c>
      <c r="C413">
        <v>40</v>
      </c>
      <c r="D413" t="s">
        <v>105</v>
      </c>
      <c r="E413" t="s">
        <v>106</v>
      </c>
      <c r="F413">
        <v>0.74</v>
      </c>
      <c r="G413" t="s">
        <v>14</v>
      </c>
    </row>
    <row r="414" spans="1:7" x14ac:dyDescent="0.25">
      <c r="A414">
        <v>35</v>
      </c>
      <c r="B414" t="s">
        <v>146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146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146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146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146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146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146</v>
      </c>
      <c r="C420">
        <v>110</v>
      </c>
      <c r="D420" t="s">
        <v>109</v>
      </c>
      <c r="E420" t="s">
        <v>13</v>
      </c>
      <c r="F420">
        <v>0.70599999999999996</v>
      </c>
      <c r="G420" t="s">
        <v>14</v>
      </c>
    </row>
    <row r="421" spans="1:7" x14ac:dyDescent="0.25">
      <c r="A421">
        <v>35</v>
      </c>
      <c r="B421" t="s">
        <v>146</v>
      </c>
      <c r="C421">
        <v>120</v>
      </c>
      <c r="D421" t="s">
        <v>256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147</v>
      </c>
      <c r="C422">
        <v>10</v>
      </c>
      <c r="D422" t="s">
        <v>257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147</v>
      </c>
      <c r="C423">
        <v>20</v>
      </c>
      <c r="D423" t="s">
        <v>110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147</v>
      </c>
      <c r="C424">
        <v>30</v>
      </c>
      <c r="D424" t="s">
        <v>18</v>
      </c>
      <c r="E424" t="s">
        <v>15</v>
      </c>
      <c r="F424">
        <v>110.947</v>
      </c>
      <c r="G424" t="s">
        <v>14</v>
      </c>
    </row>
    <row r="425" spans="1:7" x14ac:dyDescent="0.25">
      <c r="A425">
        <v>36</v>
      </c>
      <c r="B425" t="s">
        <v>147</v>
      </c>
      <c r="C425">
        <v>40</v>
      </c>
      <c r="D425" t="s">
        <v>105</v>
      </c>
      <c r="E425" t="s">
        <v>106</v>
      </c>
      <c r="F425">
        <v>0.84</v>
      </c>
      <c r="G425" t="s">
        <v>14</v>
      </c>
    </row>
    <row r="426" spans="1:7" x14ac:dyDescent="0.25">
      <c r="A426">
        <v>36</v>
      </c>
      <c r="B426" t="s">
        <v>147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147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147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147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147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147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147</v>
      </c>
      <c r="C432">
        <v>110</v>
      </c>
      <c r="D432" t="s">
        <v>109</v>
      </c>
      <c r="E432" t="s">
        <v>13</v>
      </c>
      <c r="F432">
        <v>0.70599999999999996</v>
      </c>
      <c r="G432" t="s">
        <v>14</v>
      </c>
    </row>
    <row r="433" spans="1:7" x14ac:dyDescent="0.25">
      <c r="A433">
        <v>36</v>
      </c>
      <c r="B433" t="s">
        <v>147</v>
      </c>
      <c r="C433">
        <v>120</v>
      </c>
      <c r="D433" t="s">
        <v>258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148</v>
      </c>
      <c r="C434">
        <v>10</v>
      </c>
      <c r="D434" t="s">
        <v>259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148</v>
      </c>
      <c r="C435">
        <v>20</v>
      </c>
      <c r="D435" t="s">
        <v>110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148</v>
      </c>
      <c r="C436">
        <v>30</v>
      </c>
      <c r="D436" t="s">
        <v>18</v>
      </c>
      <c r="E436" t="s">
        <v>15</v>
      </c>
      <c r="F436">
        <v>113.386</v>
      </c>
      <c r="G436" t="s">
        <v>14</v>
      </c>
    </row>
    <row r="437" spans="1:7" x14ac:dyDescent="0.25">
      <c r="A437">
        <v>37</v>
      </c>
      <c r="B437" t="s">
        <v>148</v>
      </c>
      <c r="C437">
        <v>40</v>
      </c>
      <c r="D437" t="s">
        <v>105</v>
      </c>
      <c r="E437" t="s">
        <v>106</v>
      </c>
      <c r="F437">
        <v>0.89100000000000001</v>
      </c>
      <c r="G437" t="s">
        <v>14</v>
      </c>
    </row>
    <row r="438" spans="1:7" x14ac:dyDescent="0.25">
      <c r="A438">
        <v>37</v>
      </c>
      <c r="B438" t="s">
        <v>148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148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148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148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148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148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148</v>
      </c>
      <c r="C444">
        <v>110</v>
      </c>
      <c r="D444" t="s">
        <v>109</v>
      </c>
      <c r="E444" t="s">
        <v>13</v>
      </c>
      <c r="F444">
        <v>0.70599999999999996</v>
      </c>
      <c r="G444" t="s">
        <v>14</v>
      </c>
    </row>
    <row r="445" spans="1:7" x14ac:dyDescent="0.25">
      <c r="A445">
        <v>37</v>
      </c>
      <c r="B445" t="s">
        <v>148</v>
      </c>
      <c r="C445">
        <v>120</v>
      </c>
      <c r="D445" t="s">
        <v>260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149</v>
      </c>
      <c r="C446">
        <v>10</v>
      </c>
      <c r="D446" t="s">
        <v>261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149</v>
      </c>
      <c r="C447">
        <v>20</v>
      </c>
      <c r="D447" t="s">
        <v>110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149</v>
      </c>
      <c r="C448">
        <v>30</v>
      </c>
      <c r="D448" t="s">
        <v>18</v>
      </c>
      <c r="E448" t="s">
        <v>15</v>
      </c>
      <c r="F448">
        <v>115.824</v>
      </c>
      <c r="G448" t="s">
        <v>14</v>
      </c>
    </row>
    <row r="449" spans="1:7" x14ac:dyDescent="0.25">
      <c r="A449">
        <v>38</v>
      </c>
      <c r="B449" t="s">
        <v>149</v>
      </c>
      <c r="C449">
        <v>40</v>
      </c>
      <c r="D449" t="s">
        <v>105</v>
      </c>
      <c r="E449" t="s">
        <v>106</v>
      </c>
      <c r="F449">
        <v>0.94099999999999995</v>
      </c>
      <c r="G449" t="s">
        <v>14</v>
      </c>
    </row>
    <row r="450" spans="1:7" x14ac:dyDescent="0.25">
      <c r="A450">
        <v>38</v>
      </c>
      <c r="B450" t="s">
        <v>149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149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149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149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149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149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149</v>
      </c>
      <c r="C456">
        <v>110</v>
      </c>
      <c r="D456" t="s">
        <v>109</v>
      </c>
      <c r="E456" t="s">
        <v>13</v>
      </c>
      <c r="F456">
        <v>0.70599999999999996</v>
      </c>
      <c r="G456" t="s">
        <v>14</v>
      </c>
    </row>
    <row r="457" spans="1:7" x14ac:dyDescent="0.25">
      <c r="A457">
        <v>38</v>
      </c>
      <c r="B457" t="s">
        <v>149</v>
      </c>
      <c r="C457">
        <v>120</v>
      </c>
      <c r="D457" t="s">
        <v>262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150</v>
      </c>
      <c r="C458">
        <v>10</v>
      </c>
      <c r="D458" t="s">
        <v>263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150</v>
      </c>
      <c r="C459">
        <v>20</v>
      </c>
      <c r="D459" t="s">
        <v>110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150</v>
      </c>
      <c r="C460">
        <v>30</v>
      </c>
      <c r="D460" t="s">
        <v>18</v>
      </c>
      <c r="E460" t="s">
        <v>15</v>
      </c>
      <c r="F460">
        <v>120.70099999999999</v>
      </c>
      <c r="G460" t="s">
        <v>14</v>
      </c>
    </row>
    <row r="461" spans="1:7" x14ac:dyDescent="0.25">
      <c r="A461">
        <v>39</v>
      </c>
      <c r="B461" t="s">
        <v>150</v>
      </c>
      <c r="C461">
        <v>40</v>
      </c>
      <c r="D461" t="s">
        <v>105</v>
      </c>
      <c r="E461" t="s">
        <v>106</v>
      </c>
      <c r="F461">
        <v>1.042</v>
      </c>
      <c r="G461" t="s">
        <v>14</v>
      </c>
    </row>
    <row r="462" spans="1:7" x14ac:dyDescent="0.25">
      <c r="A462">
        <v>39</v>
      </c>
      <c r="B462" t="s">
        <v>150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150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150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150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150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150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150</v>
      </c>
      <c r="C468">
        <v>110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39</v>
      </c>
      <c r="B469" t="s">
        <v>150</v>
      </c>
      <c r="C469">
        <v>120</v>
      </c>
      <c r="D469" t="s">
        <v>264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151</v>
      </c>
      <c r="C470">
        <v>10</v>
      </c>
      <c r="D470" t="s">
        <v>265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151</v>
      </c>
      <c r="C471">
        <v>20</v>
      </c>
      <c r="D471" t="s">
        <v>110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151</v>
      </c>
      <c r="C472">
        <v>30</v>
      </c>
      <c r="D472" t="s">
        <v>18</v>
      </c>
      <c r="E472" t="s">
        <v>15</v>
      </c>
      <c r="F472">
        <v>125.578</v>
      </c>
      <c r="G472" t="s">
        <v>14</v>
      </c>
    </row>
    <row r="473" spans="1:7" x14ac:dyDescent="0.25">
      <c r="A473">
        <v>40</v>
      </c>
      <c r="B473" t="s">
        <v>151</v>
      </c>
      <c r="C473">
        <v>40</v>
      </c>
      <c r="D473" t="s">
        <v>105</v>
      </c>
      <c r="E473" t="s">
        <v>106</v>
      </c>
      <c r="F473">
        <v>1.143</v>
      </c>
      <c r="G473" t="s">
        <v>14</v>
      </c>
    </row>
    <row r="474" spans="1:7" x14ac:dyDescent="0.25">
      <c r="A474">
        <v>40</v>
      </c>
      <c r="B474" t="s">
        <v>151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151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151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151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151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151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151</v>
      </c>
      <c r="C480">
        <v>110</v>
      </c>
      <c r="D480" t="s">
        <v>109</v>
      </c>
      <c r="E480" t="s">
        <v>13</v>
      </c>
      <c r="F480">
        <v>0.70599999999999996</v>
      </c>
      <c r="G480" t="s">
        <v>14</v>
      </c>
    </row>
    <row r="481" spans="1:7" x14ac:dyDescent="0.25">
      <c r="A481">
        <v>40</v>
      </c>
      <c r="B481" t="s">
        <v>151</v>
      </c>
      <c r="C481">
        <v>120</v>
      </c>
      <c r="D481" t="s">
        <v>266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152</v>
      </c>
      <c r="C482">
        <v>10</v>
      </c>
      <c r="D482" t="s">
        <v>267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152</v>
      </c>
      <c r="C483">
        <v>20</v>
      </c>
      <c r="D483" t="s">
        <v>110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152</v>
      </c>
      <c r="C484">
        <v>30</v>
      </c>
      <c r="D484" t="s">
        <v>18</v>
      </c>
      <c r="E484" t="s">
        <v>15</v>
      </c>
      <c r="F484">
        <v>84.125</v>
      </c>
      <c r="G484" t="s">
        <v>14</v>
      </c>
    </row>
    <row r="485" spans="1:7" x14ac:dyDescent="0.25">
      <c r="A485">
        <v>41</v>
      </c>
      <c r="B485" t="s">
        <v>152</v>
      </c>
      <c r="C485">
        <v>40</v>
      </c>
      <c r="D485" t="s">
        <v>105</v>
      </c>
      <c r="E485" t="s">
        <v>106</v>
      </c>
      <c r="F485">
        <v>0.41699999999999998</v>
      </c>
      <c r="G485" t="s">
        <v>14</v>
      </c>
    </row>
    <row r="486" spans="1:7" x14ac:dyDescent="0.25">
      <c r="A486">
        <v>41</v>
      </c>
      <c r="B486" t="s">
        <v>152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152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152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152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152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152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152</v>
      </c>
      <c r="C492">
        <v>110</v>
      </c>
      <c r="D492" t="s">
        <v>109</v>
      </c>
      <c r="E492" t="s">
        <v>13</v>
      </c>
      <c r="F492">
        <v>0.3</v>
      </c>
      <c r="G492" t="s">
        <v>14</v>
      </c>
    </row>
    <row r="493" spans="1:7" x14ac:dyDescent="0.25">
      <c r="A493">
        <v>41</v>
      </c>
      <c r="B493" t="s">
        <v>152</v>
      </c>
      <c r="C493">
        <v>120</v>
      </c>
      <c r="D493" t="s">
        <v>268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153</v>
      </c>
      <c r="C494">
        <v>10</v>
      </c>
      <c r="D494" t="s">
        <v>269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153</v>
      </c>
      <c r="C495">
        <v>20</v>
      </c>
      <c r="D495" t="s">
        <v>110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153</v>
      </c>
      <c r="C496">
        <v>30</v>
      </c>
      <c r="D496" t="s">
        <v>18</v>
      </c>
      <c r="E496" t="s">
        <v>15</v>
      </c>
      <c r="F496">
        <v>89.001999999999995</v>
      </c>
      <c r="G496" t="s">
        <v>14</v>
      </c>
    </row>
    <row r="497" spans="1:7" x14ac:dyDescent="0.25">
      <c r="A497">
        <v>42</v>
      </c>
      <c r="B497" t="s">
        <v>153</v>
      </c>
      <c r="C497">
        <v>40</v>
      </c>
      <c r="D497" t="s">
        <v>105</v>
      </c>
      <c r="E497" t="s">
        <v>106</v>
      </c>
      <c r="F497">
        <v>0.503</v>
      </c>
      <c r="G497" t="s">
        <v>14</v>
      </c>
    </row>
    <row r="498" spans="1:7" x14ac:dyDescent="0.25">
      <c r="A498">
        <v>42</v>
      </c>
      <c r="B498" t="s">
        <v>153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153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153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153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153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153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153</v>
      </c>
      <c r="C504">
        <v>110</v>
      </c>
      <c r="D504" t="s">
        <v>109</v>
      </c>
      <c r="E504" t="s">
        <v>13</v>
      </c>
      <c r="F504">
        <v>0.34499999999999997</v>
      </c>
      <c r="G504" t="s">
        <v>14</v>
      </c>
    </row>
    <row r="505" spans="1:7" x14ac:dyDescent="0.25">
      <c r="A505">
        <v>42</v>
      </c>
      <c r="B505" t="s">
        <v>153</v>
      </c>
      <c r="C505">
        <v>120</v>
      </c>
      <c r="D505" t="s">
        <v>270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154</v>
      </c>
      <c r="C506">
        <v>10</v>
      </c>
      <c r="D506" t="s">
        <v>271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154</v>
      </c>
      <c r="C507">
        <v>20</v>
      </c>
      <c r="D507" t="s">
        <v>110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154</v>
      </c>
      <c r="C508">
        <v>30</v>
      </c>
      <c r="D508" t="s">
        <v>18</v>
      </c>
      <c r="E508" t="s">
        <v>15</v>
      </c>
      <c r="F508">
        <v>93.878</v>
      </c>
      <c r="G508" t="s">
        <v>14</v>
      </c>
    </row>
    <row r="509" spans="1:7" x14ac:dyDescent="0.25">
      <c r="A509">
        <v>43</v>
      </c>
      <c r="B509" t="s">
        <v>154</v>
      </c>
      <c r="C509">
        <v>40</v>
      </c>
      <c r="D509" t="s">
        <v>105</v>
      </c>
      <c r="E509" t="s">
        <v>106</v>
      </c>
      <c r="F509">
        <v>0.58899999999999997</v>
      </c>
      <c r="G509" t="s">
        <v>14</v>
      </c>
    </row>
    <row r="510" spans="1:7" x14ac:dyDescent="0.25">
      <c r="A510">
        <v>43</v>
      </c>
      <c r="B510" t="s">
        <v>154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154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154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154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154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154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154</v>
      </c>
      <c r="C516">
        <v>110</v>
      </c>
      <c r="D516" t="s">
        <v>109</v>
      </c>
      <c r="E516" t="s">
        <v>13</v>
      </c>
      <c r="F516">
        <v>0.39</v>
      </c>
      <c r="G516" t="s">
        <v>14</v>
      </c>
    </row>
    <row r="517" spans="1:7" x14ac:dyDescent="0.25">
      <c r="A517">
        <v>43</v>
      </c>
      <c r="B517" t="s">
        <v>154</v>
      </c>
      <c r="C517">
        <v>120</v>
      </c>
      <c r="D517" t="s">
        <v>272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155</v>
      </c>
      <c r="C518">
        <v>10</v>
      </c>
      <c r="D518" t="s">
        <v>273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155</v>
      </c>
      <c r="C519">
        <v>20</v>
      </c>
      <c r="D519" t="s">
        <v>110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155</v>
      </c>
      <c r="C520">
        <v>30</v>
      </c>
      <c r="D520" t="s">
        <v>18</v>
      </c>
      <c r="E520" t="s">
        <v>15</v>
      </c>
      <c r="F520">
        <v>98.754999999999995</v>
      </c>
      <c r="G520" t="s">
        <v>14</v>
      </c>
    </row>
    <row r="521" spans="1:7" x14ac:dyDescent="0.25">
      <c r="A521">
        <v>44</v>
      </c>
      <c r="B521" t="s">
        <v>155</v>
      </c>
      <c r="C521">
        <v>40</v>
      </c>
      <c r="D521" t="s">
        <v>105</v>
      </c>
      <c r="E521" t="s">
        <v>106</v>
      </c>
      <c r="F521">
        <v>0.67600000000000005</v>
      </c>
      <c r="G521" t="s">
        <v>14</v>
      </c>
    </row>
    <row r="522" spans="1:7" x14ac:dyDescent="0.25">
      <c r="A522">
        <v>44</v>
      </c>
      <c r="B522" t="s">
        <v>155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155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155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155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155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155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155</v>
      </c>
      <c r="C528">
        <v>110</v>
      </c>
      <c r="D528" t="s">
        <v>109</v>
      </c>
      <c r="E528" t="s">
        <v>13</v>
      </c>
      <c r="F528">
        <v>0.435</v>
      </c>
      <c r="G528" t="s">
        <v>14</v>
      </c>
    </row>
    <row r="529" spans="1:7" x14ac:dyDescent="0.25">
      <c r="A529">
        <v>44</v>
      </c>
      <c r="B529" t="s">
        <v>155</v>
      </c>
      <c r="C529">
        <v>120</v>
      </c>
      <c r="D529" t="s">
        <v>274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156</v>
      </c>
      <c r="C530">
        <v>10</v>
      </c>
      <c r="D530" t="s">
        <v>275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156</v>
      </c>
      <c r="C531">
        <v>20</v>
      </c>
      <c r="D531" t="s">
        <v>110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156</v>
      </c>
      <c r="C532">
        <v>30</v>
      </c>
      <c r="D532" t="s">
        <v>18</v>
      </c>
      <c r="E532" t="s">
        <v>15</v>
      </c>
      <c r="F532">
        <v>108.509</v>
      </c>
      <c r="G532" t="s">
        <v>14</v>
      </c>
    </row>
    <row r="533" spans="1:7" x14ac:dyDescent="0.25">
      <c r="A533">
        <v>45</v>
      </c>
      <c r="B533" t="s">
        <v>156</v>
      </c>
      <c r="C533">
        <v>40</v>
      </c>
      <c r="D533" t="s">
        <v>105</v>
      </c>
      <c r="E533" t="s">
        <v>106</v>
      </c>
      <c r="F533">
        <v>0.84799999999999998</v>
      </c>
      <c r="G533" t="s">
        <v>14</v>
      </c>
    </row>
    <row r="534" spans="1:7" x14ac:dyDescent="0.25">
      <c r="A534">
        <v>45</v>
      </c>
      <c r="B534" t="s">
        <v>156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156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156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156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156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156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156</v>
      </c>
      <c r="C540">
        <v>110</v>
      </c>
      <c r="D540" t="s">
        <v>109</v>
      </c>
      <c r="E540" t="s">
        <v>13</v>
      </c>
      <c r="F540">
        <v>0.52500000000000002</v>
      </c>
      <c r="G540" t="s">
        <v>14</v>
      </c>
    </row>
    <row r="541" spans="1:7" x14ac:dyDescent="0.25">
      <c r="A541">
        <v>45</v>
      </c>
      <c r="B541" t="s">
        <v>156</v>
      </c>
      <c r="C541">
        <v>120</v>
      </c>
      <c r="D541" t="s">
        <v>276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157</v>
      </c>
      <c r="C542">
        <v>10</v>
      </c>
      <c r="D542" t="s">
        <v>277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157</v>
      </c>
      <c r="C543">
        <v>20</v>
      </c>
      <c r="D543" t="s">
        <v>110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157</v>
      </c>
      <c r="C544">
        <v>30</v>
      </c>
      <c r="D544" t="s">
        <v>18</v>
      </c>
      <c r="E544" t="s">
        <v>15</v>
      </c>
      <c r="F544">
        <v>113.386</v>
      </c>
      <c r="G544" t="s">
        <v>14</v>
      </c>
    </row>
    <row r="545" spans="1:7" x14ac:dyDescent="0.25">
      <c r="A545">
        <v>46</v>
      </c>
      <c r="B545" t="s">
        <v>157</v>
      </c>
      <c r="C545">
        <v>40</v>
      </c>
      <c r="D545" t="s">
        <v>105</v>
      </c>
      <c r="E545" t="s">
        <v>106</v>
      </c>
      <c r="F545">
        <v>0.93500000000000005</v>
      </c>
      <c r="G545" t="s">
        <v>14</v>
      </c>
    </row>
    <row r="546" spans="1:7" x14ac:dyDescent="0.25">
      <c r="A546">
        <v>46</v>
      </c>
      <c r="B546" t="s">
        <v>157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157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157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157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157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157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157</v>
      </c>
      <c r="C552">
        <v>110</v>
      </c>
      <c r="D552" t="s">
        <v>109</v>
      </c>
      <c r="E552" t="s">
        <v>13</v>
      </c>
      <c r="F552">
        <v>0.56999999999999995</v>
      </c>
      <c r="G552" t="s">
        <v>14</v>
      </c>
    </row>
    <row r="553" spans="1:7" x14ac:dyDescent="0.25">
      <c r="A553">
        <v>46</v>
      </c>
      <c r="B553" t="s">
        <v>157</v>
      </c>
      <c r="C553">
        <v>120</v>
      </c>
      <c r="D553" t="s">
        <v>278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158</v>
      </c>
      <c r="C554">
        <v>10</v>
      </c>
      <c r="D554" t="s">
        <v>279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158</v>
      </c>
      <c r="C555">
        <v>20</v>
      </c>
      <c r="D555" t="s">
        <v>110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158</v>
      </c>
      <c r="C556">
        <v>30</v>
      </c>
      <c r="D556" t="s">
        <v>18</v>
      </c>
      <c r="E556" t="s">
        <v>15</v>
      </c>
      <c r="F556">
        <v>118.262</v>
      </c>
      <c r="G556" t="s">
        <v>14</v>
      </c>
    </row>
    <row r="557" spans="1:7" x14ac:dyDescent="0.25">
      <c r="A557">
        <v>47</v>
      </c>
      <c r="B557" t="s">
        <v>158</v>
      </c>
      <c r="C557">
        <v>40</v>
      </c>
      <c r="D557" t="s">
        <v>105</v>
      </c>
      <c r="E557" t="s">
        <v>106</v>
      </c>
      <c r="F557">
        <v>1.0209999999999999</v>
      </c>
      <c r="G557" t="s">
        <v>14</v>
      </c>
    </row>
    <row r="558" spans="1:7" x14ac:dyDescent="0.25">
      <c r="A558">
        <v>47</v>
      </c>
      <c r="B558" t="s">
        <v>158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158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158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158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158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158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158</v>
      </c>
      <c r="C564">
        <v>110</v>
      </c>
      <c r="D564" t="s">
        <v>109</v>
      </c>
      <c r="E564" t="s">
        <v>13</v>
      </c>
      <c r="F564">
        <v>0.61599999999999999</v>
      </c>
      <c r="G564" t="s">
        <v>14</v>
      </c>
    </row>
    <row r="565" spans="1:7" x14ac:dyDescent="0.25">
      <c r="A565">
        <v>47</v>
      </c>
      <c r="B565" t="s">
        <v>158</v>
      </c>
      <c r="C565">
        <v>120</v>
      </c>
      <c r="D565" t="s">
        <v>280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159</v>
      </c>
      <c r="C566">
        <v>10</v>
      </c>
      <c r="D566" t="s">
        <v>281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159</v>
      </c>
      <c r="C567">
        <v>20</v>
      </c>
      <c r="D567" t="s">
        <v>110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159</v>
      </c>
      <c r="C568">
        <v>30</v>
      </c>
      <c r="D568" t="s">
        <v>18</v>
      </c>
      <c r="E568" t="s">
        <v>15</v>
      </c>
      <c r="F568">
        <v>86.563000000000002</v>
      </c>
      <c r="G568" t="s">
        <v>14</v>
      </c>
    </row>
    <row r="569" spans="1:7" x14ac:dyDescent="0.25">
      <c r="A569">
        <v>48</v>
      </c>
      <c r="B569" t="s">
        <v>159</v>
      </c>
      <c r="C569">
        <v>40</v>
      </c>
      <c r="D569" t="s">
        <v>105</v>
      </c>
      <c r="E569" t="s">
        <v>106</v>
      </c>
      <c r="F569">
        <v>0.435</v>
      </c>
      <c r="G569" t="s">
        <v>14</v>
      </c>
    </row>
    <row r="570" spans="1:7" x14ac:dyDescent="0.25">
      <c r="A570">
        <v>48</v>
      </c>
      <c r="B570" t="s">
        <v>159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159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159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159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159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159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159</v>
      </c>
      <c r="C576">
        <v>110</v>
      </c>
      <c r="D576" t="s">
        <v>109</v>
      </c>
      <c r="E576" t="s">
        <v>13</v>
      </c>
      <c r="F576">
        <v>0.3</v>
      </c>
      <c r="G576" t="s">
        <v>14</v>
      </c>
    </row>
    <row r="577" spans="1:7" x14ac:dyDescent="0.25">
      <c r="A577">
        <v>48</v>
      </c>
      <c r="B577" t="s">
        <v>159</v>
      </c>
      <c r="C577">
        <v>120</v>
      </c>
      <c r="D577" t="s">
        <v>282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160</v>
      </c>
      <c r="C578">
        <v>10</v>
      </c>
      <c r="D578" t="s">
        <v>283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160</v>
      </c>
      <c r="C579">
        <v>20</v>
      </c>
      <c r="D579" t="s">
        <v>110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160</v>
      </c>
      <c r="C580">
        <v>30</v>
      </c>
      <c r="D580" t="s">
        <v>18</v>
      </c>
      <c r="E580" t="s">
        <v>15</v>
      </c>
      <c r="F580">
        <v>91.44</v>
      </c>
      <c r="G580" t="s">
        <v>14</v>
      </c>
    </row>
    <row r="581" spans="1:7" x14ac:dyDescent="0.25">
      <c r="A581">
        <v>49</v>
      </c>
      <c r="B581" t="s">
        <v>160</v>
      </c>
      <c r="C581">
        <v>40</v>
      </c>
      <c r="D581" t="s">
        <v>105</v>
      </c>
      <c r="E581" t="s">
        <v>106</v>
      </c>
      <c r="F581">
        <v>0.52400000000000002</v>
      </c>
      <c r="G581" t="s">
        <v>14</v>
      </c>
    </row>
    <row r="582" spans="1:7" x14ac:dyDescent="0.25">
      <c r="A582">
        <v>49</v>
      </c>
      <c r="B582" t="s">
        <v>160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160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160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160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160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160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160</v>
      </c>
      <c r="C588">
        <v>110</v>
      </c>
      <c r="D588" t="s">
        <v>109</v>
      </c>
      <c r="E588" t="s">
        <v>13</v>
      </c>
      <c r="F588">
        <v>0.34499999999999997</v>
      </c>
      <c r="G588" t="s">
        <v>14</v>
      </c>
    </row>
    <row r="589" spans="1:7" x14ac:dyDescent="0.25">
      <c r="A589">
        <v>49</v>
      </c>
      <c r="B589" t="s">
        <v>160</v>
      </c>
      <c r="C589">
        <v>120</v>
      </c>
      <c r="D589" t="s">
        <v>284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161</v>
      </c>
      <c r="C590">
        <v>10</v>
      </c>
      <c r="D590" t="s">
        <v>285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161</v>
      </c>
      <c r="C591">
        <v>20</v>
      </c>
      <c r="D591" t="s">
        <v>110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161</v>
      </c>
      <c r="C592">
        <v>30</v>
      </c>
      <c r="D592" t="s">
        <v>18</v>
      </c>
      <c r="E592" t="s">
        <v>15</v>
      </c>
      <c r="F592">
        <v>96.316999999999993</v>
      </c>
      <c r="G592" t="s">
        <v>14</v>
      </c>
    </row>
    <row r="593" spans="1:7" x14ac:dyDescent="0.25">
      <c r="A593">
        <v>50</v>
      </c>
      <c r="B593" t="s">
        <v>161</v>
      </c>
      <c r="C593">
        <v>40</v>
      </c>
      <c r="D593" t="s">
        <v>105</v>
      </c>
      <c r="E593" t="s">
        <v>106</v>
      </c>
      <c r="F593">
        <v>0.61399999999999999</v>
      </c>
      <c r="G593" t="s">
        <v>14</v>
      </c>
    </row>
    <row r="594" spans="1:7" x14ac:dyDescent="0.25">
      <c r="A594">
        <v>50</v>
      </c>
      <c r="B594" t="s">
        <v>161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161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161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161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161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161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161</v>
      </c>
      <c r="C600">
        <v>110</v>
      </c>
      <c r="D600" t="s">
        <v>109</v>
      </c>
      <c r="E600" t="s">
        <v>13</v>
      </c>
      <c r="F600">
        <v>0.39</v>
      </c>
      <c r="G600" t="s">
        <v>14</v>
      </c>
    </row>
    <row r="601" spans="1:7" x14ac:dyDescent="0.25">
      <c r="A601">
        <v>50</v>
      </c>
      <c r="B601" t="s">
        <v>161</v>
      </c>
      <c r="C601">
        <v>120</v>
      </c>
      <c r="D601" t="s">
        <v>286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162</v>
      </c>
      <c r="C602">
        <v>10</v>
      </c>
      <c r="D602" t="s">
        <v>287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162</v>
      </c>
      <c r="C603">
        <v>20</v>
      </c>
      <c r="D603" t="s">
        <v>110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162</v>
      </c>
      <c r="C604">
        <v>30</v>
      </c>
      <c r="D604" t="s">
        <v>18</v>
      </c>
      <c r="E604" t="s">
        <v>15</v>
      </c>
      <c r="F604">
        <v>101.194</v>
      </c>
      <c r="G604" t="s">
        <v>14</v>
      </c>
    </row>
    <row r="605" spans="1:7" x14ac:dyDescent="0.25">
      <c r="A605">
        <v>51</v>
      </c>
      <c r="B605" t="s">
        <v>162</v>
      </c>
      <c r="C605">
        <v>40</v>
      </c>
      <c r="D605" t="s">
        <v>105</v>
      </c>
      <c r="E605" t="s">
        <v>106</v>
      </c>
      <c r="F605">
        <v>0.70399999999999996</v>
      </c>
      <c r="G605" t="s">
        <v>14</v>
      </c>
    </row>
    <row r="606" spans="1:7" x14ac:dyDescent="0.25">
      <c r="A606">
        <v>51</v>
      </c>
      <c r="B606" t="s">
        <v>162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162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162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162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162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162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162</v>
      </c>
      <c r="C612">
        <v>110</v>
      </c>
      <c r="D612" t="s">
        <v>109</v>
      </c>
      <c r="E612" t="s">
        <v>13</v>
      </c>
      <c r="F612">
        <v>0.435</v>
      </c>
      <c r="G612" t="s">
        <v>14</v>
      </c>
    </row>
    <row r="613" spans="1:7" x14ac:dyDescent="0.25">
      <c r="A613">
        <v>51</v>
      </c>
      <c r="B613" t="s">
        <v>162</v>
      </c>
      <c r="C613">
        <v>120</v>
      </c>
      <c r="D613" t="s">
        <v>288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163</v>
      </c>
      <c r="C614">
        <v>10</v>
      </c>
      <c r="D614" t="s">
        <v>289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163</v>
      </c>
      <c r="C615">
        <v>20</v>
      </c>
      <c r="D615" t="s">
        <v>110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163</v>
      </c>
      <c r="C616">
        <v>30</v>
      </c>
      <c r="D616" t="s">
        <v>18</v>
      </c>
      <c r="E616" t="s">
        <v>15</v>
      </c>
      <c r="F616">
        <v>110.947</v>
      </c>
      <c r="G616" t="s">
        <v>14</v>
      </c>
    </row>
    <row r="617" spans="1:7" x14ac:dyDescent="0.25">
      <c r="A617">
        <v>52</v>
      </c>
      <c r="B617" t="s">
        <v>163</v>
      </c>
      <c r="C617">
        <v>40</v>
      </c>
      <c r="D617" t="s">
        <v>105</v>
      </c>
      <c r="E617" t="s">
        <v>106</v>
      </c>
      <c r="F617">
        <v>0.88400000000000001</v>
      </c>
      <c r="G617" t="s">
        <v>14</v>
      </c>
    </row>
    <row r="618" spans="1:7" x14ac:dyDescent="0.25">
      <c r="A618">
        <v>52</v>
      </c>
      <c r="B618" t="s">
        <v>163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163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163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163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163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163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163</v>
      </c>
      <c r="C624">
        <v>110</v>
      </c>
      <c r="D624" t="s">
        <v>109</v>
      </c>
      <c r="E624" t="s">
        <v>13</v>
      </c>
      <c r="F624">
        <v>0.52500000000000002</v>
      </c>
      <c r="G624" t="s">
        <v>14</v>
      </c>
    </row>
    <row r="625" spans="1:7" x14ac:dyDescent="0.25">
      <c r="A625">
        <v>52</v>
      </c>
      <c r="B625" t="s">
        <v>163</v>
      </c>
      <c r="C625">
        <v>120</v>
      </c>
      <c r="D625" t="s">
        <v>290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164</v>
      </c>
      <c r="C626">
        <v>10</v>
      </c>
      <c r="D626" t="s">
        <v>291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164</v>
      </c>
      <c r="C627">
        <v>20</v>
      </c>
      <c r="D627" t="s">
        <v>110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164</v>
      </c>
      <c r="C628">
        <v>30</v>
      </c>
      <c r="D628" t="s">
        <v>18</v>
      </c>
      <c r="E628" t="s">
        <v>15</v>
      </c>
      <c r="F628">
        <v>115.824</v>
      </c>
      <c r="G628" t="s">
        <v>14</v>
      </c>
    </row>
    <row r="629" spans="1:7" x14ac:dyDescent="0.25">
      <c r="A629">
        <v>53</v>
      </c>
      <c r="B629" t="s">
        <v>164</v>
      </c>
      <c r="C629">
        <v>40</v>
      </c>
      <c r="D629" t="s">
        <v>105</v>
      </c>
      <c r="E629" t="s">
        <v>106</v>
      </c>
      <c r="F629">
        <v>0.97399999999999998</v>
      </c>
      <c r="G629" t="s">
        <v>14</v>
      </c>
    </row>
    <row r="630" spans="1:7" x14ac:dyDescent="0.25">
      <c r="A630">
        <v>53</v>
      </c>
      <c r="B630" t="s">
        <v>164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164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164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164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164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164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164</v>
      </c>
      <c r="C636">
        <v>110</v>
      </c>
      <c r="D636" t="s">
        <v>109</v>
      </c>
      <c r="E636" t="s">
        <v>13</v>
      </c>
      <c r="F636">
        <v>0.56999999999999995</v>
      </c>
      <c r="G636" t="s">
        <v>14</v>
      </c>
    </row>
    <row r="637" spans="1:7" x14ac:dyDescent="0.25">
      <c r="A637">
        <v>53</v>
      </c>
      <c r="B637" t="s">
        <v>164</v>
      </c>
      <c r="C637">
        <v>120</v>
      </c>
      <c r="D637" t="s">
        <v>292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165</v>
      </c>
      <c r="C638">
        <v>10</v>
      </c>
      <c r="D638" t="s">
        <v>293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165</v>
      </c>
      <c r="C639">
        <v>20</v>
      </c>
      <c r="D639" t="s">
        <v>110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165</v>
      </c>
      <c r="C640">
        <v>30</v>
      </c>
      <c r="D640" t="s">
        <v>18</v>
      </c>
      <c r="E640" t="s">
        <v>15</v>
      </c>
      <c r="F640">
        <v>120.70099999999999</v>
      </c>
      <c r="G640" t="s">
        <v>14</v>
      </c>
    </row>
    <row r="641" spans="1:7" x14ac:dyDescent="0.25">
      <c r="A641">
        <v>54</v>
      </c>
      <c r="B641" t="s">
        <v>165</v>
      </c>
      <c r="C641">
        <v>40</v>
      </c>
      <c r="D641" t="s">
        <v>105</v>
      </c>
      <c r="E641" t="s">
        <v>106</v>
      </c>
      <c r="F641">
        <v>1.0640000000000001</v>
      </c>
      <c r="G641" t="s">
        <v>14</v>
      </c>
    </row>
    <row r="642" spans="1:7" x14ac:dyDescent="0.25">
      <c r="A642">
        <v>54</v>
      </c>
      <c r="B642" t="s">
        <v>165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165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165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165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165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165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165</v>
      </c>
      <c r="C648">
        <v>110</v>
      </c>
      <c r="D648" t="s">
        <v>109</v>
      </c>
      <c r="E648" t="s">
        <v>13</v>
      </c>
      <c r="F648">
        <v>0.61599999999999999</v>
      </c>
      <c r="G648" t="s">
        <v>14</v>
      </c>
    </row>
    <row r="649" spans="1:7" x14ac:dyDescent="0.25">
      <c r="A649">
        <v>54</v>
      </c>
      <c r="B649" t="s">
        <v>165</v>
      </c>
      <c r="C649">
        <v>120</v>
      </c>
      <c r="D649" t="s">
        <v>294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166</v>
      </c>
      <c r="C650">
        <v>10</v>
      </c>
      <c r="D650" t="s">
        <v>295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166</v>
      </c>
      <c r="C651">
        <v>20</v>
      </c>
      <c r="D651" t="s">
        <v>110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166</v>
      </c>
      <c r="C652">
        <v>30</v>
      </c>
      <c r="D652" t="s">
        <v>18</v>
      </c>
      <c r="E652" t="s">
        <v>15</v>
      </c>
      <c r="F652">
        <v>89.001999999999995</v>
      </c>
      <c r="G652" t="s">
        <v>14</v>
      </c>
    </row>
    <row r="653" spans="1:7" x14ac:dyDescent="0.25">
      <c r="A653">
        <v>55</v>
      </c>
      <c r="B653" t="s">
        <v>166</v>
      </c>
      <c r="C653">
        <v>40</v>
      </c>
      <c r="D653" t="s">
        <v>105</v>
      </c>
      <c r="E653" t="s">
        <v>106</v>
      </c>
      <c r="F653">
        <v>0.45200000000000001</v>
      </c>
      <c r="G653" t="s">
        <v>14</v>
      </c>
    </row>
    <row r="654" spans="1:7" x14ac:dyDescent="0.25">
      <c r="A654">
        <v>55</v>
      </c>
      <c r="B654" t="s">
        <v>166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166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166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166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166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166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166</v>
      </c>
      <c r="C660">
        <v>110</v>
      </c>
      <c r="D660" t="s">
        <v>109</v>
      </c>
      <c r="E660" t="s">
        <v>13</v>
      </c>
      <c r="F660">
        <v>0.3</v>
      </c>
      <c r="G660" t="s">
        <v>14</v>
      </c>
    </row>
    <row r="661" spans="1:7" x14ac:dyDescent="0.25">
      <c r="A661">
        <v>55</v>
      </c>
      <c r="B661" t="s">
        <v>166</v>
      </c>
      <c r="C661">
        <v>120</v>
      </c>
      <c r="D661" t="s">
        <v>296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167</v>
      </c>
      <c r="C662">
        <v>10</v>
      </c>
      <c r="D662" t="s">
        <v>297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167</v>
      </c>
      <c r="C663">
        <v>20</v>
      </c>
      <c r="D663" t="s">
        <v>110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167</v>
      </c>
      <c r="C664">
        <v>30</v>
      </c>
      <c r="D664" t="s">
        <v>18</v>
      </c>
      <c r="E664" t="s">
        <v>15</v>
      </c>
      <c r="F664">
        <v>93.878</v>
      </c>
      <c r="G664" t="s">
        <v>14</v>
      </c>
    </row>
    <row r="665" spans="1:7" x14ac:dyDescent="0.25">
      <c r="A665">
        <v>56</v>
      </c>
      <c r="B665" t="s">
        <v>167</v>
      </c>
      <c r="C665">
        <v>40</v>
      </c>
      <c r="D665" t="s">
        <v>105</v>
      </c>
      <c r="E665" t="s">
        <v>106</v>
      </c>
      <c r="F665">
        <v>0.54600000000000004</v>
      </c>
      <c r="G665" t="s">
        <v>14</v>
      </c>
    </row>
    <row r="666" spans="1:7" x14ac:dyDescent="0.25">
      <c r="A666">
        <v>56</v>
      </c>
      <c r="B666" t="s">
        <v>167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167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167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167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167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167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167</v>
      </c>
      <c r="C672">
        <v>110</v>
      </c>
      <c r="D672" t="s">
        <v>109</v>
      </c>
      <c r="E672" t="s">
        <v>13</v>
      </c>
      <c r="F672">
        <v>0.34499999999999997</v>
      </c>
      <c r="G672" t="s">
        <v>14</v>
      </c>
    </row>
    <row r="673" spans="1:7" x14ac:dyDescent="0.25">
      <c r="A673">
        <v>56</v>
      </c>
      <c r="B673" t="s">
        <v>167</v>
      </c>
      <c r="C673">
        <v>120</v>
      </c>
      <c r="D673" t="s">
        <v>298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168</v>
      </c>
      <c r="C674">
        <v>10</v>
      </c>
      <c r="D674" t="s">
        <v>299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168</v>
      </c>
      <c r="C675">
        <v>20</v>
      </c>
      <c r="D675" t="s">
        <v>110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168</v>
      </c>
      <c r="C676">
        <v>30</v>
      </c>
      <c r="D676" t="s">
        <v>18</v>
      </c>
      <c r="E676" t="s">
        <v>15</v>
      </c>
      <c r="F676">
        <v>98.754999999999995</v>
      </c>
      <c r="G676" t="s">
        <v>14</v>
      </c>
    </row>
    <row r="677" spans="1:7" x14ac:dyDescent="0.25">
      <c r="A677">
        <v>57</v>
      </c>
      <c r="B677" t="s">
        <v>168</v>
      </c>
      <c r="C677">
        <v>40</v>
      </c>
      <c r="D677" t="s">
        <v>105</v>
      </c>
      <c r="E677" t="s">
        <v>106</v>
      </c>
      <c r="F677">
        <v>0.63900000000000001</v>
      </c>
      <c r="G677" t="s">
        <v>14</v>
      </c>
    </row>
    <row r="678" spans="1:7" x14ac:dyDescent="0.25">
      <c r="A678">
        <v>57</v>
      </c>
      <c r="B678" t="s">
        <v>168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168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168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168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168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168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168</v>
      </c>
      <c r="C684">
        <v>110</v>
      </c>
      <c r="D684" t="s">
        <v>109</v>
      </c>
      <c r="E684" t="s">
        <v>13</v>
      </c>
      <c r="F684">
        <v>0.39</v>
      </c>
      <c r="G684" t="s">
        <v>14</v>
      </c>
    </row>
    <row r="685" spans="1:7" x14ac:dyDescent="0.25">
      <c r="A685">
        <v>57</v>
      </c>
      <c r="B685" t="s">
        <v>168</v>
      </c>
      <c r="C685">
        <v>120</v>
      </c>
      <c r="D685" t="s">
        <v>300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169</v>
      </c>
      <c r="C686">
        <v>10</v>
      </c>
      <c r="D686" t="s">
        <v>301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169</v>
      </c>
      <c r="C687">
        <v>20</v>
      </c>
      <c r="D687" t="s">
        <v>110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169</v>
      </c>
      <c r="C688">
        <v>30</v>
      </c>
      <c r="D688" t="s">
        <v>18</v>
      </c>
      <c r="E688" t="s">
        <v>15</v>
      </c>
      <c r="F688">
        <v>103.63200000000001</v>
      </c>
      <c r="G688" t="s">
        <v>14</v>
      </c>
    </row>
    <row r="689" spans="1:7" x14ac:dyDescent="0.25">
      <c r="A689">
        <v>58</v>
      </c>
      <c r="B689" t="s">
        <v>169</v>
      </c>
      <c r="C689">
        <v>40</v>
      </c>
      <c r="D689" t="s">
        <v>105</v>
      </c>
      <c r="E689" t="s">
        <v>106</v>
      </c>
      <c r="F689">
        <v>0.73299999999999998</v>
      </c>
      <c r="G689" t="s">
        <v>14</v>
      </c>
    </row>
    <row r="690" spans="1:7" x14ac:dyDescent="0.25">
      <c r="A690">
        <v>58</v>
      </c>
      <c r="B690" t="s">
        <v>169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169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169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169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169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169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169</v>
      </c>
      <c r="C696">
        <v>110</v>
      </c>
      <c r="D696" t="s">
        <v>109</v>
      </c>
      <c r="E696" t="s">
        <v>13</v>
      </c>
      <c r="F696">
        <v>0.435</v>
      </c>
      <c r="G696" t="s">
        <v>14</v>
      </c>
    </row>
    <row r="697" spans="1:7" x14ac:dyDescent="0.25">
      <c r="A697">
        <v>58</v>
      </c>
      <c r="B697" t="s">
        <v>169</v>
      </c>
      <c r="C697">
        <v>120</v>
      </c>
      <c r="D697" t="s">
        <v>302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170</v>
      </c>
      <c r="C698">
        <v>10</v>
      </c>
      <c r="D698" t="s">
        <v>303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170</v>
      </c>
      <c r="C699">
        <v>20</v>
      </c>
      <c r="D699" t="s">
        <v>110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170</v>
      </c>
      <c r="C700">
        <v>30</v>
      </c>
      <c r="D700" t="s">
        <v>18</v>
      </c>
      <c r="E700" t="s">
        <v>15</v>
      </c>
      <c r="F700">
        <v>113.386</v>
      </c>
      <c r="G700" t="s">
        <v>14</v>
      </c>
    </row>
    <row r="701" spans="1:7" x14ac:dyDescent="0.25">
      <c r="A701">
        <v>59</v>
      </c>
      <c r="B701" t="s">
        <v>170</v>
      </c>
      <c r="C701">
        <v>40</v>
      </c>
      <c r="D701" t="s">
        <v>105</v>
      </c>
      <c r="E701" t="s">
        <v>106</v>
      </c>
      <c r="F701">
        <v>0.92</v>
      </c>
      <c r="G701" t="s">
        <v>14</v>
      </c>
    </row>
    <row r="702" spans="1:7" x14ac:dyDescent="0.25">
      <c r="A702">
        <v>59</v>
      </c>
      <c r="B702" t="s">
        <v>170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170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170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170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170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170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170</v>
      </c>
      <c r="C708">
        <v>110</v>
      </c>
      <c r="D708" t="s">
        <v>109</v>
      </c>
      <c r="E708" t="s">
        <v>13</v>
      </c>
      <c r="F708">
        <v>0.52500000000000002</v>
      </c>
      <c r="G708" t="s">
        <v>14</v>
      </c>
    </row>
    <row r="709" spans="1:7" x14ac:dyDescent="0.25">
      <c r="A709">
        <v>59</v>
      </c>
      <c r="B709" t="s">
        <v>170</v>
      </c>
      <c r="C709">
        <v>120</v>
      </c>
      <c r="D709" t="s">
        <v>304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171</v>
      </c>
      <c r="C710">
        <v>10</v>
      </c>
      <c r="D710" t="s">
        <v>305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171</v>
      </c>
      <c r="C711">
        <v>20</v>
      </c>
      <c r="D711" t="s">
        <v>110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171</v>
      </c>
      <c r="C712">
        <v>30</v>
      </c>
      <c r="D712" t="s">
        <v>18</v>
      </c>
      <c r="E712" t="s">
        <v>15</v>
      </c>
      <c r="F712">
        <v>118.262</v>
      </c>
      <c r="G712" t="s">
        <v>14</v>
      </c>
    </row>
    <row r="713" spans="1:7" x14ac:dyDescent="0.25">
      <c r="A713">
        <v>60</v>
      </c>
      <c r="B713" t="s">
        <v>171</v>
      </c>
      <c r="C713">
        <v>40</v>
      </c>
      <c r="D713" t="s">
        <v>105</v>
      </c>
      <c r="E713" t="s">
        <v>106</v>
      </c>
      <c r="F713">
        <v>1.014</v>
      </c>
      <c r="G713" t="s">
        <v>14</v>
      </c>
    </row>
    <row r="714" spans="1:7" x14ac:dyDescent="0.25">
      <c r="A714">
        <v>60</v>
      </c>
      <c r="B714" t="s">
        <v>171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171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171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171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171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171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171</v>
      </c>
      <c r="C720">
        <v>110</v>
      </c>
      <c r="D720" t="s">
        <v>109</v>
      </c>
      <c r="E720" t="s">
        <v>13</v>
      </c>
      <c r="F720">
        <v>0.56999999999999995</v>
      </c>
      <c r="G720" t="s">
        <v>14</v>
      </c>
    </row>
    <row r="721" spans="1:7" x14ac:dyDescent="0.25">
      <c r="A721">
        <v>60</v>
      </c>
      <c r="B721" t="s">
        <v>171</v>
      </c>
      <c r="C721">
        <v>120</v>
      </c>
      <c r="D721" t="s">
        <v>306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172</v>
      </c>
      <c r="C722">
        <v>10</v>
      </c>
      <c r="D722" t="s">
        <v>307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172</v>
      </c>
      <c r="C723">
        <v>20</v>
      </c>
      <c r="D723" t="s">
        <v>110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172</v>
      </c>
      <c r="C724">
        <v>30</v>
      </c>
      <c r="D724" t="s">
        <v>18</v>
      </c>
      <c r="E724" t="s">
        <v>15</v>
      </c>
      <c r="F724">
        <v>123.139</v>
      </c>
      <c r="G724" t="s">
        <v>14</v>
      </c>
    </row>
    <row r="725" spans="1:7" x14ac:dyDescent="0.25">
      <c r="A725">
        <v>61</v>
      </c>
      <c r="B725" t="s">
        <v>172</v>
      </c>
      <c r="C725">
        <v>40</v>
      </c>
      <c r="D725" t="s">
        <v>105</v>
      </c>
      <c r="E725" t="s">
        <v>106</v>
      </c>
      <c r="F725">
        <v>1.107</v>
      </c>
      <c r="G725" t="s">
        <v>14</v>
      </c>
    </row>
    <row r="726" spans="1:7" x14ac:dyDescent="0.25">
      <c r="A726">
        <v>61</v>
      </c>
      <c r="B726" t="s">
        <v>172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172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172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172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172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172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172</v>
      </c>
      <c r="C732">
        <v>110</v>
      </c>
      <c r="D732" t="s">
        <v>109</v>
      </c>
      <c r="E732" t="s">
        <v>13</v>
      </c>
      <c r="F732">
        <v>0.61599999999999999</v>
      </c>
      <c r="G732" t="s">
        <v>14</v>
      </c>
    </row>
    <row r="733" spans="1:7" x14ac:dyDescent="0.25">
      <c r="A733">
        <v>61</v>
      </c>
      <c r="B733" t="s">
        <v>172</v>
      </c>
      <c r="C733">
        <v>120</v>
      </c>
      <c r="D733" t="s">
        <v>308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173</v>
      </c>
      <c r="C734">
        <v>10</v>
      </c>
      <c r="D734" t="s">
        <v>309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173</v>
      </c>
      <c r="C735">
        <v>20</v>
      </c>
      <c r="D735" t="s">
        <v>110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173</v>
      </c>
      <c r="C736">
        <v>30</v>
      </c>
      <c r="D736" t="s">
        <v>18</v>
      </c>
      <c r="E736" t="s">
        <v>15</v>
      </c>
      <c r="F736">
        <v>90.626999999999995</v>
      </c>
      <c r="G736" t="s">
        <v>14</v>
      </c>
    </row>
    <row r="737" spans="1:7" x14ac:dyDescent="0.25">
      <c r="A737">
        <v>62</v>
      </c>
      <c r="B737" t="s">
        <v>173</v>
      </c>
      <c r="C737">
        <v>40</v>
      </c>
      <c r="D737" t="s">
        <v>105</v>
      </c>
      <c r="E737" t="s">
        <v>106</v>
      </c>
      <c r="F737">
        <v>0.46400000000000002</v>
      </c>
      <c r="G737" t="s">
        <v>14</v>
      </c>
    </row>
    <row r="738" spans="1:7" x14ac:dyDescent="0.25">
      <c r="A738">
        <v>62</v>
      </c>
      <c r="B738" t="s">
        <v>173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173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173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173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173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173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173</v>
      </c>
      <c r="C744">
        <v>110</v>
      </c>
      <c r="D744" t="s">
        <v>109</v>
      </c>
      <c r="E744" t="s">
        <v>13</v>
      </c>
      <c r="F744">
        <v>0.67600000000000005</v>
      </c>
      <c r="G744" t="s">
        <v>14</v>
      </c>
    </row>
    <row r="745" spans="1:7" x14ac:dyDescent="0.25">
      <c r="A745">
        <v>62</v>
      </c>
      <c r="B745" t="s">
        <v>173</v>
      </c>
      <c r="C745">
        <v>120</v>
      </c>
      <c r="D745" t="s">
        <v>310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174</v>
      </c>
      <c r="C746">
        <v>10</v>
      </c>
      <c r="D746" t="s">
        <v>311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174</v>
      </c>
      <c r="C747">
        <v>20</v>
      </c>
      <c r="D747" t="s">
        <v>110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174</v>
      </c>
      <c r="C748">
        <v>30</v>
      </c>
      <c r="D748" t="s">
        <v>18</v>
      </c>
      <c r="E748" t="s">
        <v>15</v>
      </c>
      <c r="F748">
        <v>95.504000000000005</v>
      </c>
      <c r="G748" t="s">
        <v>14</v>
      </c>
    </row>
    <row r="749" spans="1:7" x14ac:dyDescent="0.25">
      <c r="A749">
        <v>63</v>
      </c>
      <c r="B749" t="s">
        <v>174</v>
      </c>
      <c r="C749">
        <v>40</v>
      </c>
      <c r="D749" t="s">
        <v>105</v>
      </c>
      <c r="E749" t="s">
        <v>106</v>
      </c>
      <c r="F749">
        <v>0.56000000000000005</v>
      </c>
      <c r="G749" t="s">
        <v>14</v>
      </c>
    </row>
    <row r="750" spans="1:7" x14ac:dyDescent="0.25">
      <c r="A750">
        <v>63</v>
      </c>
      <c r="B750" t="s">
        <v>174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174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174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174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174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174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174</v>
      </c>
      <c r="C756">
        <v>110</v>
      </c>
      <c r="D756" t="s">
        <v>109</v>
      </c>
      <c r="E756" t="s">
        <v>13</v>
      </c>
      <c r="F756">
        <v>0.67600000000000005</v>
      </c>
      <c r="G756" t="s">
        <v>14</v>
      </c>
    </row>
    <row r="757" spans="1:7" x14ac:dyDescent="0.25">
      <c r="A757">
        <v>63</v>
      </c>
      <c r="B757" t="s">
        <v>174</v>
      </c>
      <c r="C757">
        <v>120</v>
      </c>
      <c r="D757" t="s">
        <v>312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175</v>
      </c>
      <c r="C758">
        <v>10</v>
      </c>
      <c r="D758" t="s">
        <v>313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175</v>
      </c>
      <c r="C759">
        <v>20</v>
      </c>
      <c r="D759" t="s">
        <v>110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175</v>
      </c>
      <c r="C760">
        <v>30</v>
      </c>
      <c r="D760" t="s">
        <v>18</v>
      </c>
      <c r="E760" t="s">
        <v>15</v>
      </c>
      <c r="F760">
        <v>100.381</v>
      </c>
      <c r="G760" t="s">
        <v>14</v>
      </c>
    </row>
    <row r="761" spans="1:7" x14ac:dyDescent="0.25">
      <c r="A761">
        <v>64</v>
      </c>
      <c r="B761" t="s">
        <v>175</v>
      </c>
      <c r="C761">
        <v>40</v>
      </c>
      <c r="D761" t="s">
        <v>105</v>
      </c>
      <c r="E761" t="s">
        <v>106</v>
      </c>
      <c r="F761">
        <v>0.65600000000000003</v>
      </c>
      <c r="G761" t="s">
        <v>14</v>
      </c>
    </row>
    <row r="762" spans="1:7" x14ac:dyDescent="0.25">
      <c r="A762">
        <v>64</v>
      </c>
      <c r="B762" t="s">
        <v>175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175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175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175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175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175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175</v>
      </c>
      <c r="C768">
        <v>110</v>
      </c>
      <c r="D768" t="s">
        <v>109</v>
      </c>
      <c r="E768" t="s">
        <v>13</v>
      </c>
      <c r="F768">
        <v>0.67600000000000005</v>
      </c>
      <c r="G768" t="s">
        <v>14</v>
      </c>
    </row>
    <row r="769" spans="1:7" x14ac:dyDescent="0.25">
      <c r="A769">
        <v>64</v>
      </c>
      <c r="B769" t="s">
        <v>175</v>
      </c>
      <c r="C769">
        <v>120</v>
      </c>
      <c r="D769" t="s">
        <v>314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176</v>
      </c>
      <c r="C770">
        <v>10</v>
      </c>
      <c r="D770" t="s">
        <v>315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176</v>
      </c>
      <c r="C771">
        <v>20</v>
      </c>
      <c r="D771" t="s">
        <v>110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176</v>
      </c>
      <c r="C772">
        <v>30</v>
      </c>
      <c r="D772" t="s">
        <v>18</v>
      </c>
      <c r="E772" t="s">
        <v>15</v>
      </c>
      <c r="F772">
        <v>105.258</v>
      </c>
      <c r="G772" t="s">
        <v>14</v>
      </c>
    </row>
    <row r="773" spans="1:7" x14ac:dyDescent="0.25">
      <c r="A773">
        <v>65</v>
      </c>
      <c r="B773" t="s">
        <v>176</v>
      </c>
      <c r="C773">
        <v>40</v>
      </c>
      <c r="D773" t="s">
        <v>105</v>
      </c>
      <c r="E773" t="s">
        <v>106</v>
      </c>
      <c r="F773">
        <v>0.752</v>
      </c>
      <c r="G773" t="s">
        <v>14</v>
      </c>
    </row>
    <row r="774" spans="1:7" x14ac:dyDescent="0.25">
      <c r="A774">
        <v>65</v>
      </c>
      <c r="B774" t="s">
        <v>176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176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176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176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176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176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176</v>
      </c>
      <c r="C780">
        <v>110</v>
      </c>
      <c r="D780" t="s">
        <v>109</v>
      </c>
      <c r="E780" t="s">
        <v>13</v>
      </c>
      <c r="F780">
        <v>0.67600000000000005</v>
      </c>
      <c r="G780" t="s">
        <v>14</v>
      </c>
    </row>
    <row r="781" spans="1:7" x14ac:dyDescent="0.25">
      <c r="A781">
        <v>65</v>
      </c>
      <c r="B781" t="s">
        <v>176</v>
      </c>
      <c r="C781">
        <v>120</v>
      </c>
      <c r="D781" t="s">
        <v>316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177</v>
      </c>
      <c r="C782">
        <v>10</v>
      </c>
      <c r="D782" t="s">
        <v>317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177</v>
      </c>
      <c r="C783">
        <v>20</v>
      </c>
      <c r="D783" t="s">
        <v>110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177</v>
      </c>
      <c r="C784">
        <v>30</v>
      </c>
      <c r="D784" t="s">
        <v>18</v>
      </c>
      <c r="E784" t="s">
        <v>15</v>
      </c>
      <c r="F784">
        <v>115.011</v>
      </c>
      <c r="G784" t="s">
        <v>14</v>
      </c>
    </row>
    <row r="785" spans="1:7" x14ac:dyDescent="0.25">
      <c r="A785">
        <v>66</v>
      </c>
      <c r="B785" t="s">
        <v>177</v>
      </c>
      <c r="C785">
        <v>40</v>
      </c>
      <c r="D785" t="s">
        <v>105</v>
      </c>
      <c r="E785" t="s">
        <v>106</v>
      </c>
      <c r="F785">
        <v>0.94399999999999995</v>
      </c>
      <c r="G785" t="s">
        <v>14</v>
      </c>
    </row>
    <row r="786" spans="1:7" x14ac:dyDescent="0.25">
      <c r="A786">
        <v>66</v>
      </c>
      <c r="B786" t="s">
        <v>177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177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177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177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177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177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177</v>
      </c>
      <c r="C792">
        <v>110</v>
      </c>
      <c r="D792" t="s">
        <v>109</v>
      </c>
      <c r="E792" t="s">
        <v>13</v>
      </c>
      <c r="F792">
        <v>0.67600000000000005</v>
      </c>
      <c r="G792" t="s">
        <v>14</v>
      </c>
    </row>
    <row r="793" spans="1:7" x14ac:dyDescent="0.25">
      <c r="A793">
        <v>66</v>
      </c>
      <c r="B793" t="s">
        <v>177</v>
      </c>
      <c r="C793">
        <v>120</v>
      </c>
      <c r="D793" t="s">
        <v>318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178</v>
      </c>
      <c r="C794">
        <v>10</v>
      </c>
      <c r="D794" t="s">
        <v>319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178</v>
      </c>
      <c r="C795">
        <v>20</v>
      </c>
      <c r="D795" t="s">
        <v>110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178</v>
      </c>
      <c r="C796">
        <v>30</v>
      </c>
      <c r="D796" t="s">
        <v>18</v>
      </c>
      <c r="E796" t="s">
        <v>15</v>
      </c>
      <c r="F796">
        <v>119.88800000000001</v>
      </c>
      <c r="G796" t="s">
        <v>14</v>
      </c>
    </row>
    <row r="797" spans="1:7" x14ac:dyDescent="0.25">
      <c r="A797">
        <v>67</v>
      </c>
      <c r="B797" t="s">
        <v>178</v>
      </c>
      <c r="C797">
        <v>40</v>
      </c>
      <c r="D797" t="s">
        <v>105</v>
      </c>
      <c r="E797" t="s">
        <v>106</v>
      </c>
      <c r="F797">
        <v>1.04</v>
      </c>
      <c r="G797" t="s">
        <v>14</v>
      </c>
    </row>
    <row r="798" spans="1:7" x14ac:dyDescent="0.25">
      <c r="A798">
        <v>67</v>
      </c>
      <c r="B798" t="s">
        <v>178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178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178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178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178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178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178</v>
      </c>
      <c r="C804">
        <v>110</v>
      </c>
      <c r="D804" t="s">
        <v>109</v>
      </c>
      <c r="E804" t="s">
        <v>13</v>
      </c>
      <c r="F804">
        <v>0.67600000000000005</v>
      </c>
      <c r="G804" t="s">
        <v>14</v>
      </c>
    </row>
    <row r="805" spans="1:7" x14ac:dyDescent="0.25">
      <c r="A805">
        <v>67</v>
      </c>
      <c r="B805" t="s">
        <v>178</v>
      </c>
      <c r="C805">
        <v>120</v>
      </c>
      <c r="D805" t="s">
        <v>320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179</v>
      </c>
      <c r="C806">
        <v>10</v>
      </c>
      <c r="D806" t="s">
        <v>321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179</v>
      </c>
      <c r="C807">
        <v>20</v>
      </c>
      <c r="D807" t="s">
        <v>110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179</v>
      </c>
      <c r="C808">
        <v>30</v>
      </c>
      <c r="D808" t="s">
        <v>18</v>
      </c>
      <c r="E808" t="s">
        <v>15</v>
      </c>
      <c r="F808">
        <v>124.765</v>
      </c>
      <c r="G808" t="s">
        <v>14</v>
      </c>
    </row>
    <row r="809" spans="1:7" x14ac:dyDescent="0.25">
      <c r="A809">
        <v>68</v>
      </c>
      <c r="B809" t="s">
        <v>179</v>
      </c>
      <c r="C809">
        <v>40</v>
      </c>
      <c r="D809" t="s">
        <v>105</v>
      </c>
      <c r="E809" t="s">
        <v>106</v>
      </c>
      <c r="F809">
        <v>1.1359999999999999</v>
      </c>
      <c r="G809" t="s">
        <v>14</v>
      </c>
    </row>
    <row r="810" spans="1:7" x14ac:dyDescent="0.25">
      <c r="A810">
        <v>68</v>
      </c>
      <c r="B810" t="s">
        <v>179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179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179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179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179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179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179</v>
      </c>
      <c r="C816">
        <v>110</v>
      </c>
      <c r="D816" t="s">
        <v>109</v>
      </c>
      <c r="E816" t="s">
        <v>13</v>
      </c>
      <c r="F816">
        <v>0.67600000000000005</v>
      </c>
      <c r="G816" t="s">
        <v>14</v>
      </c>
    </row>
    <row r="817" spans="1:7" x14ac:dyDescent="0.25">
      <c r="A817">
        <v>68</v>
      </c>
      <c r="B817" t="s">
        <v>179</v>
      </c>
      <c r="C817">
        <v>120</v>
      </c>
      <c r="D817" t="s">
        <v>322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180</v>
      </c>
      <c r="C818">
        <v>10</v>
      </c>
      <c r="D818" t="s">
        <v>323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180</v>
      </c>
      <c r="C819">
        <v>20</v>
      </c>
      <c r="D819" t="s">
        <v>110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180</v>
      </c>
      <c r="C820">
        <v>30</v>
      </c>
      <c r="D820" t="s">
        <v>18</v>
      </c>
      <c r="E820" t="s">
        <v>15</v>
      </c>
      <c r="F820">
        <v>93.878</v>
      </c>
      <c r="G820" t="s">
        <v>14</v>
      </c>
    </row>
    <row r="821" spans="1:7" x14ac:dyDescent="0.25">
      <c r="A821">
        <v>69</v>
      </c>
      <c r="B821" t="s">
        <v>180</v>
      </c>
      <c r="C821">
        <v>40</v>
      </c>
      <c r="D821" t="s">
        <v>105</v>
      </c>
      <c r="E821" t="s">
        <v>106</v>
      </c>
      <c r="F821">
        <v>0.48699999999999999</v>
      </c>
      <c r="G821" t="s">
        <v>14</v>
      </c>
    </row>
    <row r="822" spans="1:7" x14ac:dyDescent="0.25">
      <c r="A822">
        <v>69</v>
      </c>
      <c r="B822" t="s">
        <v>180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180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180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180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180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180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180</v>
      </c>
      <c r="C828">
        <v>110</v>
      </c>
      <c r="D828" t="s">
        <v>109</v>
      </c>
      <c r="E828" t="s">
        <v>13</v>
      </c>
      <c r="F828">
        <v>0.70599999999999996</v>
      </c>
      <c r="G828" t="s">
        <v>14</v>
      </c>
    </row>
    <row r="829" spans="1:7" x14ac:dyDescent="0.25">
      <c r="A829">
        <v>69</v>
      </c>
      <c r="B829" t="s">
        <v>180</v>
      </c>
      <c r="C829">
        <v>120</v>
      </c>
      <c r="D829" t="s">
        <v>324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181</v>
      </c>
      <c r="C830">
        <v>10</v>
      </c>
      <c r="D830" t="s">
        <v>325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181</v>
      </c>
      <c r="C831">
        <v>20</v>
      </c>
      <c r="D831" t="s">
        <v>110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181</v>
      </c>
      <c r="C832">
        <v>30</v>
      </c>
      <c r="D832" t="s">
        <v>18</v>
      </c>
      <c r="E832" t="s">
        <v>15</v>
      </c>
      <c r="F832">
        <v>98.754999999999995</v>
      </c>
      <c r="G832" t="s">
        <v>14</v>
      </c>
    </row>
    <row r="833" spans="1:7" x14ac:dyDescent="0.25">
      <c r="A833">
        <v>70</v>
      </c>
      <c r="B833" t="s">
        <v>181</v>
      </c>
      <c r="C833">
        <v>40</v>
      </c>
      <c r="D833" t="s">
        <v>105</v>
      </c>
      <c r="E833" t="s">
        <v>106</v>
      </c>
      <c r="F833">
        <v>0.58799999999999997</v>
      </c>
      <c r="G833" t="s">
        <v>14</v>
      </c>
    </row>
    <row r="834" spans="1:7" x14ac:dyDescent="0.25">
      <c r="A834">
        <v>70</v>
      </c>
      <c r="B834" t="s">
        <v>181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181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181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181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181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181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181</v>
      </c>
      <c r="C840">
        <v>110</v>
      </c>
      <c r="D840" t="s">
        <v>109</v>
      </c>
      <c r="E840" t="s">
        <v>13</v>
      </c>
      <c r="F840">
        <v>0.70599999999999996</v>
      </c>
      <c r="G840" t="s">
        <v>14</v>
      </c>
    </row>
    <row r="841" spans="1:7" x14ac:dyDescent="0.25">
      <c r="A841">
        <v>70</v>
      </c>
      <c r="B841" t="s">
        <v>181</v>
      </c>
      <c r="C841">
        <v>120</v>
      </c>
      <c r="D841" t="s">
        <v>326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182</v>
      </c>
      <c r="C842">
        <v>10</v>
      </c>
      <c r="D842" t="s">
        <v>327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182</v>
      </c>
      <c r="C843">
        <v>20</v>
      </c>
      <c r="D843" t="s">
        <v>110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182</v>
      </c>
      <c r="C844">
        <v>30</v>
      </c>
      <c r="D844" t="s">
        <v>18</v>
      </c>
      <c r="E844" t="s">
        <v>15</v>
      </c>
      <c r="F844">
        <v>103.63200000000001</v>
      </c>
      <c r="G844" t="s">
        <v>14</v>
      </c>
    </row>
    <row r="845" spans="1:7" x14ac:dyDescent="0.25">
      <c r="A845">
        <v>71</v>
      </c>
      <c r="B845" t="s">
        <v>182</v>
      </c>
      <c r="C845">
        <v>40</v>
      </c>
      <c r="D845" t="s">
        <v>105</v>
      </c>
      <c r="E845" t="s">
        <v>106</v>
      </c>
      <c r="F845">
        <v>0.68899999999999995</v>
      </c>
      <c r="G845" t="s">
        <v>14</v>
      </c>
    </row>
    <row r="846" spans="1:7" x14ac:dyDescent="0.25">
      <c r="A846">
        <v>71</v>
      </c>
      <c r="B846" t="s">
        <v>182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182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182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182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182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182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182</v>
      </c>
      <c r="C852">
        <v>110</v>
      </c>
      <c r="D852" t="s">
        <v>109</v>
      </c>
      <c r="E852" t="s">
        <v>13</v>
      </c>
      <c r="F852">
        <v>0.70599999999999996</v>
      </c>
      <c r="G852" t="s">
        <v>14</v>
      </c>
    </row>
    <row r="853" spans="1:7" x14ac:dyDescent="0.25">
      <c r="A853">
        <v>71</v>
      </c>
      <c r="B853" t="s">
        <v>182</v>
      </c>
      <c r="C853">
        <v>120</v>
      </c>
      <c r="D853" t="s">
        <v>328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183</v>
      </c>
      <c r="C854">
        <v>10</v>
      </c>
      <c r="D854" t="s">
        <v>329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183</v>
      </c>
      <c r="C855">
        <v>20</v>
      </c>
      <c r="D855" t="s">
        <v>110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183</v>
      </c>
      <c r="C856">
        <v>30</v>
      </c>
      <c r="D856" t="s">
        <v>18</v>
      </c>
      <c r="E856" t="s">
        <v>15</v>
      </c>
      <c r="F856">
        <v>108.509</v>
      </c>
      <c r="G856" t="s">
        <v>14</v>
      </c>
    </row>
    <row r="857" spans="1:7" x14ac:dyDescent="0.25">
      <c r="A857">
        <v>72</v>
      </c>
      <c r="B857" t="s">
        <v>183</v>
      </c>
      <c r="C857">
        <v>40</v>
      </c>
      <c r="D857" t="s">
        <v>105</v>
      </c>
      <c r="E857" t="s">
        <v>106</v>
      </c>
      <c r="F857">
        <v>0.79</v>
      </c>
      <c r="G857" t="s">
        <v>14</v>
      </c>
    </row>
    <row r="858" spans="1:7" x14ac:dyDescent="0.25">
      <c r="A858">
        <v>72</v>
      </c>
      <c r="B858" t="s">
        <v>183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183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183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183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183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183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183</v>
      </c>
      <c r="C864">
        <v>110</v>
      </c>
      <c r="D864" t="s">
        <v>109</v>
      </c>
      <c r="E864" t="s">
        <v>13</v>
      </c>
      <c r="F864">
        <v>0.70599999999999996</v>
      </c>
      <c r="G864" t="s">
        <v>14</v>
      </c>
    </row>
    <row r="865" spans="1:7" x14ac:dyDescent="0.25">
      <c r="A865">
        <v>72</v>
      </c>
      <c r="B865" t="s">
        <v>183</v>
      </c>
      <c r="C865">
        <v>120</v>
      </c>
      <c r="D865" t="s">
        <v>330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184</v>
      </c>
      <c r="C866">
        <v>10</v>
      </c>
      <c r="D866" t="s">
        <v>331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184</v>
      </c>
      <c r="C867">
        <v>20</v>
      </c>
      <c r="D867" t="s">
        <v>110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184</v>
      </c>
      <c r="C868">
        <v>30</v>
      </c>
      <c r="D868" t="s">
        <v>18</v>
      </c>
      <c r="E868" t="s">
        <v>15</v>
      </c>
      <c r="F868">
        <v>118.262</v>
      </c>
      <c r="G868" t="s">
        <v>14</v>
      </c>
    </row>
    <row r="869" spans="1:7" x14ac:dyDescent="0.25">
      <c r="A869">
        <v>73</v>
      </c>
      <c r="B869" t="s">
        <v>184</v>
      </c>
      <c r="C869">
        <v>40</v>
      </c>
      <c r="D869" t="s">
        <v>105</v>
      </c>
      <c r="E869" t="s">
        <v>106</v>
      </c>
      <c r="F869">
        <v>0.99199999999999999</v>
      </c>
      <c r="G869" t="s">
        <v>14</v>
      </c>
    </row>
    <row r="870" spans="1:7" x14ac:dyDescent="0.25">
      <c r="A870">
        <v>73</v>
      </c>
      <c r="B870" t="s">
        <v>184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184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184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184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184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184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184</v>
      </c>
      <c r="C876">
        <v>110</v>
      </c>
      <c r="D876" t="s">
        <v>109</v>
      </c>
      <c r="E876" t="s">
        <v>13</v>
      </c>
      <c r="F876">
        <v>0.70599999999999996</v>
      </c>
      <c r="G876" t="s">
        <v>14</v>
      </c>
    </row>
    <row r="877" spans="1:7" x14ac:dyDescent="0.25">
      <c r="A877">
        <v>73</v>
      </c>
      <c r="B877" t="s">
        <v>184</v>
      </c>
      <c r="C877">
        <v>120</v>
      </c>
      <c r="D877" t="s">
        <v>332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185</v>
      </c>
      <c r="C878">
        <v>10</v>
      </c>
      <c r="D878" t="s">
        <v>333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185</v>
      </c>
      <c r="C879">
        <v>20</v>
      </c>
      <c r="D879" t="s">
        <v>110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185</v>
      </c>
      <c r="C880">
        <v>30</v>
      </c>
      <c r="D880" t="s">
        <v>18</v>
      </c>
      <c r="E880" t="s">
        <v>15</v>
      </c>
      <c r="F880">
        <v>123.139</v>
      </c>
      <c r="G880" t="s">
        <v>14</v>
      </c>
    </row>
    <row r="881" spans="1:7" x14ac:dyDescent="0.25">
      <c r="A881">
        <v>74</v>
      </c>
      <c r="B881" t="s">
        <v>185</v>
      </c>
      <c r="C881">
        <v>40</v>
      </c>
      <c r="D881" t="s">
        <v>105</v>
      </c>
      <c r="E881" t="s">
        <v>106</v>
      </c>
      <c r="F881">
        <v>1.0920000000000001</v>
      </c>
      <c r="G881" t="s">
        <v>14</v>
      </c>
    </row>
    <row r="882" spans="1:7" x14ac:dyDescent="0.25">
      <c r="A882">
        <v>74</v>
      </c>
      <c r="B882" t="s">
        <v>185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185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185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185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185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185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185</v>
      </c>
      <c r="C888">
        <v>110</v>
      </c>
      <c r="D888" t="s">
        <v>109</v>
      </c>
      <c r="E888" t="s">
        <v>13</v>
      </c>
      <c r="F888">
        <v>0.70599999999999996</v>
      </c>
      <c r="G888" t="s">
        <v>14</v>
      </c>
    </row>
    <row r="889" spans="1:7" x14ac:dyDescent="0.25">
      <c r="A889">
        <v>74</v>
      </c>
      <c r="B889" t="s">
        <v>185</v>
      </c>
      <c r="C889">
        <v>120</v>
      </c>
      <c r="D889" t="s">
        <v>334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186</v>
      </c>
      <c r="C890">
        <v>10</v>
      </c>
      <c r="D890" t="s">
        <v>335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186</v>
      </c>
      <c r="C891">
        <v>20</v>
      </c>
      <c r="D891" t="s">
        <v>110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186</v>
      </c>
      <c r="C892">
        <v>30</v>
      </c>
      <c r="D892" t="s">
        <v>18</v>
      </c>
      <c r="E892" t="s">
        <v>15</v>
      </c>
      <c r="F892">
        <v>128.01599999999999</v>
      </c>
      <c r="G892" t="s">
        <v>14</v>
      </c>
    </row>
    <row r="893" spans="1:7" x14ac:dyDescent="0.25">
      <c r="A893">
        <v>75</v>
      </c>
      <c r="B893" t="s">
        <v>186</v>
      </c>
      <c r="C893">
        <v>40</v>
      </c>
      <c r="D893" t="s">
        <v>105</v>
      </c>
      <c r="E893" t="s">
        <v>106</v>
      </c>
      <c r="F893">
        <v>1.1930000000000001</v>
      </c>
      <c r="G893" t="s">
        <v>14</v>
      </c>
    </row>
    <row r="894" spans="1:7" x14ac:dyDescent="0.25">
      <c r="A894">
        <v>75</v>
      </c>
      <c r="B894" t="s">
        <v>186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186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186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186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186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186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186</v>
      </c>
      <c r="C900">
        <v>110</v>
      </c>
      <c r="D900" t="s">
        <v>109</v>
      </c>
      <c r="E900" t="s">
        <v>13</v>
      </c>
      <c r="F900">
        <v>0.70599999999999996</v>
      </c>
      <c r="G900" t="s">
        <v>14</v>
      </c>
    </row>
    <row r="901" spans="1:7" x14ac:dyDescent="0.25">
      <c r="A901">
        <v>75</v>
      </c>
      <c r="B901" t="s">
        <v>186</v>
      </c>
      <c r="C901">
        <v>120</v>
      </c>
      <c r="D901" t="s">
        <v>336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E18" sqref="E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110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0.46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0.32300000000000001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188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189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110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18</v>
      </c>
      <c r="O19" s="3"/>
      <c r="P19" s="3"/>
      <c r="Q19" s="3">
        <v>91.44</v>
      </c>
      <c r="R19" s="3" t="s">
        <v>15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0.54600000000000004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0.36799999999999999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190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110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18</v>
      </c>
      <c r="O31" s="3"/>
      <c r="P31" s="3"/>
      <c r="Q31" s="3">
        <v>96.316999999999993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0.63300000000000001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0.41299999999999998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192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110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18</v>
      </c>
      <c r="O43" s="3"/>
      <c r="P43" s="3"/>
      <c r="Q43" s="3">
        <v>101.194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0.71899999999999997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0.45800000000000002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194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110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18</v>
      </c>
      <c r="O55" s="3"/>
      <c r="P55" s="3"/>
      <c r="Q55" s="3">
        <v>103.63200000000001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0.76200000000000001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0.48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196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110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18</v>
      </c>
      <c r="O67" s="3"/>
      <c r="P67" s="3"/>
      <c r="Q67" s="3">
        <v>106.07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0.80500000000000005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0.503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198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199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110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18</v>
      </c>
      <c r="O79" s="3"/>
      <c r="P79" s="3"/>
      <c r="Q79" s="3">
        <v>110.947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0.89100000000000001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0.54800000000000004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200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110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18</v>
      </c>
      <c r="O91" s="3"/>
      <c r="P91" s="3"/>
      <c r="Q91" s="3">
        <v>115.824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0.97799999999999998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0.59299999999999997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202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110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18</v>
      </c>
      <c r="O103" s="3"/>
      <c r="P103" s="3"/>
      <c r="Q103" s="3">
        <v>89.001999999999995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0.48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0.32300000000000001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204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110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18</v>
      </c>
      <c r="O115" s="3"/>
      <c r="P115" s="3"/>
      <c r="Q115" s="3">
        <v>93.878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0.56899999999999995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0.36799999999999999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206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110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18</v>
      </c>
      <c r="O127" s="3"/>
      <c r="P127" s="3"/>
      <c r="Q127" s="3">
        <v>98.754999999999995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0.65900000000000003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0.41299999999999998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208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209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110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18</v>
      </c>
      <c r="O139" s="3"/>
      <c r="P139" s="3"/>
      <c r="Q139" s="3">
        <v>103.63200000000001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0.749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0.45800000000000002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210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110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18</v>
      </c>
      <c r="O151" s="3"/>
      <c r="P151" s="3"/>
      <c r="Q151" s="3">
        <v>106.07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0.79400000000000004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212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110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108.509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0.83899999999999997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0.503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214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126</v>
      </c>
      <c r="D173" s="3"/>
      <c r="E173" s="3" t="s">
        <v>126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110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18</v>
      </c>
      <c r="O175" s="3"/>
      <c r="P175" s="3"/>
      <c r="Q175" s="3">
        <v>113.386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0.92900000000000005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0.54800000000000004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216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127</v>
      </c>
      <c r="D185" s="3"/>
      <c r="E185" s="3" t="s">
        <v>127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127</v>
      </c>
      <c r="D186" s="3"/>
      <c r="E186" s="3" t="s">
        <v>127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110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18</v>
      </c>
      <c r="O187" s="3"/>
      <c r="P187" s="3"/>
      <c r="Q187" s="3">
        <v>118.262</v>
      </c>
      <c r="R187" s="3" t="s">
        <v>15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1.0189999999999999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0.59299999999999997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218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128</v>
      </c>
      <c r="D197" s="3"/>
      <c r="E197" s="3" t="s">
        <v>128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128</v>
      </c>
      <c r="D198" s="3"/>
      <c r="E198" s="3" t="s">
        <v>128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110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128</v>
      </c>
      <c r="D199" s="3"/>
      <c r="E199" s="3" t="s">
        <v>128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18</v>
      </c>
      <c r="O199" s="3"/>
      <c r="P199" s="3"/>
      <c r="Q199" s="3">
        <v>91.44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0.499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0.32300000000000001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220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129</v>
      </c>
      <c r="D209" s="3"/>
      <c r="E209" s="3" t="s">
        <v>129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129</v>
      </c>
      <c r="D210" s="3"/>
      <c r="E210" s="3" t="s">
        <v>129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110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129</v>
      </c>
      <c r="D211" s="3"/>
      <c r="E211" s="3" t="s">
        <v>129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18</v>
      </c>
      <c r="O211" s="3"/>
      <c r="P211" s="3"/>
      <c r="Q211" s="3">
        <v>96.316999999999993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129</v>
      </c>
      <c r="D212" s="3"/>
      <c r="E212" s="3" t="s">
        <v>129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0.59299999999999997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0.36799999999999999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222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130</v>
      </c>
      <c r="D221" s="3"/>
      <c r="E221" s="3" t="s">
        <v>130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130</v>
      </c>
      <c r="D222" s="3"/>
      <c r="E222" s="3" t="s">
        <v>130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110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130</v>
      </c>
      <c r="D223" s="3"/>
      <c r="E223" s="3" t="s">
        <v>130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18</v>
      </c>
      <c r="O223" s="3"/>
      <c r="P223" s="3"/>
      <c r="Q223" s="3">
        <v>101.194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130</v>
      </c>
      <c r="D224" s="3"/>
      <c r="E224" s="3" t="s">
        <v>130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0.68600000000000005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130</v>
      </c>
      <c r="D225" s="3"/>
      <c r="E225" s="3" t="s">
        <v>130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0.41299999999999998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224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131</v>
      </c>
      <c r="D233" s="3"/>
      <c r="E233" s="3" t="s">
        <v>131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131</v>
      </c>
      <c r="D234" s="3"/>
      <c r="E234" s="3" t="s">
        <v>131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110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131</v>
      </c>
      <c r="D235" s="3"/>
      <c r="E235" s="3" t="s">
        <v>131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18</v>
      </c>
      <c r="O235" s="3"/>
      <c r="P235" s="3"/>
      <c r="Q235" s="3">
        <v>106.07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131</v>
      </c>
      <c r="D236" s="3"/>
      <c r="E236" s="3" t="s">
        <v>131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0.78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131</v>
      </c>
      <c r="D237" s="3"/>
      <c r="E237" s="3" t="s">
        <v>131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131</v>
      </c>
      <c r="D238" s="3"/>
      <c r="E238" s="3" t="s">
        <v>131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0.45800000000000002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226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132</v>
      </c>
      <c r="D245" s="3"/>
      <c r="E245" s="3" t="s">
        <v>132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132</v>
      </c>
      <c r="D246" s="3"/>
      <c r="E246" s="3" t="s">
        <v>132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110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132</v>
      </c>
      <c r="D247" s="3"/>
      <c r="E247" s="3" t="s">
        <v>132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18</v>
      </c>
      <c r="O247" s="3"/>
      <c r="P247" s="3"/>
      <c r="Q247" s="3">
        <v>108.509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132</v>
      </c>
      <c r="D248" s="3"/>
      <c r="E248" s="3" t="s">
        <v>132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0.82599999999999996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132</v>
      </c>
      <c r="D249" s="3"/>
      <c r="E249" s="3" t="s">
        <v>132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132</v>
      </c>
      <c r="D250" s="3"/>
      <c r="E250" s="3" t="s">
        <v>132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132</v>
      </c>
      <c r="D251" s="3"/>
      <c r="E251" s="3" t="s">
        <v>132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228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133</v>
      </c>
      <c r="D257" s="3"/>
      <c r="E257" s="3" t="s">
        <v>133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229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133</v>
      </c>
      <c r="D258" s="3"/>
      <c r="E258" s="3" t="s">
        <v>133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110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133</v>
      </c>
      <c r="D259" s="3"/>
      <c r="E259" s="3" t="s">
        <v>133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18</v>
      </c>
      <c r="O259" s="3"/>
      <c r="P259" s="3"/>
      <c r="Q259" s="3">
        <v>110.947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133</v>
      </c>
      <c r="D260" s="3"/>
      <c r="E260" s="3" t="s">
        <v>133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0.873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133</v>
      </c>
      <c r="D261" s="3"/>
      <c r="E261" s="3" t="s">
        <v>133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133</v>
      </c>
      <c r="D262" s="3"/>
      <c r="E262" s="3" t="s">
        <v>133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133</v>
      </c>
      <c r="D263" s="3"/>
      <c r="E263" s="3" t="s">
        <v>133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133</v>
      </c>
      <c r="D264" s="3"/>
      <c r="E264" s="3" t="s">
        <v>133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0.503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230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134</v>
      </c>
      <c r="D269" s="3"/>
      <c r="E269" s="3" t="s">
        <v>134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134</v>
      </c>
      <c r="D270" s="3"/>
      <c r="E270" s="3" t="s">
        <v>134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110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134</v>
      </c>
      <c r="D271" s="3"/>
      <c r="E271" s="3" t="s">
        <v>134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18</v>
      </c>
      <c r="O271" s="3"/>
      <c r="P271" s="3"/>
      <c r="Q271" s="3">
        <v>115.824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134</v>
      </c>
      <c r="D272" s="3"/>
      <c r="E272" s="3" t="s">
        <v>134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0.96699999999999997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134</v>
      </c>
      <c r="D273" s="3"/>
      <c r="E273" s="3" t="s">
        <v>134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134</v>
      </c>
      <c r="D274" s="3"/>
      <c r="E274" s="3" t="s">
        <v>134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134</v>
      </c>
      <c r="D275" s="3"/>
      <c r="E275" s="3" t="s">
        <v>134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134</v>
      </c>
      <c r="D276" s="3"/>
      <c r="E276" s="3" t="s">
        <v>134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134</v>
      </c>
      <c r="D277" s="3"/>
      <c r="E277" s="3" t="s">
        <v>134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0.54800000000000004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232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135</v>
      </c>
      <c r="D281" s="3"/>
      <c r="E281" s="3" t="s">
        <v>135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135</v>
      </c>
      <c r="D282" s="3"/>
      <c r="E282" s="3" t="s">
        <v>135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110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135</v>
      </c>
      <c r="D283" s="3"/>
      <c r="E283" s="3" t="s">
        <v>135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18</v>
      </c>
      <c r="O283" s="3"/>
      <c r="P283" s="3"/>
      <c r="Q283" s="3">
        <v>120.70099999999999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135</v>
      </c>
      <c r="D284" s="3"/>
      <c r="E284" s="3" t="s">
        <v>135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1.06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135</v>
      </c>
      <c r="D285" s="3"/>
      <c r="E285" s="3" t="s">
        <v>135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135</v>
      </c>
      <c r="D286" s="3"/>
      <c r="E286" s="3" t="s">
        <v>135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135</v>
      </c>
      <c r="D287" s="3"/>
      <c r="E287" s="3" t="s">
        <v>135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135</v>
      </c>
      <c r="D288" s="3"/>
      <c r="E288" s="3" t="s">
        <v>135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135</v>
      </c>
      <c r="D289" s="3"/>
      <c r="E289" s="3" t="s">
        <v>135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135</v>
      </c>
      <c r="D290" s="3"/>
      <c r="E290" s="3" t="s">
        <v>135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0.59299999999999997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234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136</v>
      </c>
      <c r="D293" s="3"/>
      <c r="E293" s="3" t="s">
        <v>136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136</v>
      </c>
      <c r="D294" s="3"/>
      <c r="E294" s="3" t="s">
        <v>136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110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136</v>
      </c>
      <c r="D295" s="3"/>
      <c r="E295" s="3" t="s">
        <v>136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18</v>
      </c>
      <c r="O295" s="3"/>
      <c r="P295" s="3"/>
      <c r="Q295" s="3">
        <v>93.066000000000003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136</v>
      </c>
      <c r="D296" s="3"/>
      <c r="E296" s="3" t="s">
        <v>136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0.51200000000000001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136</v>
      </c>
      <c r="D297" s="3"/>
      <c r="E297" s="3" t="s">
        <v>136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136</v>
      </c>
      <c r="D298" s="3"/>
      <c r="E298" s="3" t="s">
        <v>136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136</v>
      </c>
      <c r="D299" s="3"/>
      <c r="E299" s="3" t="s">
        <v>136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136</v>
      </c>
      <c r="D300" s="3"/>
      <c r="E300" s="3" t="s">
        <v>136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136</v>
      </c>
      <c r="D301" s="3"/>
      <c r="E301" s="3" t="s">
        <v>136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136</v>
      </c>
      <c r="D302" s="3"/>
      <c r="E302" s="3" t="s">
        <v>136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136</v>
      </c>
      <c r="D303" s="3"/>
      <c r="E303" s="3" t="s">
        <v>136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0.67600000000000005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236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137</v>
      </c>
      <c r="D305" s="3"/>
      <c r="E305" s="3" t="s">
        <v>137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137</v>
      </c>
      <c r="D306" s="3"/>
      <c r="E306" s="3" t="s">
        <v>137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110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137</v>
      </c>
      <c r="D307" s="3"/>
      <c r="E307" s="3" t="s">
        <v>137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18</v>
      </c>
      <c r="O307" s="3"/>
      <c r="P307" s="3"/>
      <c r="Q307" s="3">
        <v>97.941999999999993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137</v>
      </c>
      <c r="D308" s="3"/>
      <c r="E308" s="3" t="s">
        <v>137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0.60799999999999998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137</v>
      </c>
      <c r="D309" s="3"/>
      <c r="E309" s="3" t="s">
        <v>137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137</v>
      </c>
      <c r="D310" s="3"/>
      <c r="E310" s="3" t="s">
        <v>137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137</v>
      </c>
      <c r="D311" s="3"/>
      <c r="E311" s="3" t="s">
        <v>137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137</v>
      </c>
      <c r="D312" s="3"/>
      <c r="E312" s="3" t="s">
        <v>137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137</v>
      </c>
      <c r="D313" s="3"/>
      <c r="E313" s="3" t="s">
        <v>137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137</v>
      </c>
      <c r="D314" s="3"/>
      <c r="E314" s="3" t="s">
        <v>137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137</v>
      </c>
      <c r="D315" s="3"/>
      <c r="E315" s="3" t="s">
        <v>137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0.67600000000000005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137</v>
      </c>
      <c r="D316" s="3"/>
      <c r="E316" s="3" t="s">
        <v>137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238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138</v>
      </c>
      <c r="D317" s="3"/>
      <c r="E317" s="3" t="s">
        <v>138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138</v>
      </c>
      <c r="D318" s="3"/>
      <c r="E318" s="3" t="s">
        <v>138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110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138</v>
      </c>
      <c r="D319" s="3"/>
      <c r="E319" s="3" t="s">
        <v>138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102.819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138</v>
      </c>
      <c r="D320" s="3"/>
      <c r="E320" s="3" t="s">
        <v>138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0.70399999999999996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138</v>
      </c>
      <c r="D321" s="3"/>
      <c r="E321" s="3" t="s">
        <v>138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138</v>
      </c>
      <c r="D322" s="3"/>
      <c r="E322" s="3" t="s">
        <v>138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138</v>
      </c>
      <c r="D323" s="3"/>
      <c r="E323" s="3" t="s">
        <v>138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138</v>
      </c>
      <c r="D324" s="3"/>
      <c r="E324" s="3" t="s">
        <v>138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138</v>
      </c>
      <c r="D325" s="3"/>
      <c r="E325" s="3" t="s">
        <v>138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138</v>
      </c>
      <c r="D326" s="3"/>
      <c r="E326" s="3" t="s">
        <v>138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138</v>
      </c>
      <c r="D327" s="3"/>
      <c r="E327" s="3" t="s">
        <v>138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138</v>
      </c>
      <c r="D328" s="3"/>
      <c r="E328" s="3" t="s">
        <v>138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240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139</v>
      </c>
      <c r="D329" s="3"/>
      <c r="E329" s="3" t="s">
        <v>139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139</v>
      </c>
      <c r="D330" s="3"/>
      <c r="E330" s="3" t="s">
        <v>139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110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139</v>
      </c>
      <c r="D331" s="3"/>
      <c r="E331" s="3" t="s">
        <v>139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18</v>
      </c>
      <c r="O331" s="3"/>
      <c r="P331" s="3"/>
      <c r="Q331" s="3">
        <v>107.696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139</v>
      </c>
      <c r="D332" s="3"/>
      <c r="E332" s="3" t="s">
        <v>139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0.8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139</v>
      </c>
      <c r="D333" s="3"/>
      <c r="E333" s="3" t="s">
        <v>139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139</v>
      </c>
      <c r="D334" s="3"/>
      <c r="E334" s="3" t="s">
        <v>139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139</v>
      </c>
      <c r="D335" s="3"/>
      <c r="E335" s="3" t="s">
        <v>139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139</v>
      </c>
      <c r="D336" s="3"/>
      <c r="E336" s="3" t="s">
        <v>139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139</v>
      </c>
      <c r="D337" s="3"/>
      <c r="E337" s="3" t="s">
        <v>139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139</v>
      </c>
      <c r="D338" s="3"/>
      <c r="E338" s="3" t="s">
        <v>139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139</v>
      </c>
      <c r="D339" s="3"/>
      <c r="E339" s="3" t="s">
        <v>139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0.67600000000000005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139</v>
      </c>
      <c r="D340" s="3"/>
      <c r="E340" s="3" t="s">
        <v>139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242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140</v>
      </c>
      <c r="D341" s="3"/>
      <c r="E341" s="3" t="s">
        <v>140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140</v>
      </c>
      <c r="D342" s="3"/>
      <c r="E342" s="3" t="s">
        <v>140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110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140</v>
      </c>
      <c r="D343" s="3"/>
      <c r="E343" s="3" t="s">
        <v>140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18</v>
      </c>
      <c r="O343" s="3"/>
      <c r="P343" s="3"/>
      <c r="Q343" s="3">
        <v>110.134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140</v>
      </c>
      <c r="D344" s="3"/>
      <c r="E344" s="3" t="s">
        <v>140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0.84799999999999998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140</v>
      </c>
      <c r="D345" s="3"/>
      <c r="E345" s="3" t="s">
        <v>140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140</v>
      </c>
      <c r="D346" s="3"/>
      <c r="E346" s="3" t="s">
        <v>140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140</v>
      </c>
      <c r="D347" s="3"/>
      <c r="E347" s="3" t="s">
        <v>140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140</v>
      </c>
      <c r="D348" s="3"/>
      <c r="E348" s="3" t="s">
        <v>140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140</v>
      </c>
      <c r="D349" s="3"/>
      <c r="E349" s="3" t="s">
        <v>140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140</v>
      </c>
      <c r="D350" s="3"/>
      <c r="E350" s="3" t="s">
        <v>140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140</v>
      </c>
      <c r="D351" s="3"/>
      <c r="E351" s="3" t="s">
        <v>140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0.67600000000000005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140</v>
      </c>
      <c r="D352" s="3"/>
      <c r="E352" s="3" t="s">
        <v>140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244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141</v>
      </c>
      <c r="D353" s="3"/>
      <c r="E353" s="3" t="s">
        <v>141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141</v>
      </c>
      <c r="D354" s="3"/>
      <c r="E354" s="3" t="s">
        <v>141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110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141</v>
      </c>
      <c r="D355" s="3"/>
      <c r="E355" s="3" t="s">
        <v>141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18</v>
      </c>
      <c r="O355" s="3"/>
      <c r="P355" s="3"/>
      <c r="Q355" s="3">
        <v>112.57299999999999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141</v>
      </c>
      <c r="D356" s="3"/>
      <c r="E356" s="3" t="s">
        <v>141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0.89600000000000002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141</v>
      </c>
      <c r="D357" s="3"/>
      <c r="E357" s="3" t="s">
        <v>141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141</v>
      </c>
      <c r="D358" s="3"/>
      <c r="E358" s="3" t="s">
        <v>141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141</v>
      </c>
      <c r="D359" s="3"/>
      <c r="E359" s="3" t="s">
        <v>141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141</v>
      </c>
      <c r="D360" s="3"/>
      <c r="E360" s="3" t="s">
        <v>141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141</v>
      </c>
      <c r="D361" s="3"/>
      <c r="E361" s="3" t="s">
        <v>141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141</v>
      </c>
      <c r="D362" s="3"/>
      <c r="E362" s="3" t="s">
        <v>141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141</v>
      </c>
      <c r="D363" s="3"/>
      <c r="E363" s="3" t="s">
        <v>141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0.67600000000000005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141</v>
      </c>
      <c r="D364" s="3"/>
      <c r="E364" s="3" t="s">
        <v>141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246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142</v>
      </c>
      <c r="D365" s="3"/>
      <c r="E365" s="3" t="s">
        <v>142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142</v>
      </c>
      <c r="D366" s="3"/>
      <c r="E366" s="3" t="s">
        <v>142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110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142</v>
      </c>
      <c r="D367" s="3"/>
      <c r="E367" s="3" t="s">
        <v>142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18</v>
      </c>
      <c r="O367" s="3"/>
      <c r="P367" s="3"/>
      <c r="Q367" s="3">
        <v>117.45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142</v>
      </c>
      <c r="D368" s="3"/>
      <c r="E368" s="3" t="s">
        <v>142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0.99199999999999999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142</v>
      </c>
      <c r="D369" s="3"/>
      <c r="E369" s="3" t="s">
        <v>142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142</v>
      </c>
      <c r="D370" s="3"/>
      <c r="E370" s="3" t="s">
        <v>142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142</v>
      </c>
      <c r="D371" s="3"/>
      <c r="E371" s="3" t="s">
        <v>142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142</v>
      </c>
      <c r="D372" s="3"/>
      <c r="E372" s="3" t="s">
        <v>142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142</v>
      </c>
      <c r="D373" s="3"/>
      <c r="E373" s="3" t="s">
        <v>142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142</v>
      </c>
      <c r="D374" s="3"/>
      <c r="E374" s="3" t="s">
        <v>142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142</v>
      </c>
      <c r="D375" s="3"/>
      <c r="E375" s="3" t="s">
        <v>142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0.67600000000000005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142</v>
      </c>
      <c r="D376" s="3"/>
      <c r="E376" s="3" t="s">
        <v>142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248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143</v>
      </c>
      <c r="D377" s="3"/>
      <c r="E377" s="3" t="s">
        <v>143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249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143</v>
      </c>
      <c r="D378" s="3"/>
      <c r="E378" s="3" t="s">
        <v>143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110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143</v>
      </c>
      <c r="D379" s="3"/>
      <c r="E379" s="3" t="s">
        <v>143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18</v>
      </c>
      <c r="O379" s="3"/>
      <c r="P379" s="3"/>
      <c r="Q379" s="3">
        <v>122.32599999999999</v>
      </c>
      <c r="R379" s="3" t="s">
        <v>15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143</v>
      </c>
      <c r="D380" s="3"/>
      <c r="E380" s="3" t="s">
        <v>143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1.0880000000000001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143</v>
      </c>
      <c r="D381" s="3"/>
      <c r="E381" s="3" t="s">
        <v>143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143</v>
      </c>
      <c r="D382" s="3"/>
      <c r="E382" s="3" t="s">
        <v>143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143</v>
      </c>
      <c r="D383" s="3"/>
      <c r="E383" s="3" t="s">
        <v>143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143</v>
      </c>
      <c r="D384" s="3"/>
      <c r="E384" s="3" t="s">
        <v>143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143</v>
      </c>
      <c r="D385" s="3"/>
      <c r="E385" s="3" t="s">
        <v>143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143</v>
      </c>
      <c r="D386" s="3"/>
      <c r="E386" s="3" t="s">
        <v>143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143</v>
      </c>
      <c r="D387" s="3"/>
      <c r="E387" s="3" t="s">
        <v>143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0.67600000000000005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143</v>
      </c>
      <c r="D388" s="3"/>
      <c r="E388" s="3" t="s">
        <v>143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250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144</v>
      </c>
      <c r="D389" s="3"/>
      <c r="E389" s="3" t="s">
        <v>144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144</v>
      </c>
      <c r="D390" s="3"/>
      <c r="E390" s="3" t="s">
        <v>144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110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144</v>
      </c>
      <c r="D391" s="3"/>
      <c r="E391" s="3" t="s">
        <v>144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18</v>
      </c>
      <c r="O391" s="3"/>
      <c r="P391" s="3"/>
      <c r="Q391" s="3">
        <v>96.316999999999993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144</v>
      </c>
      <c r="D392" s="3"/>
      <c r="E392" s="3" t="s">
        <v>144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0.53800000000000003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144</v>
      </c>
      <c r="D393" s="3"/>
      <c r="E393" s="3" t="s">
        <v>144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144</v>
      </c>
      <c r="D394" s="3"/>
      <c r="E394" s="3" t="s">
        <v>144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144</v>
      </c>
      <c r="D395" s="3"/>
      <c r="E395" s="3" t="s">
        <v>144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144</v>
      </c>
      <c r="D396" s="3"/>
      <c r="E396" s="3" t="s">
        <v>144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144</v>
      </c>
      <c r="D397" s="3"/>
      <c r="E397" s="3" t="s">
        <v>144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144</v>
      </c>
      <c r="D398" s="3"/>
      <c r="E398" s="3" t="s">
        <v>144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144</v>
      </c>
      <c r="D399" s="3"/>
      <c r="E399" s="3" t="s">
        <v>144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0.70599999999999996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144</v>
      </c>
      <c r="D400" s="3"/>
      <c r="E400" s="3" t="s">
        <v>144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252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145</v>
      </c>
      <c r="D401" s="3"/>
      <c r="E401" s="3" t="s">
        <v>145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145</v>
      </c>
      <c r="D402" s="3"/>
      <c r="E402" s="3" t="s">
        <v>145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110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145</v>
      </c>
      <c r="D403" s="3"/>
      <c r="E403" s="3" t="s">
        <v>145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18</v>
      </c>
      <c r="O403" s="3"/>
      <c r="P403" s="3"/>
      <c r="Q403" s="3">
        <v>101.194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145</v>
      </c>
      <c r="D404" s="3"/>
      <c r="E404" s="3" t="s">
        <v>145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0.63900000000000001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145</v>
      </c>
      <c r="D405" s="3"/>
      <c r="E405" s="3" t="s">
        <v>145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145</v>
      </c>
      <c r="D406" s="3"/>
      <c r="E406" s="3" t="s">
        <v>145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145</v>
      </c>
      <c r="D407" s="3"/>
      <c r="E407" s="3" t="s">
        <v>145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145</v>
      </c>
      <c r="D408" s="3"/>
      <c r="E408" s="3" t="s">
        <v>145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145</v>
      </c>
      <c r="D409" s="3"/>
      <c r="E409" s="3" t="s">
        <v>145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145</v>
      </c>
      <c r="D410" s="3"/>
      <c r="E410" s="3" t="s">
        <v>145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145</v>
      </c>
      <c r="D411" s="3"/>
      <c r="E411" s="3" t="s">
        <v>145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0.70599999999999996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145</v>
      </c>
      <c r="D412" s="3"/>
      <c r="E412" s="3" t="s">
        <v>145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254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146</v>
      </c>
      <c r="D413" s="3"/>
      <c r="E413" s="3" t="s">
        <v>146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146</v>
      </c>
      <c r="D414" s="3"/>
      <c r="E414" s="3" t="s">
        <v>146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110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146</v>
      </c>
      <c r="D415" s="3"/>
      <c r="E415" s="3" t="s">
        <v>146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18</v>
      </c>
      <c r="O415" s="3"/>
      <c r="P415" s="3"/>
      <c r="Q415" s="3">
        <v>106.07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146</v>
      </c>
      <c r="D416" s="3"/>
      <c r="E416" s="3" t="s">
        <v>146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0.74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146</v>
      </c>
      <c r="D417" s="3"/>
      <c r="E417" s="3" t="s">
        <v>146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146</v>
      </c>
      <c r="D418" s="3"/>
      <c r="E418" s="3" t="s">
        <v>146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146</v>
      </c>
      <c r="D419" s="3"/>
      <c r="E419" s="3" t="s">
        <v>146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146</v>
      </c>
      <c r="D420" s="3"/>
      <c r="E420" s="3" t="s">
        <v>146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146</v>
      </c>
      <c r="D421" s="3"/>
      <c r="E421" s="3" t="s">
        <v>146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146</v>
      </c>
      <c r="D422" s="3"/>
      <c r="E422" s="3" t="s">
        <v>146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146</v>
      </c>
      <c r="D423" s="3"/>
      <c r="E423" s="3" t="s">
        <v>146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0.70599999999999996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146</v>
      </c>
      <c r="D424" s="3"/>
      <c r="E424" s="3" t="s">
        <v>146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256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147</v>
      </c>
      <c r="D425" s="3"/>
      <c r="E425" s="3" t="s">
        <v>147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147</v>
      </c>
      <c r="D426" s="3"/>
      <c r="E426" s="3" t="s">
        <v>147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110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147</v>
      </c>
      <c r="D427" s="3"/>
      <c r="E427" s="3" t="s">
        <v>147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18</v>
      </c>
      <c r="O427" s="3"/>
      <c r="P427" s="3"/>
      <c r="Q427" s="3">
        <v>110.947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147</v>
      </c>
      <c r="D428" s="3"/>
      <c r="E428" s="3" t="s">
        <v>147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0.84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147</v>
      </c>
      <c r="D429" s="3"/>
      <c r="E429" s="3" t="s">
        <v>147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147</v>
      </c>
      <c r="D430" s="3"/>
      <c r="E430" s="3" t="s">
        <v>147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147</v>
      </c>
      <c r="D431" s="3"/>
      <c r="E431" s="3" t="s">
        <v>147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147</v>
      </c>
      <c r="D432" s="3"/>
      <c r="E432" s="3" t="s">
        <v>147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147</v>
      </c>
      <c r="D433" s="3"/>
      <c r="E433" s="3" t="s">
        <v>147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147</v>
      </c>
      <c r="D434" s="3"/>
      <c r="E434" s="3" t="s">
        <v>147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147</v>
      </c>
      <c r="D435" s="3"/>
      <c r="E435" s="3" t="s">
        <v>147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0.70599999999999996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147</v>
      </c>
      <c r="D436" s="3"/>
      <c r="E436" s="3" t="s">
        <v>147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258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148</v>
      </c>
      <c r="D437" s="3"/>
      <c r="E437" s="3" t="s">
        <v>148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259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148</v>
      </c>
      <c r="D438" s="3"/>
      <c r="E438" s="3" t="s">
        <v>148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110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148</v>
      </c>
      <c r="D439" s="3"/>
      <c r="E439" s="3" t="s">
        <v>148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18</v>
      </c>
      <c r="O439" s="3"/>
      <c r="P439" s="3"/>
      <c r="Q439" s="3">
        <v>113.386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148</v>
      </c>
      <c r="D440" s="3"/>
      <c r="E440" s="3" t="s">
        <v>148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0.89100000000000001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148</v>
      </c>
      <c r="D441" s="3"/>
      <c r="E441" s="3" t="s">
        <v>148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148</v>
      </c>
      <c r="D442" s="3"/>
      <c r="E442" s="3" t="s">
        <v>148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148</v>
      </c>
      <c r="D443" s="3"/>
      <c r="E443" s="3" t="s">
        <v>148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148</v>
      </c>
      <c r="D444" s="3"/>
      <c r="E444" s="3" t="s">
        <v>148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148</v>
      </c>
      <c r="D445" s="3"/>
      <c r="E445" s="3" t="s">
        <v>148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148</v>
      </c>
      <c r="D446" s="3"/>
      <c r="E446" s="3" t="s">
        <v>148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148</v>
      </c>
      <c r="D447" s="3"/>
      <c r="E447" s="3" t="s">
        <v>148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0.70599999999999996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148</v>
      </c>
      <c r="D448" s="3"/>
      <c r="E448" s="3" t="s">
        <v>148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260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149</v>
      </c>
      <c r="D449" s="3"/>
      <c r="E449" s="3" t="s">
        <v>149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149</v>
      </c>
      <c r="D450" s="3"/>
      <c r="E450" s="3" t="s">
        <v>149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110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149</v>
      </c>
      <c r="D451" s="3"/>
      <c r="E451" s="3" t="s">
        <v>149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18</v>
      </c>
      <c r="O451" s="3"/>
      <c r="P451" s="3"/>
      <c r="Q451" s="3">
        <v>115.824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149</v>
      </c>
      <c r="D452" s="3"/>
      <c r="E452" s="3" t="s">
        <v>149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0.94099999999999995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149</v>
      </c>
      <c r="D453" s="3"/>
      <c r="E453" s="3" t="s">
        <v>149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149</v>
      </c>
      <c r="D454" s="3"/>
      <c r="E454" s="3" t="s">
        <v>149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149</v>
      </c>
      <c r="D455" s="3"/>
      <c r="E455" s="3" t="s">
        <v>149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149</v>
      </c>
      <c r="D456" s="3"/>
      <c r="E456" s="3" t="s">
        <v>149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149</v>
      </c>
      <c r="D457" s="3"/>
      <c r="E457" s="3" t="s">
        <v>149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149</v>
      </c>
      <c r="D458" s="3"/>
      <c r="E458" s="3" t="s">
        <v>149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149</v>
      </c>
      <c r="D459" s="3"/>
      <c r="E459" s="3" t="s">
        <v>149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0.70599999999999996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149</v>
      </c>
      <c r="D460" s="3"/>
      <c r="E460" s="3" t="s">
        <v>149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262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150</v>
      </c>
      <c r="D461" s="3"/>
      <c r="E461" s="3" t="s">
        <v>150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150</v>
      </c>
      <c r="D462" s="3"/>
      <c r="E462" s="3" t="s">
        <v>150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110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150</v>
      </c>
      <c r="D463" s="3"/>
      <c r="E463" s="3" t="s">
        <v>150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18</v>
      </c>
      <c r="O463" s="3"/>
      <c r="P463" s="3"/>
      <c r="Q463" s="3">
        <v>120.70099999999999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150</v>
      </c>
      <c r="D464" s="3"/>
      <c r="E464" s="3" t="s">
        <v>150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1.042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150</v>
      </c>
      <c r="D465" s="3"/>
      <c r="E465" s="3" t="s">
        <v>150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150</v>
      </c>
      <c r="D466" s="3"/>
      <c r="E466" s="3" t="s">
        <v>150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150</v>
      </c>
      <c r="D467" s="3"/>
      <c r="E467" s="3" t="s">
        <v>150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150</v>
      </c>
      <c r="D468" s="3"/>
      <c r="E468" s="3" t="s">
        <v>150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150</v>
      </c>
      <c r="D469" s="3"/>
      <c r="E469" s="3" t="s">
        <v>150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150</v>
      </c>
      <c r="D470" s="3"/>
      <c r="E470" s="3" t="s">
        <v>150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150</v>
      </c>
      <c r="D471" s="3"/>
      <c r="E471" s="3" t="s">
        <v>150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150</v>
      </c>
      <c r="D472" s="3"/>
      <c r="E472" s="3" t="s">
        <v>150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264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151</v>
      </c>
      <c r="D473" s="3"/>
      <c r="E473" s="3" t="s">
        <v>151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265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151</v>
      </c>
      <c r="D474" s="3"/>
      <c r="E474" s="3" t="s">
        <v>151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110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151</v>
      </c>
      <c r="D475" s="3"/>
      <c r="E475" s="3" t="s">
        <v>151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125.578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151</v>
      </c>
      <c r="D476" s="3"/>
      <c r="E476" s="3" t="s">
        <v>151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1.143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151</v>
      </c>
      <c r="D477" s="3"/>
      <c r="E477" s="3" t="s">
        <v>151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151</v>
      </c>
      <c r="D478" s="3"/>
      <c r="E478" s="3" t="s">
        <v>151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151</v>
      </c>
      <c r="D479" s="3"/>
      <c r="E479" s="3" t="s">
        <v>151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151</v>
      </c>
      <c r="D480" s="3"/>
      <c r="E480" s="3" t="s">
        <v>151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151</v>
      </c>
      <c r="D481" s="3"/>
      <c r="E481" s="3" t="s">
        <v>151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151</v>
      </c>
      <c r="D482" s="3"/>
      <c r="E482" s="3" t="s">
        <v>151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151</v>
      </c>
      <c r="D483" s="3"/>
      <c r="E483" s="3" t="s">
        <v>151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0.70599999999999996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151</v>
      </c>
      <c r="D484" s="3"/>
      <c r="E484" s="3" t="s">
        <v>151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266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152</v>
      </c>
      <c r="D485" s="3"/>
      <c r="E485" s="3" t="s">
        <v>152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152</v>
      </c>
      <c r="D486" s="3"/>
      <c r="E486" s="3" t="s">
        <v>152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110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152</v>
      </c>
      <c r="D487" s="3"/>
      <c r="E487" s="3" t="s">
        <v>152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18</v>
      </c>
      <c r="O487" s="3"/>
      <c r="P487" s="3"/>
      <c r="Q487" s="3">
        <v>84.125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152</v>
      </c>
      <c r="D488" s="3"/>
      <c r="E488" s="3" t="s">
        <v>152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0.41699999999999998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152</v>
      </c>
      <c r="D489" s="3"/>
      <c r="E489" s="3" t="s">
        <v>152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152</v>
      </c>
      <c r="D490" s="3"/>
      <c r="E490" s="3" t="s">
        <v>152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152</v>
      </c>
      <c r="D491" s="3"/>
      <c r="E491" s="3" t="s">
        <v>152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152</v>
      </c>
      <c r="D492" s="3"/>
      <c r="E492" s="3" t="s">
        <v>152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152</v>
      </c>
      <c r="D493" s="3"/>
      <c r="E493" s="3" t="s">
        <v>152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152</v>
      </c>
      <c r="D494" s="3"/>
      <c r="E494" s="3" t="s">
        <v>152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152</v>
      </c>
      <c r="D495" s="3"/>
      <c r="E495" s="3" t="s">
        <v>152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0.3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152</v>
      </c>
      <c r="D496" s="3"/>
      <c r="E496" s="3" t="s">
        <v>152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268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153</v>
      </c>
      <c r="D497" s="3"/>
      <c r="E497" s="3" t="s">
        <v>153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269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153</v>
      </c>
      <c r="D498" s="3"/>
      <c r="E498" s="3" t="s">
        <v>153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110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153</v>
      </c>
      <c r="D499" s="3"/>
      <c r="E499" s="3" t="s">
        <v>153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18</v>
      </c>
      <c r="O499" s="3"/>
      <c r="P499" s="3"/>
      <c r="Q499" s="3">
        <v>89.001999999999995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153</v>
      </c>
      <c r="D500" s="3"/>
      <c r="E500" s="3" t="s">
        <v>153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0.503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153</v>
      </c>
      <c r="D501" s="3"/>
      <c r="E501" s="3" t="s">
        <v>153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153</v>
      </c>
      <c r="D502" s="3"/>
      <c r="E502" s="3" t="s">
        <v>153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153</v>
      </c>
      <c r="D503" s="3"/>
      <c r="E503" s="3" t="s">
        <v>153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153</v>
      </c>
      <c r="D504" s="3"/>
      <c r="E504" s="3" t="s">
        <v>153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153</v>
      </c>
      <c r="D505" s="3"/>
      <c r="E505" s="3" t="s">
        <v>153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153</v>
      </c>
      <c r="D506" s="3"/>
      <c r="E506" s="3" t="s">
        <v>153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153</v>
      </c>
      <c r="D507" s="3"/>
      <c r="E507" s="3" t="s">
        <v>153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0.34499999999999997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153</v>
      </c>
      <c r="D508" s="3"/>
      <c r="E508" s="3" t="s">
        <v>153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270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154</v>
      </c>
      <c r="D509" s="3"/>
      <c r="E509" s="3" t="s">
        <v>154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154</v>
      </c>
      <c r="D510" s="3"/>
      <c r="E510" s="3" t="s">
        <v>154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110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154</v>
      </c>
      <c r="D511" s="3"/>
      <c r="E511" s="3" t="s">
        <v>154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18</v>
      </c>
      <c r="O511" s="3"/>
      <c r="P511" s="3"/>
      <c r="Q511" s="3">
        <v>93.878</v>
      </c>
      <c r="R511" s="3" t="s">
        <v>15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154</v>
      </c>
      <c r="D512" s="3"/>
      <c r="E512" s="3" t="s">
        <v>154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0.58899999999999997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154</v>
      </c>
      <c r="D513" s="3"/>
      <c r="E513" s="3" t="s">
        <v>154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154</v>
      </c>
      <c r="D514" s="3"/>
      <c r="E514" s="3" t="s">
        <v>154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154</v>
      </c>
      <c r="D515" s="3"/>
      <c r="E515" s="3" t="s">
        <v>154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154</v>
      </c>
      <c r="D516" s="3"/>
      <c r="E516" s="3" t="s">
        <v>154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154</v>
      </c>
      <c r="D517" s="3"/>
      <c r="E517" s="3" t="s">
        <v>154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154</v>
      </c>
      <c r="D518" s="3"/>
      <c r="E518" s="3" t="s">
        <v>154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154</v>
      </c>
      <c r="D519" s="3"/>
      <c r="E519" s="3" t="s">
        <v>154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154</v>
      </c>
      <c r="D520" s="3"/>
      <c r="E520" s="3" t="s">
        <v>154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272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155</v>
      </c>
      <c r="D521" s="3"/>
      <c r="E521" s="3" t="s">
        <v>155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155</v>
      </c>
      <c r="D522" s="3"/>
      <c r="E522" s="3" t="s">
        <v>155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110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155</v>
      </c>
      <c r="D523" s="3"/>
      <c r="E523" s="3" t="s">
        <v>155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18</v>
      </c>
      <c r="O523" s="3"/>
      <c r="P523" s="3"/>
      <c r="Q523" s="3">
        <v>98.754999999999995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155</v>
      </c>
      <c r="D524" s="3"/>
      <c r="E524" s="3" t="s">
        <v>155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0.67600000000000005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155</v>
      </c>
      <c r="D525" s="3"/>
      <c r="E525" s="3" t="s">
        <v>155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155</v>
      </c>
      <c r="D526" s="3"/>
      <c r="E526" s="3" t="s">
        <v>155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155</v>
      </c>
      <c r="D527" s="3"/>
      <c r="E527" s="3" t="s">
        <v>155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155</v>
      </c>
      <c r="D528" s="3"/>
      <c r="E528" s="3" t="s">
        <v>155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155</v>
      </c>
      <c r="D529" s="3"/>
      <c r="E529" s="3" t="s">
        <v>155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155</v>
      </c>
      <c r="D530" s="3"/>
      <c r="E530" s="3" t="s">
        <v>155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155</v>
      </c>
      <c r="D531" s="3"/>
      <c r="E531" s="3" t="s">
        <v>155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0.435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155</v>
      </c>
      <c r="D532" s="3"/>
      <c r="E532" s="3" t="s">
        <v>155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274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156</v>
      </c>
      <c r="D533" s="3"/>
      <c r="E533" s="3" t="s">
        <v>156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156</v>
      </c>
      <c r="D534" s="3"/>
      <c r="E534" s="3" t="s">
        <v>156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110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156</v>
      </c>
      <c r="D535" s="3"/>
      <c r="E535" s="3" t="s">
        <v>156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18</v>
      </c>
      <c r="O535" s="3"/>
      <c r="P535" s="3"/>
      <c r="Q535" s="3">
        <v>108.509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156</v>
      </c>
      <c r="D536" s="3"/>
      <c r="E536" s="3" t="s">
        <v>156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0.84799999999999998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156</v>
      </c>
      <c r="D537" s="3"/>
      <c r="E537" s="3" t="s">
        <v>156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156</v>
      </c>
      <c r="D538" s="3"/>
      <c r="E538" s="3" t="s">
        <v>156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156</v>
      </c>
      <c r="D539" s="3"/>
      <c r="E539" s="3" t="s">
        <v>156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156</v>
      </c>
      <c r="D540" s="3"/>
      <c r="E540" s="3" t="s">
        <v>156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156</v>
      </c>
      <c r="D541" s="3"/>
      <c r="E541" s="3" t="s">
        <v>156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156</v>
      </c>
      <c r="D542" s="3"/>
      <c r="E542" s="3" t="s">
        <v>156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156</v>
      </c>
      <c r="D543" s="3"/>
      <c r="E543" s="3" t="s">
        <v>156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0.52500000000000002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156</v>
      </c>
      <c r="D544" s="3"/>
      <c r="E544" s="3" t="s">
        <v>156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276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157</v>
      </c>
      <c r="D545" s="3"/>
      <c r="E545" s="3" t="s">
        <v>157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157</v>
      </c>
      <c r="D546" s="3"/>
      <c r="E546" s="3" t="s">
        <v>157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110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157</v>
      </c>
      <c r="D547" s="3"/>
      <c r="E547" s="3" t="s">
        <v>157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18</v>
      </c>
      <c r="O547" s="3"/>
      <c r="P547" s="3"/>
      <c r="Q547" s="3">
        <v>113.386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157</v>
      </c>
      <c r="D548" s="3"/>
      <c r="E548" s="3" t="s">
        <v>157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0.93500000000000005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157</v>
      </c>
      <c r="D549" s="3"/>
      <c r="E549" s="3" t="s">
        <v>157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157</v>
      </c>
      <c r="D550" s="3"/>
      <c r="E550" s="3" t="s">
        <v>157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157</v>
      </c>
      <c r="D551" s="3"/>
      <c r="E551" s="3" t="s">
        <v>157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157</v>
      </c>
      <c r="D552" s="3"/>
      <c r="E552" s="3" t="s">
        <v>157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157</v>
      </c>
      <c r="D553" s="3"/>
      <c r="E553" s="3" t="s">
        <v>157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157</v>
      </c>
      <c r="D554" s="3"/>
      <c r="E554" s="3" t="s">
        <v>157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157</v>
      </c>
      <c r="D555" s="3"/>
      <c r="E555" s="3" t="s">
        <v>157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0.56999999999999995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157</v>
      </c>
      <c r="D556" s="3"/>
      <c r="E556" s="3" t="s">
        <v>157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278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279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110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18</v>
      </c>
      <c r="O559" s="3"/>
      <c r="P559" s="3"/>
      <c r="Q559" s="3">
        <v>118.262</v>
      </c>
      <c r="R559" s="3" t="s">
        <v>15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158</v>
      </c>
      <c r="D560" s="3"/>
      <c r="E560" s="3" t="s">
        <v>158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1.0209999999999999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158</v>
      </c>
      <c r="D561" s="3"/>
      <c r="E561" s="3" t="s">
        <v>158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158</v>
      </c>
      <c r="D562" s="3"/>
      <c r="E562" s="3" t="s">
        <v>158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158</v>
      </c>
      <c r="D563" s="3"/>
      <c r="E563" s="3" t="s">
        <v>158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158</v>
      </c>
      <c r="D564" s="3"/>
      <c r="E564" s="3" t="s">
        <v>158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158</v>
      </c>
      <c r="D565" s="3"/>
      <c r="E565" s="3" t="s">
        <v>158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158</v>
      </c>
      <c r="D566" s="3"/>
      <c r="E566" s="3" t="s">
        <v>158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158</v>
      </c>
      <c r="D567" s="3"/>
      <c r="E567" s="3" t="s">
        <v>158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0.61599999999999999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158</v>
      </c>
      <c r="D568" s="3"/>
      <c r="E568" s="3" t="s">
        <v>158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280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110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18</v>
      </c>
      <c r="O571" s="3"/>
      <c r="P571" s="3"/>
      <c r="Q571" s="3">
        <v>86.563000000000002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0.435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159</v>
      </c>
      <c r="D575" s="3"/>
      <c r="E575" s="3" t="s">
        <v>159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159</v>
      </c>
      <c r="D576" s="3"/>
      <c r="E576" s="3" t="s">
        <v>159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159</v>
      </c>
      <c r="D577" s="3"/>
      <c r="E577" s="3" t="s">
        <v>159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159</v>
      </c>
      <c r="D578" s="3"/>
      <c r="E578" s="3" t="s">
        <v>159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159</v>
      </c>
      <c r="D579" s="3"/>
      <c r="E579" s="3" t="s">
        <v>159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0.3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159</v>
      </c>
      <c r="D580" s="3"/>
      <c r="E580" s="3" t="s">
        <v>159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282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110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18</v>
      </c>
      <c r="O583" s="3"/>
      <c r="P583" s="3"/>
      <c r="Q583" s="3">
        <v>91.44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0.52400000000000002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160</v>
      </c>
      <c r="D590" s="3"/>
      <c r="E590" s="3" t="s">
        <v>160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160</v>
      </c>
      <c r="D591" s="3"/>
      <c r="E591" s="3" t="s">
        <v>160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0.34499999999999997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160</v>
      </c>
      <c r="D592" s="3"/>
      <c r="E592" s="3" t="s">
        <v>160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284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110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18</v>
      </c>
      <c r="O595" s="3"/>
      <c r="P595" s="3"/>
      <c r="Q595" s="3">
        <v>96.316999999999993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0.61399999999999999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0.39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286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110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18</v>
      </c>
      <c r="O607" s="3"/>
      <c r="P607" s="3"/>
      <c r="Q607" s="3">
        <v>101.194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0.70399999999999996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0.435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288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289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110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18</v>
      </c>
      <c r="O619" s="3"/>
      <c r="P619" s="3"/>
      <c r="Q619" s="3">
        <v>110.947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0.88400000000000001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0.52500000000000002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290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110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115.824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0.97399999999999998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0.56999999999999995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292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110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18</v>
      </c>
      <c r="O643" s="3"/>
      <c r="P643" s="3"/>
      <c r="Q643" s="3">
        <v>120.70099999999999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1.0640000000000001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0.61599999999999999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294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110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18</v>
      </c>
      <c r="O655" s="3"/>
      <c r="P655" s="3"/>
      <c r="Q655" s="3">
        <v>89.001999999999995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0.45200000000000001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0.3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296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110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18</v>
      </c>
      <c r="O667" s="3"/>
      <c r="P667" s="3"/>
      <c r="Q667" s="3">
        <v>93.878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0.54600000000000004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0.34499999999999997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298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168</v>
      </c>
      <c r="D677" s="3"/>
      <c r="E677" s="3" t="s">
        <v>168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168</v>
      </c>
      <c r="D678" s="3"/>
      <c r="E678" s="3" t="s">
        <v>168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110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168</v>
      </c>
      <c r="D679" s="3"/>
      <c r="E679" s="3" t="s">
        <v>168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18</v>
      </c>
      <c r="O679" s="3"/>
      <c r="P679" s="3"/>
      <c r="Q679" s="3">
        <v>98.754999999999995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0.63900000000000001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0.39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300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169</v>
      </c>
      <c r="D689" s="3"/>
      <c r="E689" s="3" t="s">
        <v>169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169</v>
      </c>
      <c r="D690" s="3"/>
      <c r="E690" s="3" t="s">
        <v>169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110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169</v>
      </c>
      <c r="D691" s="3"/>
      <c r="E691" s="3" t="s">
        <v>169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18</v>
      </c>
      <c r="O691" s="3"/>
      <c r="P691" s="3"/>
      <c r="Q691" s="3">
        <v>103.63200000000001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169</v>
      </c>
      <c r="D692" s="3"/>
      <c r="E692" s="3" t="s">
        <v>169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0.73299999999999998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169</v>
      </c>
      <c r="D693" s="3"/>
      <c r="E693" s="3" t="s">
        <v>169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169</v>
      </c>
      <c r="D694" s="3"/>
      <c r="E694" s="3" t="s">
        <v>169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0.435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302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170</v>
      </c>
      <c r="D701" s="3"/>
      <c r="E701" s="3" t="s">
        <v>170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170</v>
      </c>
      <c r="D702" s="3"/>
      <c r="E702" s="3" t="s">
        <v>170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110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170</v>
      </c>
      <c r="D703" s="3"/>
      <c r="E703" s="3" t="s">
        <v>170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18</v>
      </c>
      <c r="O703" s="3"/>
      <c r="P703" s="3"/>
      <c r="Q703" s="3">
        <v>113.386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170</v>
      </c>
      <c r="D704" s="3"/>
      <c r="E704" s="3" t="s">
        <v>170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0.92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170</v>
      </c>
      <c r="D705" s="3"/>
      <c r="E705" s="3" t="s">
        <v>170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170</v>
      </c>
      <c r="D706" s="3"/>
      <c r="E706" s="3" t="s">
        <v>170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170</v>
      </c>
      <c r="D707" s="3"/>
      <c r="E707" s="3" t="s">
        <v>170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170</v>
      </c>
      <c r="D708" s="3"/>
      <c r="E708" s="3" t="s">
        <v>170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170</v>
      </c>
      <c r="D709" s="3"/>
      <c r="E709" s="3" t="s">
        <v>170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0.52500000000000002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304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171</v>
      </c>
      <c r="D713" s="3"/>
      <c r="E713" s="3" t="s">
        <v>171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171</v>
      </c>
      <c r="D714" s="3"/>
      <c r="E714" s="3" t="s">
        <v>171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110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171</v>
      </c>
      <c r="D715" s="3"/>
      <c r="E715" s="3" t="s">
        <v>171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18</v>
      </c>
      <c r="O715" s="3"/>
      <c r="P715" s="3"/>
      <c r="Q715" s="3">
        <v>118.262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171</v>
      </c>
      <c r="D716" s="3"/>
      <c r="E716" s="3" t="s">
        <v>171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1.014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171</v>
      </c>
      <c r="D717" s="3"/>
      <c r="E717" s="3" t="s">
        <v>171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171</v>
      </c>
      <c r="D718" s="3"/>
      <c r="E718" s="3" t="s">
        <v>171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171</v>
      </c>
      <c r="D719" s="3"/>
      <c r="E719" s="3" t="s">
        <v>171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171</v>
      </c>
      <c r="D720" s="3"/>
      <c r="E720" s="3" t="s">
        <v>171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171</v>
      </c>
      <c r="D721" s="3"/>
      <c r="E721" s="3" t="s">
        <v>171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171</v>
      </c>
      <c r="D722" s="3"/>
      <c r="E722" s="3" t="s">
        <v>171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171</v>
      </c>
      <c r="D723" s="3"/>
      <c r="E723" s="3" t="s">
        <v>171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0.56999999999999995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171</v>
      </c>
      <c r="D724" s="3"/>
      <c r="E724" s="3" t="s">
        <v>171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306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172</v>
      </c>
      <c r="D725" s="3"/>
      <c r="E725" s="3" t="s">
        <v>172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307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172</v>
      </c>
      <c r="D726" s="3"/>
      <c r="E726" s="3" t="s">
        <v>172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110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172</v>
      </c>
      <c r="D727" s="3"/>
      <c r="E727" s="3" t="s">
        <v>172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18</v>
      </c>
      <c r="O727" s="3"/>
      <c r="P727" s="3"/>
      <c r="Q727" s="3">
        <v>123.139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172</v>
      </c>
      <c r="D728" s="3"/>
      <c r="E728" s="3" t="s">
        <v>172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1.107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172</v>
      </c>
      <c r="D729" s="3"/>
      <c r="E729" s="3" t="s">
        <v>172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172</v>
      </c>
      <c r="D730" s="3"/>
      <c r="E730" s="3" t="s">
        <v>172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172</v>
      </c>
      <c r="D731" s="3"/>
      <c r="E731" s="3" t="s">
        <v>172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172</v>
      </c>
      <c r="D732" s="3"/>
      <c r="E732" s="3" t="s">
        <v>172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172</v>
      </c>
      <c r="D733" s="3"/>
      <c r="E733" s="3" t="s">
        <v>172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172</v>
      </c>
      <c r="D734" s="3"/>
      <c r="E734" s="3" t="s">
        <v>172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172</v>
      </c>
      <c r="D735" s="3"/>
      <c r="E735" s="3" t="s">
        <v>172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0.61599999999999999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172</v>
      </c>
      <c r="D736" s="3"/>
      <c r="E736" s="3" t="s">
        <v>172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308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173</v>
      </c>
      <c r="D737" s="3"/>
      <c r="E737" s="3" t="s">
        <v>173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309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173</v>
      </c>
      <c r="D738" s="3"/>
      <c r="E738" s="3" t="s">
        <v>173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110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173</v>
      </c>
      <c r="D739" s="3"/>
      <c r="E739" s="3" t="s">
        <v>173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18</v>
      </c>
      <c r="O739" s="3"/>
      <c r="P739" s="3"/>
      <c r="Q739" s="3">
        <v>90.626999999999995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173</v>
      </c>
      <c r="D740" s="3"/>
      <c r="E740" s="3" t="s">
        <v>173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0.46400000000000002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173</v>
      </c>
      <c r="D741" s="3"/>
      <c r="E741" s="3" t="s">
        <v>173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173</v>
      </c>
      <c r="D742" s="3"/>
      <c r="E742" s="3" t="s">
        <v>173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173</v>
      </c>
      <c r="D743" s="3"/>
      <c r="E743" s="3" t="s">
        <v>173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173</v>
      </c>
      <c r="D744" s="3"/>
      <c r="E744" s="3" t="s">
        <v>173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173</v>
      </c>
      <c r="D745" s="3"/>
      <c r="E745" s="3" t="s">
        <v>173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173</v>
      </c>
      <c r="D746" s="3"/>
      <c r="E746" s="3" t="s">
        <v>173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173</v>
      </c>
      <c r="D747" s="3"/>
      <c r="E747" s="3" t="s">
        <v>173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0.67600000000000005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173</v>
      </c>
      <c r="D748" s="3"/>
      <c r="E748" s="3" t="s">
        <v>173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310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174</v>
      </c>
      <c r="D749" s="3"/>
      <c r="E749" s="3" t="s">
        <v>174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174</v>
      </c>
      <c r="D750" s="3"/>
      <c r="E750" s="3" t="s">
        <v>174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110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174</v>
      </c>
      <c r="D751" s="3"/>
      <c r="E751" s="3" t="s">
        <v>174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18</v>
      </c>
      <c r="O751" s="3"/>
      <c r="P751" s="3"/>
      <c r="Q751" s="3">
        <v>95.504000000000005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174</v>
      </c>
      <c r="D752" s="3"/>
      <c r="E752" s="3" t="s">
        <v>174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0.56000000000000005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174</v>
      </c>
      <c r="D753" s="3"/>
      <c r="E753" s="3" t="s">
        <v>174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174</v>
      </c>
      <c r="D754" s="3"/>
      <c r="E754" s="3" t="s">
        <v>174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174</v>
      </c>
      <c r="D755" s="3"/>
      <c r="E755" s="3" t="s">
        <v>174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174</v>
      </c>
      <c r="D756" s="3"/>
      <c r="E756" s="3" t="s">
        <v>174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174</v>
      </c>
      <c r="D757" s="3"/>
      <c r="E757" s="3" t="s">
        <v>174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174</v>
      </c>
      <c r="D758" s="3"/>
      <c r="E758" s="3" t="s">
        <v>174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174</v>
      </c>
      <c r="D759" s="3"/>
      <c r="E759" s="3" t="s">
        <v>174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0.67600000000000005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174</v>
      </c>
      <c r="D760" s="3"/>
      <c r="E760" s="3" t="s">
        <v>174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312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175</v>
      </c>
      <c r="D761" s="3"/>
      <c r="E761" s="3" t="s">
        <v>175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175</v>
      </c>
      <c r="D762" s="3"/>
      <c r="E762" s="3" t="s">
        <v>175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110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175</v>
      </c>
      <c r="D763" s="3"/>
      <c r="E763" s="3" t="s">
        <v>175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18</v>
      </c>
      <c r="O763" s="3"/>
      <c r="P763" s="3"/>
      <c r="Q763" s="3">
        <v>100.381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175</v>
      </c>
      <c r="D764" s="3"/>
      <c r="E764" s="3" t="s">
        <v>175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0.65600000000000003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175</v>
      </c>
      <c r="D765" s="3"/>
      <c r="E765" s="3" t="s">
        <v>175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175</v>
      </c>
      <c r="D766" s="3"/>
      <c r="E766" s="3" t="s">
        <v>175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175</v>
      </c>
      <c r="D767" s="3"/>
      <c r="E767" s="3" t="s">
        <v>175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175</v>
      </c>
      <c r="D768" s="3"/>
      <c r="E768" s="3" t="s">
        <v>175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175</v>
      </c>
      <c r="D769" s="3"/>
      <c r="E769" s="3" t="s">
        <v>175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175</v>
      </c>
      <c r="D770" s="3"/>
      <c r="E770" s="3" t="s">
        <v>175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175</v>
      </c>
      <c r="D771" s="3"/>
      <c r="E771" s="3" t="s">
        <v>175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0.67600000000000005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175</v>
      </c>
      <c r="D772" s="3"/>
      <c r="E772" s="3" t="s">
        <v>175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314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176</v>
      </c>
      <c r="D773" s="3"/>
      <c r="E773" s="3" t="s">
        <v>176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176</v>
      </c>
      <c r="D774" s="3"/>
      <c r="E774" s="3" t="s">
        <v>176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110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176</v>
      </c>
      <c r="D775" s="3"/>
      <c r="E775" s="3" t="s">
        <v>176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18</v>
      </c>
      <c r="O775" s="3"/>
      <c r="P775" s="3"/>
      <c r="Q775" s="3">
        <v>105.258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176</v>
      </c>
      <c r="D776" s="3"/>
      <c r="E776" s="3" t="s">
        <v>176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0.752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176</v>
      </c>
      <c r="D777" s="3"/>
      <c r="E777" s="3" t="s">
        <v>176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176</v>
      </c>
      <c r="D778" s="3"/>
      <c r="E778" s="3" t="s">
        <v>176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176</v>
      </c>
      <c r="D779" s="3"/>
      <c r="E779" s="3" t="s">
        <v>176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176</v>
      </c>
      <c r="D780" s="3"/>
      <c r="E780" s="3" t="s">
        <v>176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176</v>
      </c>
      <c r="D781" s="3"/>
      <c r="E781" s="3" t="s">
        <v>176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176</v>
      </c>
      <c r="D782" s="3"/>
      <c r="E782" s="3" t="s">
        <v>176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176</v>
      </c>
      <c r="D783" s="3"/>
      <c r="E783" s="3" t="s">
        <v>176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0.67600000000000005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176</v>
      </c>
      <c r="D784" s="3"/>
      <c r="E784" s="3" t="s">
        <v>176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316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177</v>
      </c>
      <c r="D785" s="3"/>
      <c r="E785" s="3" t="s">
        <v>177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177</v>
      </c>
      <c r="D786" s="3"/>
      <c r="E786" s="3" t="s">
        <v>177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110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177</v>
      </c>
      <c r="D787" s="3"/>
      <c r="E787" s="3" t="s">
        <v>177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115.011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177</v>
      </c>
      <c r="D788" s="3"/>
      <c r="E788" s="3" t="s">
        <v>177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0.94399999999999995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177</v>
      </c>
      <c r="D789" s="3"/>
      <c r="E789" s="3" t="s">
        <v>177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177</v>
      </c>
      <c r="D790" s="3"/>
      <c r="E790" s="3" t="s">
        <v>177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177</v>
      </c>
      <c r="D791" s="3"/>
      <c r="E791" s="3" t="s">
        <v>177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177</v>
      </c>
      <c r="D792" s="3"/>
      <c r="E792" s="3" t="s">
        <v>177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177</v>
      </c>
      <c r="D793" s="3"/>
      <c r="E793" s="3" t="s">
        <v>177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177</v>
      </c>
      <c r="D794" s="3"/>
      <c r="E794" s="3" t="s">
        <v>177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177</v>
      </c>
      <c r="D795" s="3"/>
      <c r="E795" s="3" t="s">
        <v>177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0.67600000000000005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177</v>
      </c>
      <c r="D796" s="3"/>
      <c r="E796" s="3" t="s">
        <v>177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318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178</v>
      </c>
      <c r="D797" s="3"/>
      <c r="E797" s="3" t="s">
        <v>178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178</v>
      </c>
      <c r="D798" s="3"/>
      <c r="E798" s="3" t="s">
        <v>178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110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178</v>
      </c>
      <c r="D799" s="3"/>
      <c r="E799" s="3" t="s">
        <v>178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18</v>
      </c>
      <c r="O799" s="3"/>
      <c r="P799" s="3"/>
      <c r="Q799" s="3">
        <v>119.88800000000001</v>
      </c>
      <c r="R799" s="3" t="s">
        <v>15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178</v>
      </c>
      <c r="D800" s="3"/>
      <c r="E800" s="3" t="s">
        <v>178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1.04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178</v>
      </c>
      <c r="D801" s="3"/>
      <c r="E801" s="3" t="s">
        <v>178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178</v>
      </c>
      <c r="D802" s="3"/>
      <c r="E802" s="3" t="s">
        <v>178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178</v>
      </c>
      <c r="D803" s="3"/>
      <c r="E803" s="3" t="s">
        <v>178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178</v>
      </c>
      <c r="D804" s="3"/>
      <c r="E804" s="3" t="s">
        <v>178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178</v>
      </c>
      <c r="D805" s="3"/>
      <c r="E805" s="3" t="s">
        <v>178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178</v>
      </c>
      <c r="D806" s="3"/>
      <c r="E806" s="3" t="s">
        <v>178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178</v>
      </c>
      <c r="D807" s="3"/>
      <c r="E807" s="3" t="s">
        <v>178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0.67600000000000005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178</v>
      </c>
      <c r="D808" s="3"/>
      <c r="E808" s="3" t="s">
        <v>178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320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179</v>
      </c>
      <c r="D809" s="3"/>
      <c r="E809" s="3" t="s">
        <v>179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179</v>
      </c>
      <c r="D810" s="3"/>
      <c r="E810" s="3" t="s">
        <v>179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110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179</v>
      </c>
      <c r="D811" s="3"/>
      <c r="E811" s="3" t="s">
        <v>179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18</v>
      </c>
      <c r="O811" s="3"/>
      <c r="P811" s="3"/>
      <c r="Q811" s="3">
        <v>124.765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179</v>
      </c>
      <c r="D812" s="3"/>
      <c r="E812" s="3" t="s">
        <v>179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1.1359999999999999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179</v>
      </c>
      <c r="D813" s="3"/>
      <c r="E813" s="3" t="s">
        <v>179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179</v>
      </c>
      <c r="D814" s="3"/>
      <c r="E814" s="3" t="s">
        <v>179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179</v>
      </c>
      <c r="D815" s="3"/>
      <c r="E815" s="3" t="s">
        <v>179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179</v>
      </c>
      <c r="D816" s="3"/>
      <c r="E816" s="3" t="s">
        <v>179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179</v>
      </c>
      <c r="D817" s="3"/>
      <c r="E817" s="3" t="s">
        <v>179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179</v>
      </c>
      <c r="D818" s="3"/>
      <c r="E818" s="3" t="s">
        <v>179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179</v>
      </c>
      <c r="D819" s="3"/>
      <c r="E819" s="3" t="s">
        <v>179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0.67600000000000005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179</v>
      </c>
      <c r="D820" s="3"/>
      <c r="E820" s="3" t="s">
        <v>179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322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180</v>
      </c>
      <c r="D821" s="3"/>
      <c r="E821" s="3" t="s">
        <v>180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180</v>
      </c>
      <c r="D822" s="3"/>
      <c r="E822" s="3" t="s">
        <v>180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110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180</v>
      </c>
      <c r="D823" s="3"/>
      <c r="E823" s="3" t="s">
        <v>180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18</v>
      </c>
      <c r="O823" s="3"/>
      <c r="P823" s="3"/>
      <c r="Q823" s="3">
        <v>93.878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180</v>
      </c>
      <c r="D824" s="3"/>
      <c r="E824" s="3" t="s">
        <v>180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0.48699999999999999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180</v>
      </c>
      <c r="D825" s="3"/>
      <c r="E825" s="3" t="s">
        <v>180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180</v>
      </c>
      <c r="D826" s="3"/>
      <c r="E826" s="3" t="s">
        <v>180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180</v>
      </c>
      <c r="D827" s="3"/>
      <c r="E827" s="3" t="s">
        <v>180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180</v>
      </c>
      <c r="D828" s="3"/>
      <c r="E828" s="3" t="s">
        <v>180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180</v>
      </c>
      <c r="D829" s="3"/>
      <c r="E829" s="3" t="s">
        <v>180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180</v>
      </c>
      <c r="D830" s="3"/>
      <c r="E830" s="3" t="s">
        <v>180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180</v>
      </c>
      <c r="D831" s="3"/>
      <c r="E831" s="3" t="s">
        <v>180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0.70599999999999996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180</v>
      </c>
      <c r="D832" s="3"/>
      <c r="E832" s="3" t="s">
        <v>180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324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181</v>
      </c>
      <c r="D833" s="3"/>
      <c r="E833" s="3" t="s">
        <v>181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181</v>
      </c>
      <c r="D834" s="3"/>
      <c r="E834" s="3" t="s">
        <v>181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110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181</v>
      </c>
      <c r="D835" s="3"/>
      <c r="E835" s="3" t="s">
        <v>181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18</v>
      </c>
      <c r="O835" s="3"/>
      <c r="P835" s="3"/>
      <c r="Q835" s="3">
        <v>98.754999999999995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181</v>
      </c>
      <c r="D836" s="3"/>
      <c r="E836" s="3" t="s">
        <v>181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0.58799999999999997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181</v>
      </c>
      <c r="D837" s="3"/>
      <c r="E837" s="3" t="s">
        <v>181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181</v>
      </c>
      <c r="D838" s="3"/>
      <c r="E838" s="3" t="s">
        <v>181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181</v>
      </c>
      <c r="D839" s="3"/>
      <c r="E839" s="3" t="s">
        <v>181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181</v>
      </c>
      <c r="D840" s="3"/>
      <c r="E840" s="3" t="s">
        <v>181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181</v>
      </c>
      <c r="D841" s="3"/>
      <c r="E841" s="3" t="s">
        <v>181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181</v>
      </c>
      <c r="D842" s="3"/>
      <c r="E842" s="3" t="s">
        <v>181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181</v>
      </c>
      <c r="D843" s="3"/>
      <c r="E843" s="3" t="s">
        <v>181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0.70599999999999996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181</v>
      </c>
      <c r="D844" s="3"/>
      <c r="E844" s="3" t="s">
        <v>181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326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182</v>
      </c>
      <c r="D845" s="3"/>
      <c r="E845" s="3" t="s">
        <v>182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182</v>
      </c>
      <c r="D846" s="3"/>
      <c r="E846" s="3" t="s">
        <v>182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110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182</v>
      </c>
      <c r="D847" s="3"/>
      <c r="E847" s="3" t="s">
        <v>182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18</v>
      </c>
      <c r="O847" s="3"/>
      <c r="P847" s="3"/>
      <c r="Q847" s="3">
        <v>103.63200000000001</v>
      </c>
      <c r="R847" s="3" t="s">
        <v>15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182</v>
      </c>
      <c r="D848" s="3"/>
      <c r="E848" s="3" t="s">
        <v>182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0.68899999999999995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182</v>
      </c>
      <c r="D849" s="3"/>
      <c r="E849" s="3" t="s">
        <v>182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182</v>
      </c>
      <c r="D850" s="3"/>
      <c r="E850" s="3" t="s">
        <v>182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182</v>
      </c>
      <c r="D851" s="3"/>
      <c r="E851" s="3" t="s">
        <v>182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182</v>
      </c>
      <c r="D852" s="3"/>
      <c r="E852" s="3" t="s">
        <v>182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182</v>
      </c>
      <c r="D853" s="3"/>
      <c r="E853" s="3" t="s">
        <v>182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182</v>
      </c>
      <c r="D854" s="3"/>
      <c r="E854" s="3" t="s">
        <v>182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182</v>
      </c>
      <c r="D855" s="3"/>
      <c r="E855" s="3" t="s">
        <v>182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0.70599999999999996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182</v>
      </c>
      <c r="D856" s="3"/>
      <c r="E856" s="3" t="s">
        <v>182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328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183</v>
      </c>
      <c r="D857" s="3"/>
      <c r="E857" s="3" t="s">
        <v>183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329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183</v>
      </c>
      <c r="D858" s="3"/>
      <c r="E858" s="3" t="s">
        <v>183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110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183</v>
      </c>
      <c r="D859" s="3"/>
      <c r="E859" s="3" t="s">
        <v>183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18</v>
      </c>
      <c r="O859" s="3"/>
      <c r="P859" s="3"/>
      <c r="Q859" s="3">
        <v>108.509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183</v>
      </c>
      <c r="D860" s="3"/>
      <c r="E860" s="3" t="s">
        <v>183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0.79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183</v>
      </c>
      <c r="D861" s="3"/>
      <c r="E861" s="3" t="s">
        <v>183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183</v>
      </c>
      <c r="D862" s="3"/>
      <c r="E862" s="3" t="s">
        <v>183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183</v>
      </c>
      <c r="D863" s="3"/>
      <c r="E863" s="3" t="s">
        <v>183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183</v>
      </c>
      <c r="D864" s="3"/>
      <c r="E864" s="3" t="s">
        <v>183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183</v>
      </c>
      <c r="D865" s="3"/>
      <c r="E865" s="3" t="s">
        <v>183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183</v>
      </c>
      <c r="D866" s="3"/>
      <c r="E866" s="3" t="s">
        <v>183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183</v>
      </c>
      <c r="D867" s="3"/>
      <c r="E867" s="3" t="s">
        <v>183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0.70599999999999996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183</v>
      </c>
      <c r="D868" s="3"/>
      <c r="E868" s="3" t="s">
        <v>183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330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184</v>
      </c>
      <c r="D869" s="3"/>
      <c r="E869" s="3" t="s">
        <v>184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184</v>
      </c>
      <c r="D870" s="3"/>
      <c r="E870" s="3" t="s">
        <v>184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110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184</v>
      </c>
      <c r="D871" s="3"/>
      <c r="E871" s="3" t="s">
        <v>184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18</v>
      </c>
      <c r="O871" s="3"/>
      <c r="P871" s="3"/>
      <c r="Q871" s="3">
        <v>118.262</v>
      </c>
      <c r="R871" s="3" t="s">
        <v>15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184</v>
      </c>
      <c r="D872" s="3"/>
      <c r="E872" s="3" t="s">
        <v>184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0.99199999999999999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184</v>
      </c>
      <c r="D873" s="3"/>
      <c r="E873" s="3" t="s">
        <v>184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184</v>
      </c>
      <c r="D874" s="3"/>
      <c r="E874" s="3" t="s">
        <v>184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184</v>
      </c>
      <c r="D875" s="3"/>
      <c r="E875" s="3" t="s">
        <v>184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184</v>
      </c>
      <c r="D876" s="3"/>
      <c r="E876" s="3" t="s">
        <v>184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184</v>
      </c>
      <c r="D877" s="3"/>
      <c r="E877" s="3" t="s">
        <v>184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184</v>
      </c>
      <c r="D878" s="3"/>
      <c r="E878" s="3" t="s">
        <v>184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184</v>
      </c>
      <c r="D879" s="3"/>
      <c r="E879" s="3" t="s">
        <v>184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0.70599999999999996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184</v>
      </c>
      <c r="D880" s="3"/>
      <c r="E880" s="3" t="s">
        <v>184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332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185</v>
      </c>
      <c r="D881" s="3"/>
      <c r="E881" s="3" t="s">
        <v>185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185</v>
      </c>
      <c r="D882" s="3"/>
      <c r="E882" s="3" t="s">
        <v>185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110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185</v>
      </c>
      <c r="D883" s="3"/>
      <c r="E883" s="3" t="s">
        <v>185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18</v>
      </c>
      <c r="O883" s="3"/>
      <c r="P883" s="3"/>
      <c r="Q883" s="3">
        <v>123.139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185</v>
      </c>
      <c r="D884" s="3"/>
      <c r="E884" s="3" t="s">
        <v>185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1.0920000000000001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185</v>
      </c>
      <c r="D885" s="3"/>
      <c r="E885" s="3" t="s">
        <v>185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185</v>
      </c>
      <c r="D886" s="3"/>
      <c r="E886" s="3" t="s">
        <v>185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185</v>
      </c>
      <c r="D887" s="3"/>
      <c r="E887" s="3" t="s">
        <v>185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185</v>
      </c>
      <c r="D888" s="3"/>
      <c r="E888" s="3" t="s">
        <v>185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185</v>
      </c>
      <c r="D889" s="3"/>
      <c r="E889" s="3" t="s">
        <v>185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185</v>
      </c>
      <c r="D890" s="3"/>
      <c r="E890" s="3" t="s">
        <v>185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185</v>
      </c>
      <c r="D891" s="3"/>
      <c r="E891" s="3" t="s">
        <v>185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0.70599999999999996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185</v>
      </c>
      <c r="D892" s="3"/>
      <c r="E892" s="3" t="s">
        <v>185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334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186</v>
      </c>
      <c r="D893" s="3"/>
      <c r="E893" s="3" t="s">
        <v>186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335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186</v>
      </c>
      <c r="D894" s="3"/>
      <c r="E894" s="3" t="s">
        <v>186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110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186</v>
      </c>
      <c r="D895" s="3"/>
      <c r="E895" s="3" t="s">
        <v>186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18</v>
      </c>
      <c r="O895" s="3"/>
      <c r="P895" s="3"/>
      <c r="Q895" s="3">
        <v>128.01599999999999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186</v>
      </c>
      <c r="D896" s="3"/>
      <c r="E896" s="3" t="s">
        <v>186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1.1930000000000001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186</v>
      </c>
      <c r="D897" s="3"/>
      <c r="E897" s="3" t="s">
        <v>186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186</v>
      </c>
      <c r="D898" s="3"/>
      <c r="E898" s="3" t="s">
        <v>186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186</v>
      </c>
      <c r="D899" s="3"/>
      <c r="E899" s="3" t="s">
        <v>186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186</v>
      </c>
      <c r="D900" s="3"/>
      <c r="E900" s="3" t="s">
        <v>186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186</v>
      </c>
      <c r="D901" s="3"/>
      <c r="E901" s="3" t="s">
        <v>186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186</v>
      </c>
      <c r="D902" s="3"/>
      <c r="E902" s="3" t="s">
        <v>186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186</v>
      </c>
      <c r="D903" s="3"/>
      <c r="E903" s="3" t="s">
        <v>186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0.70599999999999996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186</v>
      </c>
      <c r="D904" s="3"/>
      <c r="E904" s="3" t="s">
        <v>186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336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2026-05-29T04:58:31Z</dcterms:modified>
</cp:coreProperties>
</file>