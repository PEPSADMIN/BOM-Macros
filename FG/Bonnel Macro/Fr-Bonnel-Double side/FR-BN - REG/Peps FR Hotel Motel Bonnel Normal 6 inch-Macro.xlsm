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-Double side\FR-BN - REG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</workbook>
</file>

<file path=xl/calcChain.xml><?xml version="1.0" encoding="utf-8"?>
<calcChain xmlns="http://schemas.openxmlformats.org/spreadsheetml/2006/main">
  <c r="E13" i="13" l="1"/>
  <c r="E2" i="13" l="1"/>
  <c r="G5" i="13" l="1"/>
  <c r="D2" i="13" l="1"/>
  <c r="G4" i="13" l="1"/>
  <c r="H4" i="13" l="1"/>
  <c r="D4" i="13"/>
  <c r="G3" i="13" l="1"/>
  <c r="G12" i="13" l="1"/>
  <c r="H13" i="13" l="1"/>
  <c r="D13" i="13"/>
  <c r="H12" i="13"/>
  <c r="D12" i="13"/>
  <c r="H11" i="13"/>
  <c r="D11" i="13"/>
  <c r="H10" i="13"/>
  <c r="D10" i="13"/>
  <c r="H9" i="13"/>
  <c r="D9" i="13"/>
  <c r="H8" i="13"/>
  <c r="E8" i="13"/>
  <c r="D8" i="13"/>
  <c r="G7" i="13"/>
  <c r="H7" i="13" s="1"/>
  <c r="D7" i="13"/>
  <c r="G6" i="13"/>
  <c r="H6" i="13" s="1"/>
  <c r="D6" i="13"/>
  <c r="H5" i="13"/>
  <c r="D5" i="13"/>
  <c r="H3" i="13"/>
  <c r="D3" i="13"/>
  <c r="H2" i="13"/>
</calcChain>
</file>

<file path=xl/sharedStrings.xml><?xml version="1.0" encoding="utf-8"?>
<sst xmlns="http://schemas.openxmlformats.org/spreadsheetml/2006/main" count="10252" uniqueCount="337">
  <si>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</si>
  <si>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</si>
  <si>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</si>
  <si>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</si>
  <si>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</si>
  <si>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</si>
  <si>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</si>
  <si>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</si>
  <si>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</si>
  <si>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</si>
  <si>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</si>
  <si>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</si>
  <si>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</si>
  <si>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</si>
  <si>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</si>
  <si>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</si>
  <si>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</si>
  <si>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</si>
  <si>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</si>
  <si>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</si>
  <si>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</si>
  <si>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</si>
  <si>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</si>
  <si>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</si>
  <si>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</si>
  <si>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</si>
  <si>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</si>
  <si>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</si>
  <si>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</si>
  <si>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</si>
  <si>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</si>
  <si>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</si>
  <si>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</si>
  <si>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</si>
  <si>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</si>
  <si>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</si>
  <si>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</si>
  <si>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</si>
  <si>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</si>
  <si>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</si>
  <si>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</si>
  <si>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</si>
  <si>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</si>
  <si>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</si>
  <si>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</si>
  <si>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</si>
  <si>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</si>
  <si>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</si>
  <si>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</si>
  <si>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</si>
  <si>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</si>
  <si>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</si>
  <si>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</si>
  <si>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</si>
  <si>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</si>
  <si>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</si>
  <si>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</si>
  <si>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</si>
  <si>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</si>
  <si>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</si>
  <si>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</si>
  <si>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</si>
  <si>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</si>
  <si>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</si>
  <si>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</si>
  <si>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</si>
  <si>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</si>
  <si>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</si>
  <si>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</si>
  <si>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</si>
  <si>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</si>
  <si>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</si>
  <si>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</si>
  <si>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</si>
  <si>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</si>
  <si>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</si>
  <si>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</si>
  <si>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</si>
  <si>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</si>
  <si>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</si>
  <si>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</si>
  <si>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</si>
  <si>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</si>
  <si>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</si>
  <si>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</si>
  <si>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</si>
  <si>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</si>
  <si>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</si>
  <si>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</si>
  <si>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</si>
  <si>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</si>
  <si>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</si>
  <si>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</si>
  <si>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</si>
  <si>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</si>
  <si>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</si>
  <si>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</si>
  <si>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</si>
  <si>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</si>
  <si>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</si>
  <si>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</si>
  <si>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</si>
  <si>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</si>
  <si>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</si>
  <si>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</si>
  <si>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</si>
  <si>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</si>
  <si>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</si>
  <si>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</si>
  <si>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RMI-PVC-50</t>
  </si>
  <si>
    <t>RTHTMTBNRG72X33X06</t>
  </si>
  <si>
    <t>RML-CS-PL-6.5"</t>
  </si>
  <si>
    <t>RTHTMTBNRG72X39X06</t>
  </si>
  <si>
    <t>RTHTMTBNRG72X45X06</t>
  </si>
  <si>
    <t>RTHTMTBNRG72X51X06</t>
  </si>
  <si>
    <t>RTHTMTBNRG72X54X06</t>
  </si>
  <si>
    <t>RTHTMTBNRG72X57X06</t>
  </si>
  <si>
    <t>RTHTMTBNRG72X63X06</t>
  </si>
  <si>
    <t>RTHTMTBNRG72X69X06</t>
  </si>
  <si>
    <t>RTHTMTBNRG75X33X06</t>
  </si>
  <si>
    <t>RTHTMTBNRG75X39X06</t>
  </si>
  <si>
    <t>RTHTMTBNRG75X45X06</t>
  </si>
  <si>
    <t>RTHTMTBNRG75X51X06</t>
  </si>
  <si>
    <t>RTHTMTBNRG75X54X06</t>
  </si>
  <si>
    <t>RTHTMTBNRG75X57X06</t>
  </si>
  <si>
    <t>RTHTMTBNRG75X63X06</t>
  </si>
  <si>
    <t>RTHTMTBNRG75X69X06</t>
  </si>
  <si>
    <t>RTHTMTBNRG78X33X06</t>
  </si>
  <si>
    <t>RTHTMTBNRG78X39X06</t>
  </si>
  <si>
    <t>RTHTMTBNRG78X45X06</t>
  </si>
  <si>
    <t>RTHTMTBNRG78X51X06</t>
  </si>
  <si>
    <t>RTHTMTBNRG78X54X06</t>
  </si>
  <si>
    <t>RTHTMTBNRG78X57X06</t>
  </si>
  <si>
    <t>RTHTMTBNRG78X63X06</t>
  </si>
  <si>
    <t>RTHTMTBNRG78X69X06</t>
  </si>
  <si>
    <t>RTHTMTBNRG80X33X06</t>
  </si>
  <si>
    <t>RTHTMTBNRG80X39X06</t>
  </si>
  <si>
    <t>RTHTMTBNRG80X45X06</t>
  </si>
  <si>
    <t>RTHTMTBNRG80X51X06</t>
  </si>
  <si>
    <t>RTHTMTBNRG80X54X06</t>
  </si>
  <si>
    <t>RTHTMTBNRG80X57X06</t>
  </si>
  <si>
    <t>RTHTMTBNRG80X63X06</t>
  </si>
  <si>
    <t>RTHTMTBNRG80X69X06</t>
  </si>
  <si>
    <t>RTHTMTBNRG84X33X06</t>
  </si>
  <si>
    <t>RTHTMTBNRG84X39X06</t>
  </si>
  <si>
    <t>RTHTMTBNRG84X45X06</t>
  </si>
  <si>
    <t>RTHTMTBNRG84X51X06</t>
  </si>
  <si>
    <t>RTHTMTBNRG84X54X06</t>
  </si>
  <si>
    <t>RTHTMTBNRG84X57X06</t>
  </si>
  <si>
    <t>RTHTMTBNRG84X63X06</t>
  </si>
  <si>
    <t>RTHTMTBNRG84X69X06</t>
  </si>
  <si>
    <t>SFG-RTHTMTRG-BONPOC-QUILT</t>
  </si>
  <si>
    <t>RTHTMTBNRG72X30X06</t>
  </si>
  <si>
    <t>RTHTMTBNRG72X36X06</t>
  </si>
  <si>
    <t>RTHTMTBNRG72X42X06</t>
  </si>
  <si>
    <t>RTHTMTBNRG72X48X06</t>
  </si>
  <si>
    <t>RTHTMTBNRG72X60X06</t>
  </si>
  <si>
    <t>RTHTMTBNRG72X66X06</t>
  </si>
  <si>
    <t>RTHTMTBNRG72X72X06</t>
  </si>
  <si>
    <t>RTHTMTBNRG75X30X06</t>
  </si>
  <si>
    <t>RTHTMTBNRG75X36X06</t>
  </si>
  <si>
    <t>RTHTMTBNRG75X42X06</t>
  </si>
  <si>
    <t>RTHTMTBNRG75X48X06</t>
  </si>
  <si>
    <t>RTHTMTBNRG75X60X06</t>
  </si>
  <si>
    <t>RTHTMTBNRG75X66X06</t>
  </si>
  <si>
    <t>RTHTMTBNRG75X72X06</t>
  </si>
  <si>
    <t>RTHTMTBNRG78X30X06</t>
  </si>
  <si>
    <t>RTHTMTBNRG78X36X06</t>
  </si>
  <si>
    <t>RTHTMTBNRG78X42X06</t>
  </si>
  <si>
    <t>RTHTMTBNRG78X48X06</t>
  </si>
  <si>
    <t>RTHTMTBNRG78X60X06</t>
  </si>
  <si>
    <t>RTHTMTBNRG78X66X06</t>
  </si>
  <si>
    <t>RTHTMTBNRG78X72X06</t>
  </si>
  <si>
    <t>RTHTMTBNRG80X30X06</t>
  </si>
  <si>
    <t>RTHTMTBNRG80X36X06</t>
  </si>
  <si>
    <t>RTHTMTBNRG80X42X06</t>
  </si>
  <si>
    <t>RTHTMTBNRG80X48X06</t>
  </si>
  <si>
    <t>RTHTMTBNRG80X60X06</t>
  </si>
  <si>
    <t>RTHTMTBNRG80X66X06</t>
  </si>
  <si>
    <t>RTHTMTBNRG80X72X06</t>
  </si>
  <si>
    <t>RTHTMTBNRG84X30X06</t>
  </si>
  <si>
    <t>RTHTMTBNRG84X36X06</t>
  </si>
  <si>
    <t>RTHTMTBNRG84X42X06</t>
  </si>
  <si>
    <t>RTHTMTBNRG84X48X06</t>
  </si>
  <si>
    <t>RTHTMTBNRG84X60X06</t>
  </si>
  <si>
    <t>RTHTMTBNRG84X66X06</t>
  </si>
  <si>
    <t>RTHTMTBNRG84X72X06</t>
  </si>
  <si>
    <t>17D-PU-FOAM-71.50X32.50X10MM</t>
  </si>
  <si>
    <t>17D-PU-FOAM-71.50X38.50X10MM</t>
  </si>
  <si>
    <t>17D-PU-FOAM-71.50X44.50X10MM</t>
  </si>
  <si>
    <t>17D-PU-FOAM-71.50X50.50X10MM</t>
  </si>
  <si>
    <t>17D-PU-FOAM-71.50X53.50X10MM</t>
  </si>
  <si>
    <t>17D-PU-FOAM-71.50X56.50X10MM</t>
  </si>
  <si>
    <t>17D-PU-FOAM-71.50X62.50X10MM</t>
  </si>
  <si>
    <t>17D-PU-FOAM-71.50X68.50X10MM</t>
  </si>
  <si>
    <t>17D-PU-FOAM-74.50X32.50X10MM</t>
  </si>
  <si>
    <t>17D-PU-FOAM-74.50X38.50X10MM</t>
  </si>
  <si>
    <t>17D-PU-FOAM-74.50X44.50X10MM</t>
  </si>
  <si>
    <t>17D-PU-FOAM-74.50X50.50X10MM</t>
  </si>
  <si>
    <t>17D-PU-FOAM-74.50X53.50X10MM</t>
  </si>
  <si>
    <t>17D-PU-FOAM-74.50X56.50X10MM</t>
  </si>
  <si>
    <t>17D-PU-FOAM-74.50X62.50X10MM</t>
  </si>
  <si>
    <t>17D-PU-FOAM-74.50X68.50X10MM</t>
  </si>
  <si>
    <t>17D-PU-FOAM-77.50X32.50X10MM</t>
  </si>
  <si>
    <t>17D-PU-FOAM-77.50X38.50X10MM</t>
  </si>
  <si>
    <t>17D-PU-FOAM-77.50X44.50X10MM</t>
  </si>
  <si>
    <t>17D-PU-FOAM-77.50X50.50X10MM</t>
  </si>
  <si>
    <t>17D-PU-FOAM-77.50X53.50X10MM</t>
  </si>
  <si>
    <t>17D-PU-FOAM-77.50X56.50X10MM</t>
  </si>
  <si>
    <t>17D-PU-FOAM-77.50X62.50X10MM</t>
  </si>
  <si>
    <t>17D-PU-FOAM-77.50X68.50X10MM</t>
  </si>
  <si>
    <t>17D-PU-FOAM-79.50X32.50X10MM</t>
  </si>
  <si>
    <t>17D-PU-FOAM-79.50X38.50X10MM</t>
  </si>
  <si>
    <t>17D-PU-FOAM-79.50X44.50X10MM</t>
  </si>
  <si>
    <t>17D-PU-FOAM-79.50X50.50X10MM</t>
  </si>
  <si>
    <t>17D-PU-FOAM-79.50X53.50X10MM</t>
  </si>
  <si>
    <t>17D-PU-FOAM-79.50X56.50X10MM</t>
  </si>
  <si>
    <t>17D-PU-FOAM-79.50X62.50X10MM</t>
  </si>
  <si>
    <t>17D-PU-FOAM-79.50X68.50X10MM</t>
  </si>
  <si>
    <t>17D-PU-FOAM-83.50X32.50X10MM</t>
  </si>
  <si>
    <t>17D-PU-FOAM-83.50X38.50X10MM</t>
  </si>
  <si>
    <t>17D-PU-FOAM-83.50X44.50X10MM</t>
  </si>
  <si>
    <t>17D-PU-FOAM-83.50X50.50X10MM</t>
  </si>
  <si>
    <t>17D-PU-FOAM-83.50X53.50X10MM</t>
  </si>
  <si>
    <t>17D-PU-FOAM-83.50X56.50X10MM</t>
  </si>
  <si>
    <t>17D-PU-FOAM-83.50X62.50X10MM</t>
  </si>
  <si>
    <t>17D-PU-FOAM-83.50X68.50X10MM</t>
  </si>
  <si>
    <t>17D-PU-FOAM-71.50X29.50X10MM</t>
  </si>
  <si>
    <t>17D-PU-FOAM-71.50X35.50X10MM</t>
  </si>
  <si>
    <t>17D-PU-FOAM-71.50X41.50X10MM</t>
  </si>
  <si>
    <t>17D-PU-FOAM-71.50X47.50X10MM</t>
  </si>
  <si>
    <t>17D-PU-FOAM-71.50X59.50X10MM</t>
  </si>
  <si>
    <t>17D-PU-FOAM-71.50X65.50X10MM</t>
  </si>
  <si>
    <t>17D-PU-FOAM-71.50X71.50X10MM</t>
  </si>
  <si>
    <t>17D-PU-FOAM-74.50X29.50X10MM</t>
  </si>
  <si>
    <t>17D-PU-FOAM-74.50X35.50X10MM</t>
  </si>
  <si>
    <t>17D-PU-FOAM-74.50X41.50X10MM</t>
  </si>
  <si>
    <t>17D-PU-FOAM-74.50X47.50X10MM</t>
  </si>
  <si>
    <t>17D-PU-FOAM-74.50X59.50X10MM</t>
  </si>
  <si>
    <t>17D-PU-FOAM-74.50X65.50X10MM</t>
  </si>
  <si>
    <t>17D-PU-FOAM-74.50X71.50X10MM</t>
  </si>
  <si>
    <t>17D-PU-FOAM-77.50X29.50X10MM</t>
  </si>
  <si>
    <t>17D-PU-FOAM-77.50X35.50X10MM</t>
  </si>
  <si>
    <t>17D-PU-FOAM-77.50X41.50X10MM</t>
  </si>
  <si>
    <t>17D-PU-FOAM-77.50X47.50X10MM</t>
  </si>
  <si>
    <t>17D-PU-FOAM-77.50X59.50X10MM</t>
  </si>
  <si>
    <t>17D-PU-FOAM-77.50X65.50X10MM</t>
  </si>
  <si>
    <t>17D-PU-FOAM-77.50X71.50X10MM</t>
  </si>
  <si>
    <t>17D-PU-FOAM-79.50X29.50X10MM</t>
  </si>
  <si>
    <t>17D-PU-FOAM-79.50X35.50X10MM</t>
  </si>
  <si>
    <t>17D-PU-FOAM-79.50X41.50X10MM</t>
  </si>
  <si>
    <t>17D-PU-FOAM-79.50X47.50X10MM</t>
  </si>
  <si>
    <t>17D-PU-FOAM-79.50X59.50X10MM</t>
  </si>
  <si>
    <t>17D-PU-FOAM-79.50X65.50X10MM</t>
  </si>
  <si>
    <t>17D-PU-FOAM-79.50X71.50X10MM</t>
  </si>
  <si>
    <t>17D-PU-FOAM-83.50X29.50X10MM</t>
  </si>
  <si>
    <t>17D-PU-FOAM-83.50X35.50X10MM</t>
  </si>
  <si>
    <t>17D-PU-FOAM-83.50X41.50X10MM</t>
  </si>
  <si>
    <t>17D-PU-FOAM-83.50X47.50X10MM</t>
  </si>
  <si>
    <t>17D-PU-FOAM-83.50X59.50X10MM</t>
  </si>
  <si>
    <t>17D-PU-FOAM-83.50X65.50X10MM</t>
  </si>
  <si>
    <t>17D-PU-FOAM-83.50X71.50X10MM</t>
  </si>
  <si>
    <t>OEBOXBNSR71.50X32.50X120</t>
  </si>
  <si>
    <t>OEBOXBNSR71.50X38.50X120</t>
  </si>
  <si>
    <t>OEBOXBNSR71.50X44.50X120</t>
  </si>
  <si>
    <t>OEBOXBNSR71.50X50.50X120</t>
  </si>
  <si>
    <t>OEBOXBNSR71.50X53.50X120</t>
  </si>
  <si>
    <t>OEBOXBNSR71.50X56.50X120</t>
  </si>
  <si>
    <t>OEBOXBNSR71.50X62.50X120</t>
  </si>
  <si>
    <t>OEBOXBNSR71.50X68.50X120</t>
  </si>
  <si>
    <t>OEBOXBNSR74.50X32.50X120</t>
  </si>
  <si>
    <t>OEBOXBNSR74.50X38.50X120</t>
  </si>
  <si>
    <t>OEBOXBNSR74.50X44.50X120</t>
  </si>
  <si>
    <t>OEBOXBNSR74.50X50.50X120</t>
  </si>
  <si>
    <t>OEBOXBNSR74.50X53.50X120</t>
  </si>
  <si>
    <t>OEBOXBNSR74.50X56.50X120</t>
  </si>
  <si>
    <t>OEBOXBNSR74.50X62.50X120</t>
  </si>
  <si>
    <t>OEBOXBNSR74.50X68.50X120</t>
  </si>
  <si>
    <t>OEBOXBNSR77.50X32.50X120</t>
  </si>
  <si>
    <t>OEBOXBNSR77.50X38.50X120</t>
  </si>
  <si>
    <t>OEBOXBNSR77.50X44.50X120</t>
  </si>
  <si>
    <t>OEBOXBNSR77.50X50.50X120</t>
  </si>
  <si>
    <t>OEBOXBNSR77.50X53.50X120</t>
  </si>
  <si>
    <t>OEBOXBNSR77.50X56.50X120</t>
  </si>
  <si>
    <t>OEBOXBNSR77.50X62.50X120</t>
  </si>
  <si>
    <t>OEBOXBNSR77.50X68.50X120</t>
  </si>
  <si>
    <t>OEBOXBNSR79.50X32.50X120</t>
  </si>
  <si>
    <t>OEBOXBNSR79.50X38.50X120</t>
  </si>
  <si>
    <t>OEBOXBNSR79.50X44.50X120</t>
  </si>
  <si>
    <t>OEBOXBNSR79.50X50.50X120</t>
  </si>
  <si>
    <t>OEBOXBNSR79.50X53.50X120</t>
  </si>
  <si>
    <t>OEBOXBNSR79.50X56.50X120</t>
  </si>
  <si>
    <t>OEBOXBNSR79.50X62.50X120</t>
  </si>
  <si>
    <t>OEBOXBNSR79.50X68.50X120</t>
  </si>
  <si>
    <t>OEBOXBNSR83.50X32.50X120</t>
  </si>
  <si>
    <t>OEBOXBNSR83.50X38.50X120</t>
  </si>
  <si>
    <t>OEBOXBNSR83.50X44.50X120</t>
  </si>
  <si>
    <t>OEBOXBNSR83.50X50.50X120</t>
  </si>
  <si>
    <t>OEBOXBNSR83.50X53.50X120</t>
  </si>
  <si>
    <t>OEBOXBNSR83.50X56.50X120</t>
  </si>
  <si>
    <t>OEBOXBNSR83.50X62.50X120</t>
  </si>
  <si>
    <t>OEBOXBNSR83.50X68.50X120</t>
  </si>
  <si>
    <t>OEBOXBNSR71.50X29.50X120</t>
  </si>
  <si>
    <t>OEBOXBNSR71.50X35.50X120</t>
  </si>
  <si>
    <t>OEBOXBNSR71.50X41.50X120</t>
  </si>
  <si>
    <t>OEBOXBNSR71.50X47.50X120</t>
  </si>
  <si>
    <t>OEBOXBNSR71.50X59.50X120</t>
  </si>
  <si>
    <t>OEBOXBNSR71.50X65.50X120</t>
  </si>
  <si>
    <t>OEBOXBNSR71.50X71.50X120</t>
  </si>
  <si>
    <t>OEBOXBNSR74.50X29.50X120</t>
  </si>
  <si>
    <t>OEBOXBNSR74.50X35.50X120</t>
  </si>
  <si>
    <t>OEBOXBNSR74.50X41.50X120</t>
  </si>
  <si>
    <t>OEBOXBNSR74.50X47.50X120</t>
  </si>
  <si>
    <t>OEBOXBNSR74.50X59.50X120</t>
  </si>
  <si>
    <t>OEBOXBNSR74.50X65.50X120</t>
  </si>
  <si>
    <t>OEBOXBNSR74.50X71.50X120</t>
  </si>
  <si>
    <t>OEBOXBNSR77.50X29.50X120</t>
  </si>
  <si>
    <t>OEBOXBNSR77.50X35.50X120</t>
  </si>
  <si>
    <t>OEBOXBNSR77.50X41.50X120</t>
  </si>
  <si>
    <t>OEBOXBNSR77.50X47.50X120</t>
  </si>
  <si>
    <t>OEBOXBNSR77.50X59.50X120</t>
  </si>
  <si>
    <t>OEBOXBNSR77.50X65.50X120</t>
  </si>
  <si>
    <t>OEBOXBNSR77.50X71.50X120</t>
  </si>
  <si>
    <t>OEBOXBNSR79.50X29.50X120</t>
  </si>
  <si>
    <t>OEBOXBNSR79.50X35.50X120</t>
  </si>
  <si>
    <t>OEBOXBNSR79.50X41.50X120</t>
  </si>
  <si>
    <t>OEBOXBNSR79.50X47.50X120</t>
  </si>
  <si>
    <t>OEBOXBNSR79.50X59.50X120</t>
  </si>
  <si>
    <t>OEBOXBNSR79.50X65.50X120</t>
  </si>
  <si>
    <t>OEBOXBNSR79.50X71.50X120</t>
  </si>
  <si>
    <t>OEBOXBNSR83.50X29.50X120</t>
  </si>
  <si>
    <t>OEBOXBNSR83.50X35.50X120</t>
  </si>
  <si>
    <t>OEBOXBNSR83.50X41.50X120</t>
  </si>
  <si>
    <t>OEBOXBNSR83.50X47.50X120</t>
  </si>
  <si>
    <t>OEBOXBNSR83.50X59.50X120</t>
  </si>
  <si>
    <t>OEBOXBNSR83.50X65.50X120</t>
  </si>
  <si>
    <t>OEBOXBNSR83.50X71.50X120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</si>
</sst>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5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 applyAlignment="1">
      <alignment vertical="center"/>
    </xf>
    <xf numFmtId="0" fontId="0" fillId="0" borderId="3" xfId="0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2" sqref="E22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2" style="16" bestFit="1" customWidth="1"/>
    <col min="5" max="5" width="32.4257812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7" t="s">
        <v>86</v>
      </c>
      <c r="S1" s="37" t="s">
        <v>87</v>
      </c>
      <c r="T1" s="37" t="s">
        <v>88</v>
      </c>
      <c r="U1" s="37" t="s">
        <v>10</v>
      </c>
    </row>
    <row r="2" spans="1:21" x14ac:dyDescent="0.25">
      <c r="A2" s="35">
        <v>1</v>
      </c>
      <c r="B2" s="7" t="s">
        <v>12</v>
      </c>
      <c r="C2" s="7" t="s">
        <v>12</v>
      </c>
      <c r="D2" s="7" t="str">
        <f>"RTHTMTBNRG"&amp;$K$2&amp;"X"&amp;$L$2&amp;"X"&amp;IF($M$2&gt;9,$M$2,"0"&amp;$M$2)</f>
        <v>RTHTMTBNRG75X36X06</v>
      </c>
      <c r="E2" s="1" t="str">
        <f>"OEBOXBNSR"&amp;(K2-0.5)&amp;"0"&amp;"X"&amp;(L2-0.5)&amp;"0"&amp;"X"&amp;IF(M2=6,"120",IF(M2=8,"160",IF(M2&gt;9,"180",0)))</f>
        <v>OEBOXBNSR74.50X35.50X120</v>
      </c>
      <c r="F2" s="11" t="s">
        <v>11</v>
      </c>
      <c r="G2" s="10">
        <v>1</v>
      </c>
      <c r="H2" s="10">
        <f>ROUND(G2,3)</f>
        <v>1</v>
      </c>
      <c r="I2" s="19" t="s">
        <v>16</v>
      </c>
      <c r="J2" s="5"/>
      <c r="K2" s="6">
        <v>75</v>
      </c>
      <c r="L2" s="6">
        <v>36</v>
      </c>
      <c r="M2" s="36">
        <v>6</v>
      </c>
      <c r="N2" s="6" t="s">
        <v>108</v>
      </c>
      <c r="P2" s="4" t="s">
        <v>91</v>
      </c>
      <c r="R2" s="33" t="s">
        <v>92</v>
      </c>
      <c r="S2" s="33" t="s">
        <v>93</v>
      </c>
      <c r="T2" s="33">
        <v>6</v>
      </c>
      <c r="U2" s="34" t="s">
        <v>108</v>
      </c>
    </row>
    <row r="3" spans="1:21" s="18" customFormat="1" x14ac:dyDescent="0.25">
      <c r="A3" s="35">
        <v>2</v>
      </c>
      <c r="B3" s="7" t="s">
        <v>17</v>
      </c>
      <c r="C3" s="7" t="s">
        <v>17</v>
      </c>
      <c r="D3" s="7" t="str">
        <f t="shared" ref="D3:D13" si="0">"RTHTMTBNRG"&amp;$K$2&amp;"X"&amp;$L$2&amp;"X"&amp;IF($M$2&gt;9,$M$2,"0"&amp;$M$2)</f>
        <v>RTHTMTBNRG75X36X06</v>
      </c>
      <c r="E3" s="39" t="s">
        <v>151</v>
      </c>
      <c r="F3" s="11" t="s">
        <v>15</v>
      </c>
      <c r="G3" s="25">
        <f>IF(K2&lt;79,(L2+1)*2,IF(L2&lt;37,(K2+1),(K2+1)*2))*0.0254</f>
        <v>1.8795999999999999</v>
      </c>
      <c r="H3" s="10">
        <f t="shared" ref="H3" si="1">ROUND(G3,3)</f>
        <v>1.88</v>
      </c>
      <c r="I3" s="19" t="s">
        <v>16</v>
      </c>
      <c r="J3" s="5"/>
      <c r="K3" s="17"/>
      <c r="L3" s="17"/>
      <c r="M3" s="17"/>
      <c r="N3" s="17"/>
      <c r="O3" s="4"/>
      <c r="R3" s="33" t="s">
        <v>92</v>
      </c>
      <c r="S3" s="33" t="s">
        <v>94</v>
      </c>
      <c r="T3" s="33">
        <v>6</v>
      </c>
      <c r="U3" s="34" t="s">
        <v>108</v>
      </c>
    </row>
    <row r="4" spans="1:21" x14ac:dyDescent="0.25">
      <c r="A4" s="35">
        <v>3</v>
      </c>
      <c r="B4" s="7" t="s">
        <v>17</v>
      </c>
      <c r="C4" s="7" t="s">
        <v>17</v>
      </c>
      <c r="D4" s="7" t="str">
        <f t="shared" si="0"/>
        <v>RTHTMTBNRG75X36X06</v>
      </c>
      <c r="E4" s="40" t="s">
        <v>18</v>
      </c>
      <c r="F4" s="41" t="s">
        <v>15</v>
      </c>
      <c r="G4" s="16">
        <f>(K2+L2+1.5)*4*0.0254*8</f>
        <v>91.44</v>
      </c>
      <c r="H4" s="10">
        <f>ROUND(G4,3)</f>
        <v>91.44</v>
      </c>
      <c r="I4" s="8" t="s">
        <v>14</v>
      </c>
      <c r="J4" s="12"/>
      <c r="O4" s="18"/>
      <c r="R4" s="33" t="s">
        <v>92</v>
      </c>
      <c r="S4" s="33" t="s">
        <v>95</v>
      </c>
      <c r="T4" s="33">
        <v>6</v>
      </c>
      <c r="U4" s="34" t="s">
        <v>108</v>
      </c>
    </row>
    <row r="5" spans="1:21" x14ac:dyDescent="0.25">
      <c r="A5" s="35">
        <v>4</v>
      </c>
      <c r="B5" s="7" t="s">
        <v>19</v>
      </c>
      <c r="C5" s="7" t="s">
        <v>19</v>
      </c>
      <c r="D5" s="7" t="str">
        <f t="shared" si="0"/>
        <v>RTHTMTBNRG75X36X06</v>
      </c>
      <c r="E5" s="20" t="s">
        <v>105</v>
      </c>
      <c r="F5" s="15" t="s">
        <v>106</v>
      </c>
      <c r="G5" s="22">
        <f>((K2-1)*(L2-1)/144)*0.00729*4</f>
        <v>0.52447499999999991</v>
      </c>
      <c r="H5" s="10">
        <f>ROUND(G5,3)</f>
        <v>0.52400000000000002</v>
      </c>
      <c r="I5" s="8" t="s">
        <v>14</v>
      </c>
      <c r="J5" s="12"/>
      <c r="O5" s="18"/>
      <c r="R5" s="33" t="s">
        <v>92</v>
      </c>
      <c r="S5" s="33" t="s">
        <v>96</v>
      </c>
      <c r="T5" s="33">
        <v>6</v>
      </c>
      <c r="U5" s="34" t="s">
        <v>108</v>
      </c>
    </row>
    <row r="6" spans="1:21" x14ac:dyDescent="0.25">
      <c r="A6" s="35">
        <v>5</v>
      </c>
      <c r="B6" s="7" t="s">
        <v>19</v>
      </c>
      <c r="C6" s="7" t="s">
        <v>19</v>
      </c>
      <c r="D6" s="7" t="str">
        <f t="shared" si="0"/>
        <v>RTHTMTBNRG75X36X06</v>
      </c>
      <c r="E6" s="20" t="s">
        <v>107</v>
      </c>
      <c r="F6" s="11" t="s">
        <v>15</v>
      </c>
      <c r="G6" s="10">
        <f>(K2+L2+4)*2*0.0254*2</f>
        <v>11.683999999999999</v>
      </c>
      <c r="H6" s="10">
        <f t="shared" ref="H6:H13" si="2">ROUND(G6,3)</f>
        <v>11.683999999999999</v>
      </c>
      <c r="I6" s="8" t="s">
        <v>14</v>
      </c>
      <c r="J6" s="12"/>
      <c r="R6" s="33" t="s">
        <v>92</v>
      </c>
      <c r="S6" s="33" t="s">
        <v>97</v>
      </c>
      <c r="T6" s="33">
        <v>6</v>
      </c>
      <c r="U6" s="34" t="s">
        <v>108</v>
      </c>
    </row>
    <row r="7" spans="1:21" x14ac:dyDescent="0.25">
      <c r="A7" s="35">
        <v>6</v>
      </c>
      <c r="B7" s="7" t="s">
        <v>19</v>
      </c>
      <c r="C7" s="7" t="s">
        <v>19</v>
      </c>
      <c r="D7" s="7" t="str">
        <f t="shared" si="0"/>
        <v>RTHTMTBNRG75X36X06</v>
      </c>
      <c r="E7" s="20" t="s">
        <v>18</v>
      </c>
      <c r="F7" s="11" t="s">
        <v>15</v>
      </c>
      <c r="G7" s="10">
        <f>(K2+L2+4)*2*0.0254*(4.73+1.42)*2</f>
        <v>71.8566</v>
      </c>
      <c r="H7" s="10">
        <f t="shared" si="2"/>
        <v>71.856999999999999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3" t="s">
        <v>92</v>
      </c>
      <c r="S7" s="33" t="s">
        <v>98</v>
      </c>
      <c r="T7" s="33">
        <v>6</v>
      </c>
      <c r="U7" s="34" t="s">
        <v>108</v>
      </c>
    </row>
    <row r="8" spans="1:21" x14ac:dyDescent="0.25">
      <c r="A8" s="35">
        <v>7</v>
      </c>
      <c r="B8" s="7" t="s">
        <v>20</v>
      </c>
      <c r="C8" s="9" t="s">
        <v>20</v>
      </c>
      <c r="D8" s="7" t="str">
        <f t="shared" si="0"/>
        <v>RTHTMTBNRG75X36X06</v>
      </c>
      <c r="E8" s="20" t="str">
        <f>IF(M2=6,"RML-CS-PL-6.5""",IF(M2=8,"RML-CS-PL-8.5",IF(M2=10,"RML-CS-PL-10.5",IF(M2=12,"RML-CS-PL-12.25"))))</f>
        <v>RML-CS-PL-6.5"</v>
      </c>
      <c r="F8" s="11" t="s">
        <v>11</v>
      </c>
      <c r="G8" s="10">
        <v>4</v>
      </c>
      <c r="H8" s="10">
        <f t="shared" si="2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3" t="s">
        <v>92</v>
      </c>
      <c r="S8" s="33" t="s">
        <v>99</v>
      </c>
      <c r="T8" s="33">
        <v>6</v>
      </c>
      <c r="U8" s="34" t="s">
        <v>108</v>
      </c>
    </row>
    <row r="9" spans="1:21" x14ac:dyDescent="0.25">
      <c r="A9" s="35">
        <v>8</v>
      </c>
      <c r="B9" s="7" t="s">
        <v>19</v>
      </c>
      <c r="C9" s="7" t="s">
        <v>19</v>
      </c>
      <c r="D9" s="7" t="str">
        <f t="shared" si="0"/>
        <v>RTHTMTBNRG75X36X06</v>
      </c>
      <c r="E9" s="20" t="s">
        <v>21</v>
      </c>
      <c r="F9" s="11" t="s">
        <v>11</v>
      </c>
      <c r="G9" s="10">
        <v>1</v>
      </c>
      <c r="H9" s="10">
        <f t="shared" si="2"/>
        <v>1</v>
      </c>
      <c r="I9" s="8" t="s">
        <v>14</v>
      </c>
      <c r="J9" s="12"/>
      <c r="K9" s="18"/>
      <c r="L9" s="18"/>
      <c r="M9" s="18"/>
      <c r="N9" s="18"/>
      <c r="O9" s="18"/>
      <c r="P9" s="23"/>
      <c r="Q9" s="18"/>
      <c r="R9" s="33" t="s">
        <v>92</v>
      </c>
      <c r="S9" s="33" t="s">
        <v>100</v>
      </c>
      <c r="T9" s="33">
        <v>6</v>
      </c>
      <c r="U9" s="34" t="s">
        <v>108</v>
      </c>
    </row>
    <row r="10" spans="1:21" x14ac:dyDescent="0.25">
      <c r="A10" s="35">
        <v>9</v>
      </c>
      <c r="B10" s="7" t="s">
        <v>20</v>
      </c>
      <c r="C10" s="9" t="s">
        <v>20</v>
      </c>
      <c r="D10" s="7" t="str">
        <f t="shared" si="0"/>
        <v>RTHTMTBNRG75X36X06</v>
      </c>
      <c r="E10" s="20" t="s">
        <v>22</v>
      </c>
      <c r="F10" s="11" t="s">
        <v>11</v>
      </c>
      <c r="G10" s="14">
        <v>1</v>
      </c>
      <c r="H10" s="10">
        <f t="shared" si="2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3" t="s">
        <v>101</v>
      </c>
      <c r="S10" s="33" t="s">
        <v>93</v>
      </c>
      <c r="T10" s="33">
        <v>6</v>
      </c>
      <c r="U10" s="34" t="s">
        <v>108</v>
      </c>
    </row>
    <row r="11" spans="1:21" x14ac:dyDescent="0.25">
      <c r="A11" s="35">
        <v>10</v>
      </c>
      <c r="B11" s="7" t="s">
        <v>20</v>
      </c>
      <c r="C11" s="9" t="s">
        <v>20</v>
      </c>
      <c r="D11" s="7" t="str">
        <f t="shared" si="0"/>
        <v>RTHTMTBNRG75X36X06</v>
      </c>
      <c r="E11" s="20" t="s">
        <v>23</v>
      </c>
      <c r="F11" s="11" t="s">
        <v>11</v>
      </c>
      <c r="G11" s="14">
        <v>1</v>
      </c>
      <c r="H11" s="10">
        <f t="shared" si="2"/>
        <v>1</v>
      </c>
      <c r="I11" s="8" t="s">
        <v>14</v>
      </c>
      <c r="J11" s="12"/>
      <c r="K11" s="24"/>
      <c r="L11" s="24"/>
      <c r="M11" s="18"/>
      <c r="N11" s="23"/>
      <c r="O11" s="18"/>
      <c r="P11" s="18"/>
      <c r="Q11" s="18"/>
      <c r="R11" s="33" t="s">
        <v>101</v>
      </c>
      <c r="S11" s="33" t="s">
        <v>94</v>
      </c>
      <c r="T11" s="33">
        <v>6</v>
      </c>
      <c r="U11" s="34" t="s">
        <v>108</v>
      </c>
    </row>
    <row r="12" spans="1:21" x14ac:dyDescent="0.25">
      <c r="A12" s="35">
        <v>11</v>
      </c>
      <c r="B12" s="7" t="s">
        <v>20</v>
      </c>
      <c r="C12" s="9" t="s">
        <v>20</v>
      </c>
      <c r="D12" s="7" t="str">
        <f t="shared" si="0"/>
        <v>RTHTMTBNRG75X36X06</v>
      </c>
      <c r="E12" s="18" t="s">
        <v>109</v>
      </c>
      <c r="F12" s="11" t="s">
        <v>13</v>
      </c>
      <c r="G12" s="23">
        <f>IF(K2&lt;79,((L2*2)+(M2*2)+4),((K2*2)+(M2*2)+4))*0.0254*89.5*0.0254*0.00005*1300</f>
        <v>0.33028321039999997</v>
      </c>
      <c r="H12" s="10">
        <f t="shared" si="2"/>
        <v>0.33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3" t="s">
        <v>101</v>
      </c>
      <c r="S12" s="33" t="s">
        <v>95</v>
      </c>
      <c r="T12" s="33">
        <v>6</v>
      </c>
      <c r="U12" s="34" t="s">
        <v>108</v>
      </c>
    </row>
    <row r="13" spans="1:21" x14ac:dyDescent="0.25">
      <c r="A13" s="35">
        <v>12</v>
      </c>
      <c r="B13" s="7" t="s">
        <v>19</v>
      </c>
      <c r="C13" s="7" t="s">
        <v>19</v>
      </c>
      <c r="D13" s="7" t="str">
        <f t="shared" si="0"/>
        <v>RTHTMTBNRG75X36X06</v>
      </c>
      <c r="E13" s="38" t="str">
        <f>"17D-PU-FOAM-"&amp;(K2-0.5)&amp;"0"&amp;"X"&amp;(L2-0.5)&amp;"0"&amp;"X10MM"</f>
        <v>17D-PU-FOAM-74.50X35.50X10MM</v>
      </c>
      <c r="F13" s="8" t="s">
        <v>11</v>
      </c>
      <c r="G13" s="14">
        <v>2</v>
      </c>
      <c r="H13" s="10">
        <f t="shared" si="2"/>
        <v>2</v>
      </c>
      <c r="I13" s="19" t="s">
        <v>16</v>
      </c>
      <c r="J13" s="12"/>
      <c r="K13" s="21"/>
      <c r="R13" s="33" t="s">
        <v>101</v>
      </c>
      <c r="S13" s="33" t="s">
        <v>96</v>
      </c>
      <c r="T13" s="33">
        <v>6</v>
      </c>
      <c r="U13" s="34" t="s">
        <v>108</v>
      </c>
    </row>
    <row r="14" spans="1:21" x14ac:dyDescent="0.25">
      <c r="J14" s="12"/>
      <c r="M14" s="21"/>
      <c r="O14" s="21"/>
      <c r="R14" s="33" t="s">
        <v>101</v>
      </c>
      <c r="S14" s="33" t="s">
        <v>97</v>
      </c>
      <c r="T14" s="33">
        <v>6</v>
      </c>
      <c r="U14" s="34" t="s">
        <v>108</v>
      </c>
    </row>
    <row r="15" spans="1:21" x14ac:dyDescent="0.25">
      <c r="J15" s="12"/>
      <c r="N15"/>
      <c r="O15"/>
      <c r="R15" s="33" t="s">
        <v>101</v>
      </c>
      <c r="S15" s="33" t="s">
        <v>98</v>
      </c>
      <c r="T15" s="33">
        <v>6</v>
      </c>
      <c r="U15" s="34" t="s">
        <v>108</v>
      </c>
    </row>
    <row r="16" spans="1:21" x14ac:dyDescent="0.25">
      <c r="J16" s="12"/>
      <c r="K16" s="21"/>
      <c r="M16" s="21"/>
      <c r="N16"/>
      <c r="O16"/>
      <c r="R16" s="33" t="s">
        <v>101</v>
      </c>
      <c r="S16" s="33" t="s">
        <v>99</v>
      </c>
      <c r="T16" s="33">
        <v>6</v>
      </c>
      <c r="U16" s="34" t="s">
        <v>108</v>
      </c>
    </row>
    <row r="17" spans="5:21" x14ac:dyDescent="0.25">
      <c r="J17" s="12"/>
      <c r="N17"/>
      <c r="O17"/>
      <c r="R17" s="33" t="s">
        <v>101</v>
      </c>
      <c r="S17" s="33" t="s">
        <v>100</v>
      </c>
      <c r="T17" s="33">
        <v>6</v>
      </c>
      <c r="U17" s="34" t="s">
        <v>108</v>
      </c>
    </row>
    <row r="18" spans="5:21" x14ac:dyDescent="0.25">
      <c r="J18" s="12"/>
      <c r="N18"/>
      <c r="O18"/>
      <c r="R18" s="33" t="s">
        <v>102</v>
      </c>
      <c r="S18" s="33" t="s">
        <v>93</v>
      </c>
      <c r="T18" s="33">
        <v>6</v>
      </c>
      <c r="U18" s="34" t="s">
        <v>108</v>
      </c>
    </row>
    <row r="19" spans="5:21" x14ac:dyDescent="0.25">
      <c r="J19" s="12"/>
      <c r="N19"/>
      <c r="O19"/>
      <c r="R19" s="33" t="s">
        <v>102</v>
      </c>
      <c r="S19" s="33" t="s">
        <v>94</v>
      </c>
      <c r="T19" s="33">
        <v>6</v>
      </c>
      <c r="U19" s="34" t="s">
        <v>108</v>
      </c>
    </row>
    <row r="20" spans="5:21" x14ac:dyDescent="0.25">
      <c r="J20" s="12"/>
      <c r="N20" s="32"/>
      <c r="O20"/>
      <c r="R20" s="33" t="s">
        <v>102</v>
      </c>
      <c r="S20" s="33" t="s">
        <v>95</v>
      </c>
      <c r="T20" s="33">
        <v>6</v>
      </c>
      <c r="U20" s="34" t="s">
        <v>108</v>
      </c>
    </row>
    <row r="21" spans="5:21" x14ac:dyDescent="0.25">
      <c r="J21" s="12"/>
      <c r="N21"/>
      <c r="O21"/>
      <c r="R21" s="33" t="s">
        <v>102</v>
      </c>
      <c r="S21" s="33" t="s">
        <v>96</v>
      </c>
      <c r="T21" s="33">
        <v>6</v>
      </c>
      <c r="U21" s="34" t="s">
        <v>108</v>
      </c>
    </row>
    <row r="22" spans="5:21" x14ac:dyDescent="0.25">
      <c r="J22" s="12"/>
      <c r="N22"/>
      <c r="O22"/>
      <c r="R22" s="33" t="s">
        <v>102</v>
      </c>
      <c r="S22" s="33" t="s">
        <v>97</v>
      </c>
      <c r="T22" s="33">
        <v>6</v>
      </c>
      <c r="U22" s="34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3" t="s">
        <v>102</v>
      </c>
      <c r="S23" s="33" t="s">
        <v>98</v>
      </c>
      <c r="T23" s="33">
        <v>6</v>
      </c>
      <c r="U23" s="34" t="s">
        <v>108</v>
      </c>
    </row>
    <row r="24" spans="5:21" x14ac:dyDescent="0.25">
      <c r="J24" s="13"/>
      <c r="K24" s="18"/>
      <c r="L24" s="18"/>
      <c r="M24" s="18"/>
      <c r="N24" s="32"/>
      <c r="O24"/>
      <c r="P24" s="18"/>
      <c r="Q24" s="18"/>
      <c r="R24" s="33" t="s">
        <v>102</v>
      </c>
      <c r="S24" s="33" t="s">
        <v>99</v>
      </c>
      <c r="T24" s="33">
        <v>6</v>
      </c>
      <c r="U24" s="34" t="s">
        <v>108</v>
      </c>
    </row>
    <row r="25" spans="5:21" x14ac:dyDescent="0.25">
      <c r="N25"/>
      <c r="O25"/>
      <c r="R25" s="33" t="s">
        <v>102</v>
      </c>
      <c r="S25" s="33" t="s">
        <v>100</v>
      </c>
      <c r="T25" s="33">
        <v>6</v>
      </c>
      <c r="U25" s="34" t="s">
        <v>108</v>
      </c>
    </row>
    <row r="26" spans="5:21" x14ac:dyDescent="0.25">
      <c r="N26"/>
      <c r="O26"/>
      <c r="R26" s="33" t="s">
        <v>103</v>
      </c>
      <c r="S26" s="33" t="s">
        <v>93</v>
      </c>
      <c r="T26" s="33">
        <v>6</v>
      </c>
      <c r="U26" s="34" t="s">
        <v>108</v>
      </c>
    </row>
    <row r="27" spans="5:21" x14ac:dyDescent="0.25">
      <c r="N27"/>
      <c r="O27"/>
      <c r="R27" s="33" t="s">
        <v>103</v>
      </c>
      <c r="S27" s="33" t="s">
        <v>94</v>
      </c>
      <c r="T27" s="33">
        <v>6</v>
      </c>
      <c r="U27" s="34" t="s">
        <v>108</v>
      </c>
    </row>
    <row r="28" spans="5:21" x14ac:dyDescent="0.25">
      <c r="E28" s="21"/>
      <c r="I28" s="21"/>
      <c r="M28" s="21"/>
      <c r="N28"/>
      <c r="O28"/>
      <c r="R28" s="33" t="s">
        <v>103</v>
      </c>
      <c r="S28" s="33" t="s">
        <v>95</v>
      </c>
      <c r="T28" s="33">
        <v>6</v>
      </c>
      <c r="U28" s="34" t="s">
        <v>108</v>
      </c>
    </row>
    <row r="29" spans="5:21" x14ac:dyDescent="0.25">
      <c r="E29" s="21"/>
      <c r="N29"/>
      <c r="O29"/>
      <c r="R29" s="33" t="s">
        <v>103</v>
      </c>
      <c r="S29" s="33" t="s">
        <v>96</v>
      </c>
      <c r="T29" s="33">
        <v>6</v>
      </c>
      <c r="U29" s="34" t="s">
        <v>108</v>
      </c>
    </row>
    <row r="30" spans="5:21" x14ac:dyDescent="0.25">
      <c r="H30" s="21"/>
      <c r="N30"/>
      <c r="O30"/>
      <c r="R30" s="33" t="s">
        <v>103</v>
      </c>
      <c r="S30" s="33" t="s">
        <v>97</v>
      </c>
      <c r="T30" s="33">
        <v>6</v>
      </c>
      <c r="U30" s="34" t="s">
        <v>108</v>
      </c>
    </row>
    <row r="31" spans="5:21" x14ac:dyDescent="0.25">
      <c r="N31"/>
      <c r="O31"/>
      <c r="R31" s="33" t="s">
        <v>103</v>
      </c>
      <c r="S31" s="33" t="s">
        <v>98</v>
      </c>
      <c r="T31" s="33">
        <v>6</v>
      </c>
      <c r="U31" s="34" t="s">
        <v>108</v>
      </c>
    </row>
    <row r="32" spans="5:21" x14ac:dyDescent="0.25">
      <c r="N32"/>
      <c r="O32"/>
      <c r="R32" s="33" t="s">
        <v>103</v>
      </c>
      <c r="S32" s="33" t="s">
        <v>99</v>
      </c>
      <c r="T32" s="33">
        <v>6</v>
      </c>
      <c r="U32" s="34" t="s">
        <v>108</v>
      </c>
    </row>
    <row r="33" spans="14:21" x14ac:dyDescent="0.25">
      <c r="N33"/>
      <c r="O33"/>
      <c r="R33" s="33" t="s">
        <v>103</v>
      </c>
      <c r="S33" s="33" t="s">
        <v>100</v>
      </c>
      <c r="T33" s="33">
        <v>6</v>
      </c>
      <c r="U33" s="34" t="s">
        <v>108</v>
      </c>
    </row>
    <row r="34" spans="14:21" x14ac:dyDescent="0.25">
      <c r="N34"/>
      <c r="O34"/>
      <c r="R34" s="33" t="s">
        <v>104</v>
      </c>
      <c r="S34" s="33" t="s">
        <v>93</v>
      </c>
      <c r="T34" s="33">
        <v>6</v>
      </c>
      <c r="U34" s="34" t="s">
        <v>108</v>
      </c>
    </row>
    <row r="35" spans="14:21" x14ac:dyDescent="0.25">
      <c r="N35"/>
      <c r="O35"/>
      <c r="R35" s="33" t="s">
        <v>104</v>
      </c>
      <c r="S35" s="33" t="s">
        <v>94</v>
      </c>
      <c r="T35" s="33">
        <v>6</v>
      </c>
      <c r="U35" s="34" t="s">
        <v>108</v>
      </c>
    </row>
    <row r="36" spans="14:21" x14ac:dyDescent="0.25">
      <c r="N36"/>
      <c r="O36"/>
      <c r="R36" s="33" t="s">
        <v>104</v>
      </c>
      <c r="S36" s="33" t="s">
        <v>95</v>
      </c>
      <c r="T36" s="33">
        <v>6</v>
      </c>
      <c r="U36" s="34" t="s">
        <v>108</v>
      </c>
    </row>
    <row r="37" spans="14:21" x14ac:dyDescent="0.25">
      <c r="N37"/>
      <c r="O37"/>
      <c r="R37" s="33" t="s">
        <v>104</v>
      </c>
      <c r="S37" s="33" t="s">
        <v>96</v>
      </c>
      <c r="T37" s="33">
        <v>6</v>
      </c>
      <c r="U37" s="34" t="s">
        <v>108</v>
      </c>
    </row>
    <row r="38" spans="14:21" x14ac:dyDescent="0.25">
      <c r="N38"/>
      <c r="O38"/>
      <c r="R38" s="33" t="s">
        <v>104</v>
      </c>
      <c r="S38" s="33" t="s">
        <v>97</v>
      </c>
      <c r="T38" s="33">
        <v>6</v>
      </c>
      <c r="U38" s="34" t="s">
        <v>108</v>
      </c>
    </row>
    <row r="39" spans="14:21" x14ac:dyDescent="0.25">
      <c r="N39"/>
      <c r="O39"/>
      <c r="R39" s="33" t="s">
        <v>104</v>
      </c>
      <c r="S39" s="33" t="s">
        <v>98</v>
      </c>
      <c r="T39" s="33">
        <v>6</v>
      </c>
      <c r="U39" s="34" t="s">
        <v>108</v>
      </c>
    </row>
    <row r="40" spans="14:21" x14ac:dyDescent="0.25">
      <c r="N40"/>
      <c r="O40"/>
      <c r="R40" s="33" t="s">
        <v>104</v>
      </c>
      <c r="S40" s="33" t="s">
        <v>99</v>
      </c>
      <c r="T40" s="33">
        <v>6</v>
      </c>
      <c r="U40" s="34" t="s">
        <v>108</v>
      </c>
    </row>
    <row r="41" spans="14:21" x14ac:dyDescent="0.25">
      <c r="N41"/>
      <c r="O41"/>
      <c r="R41" s="33" t="s">
        <v>104</v>
      </c>
      <c r="S41" s="33" t="s">
        <v>100</v>
      </c>
      <c r="T41" s="33">
        <v>6</v>
      </c>
      <c r="U41" s="34" t="s">
        <v>108</v>
      </c>
    </row>
    <row r="42" spans="14:21" x14ac:dyDescent="0.25">
      <c r="N42"/>
      <c r="O42"/>
      <c r="R42" s="33">
        <v>72</v>
      </c>
      <c r="S42" s="33">
        <v>30</v>
      </c>
      <c r="T42" s="33">
        <v>6</v>
      </c>
      <c r="U42" s="34" t="s">
        <v>108</v>
      </c>
    </row>
    <row r="43" spans="14:21" x14ac:dyDescent="0.25">
      <c r="N43"/>
      <c r="O43"/>
      <c r="R43" s="33">
        <v>72</v>
      </c>
      <c r="S43" s="33">
        <v>36</v>
      </c>
      <c r="T43" s="33">
        <v>6</v>
      </c>
      <c r="U43" s="34" t="s">
        <v>108</v>
      </c>
    </row>
    <row r="44" spans="14:21" x14ac:dyDescent="0.25">
      <c r="N44"/>
      <c r="O44"/>
      <c r="R44" s="33">
        <v>72</v>
      </c>
      <c r="S44" s="33">
        <v>42</v>
      </c>
      <c r="T44" s="33">
        <v>6</v>
      </c>
      <c r="U44" s="34" t="s">
        <v>108</v>
      </c>
    </row>
    <row r="45" spans="14:21" x14ac:dyDescent="0.25">
      <c r="N45"/>
      <c r="O45"/>
      <c r="R45" s="33">
        <v>72</v>
      </c>
      <c r="S45" s="33">
        <v>48</v>
      </c>
      <c r="T45" s="33">
        <v>6</v>
      </c>
      <c r="U45" s="34" t="s">
        <v>108</v>
      </c>
    </row>
    <row r="46" spans="14:21" x14ac:dyDescent="0.25">
      <c r="N46"/>
      <c r="O46"/>
      <c r="R46" s="33">
        <v>72</v>
      </c>
      <c r="S46" s="33">
        <v>60</v>
      </c>
      <c r="T46" s="33">
        <v>6</v>
      </c>
      <c r="U46" s="34" t="s">
        <v>108</v>
      </c>
    </row>
    <row r="47" spans="14:21" x14ac:dyDescent="0.25">
      <c r="N47"/>
      <c r="O47"/>
      <c r="R47" s="33">
        <v>72</v>
      </c>
      <c r="S47" s="33">
        <v>66</v>
      </c>
      <c r="T47" s="33">
        <v>6</v>
      </c>
      <c r="U47" s="34" t="s">
        <v>108</v>
      </c>
    </row>
    <row r="48" spans="14:21" x14ac:dyDescent="0.25">
      <c r="N48"/>
      <c r="O48"/>
      <c r="R48" s="33">
        <v>72</v>
      </c>
      <c r="S48" s="33">
        <v>72</v>
      </c>
      <c r="T48" s="33">
        <v>6</v>
      </c>
      <c r="U48" s="34" t="s">
        <v>108</v>
      </c>
    </row>
    <row r="49" spans="14:21" x14ac:dyDescent="0.25">
      <c r="N49"/>
      <c r="O49"/>
      <c r="R49" s="33">
        <v>75</v>
      </c>
      <c r="S49" s="33">
        <v>30</v>
      </c>
      <c r="T49" s="33">
        <v>6</v>
      </c>
      <c r="U49" s="34" t="s">
        <v>108</v>
      </c>
    </row>
    <row r="50" spans="14:21" x14ac:dyDescent="0.25">
      <c r="R50" s="33">
        <v>75</v>
      </c>
      <c r="S50" s="33">
        <v>36</v>
      </c>
      <c r="T50" s="33">
        <v>6</v>
      </c>
      <c r="U50" s="34" t="s">
        <v>108</v>
      </c>
    </row>
    <row r="51" spans="14:21" x14ac:dyDescent="0.25">
      <c r="R51" s="33">
        <v>75</v>
      </c>
      <c r="S51" s="33">
        <v>42</v>
      </c>
      <c r="T51" s="33">
        <v>6</v>
      </c>
      <c r="U51" s="34" t="s">
        <v>108</v>
      </c>
    </row>
    <row r="52" spans="14:21" x14ac:dyDescent="0.25">
      <c r="R52" s="33">
        <v>75</v>
      </c>
      <c r="S52" s="33">
        <v>48</v>
      </c>
      <c r="T52" s="33">
        <v>6</v>
      </c>
      <c r="U52" s="34" t="s">
        <v>108</v>
      </c>
    </row>
    <row r="53" spans="14:21" x14ac:dyDescent="0.25">
      <c r="R53" s="33">
        <v>75</v>
      </c>
      <c r="S53" s="33">
        <v>60</v>
      </c>
      <c r="T53" s="33">
        <v>6</v>
      </c>
      <c r="U53" s="34" t="s">
        <v>108</v>
      </c>
    </row>
    <row r="54" spans="14:21" x14ac:dyDescent="0.25">
      <c r="R54" s="33">
        <v>75</v>
      </c>
      <c r="S54" s="33">
        <v>66</v>
      </c>
      <c r="T54" s="33">
        <v>6</v>
      </c>
      <c r="U54" s="34" t="s">
        <v>108</v>
      </c>
    </row>
    <row r="55" spans="14:21" x14ac:dyDescent="0.25">
      <c r="R55" s="33">
        <v>75</v>
      </c>
      <c r="S55" s="33">
        <v>72</v>
      </c>
      <c r="T55" s="33">
        <v>6</v>
      </c>
      <c r="U55" s="34" t="s">
        <v>108</v>
      </c>
    </row>
    <row r="56" spans="14:21" x14ac:dyDescent="0.25">
      <c r="R56" s="33">
        <v>78</v>
      </c>
      <c r="S56" s="33">
        <v>30</v>
      </c>
      <c r="T56" s="33">
        <v>6</v>
      </c>
      <c r="U56" s="34" t="s">
        <v>108</v>
      </c>
    </row>
    <row r="57" spans="14:21" x14ac:dyDescent="0.25">
      <c r="R57" s="33">
        <v>78</v>
      </c>
      <c r="S57" s="33">
        <v>36</v>
      </c>
      <c r="T57" s="33">
        <v>6</v>
      </c>
      <c r="U57" s="34" t="s">
        <v>108</v>
      </c>
    </row>
    <row r="58" spans="14:21" x14ac:dyDescent="0.25">
      <c r="R58" s="33">
        <v>78</v>
      </c>
      <c r="S58" s="33">
        <v>42</v>
      </c>
      <c r="T58" s="33">
        <v>6</v>
      </c>
      <c r="U58" s="34" t="s">
        <v>108</v>
      </c>
    </row>
    <row r="59" spans="14:21" x14ac:dyDescent="0.25">
      <c r="R59" s="33">
        <v>78</v>
      </c>
      <c r="S59" s="33">
        <v>48</v>
      </c>
      <c r="T59" s="33">
        <v>6</v>
      </c>
      <c r="U59" s="34" t="s">
        <v>108</v>
      </c>
    </row>
    <row r="60" spans="14:21" x14ac:dyDescent="0.25">
      <c r="R60" s="33">
        <v>78</v>
      </c>
      <c r="S60" s="33">
        <v>60</v>
      </c>
      <c r="T60" s="33">
        <v>6</v>
      </c>
      <c r="U60" s="34" t="s">
        <v>108</v>
      </c>
    </row>
    <row r="61" spans="14:21" x14ac:dyDescent="0.25">
      <c r="R61" s="33">
        <v>78</v>
      </c>
      <c r="S61" s="33">
        <v>66</v>
      </c>
      <c r="T61" s="33">
        <v>6</v>
      </c>
      <c r="U61" s="34" t="s">
        <v>108</v>
      </c>
    </row>
    <row r="62" spans="14:21" x14ac:dyDescent="0.25">
      <c r="R62" s="33">
        <v>78</v>
      </c>
      <c r="S62" s="33">
        <v>72</v>
      </c>
      <c r="T62" s="33">
        <v>6</v>
      </c>
      <c r="U62" s="34" t="s">
        <v>108</v>
      </c>
    </row>
    <row r="63" spans="14:21" x14ac:dyDescent="0.25">
      <c r="R63" s="33">
        <v>80</v>
      </c>
      <c r="S63" s="33">
        <v>30</v>
      </c>
      <c r="T63" s="33">
        <v>6</v>
      </c>
      <c r="U63" s="34" t="s">
        <v>108</v>
      </c>
    </row>
    <row r="64" spans="14:21" x14ac:dyDescent="0.25">
      <c r="R64" s="33">
        <v>80</v>
      </c>
      <c r="S64" s="33">
        <v>36</v>
      </c>
      <c r="T64" s="33">
        <v>6</v>
      </c>
      <c r="U64" s="34" t="s">
        <v>108</v>
      </c>
    </row>
    <row r="65" spans="18:21" x14ac:dyDescent="0.25">
      <c r="R65" s="33">
        <v>80</v>
      </c>
      <c r="S65" s="33">
        <v>42</v>
      </c>
      <c r="T65" s="33">
        <v>6</v>
      </c>
      <c r="U65" s="34" t="s">
        <v>108</v>
      </c>
    </row>
    <row r="66" spans="18:21" x14ac:dyDescent="0.25">
      <c r="R66" s="33">
        <v>80</v>
      </c>
      <c r="S66" s="33">
        <v>48</v>
      </c>
      <c r="T66" s="33">
        <v>6</v>
      </c>
      <c r="U66" s="34" t="s">
        <v>108</v>
      </c>
    </row>
    <row r="67" spans="18:21" x14ac:dyDescent="0.25">
      <c r="R67" s="33">
        <v>80</v>
      </c>
      <c r="S67" s="33">
        <v>60</v>
      </c>
      <c r="T67" s="33">
        <v>6</v>
      </c>
      <c r="U67" s="34" t="s">
        <v>108</v>
      </c>
    </row>
    <row r="68" spans="18:21" x14ac:dyDescent="0.25">
      <c r="R68" s="33">
        <v>80</v>
      </c>
      <c r="S68" s="33">
        <v>66</v>
      </c>
      <c r="T68" s="33">
        <v>6</v>
      </c>
      <c r="U68" s="34" t="s">
        <v>108</v>
      </c>
    </row>
    <row r="69" spans="18:21" x14ac:dyDescent="0.25">
      <c r="R69" s="33">
        <v>80</v>
      </c>
      <c r="S69" s="33">
        <v>72</v>
      </c>
      <c r="T69" s="33">
        <v>6</v>
      </c>
      <c r="U69" s="34" t="s">
        <v>108</v>
      </c>
    </row>
    <row r="70" spans="18:21" x14ac:dyDescent="0.25">
      <c r="R70" s="33">
        <v>84</v>
      </c>
      <c r="S70" s="33">
        <v>30</v>
      </c>
      <c r="T70" s="33">
        <v>6</v>
      </c>
      <c r="U70" s="34" t="s">
        <v>108</v>
      </c>
    </row>
    <row r="71" spans="18:21" x14ac:dyDescent="0.25">
      <c r="R71" s="33">
        <v>84</v>
      </c>
      <c r="S71" s="33">
        <v>36</v>
      </c>
      <c r="T71" s="33">
        <v>6</v>
      </c>
      <c r="U71" s="34" t="s">
        <v>108</v>
      </c>
    </row>
    <row r="72" spans="18:21" x14ac:dyDescent="0.25">
      <c r="R72" s="33">
        <v>84</v>
      </c>
      <c r="S72" s="33">
        <v>42</v>
      </c>
      <c r="T72" s="33">
        <v>6</v>
      </c>
      <c r="U72" s="34" t="s">
        <v>108</v>
      </c>
    </row>
    <row r="73" spans="18:21" x14ac:dyDescent="0.25">
      <c r="R73" s="33">
        <v>84</v>
      </c>
      <c r="S73" s="33">
        <v>48</v>
      </c>
      <c r="T73" s="33">
        <v>6</v>
      </c>
      <c r="U73" s="34" t="s">
        <v>108</v>
      </c>
    </row>
    <row r="74" spans="18:21" x14ac:dyDescent="0.25">
      <c r="R74" s="33">
        <v>84</v>
      </c>
      <c r="S74" s="33">
        <v>60</v>
      </c>
      <c r="T74" s="33">
        <v>6</v>
      </c>
      <c r="U74" s="34" t="s">
        <v>108</v>
      </c>
    </row>
    <row r="75" spans="18:21" x14ac:dyDescent="0.25">
      <c r="R75" s="33">
        <v>84</v>
      </c>
      <c r="S75" s="33">
        <v>66</v>
      </c>
      <c r="T75" s="33">
        <v>6</v>
      </c>
      <c r="U75" s="34" t="s">
        <v>108</v>
      </c>
    </row>
    <row r="76" spans="18:21" x14ac:dyDescent="0.25">
      <c r="R76" s="33">
        <v>84</v>
      </c>
      <c r="S76" s="33">
        <v>72</v>
      </c>
      <c r="T76" s="33">
        <v>6</v>
      </c>
      <c r="U76" s="34" t="s">
        <v>108</v>
      </c>
    </row>
    <row r="77" spans="18:21" x14ac:dyDescent="0.25">
      <c r="R77" s="33"/>
      <c r="S77" s="33"/>
      <c r="T77" s="33"/>
      <c r="U77" s="34"/>
    </row>
    <row r="78" spans="18:21" x14ac:dyDescent="0.25">
      <c r="R78" s="33"/>
      <c r="S78" s="33"/>
      <c r="T78" s="33"/>
      <c r="U78" s="34"/>
    </row>
    <row r="79" spans="18:21" x14ac:dyDescent="0.25">
      <c r="R79" s="33"/>
      <c r="S79" s="33"/>
      <c r="T79" s="33"/>
      <c r="U79" s="34"/>
    </row>
    <row r="80" spans="18:21" x14ac:dyDescent="0.25">
      <c r="R80" s="33"/>
      <c r="S80" s="33"/>
      <c r="T80" s="33"/>
      <c r="U80" s="34"/>
    </row>
    <row r="81" spans="18:21" x14ac:dyDescent="0.25">
      <c r="R81" s="33"/>
      <c r="S81" s="33"/>
      <c r="T81" s="33"/>
      <c r="U81" s="34"/>
    </row>
    <row r="82" spans="18:21" x14ac:dyDescent="0.25">
      <c r="R82" s="33"/>
      <c r="S82" s="33"/>
      <c r="T82" s="33"/>
      <c r="U82" s="34"/>
    </row>
    <row r="83" spans="18:21" x14ac:dyDescent="0.25">
      <c r="R83" s="33"/>
      <c r="S83" s="33"/>
      <c r="T83" s="33"/>
      <c r="U83" s="34"/>
    </row>
    <row r="84" spans="18:21" x14ac:dyDescent="0.25">
      <c r="R84" s="33"/>
      <c r="S84" s="33"/>
      <c r="T84" s="33"/>
      <c r="U84" s="34"/>
    </row>
    <row r="85" spans="18:21" x14ac:dyDescent="0.25">
      <c r="R85" s="33"/>
      <c r="S85" s="33"/>
      <c r="T85" s="33"/>
      <c r="U85" s="34"/>
    </row>
    <row r="86" spans="18:21" x14ac:dyDescent="0.25">
      <c r="R86" s="33"/>
      <c r="S86" s="33"/>
      <c r="T86" s="33"/>
      <c r="U86" s="34"/>
    </row>
    <row r="87" spans="18:21" x14ac:dyDescent="0.25">
      <c r="R87" s="33"/>
      <c r="S87" s="33"/>
      <c r="T87" s="33"/>
      <c r="U87" s="34"/>
    </row>
    <row r="88" spans="18:21" x14ac:dyDescent="0.25">
      <c r="R88" s="33"/>
      <c r="S88" s="33"/>
      <c r="T88" s="33"/>
      <c r="U88" s="34"/>
    </row>
    <row r="89" spans="18:21" x14ac:dyDescent="0.25">
      <c r="R89" s="33"/>
      <c r="S89" s="33"/>
      <c r="T89" s="33"/>
      <c r="U89" s="34"/>
    </row>
    <row r="90" spans="18:21" x14ac:dyDescent="0.25">
      <c r="R90" s="33"/>
      <c r="S90" s="33"/>
      <c r="T90" s="33"/>
      <c r="U90" s="34"/>
    </row>
    <row r="91" spans="18:21" x14ac:dyDescent="0.25">
      <c r="R91" s="33"/>
      <c r="S91" s="33"/>
      <c r="T91" s="33"/>
      <c r="U91" s="34"/>
    </row>
    <row r="92" spans="18:21" x14ac:dyDescent="0.25">
      <c r="R92" s="33"/>
      <c r="S92" s="33"/>
      <c r="T92" s="33"/>
      <c r="U92" s="34"/>
    </row>
    <row r="93" spans="18:21" x14ac:dyDescent="0.25">
      <c r="R93" s="33"/>
      <c r="S93" s="33"/>
      <c r="T93" s="33"/>
      <c r="U93" s="34"/>
    </row>
    <row r="94" spans="18:21" x14ac:dyDescent="0.25">
      <c r="R94" s="33"/>
      <c r="S94" s="33"/>
      <c r="T94" s="33"/>
      <c r="U94" s="34"/>
    </row>
    <row r="95" spans="18:21" x14ac:dyDescent="0.25">
      <c r="R95" s="33"/>
      <c r="S95" s="33"/>
      <c r="T95" s="33"/>
      <c r="U95" s="34"/>
    </row>
    <row r="96" spans="18:21" x14ac:dyDescent="0.25">
      <c r="R96" s="33"/>
      <c r="S96" s="33"/>
      <c r="T96" s="33"/>
      <c r="U96" s="34"/>
    </row>
    <row r="97" spans="18:21" x14ac:dyDescent="0.25">
      <c r="R97" s="33"/>
      <c r="S97" s="33"/>
      <c r="T97" s="33"/>
      <c r="U97" s="34"/>
    </row>
    <row r="98" spans="18:21" x14ac:dyDescent="0.25">
      <c r="R98" s="33"/>
      <c r="S98" s="33"/>
      <c r="T98" s="33"/>
      <c r="U98" s="34"/>
    </row>
    <row r="99" spans="18:21" x14ac:dyDescent="0.25">
      <c r="R99" s="33"/>
      <c r="S99" s="33"/>
      <c r="T99" s="33"/>
      <c r="U99" s="34"/>
    </row>
    <row r="100" spans="18:21" x14ac:dyDescent="0.25">
      <c r="R100" s="33"/>
      <c r="S100" s="33"/>
      <c r="T100" s="33"/>
      <c r="U100" s="34"/>
    </row>
    <row r="101" spans="18:21" x14ac:dyDescent="0.25">
      <c r="R101" s="33"/>
      <c r="S101" s="33"/>
      <c r="T101" s="33"/>
      <c r="U101" s="34"/>
    </row>
    <row r="102" spans="18:21" x14ac:dyDescent="0.25">
      <c r="R102" s="33"/>
      <c r="S102" s="33"/>
      <c r="T102" s="33"/>
      <c r="U102" s="34"/>
    </row>
    <row r="103" spans="18:21" x14ac:dyDescent="0.25">
      <c r="R103" s="33"/>
      <c r="S103" s="33"/>
      <c r="T103" s="33"/>
      <c r="U103" s="34"/>
    </row>
    <row r="104" spans="18:21" x14ac:dyDescent="0.25">
      <c r="R104" s="33"/>
      <c r="S104" s="33"/>
      <c r="T104" s="33"/>
      <c r="U104" s="34"/>
    </row>
    <row r="105" spans="18:21" x14ac:dyDescent="0.25">
      <c r="R105" s="33"/>
      <c r="S105" s="33"/>
      <c r="T105" s="33"/>
      <c r="U105" s="34"/>
    </row>
    <row r="106" spans="18:21" x14ac:dyDescent="0.25">
      <c r="R106" s="33"/>
      <c r="S106" s="33"/>
      <c r="T106" s="33"/>
      <c r="U106" s="34"/>
    </row>
    <row r="107" spans="18:21" x14ac:dyDescent="0.25">
      <c r="R107" s="33"/>
      <c r="S107" s="33"/>
      <c r="T107" s="33"/>
      <c r="U107" s="34"/>
    </row>
    <row r="108" spans="18:21" x14ac:dyDescent="0.25">
      <c r="R108" s="33"/>
      <c r="S108" s="33"/>
      <c r="T108" s="33"/>
      <c r="U108" s="34"/>
    </row>
    <row r="109" spans="18:21" x14ac:dyDescent="0.25">
      <c r="R109" s="33"/>
      <c r="S109" s="33"/>
      <c r="T109" s="33"/>
      <c r="U109" s="34"/>
    </row>
    <row r="110" spans="18:21" x14ac:dyDescent="0.25">
      <c r="R110" s="33"/>
      <c r="S110" s="33"/>
      <c r="T110" s="33"/>
      <c r="U110" s="34"/>
    </row>
    <row r="111" spans="18:21" x14ac:dyDescent="0.25">
      <c r="R111" s="33"/>
      <c r="S111" s="33"/>
      <c r="T111" s="33"/>
      <c r="U111" s="34"/>
    </row>
    <row r="112" spans="18:21" x14ac:dyDescent="0.25">
      <c r="R112" s="33"/>
      <c r="S112" s="33"/>
      <c r="T112" s="34"/>
      <c r="U112" s="34"/>
    </row>
    <row r="113" spans="18:21" x14ac:dyDescent="0.25">
      <c r="R113" s="33"/>
      <c r="S113" s="33"/>
      <c r="T113" s="34"/>
      <c r="U113" s="34"/>
    </row>
    <row r="114" spans="18:21" x14ac:dyDescent="0.25">
      <c r="R114" s="33"/>
      <c r="S114" s="33"/>
      <c r="T114" s="34"/>
      <c r="U114" s="34"/>
    </row>
    <row r="115" spans="18:21" x14ac:dyDescent="0.25">
      <c r="R115" s="33"/>
      <c r="S115" s="33"/>
      <c r="T115" s="34"/>
      <c r="U115" s="34"/>
    </row>
    <row r="116" spans="18:21" x14ac:dyDescent="0.25">
      <c r="R116" s="33"/>
      <c r="S116" s="33"/>
      <c r="T116" s="34"/>
      <c r="U116" s="34"/>
    </row>
    <row r="117" spans="18:21" x14ac:dyDescent="0.25">
      <c r="R117" s="33"/>
      <c r="S117" s="33"/>
      <c r="T117" s="34"/>
      <c r="U117" s="34"/>
    </row>
    <row r="118" spans="18:21" x14ac:dyDescent="0.25">
      <c r="R118" s="33"/>
      <c r="S118" s="33"/>
      <c r="T118" s="34"/>
      <c r="U118" s="34"/>
    </row>
    <row r="119" spans="18:21" x14ac:dyDescent="0.25">
      <c r="R119" s="33"/>
      <c r="S119" s="33"/>
      <c r="T119" s="34"/>
      <c r="U119" s="34"/>
    </row>
    <row r="120" spans="18:21" x14ac:dyDescent="0.25">
      <c r="R120" s="33"/>
      <c r="S120" s="33"/>
      <c r="T120" s="34"/>
      <c r="U120" s="34"/>
    </row>
    <row r="121" spans="18:21" x14ac:dyDescent="0.25">
      <c r="R121" s="33"/>
      <c r="S121" s="33"/>
      <c r="T121" s="34"/>
      <c r="U121" s="34"/>
    </row>
    <row r="122" spans="18:21" x14ac:dyDescent="0.25">
      <c r="R122" s="33"/>
      <c r="S122" s="33"/>
      <c r="T122" s="33"/>
      <c r="U122" s="34"/>
    </row>
    <row r="123" spans="18:21" x14ac:dyDescent="0.25">
      <c r="R123" s="33"/>
      <c r="S123" s="33"/>
      <c r="T123" s="33"/>
      <c r="U123" s="34"/>
    </row>
    <row r="124" spans="18:21" x14ac:dyDescent="0.25">
      <c r="R124" s="33"/>
      <c r="S124" s="33"/>
      <c r="T124" s="33"/>
      <c r="U124" s="34"/>
    </row>
    <row r="125" spans="18:21" x14ac:dyDescent="0.25">
      <c r="R125" s="33"/>
      <c r="S125" s="33"/>
      <c r="T125" s="33"/>
      <c r="U125" s="34"/>
    </row>
    <row r="126" spans="18:21" x14ac:dyDescent="0.25">
      <c r="R126" s="33"/>
      <c r="S126" s="33"/>
      <c r="T126" s="33"/>
      <c r="U126" s="34"/>
    </row>
    <row r="127" spans="18:21" x14ac:dyDescent="0.25">
      <c r="R127" s="33"/>
      <c r="S127" s="33"/>
      <c r="T127" s="33"/>
      <c r="U127" s="34"/>
    </row>
    <row r="128" spans="18:21" x14ac:dyDescent="0.25">
      <c r="R128" s="33"/>
      <c r="S128" s="33"/>
      <c r="T128" s="33"/>
      <c r="U128" s="34"/>
    </row>
    <row r="129" spans="18:21" x14ac:dyDescent="0.25">
      <c r="R129" s="33"/>
      <c r="S129" s="33"/>
      <c r="T129" s="33"/>
      <c r="U129" s="34"/>
    </row>
    <row r="130" spans="18:21" x14ac:dyDescent="0.25">
      <c r="R130" s="33"/>
      <c r="S130" s="33"/>
      <c r="T130" s="33"/>
      <c r="U130" s="34"/>
    </row>
    <row r="131" spans="18:21" x14ac:dyDescent="0.25">
      <c r="R131" s="33"/>
      <c r="S131" s="33"/>
      <c r="T131" s="33"/>
      <c r="U131" s="34"/>
    </row>
    <row r="132" spans="18:21" x14ac:dyDescent="0.25">
      <c r="R132" s="33"/>
      <c r="S132" s="33"/>
      <c r="T132" s="34"/>
      <c r="U132" s="34"/>
    </row>
    <row r="133" spans="18:21" x14ac:dyDescent="0.25">
      <c r="R133" s="33"/>
      <c r="S133" s="33"/>
      <c r="T133" s="34"/>
      <c r="U133" s="34"/>
    </row>
    <row r="134" spans="18:21" x14ac:dyDescent="0.25">
      <c r="R134" s="33"/>
      <c r="S134" s="33"/>
      <c r="T134" s="34"/>
      <c r="U134" s="34"/>
    </row>
    <row r="135" spans="18:21" x14ac:dyDescent="0.25">
      <c r="R135" s="33"/>
      <c r="S135" s="33"/>
      <c r="T135" s="34"/>
      <c r="U135" s="34"/>
    </row>
    <row r="136" spans="18:21" x14ac:dyDescent="0.25">
      <c r="R136" s="33"/>
      <c r="S136" s="33"/>
      <c r="T136" s="34"/>
      <c r="U136" s="34"/>
    </row>
    <row r="137" spans="18:21" x14ac:dyDescent="0.25">
      <c r="R137" s="33"/>
      <c r="S137" s="33"/>
      <c r="T137" s="34"/>
      <c r="U137" s="34"/>
    </row>
    <row r="138" spans="18:21" x14ac:dyDescent="0.25">
      <c r="R138" s="33"/>
      <c r="S138" s="33"/>
      <c r="T138" s="34"/>
      <c r="U138" s="34"/>
    </row>
    <row r="139" spans="18:21" x14ac:dyDescent="0.25">
      <c r="R139" s="33"/>
      <c r="S139" s="33"/>
      <c r="T139" s="34"/>
      <c r="U139" s="34"/>
    </row>
    <row r="140" spans="18:21" x14ac:dyDescent="0.25">
      <c r="R140" s="33"/>
      <c r="S140" s="33"/>
      <c r="T140" s="34"/>
      <c r="U140" s="34"/>
    </row>
    <row r="141" spans="18:21" x14ac:dyDescent="0.25">
      <c r="R141" s="33"/>
      <c r="S141" s="33"/>
      <c r="T141" s="34"/>
      <c r="U141" s="34"/>
    </row>
    <row r="142" spans="18:21" x14ac:dyDescent="0.25">
      <c r="R142" s="33"/>
      <c r="S142" s="33"/>
      <c r="T142" s="34"/>
      <c r="U142" s="34"/>
    </row>
    <row r="143" spans="18:21" x14ac:dyDescent="0.25">
      <c r="R143" s="33"/>
      <c r="S143" s="33"/>
      <c r="T143" s="34"/>
      <c r="U143" s="34"/>
    </row>
    <row r="144" spans="18:21" x14ac:dyDescent="0.25">
      <c r="R144" s="33"/>
      <c r="S144" s="33"/>
      <c r="T144" s="34"/>
      <c r="U144" s="34"/>
    </row>
    <row r="145" spans="18:21" x14ac:dyDescent="0.25">
      <c r="R145" s="33"/>
      <c r="S145" s="33"/>
      <c r="T145" s="34"/>
      <c r="U145" s="34"/>
    </row>
    <row r="146" spans="18:21" x14ac:dyDescent="0.25">
      <c r="R146" s="33"/>
      <c r="S146" s="33"/>
      <c r="T146" s="34"/>
      <c r="U146" s="34"/>
    </row>
    <row r="147" spans="18:21" x14ac:dyDescent="0.25">
      <c r="R147" s="33"/>
      <c r="S147" s="33"/>
      <c r="T147" s="34"/>
      <c r="U147" s="34"/>
    </row>
    <row r="148" spans="18:21" x14ac:dyDescent="0.25">
      <c r="R148" s="33"/>
      <c r="S148" s="33"/>
      <c r="T148" s="34"/>
      <c r="U148" s="34"/>
    </row>
    <row r="149" spans="18:21" x14ac:dyDescent="0.25">
      <c r="R149" s="33"/>
      <c r="S149" s="33"/>
      <c r="T149" s="34"/>
      <c r="U149" s="34"/>
    </row>
    <row r="150" spans="18:21" x14ac:dyDescent="0.25">
      <c r="R150" s="33"/>
      <c r="S150" s="33"/>
      <c r="T150" s="34"/>
      <c r="U150" s="34"/>
    </row>
    <row r="151" spans="18:21" x14ac:dyDescent="0.25">
      <c r="R151" s="33"/>
      <c r="S151" s="33"/>
      <c r="T151" s="34"/>
      <c r="U151" s="34"/>
    </row>
    <row r="152" spans="18:21" x14ac:dyDescent="0.25">
      <c r="R152" s="33"/>
      <c r="S152" s="33"/>
      <c r="T152" s="34"/>
      <c r="U152" s="34"/>
    </row>
    <row r="153" spans="18:21" x14ac:dyDescent="0.25">
      <c r="R153" s="33"/>
      <c r="S153" s="33"/>
      <c r="T153" s="34"/>
      <c r="U153" s="34"/>
    </row>
    <row r="154" spans="18:21" x14ac:dyDescent="0.25">
      <c r="R154" s="33"/>
      <c r="S154" s="33"/>
      <c r="T154" s="34"/>
      <c r="U154" s="34"/>
    </row>
    <row r="155" spans="18:21" x14ac:dyDescent="0.25">
      <c r="R155" s="33"/>
      <c r="S155" s="33"/>
      <c r="T155" s="34"/>
      <c r="U155" s="34"/>
    </row>
    <row r="156" spans="18:21" x14ac:dyDescent="0.25">
      <c r="R156" s="33"/>
      <c r="S156" s="33"/>
      <c r="T156" s="34"/>
      <c r="U156" s="34"/>
    </row>
    <row r="157" spans="18:21" x14ac:dyDescent="0.25">
      <c r="R157" s="33"/>
      <c r="S157" s="33"/>
      <c r="T157" s="34"/>
      <c r="U157" s="34"/>
    </row>
    <row r="158" spans="18:21" x14ac:dyDescent="0.25">
      <c r="R158" s="33"/>
      <c r="S158" s="33"/>
      <c r="T158" s="34"/>
      <c r="U158" s="34"/>
    </row>
    <row r="159" spans="18:21" x14ac:dyDescent="0.25">
      <c r="R159" s="33"/>
      <c r="S159" s="33"/>
      <c r="T159" s="34"/>
      <c r="U159" s="34"/>
    </row>
    <row r="160" spans="18:21" x14ac:dyDescent="0.25">
      <c r="R160" s="33"/>
      <c r="S160" s="33"/>
      <c r="T160" s="34"/>
      <c r="U160" s="34"/>
    </row>
    <row r="161" spans="18:21" x14ac:dyDescent="0.25">
      <c r="R161" s="33"/>
      <c r="S161" s="33"/>
      <c r="T161" s="34"/>
      <c r="U161" s="34"/>
    </row>
    <row r="162" spans="18:21" x14ac:dyDescent="0.25">
      <c r="R162" s="34"/>
      <c r="S162" s="34"/>
      <c r="T162" s="34"/>
      <c r="U162" s="34"/>
    </row>
    <row r="163" spans="18:21" x14ac:dyDescent="0.25">
      <c r="R163" s="34"/>
      <c r="S163" s="34"/>
      <c r="T163" s="34"/>
      <c r="U163" s="34"/>
    </row>
    <row r="164" spans="18:21" x14ac:dyDescent="0.25">
      <c r="R164" s="34"/>
      <c r="S164" s="34"/>
      <c r="T164" s="34"/>
      <c r="U164" s="34"/>
    </row>
    <row r="165" spans="18:21" x14ac:dyDescent="0.25">
      <c r="R165" s="34"/>
      <c r="S165" s="34"/>
      <c r="T165" s="34"/>
      <c r="U165" s="34"/>
    </row>
    <row r="166" spans="18:21" x14ac:dyDescent="0.25">
      <c r="R166" s="34"/>
      <c r="S166" s="34"/>
      <c r="T166" s="34"/>
      <c r="U166" s="34"/>
    </row>
    <row r="167" spans="18:21" x14ac:dyDescent="0.25">
      <c r="R167" s="34"/>
      <c r="S167" s="34"/>
      <c r="T167" s="34"/>
      <c r="U167" s="34"/>
    </row>
    <row r="168" spans="18:21" x14ac:dyDescent="0.25">
      <c r="R168" s="34"/>
      <c r="S168" s="34"/>
      <c r="T168" s="34"/>
      <c r="U168" s="34"/>
    </row>
    <row r="169" spans="18:21" x14ac:dyDescent="0.25">
      <c r="R169" s="34"/>
      <c r="S169" s="34"/>
      <c r="T169" s="34"/>
      <c r="U169" s="34"/>
    </row>
    <row r="170" spans="18:21" x14ac:dyDescent="0.25">
      <c r="R170" s="34"/>
      <c r="S170" s="34"/>
      <c r="T170" s="34"/>
      <c r="U170" s="34"/>
    </row>
    <row r="171" spans="18:21" x14ac:dyDescent="0.25">
      <c r="R171" s="34"/>
      <c r="S171" s="34"/>
      <c r="T171" s="34"/>
      <c r="U171" s="34"/>
    </row>
    <row r="172" spans="18:21" x14ac:dyDescent="0.25">
      <c r="R172" s="34"/>
      <c r="S172" s="34"/>
      <c r="T172" s="34"/>
      <c r="U172" s="34"/>
    </row>
    <row r="173" spans="18:21" x14ac:dyDescent="0.25">
      <c r="R173" s="34"/>
      <c r="S173" s="34"/>
      <c r="T173" s="34"/>
      <c r="U173" s="34"/>
    </row>
    <row r="174" spans="18:21" x14ac:dyDescent="0.25">
      <c r="R174" s="34"/>
      <c r="S174" s="34"/>
      <c r="T174" s="34"/>
      <c r="U174" s="34"/>
    </row>
    <row r="175" spans="18:21" x14ac:dyDescent="0.25">
      <c r="R175" s="34"/>
      <c r="S175" s="34"/>
      <c r="T175" s="34"/>
      <c r="U175" s="34"/>
    </row>
    <row r="176" spans="18:21" x14ac:dyDescent="0.25">
      <c r="R176" s="34"/>
      <c r="S176" s="34"/>
      <c r="T176" s="34"/>
      <c r="U176" s="34"/>
    </row>
    <row r="177" spans="18:21" x14ac:dyDescent="0.25">
      <c r="R177" s="34"/>
      <c r="S177" s="34"/>
      <c r="T177" s="34"/>
      <c r="U177" s="34"/>
    </row>
    <row r="178" spans="18:21" x14ac:dyDescent="0.25">
      <c r="R178" s="34"/>
      <c r="S178" s="34"/>
      <c r="T178" s="34"/>
      <c r="U178" s="34"/>
    </row>
    <row r="179" spans="18:21" x14ac:dyDescent="0.25">
      <c r="R179" s="34"/>
      <c r="S179" s="34"/>
      <c r="T179" s="34"/>
      <c r="U179" s="34"/>
    </row>
    <row r="180" spans="18:21" x14ac:dyDescent="0.25">
      <c r="R180" s="34"/>
      <c r="S180" s="34"/>
      <c r="T180" s="34"/>
      <c r="U180" s="34"/>
    </row>
    <row r="181" spans="18:21" x14ac:dyDescent="0.25">
      <c r="R181" s="34"/>
      <c r="S181" s="34"/>
      <c r="T181" s="34"/>
      <c r="U181" s="34"/>
    </row>
    <row r="182" spans="18:21" x14ac:dyDescent="0.25">
      <c r="R182" s="34"/>
      <c r="S182" s="34"/>
      <c r="T182" s="34"/>
      <c r="U182" s="34"/>
    </row>
    <row r="183" spans="18:21" x14ac:dyDescent="0.25">
      <c r="R183" s="34"/>
      <c r="S183" s="34"/>
      <c r="T183" s="34"/>
      <c r="U183" s="34"/>
    </row>
    <row r="184" spans="18:21" x14ac:dyDescent="0.25">
      <c r="R184" s="34"/>
      <c r="S184" s="34"/>
      <c r="T184" s="34"/>
      <c r="U184" s="34"/>
    </row>
    <row r="185" spans="18:21" x14ac:dyDescent="0.25">
      <c r="R185" s="34"/>
      <c r="S185" s="34"/>
      <c r="T185" s="34"/>
      <c r="U185" s="34"/>
    </row>
    <row r="186" spans="18:21" x14ac:dyDescent="0.25">
      <c r="R186" s="34"/>
      <c r="S186" s="34"/>
      <c r="T186" s="34"/>
      <c r="U186" s="34"/>
    </row>
    <row r="187" spans="18:21" x14ac:dyDescent="0.25">
      <c r="R187" s="34"/>
      <c r="S187" s="34"/>
      <c r="T187" s="34"/>
      <c r="U187" s="34"/>
    </row>
    <row r="188" spans="18:21" x14ac:dyDescent="0.25">
      <c r="R188" s="34"/>
      <c r="S188" s="34"/>
      <c r="T188" s="34"/>
      <c r="U188" s="34"/>
    </row>
    <row r="189" spans="18:21" x14ac:dyDescent="0.25">
      <c r="R189" s="34"/>
      <c r="S189" s="34"/>
      <c r="T189" s="34"/>
      <c r="U189" s="34"/>
    </row>
    <row r="190" spans="18:21" x14ac:dyDescent="0.25">
      <c r="R190" s="34"/>
      <c r="S190" s="34"/>
      <c r="T190" s="34"/>
      <c r="U190" s="34"/>
    </row>
    <row r="191" spans="18:21" x14ac:dyDescent="0.25">
      <c r="R191" s="34"/>
      <c r="S191" s="34"/>
      <c r="T191" s="34"/>
      <c r="U191" s="34"/>
    </row>
    <row r="192" spans="18:21" x14ac:dyDescent="0.25">
      <c r="R192" s="34"/>
      <c r="S192" s="34"/>
      <c r="T192" s="34"/>
      <c r="U192" s="34"/>
    </row>
    <row r="193" spans="18:21" x14ac:dyDescent="0.25">
      <c r="R193" s="34"/>
      <c r="S193" s="34"/>
      <c r="T193" s="34"/>
      <c r="U193" s="34"/>
    </row>
    <row r="194" spans="18:21" x14ac:dyDescent="0.25">
      <c r="R194" s="34"/>
      <c r="S194" s="34"/>
      <c r="T194" s="34"/>
      <c r="U194" s="34"/>
    </row>
    <row r="195" spans="18:21" x14ac:dyDescent="0.25">
      <c r="R195" s="34"/>
      <c r="S195" s="34"/>
      <c r="T195" s="34"/>
      <c r="U195" s="34"/>
    </row>
    <row r="196" spans="18:21" x14ac:dyDescent="0.25">
      <c r="R196" s="34"/>
      <c r="S196" s="34"/>
      <c r="T196" s="34"/>
      <c r="U196" s="34"/>
    </row>
    <row r="197" spans="18:21" x14ac:dyDescent="0.25">
      <c r="R197" s="34"/>
      <c r="S197" s="34"/>
      <c r="T197" s="34"/>
      <c r="U197" s="34"/>
    </row>
    <row r="198" spans="18:21" x14ac:dyDescent="0.25">
      <c r="R198" s="34"/>
      <c r="S198" s="34"/>
      <c r="T198" s="34"/>
      <c r="U198" s="34"/>
    </row>
    <row r="199" spans="18:21" x14ac:dyDescent="0.25">
      <c r="R199" s="34"/>
      <c r="S199" s="34"/>
      <c r="T199" s="34"/>
      <c r="U199" s="34"/>
    </row>
    <row r="200" spans="18:21" x14ac:dyDescent="0.25">
      <c r="R200" s="34"/>
      <c r="S200" s="34"/>
      <c r="T200" s="34"/>
      <c r="U200" s="34"/>
    </row>
    <row r="201" spans="18:21" x14ac:dyDescent="0.25">
      <c r="R201" s="34"/>
      <c r="S201" s="34"/>
      <c r="T201" s="34"/>
      <c r="U201" s="34"/>
    </row>
    <row r="202" spans="18:21" x14ac:dyDescent="0.25">
      <c r="R202" s="34"/>
      <c r="S202" s="34"/>
      <c r="T202" s="34"/>
      <c r="U202" s="34"/>
    </row>
    <row r="203" spans="18:21" x14ac:dyDescent="0.25">
      <c r="R203" s="34"/>
      <c r="S203" s="34"/>
      <c r="T203" s="34"/>
      <c r="U203" s="34"/>
    </row>
    <row r="204" spans="18:21" x14ac:dyDescent="0.25">
      <c r="R204" s="34"/>
      <c r="S204" s="34"/>
      <c r="T204" s="34"/>
      <c r="U204" s="34"/>
    </row>
    <row r="205" spans="18:21" x14ac:dyDescent="0.25">
      <c r="R205" s="34"/>
      <c r="S205" s="34"/>
      <c r="T205" s="34"/>
      <c r="U205" s="34"/>
    </row>
    <row r="206" spans="18:21" x14ac:dyDescent="0.25">
      <c r="R206" s="34"/>
      <c r="S206" s="34"/>
      <c r="T206" s="34"/>
      <c r="U206" s="34"/>
    </row>
    <row r="207" spans="18:21" x14ac:dyDescent="0.25">
      <c r="R207" s="34"/>
      <c r="S207" s="34"/>
      <c r="T207" s="34"/>
      <c r="U207" s="34"/>
    </row>
    <row r="208" spans="18:21" x14ac:dyDescent="0.25">
      <c r="R208" s="34"/>
      <c r="S208" s="34"/>
      <c r="T208" s="34"/>
      <c r="U208" s="34"/>
    </row>
    <row r="209" spans="18:21" x14ac:dyDescent="0.25">
      <c r="R209" s="34"/>
      <c r="S209" s="34"/>
      <c r="T209" s="34"/>
      <c r="U209" s="34"/>
    </row>
    <row r="210" spans="18:21" x14ac:dyDescent="0.25">
      <c r="R210" s="34"/>
      <c r="S210" s="34"/>
      <c r="T210" s="34"/>
      <c r="U210" s="34"/>
    </row>
    <row r="211" spans="18:21" x14ac:dyDescent="0.25">
      <c r="R211" s="34"/>
      <c r="S211" s="34"/>
      <c r="T211" s="34"/>
      <c r="U211" s="34"/>
    </row>
    <row r="212" spans="18:21" x14ac:dyDescent="0.25">
      <c r="R212" s="34"/>
      <c r="S212" s="34"/>
      <c r="T212" s="34"/>
      <c r="U212" s="34"/>
    </row>
    <row r="213" spans="18:21" x14ac:dyDescent="0.25">
      <c r="R213" s="34"/>
      <c r="S213" s="34"/>
      <c r="T213" s="34"/>
      <c r="U213" s="34"/>
    </row>
    <row r="214" spans="18:21" x14ac:dyDescent="0.25">
      <c r="R214" s="34"/>
      <c r="S214" s="34"/>
      <c r="T214" s="34"/>
      <c r="U214" s="34"/>
    </row>
    <row r="215" spans="18:21" x14ac:dyDescent="0.25">
      <c r="R215" s="34"/>
      <c r="S215" s="34"/>
      <c r="T215" s="34"/>
      <c r="U215" s="34"/>
    </row>
    <row r="216" spans="18:21" x14ac:dyDescent="0.25">
      <c r="R216" s="34"/>
      <c r="S216" s="34"/>
      <c r="T216" s="34"/>
      <c r="U216" s="34"/>
    </row>
    <row r="217" spans="18:21" x14ac:dyDescent="0.25">
      <c r="R217" s="34"/>
      <c r="S217" s="34"/>
      <c r="T217" s="34"/>
      <c r="U217" s="34"/>
    </row>
    <row r="218" spans="18:21" x14ac:dyDescent="0.25">
      <c r="R218" s="34"/>
      <c r="S218" s="34"/>
      <c r="T218" s="34"/>
      <c r="U218" s="34"/>
    </row>
    <row r="219" spans="18:21" x14ac:dyDescent="0.25">
      <c r="R219" s="34"/>
      <c r="S219" s="34"/>
      <c r="T219" s="34"/>
      <c r="U219" s="34"/>
    </row>
    <row r="220" spans="18:21" x14ac:dyDescent="0.25">
      <c r="R220" s="34"/>
      <c r="S220" s="34"/>
      <c r="T220" s="34"/>
      <c r="U220" s="34"/>
    </row>
    <row r="221" spans="18:21" x14ac:dyDescent="0.25">
      <c r="R221" s="34"/>
      <c r="S221" s="34"/>
      <c r="T221" s="34"/>
      <c r="U221" s="34"/>
    </row>
    <row r="222" spans="18:21" x14ac:dyDescent="0.25">
      <c r="R222" s="34"/>
      <c r="S222" s="34"/>
      <c r="T222" s="34"/>
      <c r="U222" s="34"/>
    </row>
    <row r="223" spans="18:21" x14ac:dyDescent="0.25">
      <c r="R223" s="34"/>
      <c r="S223" s="34"/>
      <c r="T223" s="34"/>
      <c r="U223" s="34"/>
    </row>
    <row r="224" spans="18:21" x14ac:dyDescent="0.25">
      <c r="R224" s="34"/>
      <c r="S224" s="34"/>
      <c r="T224" s="34"/>
      <c r="U224" s="34"/>
    </row>
    <row r="225" spans="18:21" x14ac:dyDescent="0.25">
      <c r="R225" s="34"/>
      <c r="S225" s="34"/>
      <c r="T225" s="34"/>
      <c r="U225" s="34"/>
    </row>
    <row r="226" spans="18:21" x14ac:dyDescent="0.25">
      <c r="R226" s="34"/>
      <c r="S226" s="34"/>
      <c r="T226" s="34"/>
      <c r="U226" s="34"/>
    </row>
    <row r="227" spans="18:21" x14ac:dyDescent="0.25">
      <c r="R227" s="34"/>
      <c r="S227" s="34"/>
      <c r="T227" s="34"/>
      <c r="U227" s="34"/>
    </row>
    <row r="228" spans="18:21" x14ac:dyDescent="0.25">
      <c r="R228" s="34"/>
      <c r="S228" s="34"/>
      <c r="T228" s="34"/>
      <c r="U228" s="34"/>
    </row>
    <row r="229" spans="18:21" x14ac:dyDescent="0.25">
      <c r="R229" s="34"/>
      <c r="S229" s="34"/>
      <c r="T229" s="34"/>
      <c r="U229" s="34"/>
    </row>
    <row r="230" spans="18:21" x14ac:dyDescent="0.25">
      <c r="R230" s="34"/>
      <c r="S230" s="34"/>
      <c r="T230" s="34"/>
      <c r="U230" s="34"/>
    </row>
    <row r="231" spans="18:21" x14ac:dyDescent="0.25">
      <c r="R231" s="34"/>
      <c r="S231" s="34"/>
      <c r="T231" s="34"/>
      <c r="U231" s="34"/>
    </row>
    <row r="232" spans="18:21" x14ac:dyDescent="0.25">
      <c r="R232" s="34"/>
      <c r="S232" s="34"/>
      <c r="T232" s="34"/>
      <c r="U232" s="34"/>
    </row>
    <row r="233" spans="18:21" x14ac:dyDescent="0.25">
      <c r="R233" s="34"/>
      <c r="S233" s="34"/>
      <c r="T233" s="34"/>
      <c r="U233" s="34"/>
    </row>
    <row r="234" spans="18:21" x14ac:dyDescent="0.25">
      <c r="R234" s="34"/>
      <c r="S234" s="34"/>
      <c r="T234" s="34"/>
      <c r="U234" s="34"/>
    </row>
    <row r="235" spans="18:21" x14ac:dyDescent="0.25">
      <c r="R235" s="34"/>
      <c r="S235" s="34"/>
      <c r="T235" s="34"/>
      <c r="U235" s="34"/>
    </row>
    <row r="236" spans="18:21" x14ac:dyDescent="0.25">
      <c r="R236" s="34"/>
      <c r="S236" s="34"/>
      <c r="T236" s="34"/>
      <c r="U236" s="34"/>
    </row>
    <row r="237" spans="18:21" x14ac:dyDescent="0.25">
      <c r="R237" s="34"/>
      <c r="S237" s="34"/>
      <c r="T237" s="34"/>
      <c r="U237" s="34"/>
    </row>
    <row r="238" spans="18:21" x14ac:dyDescent="0.25">
      <c r="R238" s="34"/>
      <c r="S238" s="34"/>
      <c r="T238" s="34"/>
      <c r="U238" s="34"/>
    </row>
    <row r="239" spans="18:21" x14ac:dyDescent="0.25">
      <c r="R239" s="34"/>
      <c r="S239" s="34"/>
      <c r="T239" s="34"/>
      <c r="U239" s="34"/>
    </row>
    <row r="240" spans="18:21" x14ac:dyDescent="0.25">
      <c r="R240" s="34"/>
      <c r="S240" s="34"/>
      <c r="T240" s="34"/>
      <c r="U240" s="34"/>
    </row>
    <row r="241" spans="18:21" x14ac:dyDescent="0.25">
      <c r="R241" s="34"/>
      <c r="S241" s="34"/>
      <c r="T241" s="34"/>
      <c r="U241" s="34"/>
    </row>
    <row r="602" spans="18:21" x14ac:dyDescent="0.25">
      <c r="R602" s="34"/>
      <c r="S602" s="34"/>
      <c r="T602" s="34"/>
      <c r="U602" s="34"/>
    </row>
    <row r="603" spans="18:21" x14ac:dyDescent="0.25">
      <c r="R603" s="34"/>
      <c r="S603" s="34"/>
      <c r="T603" s="34"/>
      <c r="U603" s="34"/>
    </row>
    <row r="604" spans="18:21" x14ac:dyDescent="0.25">
      <c r="R604" s="34"/>
      <c r="S604" s="34"/>
      <c r="T604" s="34"/>
      <c r="U604" s="34"/>
    </row>
    <row r="605" spans="18:21" x14ac:dyDescent="0.25">
      <c r="R605" s="34"/>
      <c r="S605" s="34"/>
      <c r="T605" s="34"/>
      <c r="U605" s="34"/>
    </row>
    <row r="606" spans="18:21" x14ac:dyDescent="0.25">
      <c r="R606" s="34"/>
      <c r="S606" s="34"/>
      <c r="T606" s="34"/>
      <c r="U606" s="34"/>
    </row>
    <row r="607" spans="18:21" x14ac:dyDescent="0.25">
      <c r="R607" s="34"/>
      <c r="S607" s="34"/>
      <c r="T607" s="34"/>
      <c r="U607" s="34"/>
    </row>
    <row r="608" spans="18:21" x14ac:dyDescent="0.25">
      <c r="R608" s="34"/>
      <c r="S608" s="34"/>
      <c r="T608" s="34"/>
      <c r="U608" s="34"/>
    </row>
    <row r="609" spans="18:21" x14ac:dyDescent="0.25">
      <c r="R609" s="34"/>
      <c r="S609" s="34"/>
      <c r="T609" s="34"/>
      <c r="U609" s="34"/>
    </row>
    <row r="610" spans="18:21" x14ac:dyDescent="0.25">
      <c r="R610" s="34"/>
      <c r="S610" s="34"/>
      <c r="T610" s="34"/>
      <c r="U610" s="34"/>
    </row>
    <row r="611" spans="18:21" x14ac:dyDescent="0.25">
      <c r="R611" s="34"/>
      <c r="S611" s="34"/>
      <c r="T611" s="34"/>
      <c r="U611" s="34"/>
    </row>
    <row r="612" spans="18:21" x14ac:dyDescent="0.25">
      <c r="R612" s="34"/>
      <c r="S612" s="34"/>
      <c r="T612" s="34"/>
      <c r="U612" s="34"/>
    </row>
    <row r="613" spans="18:21" x14ac:dyDescent="0.25">
      <c r="R613" s="34"/>
      <c r="S613" s="34"/>
      <c r="T613" s="34"/>
      <c r="U613" s="34"/>
    </row>
    <row r="614" spans="18:21" x14ac:dyDescent="0.25">
      <c r="R614" s="34"/>
      <c r="S614" s="34"/>
      <c r="T614" s="34"/>
      <c r="U614" s="34"/>
    </row>
    <row r="615" spans="18:21" x14ac:dyDescent="0.25">
      <c r="R615" s="34"/>
      <c r="S615" s="34"/>
      <c r="T615" s="34"/>
      <c r="U615" s="34"/>
    </row>
    <row r="616" spans="18:21" x14ac:dyDescent="0.25">
      <c r="R616" s="34"/>
      <c r="S616" s="34"/>
      <c r="T616" s="34"/>
      <c r="U616" s="34"/>
    </row>
    <row r="617" spans="18:21" x14ac:dyDescent="0.25">
      <c r="R617" s="34"/>
      <c r="S617" s="34"/>
      <c r="T617" s="34"/>
      <c r="U617" s="34"/>
    </row>
    <row r="618" spans="18:21" x14ac:dyDescent="0.25">
      <c r="R618" s="34"/>
      <c r="S618" s="34"/>
      <c r="T618" s="34"/>
      <c r="U618" s="34"/>
    </row>
    <row r="619" spans="18:21" x14ac:dyDescent="0.25">
      <c r="R619" s="34"/>
      <c r="S619" s="34"/>
      <c r="T619" s="34"/>
      <c r="U619" s="34"/>
    </row>
    <row r="620" spans="18:21" x14ac:dyDescent="0.25">
      <c r="R620" s="34"/>
      <c r="S620" s="34"/>
      <c r="T620" s="34"/>
      <c r="U620" s="34"/>
    </row>
    <row r="621" spans="18:21" x14ac:dyDescent="0.25">
      <c r="R621" s="34"/>
      <c r="S621" s="34"/>
      <c r="T621" s="34"/>
      <c r="U621" s="34"/>
    </row>
    <row r="622" spans="18:21" x14ac:dyDescent="0.25">
      <c r="R622" s="34"/>
      <c r="S622" s="34"/>
      <c r="T622" s="34"/>
      <c r="U622" s="34"/>
    </row>
    <row r="623" spans="18:21" x14ac:dyDescent="0.25">
      <c r="R623" s="34"/>
      <c r="S623" s="34"/>
      <c r="T623" s="34"/>
      <c r="U623" s="34"/>
    </row>
    <row r="624" spans="18:21" x14ac:dyDescent="0.25">
      <c r="R624" s="34"/>
      <c r="S624" s="34"/>
      <c r="T624" s="34"/>
      <c r="U624" s="34"/>
    </row>
    <row r="625" spans="18:21" x14ac:dyDescent="0.25">
      <c r="R625" s="34"/>
      <c r="S625" s="34"/>
      <c r="T625" s="34"/>
      <c r="U625" s="34"/>
    </row>
    <row r="626" spans="18:21" x14ac:dyDescent="0.25">
      <c r="R626" s="34"/>
      <c r="S626" s="34"/>
      <c r="T626" s="34"/>
      <c r="U626" s="34"/>
    </row>
    <row r="627" spans="18:21" x14ac:dyDescent="0.25">
      <c r="R627" s="34"/>
      <c r="S627" s="34"/>
      <c r="T627" s="34"/>
      <c r="U627" s="34"/>
    </row>
    <row r="628" spans="18:21" x14ac:dyDescent="0.25">
      <c r="R628" s="34"/>
      <c r="S628" s="34"/>
      <c r="T628" s="34"/>
      <c r="U628" s="34"/>
    </row>
    <row r="629" spans="18:21" x14ac:dyDescent="0.25">
      <c r="R629" s="34"/>
      <c r="S629" s="34"/>
      <c r="T629" s="34"/>
      <c r="U629" s="34"/>
    </row>
    <row r="630" spans="18:21" x14ac:dyDescent="0.25">
      <c r="R630" s="34"/>
      <c r="S630" s="34"/>
      <c r="T630" s="34"/>
      <c r="U630" s="34"/>
    </row>
    <row r="631" spans="18:21" x14ac:dyDescent="0.25">
      <c r="R631" s="34"/>
      <c r="S631" s="34"/>
      <c r="T631" s="34"/>
      <c r="U631" s="34"/>
    </row>
    <row r="632" spans="18:21" x14ac:dyDescent="0.25">
      <c r="R632" s="34"/>
      <c r="S632" s="34"/>
      <c r="T632" s="34"/>
      <c r="U632" s="34"/>
    </row>
    <row r="633" spans="18:21" x14ac:dyDescent="0.25">
      <c r="R633" s="34"/>
      <c r="S633" s="34"/>
      <c r="T633" s="34"/>
      <c r="U633" s="34"/>
    </row>
    <row r="634" spans="18:21" x14ac:dyDescent="0.25">
      <c r="R634" s="34"/>
      <c r="S634" s="34"/>
      <c r="T634" s="34"/>
      <c r="U634" s="34"/>
    </row>
    <row r="635" spans="18:21" x14ac:dyDescent="0.25">
      <c r="R635" s="34"/>
      <c r="S635" s="34"/>
      <c r="T635" s="34"/>
      <c r="U635" s="34"/>
    </row>
    <row r="636" spans="18:21" x14ac:dyDescent="0.25">
      <c r="R636" s="34"/>
      <c r="S636" s="34"/>
      <c r="T636" s="34"/>
      <c r="U636" s="34"/>
    </row>
    <row r="637" spans="18:21" x14ac:dyDescent="0.25">
      <c r="R637" s="34"/>
      <c r="S637" s="34"/>
      <c r="T637" s="34"/>
      <c r="U637" s="34"/>
    </row>
    <row r="638" spans="18:21" x14ac:dyDescent="0.25">
      <c r="R638" s="34"/>
      <c r="S638" s="34"/>
      <c r="T638" s="34"/>
      <c r="U638" s="34"/>
    </row>
    <row r="639" spans="18:21" x14ac:dyDescent="0.25">
      <c r="R639" s="34"/>
      <c r="S639" s="34"/>
      <c r="T639" s="34"/>
      <c r="U639" s="34"/>
    </row>
    <row r="640" spans="18:21" x14ac:dyDescent="0.25">
      <c r="R640" s="34"/>
      <c r="S640" s="34"/>
      <c r="T640" s="34"/>
      <c r="U640" s="34"/>
    </row>
    <row r="641" spans="18:21" x14ac:dyDescent="0.25">
      <c r="R641" s="34"/>
      <c r="S641" s="34"/>
      <c r="T641" s="34"/>
      <c r="U641" s="34"/>
    </row>
    <row r="722" spans="18:21" x14ac:dyDescent="0.25">
      <c r="R722" s="34"/>
      <c r="S722" s="34"/>
      <c r="T722" s="34"/>
      <c r="U722" s="34"/>
    </row>
    <row r="723" spans="18:21" x14ac:dyDescent="0.25">
      <c r="R723" s="34"/>
      <c r="S723" s="34"/>
      <c r="T723" s="34"/>
      <c r="U723" s="34"/>
    </row>
    <row r="724" spans="18:21" x14ac:dyDescent="0.25">
      <c r="R724" s="34"/>
      <c r="S724" s="34"/>
      <c r="T724" s="34"/>
      <c r="U724" s="34"/>
    </row>
    <row r="725" spans="18:21" x14ac:dyDescent="0.25">
      <c r="R725" s="34"/>
      <c r="S725" s="34"/>
      <c r="T725" s="34"/>
      <c r="U725" s="34"/>
    </row>
    <row r="726" spans="18:21" x14ac:dyDescent="0.25">
      <c r="R726" s="34"/>
      <c r="S726" s="34"/>
      <c r="T726" s="34"/>
      <c r="U726" s="34"/>
    </row>
    <row r="727" spans="18:21" x14ac:dyDescent="0.25">
      <c r="R727" s="34"/>
      <c r="S727" s="34"/>
      <c r="T727" s="34"/>
      <c r="U727" s="34"/>
    </row>
    <row r="728" spans="18:21" x14ac:dyDescent="0.25">
      <c r="R728" s="34"/>
      <c r="S728" s="34"/>
      <c r="T728" s="34"/>
      <c r="U728" s="34"/>
    </row>
    <row r="729" spans="18:21" x14ac:dyDescent="0.25">
      <c r="R729" s="34"/>
      <c r="S729" s="34"/>
      <c r="T729" s="34"/>
      <c r="U729" s="34"/>
    </row>
    <row r="730" spans="18:21" x14ac:dyDescent="0.25">
      <c r="R730" s="34"/>
      <c r="S730" s="34"/>
      <c r="T730" s="34"/>
      <c r="U730" s="34"/>
    </row>
    <row r="731" spans="18:21" x14ac:dyDescent="0.25">
      <c r="R731" s="34"/>
      <c r="S731" s="34"/>
      <c r="T731" s="34"/>
      <c r="U731" s="34"/>
    </row>
    <row r="732" spans="18:21" x14ac:dyDescent="0.25">
      <c r="R732" s="34"/>
      <c r="S732" s="34"/>
      <c r="T732" s="34"/>
      <c r="U732" s="34"/>
    </row>
    <row r="733" spans="18:21" x14ac:dyDescent="0.25">
      <c r="R733" s="34"/>
      <c r="S733" s="34"/>
      <c r="T733" s="34"/>
      <c r="U733" s="34"/>
    </row>
    <row r="734" spans="18:21" x14ac:dyDescent="0.25">
      <c r="R734" s="34"/>
      <c r="S734" s="34"/>
      <c r="T734" s="34"/>
      <c r="U734" s="34"/>
    </row>
    <row r="735" spans="18:21" x14ac:dyDescent="0.25">
      <c r="R735" s="34"/>
      <c r="S735" s="34"/>
      <c r="T735" s="34"/>
      <c r="U735" s="34"/>
    </row>
    <row r="736" spans="18:21" x14ac:dyDescent="0.25">
      <c r="R736" s="34"/>
      <c r="S736" s="34"/>
      <c r="T736" s="34"/>
      <c r="U736" s="34"/>
    </row>
    <row r="737" spans="18:21" x14ac:dyDescent="0.25">
      <c r="R737" s="34"/>
      <c r="S737" s="34"/>
      <c r="T737" s="34"/>
      <c r="U737" s="34"/>
    </row>
    <row r="738" spans="18:21" x14ac:dyDescent="0.25">
      <c r="R738" s="34"/>
      <c r="S738" s="34"/>
      <c r="T738" s="34"/>
      <c r="U738" s="34"/>
    </row>
    <row r="739" spans="18:21" x14ac:dyDescent="0.25">
      <c r="R739" s="34"/>
      <c r="S739" s="34"/>
      <c r="T739" s="34"/>
      <c r="U739" s="34"/>
    </row>
    <row r="740" spans="18:21" x14ac:dyDescent="0.25">
      <c r="R740" s="34"/>
      <c r="S740" s="34"/>
      <c r="T740" s="34"/>
      <c r="U740" s="34"/>
    </row>
    <row r="741" spans="18:21" x14ac:dyDescent="0.25">
      <c r="R741" s="34"/>
      <c r="S741" s="34"/>
      <c r="T741" s="34"/>
      <c r="U741" s="34"/>
    </row>
    <row r="742" spans="18:21" x14ac:dyDescent="0.25">
      <c r="R742" s="34"/>
      <c r="S742" s="34"/>
      <c r="T742" s="34"/>
      <c r="U742" s="34"/>
    </row>
    <row r="743" spans="18:21" x14ac:dyDescent="0.25">
      <c r="R743" s="34"/>
      <c r="S743" s="34"/>
      <c r="T743" s="34"/>
      <c r="U743" s="34"/>
    </row>
    <row r="744" spans="18:21" x14ac:dyDescent="0.25">
      <c r="R744" s="34"/>
      <c r="S744" s="34"/>
      <c r="T744" s="34"/>
      <c r="U744" s="34"/>
    </row>
    <row r="745" spans="18:21" x14ac:dyDescent="0.25">
      <c r="R745" s="34"/>
      <c r="S745" s="34"/>
      <c r="T745" s="34"/>
      <c r="U745" s="34"/>
    </row>
    <row r="746" spans="18:21" x14ac:dyDescent="0.25">
      <c r="R746" s="34"/>
      <c r="S746" s="34"/>
      <c r="T746" s="34"/>
      <c r="U746" s="34"/>
    </row>
    <row r="747" spans="18:21" x14ac:dyDescent="0.25">
      <c r="R747" s="34"/>
      <c r="S747" s="34"/>
      <c r="T747" s="34"/>
      <c r="U747" s="34"/>
    </row>
    <row r="748" spans="18:21" x14ac:dyDescent="0.25">
      <c r="R748" s="34"/>
      <c r="S748" s="34"/>
      <c r="T748" s="34"/>
      <c r="U748" s="34"/>
    </row>
    <row r="749" spans="18:21" x14ac:dyDescent="0.25">
      <c r="R749" s="34"/>
      <c r="S749" s="34"/>
      <c r="T749" s="34"/>
      <c r="U749" s="34"/>
    </row>
    <row r="750" spans="18:21" x14ac:dyDescent="0.25">
      <c r="R750" s="34"/>
      <c r="S750" s="34"/>
      <c r="T750" s="34"/>
      <c r="U750" s="34"/>
    </row>
    <row r="751" spans="18:21" x14ac:dyDescent="0.25">
      <c r="R751" s="34"/>
      <c r="S751" s="34"/>
      <c r="T751" s="34"/>
      <c r="U751" s="34"/>
    </row>
    <row r="752" spans="18:21" x14ac:dyDescent="0.25">
      <c r="R752" s="34"/>
      <c r="S752" s="34"/>
      <c r="T752" s="34"/>
      <c r="U752" s="34"/>
    </row>
    <row r="753" spans="18:21" x14ac:dyDescent="0.25">
      <c r="R753" s="34"/>
      <c r="S753" s="34"/>
      <c r="T753" s="34"/>
      <c r="U753" s="34"/>
    </row>
    <row r="754" spans="18:21" x14ac:dyDescent="0.25">
      <c r="R754" s="34"/>
      <c r="S754" s="34"/>
      <c r="T754" s="34"/>
      <c r="U754" s="34"/>
    </row>
    <row r="755" spans="18:21" x14ac:dyDescent="0.25">
      <c r="R755" s="34"/>
      <c r="S755" s="34"/>
      <c r="T755" s="34"/>
      <c r="U755" s="34"/>
    </row>
    <row r="756" spans="18:21" x14ac:dyDescent="0.25">
      <c r="R756" s="34"/>
      <c r="S756" s="34"/>
      <c r="T756" s="34"/>
      <c r="U756" s="34"/>
    </row>
    <row r="757" spans="18:21" x14ac:dyDescent="0.25">
      <c r="R757" s="34"/>
      <c r="S757" s="34"/>
      <c r="T757" s="34"/>
      <c r="U757" s="34"/>
    </row>
    <row r="758" spans="18:21" x14ac:dyDescent="0.25">
      <c r="R758" s="34"/>
      <c r="S758" s="34"/>
      <c r="T758" s="34"/>
      <c r="U758" s="34"/>
    </row>
    <row r="759" spans="18:21" x14ac:dyDescent="0.25">
      <c r="R759" s="34"/>
      <c r="S759" s="34"/>
      <c r="T759" s="34"/>
      <c r="U759" s="34"/>
    </row>
    <row r="760" spans="18:21" x14ac:dyDescent="0.25">
      <c r="R760" s="34"/>
      <c r="S760" s="34"/>
      <c r="T760" s="34"/>
      <c r="U760" s="34"/>
    </row>
    <row r="761" spans="18:21" x14ac:dyDescent="0.25">
      <c r="R761" s="34"/>
      <c r="S761" s="34"/>
      <c r="T761" s="34"/>
      <c r="U761" s="34"/>
    </row>
    <row r="762" spans="18:21" x14ac:dyDescent="0.25">
      <c r="R762" s="34"/>
      <c r="S762" s="34"/>
      <c r="T762" s="34"/>
      <c r="U762" s="34"/>
    </row>
    <row r="763" spans="18:21" x14ac:dyDescent="0.25">
      <c r="R763" s="34"/>
      <c r="S763" s="34"/>
      <c r="T763" s="34"/>
      <c r="U763" s="34"/>
    </row>
    <row r="764" spans="18:21" x14ac:dyDescent="0.25">
      <c r="R764" s="34"/>
      <c r="S764" s="34"/>
      <c r="T764" s="34"/>
      <c r="U764" s="34"/>
    </row>
    <row r="765" spans="18:21" x14ac:dyDescent="0.25">
      <c r="R765" s="34"/>
      <c r="S765" s="34"/>
      <c r="T765" s="34"/>
      <c r="U765" s="34"/>
    </row>
    <row r="766" spans="18:21" x14ac:dyDescent="0.25">
      <c r="R766" s="34"/>
      <c r="S766" s="34"/>
      <c r="T766" s="34"/>
      <c r="U766" s="34"/>
    </row>
    <row r="767" spans="18:21" x14ac:dyDescent="0.25">
      <c r="R767" s="34"/>
      <c r="S767" s="34"/>
      <c r="T767" s="34"/>
      <c r="U767" s="34"/>
    </row>
    <row r="768" spans="18:21" x14ac:dyDescent="0.25">
      <c r="R768" s="34"/>
      <c r="S768" s="34"/>
      <c r="T768" s="34"/>
      <c r="U768" s="34"/>
    </row>
    <row r="769" spans="18:21" x14ac:dyDescent="0.25">
      <c r="R769" s="34"/>
      <c r="S769" s="34"/>
      <c r="T769" s="34"/>
      <c r="U769" s="34"/>
    </row>
    <row r="770" spans="18:21" x14ac:dyDescent="0.25">
      <c r="R770" s="34"/>
      <c r="S770" s="34"/>
      <c r="T770" s="34"/>
      <c r="U770" s="34"/>
    </row>
    <row r="771" spans="18:21" x14ac:dyDescent="0.25">
      <c r="R771" s="34"/>
      <c r="S771" s="34"/>
      <c r="T771" s="34"/>
      <c r="U771" s="34"/>
    </row>
    <row r="772" spans="18:21" x14ac:dyDescent="0.25">
      <c r="R772" s="34"/>
      <c r="S772" s="34"/>
      <c r="T772" s="34"/>
      <c r="U772" s="34"/>
    </row>
    <row r="773" spans="18:21" x14ac:dyDescent="0.25">
      <c r="R773" s="34"/>
      <c r="S773" s="34"/>
      <c r="T773" s="34"/>
      <c r="U773" s="34"/>
    </row>
    <row r="774" spans="18:21" x14ac:dyDescent="0.25">
      <c r="R774" s="34"/>
      <c r="S774" s="34"/>
      <c r="T774" s="34"/>
      <c r="U774" s="34"/>
    </row>
    <row r="775" spans="18:21" x14ac:dyDescent="0.25">
      <c r="R775" s="34"/>
      <c r="S775" s="34"/>
      <c r="T775" s="34"/>
      <c r="U775" s="34"/>
    </row>
    <row r="776" spans="18:21" x14ac:dyDescent="0.25">
      <c r="R776" s="34"/>
      <c r="S776" s="34"/>
      <c r="T776" s="34"/>
      <c r="U776" s="34"/>
    </row>
    <row r="777" spans="18:21" x14ac:dyDescent="0.25">
      <c r="R777" s="34"/>
      <c r="S777" s="34"/>
      <c r="T777" s="34"/>
      <c r="U777" s="34"/>
    </row>
    <row r="778" spans="18:21" x14ac:dyDescent="0.25">
      <c r="R778" s="34"/>
      <c r="S778" s="34"/>
      <c r="T778" s="34"/>
      <c r="U778" s="34"/>
    </row>
    <row r="779" spans="18:21" x14ac:dyDescent="0.25">
      <c r="R779" s="34"/>
      <c r="S779" s="34"/>
      <c r="T779" s="34"/>
      <c r="U779" s="34"/>
    </row>
    <row r="780" spans="18:21" x14ac:dyDescent="0.25">
      <c r="R780" s="34"/>
      <c r="S780" s="34"/>
      <c r="T780" s="34"/>
      <c r="U780" s="34"/>
    </row>
    <row r="781" spans="18:21" x14ac:dyDescent="0.25">
      <c r="R781" s="34"/>
      <c r="S781" s="34"/>
      <c r="T781" s="34"/>
      <c r="U781" s="34"/>
    </row>
    <row r="782" spans="18:21" x14ac:dyDescent="0.25">
      <c r="R782" s="34"/>
      <c r="S782" s="34"/>
      <c r="T782" s="34"/>
      <c r="U782" s="34"/>
    </row>
    <row r="783" spans="18:21" x14ac:dyDescent="0.25">
      <c r="R783" s="34"/>
      <c r="S783" s="34"/>
      <c r="T783" s="34"/>
      <c r="U783" s="34"/>
    </row>
    <row r="784" spans="18:21" x14ac:dyDescent="0.25">
      <c r="R784" s="34"/>
      <c r="S784" s="34"/>
      <c r="T784" s="34"/>
      <c r="U784" s="34"/>
    </row>
    <row r="785" spans="18:21" x14ac:dyDescent="0.25">
      <c r="R785" s="34"/>
      <c r="S785" s="34"/>
      <c r="T785" s="34"/>
      <c r="U785" s="34"/>
    </row>
    <row r="786" spans="18:21" x14ac:dyDescent="0.25">
      <c r="R786" s="34"/>
      <c r="S786" s="34"/>
      <c r="T786" s="34"/>
      <c r="U786" s="34"/>
    </row>
    <row r="787" spans="18:21" x14ac:dyDescent="0.25">
      <c r="R787" s="34"/>
      <c r="S787" s="34"/>
      <c r="T787" s="34"/>
      <c r="U787" s="34"/>
    </row>
    <row r="788" spans="18:21" x14ac:dyDescent="0.25">
      <c r="R788" s="34"/>
      <c r="S788" s="34"/>
      <c r="T788" s="34"/>
      <c r="U788" s="34"/>
    </row>
    <row r="789" spans="18:21" x14ac:dyDescent="0.25">
      <c r="R789" s="34"/>
      <c r="S789" s="34"/>
      <c r="T789" s="34"/>
      <c r="U789" s="34"/>
    </row>
    <row r="790" spans="18:21" x14ac:dyDescent="0.25">
      <c r="R790" s="34"/>
      <c r="S790" s="34"/>
      <c r="T790" s="34"/>
      <c r="U790" s="34"/>
    </row>
    <row r="791" spans="18:21" x14ac:dyDescent="0.25">
      <c r="R791" s="34"/>
      <c r="S791" s="34"/>
      <c r="T791" s="34"/>
      <c r="U791" s="34"/>
    </row>
    <row r="792" spans="18:21" x14ac:dyDescent="0.25">
      <c r="R792" s="34"/>
      <c r="S792" s="34"/>
      <c r="T792" s="34"/>
      <c r="U792" s="34"/>
    </row>
    <row r="793" spans="18:21" x14ac:dyDescent="0.25">
      <c r="R793" s="34"/>
      <c r="S793" s="34"/>
      <c r="T793" s="34"/>
      <c r="U793" s="34"/>
    </row>
    <row r="794" spans="18:21" x14ac:dyDescent="0.25">
      <c r="R794" s="34"/>
      <c r="S794" s="34"/>
      <c r="T794" s="34"/>
      <c r="U794" s="34"/>
    </row>
    <row r="795" spans="18:21" x14ac:dyDescent="0.25">
      <c r="R795" s="34"/>
      <c r="S795" s="34"/>
      <c r="T795" s="34"/>
      <c r="U795" s="34"/>
    </row>
    <row r="796" spans="18:21" x14ac:dyDescent="0.25">
      <c r="R796" s="34"/>
      <c r="S796" s="34"/>
      <c r="T796" s="34"/>
      <c r="U796" s="34"/>
    </row>
    <row r="797" spans="18:21" x14ac:dyDescent="0.25">
      <c r="R797" s="34"/>
      <c r="S797" s="34"/>
      <c r="T797" s="34"/>
      <c r="U797" s="34"/>
    </row>
    <row r="798" spans="18:21" x14ac:dyDescent="0.25">
      <c r="R798" s="34"/>
      <c r="S798" s="34"/>
      <c r="T798" s="34"/>
      <c r="U798" s="34"/>
    </row>
    <row r="799" spans="18:21" x14ac:dyDescent="0.25">
      <c r="R799" s="34"/>
      <c r="S799" s="34"/>
      <c r="T799" s="34"/>
      <c r="U799" s="34"/>
    </row>
    <row r="800" spans="18:21" x14ac:dyDescent="0.25">
      <c r="R800" s="34"/>
      <c r="S800" s="34"/>
      <c r="T800" s="34"/>
      <c r="U800" s="34"/>
    </row>
    <row r="801" spans="18:21" x14ac:dyDescent="0.25">
      <c r="R801" s="34"/>
      <c r="S801" s="34"/>
      <c r="T801" s="34"/>
      <c r="U801" s="34"/>
    </row>
    <row r="842" spans="18:21" x14ac:dyDescent="0.25">
      <c r="R842" s="34"/>
      <c r="S842" s="34"/>
      <c r="T842" s="34"/>
      <c r="U842" s="34"/>
    </row>
    <row r="843" spans="18:21" x14ac:dyDescent="0.25">
      <c r="R843" s="34"/>
      <c r="S843" s="34"/>
      <c r="T843" s="34"/>
      <c r="U843" s="34"/>
    </row>
    <row r="844" spans="18:21" x14ac:dyDescent="0.25">
      <c r="R844" s="34"/>
      <c r="S844" s="34"/>
      <c r="T844" s="34"/>
      <c r="U844" s="34"/>
    </row>
    <row r="845" spans="18:21" x14ac:dyDescent="0.25">
      <c r="R845" s="34"/>
      <c r="S845" s="34"/>
      <c r="T845" s="34"/>
      <c r="U845" s="34"/>
    </row>
    <row r="846" spans="18:21" x14ac:dyDescent="0.25">
      <c r="R846" s="34"/>
      <c r="S846" s="34"/>
      <c r="T846" s="34"/>
      <c r="U846" s="34"/>
    </row>
    <row r="847" spans="18:21" x14ac:dyDescent="0.25">
      <c r="R847" s="34"/>
      <c r="S847" s="34"/>
      <c r="T847" s="34"/>
      <c r="U847" s="34"/>
    </row>
    <row r="848" spans="18:21" x14ac:dyDescent="0.25">
      <c r="R848" s="34"/>
      <c r="S848" s="34"/>
      <c r="T848" s="34"/>
      <c r="U848" s="34"/>
    </row>
    <row r="849" spans="18:21" x14ac:dyDescent="0.25">
      <c r="R849" s="34"/>
      <c r="S849" s="34"/>
      <c r="T849" s="34"/>
      <c r="U849" s="34"/>
    </row>
    <row r="850" spans="18:21" x14ac:dyDescent="0.25">
      <c r="R850" s="34"/>
      <c r="S850" s="34"/>
      <c r="T850" s="34"/>
      <c r="U850" s="34"/>
    </row>
    <row r="851" spans="18:21" x14ac:dyDescent="0.25">
      <c r="R851" s="34"/>
      <c r="S851" s="34"/>
      <c r="T851" s="34"/>
      <c r="U851" s="34"/>
    </row>
    <row r="852" spans="18:21" x14ac:dyDescent="0.25">
      <c r="R852" s="34"/>
      <c r="S852" s="34"/>
      <c r="T852" s="34"/>
      <c r="U852" s="34"/>
    </row>
    <row r="853" spans="18:21" x14ac:dyDescent="0.25">
      <c r="R853" s="34"/>
      <c r="S853" s="34"/>
      <c r="T853" s="34"/>
      <c r="U853" s="34"/>
    </row>
    <row r="854" spans="18:21" x14ac:dyDescent="0.25">
      <c r="R854" s="34"/>
      <c r="S854" s="34"/>
      <c r="T854" s="34"/>
      <c r="U854" s="34"/>
    </row>
    <row r="855" spans="18:21" x14ac:dyDescent="0.25">
      <c r="R855" s="34"/>
      <c r="S855" s="34"/>
      <c r="T855" s="34"/>
      <c r="U855" s="34"/>
    </row>
    <row r="856" spans="18:21" x14ac:dyDescent="0.25">
      <c r="R856" s="34"/>
      <c r="S856" s="34"/>
      <c r="T856" s="34"/>
      <c r="U856" s="34"/>
    </row>
    <row r="857" spans="18:21" x14ac:dyDescent="0.25">
      <c r="R857" s="34"/>
      <c r="S857" s="34"/>
      <c r="T857" s="34"/>
      <c r="U857" s="34"/>
    </row>
    <row r="858" spans="18:21" x14ac:dyDescent="0.25">
      <c r="R858" s="34"/>
      <c r="S858" s="34"/>
      <c r="T858" s="34"/>
      <c r="U858" s="34"/>
    </row>
    <row r="859" spans="18:21" x14ac:dyDescent="0.25">
      <c r="R859" s="34"/>
      <c r="S859" s="34"/>
      <c r="T859" s="34"/>
      <c r="U859" s="34"/>
    </row>
    <row r="860" spans="18:21" x14ac:dyDescent="0.25">
      <c r="R860" s="34"/>
      <c r="S860" s="34"/>
      <c r="T860" s="34"/>
      <c r="U860" s="34"/>
    </row>
    <row r="861" spans="18:21" x14ac:dyDescent="0.25">
      <c r="R861" s="34"/>
      <c r="S861" s="34"/>
      <c r="T861" s="34"/>
      <c r="U861" s="34"/>
    </row>
    <row r="862" spans="18:21" x14ac:dyDescent="0.25">
      <c r="R862" s="34"/>
      <c r="S862" s="34"/>
      <c r="T862" s="34"/>
      <c r="U862" s="34"/>
    </row>
    <row r="863" spans="18:21" x14ac:dyDescent="0.25">
      <c r="R863" s="34"/>
      <c r="S863" s="34"/>
      <c r="T863" s="34"/>
      <c r="U863" s="34"/>
    </row>
    <row r="864" spans="18:21" x14ac:dyDescent="0.25">
      <c r="R864" s="34"/>
      <c r="S864" s="34"/>
      <c r="T864" s="34"/>
      <c r="U864" s="34"/>
    </row>
    <row r="865" spans="18:21" x14ac:dyDescent="0.25">
      <c r="R865" s="34"/>
      <c r="S865" s="34"/>
      <c r="T865" s="34"/>
      <c r="U865" s="34"/>
    </row>
    <row r="866" spans="18:21" x14ac:dyDescent="0.25">
      <c r="R866" s="34"/>
      <c r="S866" s="34"/>
      <c r="T866" s="34"/>
      <c r="U866" s="34"/>
    </row>
    <row r="867" spans="18:21" x14ac:dyDescent="0.25">
      <c r="R867" s="34"/>
      <c r="S867" s="34"/>
      <c r="T867" s="34"/>
      <c r="U867" s="34"/>
    </row>
    <row r="868" spans="18:21" x14ac:dyDescent="0.25">
      <c r="R868" s="34"/>
      <c r="S868" s="34"/>
      <c r="T868" s="34"/>
      <c r="U868" s="34"/>
    </row>
    <row r="869" spans="18:21" x14ac:dyDescent="0.25">
      <c r="R869" s="34"/>
      <c r="S869" s="34"/>
      <c r="T869" s="34"/>
      <c r="U869" s="34"/>
    </row>
    <row r="870" spans="18:21" x14ac:dyDescent="0.25">
      <c r="R870" s="34"/>
      <c r="S870" s="34"/>
      <c r="T870" s="34"/>
      <c r="U870" s="34"/>
    </row>
    <row r="871" spans="18:21" x14ac:dyDescent="0.25">
      <c r="R871" s="34"/>
      <c r="S871" s="34"/>
      <c r="T871" s="34"/>
      <c r="U871" s="34"/>
    </row>
    <row r="872" spans="18:21" x14ac:dyDescent="0.25">
      <c r="R872" s="34"/>
      <c r="S872" s="34"/>
      <c r="T872" s="34"/>
      <c r="U872" s="34"/>
    </row>
    <row r="873" spans="18:21" x14ac:dyDescent="0.25">
      <c r="R873" s="34"/>
      <c r="S873" s="34"/>
      <c r="T873" s="34"/>
      <c r="U873" s="34"/>
    </row>
    <row r="874" spans="18:21" x14ac:dyDescent="0.25">
      <c r="R874" s="34"/>
      <c r="S874" s="34"/>
      <c r="T874" s="34"/>
      <c r="U874" s="34"/>
    </row>
    <row r="875" spans="18:21" x14ac:dyDescent="0.25">
      <c r="R875" s="34"/>
      <c r="S875" s="34"/>
      <c r="T875" s="34"/>
      <c r="U875" s="34"/>
    </row>
    <row r="876" spans="18:21" x14ac:dyDescent="0.25">
      <c r="R876" s="34"/>
      <c r="S876" s="34"/>
      <c r="T876" s="34"/>
      <c r="U876" s="34"/>
    </row>
    <row r="877" spans="18:21" x14ac:dyDescent="0.25">
      <c r="R877" s="34"/>
      <c r="S877" s="34"/>
      <c r="T877" s="34"/>
      <c r="U877" s="34"/>
    </row>
    <row r="878" spans="18:21" x14ac:dyDescent="0.25">
      <c r="R878" s="34"/>
      <c r="S878" s="34"/>
      <c r="T878" s="34"/>
      <c r="U878" s="34"/>
    </row>
    <row r="879" spans="18:21" x14ac:dyDescent="0.25">
      <c r="R879" s="34"/>
      <c r="S879" s="34"/>
      <c r="T879" s="34"/>
      <c r="U879" s="34"/>
    </row>
    <row r="880" spans="18:21" x14ac:dyDescent="0.25">
      <c r="R880" s="34"/>
      <c r="S880" s="34"/>
      <c r="T880" s="34"/>
      <c r="U880" s="34"/>
    </row>
    <row r="881" spans="18:21" x14ac:dyDescent="0.25">
      <c r="R881" s="34"/>
      <c r="S881" s="34"/>
      <c r="T881" s="34"/>
      <c r="U881" s="34"/>
    </row>
    <row r="882" spans="18:21" x14ac:dyDescent="0.25">
      <c r="R882" s="34"/>
      <c r="S882" s="34"/>
      <c r="T882" s="34"/>
      <c r="U882" s="34"/>
    </row>
    <row r="883" spans="18:21" x14ac:dyDescent="0.25">
      <c r="R883" s="34"/>
      <c r="S883" s="34"/>
      <c r="T883" s="34"/>
      <c r="U883" s="34"/>
    </row>
    <row r="884" spans="18:21" x14ac:dyDescent="0.25">
      <c r="R884" s="34"/>
      <c r="S884" s="34"/>
      <c r="T884" s="34"/>
      <c r="U884" s="34"/>
    </row>
    <row r="885" spans="18:21" x14ac:dyDescent="0.25">
      <c r="R885" s="34"/>
      <c r="S885" s="34"/>
      <c r="T885" s="34"/>
      <c r="U885" s="34"/>
    </row>
    <row r="886" spans="18:21" x14ac:dyDescent="0.25">
      <c r="R886" s="34"/>
      <c r="S886" s="34"/>
      <c r="T886" s="34"/>
      <c r="U886" s="34"/>
    </row>
    <row r="887" spans="18:21" x14ac:dyDescent="0.25">
      <c r="R887" s="34"/>
      <c r="S887" s="34"/>
      <c r="T887" s="34"/>
      <c r="U887" s="34"/>
    </row>
    <row r="888" spans="18:21" x14ac:dyDescent="0.25">
      <c r="R888" s="34"/>
      <c r="S888" s="34"/>
      <c r="T888" s="34"/>
      <c r="U888" s="34"/>
    </row>
    <row r="889" spans="18:21" x14ac:dyDescent="0.25">
      <c r="R889" s="34"/>
      <c r="S889" s="34"/>
      <c r="T889" s="34"/>
      <c r="U889" s="34"/>
    </row>
    <row r="890" spans="18:21" x14ac:dyDescent="0.25">
      <c r="R890" s="34"/>
      <c r="S890" s="34"/>
      <c r="T890" s="34"/>
      <c r="U890" s="34"/>
    </row>
    <row r="891" spans="18:21" x14ac:dyDescent="0.25">
      <c r="R891" s="34"/>
      <c r="S891" s="34"/>
      <c r="T891" s="34"/>
      <c r="U891" s="34"/>
    </row>
    <row r="892" spans="18:21" x14ac:dyDescent="0.25">
      <c r="R892" s="34"/>
      <c r="S892" s="34"/>
      <c r="T892" s="34"/>
      <c r="U892" s="34"/>
    </row>
    <row r="893" spans="18:21" x14ac:dyDescent="0.25">
      <c r="R893" s="34"/>
      <c r="S893" s="34"/>
      <c r="T893" s="34"/>
      <c r="U893" s="34"/>
    </row>
    <row r="894" spans="18:21" x14ac:dyDescent="0.25">
      <c r="R894" s="34"/>
      <c r="S894" s="34"/>
      <c r="T894" s="34"/>
      <c r="U894" s="34"/>
    </row>
    <row r="895" spans="18:21" x14ac:dyDescent="0.25">
      <c r="R895" s="34"/>
      <c r="S895" s="34"/>
      <c r="T895" s="34"/>
      <c r="U895" s="34"/>
    </row>
    <row r="896" spans="18:21" x14ac:dyDescent="0.25">
      <c r="R896" s="34"/>
      <c r="S896" s="34"/>
      <c r="T896" s="34"/>
      <c r="U896" s="34"/>
    </row>
    <row r="897" spans="18:21" x14ac:dyDescent="0.25">
      <c r="R897" s="34"/>
      <c r="S897" s="34"/>
      <c r="T897" s="34"/>
      <c r="U897" s="34"/>
    </row>
    <row r="898" spans="18:21" x14ac:dyDescent="0.25">
      <c r="R898" s="34"/>
      <c r="S898" s="34"/>
      <c r="T898" s="34"/>
      <c r="U898" s="34"/>
    </row>
    <row r="899" spans="18:21" x14ac:dyDescent="0.25">
      <c r="R899" s="34"/>
      <c r="S899" s="34"/>
      <c r="T899" s="34"/>
      <c r="U899" s="34"/>
    </row>
    <row r="900" spans="18:21" x14ac:dyDescent="0.25">
      <c r="R900" s="34"/>
      <c r="S900" s="34"/>
      <c r="T900" s="34"/>
      <c r="U900" s="34"/>
    </row>
    <row r="901" spans="18:21" x14ac:dyDescent="0.25">
      <c r="R901" s="34"/>
      <c r="S901" s="34"/>
      <c r="T901" s="34"/>
      <c r="U901" s="34"/>
    </row>
    <row r="902" spans="18:21" x14ac:dyDescent="0.25">
      <c r="R902" s="34"/>
      <c r="S902" s="34"/>
      <c r="T902" s="34"/>
      <c r="U902" s="34"/>
    </row>
    <row r="903" spans="18:21" x14ac:dyDescent="0.25">
      <c r="R903" s="34"/>
      <c r="S903" s="34"/>
      <c r="T903" s="34"/>
      <c r="U903" s="34"/>
    </row>
    <row r="904" spans="18:21" x14ac:dyDescent="0.25">
      <c r="R904" s="34"/>
      <c r="S904" s="34"/>
      <c r="T904" s="34"/>
      <c r="U904" s="34"/>
    </row>
    <row r="905" spans="18:21" x14ac:dyDescent="0.25">
      <c r="R905" s="34"/>
      <c r="S905" s="34"/>
      <c r="T905" s="34"/>
      <c r="U905" s="34"/>
    </row>
    <row r="906" spans="18:21" x14ac:dyDescent="0.25">
      <c r="R906" s="34"/>
      <c r="S906" s="34"/>
      <c r="T906" s="34"/>
      <c r="U906" s="34"/>
    </row>
    <row r="907" spans="18:21" x14ac:dyDescent="0.25">
      <c r="R907" s="34"/>
      <c r="S907" s="34"/>
      <c r="T907" s="34"/>
      <c r="U907" s="34"/>
    </row>
    <row r="908" spans="18:21" x14ac:dyDescent="0.25">
      <c r="R908" s="34"/>
      <c r="S908" s="34"/>
      <c r="T908" s="34"/>
      <c r="U908" s="34"/>
    </row>
    <row r="909" spans="18:21" x14ac:dyDescent="0.25">
      <c r="R909" s="34"/>
      <c r="S909" s="34"/>
      <c r="T909" s="34"/>
      <c r="U909" s="34"/>
    </row>
    <row r="910" spans="18:21" x14ac:dyDescent="0.25">
      <c r="R910" s="34"/>
      <c r="S910" s="34"/>
      <c r="T910" s="34"/>
      <c r="U910" s="34"/>
    </row>
    <row r="911" spans="18:21" x14ac:dyDescent="0.25">
      <c r="R911" s="34"/>
      <c r="S911" s="34"/>
      <c r="T911" s="34"/>
      <c r="U911" s="34"/>
    </row>
    <row r="912" spans="18:21" x14ac:dyDescent="0.25">
      <c r="R912" s="34"/>
      <c r="S912" s="34"/>
      <c r="T912" s="34"/>
      <c r="U912" s="34"/>
    </row>
    <row r="913" spans="18:21" x14ac:dyDescent="0.25">
      <c r="R913" s="34"/>
      <c r="S913" s="34"/>
      <c r="T913" s="34"/>
      <c r="U913" s="34"/>
    </row>
    <row r="914" spans="18:21" x14ac:dyDescent="0.25">
      <c r="R914" s="34"/>
      <c r="S914" s="34"/>
      <c r="T914" s="34"/>
      <c r="U914" s="34"/>
    </row>
    <row r="915" spans="18:21" x14ac:dyDescent="0.25">
      <c r="R915" s="34"/>
      <c r="S915" s="34"/>
      <c r="T915" s="34"/>
      <c r="U915" s="34"/>
    </row>
    <row r="916" spans="18:21" x14ac:dyDescent="0.25">
      <c r="R916" s="34"/>
      <c r="S916" s="34"/>
      <c r="T916" s="34"/>
      <c r="U916" s="34"/>
    </row>
    <row r="917" spans="18:21" x14ac:dyDescent="0.25">
      <c r="R917" s="34"/>
      <c r="S917" s="34"/>
      <c r="T917" s="34"/>
      <c r="U917" s="34"/>
    </row>
    <row r="918" spans="18:21" x14ac:dyDescent="0.25">
      <c r="R918" s="34"/>
      <c r="S918" s="34"/>
      <c r="T918" s="34"/>
      <c r="U918" s="34"/>
    </row>
    <row r="919" spans="18:21" x14ac:dyDescent="0.25">
      <c r="R919" s="34"/>
      <c r="S919" s="34"/>
      <c r="T919" s="34"/>
      <c r="U919" s="34"/>
    </row>
    <row r="920" spans="18:21" x14ac:dyDescent="0.25">
      <c r="R920" s="34"/>
      <c r="S920" s="34"/>
      <c r="T920" s="34"/>
      <c r="U920" s="34"/>
    </row>
    <row r="921" spans="18:21" x14ac:dyDescent="0.25">
      <c r="R921" s="34"/>
      <c r="S921" s="34"/>
      <c r="T921" s="34"/>
      <c r="U921" s="34"/>
    </row>
    <row r="922" spans="18:21" x14ac:dyDescent="0.25">
      <c r="R922" s="34"/>
      <c r="S922" s="34"/>
      <c r="T922" s="34"/>
      <c r="U922" s="34"/>
    </row>
    <row r="923" spans="18:21" x14ac:dyDescent="0.25">
      <c r="R923" s="34"/>
      <c r="S923" s="34"/>
      <c r="T923" s="34"/>
      <c r="U923" s="34"/>
    </row>
    <row r="924" spans="18:21" x14ac:dyDescent="0.25">
      <c r="R924" s="34"/>
      <c r="S924" s="34"/>
      <c r="T924" s="34"/>
      <c r="U924" s="34"/>
    </row>
    <row r="925" spans="18:21" x14ac:dyDescent="0.25">
      <c r="R925" s="34"/>
      <c r="S925" s="34"/>
      <c r="T925" s="34"/>
      <c r="U925" s="34"/>
    </row>
    <row r="926" spans="18:21" x14ac:dyDescent="0.25">
      <c r="R926" s="34"/>
      <c r="S926" s="34"/>
      <c r="T926" s="34"/>
      <c r="U926" s="34"/>
    </row>
    <row r="927" spans="18:21" x14ac:dyDescent="0.25">
      <c r="R927" s="34"/>
      <c r="S927" s="34"/>
      <c r="T927" s="34"/>
      <c r="U927" s="34"/>
    </row>
    <row r="928" spans="18:21" x14ac:dyDescent="0.25">
      <c r="R928" s="34"/>
      <c r="S928" s="34"/>
      <c r="T928" s="34"/>
      <c r="U928" s="34"/>
    </row>
    <row r="929" spans="18:21" x14ac:dyDescent="0.25">
      <c r="R929" s="34"/>
      <c r="S929" s="34"/>
      <c r="T929" s="34"/>
      <c r="U929" s="34"/>
    </row>
    <row r="930" spans="18:21" x14ac:dyDescent="0.25">
      <c r="R930" s="34"/>
      <c r="S930" s="34"/>
      <c r="T930" s="34"/>
      <c r="U930" s="34"/>
    </row>
    <row r="931" spans="18:21" x14ac:dyDescent="0.25">
      <c r="R931" s="34"/>
      <c r="S931" s="34"/>
      <c r="T931" s="34"/>
      <c r="U931" s="34"/>
    </row>
    <row r="932" spans="18:21" x14ac:dyDescent="0.25">
      <c r="R932" s="34"/>
      <c r="S932" s="34"/>
      <c r="T932" s="34"/>
      <c r="U932" s="34"/>
    </row>
    <row r="933" spans="18:21" x14ac:dyDescent="0.25">
      <c r="R933" s="34"/>
      <c r="S933" s="34"/>
      <c r="T933" s="34"/>
      <c r="U933" s="34"/>
    </row>
    <row r="934" spans="18:21" x14ac:dyDescent="0.25">
      <c r="R934" s="34"/>
      <c r="S934" s="34"/>
      <c r="T934" s="34"/>
      <c r="U934" s="34"/>
    </row>
    <row r="935" spans="18:21" x14ac:dyDescent="0.25">
      <c r="R935" s="34"/>
      <c r="S935" s="34"/>
      <c r="T935" s="34"/>
      <c r="U935" s="34"/>
    </row>
    <row r="936" spans="18:21" x14ac:dyDescent="0.25">
      <c r="R936" s="34"/>
      <c r="S936" s="34"/>
      <c r="T936" s="34"/>
      <c r="U936" s="34"/>
    </row>
    <row r="937" spans="18:21" x14ac:dyDescent="0.25">
      <c r="R937" s="34"/>
      <c r="S937" s="34"/>
      <c r="T937" s="34"/>
      <c r="U937" s="34"/>
    </row>
    <row r="938" spans="18:21" x14ac:dyDescent="0.25">
      <c r="R938" s="34"/>
      <c r="S938" s="34"/>
      <c r="T938" s="34"/>
      <c r="U938" s="34"/>
    </row>
    <row r="939" spans="18:21" x14ac:dyDescent="0.25">
      <c r="R939" s="34"/>
      <c r="S939" s="34"/>
      <c r="T939" s="34"/>
      <c r="U939" s="34"/>
    </row>
    <row r="940" spans="18:21" x14ac:dyDescent="0.25">
      <c r="R940" s="34"/>
      <c r="S940" s="34"/>
      <c r="T940" s="34"/>
      <c r="U940" s="34"/>
    </row>
    <row r="941" spans="18:21" x14ac:dyDescent="0.25">
      <c r="R941" s="34"/>
      <c r="S941" s="34"/>
      <c r="T941" s="34"/>
      <c r="U941" s="34"/>
    </row>
    <row r="942" spans="18:21" x14ac:dyDescent="0.25">
      <c r="R942" s="34"/>
      <c r="S942" s="34"/>
      <c r="T942" s="34"/>
      <c r="U942" s="34"/>
    </row>
    <row r="943" spans="18:21" x14ac:dyDescent="0.25">
      <c r="R943" s="34"/>
      <c r="S943" s="34"/>
      <c r="T943" s="34"/>
      <c r="U943" s="34"/>
    </row>
    <row r="944" spans="18:21" x14ac:dyDescent="0.25">
      <c r="R944" s="34"/>
      <c r="S944" s="34"/>
      <c r="T944" s="34"/>
      <c r="U944" s="34"/>
    </row>
    <row r="945" spans="18:21" x14ac:dyDescent="0.25">
      <c r="R945" s="34"/>
      <c r="S945" s="34"/>
      <c r="T945" s="34"/>
      <c r="U945" s="34"/>
    </row>
    <row r="946" spans="18:21" x14ac:dyDescent="0.25">
      <c r="R946" s="34"/>
      <c r="S946" s="34"/>
      <c r="T946" s="34"/>
      <c r="U946" s="34"/>
    </row>
    <row r="947" spans="18:21" x14ac:dyDescent="0.25">
      <c r="R947" s="34"/>
      <c r="S947" s="34"/>
      <c r="T947" s="34"/>
      <c r="U947" s="34"/>
    </row>
    <row r="948" spans="18:21" x14ac:dyDescent="0.25">
      <c r="R948" s="34"/>
      <c r="S948" s="34"/>
      <c r="T948" s="34"/>
      <c r="U948" s="34"/>
    </row>
    <row r="949" spans="18:21" x14ac:dyDescent="0.25">
      <c r="R949" s="34"/>
      <c r="S949" s="34"/>
      <c r="T949" s="34"/>
      <c r="U949" s="34"/>
    </row>
    <row r="950" spans="18:21" x14ac:dyDescent="0.25">
      <c r="R950" s="34"/>
      <c r="S950" s="34"/>
      <c r="T950" s="34"/>
      <c r="U950" s="34"/>
    </row>
    <row r="951" spans="18:21" x14ac:dyDescent="0.25">
      <c r="R951" s="34"/>
      <c r="S951" s="34"/>
      <c r="T951" s="34"/>
      <c r="U951" s="34"/>
    </row>
    <row r="952" spans="18:21" x14ac:dyDescent="0.25">
      <c r="R952" s="34"/>
      <c r="S952" s="34"/>
      <c r="T952" s="34"/>
      <c r="U952" s="34"/>
    </row>
    <row r="953" spans="18:21" x14ac:dyDescent="0.25">
      <c r="R953" s="34"/>
      <c r="S953" s="34"/>
      <c r="T953" s="34"/>
      <c r="U953" s="34"/>
    </row>
    <row r="954" spans="18:21" x14ac:dyDescent="0.25">
      <c r="R954" s="34"/>
      <c r="S954" s="34"/>
      <c r="T954" s="34"/>
      <c r="U954" s="34"/>
    </row>
    <row r="955" spans="18:21" x14ac:dyDescent="0.25">
      <c r="R955" s="34"/>
      <c r="S955" s="34"/>
      <c r="T955" s="34"/>
      <c r="U955" s="34"/>
    </row>
    <row r="956" spans="18:21" x14ac:dyDescent="0.25">
      <c r="R956" s="34"/>
      <c r="S956" s="34"/>
      <c r="T956" s="34"/>
      <c r="U956" s="34"/>
    </row>
    <row r="957" spans="18:21" x14ac:dyDescent="0.25">
      <c r="R957" s="34"/>
      <c r="S957" s="34"/>
      <c r="T957" s="34"/>
      <c r="U957" s="34"/>
    </row>
    <row r="958" spans="18:21" x14ac:dyDescent="0.25">
      <c r="R958" s="34"/>
      <c r="S958" s="34"/>
      <c r="T958" s="34"/>
      <c r="U958" s="34"/>
    </row>
    <row r="959" spans="18:21" x14ac:dyDescent="0.25">
      <c r="R959" s="34"/>
      <c r="S959" s="34"/>
      <c r="T959" s="34"/>
      <c r="U959" s="34"/>
    </row>
    <row r="960" spans="18:21" x14ac:dyDescent="0.25">
      <c r="R960" s="34"/>
      <c r="S960" s="34"/>
      <c r="T960" s="34"/>
      <c r="U960" s="34"/>
    </row>
    <row r="961" spans="18:21" x14ac:dyDescent="0.25">
      <c r="R961" s="34"/>
      <c r="S961" s="34"/>
      <c r="T961" s="34"/>
      <c r="U961" s="34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0" t="s">
        <v>80</v>
      </c>
      <c r="B1" s="30" t="s">
        <v>81</v>
      </c>
      <c r="C1" s="31" t="s">
        <v>82</v>
      </c>
      <c r="D1" s="30" t="s">
        <v>83</v>
      </c>
      <c r="E1" s="30" t="s">
        <v>4</v>
      </c>
      <c r="F1" s="30" t="s">
        <v>84</v>
      </c>
      <c r="G1" s="31" t="s">
        <v>85</v>
      </c>
    </row>
    <row r="2" spans="1:7" x14ac:dyDescent="0.25">
      <c r="A2">
        <v>1</v>
      </c>
      <c r="B2" t="s">
        <v>110</v>
      </c>
      <c r="C2">
        <v>10</v>
      </c>
      <c r="D2" t="s">
        <v>262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110</v>
      </c>
      <c r="C3">
        <v>20</v>
      </c>
      <c r="D3" t="s">
        <v>151</v>
      </c>
      <c r="E3" t="s">
        <v>15</v>
      </c>
      <c r="F3">
        <v>1.7270000000000001</v>
      </c>
      <c r="G3" t="s">
        <v>16</v>
      </c>
    </row>
    <row r="4" spans="1:7" x14ac:dyDescent="0.25">
      <c r="A4">
        <v>1</v>
      </c>
      <c r="B4" t="s">
        <v>110</v>
      </c>
      <c r="C4">
        <v>30</v>
      </c>
      <c r="D4" t="s">
        <v>18</v>
      </c>
      <c r="E4" t="s">
        <v>15</v>
      </c>
      <c r="F4">
        <v>86.563000000000002</v>
      </c>
      <c r="G4" t="s">
        <v>14</v>
      </c>
    </row>
    <row r="5" spans="1:7" x14ac:dyDescent="0.25">
      <c r="A5">
        <v>1</v>
      </c>
      <c r="B5" t="s">
        <v>110</v>
      </c>
      <c r="C5">
        <v>40</v>
      </c>
      <c r="D5" t="s">
        <v>105</v>
      </c>
      <c r="E5" t="s">
        <v>106</v>
      </c>
      <c r="F5">
        <v>0.46</v>
      </c>
      <c r="G5" t="s">
        <v>14</v>
      </c>
    </row>
    <row r="6" spans="1:7" x14ac:dyDescent="0.25">
      <c r="A6">
        <v>1</v>
      </c>
      <c r="B6" t="s">
        <v>110</v>
      </c>
      <c r="C6">
        <v>50</v>
      </c>
      <c r="D6" t="s">
        <v>107</v>
      </c>
      <c r="E6" t="s">
        <v>15</v>
      </c>
      <c r="F6">
        <v>11.074</v>
      </c>
      <c r="G6" t="s">
        <v>14</v>
      </c>
    </row>
    <row r="7" spans="1:7" x14ac:dyDescent="0.25">
      <c r="A7">
        <v>1</v>
      </c>
      <c r="B7" t="s">
        <v>110</v>
      </c>
      <c r="C7">
        <v>60</v>
      </c>
      <c r="D7" t="s">
        <v>18</v>
      </c>
      <c r="E7" t="s">
        <v>15</v>
      </c>
      <c r="F7">
        <v>68.108000000000004</v>
      </c>
      <c r="G7" t="s">
        <v>14</v>
      </c>
    </row>
    <row r="8" spans="1:7" x14ac:dyDescent="0.25">
      <c r="A8">
        <v>1</v>
      </c>
      <c r="B8" t="s">
        <v>110</v>
      </c>
      <c r="C8">
        <v>70</v>
      </c>
      <c r="D8" t="s">
        <v>111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110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110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110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110</v>
      </c>
      <c r="C12">
        <v>110</v>
      </c>
      <c r="D12" t="s">
        <v>109</v>
      </c>
      <c r="E12" t="s">
        <v>13</v>
      </c>
      <c r="F12">
        <v>0.308</v>
      </c>
      <c r="G12" t="s">
        <v>14</v>
      </c>
    </row>
    <row r="13" spans="1:7" x14ac:dyDescent="0.25">
      <c r="A13">
        <v>1</v>
      </c>
      <c r="B13" t="s">
        <v>110</v>
      </c>
      <c r="C13">
        <v>120</v>
      </c>
      <c r="D13" t="s">
        <v>187</v>
      </c>
      <c r="E13" t="s">
        <v>11</v>
      </c>
      <c r="F13">
        <v>2</v>
      </c>
      <c r="G13" t="s">
        <v>16</v>
      </c>
    </row>
    <row r="14" spans="1:7" x14ac:dyDescent="0.25">
      <c r="A14">
        <v>2</v>
      </c>
      <c r="B14" t="s">
        <v>112</v>
      </c>
      <c r="C14">
        <v>10</v>
      </c>
      <c r="D14" t="s">
        <v>263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112</v>
      </c>
      <c r="C15">
        <v>20</v>
      </c>
      <c r="D15" t="s">
        <v>151</v>
      </c>
      <c r="E15" t="s">
        <v>15</v>
      </c>
      <c r="F15">
        <v>2.032</v>
      </c>
      <c r="G15" t="s">
        <v>16</v>
      </c>
    </row>
    <row r="16" spans="1:7" x14ac:dyDescent="0.25">
      <c r="A16">
        <v>2</v>
      </c>
      <c r="B16" t="s">
        <v>112</v>
      </c>
      <c r="C16">
        <v>30</v>
      </c>
      <c r="D16" t="s">
        <v>18</v>
      </c>
      <c r="E16" t="s">
        <v>15</v>
      </c>
      <c r="F16">
        <v>91.44</v>
      </c>
      <c r="G16" t="s">
        <v>14</v>
      </c>
    </row>
    <row r="17" spans="1:7" x14ac:dyDescent="0.25">
      <c r="A17">
        <v>2</v>
      </c>
      <c r="B17" t="s">
        <v>112</v>
      </c>
      <c r="C17">
        <v>40</v>
      </c>
      <c r="D17" t="s">
        <v>105</v>
      </c>
      <c r="E17" t="s">
        <v>106</v>
      </c>
      <c r="F17">
        <v>0.54600000000000004</v>
      </c>
      <c r="G17" t="s">
        <v>14</v>
      </c>
    </row>
    <row r="18" spans="1:7" x14ac:dyDescent="0.25">
      <c r="A18">
        <v>2</v>
      </c>
      <c r="B18" t="s">
        <v>112</v>
      </c>
      <c r="C18">
        <v>50</v>
      </c>
      <c r="D18" t="s">
        <v>107</v>
      </c>
      <c r="E18" t="s">
        <v>15</v>
      </c>
      <c r="F18">
        <v>11.683999999999999</v>
      </c>
      <c r="G18" t="s">
        <v>14</v>
      </c>
    </row>
    <row r="19" spans="1:7" x14ac:dyDescent="0.25">
      <c r="A19">
        <v>2</v>
      </c>
      <c r="B19" t="s">
        <v>112</v>
      </c>
      <c r="C19">
        <v>60</v>
      </c>
      <c r="D19" t="s">
        <v>18</v>
      </c>
      <c r="E19" t="s">
        <v>15</v>
      </c>
      <c r="F19">
        <v>71.856999999999999</v>
      </c>
      <c r="G19" t="s">
        <v>14</v>
      </c>
    </row>
    <row r="20" spans="1:7" x14ac:dyDescent="0.25">
      <c r="A20">
        <v>2</v>
      </c>
      <c r="B20" t="s">
        <v>112</v>
      </c>
      <c r="C20">
        <v>70</v>
      </c>
      <c r="D20" t="s">
        <v>111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112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112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112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112</v>
      </c>
      <c r="C24">
        <v>110</v>
      </c>
      <c r="D24" t="s">
        <v>109</v>
      </c>
      <c r="E24" t="s">
        <v>13</v>
      </c>
      <c r="F24">
        <v>0.35299999999999998</v>
      </c>
      <c r="G24" t="s">
        <v>14</v>
      </c>
    </row>
    <row r="25" spans="1:7" x14ac:dyDescent="0.25">
      <c r="A25">
        <v>2</v>
      </c>
      <c r="B25" t="s">
        <v>112</v>
      </c>
      <c r="C25">
        <v>120</v>
      </c>
      <c r="D25" t="s">
        <v>188</v>
      </c>
      <c r="E25" t="s">
        <v>11</v>
      </c>
      <c r="F25">
        <v>2</v>
      </c>
      <c r="G25" t="s">
        <v>16</v>
      </c>
    </row>
    <row r="26" spans="1:7" x14ac:dyDescent="0.25">
      <c r="A26">
        <v>3</v>
      </c>
      <c r="B26" t="s">
        <v>113</v>
      </c>
      <c r="C26">
        <v>10</v>
      </c>
      <c r="D26" t="s">
        <v>264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113</v>
      </c>
      <c r="C27">
        <v>20</v>
      </c>
      <c r="D27" t="s">
        <v>151</v>
      </c>
      <c r="E27" t="s">
        <v>15</v>
      </c>
      <c r="F27">
        <v>2.3370000000000002</v>
      </c>
      <c r="G27" t="s">
        <v>16</v>
      </c>
    </row>
    <row r="28" spans="1:7" x14ac:dyDescent="0.25">
      <c r="A28">
        <v>3</v>
      </c>
      <c r="B28" t="s">
        <v>113</v>
      </c>
      <c r="C28">
        <v>30</v>
      </c>
      <c r="D28" t="s">
        <v>18</v>
      </c>
      <c r="E28" t="s">
        <v>15</v>
      </c>
      <c r="F28">
        <v>96.316999999999993</v>
      </c>
      <c r="G28" t="s">
        <v>14</v>
      </c>
    </row>
    <row r="29" spans="1:7" x14ac:dyDescent="0.25">
      <c r="A29">
        <v>3</v>
      </c>
      <c r="B29" t="s">
        <v>113</v>
      </c>
      <c r="C29">
        <v>40</v>
      </c>
      <c r="D29" t="s">
        <v>105</v>
      </c>
      <c r="E29" t="s">
        <v>106</v>
      </c>
      <c r="F29">
        <v>0.63300000000000001</v>
      </c>
      <c r="G29" t="s">
        <v>14</v>
      </c>
    </row>
    <row r="30" spans="1:7" x14ac:dyDescent="0.25">
      <c r="A30">
        <v>3</v>
      </c>
      <c r="B30" t="s">
        <v>113</v>
      </c>
      <c r="C30">
        <v>50</v>
      </c>
      <c r="D30" t="s">
        <v>107</v>
      </c>
      <c r="E30" t="s">
        <v>15</v>
      </c>
      <c r="F30">
        <v>12.294</v>
      </c>
      <c r="G30" t="s">
        <v>14</v>
      </c>
    </row>
    <row r="31" spans="1:7" x14ac:dyDescent="0.25">
      <c r="A31">
        <v>3</v>
      </c>
      <c r="B31" t="s">
        <v>113</v>
      </c>
      <c r="C31">
        <v>60</v>
      </c>
      <c r="D31" t="s">
        <v>18</v>
      </c>
      <c r="E31" t="s">
        <v>15</v>
      </c>
      <c r="F31">
        <v>75.605999999999995</v>
      </c>
      <c r="G31" t="s">
        <v>14</v>
      </c>
    </row>
    <row r="32" spans="1:7" x14ac:dyDescent="0.25">
      <c r="A32">
        <v>3</v>
      </c>
      <c r="B32" t="s">
        <v>113</v>
      </c>
      <c r="C32">
        <v>70</v>
      </c>
      <c r="D32" t="s">
        <v>111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113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113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113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113</v>
      </c>
      <c r="C36">
        <v>110</v>
      </c>
      <c r="D36" t="s">
        <v>109</v>
      </c>
      <c r="E36" t="s">
        <v>13</v>
      </c>
      <c r="F36">
        <v>0.39800000000000002</v>
      </c>
      <c r="G36" t="s">
        <v>14</v>
      </c>
    </row>
    <row r="37" spans="1:7" x14ac:dyDescent="0.25">
      <c r="A37">
        <v>3</v>
      </c>
      <c r="B37" t="s">
        <v>113</v>
      </c>
      <c r="C37">
        <v>120</v>
      </c>
      <c r="D37" t="s">
        <v>189</v>
      </c>
      <c r="E37" t="s">
        <v>11</v>
      </c>
      <c r="F37">
        <v>2</v>
      </c>
      <c r="G37" t="s">
        <v>16</v>
      </c>
    </row>
    <row r="38" spans="1:7" x14ac:dyDescent="0.25">
      <c r="A38">
        <v>4</v>
      </c>
      <c r="B38" t="s">
        <v>114</v>
      </c>
      <c r="C38">
        <v>10</v>
      </c>
      <c r="D38" t="s">
        <v>265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114</v>
      </c>
      <c r="C39">
        <v>20</v>
      </c>
      <c r="D39" t="s">
        <v>151</v>
      </c>
      <c r="E39" t="s">
        <v>15</v>
      </c>
      <c r="F39">
        <v>2.6419999999999999</v>
      </c>
      <c r="G39" t="s">
        <v>16</v>
      </c>
    </row>
    <row r="40" spans="1:7" x14ac:dyDescent="0.25">
      <c r="A40">
        <v>4</v>
      </c>
      <c r="B40" t="s">
        <v>114</v>
      </c>
      <c r="C40">
        <v>30</v>
      </c>
      <c r="D40" t="s">
        <v>18</v>
      </c>
      <c r="E40" t="s">
        <v>15</v>
      </c>
      <c r="F40">
        <v>101.194</v>
      </c>
      <c r="G40" t="s">
        <v>14</v>
      </c>
    </row>
    <row r="41" spans="1:7" x14ac:dyDescent="0.25">
      <c r="A41">
        <v>4</v>
      </c>
      <c r="B41" t="s">
        <v>114</v>
      </c>
      <c r="C41">
        <v>40</v>
      </c>
      <c r="D41" t="s">
        <v>105</v>
      </c>
      <c r="E41" t="s">
        <v>106</v>
      </c>
      <c r="F41">
        <v>0.71899999999999997</v>
      </c>
      <c r="G41" t="s">
        <v>14</v>
      </c>
    </row>
    <row r="42" spans="1:7" x14ac:dyDescent="0.25">
      <c r="A42">
        <v>4</v>
      </c>
      <c r="B42" t="s">
        <v>114</v>
      </c>
      <c r="C42">
        <v>50</v>
      </c>
      <c r="D42" t="s">
        <v>107</v>
      </c>
      <c r="E42" t="s">
        <v>15</v>
      </c>
      <c r="F42">
        <v>12.903</v>
      </c>
      <c r="G42" t="s">
        <v>14</v>
      </c>
    </row>
    <row r="43" spans="1:7" x14ac:dyDescent="0.25">
      <c r="A43">
        <v>4</v>
      </c>
      <c r="B43" t="s">
        <v>114</v>
      </c>
      <c r="C43">
        <v>60</v>
      </c>
      <c r="D43" t="s">
        <v>18</v>
      </c>
      <c r="E43" t="s">
        <v>15</v>
      </c>
      <c r="F43">
        <v>79.355000000000004</v>
      </c>
      <c r="G43" t="s">
        <v>14</v>
      </c>
    </row>
    <row r="44" spans="1:7" x14ac:dyDescent="0.25">
      <c r="A44">
        <v>4</v>
      </c>
      <c r="B44" t="s">
        <v>114</v>
      </c>
      <c r="C44">
        <v>70</v>
      </c>
      <c r="D44" t="s">
        <v>111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114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114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114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114</v>
      </c>
      <c r="C48">
        <v>110</v>
      </c>
      <c r="D48" t="s">
        <v>109</v>
      </c>
      <c r="E48" t="s">
        <v>13</v>
      </c>
      <c r="F48">
        <v>0.443</v>
      </c>
      <c r="G48" t="s">
        <v>14</v>
      </c>
    </row>
    <row r="49" spans="1:7" x14ac:dyDescent="0.25">
      <c r="A49">
        <v>4</v>
      </c>
      <c r="B49" t="s">
        <v>114</v>
      </c>
      <c r="C49">
        <v>120</v>
      </c>
      <c r="D49" t="s">
        <v>190</v>
      </c>
      <c r="E49" t="s">
        <v>11</v>
      </c>
      <c r="F49">
        <v>2</v>
      </c>
      <c r="G49" t="s">
        <v>16</v>
      </c>
    </row>
    <row r="50" spans="1:7" x14ac:dyDescent="0.25">
      <c r="A50">
        <v>5</v>
      </c>
      <c r="B50" t="s">
        <v>115</v>
      </c>
      <c r="C50">
        <v>10</v>
      </c>
      <c r="D50" t="s">
        <v>266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115</v>
      </c>
      <c r="C51">
        <v>20</v>
      </c>
      <c r="D51" t="s">
        <v>151</v>
      </c>
      <c r="E51" t="s">
        <v>15</v>
      </c>
      <c r="F51">
        <v>2.794</v>
      </c>
      <c r="G51" t="s">
        <v>16</v>
      </c>
    </row>
    <row r="52" spans="1:7" x14ac:dyDescent="0.25">
      <c r="A52">
        <v>5</v>
      </c>
      <c r="B52" t="s">
        <v>115</v>
      </c>
      <c r="C52">
        <v>30</v>
      </c>
      <c r="D52" t="s">
        <v>18</v>
      </c>
      <c r="E52" t="s">
        <v>15</v>
      </c>
      <c r="F52">
        <v>103.63200000000001</v>
      </c>
      <c r="G52" t="s">
        <v>14</v>
      </c>
    </row>
    <row r="53" spans="1:7" x14ac:dyDescent="0.25">
      <c r="A53">
        <v>5</v>
      </c>
      <c r="B53" t="s">
        <v>115</v>
      </c>
      <c r="C53">
        <v>40</v>
      </c>
      <c r="D53" t="s">
        <v>105</v>
      </c>
      <c r="E53" t="s">
        <v>106</v>
      </c>
      <c r="F53">
        <v>0.76200000000000001</v>
      </c>
      <c r="G53" t="s">
        <v>14</v>
      </c>
    </row>
    <row r="54" spans="1:7" x14ac:dyDescent="0.25">
      <c r="A54">
        <v>5</v>
      </c>
      <c r="B54" t="s">
        <v>115</v>
      </c>
      <c r="C54">
        <v>50</v>
      </c>
      <c r="D54" t="s">
        <v>107</v>
      </c>
      <c r="E54" t="s">
        <v>15</v>
      </c>
      <c r="F54">
        <v>13.208</v>
      </c>
      <c r="G54" t="s">
        <v>14</v>
      </c>
    </row>
    <row r="55" spans="1:7" x14ac:dyDescent="0.25">
      <c r="A55">
        <v>5</v>
      </c>
      <c r="B55" t="s">
        <v>115</v>
      </c>
      <c r="C55">
        <v>60</v>
      </c>
      <c r="D55" t="s">
        <v>18</v>
      </c>
      <c r="E55" t="s">
        <v>15</v>
      </c>
      <c r="F55">
        <v>81.228999999999999</v>
      </c>
      <c r="G55" t="s">
        <v>14</v>
      </c>
    </row>
    <row r="56" spans="1:7" x14ac:dyDescent="0.25">
      <c r="A56">
        <v>5</v>
      </c>
      <c r="B56" t="s">
        <v>115</v>
      </c>
      <c r="C56">
        <v>70</v>
      </c>
      <c r="D56" t="s">
        <v>111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115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115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115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115</v>
      </c>
      <c r="C60">
        <v>110</v>
      </c>
      <c r="D60" t="s">
        <v>109</v>
      </c>
      <c r="E60" t="s">
        <v>13</v>
      </c>
      <c r="F60">
        <v>0.46500000000000002</v>
      </c>
      <c r="G60" t="s">
        <v>14</v>
      </c>
    </row>
    <row r="61" spans="1:7" x14ac:dyDescent="0.25">
      <c r="A61">
        <v>5</v>
      </c>
      <c r="B61" t="s">
        <v>115</v>
      </c>
      <c r="C61">
        <v>120</v>
      </c>
      <c r="D61" t="s">
        <v>191</v>
      </c>
      <c r="E61" t="s">
        <v>11</v>
      </c>
      <c r="F61">
        <v>2</v>
      </c>
      <c r="G61" t="s">
        <v>16</v>
      </c>
    </row>
    <row r="62" spans="1:7" x14ac:dyDescent="0.25">
      <c r="A62">
        <v>6</v>
      </c>
      <c r="B62" t="s">
        <v>116</v>
      </c>
      <c r="C62">
        <v>10</v>
      </c>
      <c r="D62" t="s">
        <v>267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116</v>
      </c>
      <c r="C63">
        <v>20</v>
      </c>
      <c r="D63" t="s">
        <v>151</v>
      </c>
      <c r="E63" t="s">
        <v>15</v>
      </c>
      <c r="F63">
        <v>2.9460000000000002</v>
      </c>
      <c r="G63" t="s">
        <v>16</v>
      </c>
    </row>
    <row r="64" spans="1:7" x14ac:dyDescent="0.25">
      <c r="A64">
        <v>6</v>
      </c>
      <c r="B64" t="s">
        <v>116</v>
      </c>
      <c r="C64">
        <v>30</v>
      </c>
      <c r="D64" t="s">
        <v>18</v>
      </c>
      <c r="E64" t="s">
        <v>15</v>
      </c>
      <c r="F64">
        <v>106.07</v>
      </c>
      <c r="G64" t="s">
        <v>14</v>
      </c>
    </row>
    <row r="65" spans="1:7" x14ac:dyDescent="0.25">
      <c r="A65">
        <v>6</v>
      </c>
      <c r="B65" t="s">
        <v>116</v>
      </c>
      <c r="C65">
        <v>40</v>
      </c>
      <c r="D65" t="s">
        <v>105</v>
      </c>
      <c r="E65" t="s">
        <v>106</v>
      </c>
      <c r="F65">
        <v>0.80500000000000005</v>
      </c>
      <c r="G65" t="s">
        <v>14</v>
      </c>
    </row>
    <row r="66" spans="1:7" x14ac:dyDescent="0.25">
      <c r="A66">
        <v>6</v>
      </c>
      <c r="B66" t="s">
        <v>116</v>
      </c>
      <c r="C66">
        <v>50</v>
      </c>
      <c r="D66" t="s">
        <v>107</v>
      </c>
      <c r="E66" t="s">
        <v>15</v>
      </c>
      <c r="F66">
        <v>13.513</v>
      </c>
      <c r="G66" t="s">
        <v>14</v>
      </c>
    </row>
    <row r="67" spans="1:7" x14ac:dyDescent="0.25">
      <c r="A67">
        <v>6</v>
      </c>
      <c r="B67" t="s">
        <v>116</v>
      </c>
      <c r="C67">
        <v>60</v>
      </c>
      <c r="D67" t="s">
        <v>18</v>
      </c>
      <c r="E67" t="s">
        <v>15</v>
      </c>
      <c r="F67">
        <v>83.103999999999999</v>
      </c>
      <c r="G67" t="s">
        <v>14</v>
      </c>
    </row>
    <row r="68" spans="1:7" x14ac:dyDescent="0.25">
      <c r="A68">
        <v>6</v>
      </c>
      <c r="B68" t="s">
        <v>116</v>
      </c>
      <c r="C68">
        <v>70</v>
      </c>
      <c r="D68" t="s">
        <v>111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116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116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116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116</v>
      </c>
      <c r="C72">
        <v>110</v>
      </c>
      <c r="D72" t="s">
        <v>109</v>
      </c>
      <c r="E72" t="s">
        <v>13</v>
      </c>
      <c r="F72">
        <v>0.48799999999999999</v>
      </c>
      <c r="G72" t="s">
        <v>14</v>
      </c>
    </row>
    <row r="73" spans="1:7" x14ac:dyDescent="0.25">
      <c r="A73">
        <v>6</v>
      </c>
      <c r="B73" t="s">
        <v>116</v>
      </c>
      <c r="C73">
        <v>120</v>
      </c>
      <c r="D73" t="s">
        <v>192</v>
      </c>
      <c r="E73" t="s">
        <v>11</v>
      </c>
      <c r="F73">
        <v>2</v>
      </c>
      <c r="G73" t="s">
        <v>16</v>
      </c>
    </row>
    <row r="74" spans="1:7" x14ac:dyDescent="0.25">
      <c r="A74">
        <v>7</v>
      </c>
      <c r="B74" t="s">
        <v>117</v>
      </c>
      <c r="C74">
        <v>10</v>
      </c>
      <c r="D74" t="s">
        <v>268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117</v>
      </c>
      <c r="C75">
        <v>20</v>
      </c>
      <c r="D75" t="s">
        <v>151</v>
      </c>
      <c r="E75" t="s">
        <v>15</v>
      </c>
      <c r="F75">
        <v>3.2509999999999999</v>
      </c>
      <c r="G75" t="s">
        <v>16</v>
      </c>
    </row>
    <row r="76" spans="1:7" x14ac:dyDescent="0.25">
      <c r="A76">
        <v>7</v>
      </c>
      <c r="B76" t="s">
        <v>117</v>
      </c>
      <c r="C76">
        <v>30</v>
      </c>
      <c r="D76" t="s">
        <v>18</v>
      </c>
      <c r="E76" t="s">
        <v>15</v>
      </c>
      <c r="F76">
        <v>110.947</v>
      </c>
      <c r="G76" t="s">
        <v>14</v>
      </c>
    </row>
    <row r="77" spans="1:7" x14ac:dyDescent="0.25">
      <c r="A77">
        <v>7</v>
      </c>
      <c r="B77" t="s">
        <v>117</v>
      </c>
      <c r="C77">
        <v>40</v>
      </c>
      <c r="D77" t="s">
        <v>105</v>
      </c>
      <c r="E77" t="s">
        <v>106</v>
      </c>
      <c r="F77">
        <v>0.89100000000000001</v>
      </c>
      <c r="G77" t="s">
        <v>14</v>
      </c>
    </row>
    <row r="78" spans="1:7" x14ac:dyDescent="0.25">
      <c r="A78">
        <v>7</v>
      </c>
      <c r="B78" t="s">
        <v>117</v>
      </c>
      <c r="C78">
        <v>50</v>
      </c>
      <c r="D78" t="s">
        <v>107</v>
      </c>
      <c r="E78" t="s">
        <v>15</v>
      </c>
      <c r="F78">
        <v>14.122</v>
      </c>
      <c r="G78" t="s">
        <v>14</v>
      </c>
    </row>
    <row r="79" spans="1:7" x14ac:dyDescent="0.25">
      <c r="A79">
        <v>7</v>
      </c>
      <c r="B79" t="s">
        <v>117</v>
      </c>
      <c r="C79">
        <v>60</v>
      </c>
      <c r="D79" t="s">
        <v>18</v>
      </c>
      <c r="E79" t="s">
        <v>15</v>
      </c>
      <c r="F79">
        <v>86.852999999999994</v>
      </c>
      <c r="G79" t="s">
        <v>14</v>
      </c>
    </row>
    <row r="80" spans="1:7" x14ac:dyDescent="0.25">
      <c r="A80">
        <v>7</v>
      </c>
      <c r="B80" t="s">
        <v>117</v>
      </c>
      <c r="C80">
        <v>70</v>
      </c>
      <c r="D80" t="s">
        <v>111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117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117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117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117</v>
      </c>
      <c r="C84">
        <v>110</v>
      </c>
      <c r="D84" t="s">
        <v>109</v>
      </c>
      <c r="E84" t="s">
        <v>13</v>
      </c>
      <c r="F84">
        <v>0.53300000000000003</v>
      </c>
      <c r="G84" t="s">
        <v>14</v>
      </c>
    </row>
    <row r="85" spans="1:7" x14ac:dyDescent="0.25">
      <c r="A85">
        <v>7</v>
      </c>
      <c r="B85" t="s">
        <v>117</v>
      </c>
      <c r="C85">
        <v>120</v>
      </c>
      <c r="D85" t="s">
        <v>193</v>
      </c>
      <c r="E85" t="s">
        <v>11</v>
      </c>
      <c r="F85">
        <v>2</v>
      </c>
      <c r="G85" t="s">
        <v>16</v>
      </c>
    </row>
    <row r="86" spans="1:7" x14ac:dyDescent="0.25">
      <c r="A86">
        <v>8</v>
      </c>
      <c r="B86" t="s">
        <v>118</v>
      </c>
      <c r="C86">
        <v>10</v>
      </c>
      <c r="D86" t="s">
        <v>269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118</v>
      </c>
      <c r="C87">
        <v>20</v>
      </c>
      <c r="D87" t="s">
        <v>151</v>
      </c>
      <c r="E87" t="s">
        <v>15</v>
      </c>
      <c r="F87">
        <v>3.556</v>
      </c>
      <c r="G87" t="s">
        <v>16</v>
      </c>
    </row>
    <row r="88" spans="1:7" x14ac:dyDescent="0.25">
      <c r="A88">
        <v>8</v>
      </c>
      <c r="B88" t="s">
        <v>118</v>
      </c>
      <c r="C88">
        <v>30</v>
      </c>
      <c r="D88" t="s">
        <v>18</v>
      </c>
      <c r="E88" t="s">
        <v>15</v>
      </c>
      <c r="F88">
        <v>115.824</v>
      </c>
      <c r="G88" t="s">
        <v>14</v>
      </c>
    </row>
    <row r="89" spans="1:7" x14ac:dyDescent="0.25">
      <c r="A89">
        <v>8</v>
      </c>
      <c r="B89" t="s">
        <v>118</v>
      </c>
      <c r="C89">
        <v>40</v>
      </c>
      <c r="D89" t="s">
        <v>105</v>
      </c>
      <c r="E89" t="s">
        <v>106</v>
      </c>
      <c r="F89">
        <v>0.97799999999999998</v>
      </c>
      <c r="G89" t="s">
        <v>14</v>
      </c>
    </row>
    <row r="90" spans="1:7" x14ac:dyDescent="0.25">
      <c r="A90">
        <v>8</v>
      </c>
      <c r="B90" t="s">
        <v>118</v>
      </c>
      <c r="C90">
        <v>50</v>
      </c>
      <c r="D90" t="s">
        <v>107</v>
      </c>
      <c r="E90" t="s">
        <v>15</v>
      </c>
      <c r="F90">
        <v>14.731999999999999</v>
      </c>
      <c r="G90" t="s">
        <v>14</v>
      </c>
    </row>
    <row r="91" spans="1:7" x14ac:dyDescent="0.25">
      <c r="A91">
        <v>8</v>
      </c>
      <c r="B91" t="s">
        <v>118</v>
      </c>
      <c r="C91">
        <v>60</v>
      </c>
      <c r="D91" t="s">
        <v>18</v>
      </c>
      <c r="E91" t="s">
        <v>15</v>
      </c>
      <c r="F91">
        <v>90.602000000000004</v>
      </c>
      <c r="G91" t="s">
        <v>14</v>
      </c>
    </row>
    <row r="92" spans="1:7" x14ac:dyDescent="0.25">
      <c r="A92">
        <v>8</v>
      </c>
      <c r="B92" t="s">
        <v>118</v>
      </c>
      <c r="C92">
        <v>70</v>
      </c>
      <c r="D92" t="s">
        <v>111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118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118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118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118</v>
      </c>
      <c r="C96">
        <v>110</v>
      </c>
      <c r="D96" t="s">
        <v>109</v>
      </c>
      <c r="E96" t="s">
        <v>13</v>
      </c>
      <c r="F96">
        <v>0.57799999999999996</v>
      </c>
      <c r="G96" t="s">
        <v>14</v>
      </c>
    </row>
    <row r="97" spans="1:7" x14ac:dyDescent="0.25">
      <c r="A97">
        <v>8</v>
      </c>
      <c r="B97" t="s">
        <v>118</v>
      </c>
      <c r="C97">
        <v>120</v>
      </c>
      <c r="D97" t="s">
        <v>194</v>
      </c>
      <c r="E97" t="s">
        <v>11</v>
      </c>
      <c r="F97">
        <v>2</v>
      </c>
      <c r="G97" t="s">
        <v>16</v>
      </c>
    </row>
    <row r="98" spans="1:7" x14ac:dyDescent="0.25">
      <c r="A98">
        <v>9</v>
      </c>
      <c r="B98" t="s">
        <v>119</v>
      </c>
      <c r="C98">
        <v>10</v>
      </c>
      <c r="D98" t="s">
        <v>270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119</v>
      </c>
      <c r="C99">
        <v>20</v>
      </c>
      <c r="D99" t="s">
        <v>151</v>
      </c>
      <c r="E99" t="s">
        <v>15</v>
      </c>
      <c r="F99">
        <v>1.7270000000000001</v>
      </c>
      <c r="G99" t="s">
        <v>16</v>
      </c>
    </row>
    <row r="100" spans="1:7" x14ac:dyDescent="0.25">
      <c r="A100">
        <v>9</v>
      </c>
      <c r="B100" t="s">
        <v>119</v>
      </c>
      <c r="C100">
        <v>30</v>
      </c>
      <c r="D100" t="s">
        <v>18</v>
      </c>
      <c r="E100" t="s">
        <v>15</v>
      </c>
      <c r="F100">
        <v>89.001999999999995</v>
      </c>
      <c r="G100" t="s">
        <v>14</v>
      </c>
    </row>
    <row r="101" spans="1:7" x14ac:dyDescent="0.25">
      <c r="A101">
        <v>9</v>
      </c>
      <c r="B101" t="s">
        <v>119</v>
      </c>
      <c r="C101">
        <v>40</v>
      </c>
      <c r="D101" t="s">
        <v>105</v>
      </c>
      <c r="E101" t="s">
        <v>106</v>
      </c>
      <c r="F101">
        <v>0.48</v>
      </c>
      <c r="G101" t="s">
        <v>14</v>
      </c>
    </row>
    <row r="102" spans="1:7" x14ac:dyDescent="0.25">
      <c r="A102">
        <v>9</v>
      </c>
      <c r="B102" t="s">
        <v>119</v>
      </c>
      <c r="C102">
        <v>50</v>
      </c>
      <c r="D102" t="s">
        <v>107</v>
      </c>
      <c r="E102" t="s">
        <v>15</v>
      </c>
      <c r="F102">
        <v>11.379</v>
      </c>
      <c r="G102" t="s">
        <v>14</v>
      </c>
    </row>
    <row r="103" spans="1:7" x14ac:dyDescent="0.25">
      <c r="A103">
        <v>9</v>
      </c>
      <c r="B103" t="s">
        <v>119</v>
      </c>
      <c r="C103">
        <v>60</v>
      </c>
      <c r="D103" t="s">
        <v>18</v>
      </c>
      <c r="E103" t="s">
        <v>15</v>
      </c>
      <c r="F103">
        <v>69.981999999999999</v>
      </c>
      <c r="G103" t="s">
        <v>14</v>
      </c>
    </row>
    <row r="104" spans="1:7" x14ac:dyDescent="0.25">
      <c r="A104">
        <v>9</v>
      </c>
      <c r="B104" t="s">
        <v>119</v>
      </c>
      <c r="C104">
        <v>70</v>
      </c>
      <c r="D104" t="s">
        <v>111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119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119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119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119</v>
      </c>
      <c r="C108">
        <v>110</v>
      </c>
      <c r="D108" t="s">
        <v>109</v>
      </c>
      <c r="E108" t="s">
        <v>13</v>
      </c>
      <c r="F108">
        <v>0.308</v>
      </c>
      <c r="G108" t="s">
        <v>14</v>
      </c>
    </row>
    <row r="109" spans="1:7" x14ac:dyDescent="0.25">
      <c r="A109">
        <v>9</v>
      </c>
      <c r="B109" t="s">
        <v>119</v>
      </c>
      <c r="C109">
        <v>120</v>
      </c>
      <c r="D109" t="s">
        <v>195</v>
      </c>
      <c r="E109" t="s">
        <v>11</v>
      </c>
      <c r="F109">
        <v>2</v>
      </c>
      <c r="G109" t="s">
        <v>16</v>
      </c>
    </row>
    <row r="110" spans="1:7" x14ac:dyDescent="0.25">
      <c r="A110">
        <v>10</v>
      </c>
      <c r="B110" t="s">
        <v>120</v>
      </c>
      <c r="C110">
        <v>10</v>
      </c>
      <c r="D110" t="s">
        <v>271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120</v>
      </c>
      <c r="C111">
        <v>20</v>
      </c>
      <c r="D111" t="s">
        <v>151</v>
      </c>
      <c r="E111" t="s">
        <v>15</v>
      </c>
      <c r="F111">
        <v>2.032</v>
      </c>
      <c r="G111" t="s">
        <v>16</v>
      </c>
    </row>
    <row r="112" spans="1:7" x14ac:dyDescent="0.25">
      <c r="A112">
        <v>10</v>
      </c>
      <c r="B112" t="s">
        <v>120</v>
      </c>
      <c r="C112">
        <v>30</v>
      </c>
      <c r="D112" t="s">
        <v>18</v>
      </c>
      <c r="E112" t="s">
        <v>15</v>
      </c>
      <c r="F112">
        <v>93.878</v>
      </c>
      <c r="G112" t="s">
        <v>14</v>
      </c>
    </row>
    <row r="113" spans="1:7" x14ac:dyDescent="0.25">
      <c r="A113">
        <v>10</v>
      </c>
      <c r="B113" t="s">
        <v>120</v>
      </c>
      <c r="C113">
        <v>40</v>
      </c>
      <c r="D113" t="s">
        <v>105</v>
      </c>
      <c r="E113" t="s">
        <v>106</v>
      </c>
      <c r="F113">
        <v>0.56899999999999995</v>
      </c>
      <c r="G113" t="s">
        <v>14</v>
      </c>
    </row>
    <row r="114" spans="1:7" x14ac:dyDescent="0.25">
      <c r="A114">
        <v>10</v>
      </c>
      <c r="B114" t="s">
        <v>120</v>
      </c>
      <c r="C114">
        <v>50</v>
      </c>
      <c r="D114" t="s">
        <v>107</v>
      </c>
      <c r="E114" t="s">
        <v>15</v>
      </c>
      <c r="F114">
        <v>11.989000000000001</v>
      </c>
      <c r="G114" t="s">
        <v>14</v>
      </c>
    </row>
    <row r="115" spans="1:7" x14ac:dyDescent="0.25">
      <c r="A115">
        <v>10</v>
      </c>
      <c r="B115" t="s">
        <v>120</v>
      </c>
      <c r="C115">
        <v>60</v>
      </c>
      <c r="D115" t="s">
        <v>18</v>
      </c>
      <c r="E115" t="s">
        <v>15</v>
      </c>
      <c r="F115">
        <v>73.730999999999995</v>
      </c>
      <c r="G115" t="s">
        <v>14</v>
      </c>
    </row>
    <row r="116" spans="1:7" x14ac:dyDescent="0.25">
      <c r="A116">
        <v>10</v>
      </c>
      <c r="B116" t="s">
        <v>120</v>
      </c>
      <c r="C116">
        <v>70</v>
      </c>
      <c r="D116" t="s">
        <v>111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120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120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120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120</v>
      </c>
      <c r="C120">
        <v>110</v>
      </c>
      <c r="D120" t="s">
        <v>109</v>
      </c>
      <c r="E120" t="s">
        <v>13</v>
      </c>
      <c r="F120">
        <v>0.35299999999999998</v>
      </c>
      <c r="G120" t="s">
        <v>14</v>
      </c>
    </row>
    <row r="121" spans="1:7" x14ac:dyDescent="0.25">
      <c r="A121">
        <v>10</v>
      </c>
      <c r="B121" t="s">
        <v>120</v>
      </c>
      <c r="C121">
        <v>120</v>
      </c>
      <c r="D121" t="s">
        <v>196</v>
      </c>
      <c r="E121" t="s">
        <v>11</v>
      </c>
      <c r="F121">
        <v>2</v>
      </c>
      <c r="G121" t="s">
        <v>16</v>
      </c>
    </row>
    <row r="122" spans="1:7" x14ac:dyDescent="0.25">
      <c r="A122">
        <v>11</v>
      </c>
      <c r="B122" t="s">
        <v>121</v>
      </c>
      <c r="C122">
        <v>10</v>
      </c>
      <c r="D122" t="s">
        <v>272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121</v>
      </c>
      <c r="C123">
        <v>20</v>
      </c>
      <c r="D123" t="s">
        <v>151</v>
      </c>
      <c r="E123" t="s">
        <v>15</v>
      </c>
      <c r="F123">
        <v>2.3370000000000002</v>
      </c>
      <c r="G123" t="s">
        <v>16</v>
      </c>
    </row>
    <row r="124" spans="1:7" x14ac:dyDescent="0.25">
      <c r="A124">
        <v>11</v>
      </c>
      <c r="B124" t="s">
        <v>121</v>
      </c>
      <c r="C124">
        <v>30</v>
      </c>
      <c r="D124" t="s">
        <v>18</v>
      </c>
      <c r="E124" t="s">
        <v>15</v>
      </c>
      <c r="F124">
        <v>98.754999999999995</v>
      </c>
      <c r="G124" t="s">
        <v>14</v>
      </c>
    </row>
    <row r="125" spans="1:7" x14ac:dyDescent="0.25">
      <c r="A125">
        <v>11</v>
      </c>
      <c r="B125" t="s">
        <v>121</v>
      </c>
      <c r="C125">
        <v>40</v>
      </c>
      <c r="D125" t="s">
        <v>105</v>
      </c>
      <c r="E125" t="s">
        <v>106</v>
      </c>
      <c r="F125">
        <v>0.65900000000000003</v>
      </c>
      <c r="G125" t="s">
        <v>14</v>
      </c>
    </row>
    <row r="126" spans="1:7" x14ac:dyDescent="0.25">
      <c r="A126">
        <v>11</v>
      </c>
      <c r="B126" t="s">
        <v>121</v>
      </c>
      <c r="C126">
        <v>50</v>
      </c>
      <c r="D126" t="s">
        <v>107</v>
      </c>
      <c r="E126" t="s">
        <v>15</v>
      </c>
      <c r="F126">
        <v>12.598000000000001</v>
      </c>
      <c r="G126" t="s">
        <v>14</v>
      </c>
    </row>
    <row r="127" spans="1:7" x14ac:dyDescent="0.25">
      <c r="A127">
        <v>11</v>
      </c>
      <c r="B127" t="s">
        <v>121</v>
      </c>
      <c r="C127">
        <v>60</v>
      </c>
      <c r="D127" t="s">
        <v>18</v>
      </c>
      <c r="E127" t="s">
        <v>15</v>
      </c>
      <c r="F127">
        <v>77.48</v>
      </c>
      <c r="G127" t="s">
        <v>14</v>
      </c>
    </row>
    <row r="128" spans="1:7" x14ac:dyDescent="0.25">
      <c r="A128">
        <v>11</v>
      </c>
      <c r="B128" t="s">
        <v>121</v>
      </c>
      <c r="C128">
        <v>70</v>
      </c>
      <c r="D128" t="s">
        <v>111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121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121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121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121</v>
      </c>
      <c r="C132">
        <v>110</v>
      </c>
      <c r="D132" t="s">
        <v>109</v>
      </c>
      <c r="E132" t="s">
        <v>13</v>
      </c>
      <c r="F132">
        <v>0.39800000000000002</v>
      </c>
      <c r="G132" t="s">
        <v>14</v>
      </c>
    </row>
    <row r="133" spans="1:7" x14ac:dyDescent="0.25">
      <c r="A133">
        <v>11</v>
      </c>
      <c r="B133" t="s">
        <v>121</v>
      </c>
      <c r="C133">
        <v>120</v>
      </c>
      <c r="D133" t="s">
        <v>197</v>
      </c>
      <c r="E133" t="s">
        <v>11</v>
      </c>
      <c r="F133">
        <v>2</v>
      </c>
      <c r="G133" t="s">
        <v>16</v>
      </c>
    </row>
    <row r="134" spans="1:7" x14ac:dyDescent="0.25">
      <c r="A134">
        <v>12</v>
      </c>
      <c r="B134" t="s">
        <v>122</v>
      </c>
      <c r="C134">
        <v>10</v>
      </c>
      <c r="D134" t="s">
        <v>273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122</v>
      </c>
      <c r="C135">
        <v>20</v>
      </c>
      <c r="D135" t="s">
        <v>151</v>
      </c>
      <c r="E135" t="s">
        <v>15</v>
      </c>
      <c r="F135">
        <v>2.6419999999999999</v>
      </c>
      <c r="G135" t="s">
        <v>16</v>
      </c>
    </row>
    <row r="136" spans="1:7" x14ac:dyDescent="0.25">
      <c r="A136">
        <v>12</v>
      </c>
      <c r="B136" t="s">
        <v>122</v>
      </c>
      <c r="C136">
        <v>30</v>
      </c>
      <c r="D136" t="s">
        <v>18</v>
      </c>
      <c r="E136" t="s">
        <v>15</v>
      </c>
      <c r="F136">
        <v>103.63200000000001</v>
      </c>
      <c r="G136" t="s">
        <v>14</v>
      </c>
    </row>
    <row r="137" spans="1:7" x14ac:dyDescent="0.25">
      <c r="A137">
        <v>12</v>
      </c>
      <c r="B137" t="s">
        <v>122</v>
      </c>
      <c r="C137">
        <v>40</v>
      </c>
      <c r="D137" t="s">
        <v>105</v>
      </c>
      <c r="E137" t="s">
        <v>106</v>
      </c>
      <c r="F137">
        <v>0.749</v>
      </c>
      <c r="G137" t="s">
        <v>14</v>
      </c>
    </row>
    <row r="138" spans="1:7" x14ac:dyDescent="0.25">
      <c r="A138">
        <v>12</v>
      </c>
      <c r="B138" t="s">
        <v>122</v>
      </c>
      <c r="C138">
        <v>50</v>
      </c>
      <c r="D138" t="s">
        <v>107</v>
      </c>
      <c r="E138" t="s">
        <v>15</v>
      </c>
      <c r="F138">
        <v>13.208</v>
      </c>
      <c r="G138" t="s">
        <v>14</v>
      </c>
    </row>
    <row r="139" spans="1:7" x14ac:dyDescent="0.25">
      <c r="A139">
        <v>12</v>
      </c>
      <c r="B139" t="s">
        <v>122</v>
      </c>
      <c r="C139">
        <v>60</v>
      </c>
      <c r="D139" t="s">
        <v>18</v>
      </c>
      <c r="E139" t="s">
        <v>15</v>
      </c>
      <c r="F139">
        <v>81.228999999999999</v>
      </c>
      <c r="G139" t="s">
        <v>14</v>
      </c>
    </row>
    <row r="140" spans="1:7" x14ac:dyDescent="0.25">
      <c r="A140">
        <v>12</v>
      </c>
      <c r="B140" t="s">
        <v>122</v>
      </c>
      <c r="C140">
        <v>70</v>
      </c>
      <c r="D140" t="s">
        <v>111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122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122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122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122</v>
      </c>
      <c r="C144">
        <v>110</v>
      </c>
      <c r="D144" t="s">
        <v>109</v>
      </c>
      <c r="E144" t="s">
        <v>13</v>
      </c>
      <c r="F144">
        <v>0.443</v>
      </c>
      <c r="G144" t="s">
        <v>14</v>
      </c>
    </row>
    <row r="145" spans="1:7" x14ac:dyDescent="0.25">
      <c r="A145">
        <v>12</v>
      </c>
      <c r="B145" t="s">
        <v>122</v>
      </c>
      <c r="C145">
        <v>120</v>
      </c>
      <c r="D145" t="s">
        <v>198</v>
      </c>
      <c r="E145" t="s">
        <v>11</v>
      </c>
      <c r="F145">
        <v>2</v>
      </c>
      <c r="G145" t="s">
        <v>16</v>
      </c>
    </row>
    <row r="146" spans="1:7" x14ac:dyDescent="0.25">
      <c r="A146">
        <v>13</v>
      </c>
      <c r="B146" t="s">
        <v>123</v>
      </c>
      <c r="C146">
        <v>10</v>
      </c>
      <c r="D146" t="s">
        <v>274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123</v>
      </c>
      <c r="C147">
        <v>20</v>
      </c>
      <c r="D147" t="s">
        <v>151</v>
      </c>
      <c r="E147" t="s">
        <v>15</v>
      </c>
      <c r="F147">
        <v>2.794</v>
      </c>
      <c r="G147" t="s">
        <v>16</v>
      </c>
    </row>
    <row r="148" spans="1:7" x14ac:dyDescent="0.25">
      <c r="A148">
        <v>13</v>
      </c>
      <c r="B148" t="s">
        <v>123</v>
      </c>
      <c r="C148">
        <v>30</v>
      </c>
      <c r="D148" t="s">
        <v>18</v>
      </c>
      <c r="E148" t="s">
        <v>15</v>
      </c>
      <c r="F148">
        <v>106.07</v>
      </c>
      <c r="G148" t="s">
        <v>14</v>
      </c>
    </row>
    <row r="149" spans="1:7" x14ac:dyDescent="0.25">
      <c r="A149">
        <v>13</v>
      </c>
      <c r="B149" t="s">
        <v>123</v>
      </c>
      <c r="C149">
        <v>40</v>
      </c>
      <c r="D149" t="s">
        <v>105</v>
      </c>
      <c r="E149" t="s">
        <v>106</v>
      </c>
      <c r="F149">
        <v>0.79400000000000004</v>
      </c>
      <c r="G149" t="s">
        <v>14</v>
      </c>
    </row>
    <row r="150" spans="1:7" x14ac:dyDescent="0.25">
      <c r="A150">
        <v>13</v>
      </c>
      <c r="B150" t="s">
        <v>123</v>
      </c>
      <c r="C150">
        <v>50</v>
      </c>
      <c r="D150" t="s">
        <v>107</v>
      </c>
      <c r="E150" t="s">
        <v>15</v>
      </c>
      <c r="F150">
        <v>13.513</v>
      </c>
      <c r="G150" t="s">
        <v>14</v>
      </c>
    </row>
    <row r="151" spans="1:7" x14ac:dyDescent="0.25">
      <c r="A151">
        <v>13</v>
      </c>
      <c r="B151" t="s">
        <v>123</v>
      </c>
      <c r="C151">
        <v>60</v>
      </c>
      <c r="D151" t="s">
        <v>18</v>
      </c>
      <c r="E151" t="s">
        <v>15</v>
      </c>
      <c r="F151">
        <v>83.103999999999999</v>
      </c>
      <c r="G151" t="s">
        <v>14</v>
      </c>
    </row>
    <row r="152" spans="1:7" x14ac:dyDescent="0.25">
      <c r="A152">
        <v>13</v>
      </c>
      <c r="B152" t="s">
        <v>123</v>
      </c>
      <c r="C152">
        <v>70</v>
      </c>
      <c r="D152" t="s">
        <v>111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123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123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123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123</v>
      </c>
      <c r="C156">
        <v>110</v>
      </c>
      <c r="D156" t="s">
        <v>109</v>
      </c>
      <c r="E156" t="s">
        <v>13</v>
      </c>
      <c r="F156">
        <v>0.46500000000000002</v>
      </c>
      <c r="G156" t="s">
        <v>14</v>
      </c>
    </row>
    <row r="157" spans="1:7" x14ac:dyDescent="0.25">
      <c r="A157">
        <v>13</v>
      </c>
      <c r="B157" t="s">
        <v>123</v>
      </c>
      <c r="C157">
        <v>120</v>
      </c>
      <c r="D157" t="s">
        <v>199</v>
      </c>
      <c r="E157" t="s">
        <v>11</v>
      </c>
      <c r="F157">
        <v>2</v>
      </c>
      <c r="G157" t="s">
        <v>16</v>
      </c>
    </row>
    <row r="158" spans="1:7" x14ac:dyDescent="0.25">
      <c r="A158">
        <v>14</v>
      </c>
      <c r="B158" t="s">
        <v>124</v>
      </c>
      <c r="C158">
        <v>10</v>
      </c>
      <c r="D158" t="s">
        <v>275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124</v>
      </c>
      <c r="C159">
        <v>20</v>
      </c>
      <c r="D159" t="s">
        <v>151</v>
      </c>
      <c r="E159" t="s">
        <v>15</v>
      </c>
      <c r="F159">
        <v>2.9460000000000002</v>
      </c>
      <c r="G159" t="s">
        <v>16</v>
      </c>
    </row>
    <row r="160" spans="1:7" x14ac:dyDescent="0.25">
      <c r="A160">
        <v>14</v>
      </c>
      <c r="B160" t="s">
        <v>124</v>
      </c>
      <c r="C160">
        <v>30</v>
      </c>
      <c r="D160" t="s">
        <v>18</v>
      </c>
      <c r="E160" t="s">
        <v>15</v>
      </c>
      <c r="F160">
        <v>108.509</v>
      </c>
      <c r="G160" t="s">
        <v>14</v>
      </c>
    </row>
    <row r="161" spans="1:7" x14ac:dyDescent="0.25">
      <c r="A161">
        <v>14</v>
      </c>
      <c r="B161" t="s">
        <v>124</v>
      </c>
      <c r="C161">
        <v>40</v>
      </c>
      <c r="D161" t="s">
        <v>105</v>
      </c>
      <c r="E161" t="s">
        <v>106</v>
      </c>
      <c r="F161">
        <v>0.83899999999999997</v>
      </c>
      <c r="G161" t="s">
        <v>14</v>
      </c>
    </row>
    <row r="162" spans="1:7" x14ac:dyDescent="0.25">
      <c r="A162">
        <v>14</v>
      </c>
      <c r="B162" t="s">
        <v>124</v>
      </c>
      <c r="C162">
        <v>50</v>
      </c>
      <c r="D162" t="s">
        <v>107</v>
      </c>
      <c r="E162" t="s">
        <v>15</v>
      </c>
      <c r="F162">
        <v>13.818</v>
      </c>
      <c r="G162" t="s">
        <v>14</v>
      </c>
    </row>
    <row r="163" spans="1:7" x14ac:dyDescent="0.25">
      <c r="A163">
        <v>14</v>
      </c>
      <c r="B163" t="s">
        <v>124</v>
      </c>
      <c r="C163">
        <v>60</v>
      </c>
      <c r="D163" t="s">
        <v>18</v>
      </c>
      <c r="E163" t="s">
        <v>15</v>
      </c>
      <c r="F163">
        <v>84.977999999999994</v>
      </c>
      <c r="G163" t="s">
        <v>14</v>
      </c>
    </row>
    <row r="164" spans="1:7" x14ac:dyDescent="0.25">
      <c r="A164">
        <v>14</v>
      </c>
      <c r="B164" t="s">
        <v>124</v>
      </c>
      <c r="C164">
        <v>70</v>
      </c>
      <c r="D164" t="s">
        <v>111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124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124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124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124</v>
      </c>
      <c r="C168">
        <v>110</v>
      </c>
      <c r="D168" t="s">
        <v>109</v>
      </c>
      <c r="E168" t="s">
        <v>13</v>
      </c>
      <c r="F168">
        <v>0.48799999999999999</v>
      </c>
      <c r="G168" t="s">
        <v>14</v>
      </c>
    </row>
    <row r="169" spans="1:7" x14ac:dyDescent="0.25">
      <c r="A169">
        <v>14</v>
      </c>
      <c r="B169" t="s">
        <v>124</v>
      </c>
      <c r="C169">
        <v>120</v>
      </c>
      <c r="D169" t="s">
        <v>200</v>
      </c>
      <c r="E169" t="s">
        <v>11</v>
      </c>
      <c r="F169">
        <v>2</v>
      </c>
      <c r="G169" t="s">
        <v>16</v>
      </c>
    </row>
    <row r="170" spans="1:7" x14ac:dyDescent="0.25">
      <c r="A170">
        <v>15</v>
      </c>
      <c r="B170" t="s">
        <v>125</v>
      </c>
      <c r="C170">
        <v>10</v>
      </c>
      <c r="D170" t="s">
        <v>276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125</v>
      </c>
      <c r="C171">
        <v>20</v>
      </c>
      <c r="D171" t="s">
        <v>151</v>
      </c>
      <c r="E171" t="s">
        <v>15</v>
      </c>
      <c r="F171">
        <v>3.2509999999999999</v>
      </c>
      <c r="G171" t="s">
        <v>16</v>
      </c>
    </row>
    <row r="172" spans="1:7" x14ac:dyDescent="0.25">
      <c r="A172">
        <v>15</v>
      </c>
      <c r="B172" t="s">
        <v>125</v>
      </c>
      <c r="C172">
        <v>30</v>
      </c>
      <c r="D172" t="s">
        <v>18</v>
      </c>
      <c r="E172" t="s">
        <v>15</v>
      </c>
      <c r="F172">
        <v>113.386</v>
      </c>
      <c r="G172" t="s">
        <v>14</v>
      </c>
    </row>
    <row r="173" spans="1:7" x14ac:dyDescent="0.25">
      <c r="A173">
        <v>15</v>
      </c>
      <c r="B173" t="s">
        <v>125</v>
      </c>
      <c r="C173">
        <v>40</v>
      </c>
      <c r="D173" t="s">
        <v>105</v>
      </c>
      <c r="E173" t="s">
        <v>106</v>
      </c>
      <c r="F173">
        <v>0.92900000000000005</v>
      </c>
      <c r="G173" t="s">
        <v>14</v>
      </c>
    </row>
    <row r="174" spans="1:7" x14ac:dyDescent="0.25">
      <c r="A174">
        <v>15</v>
      </c>
      <c r="B174" t="s">
        <v>125</v>
      </c>
      <c r="C174">
        <v>50</v>
      </c>
      <c r="D174" t="s">
        <v>107</v>
      </c>
      <c r="E174" t="s">
        <v>15</v>
      </c>
      <c r="F174">
        <v>14.427</v>
      </c>
      <c r="G174" t="s">
        <v>14</v>
      </c>
    </row>
    <row r="175" spans="1:7" x14ac:dyDescent="0.25">
      <c r="A175">
        <v>15</v>
      </c>
      <c r="B175" t="s">
        <v>125</v>
      </c>
      <c r="C175">
        <v>60</v>
      </c>
      <c r="D175" t="s">
        <v>18</v>
      </c>
      <c r="E175" t="s">
        <v>15</v>
      </c>
      <c r="F175">
        <v>88.727000000000004</v>
      </c>
      <c r="G175" t="s">
        <v>14</v>
      </c>
    </row>
    <row r="176" spans="1:7" x14ac:dyDescent="0.25">
      <c r="A176">
        <v>15</v>
      </c>
      <c r="B176" t="s">
        <v>125</v>
      </c>
      <c r="C176">
        <v>70</v>
      </c>
      <c r="D176" t="s">
        <v>111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125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125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125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125</v>
      </c>
      <c r="C180">
        <v>110</v>
      </c>
      <c r="D180" t="s">
        <v>109</v>
      </c>
      <c r="E180" t="s">
        <v>13</v>
      </c>
      <c r="F180">
        <v>0.53300000000000003</v>
      </c>
      <c r="G180" t="s">
        <v>14</v>
      </c>
    </row>
    <row r="181" spans="1:7" x14ac:dyDescent="0.25">
      <c r="A181">
        <v>15</v>
      </c>
      <c r="B181" t="s">
        <v>125</v>
      </c>
      <c r="C181">
        <v>120</v>
      </c>
      <c r="D181" t="s">
        <v>201</v>
      </c>
      <c r="E181" t="s">
        <v>11</v>
      </c>
      <c r="F181">
        <v>2</v>
      </c>
      <c r="G181" t="s">
        <v>16</v>
      </c>
    </row>
    <row r="182" spans="1:7" x14ac:dyDescent="0.25">
      <c r="A182">
        <v>16</v>
      </c>
      <c r="B182" t="s">
        <v>126</v>
      </c>
      <c r="C182">
        <v>10</v>
      </c>
      <c r="D182" t="s">
        <v>277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126</v>
      </c>
      <c r="C183">
        <v>20</v>
      </c>
      <c r="D183" t="s">
        <v>151</v>
      </c>
      <c r="E183" t="s">
        <v>15</v>
      </c>
      <c r="F183">
        <v>3.556</v>
      </c>
      <c r="G183" t="s">
        <v>16</v>
      </c>
    </row>
    <row r="184" spans="1:7" x14ac:dyDescent="0.25">
      <c r="A184">
        <v>16</v>
      </c>
      <c r="B184" t="s">
        <v>126</v>
      </c>
      <c r="C184">
        <v>30</v>
      </c>
      <c r="D184" t="s">
        <v>18</v>
      </c>
      <c r="E184" t="s">
        <v>15</v>
      </c>
      <c r="F184">
        <v>118.262</v>
      </c>
      <c r="G184" t="s">
        <v>14</v>
      </c>
    </row>
    <row r="185" spans="1:7" x14ac:dyDescent="0.25">
      <c r="A185">
        <v>16</v>
      </c>
      <c r="B185" t="s">
        <v>126</v>
      </c>
      <c r="C185">
        <v>40</v>
      </c>
      <c r="D185" t="s">
        <v>105</v>
      </c>
      <c r="E185" t="s">
        <v>106</v>
      </c>
      <c r="F185">
        <v>1.0189999999999999</v>
      </c>
      <c r="G185" t="s">
        <v>14</v>
      </c>
    </row>
    <row r="186" spans="1:7" x14ac:dyDescent="0.25">
      <c r="A186">
        <v>16</v>
      </c>
      <c r="B186" t="s">
        <v>126</v>
      </c>
      <c r="C186">
        <v>50</v>
      </c>
      <c r="D186" t="s">
        <v>107</v>
      </c>
      <c r="E186" t="s">
        <v>15</v>
      </c>
      <c r="F186">
        <v>15.037000000000001</v>
      </c>
      <c r="G186" t="s">
        <v>14</v>
      </c>
    </row>
    <row r="187" spans="1:7" x14ac:dyDescent="0.25">
      <c r="A187">
        <v>16</v>
      </c>
      <c r="B187" t="s">
        <v>126</v>
      </c>
      <c r="C187">
        <v>60</v>
      </c>
      <c r="D187" t="s">
        <v>18</v>
      </c>
      <c r="E187" t="s">
        <v>15</v>
      </c>
      <c r="F187">
        <v>92.475999999999999</v>
      </c>
      <c r="G187" t="s">
        <v>14</v>
      </c>
    </row>
    <row r="188" spans="1:7" x14ac:dyDescent="0.25">
      <c r="A188">
        <v>16</v>
      </c>
      <c r="B188" t="s">
        <v>126</v>
      </c>
      <c r="C188">
        <v>70</v>
      </c>
      <c r="D188" t="s">
        <v>111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126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126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126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126</v>
      </c>
      <c r="C192">
        <v>110</v>
      </c>
      <c r="D192" t="s">
        <v>109</v>
      </c>
      <c r="E192" t="s">
        <v>13</v>
      </c>
      <c r="F192">
        <v>0.57799999999999996</v>
      </c>
      <c r="G192" t="s">
        <v>14</v>
      </c>
    </row>
    <row r="193" spans="1:7" x14ac:dyDescent="0.25">
      <c r="A193">
        <v>16</v>
      </c>
      <c r="B193" t="s">
        <v>126</v>
      </c>
      <c r="C193">
        <v>120</v>
      </c>
      <c r="D193" t="s">
        <v>202</v>
      </c>
      <c r="E193" t="s">
        <v>11</v>
      </c>
      <c r="F193">
        <v>2</v>
      </c>
      <c r="G193" t="s">
        <v>16</v>
      </c>
    </row>
    <row r="194" spans="1:7" x14ac:dyDescent="0.25">
      <c r="A194">
        <v>17</v>
      </c>
      <c r="B194" t="s">
        <v>127</v>
      </c>
      <c r="C194">
        <v>10</v>
      </c>
      <c r="D194" t="s">
        <v>278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127</v>
      </c>
      <c r="C195">
        <v>20</v>
      </c>
      <c r="D195" t="s">
        <v>151</v>
      </c>
      <c r="E195" t="s">
        <v>15</v>
      </c>
      <c r="F195">
        <v>1.7270000000000001</v>
      </c>
      <c r="G195" t="s">
        <v>16</v>
      </c>
    </row>
    <row r="196" spans="1:7" x14ac:dyDescent="0.25">
      <c r="A196">
        <v>17</v>
      </c>
      <c r="B196" t="s">
        <v>127</v>
      </c>
      <c r="C196">
        <v>30</v>
      </c>
      <c r="D196" t="s">
        <v>18</v>
      </c>
      <c r="E196" t="s">
        <v>15</v>
      </c>
      <c r="F196">
        <v>91.44</v>
      </c>
      <c r="G196" t="s">
        <v>14</v>
      </c>
    </row>
    <row r="197" spans="1:7" x14ac:dyDescent="0.25">
      <c r="A197">
        <v>17</v>
      </c>
      <c r="B197" t="s">
        <v>127</v>
      </c>
      <c r="C197">
        <v>40</v>
      </c>
      <c r="D197" t="s">
        <v>105</v>
      </c>
      <c r="E197" t="s">
        <v>106</v>
      </c>
      <c r="F197">
        <v>0.499</v>
      </c>
      <c r="G197" t="s">
        <v>14</v>
      </c>
    </row>
    <row r="198" spans="1:7" x14ac:dyDescent="0.25">
      <c r="A198">
        <v>17</v>
      </c>
      <c r="B198" t="s">
        <v>127</v>
      </c>
      <c r="C198">
        <v>50</v>
      </c>
      <c r="D198" t="s">
        <v>107</v>
      </c>
      <c r="E198" t="s">
        <v>15</v>
      </c>
      <c r="F198">
        <v>11.683999999999999</v>
      </c>
      <c r="G198" t="s">
        <v>14</v>
      </c>
    </row>
    <row r="199" spans="1:7" x14ac:dyDescent="0.25">
      <c r="A199">
        <v>17</v>
      </c>
      <c r="B199" t="s">
        <v>127</v>
      </c>
      <c r="C199">
        <v>60</v>
      </c>
      <c r="D199" t="s">
        <v>18</v>
      </c>
      <c r="E199" t="s">
        <v>15</v>
      </c>
      <c r="F199">
        <v>71.856999999999999</v>
      </c>
      <c r="G199" t="s">
        <v>14</v>
      </c>
    </row>
    <row r="200" spans="1:7" x14ac:dyDescent="0.25">
      <c r="A200">
        <v>17</v>
      </c>
      <c r="B200" t="s">
        <v>127</v>
      </c>
      <c r="C200">
        <v>70</v>
      </c>
      <c r="D200" t="s">
        <v>111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127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127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127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127</v>
      </c>
      <c r="C204">
        <v>110</v>
      </c>
      <c r="D204" t="s">
        <v>109</v>
      </c>
      <c r="E204" t="s">
        <v>13</v>
      </c>
      <c r="F204">
        <v>0.308</v>
      </c>
      <c r="G204" t="s">
        <v>14</v>
      </c>
    </row>
    <row r="205" spans="1:7" x14ac:dyDescent="0.25">
      <c r="A205">
        <v>17</v>
      </c>
      <c r="B205" t="s">
        <v>127</v>
      </c>
      <c r="C205">
        <v>120</v>
      </c>
      <c r="D205" t="s">
        <v>203</v>
      </c>
      <c r="E205" t="s">
        <v>11</v>
      </c>
      <c r="F205">
        <v>2</v>
      </c>
      <c r="G205" t="s">
        <v>16</v>
      </c>
    </row>
    <row r="206" spans="1:7" x14ac:dyDescent="0.25">
      <c r="A206">
        <v>18</v>
      </c>
      <c r="B206" t="s">
        <v>128</v>
      </c>
      <c r="C206">
        <v>10</v>
      </c>
      <c r="D206" t="s">
        <v>279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128</v>
      </c>
      <c r="C207">
        <v>20</v>
      </c>
      <c r="D207" t="s">
        <v>151</v>
      </c>
      <c r="E207" t="s">
        <v>15</v>
      </c>
      <c r="F207">
        <v>2.032</v>
      </c>
      <c r="G207" t="s">
        <v>16</v>
      </c>
    </row>
    <row r="208" spans="1:7" x14ac:dyDescent="0.25">
      <c r="A208">
        <v>18</v>
      </c>
      <c r="B208" t="s">
        <v>128</v>
      </c>
      <c r="C208">
        <v>30</v>
      </c>
      <c r="D208" t="s">
        <v>18</v>
      </c>
      <c r="E208" t="s">
        <v>15</v>
      </c>
      <c r="F208">
        <v>96.316999999999993</v>
      </c>
      <c r="G208" t="s">
        <v>14</v>
      </c>
    </row>
    <row r="209" spans="1:7" x14ac:dyDescent="0.25">
      <c r="A209">
        <v>18</v>
      </c>
      <c r="B209" t="s">
        <v>128</v>
      </c>
      <c r="C209">
        <v>40</v>
      </c>
      <c r="D209" t="s">
        <v>105</v>
      </c>
      <c r="E209" t="s">
        <v>106</v>
      </c>
      <c r="F209">
        <v>0.59299999999999997</v>
      </c>
      <c r="G209" t="s">
        <v>14</v>
      </c>
    </row>
    <row r="210" spans="1:7" x14ac:dyDescent="0.25">
      <c r="A210">
        <v>18</v>
      </c>
      <c r="B210" t="s">
        <v>128</v>
      </c>
      <c r="C210">
        <v>50</v>
      </c>
      <c r="D210" t="s">
        <v>107</v>
      </c>
      <c r="E210" t="s">
        <v>15</v>
      </c>
      <c r="F210">
        <v>12.294</v>
      </c>
      <c r="G210" t="s">
        <v>14</v>
      </c>
    </row>
    <row r="211" spans="1:7" x14ac:dyDescent="0.25">
      <c r="A211">
        <v>18</v>
      </c>
      <c r="B211" t="s">
        <v>128</v>
      </c>
      <c r="C211">
        <v>60</v>
      </c>
      <c r="D211" t="s">
        <v>18</v>
      </c>
      <c r="E211" t="s">
        <v>15</v>
      </c>
      <c r="F211">
        <v>75.605999999999995</v>
      </c>
      <c r="G211" t="s">
        <v>14</v>
      </c>
    </row>
    <row r="212" spans="1:7" x14ac:dyDescent="0.25">
      <c r="A212">
        <v>18</v>
      </c>
      <c r="B212" t="s">
        <v>128</v>
      </c>
      <c r="C212">
        <v>70</v>
      </c>
      <c r="D212" t="s">
        <v>111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128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128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128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128</v>
      </c>
      <c r="C216">
        <v>110</v>
      </c>
      <c r="D216" t="s">
        <v>109</v>
      </c>
      <c r="E216" t="s">
        <v>13</v>
      </c>
      <c r="F216">
        <v>0.35299999999999998</v>
      </c>
      <c r="G216" t="s">
        <v>14</v>
      </c>
    </row>
    <row r="217" spans="1:7" x14ac:dyDescent="0.25">
      <c r="A217">
        <v>18</v>
      </c>
      <c r="B217" t="s">
        <v>128</v>
      </c>
      <c r="C217">
        <v>120</v>
      </c>
      <c r="D217" t="s">
        <v>204</v>
      </c>
      <c r="E217" t="s">
        <v>11</v>
      </c>
      <c r="F217">
        <v>2</v>
      </c>
      <c r="G217" t="s">
        <v>16</v>
      </c>
    </row>
    <row r="218" spans="1:7" x14ac:dyDescent="0.25">
      <c r="A218">
        <v>19</v>
      </c>
      <c r="B218" t="s">
        <v>129</v>
      </c>
      <c r="C218">
        <v>10</v>
      </c>
      <c r="D218" t="s">
        <v>280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129</v>
      </c>
      <c r="C219">
        <v>20</v>
      </c>
      <c r="D219" t="s">
        <v>151</v>
      </c>
      <c r="E219" t="s">
        <v>15</v>
      </c>
      <c r="F219">
        <v>2.3370000000000002</v>
      </c>
      <c r="G219" t="s">
        <v>16</v>
      </c>
    </row>
    <row r="220" spans="1:7" x14ac:dyDescent="0.25">
      <c r="A220">
        <v>19</v>
      </c>
      <c r="B220" t="s">
        <v>129</v>
      </c>
      <c r="C220">
        <v>30</v>
      </c>
      <c r="D220" t="s">
        <v>18</v>
      </c>
      <c r="E220" t="s">
        <v>15</v>
      </c>
      <c r="F220">
        <v>101.194</v>
      </c>
      <c r="G220" t="s">
        <v>14</v>
      </c>
    </row>
    <row r="221" spans="1:7" x14ac:dyDescent="0.25">
      <c r="A221">
        <v>19</v>
      </c>
      <c r="B221" t="s">
        <v>129</v>
      </c>
      <c r="C221">
        <v>40</v>
      </c>
      <c r="D221" t="s">
        <v>105</v>
      </c>
      <c r="E221" t="s">
        <v>106</v>
      </c>
      <c r="F221">
        <v>0.68600000000000005</v>
      </c>
      <c r="G221" t="s">
        <v>14</v>
      </c>
    </row>
    <row r="222" spans="1:7" x14ac:dyDescent="0.25">
      <c r="A222">
        <v>19</v>
      </c>
      <c r="B222" t="s">
        <v>129</v>
      </c>
      <c r="C222">
        <v>50</v>
      </c>
      <c r="D222" t="s">
        <v>107</v>
      </c>
      <c r="E222" t="s">
        <v>15</v>
      </c>
      <c r="F222">
        <v>12.903</v>
      </c>
      <c r="G222" t="s">
        <v>14</v>
      </c>
    </row>
    <row r="223" spans="1:7" x14ac:dyDescent="0.25">
      <c r="A223">
        <v>19</v>
      </c>
      <c r="B223" t="s">
        <v>129</v>
      </c>
      <c r="C223">
        <v>60</v>
      </c>
      <c r="D223" t="s">
        <v>18</v>
      </c>
      <c r="E223" t="s">
        <v>15</v>
      </c>
      <c r="F223">
        <v>79.355000000000004</v>
      </c>
      <c r="G223" t="s">
        <v>14</v>
      </c>
    </row>
    <row r="224" spans="1:7" x14ac:dyDescent="0.25">
      <c r="A224">
        <v>19</v>
      </c>
      <c r="B224" t="s">
        <v>129</v>
      </c>
      <c r="C224">
        <v>70</v>
      </c>
      <c r="D224" t="s">
        <v>111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129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129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129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129</v>
      </c>
      <c r="C228">
        <v>110</v>
      </c>
      <c r="D228" t="s">
        <v>109</v>
      </c>
      <c r="E228" t="s">
        <v>13</v>
      </c>
      <c r="F228">
        <v>0.39800000000000002</v>
      </c>
      <c r="G228" t="s">
        <v>14</v>
      </c>
    </row>
    <row r="229" spans="1:7" x14ac:dyDescent="0.25">
      <c r="A229">
        <v>19</v>
      </c>
      <c r="B229" t="s">
        <v>129</v>
      </c>
      <c r="C229">
        <v>120</v>
      </c>
      <c r="D229" t="s">
        <v>205</v>
      </c>
      <c r="E229" t="s">
        <v>11</v>
      </c>
      <c r="F229">
        <v>2</v>
      </c>
      <c r="G229" t="s">
        <v>16</v>
      </c>
    </row>
    <row r="230" spans="1:7" x14ac:dyDescent="0.25">
      <c r="A230">
        <v>20</v>
      </c>
      <c r="B230" t="s">
        <v>130</v>
      </c>
      <c r="C230">
        <v>10</v>
      </c>
      <c r="D230" t="s">
        <v>281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130</v>
      </c>
      <c r="C231">
        <v>20</v>
      </c>
      <c r="D231" t="s">
        <v>151</v>
      </c>
      <c r="E231" t="s">
        <v>15</v>
      </c>
      <c r="F231">
        <v>2.6419999999999999</v>
      </c>
      <c r="G231" t="s">
        <v>16</v>
      </c>
    </row>
    <row r="232" spans="1:7" x14ac:dyDescent="0.25">
      <c r="A232">
        <v>20</v>
      </c>
      <c r="B232" t="s">
        <v>130</v>
      </c>
      <c r="C232">
        <v>30</v>
      </c>
      <c r="D232" t="s">
        <v>18</v>
      </c>
      <c r="E232" t="s">
        <v>15</v>
      </c>
      <c r="F232">
        <v>106.07</v>
      </c>
      <c r="G232" t="s">
        <v>14</v>
      </c>
    </row>
    <row r="233" spans="1:7" x14ac:dyDescent="0.25">
      <c r="A233">
        <v>20</v>
      </c>
      <c r="B233" t="s">
        <v>130</v>
      </c>
      <c r="C233">
        <v>40</v>
      </c>
      <c r="D233" t="s">
        <v>105</v>
      </c>
      <c r="E233" t="s">
        <v>106</v>
      </c>
      <c r="F233">
        <v>0.78</v>
      </c>
      <c r="G233" t="s">
        <v>14</v>
      </c>
    </row>
    <row r="234" spans="1:7" x14ac:dyDescent="0.25">
      <c r="A234">
        <v>20</v>
      </c>
      <c r="B234" t="s">
        <v>130</v>
      </c>
      <c r="C234">
        <v>50</v>
      </c>
      <c r="D234" t="s">
        <v>107</v>
      </c>
      <c r="E234" t="s">
        <v>15</v>
      </c>
      <c r="F234">
        <v>13.513</v>
      </c>
      <c r="G234" t="s">
        <v>14</v>
      </c>
    </row>
    <row r="235" spans="1:7" x14ac:dyDescent="0.25">
      <c r="A235">
        <v>20</v>
      </c>
      <c r="B235" t="s">
        <v>130</v>
      </c>
      <c r="C235">
        <v>60</v>
      </c>
      <c r="D235" t="s">
        <v>18</v>
      </c>
      <c r="E235" t="s">
        <v>15</v>
      </c>
      <c r="F235">
        <v>83.103999999999999</v>
      </c>
      <c r="G235" t="s">
        <v>14</v>
      </c>
    </row>
    <row r="236" spans="1:7" x14ac:dyDescent="0.25">
      <c r="A236">
        <v>20</v>
      </c>
      <c r="B236" t="s">
        <v>130</v>
      </c>
      <c r="C236">
        <v>70</v>
      </c>
      <c r="D236" t="s">
        <v>111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130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130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130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130</v>
      </c>
      <c r="C240">
        <v>110</v>
      </c>
      <c r="D240" t="s">
        <v>109</v>
      </c>
      <c r="E240" t="s">
        <v>13</v>
      </c>
      <c r="F240">
        <v>0.443</v>
      </c>
      <c r="G240" t="s">
        <v>14</v>
      </c>
    </row>
    <row r="241" spans="1:7" x14ac:dyDescent="0.25">
      <c r="A241">
        <v>20</v>
      </c>
      <c r="B241" t="s">
        <v>130</v>
      </c>
      <c r="C241">
        <v>120</v>
      </c>
      <c r="D241" t="s">
        <v>206</v>
      </c>
      <c r="E241" t="s">
        <v>11</v>
      </c>
      <c r="F241">
        <v>2</v>
      </c>
      <c r="G241" t="s">
        <v>16</v>
      </c>
    </row>
    <row r="242" spans="1:7" x14ac:dyDescent="0.25">
      <c r="A242">
        <v>21</v>
      </c>
      <c r="B242" t="s">
        <v>131</v>
      </c>
      <c r="C242">
        <v>10</v>
      </c>
      <c r="D242" t="s">
        <v>282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131</v>
      </c>
      <c r="C243">
        <v>20</v>
      </c>
      <c r="D243" t="s">
        <v>151</v>
      </c>
      <c r="E243" t="s">
        <v>15</v>
      </c>
      <c r="F243">
        <v>2.794</v>
      </c>
      <c r="G243" t="s">
        <v>16</v>
      </c>
    </row>
    <row r="244" spans="1:7" x14ac:dyDescent="0.25">
      <c r="A244">
        <v>21</v>
      </c>
      <c r="B244" t="s">
        <v>131</v>
      </c>
      <c r="C244">
        <v>30</v>
      </c>
      <c r="D244" t="s">
        <v>18</v>
      </c>
      <c r="E244" t="s">
        <v>15</v>
      </c>
      <c r="F244">
        <v>108.509</v>
      </c>
      <c r="G244" t="s">
        <v>14</v>
      </c>
    </row>
    <row r="245" spans="1:7" x14ac:dyDescent="0.25">
      <c r="A245">
        <v>21</v>
      </c>
      <c r="B245" t="s">
        <v>131</v>
      </c>
      <c r="C245">
        <v>40</v>
      </c>
      <c r="D245" t="s">
        <v>105</v>
      </c>
      <c r="E245" t="s">
        <v>106</v>
      </c>
      <c r="F245">
        <v>0.82599999999999996</v>
      </c>
      <c r="G245" t="s">
        <v>14</v>
      </c>
    </row>
    <row r="246" spans="1:7" x14ac:dyDescent="0.25">
      <c r="A246">
        <v>21</v>
      </c>
      <c r="B246" t="s">
        <v>131</v>
      </c>
      <c r="C246">
        <v>50</v>
      </c>
      <c r="D246" t="s">
        <v>107</v>
      </c>
      <c r="E246" t="s">
        <v>15</v>
      </c>
      <c r="F246">
        <v>13.818</v>
      </c>
      <c r="G246" t="s">
        <v>14</v>
      </c>
    </row>
    <row r="247" spans="1:7" x14ac:dyDescent="0.25">
      <c r="A247">
        <v>21</v>
      </c>
      <c r="B247" t="s">
        <v>131</v>
      </c>
      <c r="C247">
        <v>60</v>
      </c>
      <c r="D247" t="s">
        <v>18</v>
      </c>
      <c r="E247" t="s">
        <v>15</v>
      </c>
      <c r="F247">
        <v>84.977999999999994</v>
      </c>
      <c r="G247" t="s">
        <v>14</v>
      </c>
    </row>
    <row r="248" spans="1:7" x14ac:dyDescent="0.25">
      <c r="A248">
        <v>21</v>
      </c>
      <c r="B248" t="s">
        <v>131</v>
      </c>
      <c r="C248">
        <v>70</v>
      </c>
      <c r="D248" t="s">
        <v>111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131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131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131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131</v>
      </c>
      <c r="C252">
        <v>110</v>
      </c>
      <c r="D252" t="s">
        <v>109</v>
      </c>
      <c r="E252" t="s">
        <v>13</v>
      </c>
      <c r="F252">
        <v>0.46500000000000002</v>
      </c>
      <c r="G252" t="s">
        <v>14</v>
      </c>
    </row>
    <row r="253" spans="1:7" x14ac:dyDescent="0.25">
      <c r="A253">
        <v>21</v>
      </c>
      <c r="B253" t="s">
        <v>131</v>
      </c>
      <c r="C253">
        <v>120</v>
      </c>
      <c r="D253" t="s">
        <v>207</v>
      </c>
      <c r="E253" t="s">
        <v>11</v>
      </c>
      <c r="F253">
        <v>2</v>
      </c>
      <c r="G253" t="s">
        <v>16</v>
      </c>
    </row>
    <row r="254" spans="1:7" x14ac:dyDescent="0.25">
      <c r="A254">
        <v>22</v>
      </c>
      <c r="B254" t="s">
        <v>132</v>
      </c>
      <c r="C254">
        <v>10</v>
      </c>
      <c r="D254" t="s">
        <v>283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132</v>
      </c>
      <c r="C255">
        <v>20</v>
      </c>
      <c r="D255" t="s">
        <v>151</v>
      </c>
      <c r="E255" t="s">
        <v>15</v>
      </c>
      <c r="F255">
        <v>2.9460000000000002</v>
      </c>
      <c r="G255" t="s">
        <v>16</v>
      </c>
    </row>
    <row r="256" spans="1:7" x14ac:dyDescent="0.25">
      <c r="A256">
        <v>22</v>
      </c>
      <c r="B256" t="s">
        <v>132</v>
      </c>
      <c r="C256">
        <v>30</v>
      </c>
      <c r="D256" t="s">
        <v>18</v>
      </c>
      <c r="E256" t="s">
        <v>15</v>
      </c>
      <c r="F256">
        <v>110.947</v>
      </c>
      <c r="G256" t="s">
        <v>14</v>
      </c>
    </row>
    <row r="257" spans="1:7" x14ac:dyDescent="0.25">
      <c r="A257">
        <v>22</v>
      </c>
      <c r="B257" t="s">
        <v>132</v>
      </c>
      <c r="C257">
        <v>40</v>
      </c>
      <c r="D257" t="s">
        <v>105</v>
      </c>
      <c r="E257" t="s">
        <v>106</v>
      </c>
      <c r="F257">
        <v>0.873</v>
      </c>
      <c r="G257" t="s">
        <v>14</v>
      </c>
    </row>
    <row r="258" spans="1:7" x14ac:dyDescent="0.25">
      <c r="A258">
        <v>22</v>
      </c>
      <c r="B258" t="s">
        <v>132</v>
      </c>
      <c r="C258">
        <v>50</v>
      </c>
      <c r="D258" t="s">
        <v>107</v>
      </c>
      <c r="E258" t="s">
        <v>15</v>
      </c>
      <c r="F258">
        <v>14.122</v>
      </c>
      <c r="G258" t="s">
        <v>14</v>
      </c>
    </row>
    <row r="259" spans="1:7" x14ac:dyDescent="0.25">
      <c r="A259">
        <v>22</v>
      </c>
      <c r="B259" t="s">
        <v>132</v>
      </c>
      <c r="C259">
        <v>60</v>
      </c>
      <c r="D259" t="s">
        <v>18</v>
      </c>
      <c r="E259" t="s">
        <v>15</v>
      </c>
      <c r="F259">
        <v>86.852999999999994</v>
      </c>
      <c r="G259" t="s">
        <v>14</v>
      </c>
    </row>
    <row r="260" spans="1:7" x14ac:dyDescent="0.25">
      <c r="A260">
        <v>22</v>
      </c>
      <c r="B260" t="s">
        <v>132</v>
      </c>
      <c r="C260">
        <v>70</v>
      </c>
      <c r="D260" t="s">
        <v>111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132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132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132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132</v>
      </c>
      <c r="C264">
        <v>110</v>
      </c>
      <c r="D264" t="s">
        <v>109</v>
      </c>
      <c r="E264" t="s">
        <v>13</v>
      </c>
      <c r="F264">
        <v>0.48799999999999999</v>
      </c>
      <c r="G264" t="s">
        <v>14</v>
      </c>
    </row>
    <row r="265" spans="1:7" x14ac:dyDescent="0.25">
      <c r="A265">
        <v>22</v>
      </c>
      <c r="B265" t="s">
        <v>132</v>
      </c>
      <c r="C265">
        <v>120</v>
      </c>
      <c r="D265" t="s">
        <v>208</v>
      </c>
      <c r="E265" t="s">
        <v>11</v>
      </c>
      <c r="F265">
        <v>2</v>
      </c>
      <c r="G265" t="s">
        <v>16</v>
      </c>
    </row>
    <row r="266" spans="1:7" x14ac:dyDescent="0.25">
      <c r="A266">
        <v>23</v>
      </c>
      <c r="B266" t="s">
        <v>133</v>
      </c>
      <c r="C266">
        <v>10</v>
      </c>
      <c r="D266" t="s">
        <v>284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133</v>
      </c>
      <c r="C267">
        <v>20</v>
      </c>
      <c r="D267" t="s">
        <v>151</v>
      </c>
      <c r="E267" t="s">
        <v>15</v>
      </c>
      <c r="F267">
        <v>3.2509999999999999</v>
      </c>
      <c r="G267" t="s">
        <v>16</v>
      </c>
    </row>
    <row r="268" spans="1:7" x14ac:dyDescent="0.25">
      <c r="A268">
        <v>23</v>
      </c>
      <c r="B268" t="s">
        <v>133</v>
      </c>
      <c r="C268">
        <v>30</v>
      </c>
      <c r="D268" t="s">
        <v>18</v>
      </c>
      <c r="E268" t="s">
        <v>15</v>
      </c>
      <c r="F268">
        <v>115.824</v>
      </c>
      <c r="G268" t="s">
        <v>14</v>
      </c>
    </row>
    <row r="269" spans="1:7" x14ac:dyDescent="0.25">
      <c r="A269">
        <v>23</v>
      </c>
      <c r="B269" t="s">
        <v>133</v>
      </c>
      <c r="C269">
        <v>40</v>
      </c>
      <c r="D269" t="s">
        <v>105</v>
      </c>
      <c r="E269" t="s">
        <v>106</v>
      </c>
      <c r="F269">
        <v>0.96699999999999997</v>
      </c>
      <c r="G269" t="s">
        <v>14</v>
      </c>
    </row>
    <row r="270" spans="1:7" x14ac:dyDescent="0.25">
      <c r="A270">
        <v>23</v>
      </c>
      <c r="B270" t="s">
        <v>133</v>
      </c>
      <c r="C270">
        <v>50</v>
      </c>
      <c r="D270" t="s">
        <v>107</v>
      </c>
      <c r="E270" t="s">
        <v>15</v>
      </c>
      <c r="F270">
        <v>14.731999999999999</v>
      </c>
      <c r="G270" t="s">
        <v>14</v>
      </c>
    </row>
    <row r="271" spans="1:7" x14ac:dyDescent="0.25">
      <c r="A271">
        <v>23</v>
      </c>
      <c r="B271" t="s">
        <v>133</v>
      </c>
      <c r="C271">
        <v>60</v>
      </c>
      <c r="D271" t="s">
        <v>18</v>
      </c>
      <c r="E271" t="s">
        <v>15</v>
      </c>
      <c r="F271">
        <v>90.602000000000004</v>
      </c>
      <c r="G271" t="s">
        <v>14</v>
      </c>
    </row>
    <row r="272" spans="1:7" x14ac:dyDescent="0.25">
      <c r="A272">
        <v>23</v>
      </c>
      <c r="B272" t="s">
        <v>133</v>
      </c>
      <c r="C272">
        <v>70</v>
      </c>
      <c r="D272" t="s">
        <v>111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133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133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133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133</v>
      </c>
      <c r="C276">
        <v>110</v>
      </c>
      <c r="D276" t="s">
        <v>109</v>
      </c>
      <c r="E276" t="s">
        <v>13</v>
      </c>
      <c r="F276">
        <v>0.53300000000000003</v>
      </c>
      <c r="G276" t="s">
        <v>14</v>
      </c>
    </row>
    <row r="277" spans="1:7" x14ac:dyDescent="0.25">
      <c r="A277">
        <v>23</v>
      </c>
      <c r="B277" t="s">
        <v>133</v>
      </c>
      <c r="C277">
        <v>120</v>
      </c>
      <c r="D277" t="s">
        <v>209</v>
      </c>
      <c r="E277" t="s">
        <v>11</v>
      </c>
      <c r="F277">
        <v>2</v>
      </c>
      <c r="G277" t="s">
        <v>16</v>
      </c>
    </row>
    <row r="278" spans="1:7" x14ac:dyDescent="0.25">
      <c r="A278">
        <v>24</v>
      </c>
      <c r="B278" t="s">
        <v>134</v>
      </c>
      <c r="C278">
        <v>10</v>
      </c>
      <c r="D278" t="s">
        <v>285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134</v>
      </c>
      <c r="C279">
        <v>20</v>
      </c>
      <c r="D279" t="s">
        <v>151</v>
      </c>
      <c r="E279" t="s">
        <v>15</v>
      </c>
      <c r="F279">
        <v>3.556</v>
      </c>
      <c r="G279" t="s">
        <v>16</v>
      </c>
    </row>
    <row r="280" spans="1:7" x14ac:dyDescent="0.25">
      <c r="A280">
        <v>24</v>
      </c>
      <c r="B280" t="s">
        <v>134</v>
      </c>
      <c r="C280">
        <v>30</v>
      </c>
      <c r="D280" t="s">
        <v>18</v>
      </c>
      <c r="E280" t="s">
        <v>15</v>
      </c>
      <c r="F280">
        <v>120.70099999999999</v>
      </c>
      <c r="G280" t="s">
        <v>14</v>
      </c>
    </row>
    <row r="281" spans="1:7" x14ac:dyDescent="0.25">
      <c r="A281">
        <v>24</v>
      </c>
      <c r="B281" t="s">
        <v>134</v>
      </c>
      <c r="C281">
        <v>40</v>
      </c>
      <c r="D281" t="s">
        <v>105</v>
      </c>
      <c r="E281" t="s">
        <v>106</v>
      </c>
      <c r="F281">
        <v>1.06</v>
      </c>
      <c r="G281" t="s">
        <v>14</v>
      </c>
    </row>
    <row r="282" spans="1:7" x14ac:dyDescent="0.25">
      <c r="A282">
        <v>24</v>
      </c>
      <c r="B282" t="s">
        <v>134</v>
      </c>
      <c r="C282">
        <v>50</v>
      </c>
      <c r="D282" t="s">
        <v>107</v>
      </c>
      <c r="E282" t="s">
        <v>15</v>
      </c>
      <c r="F282">
        <v>15.342000000000001</v>
      </c>
      <c r="G282" t="s">
        <v>14</v>
      </c>
    </row>
    <row r="283" spans="1:7" x14ac:dyDescent="0.25">
      <c r="A283">
        <v>24</v>
      </c>
      <c r="B283" t="s">
        <v>134</v>
      </c>
      <c r="C283">
        <v>60</v>
      </c>
      <c r="D283" t="s">
        <v>18</v>
      </c>
      <c r="E283" t="s">
        <v>15</v>
      </c>
      <c r="F283">
        <v>94.350999999999999</v>
      </c>
      <c r="G283" t="s">
        <v>14</v>
      </c>
    </row>
    <row r="284" spans="1:7" x14ac:dyDescent="0.25">
      <c r="A284">
        <v>24</v>
      </c>
      <c r="B284" t="s">
        <v>134</v>
      </c>
      <c r="C284">
        <v>70</v>
      </c>
      <c r="D284" t="s">
        <v>111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134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134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134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134</v>
      </c>
      <c r="C288">
        <v>110</v>
      </c>
      <c r="D288" t="s">
        <v>109</v>
      </c>
      <c r="E288" t="s">
        <v>13</v>
      </c>
      <c r="F288">
        <v>0.57799999999999996</v>
      </c>
      <c r="G288" t="s">
        <v>14</v>
      </c>
    </row>
    <row r="289" spans="1:7" x14ac:dyDescent="0.25">
      <c r="A289">
        <v>24</v>
      </c>
      <c r="B289" t="s">
        <v>134</v>
      </c>
      <c r="C289">
        <v>120</v>
      </c>
      <c r="D289" t="s">
        <v>210</v>
      </c>
      <c r="E289" t="s">
        <v>11</v>
      </c>
      <c r="F289">
        <v>2</v>
      </c>
      <c r="G289" t="s">
        <v>16</v>
      </c>
    </row>
    <row r="290" spans="1:7" x14ac:dyDescent="0.25">
      <c r="A290">
        <v>25</v>
      </c>
      <c r="B290" t="s">
        <v>135</v>
      </c>
      <c r="C290">
        <v>10</v>
      </c>
      <c r="D290" t="s">
        <v>286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135</v>
      </c>
      <c r="C291">
        <v>20</v>
      </c>
      <c r="D291" t="s">
        <v>151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135</v>
      </c>
      <c r="C292">
        <v>30</v>
      </c>
      <c r="D292" t="s">
        <v>18</v>
      </c>
      <c r="E292" t="s">
        <v>15</v>
      </c>
      <c r="F292">
        <v>93.066000000000003</v>
      </c>
      <c r="G292" t="s">
        <v>14</v>
      </c>
    </row>
    <row r="293" spans="1:7" x14ac:dyDescent="0.25">
      <c r="A293">
        <v>25</v>
      </c>
      <c r="B293" t="s">
        <v>135</v>
      </c>
      <c r="C293">
        <v>40</v>
      </c>
      <c r="D293" t="s">
        <v>105</v>
      </c>
      <c r="E293" t="s">
        <v>106</v>
      </c>
      <c r="F293">
        <v>0.51200000000000001</v>
      </c>
      <c r="G293" t="s">
        <v>14</v>
      </c>
    </row>
    <row r="294" spans="1:7" x14ac:dyDescent="0.25">
      <c r="A294">
        <v>25</v>
      </c>
      <c r="B294" t="s">
        <v>135</v>
      </c>
      <c r="C294">
        <v>50</v>
      </c>
      <c r="D294" t="s">
        <v>107</v>
      </c>
      <c r="E294" t="s">
        <v>15</v>
      </c>
      <c r="F294">
        <v>11.887</v>
      </c>
      <c r="G294" t="s">
        <v>14</v>
      </c>
    </row>
    <row r="295" spans="1:7" x14ac:dyDescent="0.25">
      <c r="A295">
        <v>25</v>
      </c>
      <c r="B295" t="s">
        <v>135</v>
      </c>
      <c r="C295">
        <v>60</v>
      </c>
      <c r="D295" t="s">
        <v>18</v>
      </c>
      <c r="E295" t="s">
        <v>15</v>
      </c>
      <c r="F295">
        <v>73.105999999999995</v>
      </c>
      <c r="G295" t="s">
        <v>14</v>
      </c>
    </row>
    <row r="296" spans="1:7" x14ac:dyDescent="0.25">
      <c r="A296">
        <v>25</v>
      </c>
      <c r="B296" t="s">
        <v>135</v>
      </c>
      <c r="C296">
        <v>70</v>
      </c>
      <c r="D296" t="s">
        <v>111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135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135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135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135</v>
      </c>
      <c r="C300">
        <v>110</v>
      </c>
      <c r="D300" t="s">
        <v>109</v>
      </c>
      <c r="E300" t="s">
        <v>13</v>
      </c>
      <c r="F300">
        <v>0.66100000000000003</v>
      </c>
      <c r="G300" t="s">
        <v>14</v>
      </c>
    </row>
    <row r="301" spans="1:7" x14ac:dyDescent="0.25">
      <c r="A301">
        <v>25</v>
      </c>
      <c r="B301" t="s">
        <v>135</v>
      </c>
      <c r="C301">
        <v>120</v>
      </c>
      <c r="D301" t="s">
        <v>211</v>
      </c>
      <c r="E301" t="s">
        <v>11</v>
      </c>
      <c r="F301">
        <v>2</v>
      </c>
      <c r="G301" t="s">
        <v>16</v>
      </c>
    </row>
    <row r="302" spans="1:7" x14ac:dyDescent="0.25">
      <c r="A302">
        <v>26</v>
      </c>
      <c r="B302" t="s">
        <v>136</v>
      </c>
      <c r="C302">
        <v>10</v>
      </c>
      <c r="D302" t="s">
        <v>287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136</v>
      </c>
      <c r="C303">
        <v>20</v>
      </c>
      <c r="D303" t="s">
        <v>151</v>
      </c>
      <c r="E303" t="s">
        <v>15</v>
      </c>
      <c r="F303">
        <v>4.1150000000000002</v>
      </c>
      <c r="G303" t="s">
        <v>16</v>
      </c>
    </row>
    <row r="304" spans="1:7" x14ac:dyDescent="0.25">
      <c r="A304">
        <v>26</v>
      </c>
      <c r="B304" t="s">
        <v>136</v>
      </c>
      <c r="C304">
        <v>30</v>
      </c>
      <c r="D304" t="s">
        <v>18</v>
      </c>
      <c r="E304" t="s">
        <v>15</v>
      </c>
      <c r="F304">
        <v>97.941999999999993</v>
      </c>
      <c r="G304" t="s">
        <v>14</v>
      </c>
    </row>
    <row r="305" spans="1:7" x14ac:dyDescent="0.25">
      <c r="A305">
        <v>26</v>
      </c>
      <c r="B305" t="s">
        <v>136</v>
      </c>
      <c r="C305">
        <v>40</v>
      </c>
      <c r="D305" t="s">
        <v>105</v>
      </c>
      <c r="E305" t="s">
        <v>106</v>
      </c>
      <c r="F305">
        <v>0.60799999999999998</v>
      </c>
      <c r="G305" t="s">
        <v>14</v>
      </c>
    </row>
    <row r="306" spans="1:7" x14ac:dyDescent="0.25">
      <c r="A306">
        <v>26</v>
      </c>
      <c r="B306" t="s">
        <v>136</v>
      </c>
      <c r="C306">
        <v>50</v>
      </c>
      <c r="D306" t="s">
        <v>107</v>
      </c>
      <c r="E306" t="s">
        <v>15</v>
      </c>
      <c r="F306">
        <v>12.497</v>
      </c>
      <c r="G306" t="s">
        <v>14</v>
      </c>
    </row>
    <row r="307" spans="1:7" x14ac:dyDescent="0.25">
      <c r="A307">
        <v>26</v>
      </c>
      <c r="B307" t="s">
        <v>136</v>
      </c>
      <c r="C307">
        <v>60</v>
      </c>
      <c r="D307" t="s">
        <v>18</v>
      </c>
      <c r="E307" t="s">
        <v>15</v>
      </c>
      <c r="F307">
        <v>76.855000000000004</v>
      </c>
      <c r="G307" t="s">
        <v>14</v>
      </c>
    </row>
    <row r="308" spans="1:7" x14ac:dyDescent="0.25">
      <c r="A308">
        <v>26</v>
      </c>
      <c r="B308" t="s">
        <v>136</v>
      </c>
      <c r="C308">
        <v>70</v>
      </c>
      <c r="D308" t="s">
        <v>111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136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136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136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136</v>
      </c>
      <c r="C312">
        <v>110</v>
      </c>
      <c r="D312" t="s">
        <v>109</v>
      </c>
      <c r="E312" t="s">
        <v>13</v>
      </c>
      <c r="F312">
        <v>0.66100000000000003</v>
      </c>
      <c r="G312" t="s">
        <v>14</v>
      </c>
    </row>
    <row r="313" spans="1:7" x14ac:dyDescent="0.25">
      <c r="A313">
        <v>26</v>
      </c>
      <c r="B313" t="s">
        <v>136</v>
      </c>
      <c r="C313">
        <v>120</v>
      </c>
      <c r="D313" t="s">
        <v>212</v>
      </c>
      <c r="E313" t="s">
        <v>11</v>
      </c>
      <c r="F313">
        <v>2</v>
      </c>
      <c r="G313" t="s">
        <v>16</v>
      </c>
    </row>
    <row r="314" spans="1:7" x14ac:dyDescent="0.25">
      <c r="A314">
        <v>27</v>
      </c>
      <c r="B314" t="s">
        <v>137</v>
      </c>
      <c r="C314">
        <v>10</v>
      </c>
      <c r="D314" t="s">
        <v>288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137</v>
      </c>
      <c r="C315">
        <v>20</v>
      </c>
      <c r="D315" t="s">
        <v>151</v>
      </c>
      <c r="E315" t="s">
        <v>15</v>
      </c>
      <c r="F315">
        <v>4.1150000000000002</v>
      </c>
      <c r="G315" t="s">
        <v>16</v>
      </c>
    </row>
    <row r="316" spans="1:7" x14ac:dyDescent="0.25">
      <c r="A316">
        <v>27</v>
      </c>
      <c r="B316" t="s">
        <v>137</v>
      </c>
      <c r="C316">
        <v>30</v>
      </c>
      <c r="D316" t="s">
        <v>18</v>
      </c>
      <c r="E316" t="s">
        <v>15</v>
      </c>
      <c r="F316">
        <v>102.819</v>
      </c>
      <c r="G316" t="s">
        <v>14</v>
      </c>
    </row>
    <row r="317" spans="1:7" x14ac:dyDescent="0.25">
      <c r="A317">
        <v>27</v>
      </c>
      <c r="B317" t="s">
        <v>137</v>
      </c>
      <c r="C317">
        <v>40</v>
      </c>
      <c r="D317" t="s">
        <v>105</v>
      </c>
      <c r="E317" t="s">
        <v>106</v>
      </c>
      <c r="F317">
        <v>0.70399999999999996</v>
      </c>
      <c r="G317" t="s">
        <v>14</v>
      </c>
    </row>
    <row r="318" spans="1:7" x14ac:dyDescent="0.25">
      <c r="A318">
        <v>27</v>
      </c>
      <c r="B318" t="s">
        <v>137</v>
      </c>
      <c r="C318">
        <v>50</v>
      </c>
      <c r="D318" t="s">
        <v>107</v>
      </c>
      <c r="E318" t="s">
        <v>15</v>
      </c>
      <c r="F318">
        <v>13.106</v>
      </c>
      <c r="G318" t="s">
        <v>14</v>
      </c>
    </row>
    <row r="319" spans="1:7" x14ac:dyDescent="0.25">
      <c r="A319">
        <v>27</v>
      </c>
      <c r="B319" t="s">
        <v>137</v>
      </c>
      <c r="C319">
        <v>60</v>
      </c>
      <c r="D319" t="s">
        <v>18</v>
      </c>
      <c r="E319" t="s">
        <v>15</v>
      </c>
      <c r="F319">
        <v>80.603999999999999</v>
      </c>
      <c r="G319" t="s">
        <v>14</v>
      </c>
    </row>
    <row r="320" spans="1:7" x14ac:dyDescent="0.25">
      <c r="A320">
        <v>27</v>
      </c>
      <c r="B320" t="s">
        <v>137</v>
      </c>
      <c r="C320">
        <v>70</v>
      </c>
      <c r="D320" t="s">
        <v>111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137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137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137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137</v>
      </c>
      <c r="C324">
        <v>110</v>
      </c>
      <c r="D324" t="s">
        <v>109</v>
      </c>
      <c r="E324" t="s">
        <v>13</v>
      </c>
      <c r="F324">
        <v>0.66100000000000003</v>
      </c>
      <c r="G324" t="s">
        <v>14</v>
      </c>
    </row>
    <row r="325" spans="1:7" x14ac:dyDescent="0.25">
      <c r="A325">
        <v>27</v>
      </c>
      <c r="B325" t="s">
        <v>137</v>
      </c>
      <c r="C325">
        <v>120</v>
      </c>
      <c r="D325" t="s">
        <v>213</v>
      </c>
      <c r="E325" t="s">
        <v>11</v>
      </c>
      <c r="F325">
        <v>2</v>
      </c>
      <c r="G325" t="s">
        <v>16</v>
      </c>
    </row>
    <row r="326" spans="1:7" x14ac:dyDescent="0.25">
      <c r="A326">
        <v>28</v>
      </c>
      <c r="B326" t="s">
        <v>138</v>
      </c>
      <c r="C326">
        <v>10</v>
      </c>
      <c r="D326" t="s">
        <v>289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138</v>
      </c>
      <c r="C327">
        <v>20</v>
      </c>
      <c r="D327" t="s">
        <v>151</v>
      </c>
      <c r="E327" t="s">
        <v>15</v>
      </c>
      <c r="F327">
        <v>4.1150000000000002</v>
      </c>
      <c r="G327" t="s">
        <v>16</v>
      </c>
    </row>
    <row r="328" spans="1:7" x14ac:dyDescent="0.25">
      <c r="A328">
        <v>28</v>
      </c>
      <c r="B328" t="s">
        <v>138</v>
      </c>
      <c r="C328">
        <v>30</v>
      </c>
      <c r="D328" t="s">
        <v>18</v>
      </c>
      <c r="E328" t="s">
        <v>15</v>
      </c>
      <c r="F328">
        <v>107.696</v>
      </c>
      <c r="G328" t="s">
        <v>14</v>
      </c>
    </row>
    <row r="329" spans="1:7" x14ac:dyDescent="0.25">
      <c r="A329">
        <v>28</v>
      </c>
      <c r="B329" t="s">
        <v>138</v>
      </c>
      <c r="C329">
        <v>40</v>
      </c>
      <c r="D329" t="s">
        <v>105</v>
      </c>
      <c r="E329" t="s">
        <v>106</v>
      </c>
      <c r="F329">
        <v>0.8</v>
      </c>
      <c r="G329" t="s">
        <v>14</v>
      </c>
    </row>
    <row r="330" spans="1:7" x14ac:dyDescent="0.25">
      <c r="A330">
        <v>28</v>
      </c>
      <c r="B330" t="s">
        <v>138</v>
      </c>
      <c r="C330">
        <v>50</v>
      </c>
      <c r="D330" t="s">
        <v>107</v>
      </c>
      <c r="E330" t="s">
        <v>15</v>
      </c>
      <c r="F330">
        <v>13.715999999999999</v>
      </c>
      <c r="G330" t="s">
        <v>14</v>
      </c>
    </row>
    <row r="331" spans="1:7" x14ac:dyDescent="0.25">
      <c r="A331">
        <v>28</v>
      </c>
      <c r="B331" t="s">
        <v>138</v>
      </c>
      <c r="C331">
        <v>60</v>
      </c>
      <c r="D331" t="s">
        <v>18</v>
      </c>
      <c r="E331" t="s">
        <v>15</v>
      </c>
      <c r="F331">
        <v>84.352999999999994</v>
      </c>
      <c r="G331" t="s">
        <v>14</v>
      </c>
    </row>
    <row r="332" spans="1:7" x14ac:dyDescent="0.25">
      <c r="A332">
        <v>28</v>
      </c>
      <c r="B332" t="s">
        <v>138</v>
      </c>
      <c r="C332">
        <v>70</v>
      </c>
      <c r="D332" t="s">
        <v>111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138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138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138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138</v>
      </c>
      <c r="C336">
        <v>110</v>
      </c>
      <c r="D336" t="s">
        <v>109</v>
      </c>
      <c r="E336" t="s">
        <v>13</v>
      </c>
      <c r="F336">
        <v>0.66100000000000003</v>
      </c>
      <c r="G336" t="s">
        <v>14</v>
      </c>
    </row>
    <row r="337" spans="1:7" x14ac:dyDescent="0.25">
      <c r="A337">
        <v>28</v>
      </c>
      <c r="B337" t="s">
        <v>138</v>
      </c>
      <c r="C337">
        <v>120</v>
      </c>
      <c r="D337" t="s">
        <v>214</v>
      </c>
      <c r="E337" t="s">
        <v>11</v>
      </c>
      <c r="F337">
        <v>2</v>
      </c>
      <c r="G337" t="s">
        <v>16</v>
      </c>
    </row>
    <row r="338" spans="1:7" x14ac:dyDescent="0.25">
      <c r="A338">
        <v>29</v>
      </c>
      <c r="B338" t="s">
        <v>139</v>
      </c>
      <c r="C338">
        <v>10</v>
      </c>
      <c r="D338" t="s">
        <v>290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139</v>
      </c>
      <c r="C339">
        <v>20</v>
      </c>
      <c r="D339" t="s">
        <v>151</v>
      </c>
      <c r="E339" t="s">
        <v>15</v>
      </c>
      <c r="F339">
        <v>4.1150000000000002</v>
      </c>
      <c r="G339" t="s">
        <v>16</v>
      </c>
    </row>
    <row r="340" spans="1:7" x14ac:dyDescent="0.25">
      <c r="A340">
        <v>29</v>
      </c>
      <c r="B340" t="s">
        <v>139</v>
      </c>
      <c r="C340">
        <v>30</v>
      </c>
      <c r="D340" t="s">
        <v>18</v>
      </c>
      <c r="E340" t="s">
        <v>15</v>
      </c>
      <c r="F340">
        <v>110.134</v>
      </c>
      <c r="G340" t="s">
        <v>14</v>
      </c>
    </row>
    <row r="341" spans="1:7" x14ac:dyDescent="0.25">
      <c r="A341">
        <v>29</v>
      </c>
      <c r="B341" t="s">
        <v>139</v>
      </c>
      <c r="C341">
        <v>40</v>
      </c>
      <c r="D341" t="s">
        <v>105</v>
      </c>
      <c r="E341" t="s">
        <v>106</v>
      </c>
      <c r="F341">
        <v>0.84799999999999998</v>
      </c>
      <c r="G341" t="s">
        <v>14</v>
      </c>
    </row>
    <row r="342" spans="1:7" x14ac:dyDescent="0.25">
      <c r="A342">
        <v>29</v>
      </c>
      <c r="B342" t="s">
        <v>139</v>
      </c>
      <c r="C342">
        <v>50</v>
      </c>
      <c r="D342" t="s">
        <v>107</v>
      </c>
      <c r="E342" t="s">
        <v>15</v>
      </c>
      <c r="F342">
        <v>14.021000000000001</v>
      </c>
      <c r="G342" t="s">
        <v>14</v>
      </c>
    </row>
    <row r="343" spans="1:7" x14ac:dyDescent="0.25">
      <c r="A343">
        <v>29</v>
      </c>
      <c r="B343" t="s">
        <v>139</v>
      </c>
      <c r="C343">
        <v>60</v>
      </c>
      <c r="D343" t="s">
        <v>18</v>
      </c>
      <c r="E343" t="s">
        <v>15</v>
      </c>
      <c r="F343">
        <v>86.227999999999994</v>
      </c>
      <c r="G343" t="s">
        <v>14</v>
      </c>
    </row>
    <row r="344" spans="1:7" x14ac:dyDescent="0.25">
      <c r="A344">
        <v>29</v>
      </c>
      <c r="B344" t="s">
        <v>139</v>
      </c>
      <c r="C344">
        <v>70</v>
      </c>
      <c r="D344" t="s">
        <v>111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139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139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139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139</v>
      </c>
      <c r="C348">
        <v>110</v>
      </c>
      <c r="D348" t="s">
        <v>109</v>
      </c>
      <c r="E348" t="s">
        <v>13</v>
      </c>
      <c r="F348">
        <v>0.66100000000000003</v>
      </c>
      <c r="G348" t="s">
        <v>14</v>
      </c>
    </row>
    <row r="349" spans="1:7" x14ac:dyDescent="0.25">
      <c r="A349">
        <v>29</v>
      </c>
      <c r="B349" t="s">
        <v>139</v>
      </c>
      <c r="C349">
        <v>120</v>
      </c>
      <c r="D349" t="s">
        <v>215</v>
      </c>
      <c r="E349" t="s">
        <v>11</v>
      </c>
      <c r="F349">
        <v>2</v>
      </c>
      <c r="G349" t="s">
        <v>16</v>
      </c>
    </row>
    <row r="350" spans="1:7" x14ac:dyDescent="0.25">
      <c r="A350">
        <v>30</v>
      </c>
      <c r="B350" t="s">
        <v>140</v>
      </c>
      <c r="C350">
        <v>10</v>
      </c>
      <c r="D350" t="s">
        <v>291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140</v>
      </c>
      <c r="C351">
        <v>20</v>
      </c>
      <c r="D351" t="s">
        <v>151</v>
      </c>
      <c r="E351" t="s">
        <v>15</v>
      </c>
      <c r="F351">
        <v>4.1150000000000002</v>
      </c>
      <c r="G351" t="s">
        <v>16</v>
      </c>
    </row>
    <row r="352" spans="1:7" x14ac:dyDescent="0.25">
      <c r="A352">
        <v>30</v>
      </c>
      <c r="B352" t="s">
        <v>140</v>
      </c>
      <c r="C352">
        <v>30</v>
      </c>
      <c r="D352" t="s">
        <v>18</v>
      </c>
      <c r="E352" t="s">
        <v>15</v>
      </c>
      <c r="F352">
        <v>112.57299999999999</v>
      </c>
      <c r="G352" t="s">
        <v>14</v>
      </c>
    </row>
    <row r="353" spans="1:7" x14ac:dyDescent="0.25">
      <c r="A353">
        <v>30</v>
      </c>
      <c r="B353" t="s">
        <v>140</v>
      </c>
      <c r="C353">
        <v>40</v>
      </c>
      <c r="D353" t="s">
        <v>105</v>
      </c>
      <c r="E353" t="s">
        <v>106</v>
      </c>
      <c r="F353">
        <v>0.89600000000000002</v>
      </c>
      <c r="G353" t="s">
        <v>14</v>
      </c>
    </row>
    <row r="354" spans="1:7" x14ac:dyDescent="0.25">
      <c r="A354">
        <v>30</v>
      </c>
      <c r="B354" t="s">
        <v>140</v>
      </c>
      <c r="C354">
        <v>50</v>
      </c>
      <c r="D354" t="s">
        <v>107</v>
      </c>
      <c r="E354" t="s">
        <v>15</v>
      </c>
      <c r="F354">
        <v>14.326000000000001</v>
      </c>
      <c r="G354" t="s">
        <v>14</v>
      </c>
    </row>
    <row r="355" spans="1:7" x14ac:dyDescent="0.25">
      <c r="A355">
        <v>30</v>
      </c>
      <c r="B355" t="s">
        <v>140</v>
      </c>
      <c r="C355">
        <v>60</v>
      </c>
      <c r="D355" t="s">
        <v>18</v>
      </c>
      <c r="E355" t="s">
        <v>15</v>
      </c>
      <c r="F355">
        <v>88.102000000000004</v>
      </c>
      <c r="G355" t="s">
        <v>14</v>
      </c>
    </row>
    <row r="356" spans="1:7" x14ac:dyDescent="0.25">
      <c r="A356">
        <v>30</v>
      </c>
      <c r="B356" t="s">
        <v>140</v>
      </c>
      <c r="C356">
        <v>70</v>
      </c>
      <c r="D356" t="s">
        <v>111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140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140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140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140</v>
      </c>
      <c r="C360">
        <v>110</v>
      </c>
      <c r="D360" t="s">
        <v>109</v>
      </c>
      <c r="E360" t="s">
        <v>13</v>
      </c>
      <c r="F360">
        <v>0.66100000000000003</v>
      </c>
      <c r="G360" t="s">
        <v>14</v>
      </c>
    </row>
    <row r="361" spans="1:7" x14ac:dyDescent="0.25">
      <c r="A361">
        <v>30</v>
      </c>
      <c r="B361" t="s">
        <v>140</v>
      </c>
      <c r="C361">
        <v>120</v>
      </c>
      <c r="D361" t="s">
        <v>216</v>
      </c>
      <c r="E361" t="s">
        <v>11</v>
      </c>
      <c r="F361">
        <v>2</v>
      </c>
      <c r="G361" t="s">
        <v>16</v>
      </c>
    </row>
    <row r="362" spans="1:7" x14ac:dyDescent="0.25">
      <c r="A362">
        <v>31</v>
      </c>
      <c r="B362" t="s">
        <v>141</v>
      </c>
      <c r="C362">
        <v>10</v>
      </c>
      <c r="D362" t="s">
        <v>292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141</v>
      </c>
      <c r="C363">
        <v>20</v>
      </c>
      <c r="D363" t="s">
        <v>151</v>
      </c>
      <c r="E363" t="s">
        <v>15</v>
      </c>
      <c r="F363">
        <v>4.1150000000000002</v>
      </c>
      <c r="G363" t="s">
        <v>16</v>
      </c>
    </row>
    <row r="364" spans="1:7" x14ac:dyDescent="0.25">
      <c r="A364">
        <v>31</v>
      </c>
      <c r="B364" t="s">
        <v>141</v>
      </c>
      <c r="C364">
        <v>30</v>
      </c>
      <c r="D364" t="s">
        <v>18</v>
      </c>
      <c r="E364" t="s">
        <v>15</v>
      </c>
      <c r="F364">
        <v>117.45</v>
      </c>
      <c r="G364" t="s">
        <v>14</v>
      </c>
    </row>
    <row r="365" spans="1:7" x14ac:dyDescent="0.25">
      <c r="A365">
        <v>31</v>
      </c>
      <c r="B365" t="s">
        <v>141</v>
      </c>
      <c r="C365">
        <v>40</v>
      </c>
      <c r="D365" t="s">
        <v>105</v>
      </c>
      <c r="E365" t="s">
        <v>106</v>
      </c>
      <c r="F365">
        <v>0.99199999999999999</v>
      </c>
      <c r="G365" t="s">
        <v>14</v>
      </c>
    </row>
    <row r="366" spans="1:7" x14ac:dyDescent="0.25">
      <c r="A366">
        <v>31</v>
      </c>
      <c r="B366" t="s">
        <v>141</v>
      </c>
      <c r="C366">
        <v>50</v>
      </c>
      <c r="D366" t="s">
        <v>107</v>
      </c>
      <c r="E366" t="s">
        <v>15</v>
      </c>
      <c r="F366">
        <v>14.935</v>
      </c>
      <c r="G366" t="s">
        <v>14</v>
      </c>
    </row>
    <row r="367" spans="1:7" x14ac:dyDescent="0.25">
      <c r="A367">
        <v>31</v>
      </c>
      <c r="B367" t="s">
        <v>141</v>
      </c>
      <c r="C367">
        <v>60</v>
      </c>
      <c r="D367" t="s">
        <v>18</v>
      </c>
      <c r="E367" t="s">
        <v>15</v>
      </c>
      <c r="F367">
        <v>91.850999999999999</v>
      </c>
      <c r="G367" t="s">
        <v>14</v>
      </c>
    </row>
    <row r="368" spans="1:7" x14ac:dyDescent="0.25">
      <c r="A368">
        <v>31</v>
      </c>
      <c r="B368" t="s">
        <v>141</v>
      </c>
      <c r="C368">
        <v>70</v>
      </c>
      <c r="D368" t="s">
        <v>111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141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141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141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141</v>
      </c>
      <c r="C372">
        <v>110</v>
      </c>
      <c r="D372" t="s">
        <v>109</v>
      </c>
      <c r="E372" t="s">
        <v>13</v>
      </c>
      <c r="F372">
        <v>0.66100000000000003</v>
      </c>
      <c r="G372" t="s">
        <v>14</v>
      </c>
    </row>
    <row r="373" spans="1:7" x14ac:dyDescent="0.25">
      <c r="A373">
        <v>31</v>
      </c>
      <c r="B373" t="s">
        <v>141</v>
      </c>
      <c r="C373">
        <v>120</v>
      </c>
      <c r="D373" t="s">
        <v>217</v>
      </c>
      <c r="E373" t="s">
        <v>11</v>
      </c>
      <c r="F373">
        <v>2</v>
      </c>
      <c r="G373" t="s">
        <v>16</v>
      </c>
    </row>
    <row r="374" spans="1:7" x14ac:dyDescent="0.25">
      <c r="A374">
        <v>32</v>
      </c>
      <c r="B374" t="s">
        <v>142</v>
      </c>
      <c r="C374">
        <v>10</v>
      </c>
      <c r="D374" t="s">
        <v>293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142</v>
      </c>
      <c r="C375">
        <v>20</v>
      </c>
      <c r="D375" t="s">
        <v>151</v>
      </c>
      <c r="E375" t="s">
        <v>15</v>
      </c>
      <c r="F375">
        <v>4.1150000000000002</v>
      </c>
      <c r="G375" t="s">
        <v>16</v>
      </c>
    </row>
    <row r="376" spans="1:7" x14ac:dyDescent="0.25">
      <c r="A376">
        <v>32</v>
      </c>
      <c r="B376" t="s">
        <v>142</v>
      </c>
      <c r="C376">
        <v>30</v>
      </c>
      <c r="D376" t="s">
        <v>18</v>
      </c>
      <c r="E376" t="s">
        <v>15</v>
      </c>
      <c r="F376">
        <v>122.32599999999999</v>
      </c>
      <c r="G376" t="s">
        <v>14</v>
      </c>
    </row>
    <row r="377" spans="1:7" x14ac:dyDescent="0.25">
      <c r="A377">
        <v>32</v>
      </c>
      <c r="B377" t="s">
        <v>142</v>
      </c>
      <c r="C377">
        <v>40</v>
      </c>
      <c r="D377" t="s">
        <v>105</v>
      </c>
      <c r="E377" t="s">
        <v>106</v>
      </c>
      <c r="F377">
        <v>1.0880000000000001</v>
      </c>
      <c r="G377" t="s">
        <v>14</v>
      </c>
    </row>
    <row r="378" spans="1:7" x14ac:dyDescent="0.25">
      <c r="A378">
        <v>32</v>
      </c>
      <c r="B378" t="s">
        <v>142</v>
      </c>
      <c r="C378">
        <v>50</v>
      </c>
      <c r="D378" t="s">
        <v>107</v>
      </c>
      <c r="E378" t="s">
        <v>15</v>
      </c>
      <c r="F378">
        <v>15.545</v>
      </c>
      <c r="G378" t="s">
        <v>14</v>
      </c>
    </row>
    <row r="379" spans="1:7" x14ac:dyDescent="0.25">
      <c r="A379">
        <v>32</v>
      </c>
      <c r="B379" t="s">
        <v>142</v>
      </c>
      <c r="C379">
        <v>60</v>
      </c>
      <c r="D379" t="s">
        <v>18</v>
      </c>
      <c r="E379" t="s">
        <v>15</v>
      </c>
      <c r="F379">
        <v>95.600999999999999</v>
      </c>
      <c r="G379" t="s">
        <v>14</v>
      </c>
    </row>
    <row r="380" spans="1:7" x14ac:dyDescent="0.25">
      <c r="A380">
        <v>32</v>
      </c>
      <c r="B380" t="s">
        <v>142</v>
      </c>
      <c r="C380">
        <v>70</v>
      </c>
      <c r="D380" t="s">
        <v>111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142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142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142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142</v>
      </c>
      <c r="C384">
        <v>110</v>
      </c>
      <c r="D384" t="s">
        <v>109</v>
      </c>
      <c r="E384" t="s">
        <v>13</v>
      </c>
      <c r="F384">
        <v>0.66100000000000003</v>
      </c>
      <c r="G384" t="s">
        <v>14</v>
      </c>
    </row>
    <row r="385" spans="1:7" x14ac:dyDescent="0.25">
      <c r="A385">
        <v>32</v>
      </c>
      <c r="B385" t="s">
        <v>142</v>
      </c>
      <c r="C385">
        <v>120</v>
      </c>
      <c r="D385" t="s">
        <v>218</v>
      </c>
      <c r="E385" t="s">
        <v>11</v>
      </c>
      <c r="F385">
        <v>2</v>
      </c>
      <c r="G385" t="s">
        <v>16</v>
      </c>
    </row>
    <row r="386" spans="1:7" x14ac:dyDescent="0.25">
      <c r="A386">
        <v>33</v>
      </c>
      <c r="B386" t="s">
        <v>143</v>
      </c>
      <c r="C386">
        <v>10</v>
      </c>
      <c r="D386" t="s">
        <v>294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143</v>
      </c>
      <c r="C387">
        <v>20</v>
      </c>
      <c r="D387" t="s">
        <v>151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143</v>
      </c>
      <c r="C388">
        <v>30</v>
      </c>
      <c r="D388" t="s">
        <v>18</v>
      </c>
      <c r="E388" t="s">
        <v>15</v>
      </c>
      <c r="F388">
        <v>96.316999999999993</v>
      </c>
      <c r="G388" t="s">
        <v>14</v>
      </c>
    </row>
    <row r="389" spans="1:7" x14ac:dyDescent="0.25">
      <c r="A389">
        <v>33</v>
      </c>
      <c r="B389" t="s">
        <v>143</v>
      </c>
      <c r="C389">
        <v>40</v>
      </c>
      <c r="D389" t="s">
        <v>105</v>
      </c>
      <c r="E389" t="s">
        <v>106</v>
      </c>
      <c r="F389">
        <v>0.53800000000000003</v>
      </c>
      <c r="G389" t="s">
        <v>14</v>
      </c>
    </row>
    <row r="390" spans="1:7" x14ac:dyDescent="0.25">
      <c r="A390">
        <v>33</v>
      </c>
      <c r="B390" t="s">
        <v>143</v>
      </c>
      <c r="C390">
        <v>50</v>
      </c>
      <c r="D390" t="s">
        <v>107</v>
      </c>
      <c r="E390" t="s">
        <v>15</v>
      </c>
      <c r="F390">
        <v>12.294</v>
      </c>
      <c r="G390" t="s">
        <v>14</v>
      </c>
    </row>
    <row r="391" spans="1:7" x14ac:dyDescent="0.25">
      <c r="A391">
        <v>33</v>
      </c>
      <c r="B391" t="s">
        <v>143</v>
      </c>
      <c r="C391">
        <v>60</v>
      </c>
      <c r="D391" t="s">
        <v>18</v>
      </c>
      <c r="E391" t="s">
        <v>15</v>
      </c>
      <c r="F391">
        <v>75.605999999999995</v>
      </c>
      <c r="G391" t="s">
        <v>14</v>
      </c>
    </row>
    <row r="392" spans="1:7" x14ac:dyDescent="0.25">
      <c r="A392">
        <v>33</v>
      </c>
      <c r="B392" t="s">
        <v>143</v>
      </c>
      <c r="C392">
        <v>70</v>
      </c>
      <c r="D392" t="s">
        <v>111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143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143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143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143</v>
      </c>
      <c r="C396">
        <v>110</v>
      </c>
      <c r="D396" t="s">
        <v>109</v>
      </c>
      <c r="E396" t="s">
        <v>13</v>
      </c>
      <c r="F396">
        <v>0.69099999999999995</v>
      </c>
      <c r="G396" t="s">
        <v>14</v>
      </c>
    </row>
    <row r="397" spans="1:7" x14ac:dyDescent="0.25">
      <c r="A397">
        <v>33</v>
      </c>
      <c r="B397" t="s">
        <v>143</v>
      </c>
      <c r="C397">
        <v>120</v>
      </c>
      <c r="D397" t="s">
        <v>219</v>
      </c>
      <c r="E397" t="s">
        <v>11</v>
      </c>
      <c r="F397">
        <v>2</v>
      </c>
      <c r="G397" t="s">
        <v>16</v>
      </c>
    </row>
    <row r="398" spans="1:7" x14ac:dyDescent="0.25">
      <c r="A398">
        <v>34</v>
      </c>
      <c r="B398" t="s">
        <v>144</v>
      </c>
      <c r="C398">
        <v>10</v>
      </c>
      <c r="D398" t="s">
        <v>295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144</v>
      </c>
      <c r="C399">
        <v>20</v>
      </c>
      <c r="D399" t="s">
        <v>151</v>
      </c>
      <c r="E399" t="s">
        <v>15</v>
      </c>
      <c r="F399">
        <v>4.3179999999999996</v>
      </c>
      <c r="G399" t="s">
        <v>16</v>
      </c>
    </row>
    <row r="400" spans="1:7" x14ac:dyDescent="0.25">
      <c r="A400">
        <v>34</v>
      </c>
      <c r="B400" t="s">
        <v>144</v>
      </c>
      <c r="C400">
        <v>30</v>
      </c>
      <c r="D400" t="s">
        <v>18</v>
      </c>
      <c r="E400" t="s">
        <v>15</v>
      </c>
      <c r="F400">
        <v>101.194</v>
      </c>
      <c r="G400" t="s">
        <v>14</v>
      </c>
    </row>
    <row r="401" spans="1:7" x14ac:dyDescent="0.25">
      <c r="A401">
        <v>34</v>
      </c>
      <c r="B401" t="s">
        <v>144</v>
      </c>
      <c r="C401">
        <v>40</v>
      </c>
      <c r="D401" t="s">
        <v>105</v>
      </c>
      <c r="E401" t="s">
        <v>106</v>
      </c>
      <c r="F401">
        <v>0.63900000000000001</v>
      </c>
      <c r="G401" t="s">
        <v>14</v>
      </c>
    </row>
    <row r="402" spans="1:7" x14ac:dyDescent="0.25">
      <c r="A402">
        <v>34</v>
      </c>
      <c r="B402" t="s">
        <v>144</v>
      </c>
      <c r="C402">
        <v>50</v>
      </c>
      <c r="D402" t="s">
        <v>107</v>
      </c>
      <c r="E402" t="s">
        <v>15</v>
      </c>
      <c r="F402">
        <v>12.903</v>
      </c>
      <c r="G402" t="s">
        <v>14</v>
      </c>
    </row>
    <row r="403" spans="1:7" x14ac:dyDescent="0.25">
      <c r="A403">
        <v>34</v>
      </c>
      <c r="B403" t="s">
        <v>144</v>
      </c>
      <c r="C403">
        <v>60</v>
      </c>
      <c r="D403" t="s">
        <v>18</v>
      </c>
      <c r="E403" t="s">
        <v>15</v>
      </c>
      <c r="F403">
        <v>79.355000000000004</v>
      </c>
      <c r="G403" t="s">
        <v>14</v>
      </c>
    </row>
    <row r="404" spans="1:7" x14ac:dyDescent="0.25">
      <c r="A404">
        <v>34</v>
      </c>
      <c r="B404" t="s">
        <v>144</v>
      </c>
      <c r="C404">
        <v>70</v>
      </c>
      <c r="D404" t="s">
        <v>111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144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144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144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144</v>
      </c>
      <c r="C408">
        <v>110</v>
      </c>
      <c r="D408" t="s">
        <v>109</v>
      </c>
      <c r="E408" t="s">
        <v>13</v>
      </c>
      <c r="F408">
        <v>0.69099999999999995</v>
      </c>
      <c r="G408" t="s">
        <v>14</v>
      </c>
    </row>
    <row r="409" spans="1:7" x14ac:dyDescent="0.25">
      <c r="A409">
        <v>34</v>
      </c>
      <c r="B409" t="s">
        <v>144</v>
      </c>
      <c r="C409">
        <v>120</v>
      </c>
      <c r="D409" t="s">
        <v>220</v>
      </c>
      <c r="E409" t="s">
        <v>11</v>
      </c>
      <c r="F409">
        <v>2</v>
      </c>
      <c r="G409" t="s">
        <v>16</v>
      </c>
    </row>
    <row r="410" spans="1:7" x14ac:dyDescent="0.25">
      <c r="A410">
        <v>35</v>
      </c>
      <c r="B410" t="s">
        <v>145</v>
      </c>
      <c r="C410">
        <v>10</v>
      </c>
      <c r="D410" t="s">
        <v>296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145</v>
      </c>
      <c r="C411">
        <v>20</v>
      </c>
      <c r="D411" t="s">
        <v>151</v>
      </c>
      <c r="E411" t="s">
        <v>15</v>
      </c>
      <c r="F411">
        <v>4.3179999999999996</v>
      </c>
      <c r="G411" t="s">
        <v>16</v>
      </c>
    </row>
    <row r="412" spans="1:7" x14ac:dyDescent="0.25">
      <c r="A412">
        <v>35</v>
      </c>
      <c r="B412" t="s">
        <v>145</v>
      </c>
      <c r="C412">
        <v>30</v>
      </c>
      <c r="D412" t="s">
        <v>18</v>
      </c>
      <c r="E412" t="s">
        <v>15</v>
      </c>
      <c r="F412">
        <v>106.07</v>
      </c>
      <c r="G412" t="s">
        <v>14</v>
      </c>
    </row>
    <row r="413" spans="1:7" x14ac:dyDescent="0.25">
      <c r="A413">
        <v>35</v>
      </c>
      <c r="B413" t="s">
        <v>145</v>
      </c>
      <c r="C413">
        <v>40</v>
      </c>
      <c r="D413" t="s">
        <v>105</v>
      </c>
      <c r="E413" t="s">
        <v>106</v>
      </c>
      <c r="F413">
        <v>0.74</v>
      </c>
      <c r="G413" t="s">
        <v>14</v>
      </c>
    </row>
    <row r="414" spans="1:7" x14ac:dyDescent="0.25">
      <c r="A414">
        <v>35</v>
      </c>
      <c r="B414" t="s">
        <v>145</v>
      </c>
      <c r="C414">
        <v>50</v>
      </c>
      <c r="D414" t="s">
        <v>107</v>
      </c>
      <c r="E414" t="s">
        <v>15</v>
      </c>
      <c r="F414">
        <v>13.513</v>
      </c>
      <c r="G414" t="s">
        <v>14</v>
      </c>
    </row>
    <row r="415" spans="1:7" x14ac:dyDescent="0.25">
      <c r="A415">
        <v>35</v>
      </c>
      <c r="B415" t="s">
        <v>145</v>
      </c>
      <c r="C415">
        <v>60</v>
      </c>
      <c r="D415" t="s">
        <v>18</v>
      </c>
      <c r="E415" t="s">
        <v>15</v>
      </c>
      <c r="F415">
        <v>83.103999999999999</v>
      </c>
      <c r="G415" t="s">
        <v>14</v>
      </c>
    </row>
    <row r="416" spans="1:7" x14ac:dyDescent="0.25">
      <c r="A416">
        <v>35</v>
      </c>
      <c r="B416" t="s">
        <v>145</v>
      </c>
      <c r="C416">
        <v>70</v>
      </c>
      <c r="D416" t="s">
        <v>111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145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145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145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145</v>
      </c>
      <c r="C420">
        <v>110</v>
      </c>
      <c r="D420" t="s">
        <v>109</v>
      </c>
      <c r="E420" t="s">
        <v>13</v>
      </c>
      <c r="F420">
        <v>0.69099999999999995</v>
      </c>
      <c r="G420" t="s">
        <v>14</v>
      </c>
    </row>
    <row r="421" spans="1:7" x14ac:dyDescent="0.25">
      <c r="A421">
        <v>35</v>
      </c>
      <c r="B421" t="s">
        <v>145</v>
      </c>
      <c r="C421">
        <v>120</v>
      </c>
      <c r="D421" t="s">
        <v>221</v>
      </c>
      <c r="E421" t="s">
        <v>11</v>
      </c>
      <c r="F421">
        <v>2</v>
      </c>
      <c r="G421" t="s">
        <v>16</v>
      </c>
    </row>
    <row r="422" spans="1:7" x14ac:dyDescent="0.25">
      <c r="A422">
        <v>36</v>
      </c>
      <c r="B422" t="s">
        <v>146</v>
      </c>
      <c r="C422">
        <v>10</v>
      </c>
      <c r="D422" t="s">
        <v>297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146</v>
      </c>
      <c r="C423">
        <v>20</v>
      </c>
      <c r="D423" t="s">
        <v>151</v>
      </c>
      <c r="E423" t="s">
        <v>15</v>
      </c>
      <c r="F423">
        <v>4.3179999999999996</v>
      </c>
      <c r="G423" t="s">
        <v>16</v>
      </c>
    </row>
    <row r="424" spans="1:7" x14ac:dyDescent="0.25">
      <c r="A424">
        <v>36</v>
      </c>
      <c r="B424" t="s">
        <v>146</v>
      </c>
      <c r="C424">
        <v>30</v>
      </c>
      <c r="D424" t="s">
        <v>18</v>
      </c>
      <c r="E424" t="s">
        <v>15</v>
      </c>
      <c r="F424">
        <v>110.947</v>
      </c>
      <c r="G424" t="s">
        <v>14</v>
      </c>
    </row>
    <row r="425" spans="1:7" x14ac:dyDescent="0.25">
      <c r="A425">
        <v>36</v>
      </c>
      <c r="B425" t="s">
        <v>146</v>
      </c>
      <c r="C425">
        <v>40</v>
      </c>
      <c r="D425" t="s">
        <v>105</v>
      </c>
      <c r="E425" t="s">
        <v>106</v>
      </c>
      <c r="F425">
        <v>0.84</v>
      </c>
      <c r="G425" t="s">
        <v>14</v>
      </c>
    </row>
    <row r="426" spans="1:7" x14ac:dyDescent="0.25">
      <c r="A426">
        <v>36</v>
      </c>
      <c r="B426" t="s">
        <v>146</v>
      </c>
      <c r="C426">
        <v>50</v>
      </c>
      <c r="D426" t="s">
        <v>107</v>
      </c>
      <c r="E426" t="s">
        <v>15</v>
      </c>
      <c r="F426">
        <v>14.122</v>
      </c>
      <c r="G426" t="s">
        <v>14</v>
      </c>
    </row>
    <row r="427" spans="1:7" x14ac:dyDescent="0.25">
      <c r="A427">
        <v>36</v>
      </c>
      <c r="B427" t="s">
        <v>146</v>
      </c>
      <c r="C427">
        <v>60</v>
      </c>
      <c r="D427" t="s">
        <v>18</v>
      </c>
      <c r="E427" t="s">
        <v>15</v>
      </c>
      <c r="F427">
        <v>86.852999999999994</v>
      </c>
      <c r="G427" t="s">
        <v>14</v>
      </c>
    </row>
    <row r="428" spans="1:7" x14ac:dyDescent="0.25">
      <c r="A428">
        <v>36</v>
      </c>
      <c r="B428" t="s">
        <v>146</v>
      </c>
      <c r="C428">
        <v>70</v>
      </c>
      <c r="D428" t="s">
        <v>111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146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146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146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146</v>
      </c>
      <c r="C432">
        <v>110</v>
      </c>
      <c r="D432" t="s">
        <v>109</v>
      </c>
      <c r="E432" t="s">
        <v>13</v>
      </c>
      <c r="F432">
        <v>0.69099999999999995</v>
      </c>
      <c r="G432" t="s">
        <v>14</v>
      </c>
    </row>
    <row r="433" spans="1:7" x14ac:dyDescent="0.25">
      <c r="A433">
        <v>36</v>
      </c>
      <c r="B433" t="s">
        <v>146</v>
      </c>
      <c r="C433">
        <v>120</v>
      </c>
      <c r="D433" t="s">
        <v>222</v>
      </c>
      <c r="E433" t="s">
        <v>11</v>
      </c>
      <c r="F433">
        <v>2</v>
      </c>
      <c r="G433" t="s">
        <v>16</v>
      </c>
    </row>
    <row r="434" spans="1:7" x14ac:dyDescent="0.25">
      <c r="A434">
        <v>37</v>
      </c>
      <c r="B434" t="s">
        <v>147</v>
      </c>
      <c r="C434">
        <v>10</v>
      </c>
      <c r="D434" t="s">
        <v>298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147</v>
      </c>
      <c r="C435">
        <v>20</v>
      </c>
      <c r="D435" t="s">
        <v>151</v>
      </c>
      <c r="E435" t="s">
        <v>15</v>
      </c>
      <c r="F435">
        <v>4.3179999999999996</v>
      </c>
      <c r="G435" t="s">
        <v>16</v>
      </c>
    </row>
    <row r="436" spans="1:7" x14ac:dyDescent="0.25">
      <c r="A436">
        <v>37</v>
      </c>
      <c r="B436" t="s">
        <v>147</v>
      </c>
      <c r="C436">
        <v>30</v>
      </c>
      <c r="D436" t="s">
        <v>18</v>
      </c>
      <c r="E436" t="s">
        <v>15</v>
      </c>
      <c r="F436">
        <v>113.386</v>
      </c>
      <c r="G436" t="s">
        <v>14</v>
      </c>
    </row>
    <row r="437" spans="1:7" x14ac:dyDescent="0.25">
      <c r="A437">
        <v>37</v>
      </c>
      <c r="B437" t="s">
        <v>147</v>
      </c>
      <c r="C437">
        <v>40</v>
      </c>
      <c r="D437" t="s">
        <v>105</v>
      </c>
      <c r="E437" t="s">
        <v>106</v>
      </c>
      <c r="F437">
        <v>0.89100000000000001</v>
      </c>
      <c r="G437" t="s">
        <v>14</v>
      </c>
    </row>
    <row r="438" spans="1:7" x14ac:dyDescent="0.25">
      <c r="A438">
        <v>37</v>
      </c>
      <c r="B438" t="s">
        <v>147</v>
      </c>
      <c r="C438">
        <v>50</v>
      </c>
      <c r="D438" t="s">
        <v>107</v>
      </c>
      <c r="E438" t="s">
        <v>15</v>
      </c>
      <c r="F438">
        <v>14.427</v>
      </c>
      <c r="G438" t="s">
        <v>14</v>
      </c>
    </row>
    <row r="439" spans="1:7" x14ac:dyDescent="0.25">
      <c r="A439">
        <v>37</v>
      </c>
      <c r="B439" t="s">
        <v>147</v>
      </c>
      <c r="C439">
        <v>60</v>
      </c>
      <c r="D439" t="s">
        <v>18</v>
      </c>
      <c r="E439" t="s">
        <v>15</v>
      </c>
      <c r="F439">
        <v>88.727000000000004</v>
      </c>
      <c r="G439" t="s">
        <v>14</v>
      </c>
    </row>
    <row r="440" spans="1:7" x14ac:dyDescent="0.25">
      <c r="A440">
        <v>37</v>
      </c>
      <c r="B440" t="s">
        <v>147</v>
      </c>
      <c r="C440">
        <v>70</v>
      </c>
      <c r="D440" t="s">
        <v>111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147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147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147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147</v>
      </c>
      <c r="C444">
        <v>110</v>
      </c>
      <c r="D444" t="s">
        <v>109</v>
      </c>
      <c r="E444" t="s">
        <v>13</v>
      </c>
      <c r="F444">
        <v>0.69099999999999995</v>
      </c>
      <c r="G444" t="s">
        <v>14</v>
      </c>
    </row>
    <row r="445" spans="1:7" x14ac:dyDescent="0.25">
      <c r="A445">
        <v>37</v>
      </c>
      <c r="B445" t="s">
        <v>147</v>
      </c>
      <c r="C445">
        <v>120</v>
      </c>
      <c r="D445" t="s">
        <v>223</v>
      </c>
      <c r="E445" t="s">
        <v>11</v>
      </c>
      <c r="F445">
        <v>2</v>
      </c>
      <c r="G445" t="s">
        <v>16</v>
      </c>
    </row>
    <row r="446" spans="1:7" x14ac:dyDescent="0.25">
      <c r="A446">
        <v>38</v>
      </c>
      <c r="B446" t="s">
        <v>148</v>
      </c>
      <c r="C446">
        <v>10</v>
      </c>
      <c r="D446" t="s">
        <v>299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148</v>
      </c>
      <c r="C447">
        <v>20</v>
      </c>
      <c r="D447" t="s">
        <v>151</v>
      </c>
      <c r="E447" t="s">
        <v>15</v>
      </c>
      <c r="F447">
        <v>4.3179999999999996</v>
      </c>
      <c r="G447" t="s">
        <v>16</v>
      </c>
    </row>
    <row r="448" spans="1:7" x14ac:dyDescent="0.25">
      <c r="A448">
        <v>38</v>
      </c>
      <c r="B448" t="s">
        <v>148</v>
      </c>
      <c r="C448">
        <v>30</v>
      </c>
      <c r="D448" t="s">
        <v>18</v>
      </c>
      <c r="E448" t="s">
        <v>15</v>
      </c>
      <c r="F448">
        <v>115.824</v>
      </c>
      <c r="G448" t="s">
        <v>14</v>
      </c>
    </row>
    <row r="449" spans="1:7" x14ac:dyDescent="0.25">
      <c r="A449">
        <v>38</v>
      </c>
      <c r="B449" t="s">
        <v>148</v>
      </c>
      <c r="C449">
        <v>40</v>
      </c>
      <c r="D449" t="s">
        <v>105</v>
      </c>
      <c r="E449" t="s">
        <v>106</v>
      </c>
      <c r="F449">
        <v>0.94099999999999995</v>
      </c>
      <c r="G449" t="s">
        <v>14</v>
      </c>
    </row>
    <row r="450" spans="1:7" x14ac:dyDescent="0.25">
      <c r="A450">
        <v>38</v>
      </c>
      <c r="B450" t="s">
        <v>148</v>
      </c>
      <c r="C450">
        <v>50</v>
      </c>
      <c r="D450" t="s">
        <v>107</v>
      </c>
      <c r="E450" t="s">
        <v>15</v>
      </c>
      <c r="F450">
        <v>14.731999999999999</v>
      </c>
      <c r="G450" t="s">
        <v>14</v>
      </c>
    </row>
    <row r="451" spans="1:7" x14ac:dyDescent="0.25">
      <c r="A451">
        <v>38</v>
      </c>
      <c r="B451" t="s">
        <v>148</v>
      </c>
      <c r="C451">
        <v>60</v>
      </c>
      <c r="D451" t="s">
        <v>18</v>
      </c>
      <c r="E451" t="s">
        <v>15</v>
      </c>
      <c r="F451">
        <v>90.602000000000004</v>
      </c>
      <c r="G451" t="s">
        <v>14</v>
      </c>
    </row>
    <row r="452" spans="1:7" x14ac:dyDescent="0.25">
      <c r="A452">
        <v>38</v>
      </c>
      <c r="B452" t="s">
        <v>148</v>
      </c>
      <c r="C452">
        <v>70</v>
      </c>
      <c r="D452" t="s">
        <v>111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148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148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148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148</v>
      </c>
      <c r="C456">
        <v>110</v>
      </c>
      <c r="D456" t="s">
        <v>109</v>
      </c>
      <c r="E456" t="s">
        <v>13</v>
      </c>
      <c r="F456">
        <v>0.69099999999999995</v>
      </c>
      <c r="G456" t="s">
        <v>14</v>
      </c>
    </row>
    <row r="457" spans="1:7" x14ac:dyDescent="0.25">
      <c r="A457">
        <v>38</v>
      </c>
      <c r="B457" t="s">
        <v>148</v>
      </c>
      <c r="C457">
        <v>120</v>
      </c>
      <c r="D457" t="s">
        <v>224</v>
      </c>
      <c r="E457" t="s">
        <v>11</v>
      </c>
      <c r="F457">
        <v>2</v>
      </c>
      <c r="G457" t="s">
        <v>16</v>
      </c>
    </row>
    <row r="458" spans="1:7" x14ac:dyDescent="0.25">
      <c r="A458">
        <v>39</v>
      </c>
      <c r="B458" t="s">
        <v>149</v>
      </c>
      <c r="C458">
        <v>10</v>
      </c>
      <c r="D458" t="s">
        <v>300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149</v>
      </c>
      <c r="C459">
        <v>20</v>
      </c>
      <c r="D459" t="s">
        <v>151</v>
      </c>
      <c r="E459" t="s">
        <v>15</v>
      </c>
      <c r="F459">
        <v>4.3179999999999996</v>
      </c>
      <c r="G459" t="s">
        <v>16</v>
      </c>
    </row>
    <row r="460" spans="1:7" x14ac:dyDescent="0.25">
      <c r="A460">
        <v>39</v>
      </c>
      <c r="B460" t="s">
        <v>149</v>
      </c>
      <c r="C460">
        <v>30</v>
      </c>
      <c r="D460" t="s">
        <v>18</v>
      </c>
      <c r="E460" t="s">
        <v>15</v>
      </c>
      <c r="F460">
        <v>120.70099999999999</v>
      </c>
      <c r="G460" t="s">
        <v>14</v>
      </c>
    </row>
    <row r="461" spans="1:7" x14ac:dyDescent="0.25">
      <c r="A461">
        <v>39</v>
      </c>
      <c r="B461" t="s">
        <v>149</v>
      </c>
      <c r="C461">
        <v>40</v>
      </c>
      <c r="D461" t="s">
        <v>105</v>
      </c>
      <c r="E461" t="s">
        <v>106</v>
      </c>
      <c r="F461">
        <v>1.042</v>
      </c>
      <c r="G461" t="s">
        <v>14</v>
      </c>
    </row>
    <row r="462" spans="1:7" x14ac:dyDescent="0.25">
      <c r="A462">
        <v>39</v>
      </c>
      <c r="B462" t="s">
        <v>149</v>
      </c>
      <c r="C462">
        <v>50</v>
      </c>
      <c r="D462" t="s">
        <v>107</v>
      </c>
      <c r="E462" t="s">
        <v>15</v>
      </c>
      <c r="F462">
        <v>15.342000000000001</v>
      </c>
      <c r="G462" t="s">
        <v>14</v>
      </c>
    </row>
    <row r="463" spans="1:7" x14ac:dyDescent="0.25">
      <c r="A463">
        <v>39</v>
      </c>
      <c r="B463" t="s">
        <v>149</v>
      </c>
      <c r="C463">
        <v>60</v>
      </c>
      <c r="D463" t="s">
        <v>18</v>
      </c>
      <c r="E463" t="s">
        <v>15</v>
      </c>
      <c r="F463">
        <v>94.350999999999999</v>
      </c>
      <c r="G463" t="s">
        <v>14</v>
      </c>
    </row>
    <row r="464" spans="1:7" x14ac:dyDescent="0.25">
      <c r="A464">
        <v>39</v>
      </c>
      <c r="B464" t="s">
        <v>149</v>
      </c>
      <c r="C464">
        <v>70</v>
      </c>
      <c r="D464" t="s">
        <v>111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149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149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149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149</v>
      </c>
      <c r="C468">
        <v>110</v>
      </c>
      <c r="D468" t="s">
        <v>109</v>
      </c>
      <c r="E468" t="s">
        <v>13</v>
      </c>
      <c r="F468">
        <v>0.69099999999999995</v>
      </c>
      <c r="G468" t="s">
        <v>14</v>
      </c>
    </row>
    <row r="469" spans="1:7" x14ac:dyDescent="0.25">
      <c r="A469">
        <v>39</v>
      </c>
      <c r="B469" t="s">
        <v>149</v>
      </c>
      <c r="C469">
        <v>120</v>
      </c>
      <c r="D469" t="s">
        <v>225</v>
      </c>
      <c r="E469" t="s">
        <v>11</v>
      </c>
      <c r="F469">
        <v>2</v>
      </c>
      <c r="G469" t="s">
        <v>16</v>
      </c>
    </row>
    <row r="470" spans="1:7" x14ac:dyDescent="0.25">
      <c r="A470">
        <v>40</v>
      </c>
      <c r="B470" t="s">
        <v>150</v>
      </c>
      <c r="C470">
        <v>10</v>
      </c>
      <c r="D470" t="s">
        <v>301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150</v>
      </c>
      <c r="C471">
        <v>20</v>
      </c>
      <c r="D471" t="s">
        <v>151</v>
      </c>
      <c r="E471" t="s">
        <v>15</v>
      </c>
      <c r="F471">
        <v>4.3179999999999996</v>
      </c>
      <c r="G471" t="s">
        <v>16</v>
      </c>
    </row>
    <row r="472" spans="1:7" x14ac:dyDescent="0.25">
      <c r="A472">
        <v>40</v>
      </c>
      <c r="B472" t="s">
        <v>150</v>
      </c>
      <c r="C472">
        <v>30</v>
      </c>
      <c r="D472" t="s">
        <v>18</v>
      </c>
      <c r="E472" t="s">
        <v>15</v>
      </c>
      <c r="F472">
        <v>125.578</v>
      </c>
      <c r="G472" t="s">
        <v>14</v>
      </c>
    </row>
    <row r="473" spans="1:7" x14ac:dyDescent="0.25">
      <c r="A473">
        <v>40</v>
      </c>
      <c r="B473" t="s">
        <v>150</v>
      </c>
      <c r="C473">
        <v>40</v>
      </c>
      <c r="D473" t="s">
        <v>105</v>
      </c>
      <c r="E473" t="s">
        <v>106</v>
      </c>
      <c r="F473">
        <v>1.143</v>
      </c>
      <c r="G473" t="s">
        <v>14</v>
      </c>
    </row>
    <row r="474" spans="1:7" x14ac:dyDescent="0.25">
      <c r="A474">
        <v>40</v>
      </c>
      <c r="B474" t="s">
        <v>150</v>
      </c>
      <c r="C474">
        <v>50</v>
      </c>
      <c r="D474" t="s">
        <v>107</v>
      </c>
      <c r="E474" t="s">
        <v>15</v>
      </c>
      <c r="F474">
        <v>15.951000000000001</v>
      </c>
      <c r="G474" t="s">
        <v>14</v>
      </c>
    </row>
    <row r="475" spans="1:7" x14ac:dyDescent="0.25">
      <c r="A475">
        <v>40</v>
      </c>
      <c r="B475" t="s">
        <v>150</v>
      </c>
      <c r="C475">
        <v>60</v>
      </c>
      <c r="D475" t="s">
        <v>18</v>
      </c>
      <c r="E475" t="s">
        <v>15</v>
      </c>
      <c r="F475">
        <v>98.1</v>
      </c>
      <c r="G475" t="s">
        <v>14</v>
      </c>
    </row>
    <row r="476" spans="1:7" x14ac:dyDescent="0.25">
      <c r="A476">
        <v>40</v>
      </c>
      <c r="B476" t="s">
        <v>150</v>
      </c>
      <c r="C476">
        <v>70</v>
      </c>
      <c r="D476" t="s">
        <v>111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150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150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150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150</v>
      </c>
      <c r="C480">
        <v>110</v>
      </c>
      <c r="D480" t="s">
        <v>109</v>
      </c>
      <c r="E480" t="s">
        <v>13</v>
      </c>
      <c r="F480">
        <v>0.69099999999999995</v>
      </c>
      <c r="G480" t="s">
        <v>14</v>
      </c>
    </row>
    <row r="481" spans="1:7" x14ac:dyDescent="0.25">
      <c r="A481">
        <v>40</v>
      </c>
      <c r="B481" t="s">
        <v>150</v>
      </c>
      <c r="C481">
        <v>120</v>
      </c>
      <c r="D481" t="s">
        <v>226</v>
      </c>
      <c r="E481" t="s">
        <v>11</v>
      </c>
      <c r="F481">
        <v>2</v>
      </c>
      <c r="G481" t="s">
        <v>16</v>
      </c>
    </row>
    <row r="482" spans="1:7" x14ac:dyDescent="0.25">
      <c r="A482">
        <v>41</v>
      </c>
      <c r="B482" t="s">
        <v>152</v>
      </c>
      <c r="C482">
        <v>10</v>
      </c>
      <c r="D482" t="s">
        <v>302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152</v>
      </c>
      <c r="C483">
        <v>20</v>
      </c>
      <c r="D483" t="s">
        <v>151</v>
      </c>
      <c r="E483" t="s">
        <v>15</v>
      </c>
      <c r="F483">
        <v>1.575</v>
      </c>
      <c r="G483" t="s">
        <v>16</v>
      </c>
    </row>
    <row r="484" spans="1:7" x14ac:dyDescent="0.25">
      <c r="A484">
        <v>41</v>
      </c>
      <c r="B484" t="s">
        <v>152</v>
      </c>
      <c r="C484">
        <v>30</v>
      </c>
      <c r="D484" t="s">
        <v>18</v>
      </c>
      <c r="E484" t="s">
        <v>15</v>
      </c>
      <c r="F484">
        <v>84.125</v>
      </c>
      <c r="G484" t="s">
        <v>14</v>
      </c>
    </row>
    <row r="485" spans="1:7" x14ac:dyDescent="0.25">
      <c r="A485">
        <v>41</v>
      </c>
      <c r="B485" t="s">
        <v>152</v>
      </c>
      <c r="C485">
        <v>40</v>
      </c>
      <c r="D485" t="s">
        <v>105</v>
      </c>
      <c r="E485" t="s">
        <v>106</v>
      </c>
      <c r="F485">
        <v>0.41699999999999998</v>
      </c>
      <c r="G485" t="s">
        <v>14</v>
      </c>
    </row>
    <row r="486" spans="1:7" x14ac:dyDescent="0.25">
      <c r="A486">
        <v>41</v>
      </c>
      <c r="B486" t="s">
        <v>152</v>
      </c>
      <c r="C486">
        <v>50</v>
      </c>
      <c r="D486" t="s">
        <v>107</v>
      </c>
      <c r="E486" t="s">
        <v>15</v>
      </c>
      <c r="F486">
        <v>10.77</v>
      </c>
      <c r="G486" t="s">
        <v>14</v>
      </c>
    </row>
    <row r="487" spans="1:7" x14ac:dyDescent="0.25">
      <c r="A487">
        <v>41</v>
      </c>
      <c r="B487" t="s">
        <v>152</v>
      </c>
      <c r="C487">
        <v>60</v>
      </c>
      <c r="D487" t="s">
        <v>18</v>
      </c>
      <c r="E487" t="s">
        <v>15</v>
      </c>
      <c r="F487">
        <v>66.233000000000004</v>
      </c>
      <c r="G487" t="s">
        <v>14</v>
      </c>
    </row>
    <row r="488" spans="1:7" x14ac:dyDescent="0.25">
      <c r="A488">
        <v>41</v>
      </c>
      <c r="B488" t="s">
        <v>152</v>
      </c>
      <c r="C488">
        <v>70</v>
      </c>
      <c r="D488" t="s">
        <v>111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152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152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152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152</v>
      </c>
      <c r="C492">
        <v>110</v>
      </c>
      <c r="D492" t="s">
        <v>109</v>
      </c>
      <c r="E492" t="s">
        <v>13</v>
      </c>
      <c r="F492">
        <v>0.28499999999999998</v>
      </c>
      <c r="G492" t="s">
        <v>14</v>
      </c>
    </row>
    <row r="493" spans="1:7" x14ac:dyDescent="0.25">
      <c r="A493">
        <v>41</v>
      </c>
      <c r="B493" t="s">
        <v>152</v>
      </c>
      <c r="C493">
        <v>120</v>
      </c>
      <c r="D493" t="s">
        <v>227</v>
      </c>
      <c r="E493" t="s">
        <v>11</v>
      </c>
      <c r="F493">
        <v>2</v>
      </c>
      <c r="G493" t="s">
        <v>16</v>
      </c>
    </row>
    <row r="494" spans="1:7" x14ac:dyDescent="0.25">
      <c r="A494">
        <v>42</v>
      </c>
      <c r="B494" t="s">
        <v>153</v>
      </c>
      <c r="C494">
        <v>10</v>
      </c>
      <c r="D494" t="s">
        <v>303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153</v>
      </c>
      <c r="C495">
        <v>20</v>
      </c>
      <c r="D495" t="s">
        <v>151</v>
      </c>
      <c r="E495" t="s">
        <v>15</v>
      </c>
      <c r="F495">
        <v>1.88</v>
      </c>
      <c r="G495" t="s">
        <v>16</v>
      </c>
    </row>
    <row r="496" spans="1:7" x14ac:dyDescent="0.25">
      <c r="A496">
        <v>42</v>
      </c>
      <c r="B496" t="s">
        <v>153</v>
      </c>
      <c r="C496">
        <v>30</v>
      </c>
      <c r="D496" t="s">
        <v>18</v>
      </c>
      <c r="E496" t="s">
        <v>15</v>
      </c>
      <c r="F496">
        <v>89.001999999999995</v>
      </c>
      <c r="G496" t="s">
        <v>14</v>
      </c>
    </row>
    <row r="497" spans="1:7" x14ac:dyDescent="0.25">
      <c r="A497">
        <v>42</v>
      </c>
      <c r="B497" t="s">
        <v>153</v>
      </c>
      <c r="C497">
        <v>40</v>
      </c>
      <c r="D497" t="s">
        <v>105</v>
      </c>
      <c r="E497" t="s">
        <v>106</v>
      </c>
      <c r="F497">
        <v>0.503</v>
      </c>
      <c r="G497" t="s">
        <v>14</v>
      </c>
    </row>
    <row r="498" spans="1:7" x14ac:dyDescent="0.25">
      <c r="A498">
        <v>42</v>
      </c>
      <c r="B498" t="s">
        <v>153</v>
      </c>
      <c r="C498">
        <v>50</v>
      </c>
      <c r="D498" t="s">
        <v>107</v>
      </c>
      <c r="E498" t="s">
        <v>15</v>
      </c>
      <c r="F498">
        <v>11.379</v>
      </c>
      <c r="G498" t="s">
        <v>14</v>
      </c>
    </row>
    <row r="499" spans="1:7" x14ac:dyDescent="0.25">
      <c r="A499">
        <v>42</v>
      </c>
      <c r="B499" t="s">
        <v>153</v>
      </c>
      <c r="C499">
        <v>60</v>
      </c>
      <c r="D499" t="s">
        <v>18</v>
      </c>
      <c r="E499" t="s">
        <v>15</v>
      </c>
      <c r="F499">
        <v>69.981999999999999</v>
      </c>
      <c r="G499" t="s">
        <v>14</v>
      </c>
    </row>
    <row r="500" spans="1:7" x14ac:dyDescent="0.25">
      <c r="A500">
        <v>42</v>
      </c>
      <c r="B500" t="s">
        <v>153</v>
      </c>
      <c r="C500">
        <v>70</v>
      </c>
      <c r="D500" t="s">
        <v>111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153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153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153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153</v>
      </c>
      <c r="C504">
        <v>110</v>
      </c>
      <c r="D504" t="s">
        <v>109</v>
      </c>
      <c r="E504" t="s">
        <v>13</v>
      </c>
      <c r="F504">
        <v>0.33</v>
      </c>
      <c r="G504" t="s">
        <v>14</v>
      </c>
    </row>
    <row r="505" spans="1:7" x14ac:dyDescent="0.25">
      <c r="A505">
        <v>42</v>
      </c>
      <c r="B505" t="s">
        <v>153</v>
      </c>
      <c r="C505">
        <v>120</v>
      </c>
      <c r="D505" t="s">
        <v>228</v>
      </c>
      <c r="E505" t="s">
        <v>11</v>
      </c>
      <c r="F505">
        <v>2</v>
      </c>
      <c r="G505" t="s">
        <v>16</v>
      </c>
    </row>
    <row r="506" spans="1:7" x14ac:dyDescent="0.25">
      <c r="A506">
        <v>43</v>
      </c>
      <c r="B506" t="s">
        <v>154</v>
      </c>
      <c r="C506">
        <v>10</v>
      </c>
      <c r="D506" t="s">
        <v>304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154</v>
      </c>
      <c r="C507">
        <v>20</v>
      </c>
      <c r="D507" t="s">
        <v>151</v>
      </c>
      <c r="E507" t="s">
        <v>15</v>
      </c>
      <c r="F507">
        <v>2.1840000000000002</v>
      </c>
      <c r="G507" t="s">
        <v>16</v>
      </c>
    </row>
    <row r="508" spans="1:7" x14ac:dyDescent="0.25">
      <c r="A508">
        <v>43</v>
      </c>
      <c r="B508" t="s">
        <v>154</v>
      </c>
      <c r="C508">
        <v>30</v>
      </c>
      <c r="D508" t="s">
        <v>18</v>
      </c>
      <c r="E508" t="s">
        <v>15</v>
      </c>
      <c r="F508">
        <v>93.878</v>
      </c>
      <c r="G508" t="s">
        <v>14</v>
      </c>
    </row>
    <row r="509" spans="1:7" x14ac:dyDescent="0.25">
      <c r="A509">
        <v>43</v>
      </c>
      <c r="B509" t="s">
        <v>154</v>
      </c>
      <c r="C509">
        <v>40</v>
      </c>
      <c r="D509" t="s">
        <v>105</v>
      </c>
      <c r="E509" t="s">
        <v>106</v>
      </c>
      <c r="F509">
        <v>0.58899999999999997</v>
      </c>
      <c r="G509" t="s">
        <v>14</v>
      </c>
    </row>
    <row r="510" spans="1:7" x14ac:dyDescent="0.25">
      <c r="A510">
        <v>43</v>
      </c>
      <c r="B510" t="s">
        <v>154</v>
      </c>
      <c r="C510">
        <v>50</v>
      </c>
      <c r="D510" t="s">
        <v>107</v>
      </c>
      <c r="E510" t="s">
        <v>15</v>
      </c>
      <c r="F510">
        <v>11.989000000000001</v>
      </c>
      <c r="G510" t="s">
        <v>14</v>
      </c>
    </row>
    <row r="511" spans="1:7" x14ac:dyDescent="0.25">
      <c r="A511">
        <v>43</v>
      </c>
      <c r="B511" t="s">
        <v>154</v>
      </c>
      <c r="C511">
        <v>60</v>
      </c>
      <c r="D511" t="s">
        <v>18</v>
      </c>
      <c r="E511" t="s">
        <v>15</v>
      </c>
      <c r="F511">
        <v>73.730999999999995</v>
      </c>
      <c r="G511" t="s">
        <v>14</v>
      </c>
    </row>
    <row r="512" spans="1:7" x14ac:dyDescent="0.25">
      <c r="A512">
        <v>43</v>
      </c>
      <c r="B512" t="s">
        <v>154</v>
      </c>
      <c r="C512">
        <v>70</v>
      </c>
      <c r="D512" t="s">
        <v>111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154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154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154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154</v>
      </c>
      <c r="C516">
        <v>110</v>
      </c>
      <c r="D516" t="s">
        <v>109</v>
      </c>
      <c r="E516" t="s">
        <v>13</v>
      </c>
      <c r="F516">
        <v>0.375</v>
      </c>
      <c r="G516" t="s">
        <v>14</v>
      </c>
    </row>
    <row r="517" spans="1:7" x14ac:dyDescent="0.25">
      <c r="A517">
        <v>43</v>
      </c>
      <c r="B517" t="s">
        <v>154</v>
      </c>
      <c r="C517">
        <v>120</v>
      </c>
      <c r="D517" t="s">
        <v>229</v>
      </c>
      <c r="E517" t="s">
        <v>11</v>
      </c>
      <c r="F517">
        <v>2</v>
      </c>
      <c r="G517" t="s">
        <v>16</v>
      </c>
    </row>
    <row r="518" spans="1:7" x14ac:dyDescent="0.25">
      <c r="A518">
        <v>44</v>
      </c>
      <c r="B518" t="s">
        <v>155</v>
      </c>
      <c r="C518">
        <v>10</v>
      </c>
      <c r="D518" t="s">
        <v>305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155</v>
      </c>
      <c r="C519">
        <v>20</v>
      </c>
      <c r="D519" t="s">
        <v>151</v>
      </c>
      <c r="E519" t="s">
        <v>15</v>
      </c>
      <c r="F519">
        <v>2.4889999999999999</v>
      </c>
      <c r="G519" t="s">
        <v>16</v>
      </c>
    </row>
    <row r="520" spans="1:7" x14ac:dyDescent="0.25">
      <c r="A520">
        <v>44</v>
      </c>
      <c r="B520" t="s">
        <v>155</v>
      </c>
      <c r="C520">
        <v>30</v>
      </c>
      <c r="D520" t="s">
        <v>18</v>
      </c>
      <c r="E520" t="s">
        <v>15</v>
      </c>
      <c r="F520">
        <v>98.754999999999995</v>
      </c>
      <c r="G520" t="s">
        <v>14</v>
      </c>
    </row>
    <row r="521" spans="1:7" x14ac:dyDescent="0.25">
      <c r="A521">
        <v>44</v>
      </c>
      <c r="B521" t="s">
        <v>155</v>
      </c>
      <c r="C521">
        <v>40</v>
      </c>
      <c r="D521" t="s">
        <v>105</v>
      </c>
      <c r="E521" t="s">
        <v>106</v>
      </c>
      <c r="F521">
        <v>0.67600000000000005</v>
      </c>
      <c r="G521" t="s">
        <v>14</v>
      </c>
    </row>
    <row r="522" spans="1:7" x14ac:dyDescent="0.25">
      <c r="A522">
        <v>44</v>
      </c>
      <c r="B522" t="s">
        <v>155</v>
      </c>
      <c r="C522">
        <v>50</v>
      </c>
      <c r="D522" t="s">
        <v>107</v>
      </c>
      <c r="E522" t="s">
        <v>15</v>
      </c>
      <c r="F522">
        <v>12.598000000000001</v>
      </c>
      <c r="G522" t="s">
        <v>14</v>
      </c>
    </row>
    <row r="523" spans="1:7" x14ac:dyDescent="0.25">
      <c r="A523">
        <v>44</v>
      </c>
      <c r="B523" t="s">
        <v>155</v>
      </c>
      <c r="C523">
        <v>60</v>
      </c>
      <c r="D523" t="s">
        <v>18</v>
      </c>
      <c r="E523" t="s">
        <v>15</v>
      </c>
      <c r="F523">
        <v>77.48</v>
      </c>
      <c r="G523" t="s">
        <v>14</v>
      </c>
    </row>
    <row r="524" spans="1:7" x14ac:dyDescent="0.25">
      <c r="A524">
        <v>44</v>
      </c>
      <c r="B524" t="s">
        <v>155</v>
      </c>
      <c r="C524">
        <v>70</v>
      </c>
      <c r="D524" t="s">
        <v>111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155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155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155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155</v>
      </c>
      <c r="C528">
        <v>110</v>
      </c>
      <c r="D528" t="s">
        <v>109</v>
      </c>
      <c r="E528" t="s">
        <v>13</v>
      </c>
      <c r="F528">
        <v>0.42</v>
      </c>
      <c r="G528" t="s">
        <v>14</v>
      </c>
    </row>
    <row r="529" spans="1:7" x14ac:dyDescent="0.25">
      <c r="A529">
        <v>44</v>
      </c>
      <c r="B529" t="s">
        <v>155</v>
      </c>
      <c r="C529">
        <v>120</v>
      </c>
      <c r="D529" t="s">
        <v>230</v>
      </c>
      <c r="E529" t="s">
        <v>11</v>
      </c>
      <c r="F529">
        <v>2</v>
      </c>
      <c r="G529" t="s">
        <v>16</v>
      </c>
    </row>
    <row r="530" spans="1:7" x14ac:dyDescent="0.25">
      <c r="A530">
        <v>45</v>
      </c>
      <c r="B530" t="s">
        <v>156</v>
      </c>
      <c r="C530">
        <v>10</v>
      </c>
      <c r="D530" t="s">
        <v>306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156</v>
      </c>
      <c r="C531">
        <v>20</v>
      </c>
      <c r="D531" t="s">
        <v>151</v>
      </c>
      <c r="E531" t="s">
        <v>15</v>
      </c>
      <c r="F531">
        <v>3.0990000000000002</v>
      </c>
      <c r="G531" t="s">
        <v>16</v>
      </c>
    </row>
    <row r="532" spans="1:7" x14ac:dyDescent="0.25">
      <c r="A532">
        <v>45</v>
      </c>
      <c r="B532" t="s">
        <v>156</v>
      </c>
      <c r="C532">
        <v>30</v>
      </c>
      <c r="D532" t="s">
        <v>18</v>
      </c>
      <c r="E532" t="s">
        <v>15</v>
      </c>
      <c r="F532">
        <v>108.509</v>
      </c>
      <c r="G532" t="s">
        <v>14</v>
      </c>
    </row>
    <row r="533" spans="1:7" x14ac:dyDescent="0.25">
      <c r="A533">
        <v>45</v>
      </c>
      <c r="B533" t="s">
        <v>156</v>
      </c>
      <c r="C533">
        <v>40</v>
      </c>
      <c r="D533" t="s">
        <v>105</v>
      </c>
      <c r="E533" t="s">
        <v>106</v>
      </c>
      <c r="F533">
        <v>0.84799999999999998</v>
      </c>
      <c r="G533" t="s">
        <v>14</v>
      </c>
    </row>
    <row r="534" spans="1:7" x14ac:dyDescent="0.25">
      <c r="A534">
        <v>45</v>
      </c>
      <c r="B534" t="s">
        <v>156</v>
      </c>
      <c r="C534">
        <v>50</v>
      </c>
      <c r="D534" t="s">
        <v>107</v>
      </c>
      <c r="E534" t="s">
        <v>15</v>
      </c>
      <c r="F534">
        <v>13.818</v>
      </c>
      <c r="G534" t="s">
        <v>14</v>
      </c>
    </row>
    <row r="535" spans="1:7" x14ac:dyDescent="0.25">
      <c r="A535">
        <v>45</v>
      </c>
      <c r="B535" t="s">
        <v>156</v>
      </c>
      <c r="C535">
        <v>60</v>
      </c>
      <c r="D535" t="s">
        <v>18</v>
      </c>
      <c r="E535" t="s">
        <v>15</v>
      </c>
      <c r="F535">
        <v>84.977999999999994</v>
      </c>
      <c r="G535" t="s">
        <v>14</v>
      </c>
    </row>
    <row r="536" spans="1:7" x14ac:dyDescent="0.25">
      <c r="A536">
        <v>45</v>
      </c>
      <c r="B536" t="s">
        <v>156</v>
      </c>
      <c r="C536">
        <v>70</v>
      </c>
      <c r="D536" t="s">
        <v>111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156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156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156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156</v>
      </c>
      <c r="C540">
        <v>110</v>
      </c>
      <c r="D540" t="s">
        <v>109</v>
      </c>
      <c r="E540" t="s">
        <v>13</v>
      </c>
      <c r="F540">
        <v>0.51</v>
      </c>
      <c r="G540" t="s">
        <v>14</v>
      </c>
    </row>
    <row r="541" spans="1:7" x14ac:dyDescent="0.25">
      <c r="A541">
        <v>45</v>
      </c>
      <c r="B541" t="s">
        <v>156</v>
      </c>
      <c r="C541">
        <v>120</v>
      </c>
      <c r="D541" t="s">
        <v>231</v>
      </c>
      <c r="E541" t="s">
        <v>11</v>
      </c>
      <c r="F541">
        <v>2</v>
      </c>
      <c r="G541" t="s">
        <v>16</v>
      </c>
    </row>
    <row r="542" spans="1:7" x14ac:dyDescent="0.25">
      <c r="A542">
        <v>46</v>
      </c>
      <c r="B542" t="s">
        <v>157</v>
      </c>
      <c r="C542">
        <v>10</v>
      </c>
      <c r="D542" t="s">
        <v>307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157</v>
      </c>
      <c r="C543">
        <v>20</v>
      </c>
      <c r="D543" t="s">
        <v>151</v>
      </c>
      <c r="E543" t="s">
        <v>15</v>
      </c>
      <c r="F543">
        <v>3.4039999999999999</v>
      </c>
      <c r="G543" t="s">
        <v>16</v>
      </c>
    </row>
    <row r="544" spans="1:7" x14ac:dyDescent="0.25">
      <c r="A544">
        <v>46</v>
      </c>
      <c r="B544" t="s">
        <v>157</v>
      </c>
      <c r="C544">
        <v>30</v>
      </c>
      <c r="D544" t="s">
        <v>18</v>
      </c>
      <c r="E544" t="s">
        <v>15</v>
      </c>
      <c r="F544">
        <v>113.386</v>
      </c>
      <c r="G544" t="s">
        <v>14</v>
      </c>
    </row>
    <row r="545" spans="1:7" x14ac:dyDescent="0.25">
      <c r="A545">
        <v>46</v>
      </c>
      <c r="B545" t="s">
        <v>157</v>
      </c>
      <c r="C545">
        <v>40</v>
      </c>
      <c r="D545" t="s">
        <v>105</v>
      </c>
      <c r="E545" t="s">
        <v>106</v>
      </c>
      <c r="F545">
        <v>0.93500000000000005</v>
      </c>
      <c r="G545" t="s">
        <v>14</v>
      </c>
    </row>
    <row r="546" spans="1:7" x14ac:dyDescent="0.25">
      <c r="A546">
        <v>46</v>
      </c>
      <c r="B546" t="s">
        <v>157</v>
      </c>
      <c r="C546">
        <v>50</v>
      </c>
      <c r="D546" t="s">
        <v>107</v>
      </c>
      <c r="E546" t="s">
        <v>15</v>
      </c>
      <c r="F546">
        <v>14.427</v>
      </c>
      <c r="G546" t="s">
        <v>14</v>
      </c>
    </row>
    <row r="547" spans="1:7" x14ac:dyDescent="0.25">
      <c r="A547">
        <v>46</v>
      </c>
      <c r="B547" t="s">
        <v>157</v>
      </c>
      <c r="C547">
        <v>60</v>
      </c>
      <c r="D547" t="s">
        <v>18</v>
      </c>
      <c r="E547" t="s">
        <v>15</v>
      </c>
      <c r="F547">
        <v>88.727000000000004</v>
      </c>
      <c r="G547" t="s">
        <v>14</v>
      </c>
    </row>
    <row r="548" spans="1:7" x14ac:dyDescent="0.25">
      <c r="A548">
        <v>46</v>
      </c>
      <c r="B548" t="s">
        <v>157</v>
      </c>
      <c r="C548">
        <v>70</v>
      </c>
      <c r="D548" t="s">
        <v>111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157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157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157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157</v>
      </c>
      <c r="C552">
        <v>110</v>
      </c>
      <c r="D552" t="s">
        <v>109</v>
      </c>
      <c r="E552" t="s">
        <v>13</v>
      </c>
      <c r="F552">
        <v>0.55500000000000005</v>
      </c>
      <c r="G552" t="s">
        <v>14</v>
      </c>
    </row>
    <row r="553" spans="1:7" x14ac:dyDescent="0.25">
      <c r="A553">
        <v>46</v>
      </c>
      <c r="B553" t="s">
        <v>157</v>
      </c>
      <c r="C553">
        <v>120</v>
      </c>
      <c r="D553" t="s">
        <v>232</v>
      </c>
      <c r="E553" t="s">
        <v>11</v>
      </c>
      <c r="F553">
        <v>2</v>
      </c>
      <c r="G553" t="s">
        <v>16</v>
      </c>
    </row>
    <row r="554" spans="1:7" x14ac:dyDescent="0.25">
      <c r="A554">
        <v>47</v>
      </c>
      <c r="B554" t="s">
        <v>158</v>
      </c>
      <c r="C554">
        <v>10</v>
      </c>
      <c r="D554" t="s">
        <v>308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158</v>
      </c>
      <c r="C555">
        <v>20</v>
      </c>
      <c r="D555" t="s">
        <v>151</v>
      </c>
      <c r="E555" t="s">
        <v>15</v>
      </c>
      <c r="F555">
        <v>3.7080000000000002</v>
      </c>
      <c r="G555" t="s">
        <v>16</v>
      </c>
    </row>
    <row r="556" spans="1:7" x14ac:dyDescent="0.25">
      <c r="A556">
        <v>47</v>
      </c>
      <c r="B556" t="s">
        <v>158</v>
      </c>
      <c r="C556">
        <v>30</v>
      </c>
      <c r="D556" t="s">
        <v>18</v>
      </c>
      <c r="E556" t="s">
        <v>15</v>
      </c>
      <c r="F556">
        <v>118.262</v>
      </c>
      <c r="G556" t="s">
        <v>14</v>
      </c>
    </row>
    <row r="557" spans="1:7" x14ac:dyDescent="0.25">
      <c r="A557">
        <v>47</v>
      </c>
      <c r="B557" t="s">
        <v>158</v>
      </c>
      <c r="C557">
        <v>40</v>
      </c>
      <c r="D557" t="s">
        <v>105</v>
      </c>
      <c r="E557" t="s">
        <v>106</v>
      </c>
      <c r="F557">
        <v>1.0209999999999999</v>
      </c>
      <c r="G557" t="s">
        <v>14</v>
      </c>
    </row>
    <row r="558" spans="1:7" x14ac:dyDescent="0.25">
      <c r="A558">
        <v>47</v>
      </c>
      <c r="B558" t="s">
        <v>158</v>
      </c>
      <c r="C558">
        <v>50</v>
      </c>
      <c r="D558" t="s">
        <v>107</v>
      </c>
      <c r="E558" t="s">
        <v>15</v>
      </c>
      <c r="F558">
        <v>15.037000000000001</v>
      </c>
      <c r="G558" t="s">
        <v>14</v>
      </c>
    </row>
    <row r="559" spans="1:7" x14ac:dyDescent="0.25">
      <c r="A559">
        <v>47</v>
      </c>
      <c r="B559" t="s">
        <v>158</v>
      </c>
      <c r="C559">
        <v>60</v>
      </c>
      <c r="D559" t="s">
        <v>18</v>
      </c>
      <c r="E559" t="s">
        <v>15</v>
      </c>
      <c r="F559">
        <v>92.475999999999999</v>
      </c>
      <c r="G559" t="s">
        <v>14</v>
      </c>
    </row>
    <row r="560" spans="1:7" x14ac:dyDescent="0.25">
      <c r="A560">
        <v>47</v>
      </c>
      <c r="B560" t="s">
        <v>158</v>
      </c>
      <c r="C560">
        <v>70</v>
      </c>
      <c r="D560" t="s">
        <v>111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158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158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158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158</v>
      </c>
      <c r="C564">
        <v>110</v>
      </c>
      <c r="D564" t="s">
        <v>109</v>
      </c>
      <c r="E564" t="s">
        <v>13</v>
      </c>
      <c r="F564">
        <v>0.60099999999999998</v>
      </c>
      <c r="G564" t="s">
        <v>14</v>
      </c>
    </row>
    <row r="565" spans="1:7" x14ac:dyDescent="0.25">
      <c r="A565">
        <v>47</v>
      </c>
      <c r="B565" t="s">
        <v>158</v>
      </c>
      <c r="C565">
        <v>120</v>
      </c>
      <c r="D565" t="s">
        <v>233</v>
      </c>
      <c r="E565" t="s">
        <v>11</v>
      </c>
      <c r="F565">
        <v>2</v>
      </c>
      <c r="G565" t="s">
        <v>16</v>
      </c>
    </row>
    <row r="566" spans="1:7" x14ac:dyDescent="0.25">
      <c r="A566">
        <v>48</v>
      </c>
      <c r="B566" t="s">
        <v>159</v>
      </c>
      <c r="C566">
        <v>10</v>
      </c>
      <c r="D566" t="s">
        <v>309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159</v>
      </c>
      <c r="C567">
        <v>20</v>
      </c>
      <c r="D567" t="s">
        <v>151</v>
      </c>
      <c r="E567" t="s">
        <v>15</v>
      </c>
      <c r="F567">
        <v>1.575</v>
      </c>
      <c r="G567" t="s">
        <v>16</v>
      </c>
    </row>
    <row r="568" spans="1:7" x14ac:dyDescent="0.25">
      <c r="A568">
        <v>48</v>
      </c>
      <c r="B568" t="s">
        <v>159</v>
      </c>
      <c r="C568">
        <v>30</v>
      </c>
      <c r="D568" t="s">
        <v>18</v>
      </c>
      <c r="E568" t="s">
        <v>15</v>
      </c>
      <c r="F568">
        <v>86.563000000000002</v>
      </c>
      <c r="G568" t="s">
        <v>14</v>
      </c>
    </row>
    <row r="569" spans="1:7" x14ac:dyDescent="0.25">
      <c r="A569">
        <v>48</v>
      </c>
      <c r="B569" t="s">
        <v>159</v>
      </c>
      <c r="C569">
        <v>40</v>
      </c>
      <c r="D569" t="s">
        <v>105</v>
      </c>
      <c r="E569" t="s">
        <v>106</v>
      </c>
      <c r="F569">
        <v>0.435</v>
      </c>
      <c r="G569" t="s">
        <v>14</v>
      </c>
    </row>
    <row r="570" spans="1:7" x14ac:dyDescent="0.25">
      <c r="A570">
        <v>48</v>
      </c>
      <c r="B570" t="s">
        <v>159</v>
      </c>
      <c r="C570">
        <v>50</v>
      </c>
      <c r="D570" t="s">
        <v>107</v>
      </c>
      <c r="E570" t="s">
        <v>15</v>
      </c>
      <c r="F570">
        <v>11.074</v>
      </c>
      <c r="G570" t="s">
        <v>14</v>
      </c>
    </row>
    <row r="571" spans="1:7" x14ac:dyDescent="0.25">
      <c r="A571">
        <v>48</v>
      </c>
      <c r="B571" t="s">
        <v>159</v>
      </c>
      <c r="C571">
        <v>60</v>
      </c>
      <c r="D571" t="s">
        <v>18</v>
      </c>
      <c r="E571" t="s">
        <v>15</v>
      </c>
      <c r="F571">
        <v>68.108000000000004</v>
      </c>
      <c r="G571" t="s">
        <v>14</v>
      </c>
    </row>
    <row r="572" spans="1:7" x14ac:dyDescent="0.25">
      <c r="A572">
        <v>48</v>
      </c>
      <c r="B572" t="s">
        <v>159</v>
      </c>
      <c r="C572">
        <v>70</v>
      </c>
      <c r="D572" t="s">
        <v>111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159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159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159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159</v>
      </c>
      <c r="C576">
        <v>110</v>
      </c>
      <c r="D576" t="s">
        <v>109</v>
      </c>
      <c r="E576" t="s">
        <v>13</v>
      </c>
      <c r="F576">
        <v>0.28499999999999998</v>
      </c>
      <c r="G576" t="s">
        <v>14</v>
      </c>
    </row>
    <row r="577" spans="1:7" x14ac:dyDescent="0.25">
      <c r="A577">
        <v>48</v>
      </c>
      <c r="B577" t="s">
        <v>159</v>
      </c>
      <c r="C577">
        <v>120</v>
      </c>
      <c r="D577" t="s">
        <v>234</v>
      </c>
      <c r="E577" t="s">
        <v>11</v>
      </c>
      <c r="F577">
        <v>2</v>
      </c>
      <c r="G577" t="s">
        <v>16</v>
      </c>
    </row>
    <row r="578" spans="1:7" x14ac:dyDescent="0.25">
      <c r="A578">
        <v>49</v>
      </c>
      <c r="B578" t="s">
        <v>160</v>
      </c>
      <c r="C578">
        <v>10</v>
      </c>
      <c r="D578" t="s">
        <v>310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160</v>
      </c>
      <c r="C579">
        <v>20</v>
      </c>
      <c r="D579" t="s">
        <v>151</v>
      </c>
      <c r="E579" t="s">
        <v>15</v>
      </c>
      <c r="F579">
        <v>1.88</v>
      </c>
      <c r="G579" t="s">
        <v>16</v>
      </c>
    </row>
    <row r="580" spans="1:7" x14ac:dyDescent="0.25">
      <c r="A580">
        <v>49</v>
      </c>
      <c r="B580" t="s">
        <v>160</v>
      </c>
      <c r="C580">
        <v>30</v>
      </c>
      <c r="D580" t="s">
        <v>18</v>
      </c>
      <c r="E580" t="s">
        <v>15</v>
      </c>
      <c r="F580">
        <v>91.44</v>
      </c>
      <c r="G580" t="s">
        <v>14</v>
      </c>
    </row>
    <row r="581" spans="1:7" x14ac:dyDescent="0.25">
      <c r="A581">
        <v>49</v>
      </c>
      <c r="B581" t="s">
        <v>160</v>
      </c>
      <c r="C581">
        <v>40</v>
      </c>
      <c r="D581" t="s">
        <v>105</v>
      </c>
      <c r="E581" t="s">
        <v>106</v>
      </c>
      <c r="F581">
        <v>0.52400000000000002</v>
      </c>
      <c r="G581" t="s">
        <v>14</v>
      </c>
    </row>
    <row r="582" spans="1:7" x14ac:dyDescent="0.25">
      <c r="A582">
        <v>49</v>
      </c>
      <c r="B582" t="s">
        <v>160</v>
      </c>
      <c r="C582">
        <v>50</v>
      </c>
      <c r="D582" t="s">
        <v>107</v>
      </c>
      <c r="E582" t="s">
        <v>15</v>
      </c>
      <c r="F582">
        <v>11.683999999999999</v>
      </c>
      <c r="G582" t="s">
        <v>14</v>
      </c>
    </row>
    <row r="583" spans="1:7" x14ac:dyDescent="0.25">
      <c r="A583">
        <v>49</v>
      </c>
      <c r="B583" t="s">
        <v>160</v>
      </c>
      <c r="C583">
        <v>60</v>
      </c>
      <c r="D583" t="s">
        <v>18</v>
      </c>
      <c r="E583" t="s">
        <v>15</v>
      </c>
      <c r="F583">
        <v>71.856999999999999</v>
      </c>
      <c r="G583" t="s">
        <v>14</v>
      </c>
    </row>
    <row r="584" spans="1:7" x14ac:dyDescent="0.25">
      <c r="A584">
        <v>49</v>
      </c>
      <c r="B584" t="s">
        <v>160</v>
      </c>
      <c r="C584">
        <v>70</v>
      </c>
      <c r="D584" t="s">
        <v>111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160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160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160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160</v>
      </c>
      <c r="C588">
        <v>110</v>
      </c>
      <c r="D588" t="s">
        <v>109</v>
      </c>
      <c r="E588" t="s">
        <v>13</v>
      </c>
      <c r="F588">
        <v>0.33</v>
      </c>
      <c r="G588" t="s">
        <v>14</v>
      </c>
    </row>
    <row r="589" spans="1:7" x14ac:dyDescent="0.25">
      <c r="A589">
        <v>49</v>
      </c>
      <c r="B589" t="s">
        <v>160</v>
      </c>
      <c r="C589">
        <v>120</v>
      </c>
      <c r="D589" t="s">
        <v>235</v>
      </c>
      <c r="E589" t="s">
        <v>11</v>
      </c>
      <c r="F589">
        <v>2</v>
      </c>
      <c r="G589" t="s">
        <v>16</v>
      </c>
    </row>
    <row r="590" spans="1:7" x14ac:dyDescent="0.25">
      <c r="A590">
        <v>50</v>
      </c>
      <c r="B590" t="s">
        <v>161</v>
      </c>
      <c r="C590">
        <v>10</v>
      </c>
      <c r="D590" t="s">
        <v>311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161</v>
      </c>
      <c r="C591">
        <v>20</v>
      </c>
      <c r="D591" t="s">
        <v>151</v>
      </c>
      <c r="E591" t="s">
        <v>15</v>
      </c>
      <c r="F591">
        <v>2.1840000000000002</v>
      </c>
      <c r="G591" t="s">
        <v>16</v>
      </c>
    </row>
    <row r="592" spans="1:7" x14ac:dyDescent="0.25">
      <c r="A592">
        <v>50</v>
      </c>
      <c r="B592" t="s">
        <v>161</v>
      </c>
      <c r="C592">
        <v>30</v>
      </c>
      <c r="D592" t="s">
        <v>18</v>
      </c>
      <c r="E592" t="s">
        <v>15</v>
      </c>
      <c r="F592">
        <v>96.316999999999993</v>
      </c>
      <c r="G592" t="s">
        <v>14</v>
      </c>
    </row>
    <row r="593" spans="1:7" x14ac:dyDescent="0.25">
      <c r="A593">
        <v>50</v>
      </c>
      <c r="B593" t="s">
        <v>161</v>
      </c>
      <c r="C593">
        <v>40</v>
      </c>
      <c r="D593" t="s">
        <v>105</v>
      </c>
      <c r="E593" t="s">
        <v>106</v>
      </c>
      <c r="F593">
        <v>0.61399999999999999</v>
      </c>
      <c r="G593" t="s">
        <v>14</v>
      </c>
    </row>
    <row r="594" spans="1:7" x14ac:dyDescent="0.25">
      <c r="A594">
        <v>50</v>
      </c>
      <c r="B594" t="s">
        <v>161</v>
      </c>
      <c r="C594">
        <v>50</v>
      </c>
      <c r="D594" t="s">
        <v>107</v>
      </c>
      <c r="E594" t="s">
        <v>15</v>
      </c>
      <c r="F594">
        <v>12.294</v>
      </c>
      <c r="G594" t="s">
        <v>14</v>
      </c>
    </row>
    <row r="595" spans="1:7" x14ac:dyDescent="0.25">
      <c r="A595">
        <v>50</v>
      </c>
      <c r="B595" t="s">
        <v>161</v>
      </c>
      <c r="C595">
        <v>60</v>
      </c>
      <c r="D595" t="s">
        <v>18</v>
      </c>
      <c r="E595" t="s">
        <v>15</v>
      </c>
      <c r="F595">
        <v>75.605999999999995</v>
      </c>
      <c r="G595" t="s">
        <v>14</v>
      </c>
    </row>
    <row r="596" spans="1:7" x14ac:dyDescent="0.25">
      <c r="A596">
        <v>50</v>
      </c>
      <c r="B596" t="s">
        <v>161</v>
      </c>
      <c r="C596">
        <v>70</v>
      </c>
      <c r="D596" t="s">
        <v>111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161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161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161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161</v>
      </c>
      <c r="C600">
        <v>110</v>
      </c>
      <c r="D600" t="s">
        <v>109</v>
      </c>
      <c r="E600" t="s">
        <v>13</v>
      </c>
      <c r="F600">
        <v>0.375</v>
      </c>
      <c r="G600" t="s">
        <v>14</v>
      </c>
    </row>
    <row r="601" spans="1:7" x14ac:dyDescent="0.25">
      <c r="A601">
        <v>50</v>
      </c>
      <c r="B601" t="s">
        <v>161</v>
      </c>
      <c r="C601">
        <v>120</v>
      </c>
      <c r="D601" t="s">
        <v>236</v>
      </c>
      <c r="E601" t="s">
        <v>11</v>
      </c>
      <c r="F601">
        <v>2</v>
      </c>
      <c r="G601" t="s">
        <v>16</v>
      </c>
    </row>
    <row r="602" spans="1:7" x14ac:dyDescent="0.25">
      <c r="A602">
        <v>51</v>
      </c>
      <c r="B602" t="s">
        <v>162</v>
      </c>
      <c r="C602">
        <v>10</v>
      </c>
      <c r="D602" t="s">
        <v>312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162</v>
      </c>
      <c r="C603">
        <v>20</v>
      </c>
      <c r="D603" t="s">
        <v>151</v>
      </c>
      <c r="E603" t="s">
        <v>15</v>
      </c>
      <c r="F603">
        <v>2.4889999999999999</v>
      </c>
      <c r="G603" t="s">
        <v>16</v>
      </c>
    </row>
    <row r="604" spans="1:7" x14ac:dyDescent="0.25">
      <c r="A604">
        <v>51</v>
      </c>
      <c r="B604" t="s">
        <v>162</v>
      </c>
      <c r="C604">
        <v>30</v>
      </c>
      <c r="D604" t="s">
        <v>18</v>
      </c>
      <c r="E604" t="s">
        <v>15</v>
      </c>
      <c r="F604">
        <v>101.194</v>
      </c>
      <c r="G604" t="s">
        <v>14</v>
      </c>
    </row>
    <row r="605" spans="1:7" x14ac:dyDescent="0.25">
      <c r="A605">
        <v>51</v>
      </c>
      <c r="B605" t="s">
        <v>162</v>
      </c>
      <c r="C605">
        <v>40</v>
      </c>
      <c r="D605" t="s">
        <v>105</v>
      </c>
      <c r="E605" t="s">
        <v>106</v>
      </c>
      <c r="F605">
        <v>0.70399999999999996</v>
      </c>
      <c r="G605" t="s">
        <v>14</v>
      </c>
    </row>
    <row r="606" spans="1:7" x14ac:dyDescent="0.25">
      <c r="A606">
        <v>51</v>
      </c>
      <c r="B606" t="s">
        <v>162</v>
      </c>
      <c r="C606">
        <v>50</v>
      </c>
      <c r="D606" t="s">
        <v>107</v>
      </c>
      <c r="E606" t="s">
        <v>15</v>
      </c>
      <c r="F606">
        <v>12.903</v>
      </c>
      <c r="G606" t="s">
        <v>14</v>
      </c>
    </row>
    <row r="607" spans="1:7" x14ac:dyDescent="0.25">
      <c r="A607">
        <v>51</v>
      </c>
      <c r="B607" t="s">
        <v>162</v>
      </c>
      <c r="C607">
        <v>60</v>
      </c>
      <c r="D607" t="s">
        <v>18</v>
      </c>
      <c r="E607" t="s">
        <v>15</v>
      </c>
      <c r="F607">
        <v>79.355000000000004</v>
      </c>
      <c r="G607" t="s">
        <v>14</v>
      </c>
    </row>
    <row r="608" spans="1:7" x14ac:dyDescent="0.25">
      <c r="A608">
        <v>51</v>
      </c>
      <c r="B608" t="s">
        <v>162</v>
      </c>
      <c r="C608">
        <v>70</v>
      </c>
      <c r="D608" t="s">
        <v>111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162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162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162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162</v>
      </c>
      <c r="C612">
        <v>110</v>
      </c>
      <c r="D612" t="s">
        <v>109</v>
      </c>
      <c r="E612" t="s">
        <v>13</v>
      </c>
      <c r="F612">
        <v>0.42</v>
      </c>
      <c r="G612" t="s">
        <v>14</v>
      </c>
    </row>
    <row r="613" spans="1:7" x14ac:dyDescent="0.25">
      <c r="A613">
        <v>51</v>
      </c>
      <c r="B613" t="s">
        <v>162</v>
      </c>
      <c r="C613">
        <v>120</v>
      </c>
      <c r="D613" t="s">
        <v>237</v>
      </c>
      <c r="E613" t="s">
        <v>11</v>
      </c>
      <c r="F613">
        <v>2</v>
      </c>
      <c r="G613" t="s">
        <v>16</v>
      </c>
    </row>
    <row r="614" spans="1:7" x14ac:dyDescent="0.25">
      <c r="A614">
        <v>52</v>
      </c>
      <c r="B614" t="s">
        <v>163</v>
      </c>
      <c r="C614">
        <v>10</v>
      </c>
      <c r="D614" t="s">
        <v>313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163</v>
      </c>
      <c r="C615">
        <v>20</v>
      </c>
      <c r="D615" t="s">
        <v>151</v>
      </c>
      <c r="E615" t="s">
        <v>15</v>
      </c>
      <c r="F615">
        <v>3.0990000000000002</v>
      </c>
      <c r="G615" t="s">
        <v>16</v>
      </c>
    </row>
    <row r="616" spans="1:7" x14ac:dyDescent="0.25">
      <c r="A616">
        <v>52</v>
      </c>
      <c r="B616" t="s">
        <v>163</v>
      </c>
      <c r="C616">
        <v>30</v>
      </c>
      <c r="D616" t="s">
        <v>18</v>
      </c>
      <c r="E616" t="s">
        <v>15</v>
      </c>
      <c r="F616">
        <v>110.947</v>
      </c>
      <c r="G616" t="s">
        <v>14</v>
      </c>
    </row>
    <row r="617" spans="1:7" x14ac:dyDescent="0.25">
      <c r="A617">
        <v>52</v>
      </c>
      <c r="B617" t="s">
        <v>163</v>
      </c>
      <c r="C617">
        <v>40</v>
      </c>
      <c r="D617" t="s">
        <v>105</v>
      </c>
      <c r="E617" t="s">
        <v>106</v>
      </c>
      <c r="F617">
        <v>0.88400000000000001</v>
      </c>
      <c r="G617" t="s">
        <v>14</v>
      </c>
    </row>
    <row r="618" spans="1:7" x14ac:dyDescent="0.25">
      <c r="A618">
        <v>52</v>
      </c>
      <c r="B618" t="s">
        <v>163</v>
      </c>
      <c r="C618">
        <v>50</v>
      </c>
      <c r="D618" t="s">
        <v>107</v>
      </c>
      <c r="E618" t="s">
        <v>15</v>
      </c>
      <c r="F618">
        <v>14.122</v>
      </c>
      <c r="G618" t="s">
        <v>14</v>
      </c>
    </row>
    <row r="619" spans="1:7" x14ac:dyDescent="0.25">
      <c r="A619">
        <v>52</v>
      </c>
      <c r="B619" t="s">
        <v>163</v>
      </c>
      <c r="C619">
        <v>60</v>
      </c>
      <c r="D619" t="s">
        <v>18</v>
      </c>
      <c r="E619" t="s">
        <v>15</v>
      </c>
      <c r="F619">
        <v>86.852999999999994</v>
      </c>
      <c r="G619" t="s">
        <v>14</v>
      </c>
    </row>
    <row r="620" spans="1:7" x14ac:dyDescent="0.25">
      <c r="A620">
        <v>52</v>
      </c>
      <c r="B620" t="s">
        <v>163</v>
      </c>
      <c r="C620">
        <v>70</v>
      </c>
      <c r="D620" t="s">
        <v>111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163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163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163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163</v>
      </c>
      <c r="C624">
        <v>110</v>
      </c>
      <c r="D624" t="s">
        <v>109</v>
      </c>
      <c r="E624" t="s">
        <v>13</v>
      </c>
      <c r="F624">
        <v>0.51</v>
      </c>
      <c r="G624" t="s">
        <v>14</v>
      </c>
    </row>
    <row r="625" spans="1:7" x14ac:dyDescent="0.25">
      <c r="A625">
        <v>52</v>
      </c>
      <c r="B625" t="s">
        <v>163</v>
      </c>
      <c r="C625">
        <v>120</v>
      </c>
      <c r="D625" t="s">
        <v>238</v>
      </c>
      <c r="E625" t="s">
        <v>11</v>
      </c>
      <c r="F625">
        <v>2</v>
      </c>
      <c r="G625" t="s">
        <v>16</v>
      </c>
    </row>
    <row r="626" spans="1:7" x14ac:dyDescent="0.25">
      <c r="A626">
        <v>53</v>
      </c>
      <c r="B626" t="s">
        <v>164</v>
      </c>
      <c r="C626">
        <v>10</v>
      </c>
      <c r="D626" t="s">
        <v>314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164</v>
      </c>
      <c r="C627">
        <v>20</v>
      </c>
      <c r="D627" t="s">
        <v>151</v>
      </c>
      <c r="E627" t="s">
        <v>15</v>
      </c>
      <c r="F627">
        <v>3.4039999999999999</v>
      </c>
      <c r="G627" t="s">
        <v>16</v>
      </c>
    </row>
    <row r="628" spans="1:7" x14ac:dyDescent="0.25">
      <c r="A628">
        <v>53</v>
      </c>
      <c r="B628" t="s">
        <v>164</v>
      </c>
      <c r="C628">
        <v>30</v>
      </c>
      <c r="D628" t="s">
        <v>18</v>
      </c>
      <c r="E628" t="s">
        <v>15</v>
      </c>
      <c r="F628">
        <v>115.824</v>
      </c>
      <c r="G628" t="s">
        <v>14</v>
      </c>
    </row>
    <row r="629" spans="1:7" x14ac:dyDescent="0.25">
      <c r="A629">
        <v>53</v>
      </c>
      <c r="B629" t="s">
        <v>164</v>
      </c>
      <c r="C629">
        <v>40</v>
      </c>
      <c r="D629" t="s">
        <v>105</v>
      </c>
      <c r="E629" t="s">
        <v>106</v>
      </c>
      <c r="F629">
        <v>0.97399999999999998</v>
      </c>
      <c r="G629" t="s">
        <v>14</v>
      </c>
    </row>
    <row r="630" spans="1:7" x14ac:dyDescent="0.25">
      <c r="A630">
        <v>53</v>
      </c>
      <c r="B630" t="s">
        <v>164</v>
      </c>
      <c r="C630">
        <v>50</v>
      </c>
      <c r="D630" t="s">
        <v>107</v>
      </c>
      <c r="E630" t="s">
        <v>15</v>
      </c>
      <c r="F630">
        <v>14.731999999999999</v>
      </c>
      <c r="G630" t="s">
        <v>14</v>
      </c>
    </row>
    <row r="631" spans="1:7" x14ac:dyDescent="0.25">
      <c r="A631">
        <v>53</v>
      </c>
      <c r="B631" t="s">
        <v>164</v>
      </c>
      <c r="C631">
        <v>60</v>
      </c>
      <c r="D631" t="s">
        <v>18</v>
      </c>
      <c r="E631" t="s">
        <v>15</v>
      </c>
      <c r="F631">
        <v>90.602000000000004</v>
      </c>
      <c r="G631" t="s">
        <v>14</v>
      </c>
    </row>
    <row r="632" spans="1:7" x14ac:dyDescent="0.25">
      <c r="A632">
        <v>53</v>
      </c>
      <c r="B632" t="s">
        <v>164</v>
      </c>
      <c r="C632">
        <v>70</v>
      </c>
      <c r="D632" t="s">
        <v>111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164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164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164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164</v>
      </c>
      <c r="C636">
        <v>110</v>
      </c>
      <c r="D636" t="s">
        <v>109</v>
      </c>
      <c r="E636" t="s">
        <v>13</v>
      </c>
      <c r="F636">
        <v>0.55500000000000005</v>
      </c>
      <c r="G636" t="s">
        <v>14</v>
      </c>
    </row>
    <row r="637" spans="1:7" x14ac:dyDescent="0.25">
      <c r="A637">
        <v>53</v>
      </c>
      <c r="B637" t="s">
        <v>164</v>
      </c>
      <c r="C637">
        <v>120</v>
      </c>
      <c r="D637" t="s">
        <v>239</v>
      </c>
      <c r="E637" t="s">
        <v>11</v>
      </c>
      <c r="F637">
        <v>2</v>
      </c>
      <c r="G637" t="s">
        <v>16</v>
      </c>
    </row>
    <row r="638" spans="1:7" x14ac:dyDescent="0.25">
      <c r="A638">
        <v>54</v>
      </c>
      <c r="B638" t="s">
        <v>165</v>
      </c>
      <c r="C638">
        <v>10</v>
      </c>
      <c r="D638" t="s">
        <v>315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165</v>
      </c>
      <c r="C639">
        <v>20</v>
      </c>
      <c r="D639" t="s">
        <v>151</v>
      </c>
      <c r="E639" t="s">
        <v>15</v>
      </c>
      <c r="F639">
        <v>3.7080000000000002</v>
      </c>
      <c r="G639" t="s">
        <v>16</v>
      </c>
    </row>
    <row r="640" spans="1:7" x14ac:dyDescent="0.25">
      <c r="A640">
        <v>54</v>
      </c>
      <c r="B640" t="s">
        <v>165</v>
      </c>
      <c r="C640">
        <v>30</v>
      </c>
      <c r="D640" t="s">
        <v>18</v>
      </c>
      <c r="E640" t="s">
        <v>15</v>
      </c>
      <c r="F640">
        <v>120.70099999999999</v>
      </c>
      <c r="G640" t="s">
        <v>14</v>
      </c>
    </row>
    <row r="641" spans="1:7" x14ac:dyDescent="0.25">
      <c r="A641">
        <v>54</v>
      </c>
      <c r="B641" t="s">
        <v>165</v>
      </c>
      <c r="C641">
        <v>40</v>
      </c>
      <c r="D641" t="s">
        <v>105</v>
      </c>
      <c r="E641" t="s">
        <v>106</v>
      </c>
      <c r="F641">
        <v>1.0640000000000001</v>
      </c>
      <c r="G641" t="s">
        <v>14</v>
      </c>
    </row>
    <row r="642" spans="1:7" x14ac:dyDescent="0.25">
      <c r="A642">
        <v>54</v>
      </c>
      <c r="B642" t="s">
        <v>165</v>
      </c>
      <c r="C642">
        <v>50</v>
      </c>
      <c r="D642" t="s">
        <v>107</v>
      </c>
      <c r="E642" t="s">
        <v>15</v>
      </c>
      <c r="F642">
        <v>15.342000000000001</v>
      </c>
      <c r="G642" t="s">
        <v>14</v>
      </c>
    </row>
    <row r="643" spans="1:7" x14ac:dyDescent="0.25">
      <c r="A643">
        <v>54</v>
      </c>
      <c r="B643" t="s">
        <v>165</v>
      </c>
      <c r="C643">
        <v>60</v>
      </c>
      <c r="D643" t="s">
        <v>18</v>
      </c>
      <c r="E643" t="s">
        <v>15</v>
      </c>
      <c r="F643">
        <v>94.350999999999999</v>
      </c>
      <c r="G643" t="s">
        <v>14</v>
      </c>
    </row>
    <row r="644" spans="1:7" x14ac:dyDescent="0.25">
      <c r="A644">
        <v>54</v>
      </c>
      <c r="B644" t="s">
        <v>165</v>
      </c>
      <c r="C644">
        <v>70</v>
      </c>
      <c r="D644" t="s">
        <v>111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165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165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165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165</v>
      </c>
      <c r="C648">
        <v>110</v>
      </c>
      <c r="D648" t="s">
        <v>109</v>
      </c>
      <c r="E648" t="s">
        <v>13</v>
      </c>
      <c r="F648">
        <v>0.60099999999999998</v>
      </c>
      <c r="G648" t="s">
        <v>14</v>
      </c>
    </row>
    <row r="649" spans="1:7" x14ac:dyDescent="0.25">
      <c r="A649">
        <v>54</v>
      </c>
      <c r="B649" t="s">
        <v>165</v>
      </c>
      <c r="C649">
        <v>120</v>
      </c>
      <c r="D649" t="s">
        <v>240</v>
      </c>
      <c r="E649" t="s">
        <v>11</v>
      </c>
      <c r="F649">
        <v>2</v>
      </c>
      <c r="G649" t="s">
        <v>16</v>
      </c>
    </row>
    <row r="650" spans="1:7" x14ac:dyDescent="0.25">
      <c r="A650">
        <v>55</v>
      </c>
      <c r="B650" t="s">
        <v>166</v>
      </c>
      <c r="C650">
        <v>10</v>
      </c>
      <c r="D650" t="s">
        <v>316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166</v>
      </c>
      <c r="C651">
        <v>20</v>
      </c>
      <c r="D651" t="s">
        <v>151</v>
      </c>
      <c r="E651" t="s">
        <v>15</v>
      </c>
      <c r="F651">
        <v>1.575</v>
      </c>
      <c r="G651" t="s">
        <v>16</v>
      </c>
    </row>
    <row r="652" spans="1:7" x14ac:dyDescent="0.25">
      <c r="A652">
        <v>55</v>
      </c>
      <c r="B652" t="s">
        <v>166</v>
      </c>
      <c r="C652">
        <v>30</v>
      </c>
      <c r="D652" t="s">
        <v>18</v>
      </c>
      <c r="E652" t="s">
        <v>15</v>
      </c>
      <c r="F652">
        <v>89.001999999999995</v>
      </c>
      <c r="G652" t="s">
        <v>14</v>
      </c>
    </row>
    <row r="653" spans="1:7" x14ac:dyDescent="0.25">
      <c r="A653">
        <v>55</v>
      </c>
      <c r="B653" t="s">
        <v>166</v>
      </c>
      <c r="C653">
        <v>40</v>
      </c>
      <c r="D653" t="s">
        <v>105</v>
      </c>
      <c r="E653" t="s">
        <v>106</v>
      </c>
      <c r="F653">
        <v>0.45200000000000001</v>
      </c>
      <c r="G653" t="s">
        <v>14</v>
      </c>
    </row>
    <row r="654" spans="1:7" x14ac:dyDescent="0.25">
      <c r="A654">
        <v>55</v>
      </c>
      <c r="B654" t="s">
        <v>166</v>
      </c>
      <c r="C654">
        <v>50</v>
      </c>
      <c r="D654" t="s">
        <v>107</v>
      </c>
      <c r="E654" t="s">
        <v>15</v>
      </c>
      <c r="F654">
        <v>11.379</v>
      </c>
      <c r="G654" t="s">
        <v>14</v>
      </c>
    </row>
    <row r="655" spans="1:7" x14ac:dyDescent="0.25">
      <c r="A655">
        <v>55</v>
      </c>
      <c r="B655" t="s">
        <v>166</v>
      </c>
      <c r="C655">
        <v>60</v>
      </c>
      <c r="D655" t="s">
        <v>18</v>
      </c>
      <c r="E655" t="s">
        <v>15</v>
      </c>
      <c r="F655">
        <v>69.981999999999999</v>
      </c>
      <c r="G655" t="s">
        <v>14</v>
      </c>
    </row>
    <row r="656" spans="1:7" x14ac:dyDescent="0.25">
      <c r="A656">
        <v>55</v>
      </c>
      <c r="B656" t="s">
        <v>166</v>
      </c>
      <c r="C656">
        <v>70</v>
      </c>
      <c r="D656" t="s">
        <v>111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166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166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166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166</v>
      </c>
      <c r="C660">
        <v>110</v>
      </c>
      <c r="D660" t="s">
        <v>109</v>
      </c>
      <c r="E660" t="s">
        <v>13</v>
      </c>
      <c r="F660">
        <v>0.28499999999999998</v>
      </c>
      <c r="G660" t="s">
        <v>14</v>
      </c>
    </row>
    <row r="661" spans="1:7" x14ac:dyDescent="0.25">
      <c r="A661">
        <v>55</v>
      </c>
      <c r="B661" t="s">
        <v>166</v>
      </c>
      <c r="C661">
        <v>120</v>
      </c>
      <c r="D661" t="s">
        <v>241</v>
      </c>
      <c r="E661" t="s">
        <v>11</v>
      </c>
      <c r="F661">
        <v>2</v>
      </c>
      <c r="G661" t="s">
        <v>16</v>
      </c>
    </row>
    <row r="662" spans="1:7" x14ac:dyDescent="0.25">
      <c r="A662">
        <v>56</v>
      </c>
      <c r="B662" t="s">
        <v>167</v>
      </c>
      <c r="C662">
        <v>10</v>
      </c>
      <c r="D662" t="s">
        <v>317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167</v>
      </c>
      <c r="C663">
        <v>20</v>
      </c>
      <c r="D663" t="s">
        <v>151</v>
      </c>
      <c r="E663" t="s">
        <v>15</v>
      </c>
      <c r="F663">
        <v>1.88</v>
      </c>
      <c r="G663" t="s">
        <v>16</v>
      </c>
    </row>
    <row r="664" spans="1:7" x14ac:dyDescent="0.25">
      <c r="A664">
        <v>56</v>
      </c>
      <c r="B664" t="s">
        <v>167</v>
      </c>
      <c r="C664">
        <v>30</v>
      </c>
      <c r="D664" t="s">
        <v>18</v>
      </c>
      <c r="E664" t="s">
        <v>15</v>
      </c>
      <c r="F664">
        <v>93.878</v>
      </c>
      <c r="G664" t="s">
        <v>14</v>
      </c>
    </row>
    <row r="665" spans="1:7" x14ac:dyDescent="0.25">
      <c r="A665">
        <v>56</v>
      </c>
      <c r="B665" t="s">
        <v>167</v>
      </c>
      <c r="C665">
        <v>40</v>
      </c>
      <c r="D665" t="s">
        <v>105</v>
      </c>
      <c r="E665" t="s">
        <v>106</v>
      </c>
      <c r="F665">
        <v>0.54600000000000004</v>
      </c>
      <c r="G665" t="s">
        <v>14</v>
      </c>
    </row>
    <row r="666" spans="1:7" x14ac:dyDescent="0.25">
      <c r="A666">
        <v>56</v>
      </c>
      <c r="B666" t="s">
        <v>167</v>
      </c>
      <c r="C666">
        <v>50</v>
      </c>
      <c r="D666" t="s">
        <v>107</v>
      </c>
      <c r="E666" t="s">
        <v>15</v>
      </c>
      <c r="F666">
        <v>11.989000000000001</v>
      </c>
      <c r="G666" t="s">
        <v>14</v>
      </c>
    </row>
    <row r="667" spans="1:7" x14ac:dyDescent="0.25">
      <c r="A667">
        <v>56</v>
      </c>
      <c r="B667" t="s">
        <v>167</v>
      </c>
      <c r="C667">
        <v>60</v>
      </c>
      <c r="D667" t="s">
        <v>18</v>
      </c>
      <c r="E667" t="s">
        <v>15</v>
      </c>
      <c r="F667">
        <v>73.730999999999995</v>
      </c>
      <c r="G667" t="s">
        <v>14</v>
      </c>
    </row>
    <row r="668" spans="1:7" x14ac:dyDescent="0.25">
      <c r="A668">
        <v>56</v>
      </c>
      <c r="B668" t="s">
        <v>167</v>
      </c>
      <c r="C668">
        <v>70</v>
      </c>
      <c r="D668" t="s">
        <v>111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167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167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167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167</v>
      </c>
      <c r="C672">
        <v>110</v>
      </c>
      <c r="D672" t="s">
        <v>109</v>
      </c>
      <c r="E672" t="s">
        <v>13</v>
      </c>
      <c r="F672">
        <v>0.33</v>
      </c>
      <c r="G672" t="s">
        <v>14</v>
      </c>
    </row>
    <row r="673" spans="1:7" x14ac:dyDescent="0.25">
      <c r="A673">
        <v>56</v>
      </c>
      <c r="B673" t="s">
        <v>167</v>
      </c>
      <c r="C673">
        <v>120</v>
      </c>
      <c r="D673" t="s">
        <v>242</v>
      </c>
      <c r="E673" t="s">
        <v>11</v>
      </c>
      <c r="F673">
        <v>2</v>
      </c>
      <c r="G673" t="s">
        <v>16</v>
      </c>
    </row>
    <row r="674" spans="1:7" x14ac:dyDescent="0.25">
      <c r="A674">
        <v>57</v>
      </c>
      <c r="B674" t="s">
        <v>168</v>
      </c>
      <c r="C674">
        <v>10</v>
      </c>
      <c r="D674" t="s">
        <v>318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168</v>
      </c>
      <c r="C675">
        <v>20</v>
      </c>
      <c r="D675" t="s">
        <v>151</v>
      </c>
      <c r="E675" t="s">
        <v>15</v>
      </c>
      <c r="F675">
        <v>2.1840000000000002</v>
      </c>
      <c r="G675" t="s">
        <v>16</v>
      </c>
    </row>
    <row r="676" spans="1:7" x14ac:dyDescent="0.25">
      <c r="A676">
        <v>57</v>
      </c>
      <c r="B676" t="s">
        <v>168</v>
      </c>
      <c r="C676">
        <v>30</v>
      </c>
      <c r="D676" t="s">
        <v>18</v>
      </c>
      <c r="E676" t="s">
        <v>15</v>
      </c>
      <c r="F676">
        <v>98.754999999999995</v>
      </c>
      <c r="G676" t="s">
        <v>14</v>
      </c>
    </row>
    <row r="677" spans="1:7" x14ac:dyDescent="0.25">
      <c r="A677">
        <v>57</v>
      </c>
      <c r="B677" t="s">
        <v>168</v>
      </c>
      <c r="C677">
        <v>40</v>
      </c>
      <c r="D677" t="s">
        <v>105</v>
      </c>
      <c r="E677" t="s">
        <v>106</v>
      </c>
      <c r="F677">
        <v>0.63900000000000001</v>
      </c>
      <c r="G677" t="s">
        <v>14</v>
      </c>
    </row>
    <row r="678" spans="1:7" x14ac:dyDescent="0.25">
      <c r="A678">
        <v>57</v>
      </c>
      <c r="B678" t="s">
        <v>168</v>
      </c>
      <c r="C678">
        <v>50</v>
      </c>
      <c r="D678" t="s">
        <v>107</v>
      </c>
      <c r="E678" t="s">
        <v>15</v>
      </c>
      <c r="F678">
        <v>12.598000000000001</v>
      </c>
      <c r="G678" t="s">
        <v>14</v>
      </c>
    </row>
    <row r="679" spans="1:7" x14ac:dyDescent="0.25">
      <c r="A679">
        <v>57</v>
      </c>
      <c r="B679" t="s">
        <v>168</v>
      </c>
      <c r="C679">
        <v>60</v>
      </c>
      <c r="D679" t="s">
        <v>18</v>
      </c>
      <c r="E679" t="s">
        <v>15</v>
      </c>
      <c r="F679">
        <v>77.48</v>
      </c>
      <c r="G679" t="s">
        <v>14</v>
      </c>
    </row>
    <row r="680" spans="1:7" x14ac:dyDescent="0.25">
      <c r="A680">
        <v>57</v>
      </c>
      <c r="B680" t="s">
        <v>168</v>
      </c>
      <c r="C680">
        <v>70</v>
      </c>
      <c r="D680" t="s">
        <v>111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168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168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168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168</v>
      </c>
      <c r="C684">
        <v>110</v>
      </c>
      <c r="D684" t="s">
        <v>109</v>
      </c>
      <c r="E684" t="s">
        <v>13</v>
      </c>
      <c r="F684">
        <v>0.375</v>
      </c>
      <c r="G684" t="s">
        <v>14</v>
      </c>
    </row>
    <row r="685" spans="1:7" x14ac:dyDescent="0.25">
      <c r="A685">
        <v>57</v>
      </c>
      <c r="B685" t="s">
        <v>168</v>
      </c>
      <c r="C685">
        <v>120</v>
      </c>
      <c r="D685" t="s">
        <v>243</v>
      </c>
      <c r="E685" t="s">
        <v>11</v>
      </c>
      <c r="F685">
        <v>2</v>
      </c>
      <c r="G685" t="s">
        <v>16</v>
      </c>
    </row>
    <row r="686" spans="1:7" x14ac:dyDescent="0.25">
      <c r="A686">
        <v>58</v>
      </c>
      <c r="B686" t="s">
        <v>169</v>
      </c>
      <c r="C686">
        <v>10</v>
      </c>
      <c r="D686" t="s">
        <v>319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169</v>
      </c>
      <c r="C687">
        <v>20</v>
      </c>
      <c r="D687" t="s">
        <v>151</v>
      </c>
      <c r="E687" t="s">
        <v>15</v>
      </c>
      <c r="F687">
        <v>2.4889999999999999</v>
      </c>
      <c r="G687" t="s">
        <v>16</v>
      </c>
    </row>
    <row r="688" spans="1:7" x14ac:dyDescent="0.25">
      <c r="A688">
        <v>58</v>
      </c>
      <c r="B688" t="s">
        <v>169</v>
      </c>
      <c r="C688">
        <v>30</v>
      </c>
      <c r="D688" t="s">
        <v>18</v>
      </c>
      <c r="E688" t="s">
        <v>15</v>
      </c>
      <c r="F688">
        <v>103.63200000000001</v>
      </c>
      <c r="G688" t="s">
        <v>14</v>
      </c>
    </row>
    <row r="689" spans="1:7" x14ac:dyDescent="0.25">
      <c r="A689">
        <v>58</v>
      </c>
      <c r="B689" t="s">
        <v>169</v>
      </c>
      <c r="C689">
        <v>40</v>
      </c>
      <c r="D689" t="s">
        <v>105</v>
      </c>
      <c r="E689" t="s">
        <v>106</v>
      </c>
      <c r="F689">
        <v>0.73299999999999998</v>
      </c>
      <c r="G689" t="s">
        <v>14</v>
      </c>
    </row>
    <row r="690" spans="1:7" x14ac:dyDescent="0.25">
      <c r="A690">
        <v>58</v>
      </c>
      <c r="B690" t="s">
        <v>169</v>
      </c>
      <c r="C690">
        <v>50</v>
      </c>
      <c r="D690" t="s">
        <v>107</v>
      </c>
      <c r="E690" t="s">
        <v>15</v>
      </c>
      <c r="F690">
        <v>13.208</v>
      </c>
      <c r="G690" t="s">
        <v>14</v>
      </c>
    </row>
    <row r="691" spans="1:7" x14ac:dyDescent="0.25">
      <c r="A691">
        <v>58</v>
      </c>
      <c r="B691" t="s">
        <v>169</v>
      </c>
      <c r="C691">
        <v>60</v>
      </c>
      <c r="D691" t="s">
        <v>18</v>
      </c>
      <c r="E691" t="s">
        <v>15</v>
      </c>
      <c r="F691">
        <v>81.228999999999999</v>
      </c>
      <c r="G691" t="s">
        <v>14</v>
      </c>
    </row>
    <row r="692" spans="1:7" x14ac:dyDescent="0.25">
      <c r="A692">
        <v>58</v>
      </c>
      <c r="B692" t="s">
        <v>169</v>
      </c>
      <c r="C692">
        <v>70</v>
      </c>
      <c r="D692" t="s">
        <v>111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169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169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169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169</v>
      </c>
      <c r="C696">
        <v>110</v>
      </c>
      <c r="D696" t="s">
        <v>109</v>
      </c>
      <c r="E696" t="s">
        <v>13</v>
      </c>
      <c r="F696">
        <v>0.42</v>
      </c>
      <c r="G696" t="s">
        <v>14</v>
      </c>
    </row>
    <row r="697" spans="1:7" x14ac:dyDescent="0.25">
      <c r="A697">
        <v>58</v>
      </c>
      <c r="B697" t="s">
        <v>169</v>
      </c>
      <c r="C697">
        <v>120</v>
      </c>
      <c r="D697" t="s">
        <v>244</v>
      </c>
      <c r="E697" t="s">
        <v>11</v>
      </c>
      <c r="F697">
        <v>2</v>
      </c>
      <c r="G697" t="s">
        <v>16</v>
      </c>
    </row>
    <row r="698" spans="1:7" x14ac:dyDescent="0.25">
      <c r="A698">
        <v>59</v>
      </c>
      <c r="B698" t="s">
        <v>170</v>
      </c>
      <c r="C698">
        <v>10</v>
      </c>
      <c r="D698" t="s">
        <v>320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170</v>
      </c>
      <c r="C699">
        <v>20</v>
      </c>
      <c r="D699" t="s">
        <v>151</v>
      </c>
      <c r="E699" t="s">
        <v>15</v>
      </c>
      <c r="F699">
        <v>3.0990000000000002</v>
      </c>
      <c r="G699" t="s">
        <v>16</v>
      </c>
    </row>
    <row r="700" spans="1:7" x14ac:dyDescent="0.25">
      <c r="A700">
        <v>59</v>
      </c>
      <c r="B700" t="s">
        <v>170</v>
      </c>
      <c r="C700">
        <v>30</v>
      </c>
      <c r="D700" t="s">
        <v>18</v>
      </c>
      <c r="E700" t="s">
        <v>15</v>
      </c>
      <c r="F700">
        <v>113.386</v>
      </c>
      <c r="G700" t="s">
        <v>14</v>
      </c>
    </row>
    <row r="701" spans="1:7" x14ac:dyDescent="0.25">
      <c r="A701">
        <v>59</v>
      </c>
      <c r="B701" t="s">
        <v>170</v>
      </c>
      <c r="C701">
        <v>40</v>
      </c>
      <c r="D701" t="s">
        <v>105</v>
      </c>
      <c r="E701" t="s">
        <v>106</v>
      </c>
      <c r="F701">
        <v>0.92</v>
      </c>
      <c r="G701" t="s">
        <v>14</v>
      </c>
    </row>
    <row r="702" spans="1:7" x14ac:dyDescent="0.25">
      <c r="A702">
        <v>59</v>
      </c>
      <c r="B702" t="s">
        <v>170</v>
      </c>
      <c r="C702">
        <v>50</v>
      </c>
      <c r="D702" t="s">
        <v>107</v>
      </c>
      <c r="E702" t="s">
        <v>15</v>
      </c>
      <c r="F702">
        <v>14.427</v>
      </c>
      <c r="G702" t="s">
        <v>14</v>
      </c>
    </row>
    <row r="703" spans="1:7" x14ac:dyDescent="0.25">
      <c r="A703">
        <v>59</v>
      </c>
      <c r="B703" t="s">
        <v>170</v>
      </c>
      <c r="C703">
        <v>60</v>
      </c>
      <c r="D703" t="s">
        <v>18</v>
      </c>
      <c r="E703" t="s">
        <v>15</v>
      </c>
      <c r="F703">
        <v>88.727000000000004</v>
      </c>
      <c r="G703" t="s">
        <v>14</v>
      </c>
    </row>
    <row r="704" spans="1:7" x14ac:dyDescent="0.25">
      <c r="A704">
        <v>59</v>
      </c>
      <c r="B704" t="s">
        <v>170</v>
      </c>
      <c r="C704">
        <v>70</v>
      </c>
      <c r="D704" t="s">
        <v>111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170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170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170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170</v>
      </c>
      <c r="C708">
        <v>110</v>
      </c>
      <c r="D708" t="s">
        <v>109</v>
      </c>
      <c r="E708" t="s">
        <v>13</v>
      </c>
      <c r="F708">
        <v>0.51</v>
      </c>
      <c r="G708" t="s">
        <v>14</v>
      </c>
    </row>
    <row r="709" spans="1:7" x14ac:dyDescent="0.25">
      <c r="A709">
        <v>59</v>
      </c>
      <c r="B709" t="s">
        <v>170</v>
      </c>
      <c r="C709">
        <v>120</v>
      </c>
      <c r="D709" t="s">
        <v>245</v>
      </c>
      <c r="E709" t="s">
        <v>11</v>
      </c>
      <c r="F709">
        <v>2</v>
      </c>
      <c r="G709" t="s">
        <v>16</v>
      </c>
    </row>
    <row r="710" spans="1:7" x14ac:dyDescent="0.25">
      <c r="A710">
        <v>60</v>
      </c>
      <c r="B710" t="s">
        <v>171</v>
      </c>
      <c r="C710">
        <v>10</v>
      </c>
      <c r="D710" t="s">
        <v>321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171</v>
      </c>
      <c r="C711">
        <v>20</v>
      </c>
      <c r="D711" t="s">
        <v>151</v>
      </c>
      <c r="E711" t="s">
        <v>15</v>
      </c>
      <c r="F711">
        <v>3.4039999999999999</v>
      </c>
      <c r="G711" t="s">
        <v>16</v>
      </c>
    </row>
    <row r="712" spans="1:7" x14ac:dyDescent="0.25">
      <c r="A712">
        <v>60</v>
      </c>
      <c r="B712" t="s">
        <v>171</v>
      </c>
      <c r="C712">
        <v>30</v>
      </c>
      <c r="D712" t="s">
        <v>18</v>
      </c>
      <c r="E712" t="s">
        <v>15</v>
      </c>
      <c r="F712">
        <v>118.262</v>
      </c>
      <c r="G712" t="s">
        <v>14</v>
      </c>
    </row>
    <row r="713" spans="1:7" x14ac:dyDescent="0.25">
      <c r="A713">
        <v>60</v>
      </c>
      <c r="B713" t="s">
        <v>171</v>
      </c>
      <c r="C713">
        <v>40</v>
      </c>
      <c r="D713" t="s">
        <v>105</v>
      </c>
      <c r="E713" t="s">
        <v>106</v>
      </c>
      <c r="F713">
        <v>1.014</v>
      </c>
      <c r="G713" t="s">
        <v>14</v>
      </c>
    </row>
    <row r="714" spans="1:7" x14ac:dyDescent="0.25">
      <c r="A714">
        <v>60</v>
      </c>
      <c r="B714" t="s">
        <v>171</v>
      </c>
      <c r="C714">
        <v>50</v>
      </c>
      <c r="D714" t="s">
        <v>107</v>
      </c>
      <c r="E714" t="s">
        <v>15</v>
      </c>
      <c r="F714">
        <v>15.037000000000001</v>
      </c>
      <c r="G714" t="s">
        <v>14</v>
      </c>
    </row>
    <row r="715" spans="1:7" x14ac:dyDescent="0.25">
      <c r="A715">
        <v>60</v>
      </c>
      <c r="B715" t="s">
        <v>171</v>
      </c>
      <c r="C715">
        <v>60</v>
      </c>
      <c r="D715" t="s">
        <v>18</v>
      </c>
      <c r="E715" t="s">
        <v>15</v>
      </c>
      <c r="F715">
        <v>92.475999999999999</v>
      </c>
      <c r="G715" t="s">
        <v>14</v>
      </c>
    </row>
    <row r="716" spans="1:7" x14ac:dyDescent="0.25">
      <c r="A716">
        <v>60</v>
      </c>
      <c r="B716" t="s">
        <v>171</v>
      </c>
      <c r="C716">
        <v>70</v>
      </c>
      <c r="D716" t="s">
        <v>111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171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171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171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171</v>
      </c>
      <c r="C720">
        <v>110</v>
      </c>
      <c r="D720" t="s">
        <v>109</v>
      </c>
      <c r="E720" t="s">
        <v>13</v>
      </c>
      <c r="F720">
        <v>0.55500000000000005</v>
      </c>
      <c r="G720" t="s">
        <v>14</v>
      </c>
    </row>
    <row r="721" spans="1:7" x14ac:dyDescent="0.25">
      <c r="A721">
        <v>60</v>
      </c>
      <c r="B721" t="s">
        <v>171</v>
      </c>
      <c r="C721">
        <v>120</v>
      </c>
      <c r="D721" t="s">
        <v>246</v>
      </c>
      <c r="E721" t="s">
        <v>11</v>
      </c>
      <c r="F721">
        <v>2</v>
      </c>
      <c r="G721" t="s">
        <v>16</v>
      </c>
    </row>
    <row r="722" spans="1:7" x14ac:dyDescent="0.25">
      <c r="A722">
        <v>61</v>
      </c>
      <c r="B722" t="s">
        <v>172</v>
      </c>
      <c r="C722">
        <v>10</v>
      </c>
      <c r="D722" t="s">
        <v>322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172</v>
      </c>
      <c r="C723">
        <v>20</v>
      </c>
      <c r="D723" t="s">
        <v>151</v>
      </c>
      <c r="E723" t="s">
        <v>15</v>
      </c>
      <c r="F723">
        <v>3.7080000000000002</v>
      </c>
      <c r="G723" t="s">
        <v>16</v>
      </c>
    </row>
    <row r="724" spans="1:7" x14ac:dyDescent="0.25">
      <c r="A724">
        <v>61</v>
      </c>
      <c r="B724" t="s">
        <v>172</v>
      </c>
      <c r="C724">
        <v>30</v>
      </c>
      <c r="D724" t="s">
        <v>18</v>
      </c>
      <c r="E724" t="s">
        <v>15</v>
      </c>
      <c r="F724">
        <v>123.139</v>
      </c>
      <c r="G724" t="s">
        <v>14</v>
      </c>
    </row>
    <row r="725" spans="1:7" x14ac:dyDescent="0.25">
      <c r="A725">
        <v>61</v>
      </c>
      <c r="B725" t="s">
        <v>172</v>
      </c>
      <c r="C725">
        <v>40</v>
      </c>
      <c r="D725" t="s">
        <v>105</v>
      </c>
      <c r="E725" t="s">
        <v>106</v>
      </c>
      <c r="F725">
        <v>1.107</v>
      </c>
      <c r="G725" t="s">
        <v>14</v>
      </c>
    </row>
    <row r="726" spans="1:7" x14ac:dyDescent="0.25">
      <c r="A726">
        <v>61</v>
      </c>
      <c r="B726" t="s">
        <v>172</v>
      </c>
      <c r="C726">
        <v>50</v>
      </c>
      <c r="D726" t="s">
        <v>107</v>
      </c>
      <c r="E726" t="s">
        <v>15</v>
      </c>
      <c r="F726">
        <v>15.646000000000001</v>
      </c>
      <c r="G726" t="s">
        <v>14</v>
      </c>
    </row>
    <row r="727" spans="1:7" x14ac:dyDescent="0.25">
      <c r="A727">
        <v>61</v>
      </c>
      <c r="B727" t="s">
        <v>172</v>
      </c>
      <c r="C727">
        <v>60</v>
      </c>
      <c r="D727" t="s">
        <v>18</v>
      </c>
      <c r="E727" t="s">
        <v>15</v>
      </c>
      <c r="F727">
        <v>96.224999999999994</v>
      </c>
      <c r="G727" t="s">
        <v>14</v>
      </c>
    </row>
    <row r="728" spans="1:7" x14ac:dyDescent="0.25">
      <c r="A728">
        <v>61</v>
      </c>
      <c r="B728" t="s">
        <v>172</v>
      </c>
      <c r="C728">
        <v>70</v>
      </c>
      <c r="D728" t="s">
        <v>111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172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172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172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172</v>
      </c>
      <c r="C732">
        <v>110</v>
      </c>
      <c r="D732" t="s">
        <v>109</v>
      </c>
      <c r="E732" t="s">
        <v>13</v>
      </c>
      <c r="F732">
        <v>0.60099999999999998</v>
      </c>
      <c r="G732" t="s">
        <v>14</v>
      </c>
    </row>
    <row r="733" spans="1:7" x14ac:dyDescent="0.25">
      <c r="A733">
        <v>61</v>
      </c>
      <c r="B733" t="s">
        <v>172</v>
      </c>
      <c r="C733">
        <v>120</v>
      </c>
      <c r="D733" t="s">
        <v>247</v>
      </c>
      <c r="E733" t="s">
        <v>11</v>
      </c>
      <c r="F733">
        <v>2</v>
      </c>
      <c r="G733" t="s">
        <v>16</v>
      </c>
    </row>
    <row r="734" spans="1:7" x14ac:dyDescent="0.25">
      <c r="A734">
        <v>62</v>
      </c>
      <c r="B734" t="s">
        <v>173</v>
      </c>
      <c r="C734">
        <v>10</v>
      </c>
      <c r="D734" t="s">
        <v>323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173</v>
      </c>
      <c r="C735">
        <v>20</v>
      </c>
      <c r="D735" t="s">
        <v>151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173</v>
      </c>
      <c r="C736">
        <v>30</v>
      </c>
      <c r="D736" t="s">
        <v>18</v>
      </c>
      <c r="E736" t="s">
        <v>15</v>
      </c>
      <c r="F736">
        <v>90.626999999999995</v>
      </c>
      <c r="G736" t="s">
        <v>14</v>
      </c>
    </row>
    <row r="737" spans="1:7" x14ac:dyDescent="0.25">
      <c r="A737">
        <v>62</v>
      </c>
      <c r="B737" t="s">
        <v>173</v>
      </c>
      <c r="C737">
        <v>40</v>
      </c>
      <c r="D737" t="s">
        <v>105</v>
      </c>
      <c r="E737" t="s">
        <v>106</v>
      </c>
      <c r="F737">
        <v>0.46400000000000002</v>
      </c>
      <c r="G737" t="s">
        <v>14</v>
      </c>
    </row>
    <row r="738" spans="1:7" x14ac:dyDescent="0.25">
      <c r="A738">
        <v>62</v>
      </c>
      <c r="B738" t="s">
        <v>173</v>
      </c>
      <c r="C738">
        <v>50</v>
      </c>
      <c r="D738" t="s">
        <v>107</v>
      </c>
      <c r="E738" t="s">
        <v>15</v>
      </c>
      <c r="F738">
        <v>11.582000000000001</v>
      </c>
      <c r="G738" t="s">
        <v>14</v>
      </c>
    </row>
    <row r="739" spans="1:7" x14ac:dyDescent="0.25">
      <c r="A739">
        <v>62</v>
      </c>
      <c r="B739" t="s">
        <v>173</v>
      </c>
      <c r="C739">
        <v>60</v>
      </c>
      <c r="D739" t="s">
        <v>18</v>
      </c>
      <c r="E739" t="s">
        <v>15</v>
      </c>
      <c r="F739">
        <v>71.231999999999999</v>
      </c>
      <c r="G739" t="s">
        <v>14</v>
      </c>
    </row>
    <row r="740" spans="1:7" x14ac:dyDescent="0.25">
      <c r="A740">
        <v>62</v>
      </c>
      <c r="B740" t="s">
        <v>173</v>
      </c>
      <c r="C740">
        <v>70</v>
      </c>
      <c r="D740" t="s">
        <v>111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173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173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173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173</v>
      </c>
      <c r="C744">
        <v>110</v>
      </c>
      <c r="D744" t="s">
        <v>109</v>
      </c>
      <c r="E744" t="s">
        <v>13</v>
      </c>
      <c r="F744">
        <v>0.66100000000000003</v>
      </c>
      <c r="G744" t="s">
        <v>14</v>
      </c>
    </row>
    <row r="745" spans="1:7" x14ac:dyDescent="0.25">
      <c r="A745">
        <v>62</v>
      </c>
      <c r="B745" t="s">
        <v>173</v>
      </c>
      <c r="C745">
        <v>120</v>
      </c>
      <c r="D745" t="s">
        <v>248</v>
      </c>
      <c r="E745" t="s">
        <v>11</v>
      </c>
      <c r="F745">
        <v>2</v>
      </c>
      <c r="G745" t="s">
        <v>16</v>
      </c>
    </row>
    <row r="746" spans="1:7" x14ac:dyDescent="0.25">
      <c r="A746">
        <v>63</v>
      </c>
      <c r="B746" t="s">
        <v>174</v>
      </c>
      <c r="C746">
        <v>10</v>
      </c>
      <c r="D746" t="s">
        <v>324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174</v>
      </c>
      <c r="C747">
        <v>20</v>
      </c>
      <c r="D747" t="s">
        <v>151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174</v>
      </c>
      <c r="C748">
        <v>30</v>
      </c>
      <c r="D748" t="s">
        <v>18</v>
      </c>
      <c r="E748" t="s">
        <v>15</v>
      </c>
      <c r="F748">
        <v>95.504000000000005</v>
      </c>
      <c r="G748" t="s">
        <v>14</v>
      </c>
    </row>
    <row r="749" spans="1:7" x14ac:dyDescent="0.25">
      <c r="A749">
        <v>63</v>
      </c>
      <c r="B749" t="s">
        <v>174</v>
      </c>
      <c r="C749">
        <v>40</v>
      </c>
      <c r="D749" t="s">
        <v>105</v>
      </c>
      <c r="E749" t="s">
        <v>106</v>
      </c>
      <c r="F749">
        <v>0.56000000000000005</v>
      </c>
      <c r="G749" t="s">
        <v>14</v>
      </c>
    </row>
    <row r="750" spans="1:7" x14ac:dyDescent="0.25">
      <c r="A750">
        <v>63</v>
      </c>
      <c r="B750" t="s">
        <v>174</v>
      </c>
      <c r="C750">
        <v>50</v>
      </c>
      <c r="D750" t="s">
        <v>107</v>
      </c>
      <c r="E750" t="s">
        <v>15</v>
      </c>
      <c r="F750">
        <v>12.192</v>
      </c>
      <c r="G750" t="s">
        <v>14</v>
      </c>
    </row>
    <row r="751" spans="1:7" x14ac:dyDescent="0.25">
      <c r="A751">
        <v>63</v>
      </c>
      <c r="B751" t="s">
        <v>174</v>
      </c>
      <c r="C751">
        <v>60</v>
      </c>
      <c r="D751" t="s">
        <v>18</v>
      </c>
      <c r="E751" t="s">
        <v>15</v>
      </c>
      <c r="F751">
        <v>74.980999999999995</v>
      </c>
      <c r="G751" t="s">
        <v>14</v>
      </c>
    </row>
    <row r="752" spans="1:7" x14ac:dyDescent="0.25">
      <c r="A752">
        <v>63</v>
      </c>
      <c r="B752" t="s">
        <v>174</v>
      </c>
      <c r="C752">
        <v>70</v>
      </c>
      <c r="D752" t="s">
        <v>111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174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174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174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174</v>
      </c>
      <c r="C756">
        <v>110</v>
      </c>
      <c r="D756" t="s">
        <v>109</v>
      </c>
      <c r="E756" t="s">
        <v>13</v>
      </c>
      <c r="F756">
        <v>0.66100000000000003</v>
      </c>
      <c r="G756" t="s">
        <v>14</v>
      </c>
    </row>
    <row r="757" spans="1:7" x14ac:dyDescent="0.25">
      <c r="A757">
        <v>63</v>
      </c>
      <c r="B757" t="s">
        <v>174</v>
      </c>
      <c r="C757">
        <v>120</v>
      </c>
      <c r="D757" t="s">
        <v>249</v>
      </c>
      <c r="E757" t="s">
        <v>11</v>
      </c>
      <c r="F757">
        <v>2</v>
      </c>
      <c r="G757" t="s">
        <v>16</v>
      </c>
    </row>
    <row r="758" spans="1:7" x14ac:dyDescent="0.25">
      <c r="A758">
        <v>64</v>
      </c>
      <c r="B758" t="s">
        <v>175</v>
      </c>
      <c r="C758">
        <v>10</v>
      </c>
      <c r="D758" t="s">
        <v>325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175</v>
      </c>
      <c r="C759">
        <v>20</v>
      </c>
      <c r="D759" t="s">
        <v>151</v>
      </c>
      <c r="E759" t="s">
        <v>15</v>
      </c>
      <c r="F759">
        <v>4.1150000000000002</v>
      </c>
      <c r="G759" t="s">
        <v>16</v>
      </c>
    </row>
    <row r="760" spans="1:7" x14ac:dyDescent="0.25">
      <c r="A760">
        <v>64</v>
      </c>
      <c r="B760" t="s">
        <v>175</v>
      </c>
      <c r="C760">
        <v>30</v>
      </c>
      <c r="D760" t="s">
        <v>18</v>
      </c>
      <c r="E760" t="s">
        <v>15</v>
      </c>
      <c r="F760">
        <v>100.381</v>
      </c>
      <c r="G760" t="s">
        <v>14</v>
      </c>
    </row>
    <row r="761" spans="1:7" x14ac:dyDescent="0.25">
      <c r="A761">
        <v>64</v>
      </c>
      <c r="B761" t="s">
        <v>175</v>
      </c>
      <c r="C761">
        <v>40</v>
      </c>
      <c r="D761" t="s">
        <v>105</v>
      </c>
      <c r="E761" t="s">
        <v>106</v>
      </c>
      <c r="F761">
        <v>0.65600000000000003</v>
      </c>
      <c r="G761" t="s">
        <v>14</v>
      </c>
    </row>
    <row r="762" spans="1:7" x14ac:dyDescent="0.25">
      <c r="A762">
        <v>64</v>
      </c>
      <c r="B762" t="s">
        <v>175</v>
      </c>
      <c r="C762">
        <v>50</v>
      </c>
      <c r="D762" t="s">
        <v>107</v>
      </c>
      <c r="E762" t="s">
        <v>15</v>
      </c>
      <c r="F762">
        <v>12.802</v>
      </c>
      <c r="G762" t="s">
        <v>14</v>
      </c>
    </row>
    <row r="763" spans="1:7" x14ac:dyDescent="0.25">
      <c r="A763">
        <v>64</v>
      </c>
      <c r="B763" t="s">
        <v>175</v>
      </c>
      <c r="C763">
        <v>60</v>
      </c>
      <c r="D763" t="s">
        <v>18</v>
      </c>
      <c r="E763" t="s">
        <v>15</v>
      </c>
      <c r="F763">
        <v>78.73</v>
      </c>
      <c r="G763" t="s">
        <v>14</v>
      </c>
    </row>
    <row r="764" spans="1:7" x14ac:dyDescent="0.25">
      <c r="A764">
        <v>64</v>
      </c>
      <c r="B764" t="s">
        <v>175</v>
      </c>
      <c r="C764">
        <v>70</v>
      </c>
      <c r="D764" t="s">
        <v>111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175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175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175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175</v>
      </c>
      <c r="C768">
        <v>110</v>
      </c>
      <c r="D768" t="s">
        <v>109</v>
      </c>
      <c r="E768" t="s">
        <v>13</v>
      </c>
      <c r="F768">
        <v>0.66100000000000003</v>
      </c>
      <c r="G768" t="s">
        <v>14</v>
      </c>
    </row>
    <row r="769" spans="1:7" x14ac:dyDescent="0.25">
      <c r="A769">
        <v>64</v>
      </c>
      <c r="B769" t="s">
        <v>175</v>
      </c>
      <c r="C769">
        <v>120</v>
      </c>
      <c r="D769" t="s">
        <v>250</v>
      </c>
      <c r="E769" t="s">
        <v>11</v>
      </c>
      <c r="F769">
        <v>2</v>
      </c>
      <c r="G769" t="s">
        <v>16</v>
      </c>
    </row>
    <row r="770" spans="1:7" x14ac:dyDescent="0.25">
      <c r="A770">
        <v>65</v>
      </c>
      <c r="B770" t="s">
        <v>176</v>
      </c>
      <c r="C770">
        <v>10</v>
      </c>
      <c r="D770" t="s">
        <v>326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176</v>
      </c>
      <c r="C771">
        <v>20</v>
      </c>
      <c r="D771" t="s">
        <v>151</v>
      </c>
      <c r="E771" t="s">
        <v>15</v>
      </c>
      <c r="F771">
        <v>4.1150000000000002</v>
      </c>
      <c r="G771" t="s">
        <v>16</v>
      </c>
    </row>
    <row r="772" spans="1:7" x14ac:dyDescent="0.25">
      <c r="A772">
        <v>65</v>
      </c>
      <c r="B772" t="s">
        <v>176</v>
      </c>
      <c r="C772">
        <v>30</v>
      </c>
      <c r="D772" t="s">
        <v>18</v>
      </c>
      <c r="E772" t="s">
        <v>15</v>
      </c>
      <c r="F772">
        <v>105.258</v>
      </c>
      <c r="G772" t="s">
        <v>14</v>
      </c>
    </row>
    <row r="773" spans="1:7" x14ac:dyDescent="0.25">
      <c r="A773">
        <v>65</v>
      </c>
      <c r="B773" t="s">
        <v>176</v>
      </c>
      <c r="C773">
        <v>40</v>
      </c>
      <c r="D773" t="s">
        <v>105</v>
      </c>
      <c r="E773" t="s">
        <v>106</v>
      </c>
      <c r="F773">
        <v>0.752</v>
      </c>
      <c r="G773" t="s">
        <v>14</v>
      </c>
    </row>
    <row r="774" spans="1:7" x14ac:dyDescent="0.25">
      <c r="A774">
        <v>65</v>
      </c>
      <c r="B774" t="s">
        <v>176</v>
      </c>
      <c r="C774">
        <v>50</v>
      </c>
      <c r="D774" t="s">
        <v>107</v>
      </c>
      <c r="E774" t="s">
        <v>15</v>
      </c>
      <c r="F774">
        <v>13.411</v>
      </c>
      <c r="G774" t="s">
        <v>14</v>
      </c>
    </row>
    <row r="775" spans="1:7" x14ac:dyDescent="0.25">
      <c r="A775">
        <v>65</v>
      </c>
      <c r="B775" t="s">
        <v>176</v>
      </c>
      <c r="C775">
        <v>60</v>
      </c>
      <c r="D775" t="s">
        <v>18</v>
      </c>
      <c r="E775" t="s">
        <v>15</v>
      </c>
      <c r="F775">
        <v>82.478999999999999</v>
      </c>
      <c r="G775" t="s">
        <v>14</v>
      </c>
    </row>
    <row r="776" spans="1:7" x14ac:dyDescent="0.25">
      <c r="A776">
        <v>65</v>
      </c>
      <c r="B776" t="s">
        <v>176</v>
      </c>
      <c r="C776">
        <v>70</v>
      </c>
      <c r="D776" t="s">
        <v>111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176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176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176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176</v>
      </c>
      <c r="C780">
        <v>110</v>
      </c>
      <c r="D780" t="s">
        <v>109</v>
      </c>
      <c r="E780" t="s">
        <v>13</v>
      </c>
      <c r="F780">
        <v>0.66100000000000003</v>
      </c>
      <c r="G780" t="s">
        <v>14</v>
      </c>
    </row>
    <row r="781" spans="1:7" x14ac:dyDescent="0.25">
      <c r="A781">
        <v>65</v>
      </c>
      <c r="B781" t="s">
        <v>176</v>
      </c>
      <c r="C781">
        <v>120</v>
      </c>
      <c r="D781" t="s">
        <v>251</v>
      </c>
      <c r="E781" t="s">
        <v>11</v>
      </c>
      <c r="F781">
        <v>2</v>
      </c>
      <c r="G781" t="s">
        <v>16</v>
      </c>
    </row>
    <row r="782" spans="1:7" x14ac:dyDescent="0.25">
      <c r="A782">
        <v>66</v>
      </c>
      <c r="B782" t="s">
        <v>177</v>
      </c>
      <c r="C782">
        <v>10</v>
      </c>
      <c r="D782" t="s">
        <v>327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177</v>
      </c>
      <c r="C783">
        <v>20</v>
      </c>
      <c r="D783" t="s">
        <v>151</v>
      </c>
      <c r="E783" t="s">
        <v>15</v>
      </c>
      <c r="F783">
        <v>4.1150000000000002</v>
      </c>
      <c r="G783" t="s">
        <v>16</v>
      </c>
    </row>
    <row r="784" spans="1:7" x14ac:dyDescent="0.25">
      <c r="A784">
        <v>66</v>
      </c>
      <c r="B784" t="s">
        <v>177</v>
      </c>
      <c r="C784">
        <v>30</v>
      </c>
      <c r="D784" t="s">
        <v>18</v>
      </c>
      <c r="E784" t="s">
        <v>15</v>
      </c>
      <c r="F784">
        <v>115.011</v>
      </c>
      <c r="G784" t="s">
        <v>14</v>
      </c>
    </row>
    <row r="785" spans="1:7" x14ac:dyDescent="0.25">
      <c r="A785">
        <v>66</v>
      </c>
      <c r="B785" t="s">
        <v>177</v>
      </c>
      <c r="C785">
        <v>40</v>
      </c>
      <c r="D785" t="s">
        <v>105</v>
      </c>
      <c r="E785" t="s">
        <v>106</v>
      </c>
      <c r="F785">
        <v>0.94399999999999995</v>
      </c>
      <c r="G785" t="s">
        <v>14</v>
      </c>
    </row>
    <row r="786" spans="1:7" x14ac:dyDescent="0.25">
      <c r="A786">
        <v>66</v>
      </c>
      <c r="B786" t="s">
        <v>177</v>
      </c>
      <c r="C786">
        <v>50</v>
      </c>
      <c r="D786" t="s">
        <v>107</v>
      </c>
      <c r="E786" t="s">
        <v>15</v>
      </c>
      <c r="F786">
        <v>14.63</v>
      </c>
      <c r="G786" t="s">
        <v>14</v>
      </c>
    </row>
    <row r="787" spans="1:7" x14ac:dyDescent="0.25">
      <c r="A787">
        <v>66</v>
      </c>
      <c r="B787" t="s">
        <v>177</v>
      </c>
      <c r="C787">
        <v>60</v>
      </c>
      <c r="D787" t="s">
        <v>18</v>
      </c>
      <c r="E787" t="s">
        <v>15</v>
      </c>
      <c r="F787">
        <v>89.977000000000004</v>
      </c>
      <c r="G787" t="s">
        <v>14</v>
      </c>
    </row>
    <row r="788" spans="1:7" x14ac:dyDescent="0.25">
      <c r="A788">
        <v>66</v>
      </c>
      <c r="B788" t="s">
        <v>177</v>
      </c>
      <c r="C788">
        <v>70</v>
      </c>
      <c r="D788" t="s">
        <v>111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177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177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177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177</v>
      </c>
      <c r="C792">
        <v>110</v>
      </c>
      <c r="D792" t="s">
        <v>109</v>
      </c>
      <c r="E792" t="s">
        <v>13</v>
      </c>
      <c r="F792">
        <v>0.66100000000000003</v>
      </c>
      <c r="G792" t="s">
        <v>14</v>
      </c>
    </row>
    <row r="793" spans="1:7" x14ac:dyDescent="0.25">
      <c r="A793">
        <v>66</v>
      </c>
      <c r="B793" t="s">
        <v>177</v>
      </c>
      <c r="C793">
        <v>120</v>
      </c>
      <c r="D793" t="s">
        <v>252</v>
      </c>
      <c r="E793" t="s">
        <v>11</v>
      </c>
      <c r="F793">
        <v>2</v>
      </c>
      <c r="G793" t="s">
        <v>16</v>
      </c>
    </row>
    <row r="794" spans="1:7" x14ac:dyDescent="0.25">
      <c r="A794">
        <v>67</v>
      </c>
      <c r="B794" t="s">
        <v>178</v>
      </c>
      <c r="C794">
        <v>10</v>
      </c>
      <c r="D794" t="s">
        <v>328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178</v>
      </c>
      <c r="C795">
        <v>20</v>
      </c>
      <c r="D795" t="s">
        <v>151</v>
      </c>
      <c r="E795" t="s">
        <v>15</v>
      </c>
      <c r="F795">
        <v>4.1150000000000002</v>
      </c>
      <c r="G795" t="s">
        <v>16</v>
      </c>
    </row>
    <row r="796" spans="1:7" x14ac:dyDescent="0.25">
      <c r="A796">
        <v>67</v>
      </c>
      <c r="B796" t="s">
        <v>178</v>
      </c>
      <c r="C796">
        <v>30</v>
      </c>
      <c r="D796" t="s">
        <v>18</v>
      </c>
      <c r="E796" t="s">
        <v>15</v>
      </c>
      <c r="F796">
        <v>119.88800000000001</v>
      </c>
      <c r="G796" t="s">
        <v>14</v>
      </c>
    </row>
    <row r="797" spans="1:7" x14ac:dyDescent="0.25">
      <c r="A797">
        <v>67</v>
      </c>
      <c r="B797" t="s">
        <v>178</v>
      </c>
      <c r="C797">
        <v>40</v>
      </c>
      <c r="D797" t="s">
        <v>105</v>
      </c>
      <c r="E797" t="s">
        <v>106</v>
      </c>
      <c r="F797">
        <v>1.04</v>
      </c>
      <c r="G797" t="s">
        <v>14</v>
      </c>
    </row>
    <row r="798" spans="1:7" x14ac:dyDescent="0.25">
      <c r="A798">
        <v>67</v>
      </c>
      <c r="B798" t="s">
        <v>178</v>
      </c>
      <c r="C798">
        <v>50</v>
      </c>
      <c r="D798" t="s">
        <v>107</v>
      </c>
      <c r="E798" t="s">
        <v>15</v>
      </c>
      <c r="F798">
        <v>15.24</v>
      </c>
      <c r="G798" t="s">
        <v>14</v>
      </c>
    </row>
    <row r="799" spans="1:7" x14ac:dyDescent="0.25">
      <c r="A799">
        <v>67</v>
      </c>
      <c r="B799" t="s">
        <v>178</v>
      </c>
      <c r="C799">
        <v>60</v>
      </c>
      <c r="D799" t="s">
        <v>18</v>
      </c>
      <c r="E799" t="s">
        <v>15</v>
      </c>
      <c r="F799">
        <v>93.725999999999999</v>
      </c>
      <c r="G799" t="s">
        <v>14</v>
      </c>
    </row>
    <row r="800" spans="1:7" x14ac:dyDescent="0.25">
      <c r="A800">
        <v>67</v>
      </c>
      <c r="B800" t="s">
        <v>178</v>
      </c>
      <c r="C800">
        <v>70</v>
      </c>
      <c r="D800" t="s">
        <v>111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178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178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178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178</v>
      </c>
      <c r="C804">
        <v>110</v>
      </c>
      <c r="D804" t="s">
        <v>109</v>
      </c>
      <c r="E804" t="s">
        <v>13</v>
      </c>
      <c r="F804">
        <v>0.66100000000000003</v>
      </c>
      <c r="G804" t="s">
        <v>14</v>
      </c>
    </row>
    <row r="805" spans="1:7" x14ac:dyDescent="0.25">
      <c r="A805">
        <v>67</v>
      </c>
      <c r="B805" t="s">
        <v>178</v>
      </c>
      <c r="C805">
        <v>120</v>
      </c>
      <c r="D805" t="s">
        <v>253</v>
      </c>
      <c r="E805" t="s">
        <v>11</v>
      </c>
      <c r="F805">
        <v>2</v>
      </c>
      <c r="G805" t="s">
        <v>16</v>
      </c>
    </row>
    <row r="806" spans="1:7" x14ac:dyDescent="0.25">
      <c r="A806">
        <v>68</v>
      </c>
      <c r="B806" t="s">
        <v>179</v>
      </c>
      <c r="C806">
        <v>10</v>
      </c>
      <c r="D806" t="s">
        <v>329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179</v>
      </c>
      <c r="C807">
        <v>20</v>
      </c>
      <c r="D807" t="s">
        <v>151</v>
      </c>
      <c r="E807" t="s">
        <v>15</v>
      </c>
      <c r="F807">
        <v>4.1150000000000002</v>
      </c>
      <c r="G807" t="s">
        <v>16</v>
      </c>
    </row>
    <row r="808" spans="1:7" x14ac:dyDescent="0.25">
      <c r="A808">
        <v>68</v>
      </c>
      <c r="B808" t="s">
        <v>179</v>
      </c>
      <c r="C808">
        <v>30</v>
      </c>
      <c r="D808" t="s">
        <v>18</v>
      </c>
      <c r="E808" t="s">
        <v>15</v>
      </c>
      <c r="F808">
        <v>124.765</v>
      </c>
      <c r="G808" t="s">
        <v>14</v>
      </c>
    </row>
    <row r="809" spans="1:7" x14ac:dyDescent="0.25">
      <c r="A809">
        <v>68</v>
      </c>
      <c r="B809" t="s">
        <v>179</v>
      </c>
      <c r="C809">
        <v>40</v>
      </c>
      <c r="D809" t="s">
        <v>105</v>
      </c>
      <c r="E809" t="s">
        <v>106</v>
      </c>
      <c r="F809">
        <v>1.1359999999999999</v>
      </c>
      <c r="G809" t="s">
        <v>14</v>
      </c>
    </row>
    <row r="810" spans="1:7" x14ac:dyDescent="0.25">
      <c r="A810">
        <v>68</v>
      </c>
      <c r="B810" t="s">
        <v>179</v>
      </c>
      <c r="C810">
        <v>50</v>
      </c>
      <c r="D810" t="s">
        <v>107</v>
      </c>
      <c r="E810" t="s">
        <v>15</v>
      </c>
      <c r="F810">
        <v>15.85</v>
      </c>
      <c r="G810" t="s">
        <v>14</v>
      </c>
    </row>
    <row r="811" spans="1:7" x14ac:dyDescent="0.25">
      <c r="A811">
        <v>68</v>
      </c>
      <c r="B811" t="s">
        <v>179</v>
      </c>
      <c r="C811">
        <v>60</v>
      </c>
      <c r="D811" t="s">
        <v>18</v>
      </c>
      <c r="E811" t="s">
        <v>15</v>
      </c>
      <c r="F811">
        <v>97.474999999999994</v>
      </c>
      <c r="G811" t="s">
        <v>14</v>
      </c>
    </row>
    <row r="812" spans="1:7" x14ac:dyDescent="0.25">
      <c r="A812">
        <v>68</v>
      </c>
      <c r="B812" t="s">
        <v>179</v>
      </c>
      <c r="C812">
        <v>70</v>
      </c>
      <c r="D812" t="s">
        <v>111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179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179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179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179</v>
      </c>
      <c r="C816">
        <v>110</v>
      </c>
      <c r="D816" t="s">
        <v>109</v>
      </c>
      <c r="E816" t="s">
        <v>13</v>
      </c>
      <c r="F816">
        <v>0.66100000000000003</v>
      </c>
      <c r="G816" t="s">
        <v>14</v>
      </c>
    </row>
    <row r="817" spans="1:7" x14ac:dyDescent="0.25">
      <c r="A817">
        <v>68</v>
      </c>
      <c r="B817" t="s">
        <v>179</v>
      </c>
      <c r="C817">
        <v>120</v>
      </c>
      <c r="D817" t="s">
        <v>254</v>
      </c>
      <c r="E817" t="s">
        <v>11</v>
      </c>
      <c r="F817">
        <v>2</v>
      </c>
      <c r="G817" t="s">
        <v>16</v>
      </c>
    </row>
    <row r="818" spans="1:7" x14ac:dyDescent="0.25">
      <c r="A818">
        <v>69</v>
      </c>
      <c r="B818" t="s">
        <v>180</v>
      </c>
      <c r="C818">
        <v>10</v>
      </c>
      <c r="D818" t="s">
        <v>330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180</v>
      </c>
      <c r="C819">
        <v>20</v>
      </c>
      <c r="D819" t="s">
        <v>151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180</v>
      </c>
      <c r="C820">
        <v>30</v>
      </c>
      <c r="D820" t="s">
        <v>18</v>
      </c>
      <c r="E820" t="s">
        <v>15</v>
      </c>
      <c r="F820">
        <v>93.878</v>
      </c>
      <c r="G820" t="s">
        <v>14</v>
      </c>
    </row>
    <row r="821" spans="1:7" x14ac:dyDescent="0.25">
      <c r="A821">
        <v>69</v>
      </c>
      <c r="B821" t="s">
        <v>180</v>
      </c>
      <c r="C821">
        <v>40</v>
      </c>
      <c r="D821" t="s">
        <v>105</v>
      </c>
      <c r="E821" t="s">
        <v>106</v>
      </c>
      <c r="F821">
        <v>0.48699999999999999</v>
      </c>
      <c r="G821" t="s">
        <v>14</v>
      </c>
    </row>
    <row r="822" spans="1:7" x14ac:dyDescent="0.25">
      <c r="A822">
        <v>69</v>
      </c>
      <c r="B822" t="s">
        <v>180</v>
      </c>
      <c r="C822">
        <v>50</v>
      </c>
      <c r="D822" t="s">
        <v>107</v>
      </c>
      <c r="E822" t="s">
        <v>15</v>
      </c>
      <c r="F822">
        <v>11.989000000000001</v>
      </c>
      <c r="G822" t="s">
        <v>14</v>
      </c>
    </row>
    <row r="823" spans="1:7" x14ac:dyDescent="0.25">
      <c r="A823">
        <v>69</v>
      </c>
      <c r="B823" t="s">
        <v>180</v>
      </c>
      <c r="C823">
        <v>60</v>
      </c>
      <c r="D823" t="s">
        <v>18</v>
      </c>
      <c r="E823" t="s">
        <v>15</v>
      </c>
      <c r="F823">
        <v>73.730999999999995</v>
      </c>
      <c r="G823" t="s">
        <v>14</v>
      </c>
    </row>
    <row r="824" spans="1:7" x14ac:dyDescent="0.25">
      <c r="A824">
        <v>69</v>
      </c>
      <c r="B824" t="s">
        <v>180</v>
      </c>
      <c r="C824">
        <v>70</v>
      </c>
      <c r="D824" t="s">
        <v>111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180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180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180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180</v>
      </c>
      <c r="C828">
        <v>110</v>
      </c>
      <c r="D828" t="s">
        <v>109</v>
      </c>
      <c r="E828" t="s">
        <v>13</v>
      </c>
      <c r="F828">
        <v>0.69099999999999995</v>
      </c>
      <c r="G828" t="s">
        <v>14</v>
      </c>
    </row>
    <row r="829" spans="1:7" x14ac:dyDescent="0.25">
      <c r="A829">
        <v>69</v>
      </c>
      <c r="B829" t="s">
        <v>180</v>
      </c>
      <c r="C829">
        <v>120</v>
      </c>
      <c r="D829" t="s">
        <v>255</v>
      </c>
      <c r="E829" t="s">
        <v>11</v>
      </c>
      <c r="F829">
        <v>2</v>
      </c>
      <c r="G829" t="s">
        <v>16</v>
      </c>
    </row>
    <row r="830" spans="1:7" x14ac:dyDescent="0.25">
      <c r="A830">
        <v>70</v>
      </c>
      <c r="B830" t="s">
        <v>181</v>
      </c>
      <c r="C830">
        <v>10</v>
      </c>
      <c r="D830" t="s">
        <v>331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181</v>
      </c>
      <c r="C831">
        <v>20</v>
      </c>
      <c r="D831" t="s">
        <v>151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181</v>
      </c>
      <c r="C832">
        <v>30</v>
      </c>
      <c r="D832" t="s">
        <v>18</v>
      </c>
      <c r="E832" t="s">
        <v>15</v>
      </c>
      <c r="F832">
        <v>98.754999999999995</v>
      </c>
      <c r="G832" t="s">
        <v>14</v>
      </c>
    </row>
    <row r="833" spans="1:7" x14ac:dyDescent="0.25">
      <c r="A833">
        <v>70</v>
      </c>
      <c r="B833" t="s">
        <v>181</v>
      </c>
      <c r="C833">
        <v>40</v>
      </c>
      <c r="D833" t="s">
        <v>105</v>
      </c>
      <c r="E833" t="s">
        <v>106</v>
      </c>
      <c r="F833">
        <v>0.58799999999999997</v>
      </c>
      <c r="G833" t="s">
        <v>14</v>
      </c>
    </row>
    <row r="834" spans="1:7" x14ac:dyDescent="0.25">
      <c r="A834">
        <v>70</v>
      </c>
      <c r="B834" t="s">
        <v>181</v>
      </c>
      <c r="C834">
        <v>50</v>
      </c>
      <c r="D834" t="s">
        <v>107</v>
      </c>
      <c r="E834" t="s">
        <v>15</v>
      </c>
      <c r="F834">
        <v>12.598000000000001</v>
      </c>
      <c r="G834" t="s">
        <v>14</v>
      </c>
    </row>
    <row r="835" spans="1:7" x14ac:dyDescent="0.25">
      <c r="A835">
        <v>70</v>
      </c>
      <c r="B835" t="s">
        <v>181</v>
      </c>
      <c r="C835">
        <v>60</v>
      </c>
      <c r="D835" t="s">
        <v>18</v>
      </c>
      <c r="E835" t="s">
        <v>15</v>
      </c>
      <c r="F835">
        <v>77.48</v>
      </c>
      <c r="G835" t="s">
        <v>14</v>
      </c>
    </row>
    <row r="836" spans="1:7" x14ac:dyDescent="0.25">
      <c r="A836">
        <v>70</v>
      </c>
      <c r="B836" t="s">
        <v>181</v>
      </c>
      <c r="C836">
        <v>70</v>
      </c>
      <c r="D836" t="s">
        <v>111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181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181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181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181</v>
      </c>
      <c r="C840">
        <v>110</v>
      </c>
      <c r="D840" t="s">
        <v>109</v>
      </c>
      <c r="E840" t="s">
        <v>13</v>
      </c>
      <c r="F840">
        <v>0.69099999999999995</v>
      </c>
      <c r="G840" t="s">
        <v>14</v>
      </c>
    </row>
    <row r="841" spans="1:7" x14ac:dyDescent="0.25">
      <c r="A841">
        <v>70</v>
      </c>
      <c r="B841" t="s">
        <v>181</v>
      </c>
      <c r="C841">
        <v>120</v>
      </c>
      <c r="D841" t="s">
        <v>256</v>
      </c>
      <c r="E841" t="s">
        <v>11</v>
      </c>
      <c r="F841">
        <v>2</v>
      </c>
      <c r="G841" t="s">
        <v>16</v>
      </c>
    </row>
    <row r="842" spans="1:7" x14ac:dyDescent="0.25">
      <c r="A842">
        <v>71</v>
      </c>
      <c r="B842" t="s">
        <v>182</v>
      </c>
      <c r="C842">
        <v>10</v>
      </c>
      <c r="D842" t="s">
        <v>332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182</v>
      </c>
      <c r="C843">
        <v>20</v>
      </c>
      <c r="D843" t="s">
        <v>151</v>
      </c>
      <c r="E843" t="s">
        <v>15</v>
      </c>
      <c r="F843">
        <v>4.3179999999999996</v>
      </c>
      <c r="G843" t="s">
        <v>16</v>
      </c>
    </row>
    <row r="844" spans="1:7" x14ac:dyDescent="0.25">
      <c r="A844">
        <v>71</v>
      </c>
      <c r="B844" t="s">
        <v>182</v>
      </c>
      <c r="C844">
        <v>30</v>
      </c>
      <c r="D844" t="s">
        <v>18</v>
      </c>
      <c r="E844" t="s">
        <v>15</v>
      </c>
      <c r="F844">
        <v>103.63200000000001</v>
      </c>
      <c r="G844" t="s">
        <v>14</v>
      </c>
    </row>
    <row r="845" spans="1:7" x14ac:dyDescent="0.25">
      <c r="A845">
        <v>71</v>
      </c>
      <c r="B845" t="s">
        <v>182</v>
      </c>
      <c r="C845">
        <v>40</v>
      </c>
      <c r="D845" t="s">
        <v>105</v>
      </c>
      <c r="E845" t="s">
        <v>106</v>
      </c>
      <c r="F845">
        <v>0.68899999999999995</v>
      </c>
      <c r="G845" t="s">
        <v>14</v>
      </c>
    </row>
    <row r="846" spans="1:7" x14ac:dyDescent="0.25">
      <c r="A846">
        <v>71</v>
      </c>
      <c r="B846" t="s">
        <v>182</v>
      </c>
      <c r="C846">
        <v>50</v>
      </c>
      <c r="D846" t="s">
        <v>107</v>
      </c>
      <c r="E846" t="s">
        <v>15</v>
      </c>
      <c r="F846">
        <v>13.208</v>
      </c>
      <c r="G846" t="s">
        <v>14</v>
      </c>
    </row>
    <row r="847" spans="1:7" x14ac:dyDescent="0.25">
      <c r="A847">
        <v>71</v>
      </c>
      <c r="B847" t="s">
        <v>182</v>
      </c>
      <c r="C847">
        <v>60</v>
      </c>
      <c r="D847" t="s">
        <v>18</v>
      </c>
      <c r="E847" t="s">
        <v>15</v>
      </c>
      <c r="F847">
        <v>81.228999999999999</v>
      </c>
      <c r="G847" t="s">
        <v>14</v>
      </c>
    </row>
    <row r="848" spans="1:7" x14ac:dyDescent="0.25">
      <c r="A848">
        <v>71</v>
      </c>
      <c r="B848" t="s">
        <v>182</v>
      </c>
      <c r="C848">
        <v>70</v>
      </c>
      <c r="D848" t="s">
        <v>111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182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182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182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182</v>
      </c>
      <c r="C852">
        <v>110</v>
      </c>
      <c r="D852" t="s">
        <v>109</v>
      </c>
      <c r="E852" t="s">
        <v>13</v>
      </c>
      <c r="F852">
        <v>0.69099999999999995</v>
      </c>
      <c r="G852" t="s">
        <v>14</v>
      </c>
    </row>
    <row r="853" spans="1:7" x14ac:dyDescent="0.25">
      <c r="A853">
        <v>71</v>
      </c>
      <c r="B853" t="s">
        <v>182</v>
      </c>
      <c r="C853">
        <v>120</v>
      </c>
      <c r="D853" t="s">
        <v>257</v>
      </c>
      <c r="E853" t="s">
        <v>11</v>
      </c>
      <c r="F853">
        <v>2</v>
      </c>
      <c r="G853" t="s">
        <v>16</v>
      </c>
    </row>
    <row r="854" spans="1:7" x14ac:dyDescent="0.25">
      <c r="A854">
        <v>72</v>
      </c>
      <c r="B854" t="s">
        <v>183</v>
      </c>
      <c r="C854">
        <v>10</v>
      </c>
      <c r="D854" t="s">
        <v>333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183</v>
      </c>
      <c r="C855">
        <v>20</v>
      </c>
      <c r="D855" t="s">
        <v>151</v>
      </c>
      <c r="E855" t="s">
        <v>15</v>
      </c>
      <c r="F855">
        <v>4.3179999999999996</v>
      </c>
      <c r="G855" t="s">
        <v>16</v>
      </c>
    </row>
    <row r="856" spans="1:7" x14ac:dyDescent="0.25">
      <c r="A856">
        <v>72</v>
      </c>
      <c r="B856" t="s">
        <v>183</v>
      </c>
      <c r="C856">
        <v>30</v>
      </c>
      <c r="D856" t="s">
        <v>18</v>
      </c>
      <c r="E856" t="s">
        <v>15</v>
      </c>
      <c r="F856">
        <v>108.509</v>
      </c>
      <c r="G856" t="s">
        <v>14</v>
      </c>
    </row>
    <row r="857" spans="1:7" x14ac:dyDescent="0.25">
      <c r="A857">
        <v>72</v>
      </c>
      <c r="B857" t="s">
        <v>183</v>
      </c>
      <c r="C857">
        <v>40</v>
      </c>
      <c r="D857" t="s">
        <v>105</v>
      </c>
      <c r="E857" t="s">
        <v>106</v>
      </c>
      <c r="F857">
        <v>0.79</v>
      </c>
      <c r="G857" t="s">
        <v>14</v>
      </c>
    </row>
    <row r="858" spans="1:7" x14ac:dyDescent="0.25">
      <c r="A858">
        <v>72</v>
      </c>
      <c r="B858" t="s">
        <v>183</v>
      </c>
      <c r="C858">
        <v>50</v>
      </c>
      <c r="D858" t="s">
        <v>107</v>
      </c>
      <c r="E858" t="s">
        <v>15</v>
      </c>
      <c r="F858">
        <v>13.818</v>
      </c>
      <c r="G858" t="s">
        <v>14</v>
      </c>
    </row>
    <row r="859" spans="1:7" x14ac:dyDescent="0.25">
      <c r="A859">
        <v>72</v>
      </c>
      <c r="B859" t="s">
        <v>183</v>
      </c>
      <c r="C859">
        <v>60</v>
      </c>
      <c r="D859" t="s">
        <v>18</v>
      </c>
      <c r="E859" t="s">
        <v>15</v>
      </c>
      <c r="F859">
        <v>84.977999999999994</v>
      </c>
      <c r="G859" t="s">
        <v>14</v>
      </c>
    </row>
    <row r="860" spans="1:7" x14ac:dyDescent="0.25">
      <c r="A860">
        <v>72</v>
      </c>
      <c r="B860" t="s">
        <v>183</v>
      </c>
      <c r="C860">
        <v>70</v>
      </c>
      <c r="D860" t="s">
        <v>111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183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183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183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183</v>
      </c>
      <c r="C864">
        <v>110</v>
      </c>
      <c r="D864" t="s">
        <v>109</v>
      </c>
      <c r="E864" t="s">
        <v>13</v>
      </c>
      <c r="F864">
        <v>0.69099999999999995</v>
      </c>
      <c r="G864" t="s">
        <v>14</v>
      </c>
    </row>
    <row r="865" spans="1:7" x14ac:dyDescent="0.25">
      <c r="A865">
        <v>72</v>
      </c>
      <c r="B865" t="s">
        <v>183</v>
      </c>
      <c r="C865">
        <v>120</v>
      </c>
      <c r="D865" t="s">
        <v>258</v>
      </c>
      <c r="E865" t="s">
        <v>11</v>
      </c>
      <c r="F865">
        <v>2</v>
      </c>
      <c r="G865" t="s">
        <v>16</v>
      </c>
    </row>
    <row r="866" spans="1:7" x14ac:dyDescent="0.25">
      <c r="A866">
        <v>73</v>
      </c>
      <c r="B866" t="s">
        <v>184</v>
      </c>
      <c r="C866">
        <v>10</v>
      </c>
      <c r="D866" t="s">
        <v>334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184</v>
      </c>
      <c r="C867">
        <v>20</v>
      </c>
      <c r="D867" t="s">
        <v>151</v>
      </c>
      <c r="E867" t="s">
        <v>15</v>
      </c>
      <c r="F867">
        <v>4.3179999999999996</v>
      </c>
      <c r="G867" t="s">
        <v>16</v>
      </c>
    </row>
    <row r="868" spans="1:7" x14ac:dyDescent="0.25">
      <c r="A868">
        <v>73</v>
      </c>
      <c r="B868" t="s">
        <v>184</v>
      </c>
      <c r="C868">
        <v>30</v>
      </c>
      <c r="D868" t="s">
        <v>18</v>
      </c>
      <c r="E868" t="s">
        <v>15</v>
      </c>
      <c r="F868">
        <v>118.262</v>
      </c>
      <c r="G868" t="s">
        <v>14</v>
      </c>
    </row>
    <row r="869" spans="1:7" x14ac:dyDescent="0.25">
      <c r="A869">
        <v>73</v>
      </c>
      <c r="B869" t="s">
        <v>184</v>
      </c>
      <c r="C869">
        <v>40</v>
      </c>
      <c r="D869" t="s">
        <v>105</v>
      </c>
      <c r="E869" t="s">
        <v>106</v>
      </c>
      <c r="F869">
        <v>0.99199999999999999</v>
      </c>
      <c r="G869" t="s">
        <v>14</v>
      </c>
    </row>
    <row r="870" spans="1:7" x14ac:dyDescent="0.25">
      <c r="A870">
        <v>73</v>
      </c>
      <c r="B870" t="s">
        <v>184</v>
      </c>
      <c r="C870">
        <v>50</v>
      </c>
      <c r="D870" t="s">
        <v>107</v>
      </c>
      <c r="E870" t="s">
        <v>15</v>
      </c>
      <c r="F870">
        <v>15.037000000000001</v>
      </c>
      <c r="G870" t="s">
        <v>14</v>
      </c>
    </row>
    <row r="871" spans="1:7" x14ac:dyDescent="0.25">
      <c r="A871">
        <v>73</v>
      </c>
      <c r="B871" t="s">
        <v>184</v>
      </c>
      <c r="C871">
        <v>60</v>
      </c>
      <c r="D871" t="s">
        <v>18</v>
      </c>
      <c r="E871" t="s">
        <v>15</v>
      </c>
      <c r="F871">
        <v>92.475999999999999</v>
      </c>
      <c r="G871" t="s">
        <v>14</v>
      </c>
    </row>
    <row r="872" spans="1:7" x14ac:dyDescent="0.25">
      <c r="A872">
        <v>73</v>
      </c>
      <c r="B872" t="s">
        <v>184</v>
      </c>
      <c r="C872">
        <v>70</v>
      </c>
      <c r="D872" t="s">
        <v>111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184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184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184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184</v>
      </c>
      <c r="C876">
        <v>110</v>
      </c>
      <c r="D876" t="s">
        <v>109</v>
      </c>
      <c r="E876" t="s">
        <v>13</v>
      </c>
      <c r="F876">
        <v>0.69099999999999995</v>
      </c>
      <c r="G876" t="s">
        <v>14</v>
      </c>
    </row>
    <row r="877" spans="1:7" x14ac:dyDescent="0.25">
      <c r="A877">
        <v>73</v>
      </c>
      <c r="B877" t="s">
        <v>184</v>
      </c>
      <c r="C877">
        <v>120</v>
      </c>
      <c r="D877" t="s">
        <v>259</v>
      </c>
      <c r="E877" t="s">
        <v>11</v>
      </c>
      <c r="F877">
        <v>2</v>
      </c>
      <c r="G877" t="s">
        <v>16</v>
      </c>
    </row>
    <row r="878" spans="1:7" x14ac:dyDescent="0.25">
      <c r="A878">
        <v>74</v>
      </c>
      <c r="B878" t="s">
        <v>185</v>
      </c>
      <c r="C878">
        <v>10</v>
      </c>
      <c r="D878" t="s">
        <v>335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185</v>
      </c>
      <c r="C879">
        <v>20</v>
      </c>
      <c r="D879" t="s">
        <v>151</v>
      </c>
      <c r="E879" t="s">
        <v>15</v>
      </c>
      <c r="F879">
        <v>4.3179999999999996</v>
      </c>
      <c r="G879" t="s">
        <v>16</v>
      </c>
    </row>
    <row r="880" spans="1:7" x14ac:dyDescent="0.25">
      <c r="A880">
        <v>74</v>
      </c>
      <c r="B880" t="s">
        <v>185</v>
      </c>
      <c r="C880">
        <v>30</v>
      </c>
      <c r="D880" t="s">
        <v>18</v>
      </c>
      <c r="E880" t="s">
        <v>15</v>
      </c>
      <c r="F880">
        <v>123.139</v>
      </c>
      <c r="G880" t="s">
        <v>14</v>
      </c>
    </row>
    <row r="881" spans="1:7" x14ac:dyDescent="0.25">
      <c r="A881">
        <v>74</v>
      </c>
      <c r="B881" t="s">
        <v>185</v>
      </c>
      <c r="C881">
        <v>40</v>
      </c>
      <c r="D881" t="s">
        <v>105</v>
      </c>
      <c r="E881" t="s">
        <v>106</v>
      </c>
      <c r="F881">
        <v>1.0920000000000001</v>
      </c>
      <c r="G881" t="s">
        <v>14</v>
      </c>
    </row>
    <row r="882" spans="1:7" x14ac:dyDescent="0.25">
      <c r="A882">
        <v>74</v>
      </c>
      <c r="B882" t="s">
        <v>185</v>
      </c>
      <c r="C882">
        <v>50</v>
      </c>
      <c r="D882" t="s">
        <v>107</v>
      </c>
      <c r="E882" t="s">
        <v>15</v>
      </c>
      <c r="F882">
        <v>15.646000000000001</v>
      </c>
      <c r="G882" t="s">
        <v>14</v>
      </c>
    </row>
    <row r="883" spans="1:7" x14ac:dyDescent="0.25">
      <c r="A883">
        <v>74</v>
      </c>
      <c r="B883" t="s">
        <v>185</v>
      </c>
      <c r="C883">
        <v>60</v>
      </c>
      <c r="D883" t="s">
        <v>18</v>
      </c>
      <c r="E883" t="s">
        <v>15</v>
      </c>
      <c r="F883">
        <v>96.224999999999994</v>
      </c>
      <c r="G883" t="s">
        <v>14</v>
      </c>
    </row>
    <row r="884" spans="1:7" x14ac:dyDescent="0.25">
      <c r="A884">
        <v>74</v>
      </c>
      <c r="B884" t="s">
        <v>185</v>
      </c>
      <c r="C884">
        <v>70</v>
      </c>
      <c r="D884" t="s">
        <v>111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185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185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185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185</v>
      </c>
      <c r="C888">
        <v>110</v>
      </c>
      <c r="D888" t="s">
        <v>109</v>
      </c>
      <c r="E888" t="s">
        <v>13</v>
      </c>
      <c r="F888">
        <v>0.69099999999999995</v>
      </c>
      <c r="G888" t="s">
        <v>14</v>
      </c>
    </row>
    <row r="889" spans="1:7" x14ac:dyDescent="0.25">
      <c r="A889">
        <v>74</v>
      </c>
      <c r="B889" t="s">
        <v>185</v>
      </c>
      <c r="C889">
        <v>120</v>
      </c>
      <c r="D889" t="s">
        <v>260</v>
      </c>
      <c r="E889" t="s">
        <v>11</v>
      </c>
      <c r="F889">
        <v>2</v>
      </c>
      <c r="G889" t="s">
        <v>16</v>
      </c>
    </row>
    <row r="890" spans="1:7" x14ac:dyDescent="0.25">
      <c r="A890">
        <v>75</v>
      </c>
      <c r="B890" t="s">
        <v>186</v>
      </c>
      <c r="C890">
        <v>10</v>
      </c>
      <c r="D890" t="s">
        <v>336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186</v>
      </c>
      <c r="C891">
        <v>20</v>
      </c>
      <c r="D891" t="s">
        <v>151</v>
      </c>
      <c r="E891" t="s">
        <v>15</v>
      </c>
      <c r="F891">
        <v>4.3179999999999996</v>
      </c>
      <c r="G891" t="s">
        <v>16</v>
      </c>
    </row>
    <row r="892" spans="1:7" x14ac:dyDescent="0.25">
      <c r="A892">
        <v>75</v>
      </c>
      <c r="B892" t="s">
        <v>186</v>
      </c>
      <c r="C892">
        <v>30</v>
      </c>
      <c r="D892" t="s">
        <v>18</v>
      </c>
      <c r="E892" t="s">
        <v>15</v>
      </c>
      <c r="F892">
        <v>128.01599999999999</v>
      </c>
      <c r="G892" t="s">
        <v>14</v>
      </c>
    </row>
    <row r="893" spans="1:7" x14ac:dyDescent="0.25">
      <c r="A893">
        <v>75</v>
      </c>
      <c r="B893" t="s">
        <v>186</v>
      </c>
      <c r="C893">
        <v>40</v>
      </c>
      <c r="D893" t="s">
        <v>105</v>
      </c>
      <c r="E893" t="s">
        <v>106</v>
      </c>
      <c r="F893">
        <v>1.1930000000000001</v>
      </c>
      <c r="G893" t="s">
        <v>14</v>
      </c>
    </row>
    <row r="894" spans="1:7" x14ac:dyDescent="0.25">
      <c r="A894">
        <v>75</v>
      </c>
      <c r="B894" t="s">
        <v>186</v>
      </c>
      <c r="C894">
        <v>50</v>
      </c>
      <c r="D894" t="s">
        <v>107</v>
      </c>
      <c r="E894" t="s">
        <v>15</v>
      </c>
      <c r="F894">
        <v>16.256</v>
      </c>
      <c r="G894" t="s">
        <v>14</v>
      </c>
    </row>
    <row r="895" spans="1:7" x14ac:dyDescent="0.25">
      <c r="A895">
        <v>75</v>
      </c>
      <c r="B895" t="s">
        <v>186</v>
      </c>
      <c r="C895">
        <v>60</v>
      </c>
      <c r="D895" t="s">
        <v>18</v>
      </c>
      <c r="E895" t="s">
        <v>15</v>
      </c>
      <c r="F895">
        <v>99.974000000000004</v>
      </c>
      <c r="G895" t="s">
        <v>14</v>
      </c>
    </row>
    <row r="896" spans="1:7" x14ac:dyDescent="0.25">
      <c r="A896">
        <v>75</v>
      </c>
      <c r="B896" t="s">
        <v>186</v>
      </c>
      <c r="C896">
        <v>70</v>
      </c>
      <c r="D896" t="s">
        <v>111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186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186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186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186</v>
      </c>
      <c r="C900">
        <v>110</v>
      </c>
      <c r="D900" t="s">
        <v>109</v>
      </c>
      <c r="E900" t="s">
        <v>13</v>
      </c>
      <c r="F900">
        <v>0.69099999999999995</v>
      </c>
      <c r="G900" t="s">
        <v>14</v>
      </c>
    </row>
    <row r="901" spans="1:7" x14ac:dyDescent="0.25">
      <c r="A901">
        <v>75</v>
      </c>
      <c r="B901" t="s">
        <v>186</v>
      </c>
      <c r="C901">
        <v>120</v>
      </c>
      <c r="D901" t="s">
        <v>261</v>
      </c>
      <c r="E901" t="s">
        <v>11</v>
      </c>
      <c r="F901">
        <v>2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26</v>
      </c>
      <c r="B1" s="45" t="s">
        <v>27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28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29</v>
      </c>
      <c r="C2" s="42" t="s">
        <v>30</v>
      </c>
      <c r="D2" s="42" t="s">
        <v>31</v>
      </c>
      <c r="E2" s="42" t="s">
        <v>30</v>
      </c>
      <c r="F2" s="42" t="s">
        <v>31</v>
      </c>
      <c r="G2" s="42" t="s">
        <v>29</v>
      </c>
      <c r="H2" s="42" t="s">
        <v>31</v>
      </c>
      <c r="I2" s="42" t="s">
        <v>31</v>
      </c>
      <c r="J2" s="42" t="s">
        <v>31</v>
      </c>
      <c r="K2" s="42" t="s">
        <v>31</v>
      </c>
      <c r="L2" s="42" t="s">
        <v>29</v>
      </c>
      <c r="M2" s="43" t="s">
        <v>32</v>
      </c>
      <c r="N2" s="26" t="s">
        <v>32</v>
      </c>
      <c r="O2" s="43" t="s">
        <v>32</v>
      </c>
      <c r="P2" s="43" t="s">
        <v>33</v>
      </c>
      <c r="Q2" s="43" t="s">
        <v>32</v>
      </c>
      <c r="R2" s="43" t="s">
        <v>33</v>
      </c>
      <c r="S2" s="43" t="s">
        <v>32</v>
      </c>
      <c r="T2" s="43" t="s">
        <v>32</v>
      </c>
      <c r="U2" s="43" t="s">
        <v>33</v>
      </c>
      <c r="V2" s="43" t="s">
        <v>32</v>
      </c>
      <c r="W2" s="43" t="s">
        <v>32</v>
      </c>
      <c r="X2" s="43" t="s">
        <v>32</v>
      </c>
      <c r="Y2" s="43" t="s">
        <v>33</v>
      </c>
      <c r="Z2" s="43" t="s">
        <v>34</v>
      </c>
      <c r="AA2" s="43" t="s">
        <v>32</v>
      </c>
      <c r="AB2" s="43" t="s">
        <v>32</v>
      </c>
      <c r="AC2" s="43" t="s">
        <v>32</v>
      </c>
      <c r="AD2" s="43" t="s">
        <v>32</v>
      </c>
      <c r="AE2" s="43" t="s">
        <v>32</v>
      </c>
      <c r="AF2" s="43" t="s">
        <v>32</v>
      </c>
      <c r="AG2" s="43" t="s">
        <v>34</v>
      </c>
      <c r="AH2" s="43" t="s">
        <v>34</v>
      </c>
      <c r="AI2" s="43" t="s">
        <v>34</v>
      </c>
      <c r="AJ2" s="43" t="s">
        <v>32</v>
      </c>
      <c r="AK2" s="43" t="s">
        <v>32</v>
      </c>
      <c r="AL2" s="43" t="s">
        <v>32</v>
      </c>
    </row>
    <row r="3" spans="1:38" x14ac:dyDescent="0.25">
      <c r="A3" s="44"/>
      <c r="B3" s="42" t="s">
        <v>35</v>
      </c>
      <c r="C3" s="42" t="s">
        <v>36</v>
      </c>
      <c r="D3" s="42" t="s">
        <v>37</v>
      </c>
      <c r="E3" s="42" t="s">
        <v>36</v>
      </c>
      <c r="F3" s="42" t="s">
        <v>38</v>
      </c>
      <c r="G3" s="42" t="s">
        <v>39</v>
      </c>
      <c r="H3" s="42" t="s">
        <v>40</v>
      </c>
      <c r="I3" s="42" t="s">
        <v>41</v>
      </c>
      <c r="J3" s="42" t="s">
        <v>36</v>
      </c>
      <c r="K3" s="42" t="s">
        <v>36</v>
      </c>
      <c r="L3" s="42" t="s">
        <v>42</v>
      </c>
      <c r="M3" s="43" t="s">
        <v>43</v>
      </c>
      <c r="N3" s="26" t="s">
        <v>36</v>
      </c>
      <c r="O3" s="43" t="s">
        <v>38</v>
      </c>
      <c r="P3" s="43" t="s">
        <v>44</v>
      </c>
      <c r="Q3" s="43" t="s">
        <v>41</v>
      </c>
      <c r="R3" s="43" t="s">
        <v>40</v>
      </c>
      <c r="S3" s="43" t="s">
        <v>45</v>
      </c>
      <c r="T3" s="43" t="s">
        <v>43</v>
      </c>
      <c r="U3" s="43" t="s">
        <v>46</v>
      </c>
      <c r="V3" s="43" t="s">
        <v>40</v>
      </c>
      <c r="W3" s="43" t="s">
        <v>41</v>
      </c>
      <c r="X3" s="43" t="s">
        <v>41</v>
      </c>
      <c r="Y3" s="43" t="s">
        <v>35</v>
      </c>
      <c r="Z3" s="43" t="s">
        <v>42</v>
      </c>
      <c r="AA3" s="43" t="s">
        <v>47</v>
      </c>
      <c r="AB3" s="43" t="s">
        <v>47</v>
      </c>
      <c r="AC3" s="43" t="s">
        <v>41</v>
      </c>
      <c r="AD3" s="43" t="s">
        <v>41</v>
      </c>
      <c r="AE3" s="43" t="s">
        <v>46</v>
      </c>
      <c r="AF3" s="43" t="s">
        <v>45</v>
      </c>
      <c r="AG3" s="43" t="s">
        <v>35</v>
      </c>
      <c r="AH3" s="43" t="s">
        <v>42</v>
      </c>
      <c r="AI3" s="43" t="s">
        <v>42</v>
      </c>
      <c r="AJ3" s="43" t="s">
        <v>36</v>
      </c>
      <c r="AK3" s="43" t="s">
        <v>38</v>
      </c>
      <c r="AL3" s="43" t="s">
        <v>48</v>
      </c>
    </row>
    <row r="4" spans="1:38" x14ac:dyDescent="0.25">
      <c r="A4" s="44"/>
      <c r="B4" s="27" t="s">
        <v>49</v>
      </c>
      <c r="C4" s="27" t="s">
        <v>50</v>
      </c>
      <c r="D4" s="42" t="s">
        <v>51</v>
      </c>
      <c r="E4" s="27" t="s">
        <v>3</v>
      </c>
      <c r="F4" s="42" t="s">
        <v>52</v>
      </c>
      <c r="G4" s="27" t="s">
        <v>53</v>
      </c>
      <c r="H4" s="27" t="s">
        <v>6</v>
      </c>
      <c r="I4" s="27" t="s">
        <v>54</v>
      </c>
      <c r="J4" s="42" t="s">
        <v>55</v>
      </c>
      <c r="K4" s="42" t="s">
        <v>56</v>
      </c>
      <c r="L4" s="42" t="s">
        <v>57</v>
      </c>
      <c r="M4" s="28" t="s">
        <v>58</v>
      </c>
      <c r="N4" s="29" t="s">
        <v>3</v>
      </c>
      <c r="O4" s="43" t="s">
        <v>52</v>
      </c>
      <c r="P4" s="43" t="s">
        <v>59</v>
      </c>
      <c r="Q4" s="43" t="s">
        <v>60</v>
      </c>
      <c r="R4" s="43" t="s">
        <v>4</v>
      </c>
      <c r="S4" s="43" t="s">
        <v>61</v>
      </c>
      <c r="T4" s="43" t="s">
        <v>62</v>
      </c>
      <c r="U4" s="43" t="s">
        <v>63</v>
      </c>
      <c r="V4" s="43" t="s">
        <v>6</v>
      </c>
      <c r="W4" s="43" t="s">
        <v>64</v>
      </c>
      <c r="X4" s="43" t="s">
        <v>65</v>
      </c>
      <c r="Y4" s="43" t="s">
        <v>66</v>
      </c>
      <c r="Z4" s="43" t="s">
        <v>67</v>
      </c>
      <c r="AA4" s="43" t="s">
        <v>68</v>
      </c>
      <c r="AB4" s="43" t="s">
        <v>69</v>
      </c>
      <c r="AC4" s="43" t="s">
        <v>70</v>
      </c>
      <c r="AD4" s="43" t="s">
        <v>71</v>
      </c>
      <c r="AE4" s="43" t="s">
        <v>72</v>
      </c>
      <c r="AF4" s="43" t="s">
        <v>73</v>
      </c>
      <c r="AG4" s="43" t="s">
        <v>74</v>
      </c>
      <c r="AH4" s="43" t="s">
        <v>75</v>
      </c>
      <c r="AI4" s="43" t="s">
        <v>76</v>
      </c>
      <c r="AJ4" s="43" t="s">
        <v>77</v>
      </c>
      <c r="AK4" s="43" t="s">
        <v>78</v>
      </c>
      <c r="AL4" s="43" t="s">
        <v>79</v>
      </c>
    </row>
    <row r="5" spans="1:38" x14ac:dyDescent="0.25">
      <c r="A5" s="3">
        <v>1</v>
      </c>
      <c r="B5" s="3" t="s">
        <v>89</v>
      </c>
      <c r="C5" s="3" t="s">
        <v>110</v>
      </c>
      <c r="D5" s="3"/>
      <c r="E5" s="3" t="s">
        <v>110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110</v>
      </c>
      <c r="D6" s="3"/>
      <c r="E6" s="3" t="s">
        <v>110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151</v>
      </c>
      <c r="O6" s="3"/>
      <c r="P6" s="3"/>
      <c r="Q6" s="3">
        <v>1.7270000000000001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110</v>
      </c>
      <c r="D7" s="3"/>
      <c r="E7" s="3" t="s">
        <v>110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18</v>
      </c>
      <c r="O7" s="3"/>
      <c r="P7" s="3"/>
      <c r="Q7" s="3">
        <v>86.563000000000002</v>
      </c>
      <c r="R7" s="3" t="s">
        <v>15</v>
      </c>
      <c r="S7" s="3"/>
      <c r="T7" s="3">
        <v>10</v>
      </c>
      <c r="U7" s="3"/>
      <c r="V7" s="3" t="s">
        <v>14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110</v>
      </c>
      <c r="D8" s="3"/>
      <c r="E8" s="3" t="s">
        <v>110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0.46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110</v>
      </c>
      <c r="D9" s="3"/>
      <c r="E9" s="3" t="s">
        <v>110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11.074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110</v>
      </c>
      <c r="D10" s="3"/>
      <c r="E10" s="3" t="s">
        <v>110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68.108000000000004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110</v>
      </c>
      <c r="D11" s="3"/>
      <c r="E11" s="3" t="s">
        <v>110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111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110</v>
      </c>
      <c r="D12" s="3"/>
      <c r="E12" s="3" t="s">
        <v>110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110</v>
      </c>
      <c r="D13" s="3"/>
      <c r="E13" s="3" t="s">
        <v>110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110</v>
      </c>
      <c r="D14" s="3"/>
      <c r="E14" s="3" t="s">
        <v>110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110</v>
      </c>
      <c r="D15" s="3"/>
      <c r="E15" s="3" t="s">
        <v>110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109</v>
      </c>
      <c r="O15" s="3"/>
      <c r="P15" s="3"/>
      <c r="Q15" s="3">
        <v>0.308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110</v>
      </c>
      <c r="D16" s="3"/>
      <c r="E16" s="3" t="s">
        <v>110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187</v>
      </c>
      <c r="O16" s="3"/>
      <c r="P16" s="3"/>
      <c r="Q16" s="3">
        <v>2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112</v>
      </c>
      <c r="D17" s="3"/>
      <c r="E17" s="3" t="s">
        <v>112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263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112</v>
      </c>
      <c r="D18" s="3"/>
      <c r="E18" s="3" t="s">
        <v>112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151</v>
      </c>
      <c r="O18" s="3"/>
      <c r="P18" s="3"/>
      <c r="Q18" s="3">
        <v>2.032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112</v>
      </c>
      <c r="D19" s="3"/>
      <c r="E19" s="3" t="s">
        <v>112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18</v>
      </c>
      <c r="O19" s="3"/>
      <c r="P19" s="3"/>
      <c r="Q19" s="3">
        <v>91.44</v>
      </c>
      <c r="R19" s="3" t="s">
        <v>15</v>
      </c>
      <c r="S19" s="3"/>
      <c r="T19" s="3">
        <v>10</v>
      </c>
      <c r="U19" s="3"/>
      <c r="V19" s="3" t="s">
        <v>14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112</v>
      </c>
      <c r="D20" s="3"/>
      <c r="E20" s="3" t="s">
        <v>112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105</v>
      </c>
      <c r="O20" s="3"/>
      <c r="P20" s="3"/>
      <c r="Q20" s="3">
        <v>0.54600000000000004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112</v>
      </c>
      <c r="D21" s="3"/>
      <c r="E21" s="3" t="s">
        <v>112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11.683999999999999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112</v>
      </c>
      <c r="D22" s="3"/>
      <c r="E22" s="3" t="s">
        <v>112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71.856999999999999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112</v>
      </c>
      <c r="D23" s="3"/>
      <c r="E23" s="3" t="s">
        <v>112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111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112</v>
      </c>
      <c r="D24" s="3"/>
      <c r="E24" s="3" t="s">
        <v>112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112</v>
      </c>
      <c r="D25" s="3"/>
      <c r="E25" s="3" t="s">
        <v>112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112</v>
      </c>
      <c r="D26" s="3"/>
      <c r="E26" s="3" t="s">
        <v>112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112</v>
      </c>
      <c r="D27" s="3"/>
      <c r="E27" s="3" t="s">
        <v>112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109</v>
      </c>
      <c r="O27" s="3"/>
      <c r="P27" s="3"/>
      <c r="Q27" s="3">
        <v>0.35299999999999998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112</v>
      </c>
      <c r="D28" s="3"/>
      <c r="E28" s="3" t="s">
        <v>112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188</v>
      </c>
      <c r="O28" s="3"/>
      <c r="P28" s="3"/>
      <c r="Q28" s="3">
        <v>2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113</v>
      </c>
      <c r="D29" s="3"/>
      <c r="E29" s="3" t="s">
        <v>113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264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113</v>
      </c>
      <c r="D30" s="3"/>
      <c r="E30" s="3" t="s">
        <v>113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151</v>
      </c>
      <c r="O30" s="3"/>
      <c r="P30" s="3"/>
      <c r="Q30" s="3">
        <v>2.3370000000000002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113</v>
      </c>
      <c r="D31" s="3"/>
      <c r="E31" s="3" t="s">
        <v>113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18</v>
      </c>
      <c r="O31" s="3"/>
      <c r="P31" s="3"/>
      <c r="Q31" s="3">
        <v>96.316999999999993</v>
      </c>
      <c r="R31" s="3" t="s">
        <v>15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113</v>
      </c>
      <c r="D32" s="3"/>
      <c r="E32" s="3" t="s">
        <v>113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105</v>
      </c>
      <c r="O32" s="3"/>
      <c r="P32" s="3"/>
      <c r="Q32" s="3">
        <v>0.63300000000000001</v>
      </c>
      <c r="R32" s="3" t="s">
        <v>106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113</v>
      </c>
      <c r="D33" s="3"/>
      <c r="E33" s="3" t="s">
        <v>113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12.294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113</v>
      </c>
      <c r="D34" s="3"/>
      <c r="E34" s="3" t="s">
        <v>113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75.605999999999995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113</v>
      </c>
      <c r="D35" s="3"/>
      <c r="E35" s="3" t="s">
        <v>113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111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113</v>
      </c>
      <c r="D36" s="3"/>
      <c r="E36" s="3" t="s">
        <v>113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113</v>
      </c>
      <c r="D37" s="3"/>
      <c r="E37" s="3" t="s">
        <v>113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113</v>
      </c>
      <c r="D38" s="3"/>
      <c r="E38" s="3" t="s">
        <v>113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113</v>
      </c>
      <c r="D39" s="3"/>
      <c r="E39" s="3" t="s">
        <v>113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109</v>
      </c>
      <c r="O39" s="3"/>
      <c r="P39" s="3"/>
      <c r="Q39" s="3">
        <v>0.39800000000000002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113</v>
      </c>
      <c r="D40" s="3"/>
      <c r="E40" s="3" t="s">
        <v>113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189</v>
      </c>
      <c r="O40" s="3"/>
      <c r="P40" s="3"/>
      <c r="Q40" s="3">
        <v>2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114</v>
      </c>
      <c r="D41" s="3"/>
      <c r="E41" s="3" t="s">
        <v>114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265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114</v>
      </c>
      <c r="D42" s="3"/>
      <c r="E42" s="3" t="s">
        <v>114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151</v>
      </c>
      <c r="O42" s="3"/>
      <c r="P42" s="3"/>
      <c r="Q42" s="3">
        <v>2.6419999999999999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114</v>
      </c>
      <c r="D43" s="3"/>
      <c r="E43" s="3" t="s">
        <v>114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18</v>
      </c>
      <c r="O43" s="3"/>
      <c r="P43" s="3"/>
      <c r="Q43" s="3">
        <v>101.194</v>
      </c>
      <c r="R43" s="3" t="s">
        <v>15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114</v>
      </c>
      <c r="D44" s="3"/>
      <c r="E44" s="3" t="s">
        <v>114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105</v>
      </c>
      <c r="O44" s="3"/>
      <c r="P44" s="3"/>
      <c r="Q44" s="3">
        <v>0.71899999999999997</v>
      </c>
      <c r="R44" s="3" t="s">
        <v>106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114</v>
      </c>
      <c r="D45" s="3"/>
      <c r="E45" s="3" t="s">
        <v>114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12.903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114</v>
      </c>
      <c r="D46" s="3"/>
      <c r="E46" s="3" t="s">
        <v>114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79.355000000000004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114</v>
      </c>
      <c r="D47" s="3"/>
      <c r="E47" s="3" t="s">
        <v>114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111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114</v>
      </c>
      <c r="D48" s="3"/>
      <c r="E48" s="3" t="s">
        <v>114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114</v>
      </c>
      <c r="D49" s="3"/>
      <c r="E49" s="3" t="s">
        <v>114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114</v>
      </c>
      <c r="D50" s="3"/>
      <c r="E50" s="3" t="s">
        <v>114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114</v>
      </c>
      <c r="D51" s="3"/>
      <c r="E51" s="3" t="s">
        <v>114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109</v>
      </c>
      <c r="O51" s="3"/>
      <c r="P51" s="3"/>
      <c r="Q51" s="3">
        <v>0.443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114</v>
      </c>
      <c r="D52" s="3"/>
      <c r="E52" s="3" t="s">
        <v>114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190</v>
      </c>
      <c r="O52" s="3"/>
      <c r="P52" s="3"/>
      <c r="Q52" s="3">
        <v>2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115</v>
      </c>
      <c r="D53" s="3"/>
      <c r="E53" s="3" t="s">
        <v>115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266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115</v>
      </c>
      <c r="D54" s="3"/>
      <c r="E54" s="3" t="s">
        <v>115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151</v>
      </c>
      <c r="O54" s="3"/>
      <c r="P54" s="3"/>
      <c r="Q54" s="3">
        <v>2.794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115</v>
      </c>
      <c r="D55" s="3"/>
      <c r="E55" s="3" t="s">
        <v>115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18</v>
      </c>
      <c r="O55" s="3"/>
      <c r="P55" s="3"/>
      <c r="Q55" s="3">
        <v>103.63200000000001</v>
      </c>
      <c r="R55" s="3" t="s">
        <v>15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115</v>
      </c>
      <c r="D56" s="3"/>
      <c r="E56" s="3" t="s">
        <v>115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105</v>
      </c>
      <c r="O56" s="3"/>
      <c r="P56" s="3"/>
      <c r="Q56" s="3">
        <v>0.76200000000000001</v>
      </c>
      <c r="R56" s="3" t="s">
        <v>106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115</v>
      </c>
      <c r="D57" s="3"/>
      <c r="E57" s="3" t="s">
        <v>115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13.208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115</v>
      </c>
      <c r="D58" s="3"/>
      <c r="E58" s="3" t="s">
        <v>115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81.228999999999999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115</v>
      </c>
      <c r="D59" s="3"/>
      <c r="E59" s="3" t="s">
        <v>115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111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115</v>
      </c>
      <c r="D60" s="3"/>
      <c r="E60" s="3" t="s">
        <v>115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115</v>
      </c>
      <c r="D61" s="3"/>
      <c r="E61" s="3" t="s">
        <v>115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115</v>
      </c>
      <c r="D62" s="3"/>
      <c r="E62" s="3" t="s">
        <v>115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115</v>
      </c>
      <c r="D63" s="3"/>
      <c r="E63" s="3" t="s">
        <v>115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109</v>
      </c>
      <c r="O63" s="3"/>
      <c r="P63" s="3"/>
      <c r="Q63" s="3">
        <v>0.46500000000000002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115</v>
      </c>
      <c r="D64" s="3"/>
      <c r="E64" s="3" t="s">
        <v>115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191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116</v>
      </c>
      <c r="D65" s="3"/>
      <c r="E65" s="3" t="s">
        <v>116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267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116</v>
      </c>
      <c r="D66" s="3"/>
      <c r="E66" s="3" t="s">
        <v>116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151</v>
      </c>
      <c r="O66" s="3"/>
      <c r="P66" s="3"/>
      <c r="Q66" s="3">
        <v>2.9460000000000002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116</v>
      </c>
      <c r="D67" s="3"/>
      <c r="E67" s="3" t="s">
        <v>116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18</v>
      </c>
      <c r="O67" s="3"/>
      <c r="P67" s="3"/>
      <c r="Q67" s="3">
        <v>106.07</v>
      </c>
      <c r="R67" s="3" t="s">
        <v>15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116</v>
      </c>
      <c r="D68" s="3"/>
      <c r="E68" s="3" t="s">
        <v>116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105</v>
      </c>
      <c r="O68" s="3"/>
      <c r="P68" s="3"/>
      <c r="Q68" s="3">
        <v>0.80500000000000005</v>
      </c>
      <c r="R68" s="3" t="s">
        <v>106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116</v>
      </c>
      <c r="D69" s="3"/>
      <c r="E69" s="3" t="s">
        <v>116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13.513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116</v>
      </c>
      <c r="D70" s="3"/>
      <c r="E70" s="3" t="s">
        <v>116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83.103999999999999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116</v>
      </c>
      <c r="D71" s="3"/>
      <c r="E71" s="3" t="s">
        <v>116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111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116</v>
      </c>
      <c r="D72" s="3"/>
      <c r="E72" s="3" t="s">
        <v>116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116</v>
      </c>
      <c r="D73" s="3"/>
      <c r="E73" s="3" t="s">
        <v>116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116</v>
      </c>
      <c r="D74" s="3"/>
      <c r="E74" s="3" t="s">
        <v>116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116</v>
      </c>
      <c r="D75" s="3"/>
      <c r="E75" s="3" t="s">
        <v>116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109</v>
      </c>
      <c r="O75" s="3"/>
      <c r="P75" s="3"/>
      <c r="Q75" s="3">
        <v>0.48799999999999999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116</v>
      </c>
      <c r="D76" s="3"/>
      <c r="E76" s="3" t="s">
        <v>116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192</v>
      </c>
      <c r="O76" s="3"/>
      <c r="P76" s="3"/>
      <c r="Q76" s="3">
        <v>2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117</v>
      </c>
      <c r="D77" s="3"/>
      <c r="E77" s="3" t="s">
        <v>117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268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117</v>
      </c>
      <c r="D78" s="3"/>
      <c r="E78" s="3" t="s">
        <v>117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151</v>
      </c>
      <c r="O78" s="3"/>
      <c r="P78" s="3"/>
      <c r="Q78" s="3">
        <v>3.2509999999999999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117</v>
      </c>
      <c r="D79" s="3"/>
      <c r="E79" s="3" t="s">
        <v>117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18</v>
      </c>
      <c r="O79" s="3"/>
      <c r="P79" s="3"/>
      <c r="Q79" s="3">
        <v>110.947</v>
      </c>
      <c r="R79" s="3" t="s">
        <v>15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117</v>
      </c>
      <c r="D80" s="3"/>
      <c r="E80" s="3" t="s">
        <v>117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105</v>
      </c>
      <c r="O80" s="3"/>
      <c r="P80" s="3"/>
      <c r="Q80" s="3">
        <v>0.89100000000000001</v>
      </c>
      <c r="R80" s="3" t="s">
        <v>106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117</v>
      </c>
      <c r="D81" s="3"/>
      <c r="E81" s="3" t="s">
        <v>117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14.122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117</v>
      </c>
      <c r="D82" s="3"/>
      <c r="E82" s="3" t="s">
        <v>117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86.852999999999994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117</v>
      </c>
      <c r="D83" s="3"/>
      <c r="E83" s="3" t="s">
        <v>117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111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117</v>
      </c>
      <c r="D84" s="3"/>
      <c r="E84" s="3" t="s">
        <v>117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117</v>
      </c>
      <c r="D85" s="3"/>
      <c r="E85" s="3" t="s">
        <v>117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117</v>
      </c>
      <c r="D86" s="3"/>
      <c r="E86" s="3" t="s">
        <v>117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117</v>
      </c>
      <c r="D87" s="3"/>
      <c r="E87" s="3" t="s">
        <v>117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109</v>
      </c>
      <c r="O87" s="3"/>
      <c r="P87" s="3"/>
      <c r="Q87" s="3">
        <v>0.53300000000000003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117</v>
      </c>
      <c r="D88" s="3"/>
      <c r="E88" s="3" t="s">
        <v>117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193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118</v>
      </c>
      <c r="D89" s="3"/>
      <c r="E89" s="3" t="s">
        <v>118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269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118</v>
      </c>
      <c r="D90" s="3"/>
      <c r="E90" s="3" t="s">
        <v>118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151</v>
      </c>
      <c r="O90" s="3"/>
      <c r="P90" s="3"/>
      <c r="Q90" s="3">
        <v>3.556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118</v>
      </c>
      <c r="D91" s="3"/>
      <c r="E91" s="3" t="s">
        <v>118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18</v>
      </c>
      <c r="O91" s="3"/>
      <c r="P91" s="3"/>
      <c r="Q91" s="3">
        <v>115.824</v>
      </c>
      <c r="R91" s="3" t="s">
        <v>15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118</v>
      </c>
      <c r="D92" s="3"/>
      <c r="E92" s="3" t="s">
        <v>118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105</v>
      </c>
      <c r="O92" s="3"/>
      <c r="P92" s="3"/>
      <c r="Q92" s="3">
        <v>0.97799999999999998</v>
      </c>
      <c r="R92" s="3" t="s">
        <v>106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118</v>
      </c>
      <c r="D93" s="3"/>
      <c r="E93" s="3" t="s">
        <v>118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14.731999999999999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118</v>
      </c>
      <c r="D94" s="3"/>
      <c r="E94" s="3" t="s">
        <v>118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90.602000000000004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118</v>
      </c>
      <c r="D95" s="3"/>
      <c r="E95" s="3" t="s">
        <v>118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111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118</v>
      </c>
      <c r="D96" s="3"/>
      <c r="E96" s="3" t="s">
        <v>118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118</v>
      </c>
      <c r="D97" s="3"/>
      <c r="E97" s="3" t="s">
        <v>118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118</v>
      </c>
      <c r="D98" s="3"/>
      <c r="E98" s="3" t="s">
        <v>118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118</v>
      </c>
      <c r="D99" s="3"/>
      <c r="E99" s="3" t="s">
        <v>118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109</v>
      </c>
      <c r="O99" s="3"/>
      <c r="P99" s="3"/>
      <c r="Q99" s="3">
        <v>0.57799999999999996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118</v>
      </c>
      <c r="D100" s="3"/>
      <c r="E100" s="3" t="s">
        <v>118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194</v>
      </c>
      <c r="O100" s="3"/>
      <c r="P100" s="3"/>
      <c r="Q100" s="3">
        <v>2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119</v>
      </c>
      <c r="D101" s="3"/>
      <c r="E101" s="3" t="s">
        <v>119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270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119</v>
      </c>
      <c r="D102" s="3"/>
      <c r="E102" s="3" t="s">
        <v>119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151</v>
      </c>
      <c r="O102" s="3"/>
      <c r="P102" s="3"/>
      <c r="Q102" s="3">
        <v>1.7270000000000001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119</v>
      </c>
      <c r="D103" s="3"/>
      <c r="E103" s="3" t="s">
        <v>119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18</v>
      </c>
      <c r="O103" s="3"/>
      <c r="P103" s="3"/>
      <c r="Q103" s="3">
        <v>89.001999999999995</v>
      </c>
      <c r="R103" s="3" t="s">
        <v>15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119</v>
      </c>
      <c r="D104" s="3"/>
      <c r="E104" s="3" t="s">
        <v>119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105</v>
      </c>
      <c r="O104" s="3"/>
      <c r="P104" s="3"/>
      <c r="Q104" s="3">
        <v>0.48</v>
      </c>
      <c r="R104" s="3" t="s">
        <v>106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119</v>
      </c>
      <c r="D105" s="3"/>
      <c r="E105" s="3" t="s">
        <v>119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11.379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119</v>
      </c>
      <c r="D106" s="3"/>
      <c r="E106" s="3" t="s">
        <v>119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69.981999999999999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119</v>
      </c>
      <c r="D107" s="3"/>
      <c r="E107" s="3" t="s">
        <v>119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111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119</v>
      </c>
      <c r="D108" s="3"/>
      <c r="E108" s="3" t="s">
        <v>119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119</v>
      </c>
      <c r="D109" s="3"/>
      <c r="E109" s="3" t="s">
        <v>119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119</v>
      </c>
      <c r="D110" s="3"/>
      <c r="E110" s="3" t="s">
        <v>119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119</v>
      </c>
      <c r="D111" s="3"/>
      <c r="E111" s="3" t="s">
        <v>119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109</v>
      </c>
      <c r="O111" s="3"/>
      <c r="P111" s="3"/>
      <c r="Q111" s="3">
        <v>0.308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119</v>
      </c>
      <c r="D112" s="3"/>
      <c r="E112" s="3" t="s">
        <v>119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195</v>
      </c>
      <c r="O112" s="3"/>
      <c r="P112" s="3"/>
      <c r="Q112" s="3">
        <v>2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120</v>
      </c>
      <c r="D113" s="3"/>
      <c r="E113" s="3" t="s">
        <v>120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271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120</v>
      </c>
      <c r="D114" s="3"/>
      <c r="E114" s="3" t="s">
        <v>120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151</v>
      </c>
      <c r="O114" s="3"/>
      <c r="P114" s="3"/>
      <c r="Q114" s="3">
        <v>2.032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120</v>
      </c>
      <c r="D115" s="3"/>
      <c r="E115" s="3" t="s">
        <v>120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18</v>
      </c>
      <c r="O115" s="3"/>
      <c r="P115" s="3"/>
      <c r="Q115" s="3">
        <v>93.878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120</v>
      </c>
      <c r="D116" s="3"/>
      <c r="E116" s="3" t="s">
        <v>120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105</v>
      </c>
      <c r="O116" s="3"/>
      <c r="P116" s="3"/>
      <c r="Q116" s="3">
        <v>0.56899999999999995</v>
      </c>
      <c r="R116" s="3" t="s">
        <v>106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120</v>
      </c>
      <c r="D117" s="3"/>
      <c r="E117" s="3" t="s">
        <v>120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11.989000000000001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120</v>
      </c>
      <c r="D118" s="3"/>
      <c r="E118" s="3" t="s">
        <v>120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73.730999999999995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120</v>
      </c>
      <c r="D119" s="3"/>
      <c r="E119" s="3" t="s">
        <v>120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111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120</v>
      </c>
      <c r="D120" s="3"/>
      <c r="E120" s="3" t="s">
        <v>120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120</v>
      </c>
      <c r="D121" s="3"/>
      <c r="E121" s="3" t="s">
        <v>120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120</v>
      </c>
      <c r="D122" s="3"/>
      <c r="E122" s="3" t="s">
        <v>120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120</v>
      </c>
      <c r="D123" s="3"/>
      <c r="E123" s="3" t="s">
        <v>120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109</v>
      </c>
      <c r="O123" s="3"/>
      <c r="P123" s="3"/>
      <c r="Q123" s="3">
        <v>0.35299999999999998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120</v>
      </c>
      <c r="D124" s="3"/>
      <c r="E124" s="3" t="s">
        <v>120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196</v>
      </c>
      <c r="O124" s="3"/>
      <c r="P124" s="3"/>
      <c r="Q124" s="3">
        <v>2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121</v>
      </c>
      <c r="D125" s="3"/>
      <c r="E125" s="3" t="s">
        <v>121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272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121</v>
      </c>
      <c r="D126" s="3"/>
      <c r="E126" s="3" t="s">
        <v>121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151</v>
      </c>
      <c r="O126" s="3"/>
      <c r="P126" s="3"/>
      <c r="Q126" s="3">
        <v>2.3370000000000002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121</v>
      </c>
      <c r="D127" s="3"/>
      <c r="E127" s="3" t="s">
        <v>121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18</v>
      </c>
      <c r="O127" s="3"/>
      <c r="P127" s="3"/>
      <c r="Q127" s="3">
        <v>98.754999999999995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121</v>
      </c>
      <c r="D128" s="3"/>
      <c r="E128" s="3" t="s">
        <v>121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105</v>
      </c>
      <c r="O128" s="3"/>
      <c r="P128" s="3"/>
      <c r="Q128" s="3">
        <v>0.65900000000000003</v>
      </c>
      <c r="R128" s="3" t="s">
        <v>106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121</v>
      </c>
      <c r="D129" s="3"/>
      <c r="E129" s="3" t="s">
        <v>121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12.598000000000001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121</v>
      </c>
      <c r="D130" s="3"/>
      <c r="E130" s="3" t="s">
        <v>121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77.48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121</v>
      </c>
      <c r="D131" s="3"/>
      <c r="E131" s="3" t="s">
        <v>121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111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121</v>
      </c>
      <c r="D132" s="3"/>
      <c r="E132" s="3" t="s">
        <v>121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121</v>
      </c>
      <c r="D133" s="3"/>
      <c r="E133" s="3" t="s">
        <v>121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121</v>
      </c>
      <c r="D134" s="3"/>
      <c r="E134" s="3" t="s">
        <v>121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121</v>
      </c>
      <c r="D135" s="3"/>
      <c r="E135" s="3" t="s">
        <v>121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109</v>
      </c>
      <c r="O135" s="3"/>
      <c r="P135" s="3"/>
      <c r="Q135" s="3">
        <v>0.39800000000000002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121</v>
      </c>
      <c r="D136" s="3"/>
      <c r="E136" s="3" t="s">
        <v>121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197</v>
      </c>
      <c r="O136" s="3"/>
      <c r="P136" s="3"/>
      <c r="Q136" s="3">
        <v>2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122</v>
      </c>
      <c r="D137" s="3"/>
      <c r="E137" s="3" t="s">
        <v>122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273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122</v>
      </c>
      <c r="D138" s="3"/>
      <c r="E138" s="3" t="s">
        <v>122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151</v>
      </c>
      <c r="O138" s="3"/>
      <c r="P138" s="3"/>
      <c r="Q138" s="3">
        <v>2.6419999999999999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122</v>
      </c>
      <c r="D139" s="3"/>
      <c r="E139" s="3" t="s">
        <v>122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18</v>
      </c>
      <c r="O139" s="3"/>
      <c r="P139" s="3"/>
      <c r="Q139" s="3">
        <v>103.63200000000001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122</v>
      </c>
      <c r="D140" s="3"/>
      <c r="E140" s="3" t="s">
        <v>122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105</v>
      </c>
      <c r="O140" s="3"/>
      <c r="P140" s="3"/>
      <c r="Q140" s="3">
        <v>0.749</v>
      </c>
      <c r="R140" s="3" t="s">
        <v>106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122</v>
      </c>
      <c r="D141" s="3"/>
      <c r="E141" s="3" t="s">
        <v>122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13.208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122</v>
      </c>
      <c r="D142" s="3"/>
      <c r="E142" s="3" t="s">
        <v>122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81.228999999999999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122</v>
      </c>
      <c r="D143" s="3"/>
      <c r="E143" s="3" t="s">
        <v>122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111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122</v>
      </c>
      <c r="D144" s="3"/>
      <c r="E144" s="3" t="s">
        <v>122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122</v>
      </c>
      <c r="D145" s="3"/>
      <c r="E145" s="3" t="s">
        <v>122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122</v>
      </c>
      <c r="D146" s="3"/>
      <c r="E146" s="3" t="s">
        <v>122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122</v>
      </c>
      <c r="D147" s="3"/>
      <c r="E147" s="3" t="s">
        <v>122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109</v>
      </c>
      <c r="O147" s="3"/>
      <c r="P147" s="3"/>
      <c r="Q147" s="3">
        <v>0.443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122</v>
      </c>
      <c r="D148" s="3"/>
      <c r="E148" s="3" t="s">
        <v>122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198</v>
      </c>
      <c r="O148" s="3"/>
      <c r="P148" s="3"/>
      <c r="Q148" s="3">
        <v>2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123</v>
      </c>
      <c r="D149" s="3"/>
      <c r="E149" s="3" t="s">
        <v>123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274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123</v>
      </c>
      <c r="D150" s="3"/>
      <c r="E150" s="3" t="s">
        <v>123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151</v>
      </c>
      <c r="O150" s="3"/>
      <c r="P150" s="3"/>
      <c r="Q150" s="3">
        <v>2.794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123</v>
      </c>
      <c r="D151" s="3"/>
      <c r="E151" s="3" t="s">
        <v>123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18</v>
      </c>
      <c r="O151" s="3"/>
      <c r="P151" s="3"/>
      <c r="Q151" s="3">
        <v>106.07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123</v>
      </c>
      <c r="D152" s="3"/>
      <c r="E152" s="3" t="s">
        <v>123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105</v>
      </c>
      <c r="O152" s="3"/>
      <c r="P152" s="3"/>
      <c r="Q152" s="3">
        <v>0.79400000000000004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123</v>
      </c>
      <c r="D153" s="3"/>
      <c r="E153" s="3" t="s">
        <v>123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13.513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123</v>
      </c>
      <c r="D154" s="3"/>
      <c r="E154" s="3" t="s">
        <v>123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83.103999999999999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123</v>
      </c>
      <c r="D155" s="3"/>
      <c r="E155" s="3" t="s">
        <v>123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111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123</v>
      </c>
      <c r="D156" s="3"/>
      <c r="E156" s="3" t="s">
        <v>123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123</v>
      </c>
      <c r="D157" s="3"/>
      <c r="E157" s="3" t="s">
        <v>123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123</v>
      </c>
      <c r="D158" s="3"/>
      <c r="E158" s="3" t="s">
        <v>123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123</v>
      </c>
      <c r="D159" s="3"/>
      <c r="E159" s="3" t="s">
        <v>123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109</v>
      </c>
      <c r="O159" s="3"/>
      <c r="P159" s="3"/>
      <c r="Q159" s="3">
        <v>0.46500000000000002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123</v>
      </c>
      <c r="D160" s="3"/>
      <c r="E160" s="3" t="s">
        <v>123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199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124</v>
      </c>
      <c r="D161" s="3"/>
      <c r="E161" s="3" t="s">
        <v>124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124</v>
      </c>
      <c r="D162" s="3"/>
      <c r="E162" s="3" t="s">
        <v>124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151</v>
      </c>
      <c r="O162" s="3"/>
      <c r="P162" s="3"/>
      <c r="Q162" s="3">
        <v>2.9460000000000002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124</v>
      </c>
      <c r="D163" s="3"/>
      <c r="E163" s="3" t="s">
        <v>124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18</v>
      </c>
      <c r="O163" s="3"/>
      <c r="P163" s="3"/>
      <c r="Q163" s="3">
        <v>108.509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124</v>
      </c>
      <c r="D164" s="3"/>
      <c r="E164" s="3" t="s">
        <v>124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0.83899999999999997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124</v>
      </c>
      <c r="D165" s="3"/>
      <c r="E165" s="3" t="s">
        <v>124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13.818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124</v>
      </c>
      <c r="D166" s="3"/>
      <c r="E166" s="3" t="s">
        <v>124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84.977999999999994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124</v>
      </c>
      <c r="D167" s="3"/>
      <c r="E167" s="3" t="s">
        <v>124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111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124</v>
      </c>
      <c r="D168" s="3"/>
      <c r="E168" s="3" t="s">
        <v>124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124</v>
      </c>
      <c r="D169" s="3"/>
      <c r="E169" s="3" t="s">
        <v>124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124</v>
      </c>
      <c r="D170" s="3"/>
      <c r="E170" s="3" t="s">
        <v>124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124</v>
      </c>
      <c r="D171" s="3"/>
      <c r="E171" s="3" t="s">
        <v>124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109</v>
      </c>
      <c r="O171" s="3"/>
      <c r="P171" s="3"/>
      <c r="Q171" s="3">
        <v>0.48799999999999999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124</v>
      </c>
      <c r="D172" s="3"/>
      <c r="E172" s="3" t="s">
        <v>124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200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125</v>
      </c>
      <c r="D173" s="3"/>
      <c r="E173" s="3" t="s">
        <v>125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276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125</v>
      </c>
      <c r="D174" s="3"/>
      <c r="E174" s="3" t="s">
        <v>125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151</v>
      </c>
      <c r="O174" s="3"/>
      <c r="P174" s="3"/>
      <c r="Q174" s="3">
        <v>3.2509999999999999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125</v>
      </c>
      <c r="D175" s="3"/>
      <c r="E175" s="3" t="s">
        <v>125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18</v>
      </c>
      <c r="O175" s="3"/>
      <c r="P175" s="3"/>
      <c r="Q175" s="3">
        <v>113.386</v>
      </c>
      <c r="R175" s="3" t="s">
        <v>15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125</v>
      </c>
      <c r="D176" s="3"/>
      <c r="E176" s="3" t="s">
        <v>125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105</v>
      </c>
      <c r="O176" s="3"/>
      <c r="P176" s="3"/>
      <c r="Q176" s="3">
        <v>0.92900000000000005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125</v>
      </c>
      <c r="D177" s="3"/>
      <c r="E177" s="3" t="s">
        <v>125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14.427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125</v>
      </c>
      <c r="D178" s="3"/>
      <c r="E178" s="3" t="s">
        <v>125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88.727000000000004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125</v>
      </c>
      <c r="D179" s="3"/>
      <c r="E179" s="3" t="s">
        <v>125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111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125</v>
      </c>
      <c r="D180" s="3"/>
      <c r="E180" s="3" t="s">
        <v>125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125</v>
      </c>
      <c r="D181" s="3"/>
      <c r="E181" s="3" t="s">
        <v>125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125</v>
      </c>
      <c r="D182" s="3"/>
      <c r="E182" s="3" t="s">
        <v>125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125</v>
      </c>
      <c r="D183" s="3"/>
      <c r="E183" s="3" t="s">
        <v>125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109</v>
      </c>
      <c r="O183" s="3"/>
      <c r="P183" s="3"/>
      <c r="Q183" s="3">
        <v>0.53300000000000003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125</v>
      </c>
      <c r="D184" s="3"/>
      <c r="E184" s="3" t="s">
        <v>125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201</v>
      </c>
      <c r="O184" s="3"/>
      <c r="P184" s="3"/>
      <c r="Q184" s="3">
        <v>2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126</v>
      </c>
      <c r="D185" s="3"/>
      <c r="E185" s="3" t="s">
        <v>126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277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126</v>
      </c>
      <c r="D186" s="3"/>
      <c r="E186" s="3" t="s">
        <v>126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151</v>
      </c>
      <c r="O186" s="3"/>
      <c r="P186" s="3"/>
      <c r="Q186" s="3">
        <v>3.556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126</v>
      </c>
      <c r="D187" s="3"/>
      <c r="E187" s="3" t="s">
        <v>126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18</v>
      </c>
      <c r="O187" s="3"/>
      <c r="P187" s="3"/>
      <c r="Q187" s="3">
        <v>118.262</v>
      </c>
      <c r="R187" s="3" t="s">
        <v>15</v>
      </c>
      <c r="S187" s="3"/>
      <c r="T187" s="3">
        <v>10</v>
      </c>
      <c r="U187" s="3"/>
      <c r="V187" s="3" t="s">
        <v>14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126</v>
      </c>
      <c r="D188" s="3"/>
      <c r="E188" s="3" t="s">
        <v>126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105</v>
      </c>
      <c r="O188" s="3"/>
      <c r="P188" s="3"/>
      <c r="Q188" s="3">
        <v>1.0189999999999999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126</v>
      </c>
      <c r="D189" s="3"/>
      <c r="E189" s="3" t="s">
        <v>126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15.037000000000001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126</v>
      </c>
      <c r="D190" s="3"/>
      <c r="E190" s="3" t="s">
        <v>126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92.475999999999999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126</v>
      </c>
      <c r="D191" s="3"/>
      <c r="E191" s="3" t="s">
        <v>126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111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126</v>
      </c>
      <c r="D192" s="3"/>
      <c r="E192" s="3" t="s">
        <v>126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126</v>
      </c>
      <c r="D193" s="3"/>
      <c r="E193" s="3" t="s">
        <v>126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126</v>
      </c>
      <c r="D194" s="3"/>
      <c r="E194" s="3" t="s">
        <v>126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126</v>
      </c>
      <c r="D195" s="3"/>
      <c r="E195" s="3" t="s">
        <v>126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109</v>
      </c>
      <c r="O195" s="3"/>
      <c r="P195" s="3"/>
      <c r="Q195" s="3">
        <v>0.57799999999999996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126</v>
      </c>
      <c r="D196" s="3"/>
      <c r="E196" s="3" t="s">
        <v>126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202</v>
      </c>
      <c r="O196" s="3"/>
      <c r="P196" s="3"/>
      <c r="Q196" s="3">
        <v>2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127</v>
      </c>
      <c r="D197" s="3"/>
      <c r="E197" s="3" t="s">
        <v>127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278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127</v>
      </c>
      <c r="D198" s="3"/>
      <c r="E198" s="3" t="s">
        <v>127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151</v>
      </c>
      <c r="O198" s="3"/>
      <c r="P198" s="3"/>
      <c r="Q198" s="3">
        <v>1.7270000000000001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127</v>
      </c>
      <c r="D199" s="3"/>
      <c r="E199" s="3" t="s">
        <v>127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18</v>
      </c>
      <c r="O199" s="3"/>
      <c r="P199" s="3"/>
      <c r="Q199" s="3">
        <v>91.44</v>
      </c>
      <c r="R199" s="3" t="s">
        <v>15</v>
      </c>
      <c r="S199" s="3"/>
      <c r="T199" s="3">
        <v>10</v>
      </c>
      <c r="U199" s="3"/>
      <c r="V199" s="3" t="s">
        <v>14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127</v>
      </c>
      <c r="D200" s="3"/>
      <c r="E200" s="3" t="s">
        <v>127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105</v>
      </c>
      <c r="O200" s="3"/>
      <c r="P200" s="3"/>
      <c r="Q200" s="3">
        <v>0.499</v>
      </c>
      <c r="R200" s="3" t="s">
        <v>106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127</v>
      </c>
      <c r="D201" s="3"/>
      <c r="E201" s="3" t="s">
        <v>127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11.683999999999999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127</v>
      </c>
      <c r="D202" s="3"/>
      <c r="E202" s="3" t="s">
        <v>127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71.856999999999999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127</v>
      </c>
      <c r="D203" s="3"/>
      <c r="E203" s="3" t="s">
        <v>127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111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127</v>
      </c>
      <c r="D204" s="3"/>
      <c r="E204" s="3" t="s">
        <v>127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127</v>
      </c>
      <c r="D205" s="3"/>
      <c r="E205" s="3" t="s">
        <v>127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127</v>
      </c>
      <c r="D206" s="3"/>
      <c r="E206" s="3" t="s">
        <v>127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127</v>
      </c>
      <c r="D207" s="3"/>
      <c r="E207" s="3" t="s">
        <v>127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109</v>
      </c>
      <c r="O207" s="3"/>
      <c r="P207" s="3"/>
      <c r="Q207" s="3">
        <v>0.308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127</v>
      </c>
      <c r="D208" s="3"/>
      <c r="E208" s="3" t="s">
        <v>127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203</v>
      </c>
      <c r="O208" s="3"/>
      <c r="P208" s="3"/>
      <c r="Q208" s="3">
        <v>2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128</v>
      </c>
      <c r="D209" s="3"/>
      <c r="E209" s="3" t="s">
        <v>128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279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128</v>
      </c>
      <c r="D210" s="3"/>
      <c r="E210" s="3" t="s">
        <v>128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151</v>
      </c>
      <c r="O210" s="3"/>
      <c r="P210" s="3"/>
      <c r="Q210" s="3">
        <v>2.032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128</v>
      </c>
      <c r="D211" s="3"/>
      <c r="E211" s="3" t="s">
        <v>128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18</v>
      </c>
      <c r="O211" s="3"/>
      <c r="P211" s="3"/>
      <c r="Q211" s="3">
        <v>96.316999999999993</v>
      </c>
      <c r="R211" s="3" t="s">
        <v>15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128</v>
      </c>
      <c r="D212" s="3"/>
      <c r="E212" s="3" t="s">
        <v>128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105</v>
      </c>
      <c r="O212" s="3"/>
      <c r="P212" s="3"/>
      <c r="Q212" s="3">
        <v>0.59299999999999997</v>
      </c>
      <c r="R212" s="3" t="s">
        <v>106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128</v>
      </c>
      <c r="D213" s="3"/>
      <c r="E213" s="3" t="s">
        <v>128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12.294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128</v>
      </c>
      <c r="D214" s="3"/>
      <c r="E214" s="3" t="s">
        <v>128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75.605999999999995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128</v>
      </c>
      <c r="D215" s="3"/>
      <c r="E215" s="3" t="s">
        <v>128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111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128</v>
      </c>
      <c r="D216" s="3"/>
      <c r="E216" s="3" t="s">
        <v>128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128</v>
      </c>
      <c r="D217" s="3"/>
      <c r="E217" s="3" t="s">
        <v>128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128</v>
      </c>
      <c r="D218" s="3"/>
      <c r="E218" s="3" t="s">
        <v>128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128</v>
      </c>
      <c r="D219" s="3"/>
      <c r="E219" s="3" t="s">
        <v>128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109</v>
      </c>
      <c r="O219" s="3"/>
      <c r="P219" s="3"/>
      <c r="Q219" s="3">
        <v>0.35299999999999998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128</v>
      </c>
      <c r="D220" s="3"/>
      <c r="E220" s="3" t="s">
        <v>128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204</v>
      </c>
      <c r="O220" s="3"/>
      <c r="P220" s="3"/>
      <c r="Q220" s="3">
        <v>2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129</v>
      </c>
      <c r="D221" s="3"/>
      <c r="E221" s="3" t="s">
        <v>129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280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129</v>
      </c>
      <c r="D222" s="3"/>
      <c r="E222" s="3" t="s">
        <v>129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151</v>
      </c>
      <c r="O222" s="3"/>
      <c r="P222" s="3"/>
      <c r="Q222" s="3">
        <v>2.3370000000000002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129</v>
      </c>
      <c r="D223" s="3"/>
      <c r="E223" s="3" t="s">
        <v>129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18</v>
      </c>
      <c r="O223" s="3"/>
      <c r="P223" s="3"/>
      <c r="Q223" s="3">
        <v>101.194</v>
      </c>
      <c r="R223" s="3" t="s">
        <v>15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129</v>
      </c>
      <c r="D224" s="3"/>
      <c r="E224" s="3" t="s">
        <v>129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105</v>
      </c>
      <c r="O224" s="3"/>
      <c r="P224" s="3"/>
      <c r="Q224" s="3">
        <v>0.68600000000000005</v>
      </c>
      <c r="R224" s="3" t="s">
        <v>106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129</v>
      </c>
      <c r="D225" s="3"/>
      <c r="E225" s="3" t="s">
        <v>129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12.903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129</v>
      </c>
      <c r="D226" s="3"/>
      <c r="E226" s="3" t="s">
        <v>129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79.355000000000004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129</v>
      </c>
      <c r="D227" s="3"/>
      <c r="E227" s="3" t="s">
        <v>129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111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129</v>
      </c>
      <c r="D228" s="3"/>
      <c r="E228" s="3" t="s">
        <v>129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129</v>
      </c>
      <c r="D229" s="3"/>
      <c r="E229" s="3" t="s">
        <v>129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129</v>
      </c>
      <c r="D230" s="3"/>
      <c r="E230" s="3" t="s">
        <v>129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129</v>
      </c>
      <c r="D231" s="3"/>
      <c r="E231" s="3" t="s">
        <v>129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109</v>
      </c>
      <c r="O231" s="3"/>
      <c r="P231" s="3"/>
      <c r="Q231" s="3">
        <v>0.39800000000000002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129</v>
      </c>
      <c r="D232" s="3"/>
      <c r="E232" s="3" t="s">
        <v>129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205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130</v>
      </c>
      <c r="D233" s="3"/>
      <c r="E233" s="3" t="s">
        <v>130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281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130</v>
      </c>
      <c r="D234" s="3"/>
      <c r="E234" s="3" t="s">
        <v>130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151</v>
      </c>
      <c r="O234" s="3"/>
      <c r="P234" s="3"/>
      <c r="Q234" s="3">
        <v>2.6419999999999999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130</v>
      </c>
      <c r="D235" s="3"/>
      <c r="E235" s="3" t="s">
        <v>130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18</v>
      </c>
      <c r="O235" s="3"/>
      <c r="P235" s="3"/>
      <c r="Q235" s="3">
        <v>106.07</v>
      </c>
      <c r="R235" s="3" t="s">
        <v>15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130</v>
      </c>
      <c r="D236" s="3"/>
      <c r="E236" s="3" t="s">
        <v>130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105</v>
      </c>
      <c r="O236" s="3"/>
      <c r="P236" s="3"/>
      <c r="Q236" s="3">
        <v>0.78</v>
      </c>
      <c r="R236" s="3" t="s">
        <v>106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130</v>
      </c>
      <c r="D237" s="3"/>
      <c r="E237" s="3" t="s">
        <v>130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13.513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130</v>
      </c>
      <c r="D238" s="3"/>
      <c r="E238" s="3" t="s">
        <v>130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83.103999999999999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130</v>
      </c>
      <c r="D239" s="3"/>
      <c r="E239" s="3" t="s">
        <v>130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111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130</v>
      </c>
      <c r="D240" s="3"/>
      <c r="E240" s="3" t="s">
        <v>130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130</v>
      </c>
      <c r="D241" s="3"/>
      <c r="E241" s="3" t="s">
        <v>130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130</v>
      </c>
      <c r="D242" s="3"/>
      <c r="E242" s="3" t="s">
        <v>130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130</v>
      </c>
      <c r="D243" s="3"/>
      <c r="E243" s="3" t="s">
        <v>130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109</v>
      </c>
      <c r="O243" s="3"/>
      <c r="P243" s="3"/>
      <c r="Q243" s="3">
        <v>0.443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130</v>
      </c>
      <c r="D244" s="3"/>
      <c r="E244" s="3" t="s">
        <v>130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206</v>
      </c>
      <c r="O244" s="3"/>
      <c r="P244" s="3"/>
      <c r="Q244" s="3">
        <v>2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131</v>
      </c>
      <c r="D245" s="3"/>
      <c r="E245" s="3" t="s">
        <v>131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282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131</v>
      </c>
      <c r="D246" s="3"/>
      <c r="E246" s="3" t="s">
        <v>131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151</v>
      </c>
      <c r="O246" s="3"/>
      <c r="P246" s="3"/>
      <c r="Q246" s="3">
        <v>2.794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131</v>
      </c>
      <c r="D247" s="3"/>
      <c r="E247" s="3" t="s">
        <v>131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18</v>
      </c>
      <c r="O247" s="3"/>
      <c r="P247" s="3"/>
      <c r="Q247" s="3">
        <v>108.509</v>
      </c>
      <c r="R247" s="3" t="s">
        <v>15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131</v>
      </c>
      <c r="D248" s="3"/>
      <c r="E248" s="3" t="s">
        <v>131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105</v>
      </c>
      <c r="O248" s="3"/>
      <c r="P248" s="3"/>
      <c r="Q248" s="3">
        <v>0.82599999999999996</v>
      </c>
      <c r="R248" s="3" t="s">
        <v>106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131</v>
      </c>
      <c r="D249" s="3"/>
      <c r="E249" s="3" t="s">
        <v>131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13.818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131</v>
      </c>
      <c r="D250" s="3"/>
      <c r="E250" s="3" t="s">
        <v>131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84.977999999999994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131</v>
      </c>
      <c r="D251" s="3"/>
      <c r="E251" s="3" t="s">
        <v>131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111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131</v>
      </c>
      <c r="D252" s="3"/>
      <c r="E252" s="3" t="s">
        <v>131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131</v>
      </c>
      <c r="D253" s="3"/>
      <c r="E253" s="3" t="s">
        <v>131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131</v>
      </c>
      <c r="D254" s="3"/>
      <c r="E254" s="3" t="s">
        <v>131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131</v>
      </c>
      <c r="D255" s="3"/>
      <c r="E255" s="3" t="s">
        <v>131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109</v>
      </c>
      <c r="O255" s="3"/>
      <c r="P255" s="3"/>
      <c r="Q255" s="3">
        <v>0.46500000000000002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131</v>
      </c>
      <c r="D256" s="3"/>
      <c r="E256" s="3" t="s">
        <v>131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207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132</v>
      </c>
      <c r="D257" s="3"/>
      <c r="E257" s="3" t="s">
        <v>132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283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132</v>
      </c>
      <c r="D258" s="3"/>
      <c r="E258" s="3" t="s">
        <v>132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151</v>
      </c>
      <c r="O258" s="3"/>
      <c r="P258" s="3"/>
      <c r="Q258" s="3">
        <v>2.9460000000000002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132</v>
      </c>
      <c r="D259" s="3"/>
      <c r="E259" s="3" t="s">
        <v>132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18</v>
      </c>
      <c r="O259" s="3"/>
      <c r="P259" s="3"/>
      <c r="Q259" s="3">
        <v>110.947</v>
      </c>
      <c r="R259" s="3" t="s">
        <v>15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132</v>
      </c>
      <c r="D260" s="3"/>
      <c r="E260" s="3" t="s">
        <v>132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105</v>
      </c>
      <c r="O260" s="3"/>
      <c r="P260" s="3"/>
      <c r="Q260" s="3">
        <v>0.873</v>
      </c>
      <c r="R260" s="3" t="s">
        <v>106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132</v>
      </c>
      <c r="D261" s="3"/>
      <c r="E261" s="3" t="s">
        <v>132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14.122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132</v>
      </c>
      <c r="D262" s="3"/>
      <c r="E262" s="3" t="s">
        <v>132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86.852999999999994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132</v>
      </c>
      <c r="D263" s="3"/>
      <c r="E263" s="3" t="s">
        <v>132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111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132</v>
      </c>
      <c r="D264" s="3"/>
      <c r="E264" s="3" t="s">
        <v>132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132</v>
      </c>
      <c r="D265" s="3"/>
      <c r="E265" s="3" t="s">
        <v>132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132</v>
      </c>
      <c r="D266" s="3"/>
      <c r="E266" s="3" t="s">
        <v>132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132</v>
      </c>
      <c r="D267" s="3"/>
      <c r="E267" s="3" t="s">
        <v>132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109</v>
      </c>
      <c r="O267" s="3"/>
      <c r="P267" s="3"/>
      <c r="Q267" s="3">
        <v>0.48799999999999999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132</v>
      </c>
      <c r="D268" s="3"/>
      <c r="E268" s="3" t="s">
        <v>132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208</v>
      </c>
      <c r="O268" s="3"/>
      <c r="P268" s="3"/>
      <c r="Q268" s="3">
        <v>2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133</v>
      </c>
      <c r="D269" s="3"/>
      <c r="E269" s="3" t="s">
        <v>133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284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133</v>
      </c>
      <c r="D270" s="3"/>
      <c r="E270" s="3" t="s">
        <v>133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151</v>
      </c>
      <c r="O270" s="3"/>
      <c r="P270" s="3"/>
      <c r="Q270" s="3">
        <v>3.2509999999999999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133</v>
      </c>
      <c r="D271" s="3"/>
      <c r="E271" s="3" t="s">
        <v>133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18</v>
      </c>
      <c r="O271" s="3"/>
      <c r="P271" s="3"/>
      <c r="Q271" s="3">
        <v>115.824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133</v>
      </c>
      <c r="D272" s="3"/>
      <c r="E272" s="3" t="s">
        <v>133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105</v>
      </c>
      <c r="O272" s="3"/>
      <c r="P272" s="3"/>
      <c r="Q272" s="3">
        <v>0.96699999999999997</v>
      </c>
      <c r="R272" s="3" t="s">
        <v>106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133</v>
      </c>
      <c r="D273" s="3"/>
      <c r="E273" s="3" t="s">
        <v>133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14.731999999999999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133</v>
      </c>
      <c r="D274" s="3"/>
      <c r="E274" s="3" t="s">
        <v>133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90.602000000000004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133</v>
      </c>
      <c r="D275" s="3"/>
      <c r="E275" s="3" t="s">
        <v>133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111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133</v>
      </c>
      <c r="D276" s="3"/>
      <c r="E276" s="3" t="s">
        <v>133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133</v>
      </c>
      <c r="D277" s="3"/>
      <c r="E277" s="3" t="s">
        <v>133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133</v>
      </c>
      <c r="D278" s="3"/>
      <c r="E278" s="3" t="s">
        <v>133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133</v>
      </c>
      <c r="D279" s="3"/>
      <c r="E279" s="3" t="s">
        <v>133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109</v>
      </c>
      <c r="O279" s="3"/>
      <c r="P279" s="3"/>
      <c r="Q279" s="3">
        <v>0.53300000000000003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133</v>
      </c>
      <c r="D280" s="3"/>
      <c r="E280" s="3" t="s">
        <v>133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209</v>
      </c>
      <c r="O280" s="3"/>
      <c r="P280" s="3"/>
      <c r="Q280" s="3">
        <v>2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134</v>
      </c>
      <c r="D281" s="3"/>
      <c r="E281" s="3" t="s">
        <v>134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285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134</v>
      </c>
      <c r="D282" s="3"/>
      <c r="E282" s="3" t="s">
        <v>134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151</v>
      </c>
      <c r="O282" s="3"/>
      <c r="P282" s="3"/>
      <c r="Q282" s="3">
        <v>3.556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134</v>
      </c>
      <c r="D283" s="3"/>
      <c r="E283" s="3" t="s">
        <v>134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18</v>
      </c>
      <c r="O283" s="3"/>
      <c r="P283" s="3"/>
      <c r="Q283" s="3">
        <v>120.70099999999999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134</v>
      </c>
      <c r="D284" s="3"/>
      <c r="E284" s="3" t="s">
        <v>134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105</v>
      </c>
      <c r="O284" s="3"/>
      <c r="P284" s="3"/>
      <c r="Q284" s="3">
        <v>1.06</v>
      </c>
      <c r="R284" s="3" t="s">
        <v>106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134</v>
      </c>
      <c r="D285" s="3"/>
      <c r="E285" s="3" t="s">
        <v>134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15.342000000000001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134</v>
      </c>
      <c r="D286" s="3"/>
      <c r="E286" s="3" t="s">
        <v>134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94.350999999999999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134</v>
      </c>
      <c r="D287" s="3"/>
      <c r="E287" s="3" t="s">
        <v>134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111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134</v>
      </c>
      <c r="D288" s="3"/>
      <c r="E288" s="3" t="s">
        <v>134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134</v>
      </c>
      <c r="D289" s="3"/>
      <c r="E289" s="3" t="s">
        <v>134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134</v>
      </c>
      <c r="D290" s="3"/>
      <c r="E290" s="3" t="s">
        <v>134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134</v>
      </c>
      <c r="D291" s="3"/>
      <c r="E291" s="3" t="s">
        <v>134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109</v>
      </c>
      <c r="O291" s="3"/>
      <c r="P291" s="3"/>
      <c r="Q291" s="3">
        <v>0.57799999999999996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134</v>
      </c>
      <c r="D292" s="3"/>
      <c r="E292" s="3" t="s">
        <v>134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210</v>
      </c>
      <c r="O292" s="3"/>
      <c r="P292" s="3"/>
      <c r="Q292" s="3">
        <v>2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135</v>
      </c>
      <c r="D293" s="3"/>
      <c r="E293" s="3" t="s">
        <v>135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286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135</v>
      </c>
      <c r="D294" s="3"/>
      <c r="E294" s="3" t="s">
        <v>135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151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135</v>
      </c>
      <c r="D295" s="3"/>
      <c r="E295" s="3" t="s">
        <v>135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18</v>
      </c>
      <c r="O295" s="3"/>
      <c r="P295" s="3"/>
      <c r="Q295" s="3">
        <v>93.066000000000003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135</v>
      </c>
      <c r="D296" s="3"/>
      <c r="E296" s="3" t="s">
        <v>135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105</v>
      </c>
      <c r="O296" s="3"/>
      <c r="P296" s="3"/>
      <c r="Q296" s="3">
        <v>0.51200000000000001</v>
      </c>
      <c r="R296" s="3" t="s">
        <v>106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135</v>
      </c>
      <c r="D297" s="3"/>
      <c r="E297" s="3" t="s">
        <v>135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11.887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135</v>
      </c>
      <c r="D298" s="3"/>
      <c r="E298" s="3" t="s">
        <v>135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73.105999999999995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135</v>
      </c>
      <c r="D299" s="3"/>
      <c r="E299" s="3" t="s">
        <v>135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111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135</v>
      </c>
      <c r="D300" s="3"/>
      <c r="E300" s="3" t="s">
        <v>135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135</v>
      </c>
      <c r="D301" s="3"/>
      <c r="E301" s="3" t="s">
        <v>135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135</v>
      </c>
      <c r="D302" s="3"/>
      <c r="E302" s="3" t="s">
        <v>135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135</v>
      </c>
      <c r="D303" s="3"/>
      <c r="E303" s="3" t="s">
        <v>135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109</v>
      </c>
      <c r="O303" s="3"/>
      <c r="P303" s="3"/>
      <c r="Q303" s="3">
        <v>0.66100000000000003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135</v>
      </c>
      <c r="D304" s="3"/>
      <c r="E304" s="3" t="s">
        <v>135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211</v>
      </c>
      <c r="O304" s="3"/>
      <c r="P304" s="3"/>
      <c r="Q304" s="3">
        <v>2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136</v>
      </c>
      <c r="D305" s="3"/>
      <c r="E305" s="3" t="s">
        <v>136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287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136</v>
      </c>
      <c r="D306" s="3"/>
      <c r="E306" s="3" t="s">
        <v>136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151</v>
      </c>
      <c r="O306" s="3"/>
      <c r="P306" s="3"/>
      <c r="Q306" s="3">
        <v>4.1150000000000002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136</v>
      </c>
      <c r="D307" s="3"/>
      <c r="E307" s="3" t="s">
        <v>136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18</v>
      </c>
      <c r="O307" s="3"/>
      <c r="P307" s="3"/>
      <c r="Q307" s="3">
        <v>97.941999999999993</v>
      </c>
      <c r="R307" s="3" t="s">
        <v>15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136</v>
      </c>
      <c r="D308" s="3"/>
      <c r="E308" s="3" t="s">
        <v>136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105</v>
      </c>
      <c r="O308" s="3"/>
      <c r="P308" s="3"/>
      <c r="Q308" s="3">
        <v>0.60799999999999998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136</v>
      </c>
      <c r="D309" s="3"/>
      <c r="E309" s="3" t="s">
        <v>136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12.497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136</v>
      </c>
      <c r="D310" s="3"/>
      <c r="E310" s="3" t="s">
        <v>136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76.855000000000004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136</v>
      </c>
      <c r="D311" s="3"/>
      <c r="E311" s="3" t="s">
        <v>136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111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136</v>
      </c>
      <c r="D312" s="3"/>
      <c r="E312" s="3" t="s">
        <v>136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136</v>
      </c>
      <c r="D313" s="3"/>
      <c r="E313" s="3" t="s">
        <v>136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136</v>
      </c>
      <c r="D314" s="3"/>
      <c r="E314" s="3" t="s">
        <v>136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136</v>
      </c>
      <c r="D315" s="3"/>
      <c r="E315" s="3" t="s">
        <v>136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109</v>
      </c>
      <c r="O315" s="3"/>
      <c r="P315" s="3"/>
      <c r="Q315" s="3">
        <v>0.66100000000000003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136</v>
      </c>
      <c r="D316" s="3"/>
      <c r="E316" s="3" t="s">
        <v>136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212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137</v>
      </c>
      <c r="D317" s="3"/>
      <c r="E317" s="3" t="s">
        <v>137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288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137</v>
      </c>
      <c r="D318" s="3"/>
      <c r="E318" s="3" t="s">
        <v>137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151</v>
      </c>
      <c r="O318" s="3"/>
      <c r="P318" s="3"/>
      <c r="Q318" s="3">
        <v>4.1150000000000002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137</v>
      </c>
      <c r="D319" s="3"/>
      <c r="E319" s="3" t="s">
        <v>137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18</v>
      </c>
      <c r="O319" s="3"/>
      <c r="P319" s="3"/>
      <c r="Q319" s="3">
        <v>102.819</v>
      </c>
      <c r="R319" s="3" t="s">
        <v>15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137</v>
      </c>
      <c r="D320" s="3"/>
      <c r="E320" s="3" t="s">
        <v>137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0.70399999999999996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137</v>
      </c>
      <c r="D321" s="3"/>
      <c r="E321" s="3" t="s">
        <v>137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13.106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137</v>
      </c>
      <c r="D322" s="3"/>
      <c r="E322" s="3" t="s">
        <v>137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80.603999999999999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137</v>
      </c>
      <c r="D323" s="3"/>
      <c r="E323" s="3" t="s">
        <v>137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111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137</v>
      </c>
      <c r="D324" s="3"/>
      <c r="E324" s="3" t="s">
        <v>137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137</v>
      </c>
      <c r="D325" s="3"/>
      <c r="E325" s="3" t="s">
        <v>137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137</v>
      </c>
      <c r="D326" s="3"/>
      <c r="E326" s="3" t="s">
        <v>137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137</v>
      </c>
      <c r="D327" s="3"/>
      <c r="E327" s="3" t="s">
        <v>137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109</v>
      </c>
      <c r="O327" s="3"/>
      <c r="P327" s="3"/>
      <c r="Q327" s="3">
        <v>0.66100000000000003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137</v>
      </c>
      <c r="D328" s="3"/>
      <c r="E328" s="3" t="s">
        <v>137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213</v>
      </c>
      <c r="O328" s="3"/>
      <c r="P328" s="3"/>
      <c r="Q328" s="3">
        <v>2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138</v>
      </c>
      <c r="D329" s="3"/>
      <c r="E329" s="3" t="s">
        <v>138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289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138</v>
      </c>
      <c r="D330" s="3"/>
      <c r="E330" s="3" t="s">
        <v>138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151</v>
      </c>
      <c r="O330" s="3"/>
      <c r="P330" s="3"/>
      <c r="Q330" s="3">
        <v>4.1150000000000002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138</v>
      </c>
      <c r="D331" s="3"/>
      <c r="E331" s="3" t="s">
        <v>138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18</v>
      </c>
      <c r="O331" s="3"/>
      <c r="P331" s="3"/>
      <c r="Q331" s="3">
        <v>107.696</v>
      </c>
      <c r="R331" s="3" t="s">
        <v>15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138</v>
      </c>
      <c r="D332" s="3"/>
      <c r="E332" s="3" t="s">
        <v>138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105</v>
      </c>
      <c r="O332" s="3"/>
      <c r="P332" s="3"/>
      <c r="Q332" s="3">
        <v>0.8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138</v>
      </c>
      <c r="D333" s="3"/>
      <c r="E333" s="3" t="s">
        <v>138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13.715999999999999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138</v>
      </c>
      <c r="D334" s="3"/>
      <c r="E334" s="3" t="s">
        <v>138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84.352999999999994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138</v>
      </c>
      <c r="D335" s="3"/>
      <c r="E335" s="3" t="s">
        <v>138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111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138</v>
      </c>
      <c r="D336" s="3"/>
      <c r="E336" s="3" t="s">
        <v>138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138</v>
      </c>
      <c r="D337" s="3"/>
      <c r="E337" s="3" t="s">
        <v>138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138</v>
      </c>
      <c r="D338" s="3"/>
      <c r="E338" s="3" t="s">
        <v>138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138</v>
      </c>
      <c r="D339" s="3"/>
      <c r="E339" s="3" t="s">
        <v>138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109</v>
      </c>
      <c r="O339" s="3"/>
      <c r="P339" s="3"/>
      <c r="Q339" s="3">
        <v>0.66100000000000003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138</v>
      </c>
      <c r="D340" s="3"/>
      <c r="E340" s="3" t="s">
        <v>138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214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139</v>
      </c>
      <c r="D341" s="3"/>
      <c r="E341" s="3" t="s">
        <v>139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290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139</v>
      </c>
      <c r="D342" s="3"/>
      <c r="E342" s="3" t="s">
        <v>139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151</v>
      </c>
      <c r="O342" s="3"/>
      <c r="P342" s="3"/>
      <c r="Q342" s="3">
        <v>4.1150000000000002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139</v>
      </c>
      <c r="D343" s="3"/>
      <c r="E343" s="3" t="s">
        <v>139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18</v>
      </c>
      <c r="O343" s="3"/>
      <c r="P343" s="3"/>
      <c r="Q343" s="3">
        <v>110.134</v>
      </c>
      <c r="R343" s="3" t="s">
        <v>15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139</v>
      </c>
      <c r="D344" s="3"/>
      <c r="E344" s="3" t="s">
        <v>139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105</v>
      </c>
      <c r="O344" s="3"/>
      <c r="P344" s="3"/>
      <c r="Q344" s="3">
        <v>0.84799999999999998</v>
      </c>
      <c r="R344" s="3" t="s">
        <v>106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139</v>
      </c>
      <c r="D345" s="3"/>
      <c r="E345" s="3" t="s">
        <v>139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14.021000000000001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139</v>
      </c>
      <c r="D346" s="3"/>
      <c r="E346" s="3" t="s">
        <v>139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86.227999999999994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139</v>
      </c>
      <c r="D347" s="3"/>
      <c r="E347" s="3" t="s">
        <v>139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111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139</v>
      </c>
      <c r="D348" s="3"/>
      <c r="E348" s="3" t="s">
        <v>139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139</v>
      </c>
      <c r="D349" s="3"/>
      <c r="E349" s="3" t="s">
        <v>139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139</v>
      </c>
      <c r="D350" s="3"/>
      <c r="E350" s="3" t="s">
        <v>139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139</v>
      </c>
      <c r="D351" s="3"/>
      <c r="E351" s="3" t="s">
        <v>139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109</v>
      </c>
      <c r="O351" s="3"/>
      <c r="P351" s="3"/>
      <c r="Q351" s="3">
        <v>0.66100000000000003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139</v>
      </c>
      <c r="D352" s="3"/>
      <c r="E352" s="3" t="s">
        <v>139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215</v>
      </c>
      <c r="O352" s="3"/>
      <c r="P352" s="3"/>
      <c r="Q352" s="3">
        <v>2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140</v>
      </c>
      <c r="D353" s="3"/>
      <c r="E353" s="3" t="s">
        <v>140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291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140</v>
      </c>
      <c r="D354" s="3"/>
      <c r="E354" s="3" t="s">
        <v>140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151</v>
      </c>
      <c r="O354" s="3"/>
      <c r="P354" s="3"/>
      <c r="Q354" s="3">
        <v>4.1150000000000002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140</v>
      </c>
      <c r="D355" s="3"/>
      <c r="E355" s="3" t="s">
        <v>140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18</v>
      </c>
      <c r="O355" s="3"/>
      <c r="P355" s="3"/>
      <c r="Q355" s="3">
        <v>112.57299999999999</v>
      </c>
      <c r="R355" s="3" t="s">
        <v>15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140</v>
      </c>
      <c r="D356" s="3"/>
      <c r="E356" s="3" t="s">
        <v>140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105</v>
      </c>
      <c r="O356" s="3"/>
      <c r="P356" s="3"/>
      <c r="Q356" s="3">
        <v>0.89600000000000002</v>
      </c>
      <c r="R356" s="3" t="s">
        <v>106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140</v>
      </c>
      <c r="D357" s="3"/>
      <c r="E357" s="3" t="s">
        <v>140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14.326000000000001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140</v>
      </c>
      <c r="D358" s="3"/>
      <c r="E358" s="3" t="s">
        <v>140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88.102000000000004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140</v>
      </c>
      <c r="D359" s="3"/>
      <c r="E359" s="3" t="s">
        <v>140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111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140</v>
      </c>
      <c r="D360" s="3"/>
      <c r="E360" s="3" t="s">
        <v>140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140</v>
      </c>
      <c r="D361" s="3"/>
      <c r="E361" s="3" t="s">
        <v>140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140</v>
      </c>
      <c r="D362" s="3"/>
      <c r="E362" s="3" t="s">
        <v>140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140</v>
      </c>
      <c r="D363" s="3"/>
      <c r="E363" s="3" t="s">
        <v>140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109</v>
      </c>
      <c r="O363" s="3"/>
      <c r="P363" s="3"/>
      <c r="Q363" s="3">
        <v>0.66100000000000003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140</v>
      </c>
      <c r="D364" s="3"/>
      <c r="E364" s="3" t="s">
        <v>140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216</v>
      </c>
      <c r="O364" s="3"/>
      <c r="P364" s="3"/>
      <c r="Q364" s="3">
        <v>2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141</v>
      </c>
      <c r="D365" s="3"/>
      <c r="E365" s="3" t="s">
        <v>141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292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141</v>
      </c>
      <c r="D366" s="3"/>
      <c r="E366" s="3" t="s">
        <v>141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151</v>
      </c>
      <c r="O366" s="3"/>
      <c r="P366" s="3"/>
      <c r="Q366" s="3">
        <v>4.1150000000000002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141</v>
      </c>
      <c r="D367" s="3"/>
      <c r="E367" s="3" t="s">
        <v>141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18</v>
      </c>
      <c r="O367" s="3"/>
      <c r="P367" s="3"/>
      <c r="Q367" s="3">
        <v>117.45</v>
      </c>
      <c r="R367" s="3" t="s">
        <v>15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141</v>
      </c>
      <c r="D368" s="3"/>
      <c r="E368" s="3" t="s">
        <v>141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105</v>
      </c>
      <c r="O368" s="3"/>
      <c r="P368" s="3"/>
      <c r="Q368" s="3">
        <v>0.99199999999999999</v>
      </c>
      <c r="R368" s="3" t="s">
        <v>106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141</v>
      </c>
      <c r="D369" s="3"/>
      <c r="E369" s="3" t="s">
        <v>141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14.935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141</v>
      </c>
      <c r="D370" s="3"/>
      <c r="E370" s="3" t="s">
        <v>141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91.850999999999999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141</v>
      </c>
      <c r="D371" s="3"/>
      <c r="E371" s="3" t="s">
        <v>141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111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141</v>
      </c>
      <c r="D372" s="3"/>
      <c r="E372" s="3" t="s">
        <v>141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141</v>
      </c>
      <c r="D373" s="3"/>
      <c r="E373" s="3" t="s">
        <v>141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141</v>
      </c>
      <c r="D374" s="3"/>
      <c r="E374" s="3" t="s">
        <v>141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141</v>
      </c>
      <c r="D375" s="3"/>
      <c r="E375" s="3" t="s">
        <v>141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109</v>
      </c>
      <c r="O375" s="3"/>
      <c r="P375" s="3"/>
      <c r="Q375" s="3">
        <v>0.66100000000000003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141</v>
      </c>
      <c r="D376" s="3"/>
      <c r="E376" s="3" t="s">
        <v>141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217</v>
      </c>
      <c r="O376" s="3"/>
      <c r="P376" s="3"/>
      <c r="Q376" s="3">
        <v>2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142</v>
      </c>
      <c r="D377" s="3"/>
      <c r="E377" s="3" t="s">
        <v>142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293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142</v>
      </c>
      <c r="D378" s="3"/>
      <c r="E378" s="3" t="s">
        <v>142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151</v>
      </c>
      <c r="O378" s="3"/>
      <c r="P378" s="3"/>
      <c r="Q378" s="3">
        <v>4.1150000000000002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142</v>
      </c>
      <c r="D379" s="3"/>
      <c r="E379" s="3" t="s">
        <v>142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18</v>
      </c>
      <c r="O379" s="3"/>
      <c r="P379" s="3"/>
      <c r="Q379" s="3">
        <v>122.32599999999999</v>
      </c>
      <c r="R379" s="3" t="s">
        <v>15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142</v>
      </c>
      <c r="D380" s="3"/>
      <c r="E380" s="3" t="s">
        <v>142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105</v>
      </c>
      <c r="O380" s="3"/>
      <c r="P380" s="3"/>
      <c r="Q380" s="3">
        <v>1.0880000000000001</v>
      </c>
      <c r="R380" s="3" t="s">
        <v>106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142</v>
      </c>
      <c r="D381" s="3"/>
      <c r="E381" s="3" t="s">
        <v>142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15.545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142</v>
      </c>
      <c r="D382" s="3"/>
      <c r="E382" s="3" t="s">
        <v>142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95.600999999999999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142</v>
      </c>
      <c r="D383" s="3"/>
      <c r="E383" s="3" t="s">
        <v>142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111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142</v>
      </c>
      <c r="D384" s="3"/>
      <c r="E384" s="3" t="s">
        <v>142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142</v>
      </c>
      <c r="D385" s="3"/>
      <c r="E385" s="3" t="s">
        <v>142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142</v>
      </c>
      <c r="D386" s="3"/>
      <c r="E386" s="3" t="s">
        <v>142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142</v>
      </c>
      <c r="D387" s="3"/>
      <c r="E387" s="3" t="s">
        <v>142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109</v>
      </c>
      <c r="O387" s="3"/>
      <c r="P387" s="3"/>
      <c r="Q387" s="3">
        <v>0.66100000000000003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142</v>
      </c>
      <c r="D388" s="3"/>
      <c r="E388" s="3" t="s">
        <v>142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218</v>
      </c>
      <c r="O388" s="3"/>
      <c r="P388" s="3"/>
      <c r="Q388" s="3">
        <v>2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143</v>
      </c>
      <c r="D389" s="3"/>
      <c r="E389" s="3" t="s">
        <v>143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294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143</v>
      </c>
      <c r="D390" s="3"/>
      <c r="E390" s="3" t="s">
        <v>143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151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143</v>
      </c>
      <c r="D391" s="3"/>
      <c r="E391" s="3" t="s">
        <v>143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18</v>
      </c>
      <c r="O391" s="3"/>
      <c r="P391" s="3"/>
      <c r="Q391" s="3">
        <v>96.316999999999993</v>
      </c>
      <c r="R391" s="3" t="s">
        <v>15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143</v>
      </c>
      <c r="D392" s="3"/>
      <c r="E392" s="3" t="s">
        <v>143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105</v>
      </c>
      <c r="O392" s="3"/>
      <c r="P392" s="3"/>
      <c r="Q392" s="3">
        <v>0.53800000000000003</v>
      </c>
      <c r="R392" s="3" t="s">
        <v>106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143</v>
      </c>
      <c r="D393" s="3"/>
      <c r="E393" s="3" t="s">
        <v>143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12.294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143</v>
      </c>
      <c r="D394" s="3"/>
      <c r="E394" s="3" t="s">
        <v>143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75.605999999999995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143</v>
      </c>
      <c r="D395" s="3"/>
      <c r="E395" s="3" t="s">
        <v>143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111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143</v>
      </c>
      <c r="D396" s="3"/>
      <c r="E396" s="3" t="s">
        <v>143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143</v>
      </c>
      <c r="D397" s="3"/>
      <c r="E397" s="3" t="s">
        <v>143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143</v>
      </c>
      <c r="D398" s="3"/>
      <c r="E398" s="3" t="s">
        <v>143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143</v>
      </c>
      <c r="D399" s="3"/>
      <c r="E399" s="3" t="s">
        <v>143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109</v>
      </c>
      <c r="O399" s="3"/>
      <c r="P399" s="3"/>
      <c r="Q399" s="3">
        <v>0.69099999999999995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143</v>
      </c>
      <c r="D400" s="3"/>
      <c r="E400" s="3" t="s">
        <v>143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219</v>
      </c>
      <c r="O400" s="3"/>
      <c r="P400" s="3"/>
      <c r="Q400" s="3">
        <v>2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144</v>
      </c>
      <c r="D401" s="3"/>
      <c r="E401" s="3" t="s">
        <v>144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295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144</v>
      </c>
      <c r="D402" s="3"/>
      <c r="E402" s="3" t="s">
        <v>144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151</v>
      </c>
      <c r="O402" s="3"/>
      <c r="P402" s="3"/>
      <c r="Q402" s="3">
        <v>4.3179999999999996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144</v>
      </c>
      <c r="D403" s="3"/>
      <c r="E403" s="3" t="s">
        <v>144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18</v>
      </c>
      <c r="O403" s="3"/>
      <c r="P403" s="3"/>
      <c r="Q403" s="3">
        <v>101.194</v>
      </c>
      <c r="R403" s="3" t="s">
        <v>15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144</v>
      </c>
      <c r="D404" s="3"/>
      <c r="E404" s="3" t="s">
        <v>144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105</v>
      </c>
      <c r="O404" s="3"/>
      <c r="P404" s="3"/>
      <c r="Q404" s="3">
        <v>0.63900000000000001</v>
      </c>
      <c r="R404" s="3" t="s">
        <v>106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144</v>
      </c>
      <c r="D405" s="3"/>
      <c r="E405" s="3" t="s">
        <v>144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12.903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144</v>
      </c>
      <c r="D406" s="3"/>
      <c r="E406" s="3" t="s">
        <v>144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79.355000000000004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144</v>
      </c>
      <c r="D407" s="3"/>
      <c r="E407" s="3" t="s">
        <v>144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111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144</v>
      </c>
      <c r="D408" s="3"/>
      <c r="E408" s="3" t="s">
        <v>144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144</v>
      </c>
      <c r="D409" s="3"/>
      <c r="E409" s="3" t="s">
        <v>144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144</v>
      </c>
      <c r="D410" s="3"/>
      <c r="E410" s="3" t="s">
        <v>144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144</v>
      </c>
      <c r="D411" s="3"/>
      <c r="E411" s="3" t="s">
        <v>144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109</v>
      </c>
      <c r="O411" s="3"/>
      <c r="P411" s="3"/>
      <c r="Q411" s="3">
        <v>0.69099999999999995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144</v>
      </c>
      <c r="D412" s="3"/>
      <c r="E412" s="3" t="s">
        <v>144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220</v>
      </c>
      <c r="O412" s="3"/>
      <c r="P412" s="3"/>
      <c r="Q412" s="3">
        <v>2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145</v>
      </c>
      <c r="D413" s="3"/>
      <c r="E413" s="3" t="s">
        <v>145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296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145</v>
      </c>
      <c r="D414" s="3"/>
      <c r="E414" s="3" t="s">
        <v>145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151</v>
      </c>
      <c r="O414" s="3"/>
      <c r="P414" s="3"/>
      <c r="Q414" s="3">
        <v>4.3179999999999996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145</v>
      </c>
      <c r="D415" s="3"/>
      <c r="E415" s="3" t="s">
        <v>145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18</v>
      </c>
      <c r="O415" s="3"/>
      <c r="P415" s="3"/>
      <c r="Q415" s="3">
        <v>106.07</v>
      </c>
      <c r="R415" s="3" t="s">
        <v>15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145</v>
      </c>
      <c r="D416" s="3"/>
      <c r="E416" s="3" t="s">
        <v>145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105</v>
      </c>
      <c r="O416" s="3"/>
      <c r="P416" s="3"/>
      <c r="Q416" s="3">
        <v>0.74</v>
      </c>
      <c r="R416" s="3" t="s">
        <v>106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145</v>
      </c>
      <c r="D417" s="3"/>
      <c r="E417" s="3" t="s">
        <v>145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13.513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145</v>
      </c>
      <c r="D418" s="3"/>
      <c r="E418" s="3" t="s">
        <v>145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83.103999999999999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145</v>
      </c>
      <c r="D419" s="3"/>
      <c r="E419" s="3" t="s">
        <v>145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111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145</v>
      </c>
      <c r="D420" s="3"/>
      <c r="E420" s="3" t="s">
        <v>145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145</v>
      </c>
      <c r="D421" s="3"/>
      <c r="E421" s="3" t="s">
        <v>145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145</v>
      </c>
      <c r="D422" s="3"/>
      <c r="E422" s="3" t="s">
        <v>145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145</v>
      </c>
      <c r="D423" s="3"/>
      <c r="E423" s="3" t="s">
        <v>145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109</v>
      </c>
      <c r="O423" s="3"/>
      <c r="P423" s="3"/>
      <c r="Q423" s="3">
        <v>0.69099999999999995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145</v>
      </c>
      <c r="D424" s="3"/>
      <c r="E424" s="3" t="s">
        <v>145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221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146</v>
      </c>
      <c r="D425" s="3"/>
      <c r="E425" s="3" t="s">
        <v>146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297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146</v>
      </c>
      <c r="D426" s="3"/>
      <c r="E426" s="3" t="s">
        <v>146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151</v>
      </c>
      <c r="O426" s="3"/>
      <c r="P426" s="3"/>
      <c r="Q426" s="3">
        <v>4.3179999999999996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146</v>
      </c>
      <c r="D427" s="3"/>
      <c r="E427" s="3" t="s">
        <v>146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18</v>
      </c>
      <c r="O427" s="3"/>
      <c r="P427" s="3"/>
      <c r="Q427" s="3">
        <v>110.947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146</v>
      </c>
      <c r="D428" s="3"/>
      <c r="E428" s="3" t="s">
        <v>146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105</v>
      </c>
      <c r="O428" s="3"/>
      <c r="P428" s="3"/>
      <c r="Q428" s="3">
        <v>0.84</v>
      </c>
      <c r="R428" s="3" t="s">
        <v>106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146</v>
      </c>
      <c r="D429" s="3"/>
      <c r="E429" s="3" t="s">
        <v>146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14.122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146</v>
      </c>
      <c r="D430" s="3"/>
      <c r="E430" s="3" t="s">
        <v>146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86.852999999999994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146</v>
      </c>
      <c r="D431" s="3"/>
      <c r="E431" s="3" t="s">
        <v>146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111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146</v>
      </c>
      <c r="D432" s="3"/>
      <c r="E432" s="3" t="s">
        <v>146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146</v>
      </c>
      <c r="D433" s="3"/>
      <c r="E433" s="3" t="s">
        <v>146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146</v>
      </c>
      <c r="D434" s="3"/>
      <c r="E434" s="3" t="s">
        <v>146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146</v>
      </c>
      <c r="D435" s="3"/>
      <c r="E435" s="3" t="s">
        <v>146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109</v>
      </c>
      <c r="O435" s="3"/>
      <c r="P435" s="3"/>
      <c r="Q435" s="3">
        <v>0.69099999999999995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146</v>
      </c>
      <c r="D436" s="3"/>
      <c r="E436" s="3" t="s">
        <v>146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222</v>
      </c>
      <c r="O436" s="3"/>
      <c r="P436" s="3"/>
      <c r="Q436" s="3">
        <v>2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147</v>
      </c>
      <c r="D437" s="3"/>
      <c r="E437" s="3" t="s">
        <v>147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298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147</v>
      </c>
      <c r="D438" s="3"/>
      <c r="E438" s="3" t="s">
        <v>147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151</v>
      </c>
      <c r="O438" s="3"/>
      <c r="P438" s="3"/>
      <c r="Q438" s="3">
        <v>4.3179999999999996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147</v>
      </c>
      <c r="D439" s="3"/>
      <c r="E439" s="3" t="s">
        <v>147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18</v>
      </c>
      <c r="O439" s="3"/>
      <c r="P439" s="3"/>
      <c r="Q439" s="3">
        <v>113.386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147</v>
      </c>
      <c r="D440" s="3"/>
      <c r="E440" s="3" t="s">
        <v>147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105</v>
      </c>
      <c r="O440" s="3"/>
      <c r="P440" s="3"/>
      <c r="Q440" s="3">
        <v>0.89100000000000001</v>
      </c>
      <c r="R440" s="3" t="s">
        <v>106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147</v>
      </c>
      <c r="D441" s="3"/>
      <c r="E441" s="3" t="s">
        <v>147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14.427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147</v>
      </c>
      <c r="D442" s="3"/>
      <c r="E442" s="3" t="s">
        <v>147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88.727000000000004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147</v>
      </c>
      <c r="D443" s="3"/>
      <c r="E443" s="3" t="s">
        <v>147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111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147</v>
      </c>
      <c r="D444" s="3"/>
      <c r="E444" s="3" t="s">
        <v>147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147</v>
      </c>
      <c r="D445" s="3"/>
      <c r="E445" s="3" t="s">
        <v>147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147</v>
      </c>
      <c r="D446" s="3"/>
      <c r="E446" s="3" t="s">
        <v>147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147</v>
      </c>
      <c r="D447" s="3"/>
      <c r="E447" s="3" t="s">
        <v>147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109</v>
      </c>
      <c r="O447" s="3"/>
      <c r="P447" s="3"/>
      <c r="Q447" s="3">
        <v>0.69099999999999995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147</v>
      </c>
      <c r="D448" s="3"/>
      <c r="E448" s="3" t="s">
        <v>147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223</v>
      </c>
      <c r="O448" s="3"/>
      <c r="P448" s="3"/>
      <c r="Q448" s="3">
        <v>2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148</v>
      </c>
      <c r="D449" s="3"/>
      <c r="E449" s="3" t="s">
        <v>148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299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148</v>
      </c>
      <c r="D450" s="3"/>
      <c r="E450" s="3" t="s">
        <v>148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151</v>
      </c>
      <c r="O450" s="3"/>
      <c r="P450" s="3"/>
      <c r="Q450" s="3">
        <v>4.3179999999999996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148</v>
      </c>
      <c r="D451" s="3"/>
      <c r="E451" s="3" t="s">
        <v>148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18</v>
      </c>
      <c r="O451" s="3"/>
      <c r="P451" s="3"/>
      <c r="Q451" s="3">
        <v>115.824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148</v>
      </c>
      <c r="D452" s="3"/>
      <c r="E452" s="3" t="s">
        <v>148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105</v>
      </c>
      <c r="O452" s="3"/>
      <c r="P452" s="3"/>
      <c r="Q452" s="3">
        <v>0.94099999999999995</v>
      </c>
      <c r="R452" s="3" t="s">
        <v>106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148</v>
      </c>
      <c r="D453" s="3"/>
      <c r="E453" s="3" t="s">
        <v>148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14.731999999999999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148</v>
      </c>
      <c r="D454" s="3"/>
      <c r="E454" s="3" t="s">
        <v>148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90.602000000000004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148</v>
      </c>
      <c r="D455" s="3"/>
      <c r="E455" s="3" t="s">
        <v>148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111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148</v>
      </c>
      <c r="D456" s="3"/>
      <c r="E456" s="3" t="s">
        <v>148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148</v>
      </c>
      <c r="D457" s="3"/>
      <c r="E457" s="3" t="s">
        <v>148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148</v>
      </c>
      <c r="D458" s="3"/>
      <c r="E458" s="3" t="s">
        <v>148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148</v>
      </c>
      <c r="D459" s="3"/>
      <c r="E459" s="3" t="s">
        <v>148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109</v>
      </c>
      <c r="O459" s="3"/>
      <c r="P459" s="3"/>
      <c r="Q459" s="3">
        <v>0.69099999999999995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148</v>
      </c>
      <c r="D460" s="3"/>
      <c r="E460" s="3" t="s">
        <v>148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224</v>
      </c>
      <c r="O460" s="3"/>
      <c r="P460" s="3"/>
      <c r="Q460" s="3">
        <v>2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149</v>
      </c>
      <c r="D461" s="3"/>
      <c r="E461" s="3" t="s">
        <v>149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300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149</v>
      </c>
      <c r="D462" s="3"/>
      <c r="E462" s="3" t="s">
        <v>149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151</v>
      </c>
      <c r="O462" s="3"/>
      <c r="P462" s="3"/>
      <c r="Q462" s="3">
        <v>4.3179999999999996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149</v>
      </c>
      <c r="D463" s="3"/>
      <c r="E463" s="3" t="s">
        <v>149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18</v>
      </c>
      <c r="O463" s="3"/>
      <c r="P463" s="3"/>
      <c r="Q463" s="3">
        <v>120.70099999999999</v>
      </c>
      <c r="R463" s="3" t="s">
        <v>15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149</v>
      </c>
      <c r="D464" s="3"/>
      <c r="E464" s="3" t="s">
        <v>149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105</v>
      </c>
      <c r="O464" s="3"/>
      <c r="P464" s="3"/>
      <c r="Q464" s="3">
        <v>1.042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149</v>
      </c>
      <c r="D465" s="3"/>
      <c r="E465" s="3" t="s">
        <v>149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15.342000000000001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149</v>
      </c>
      <c r="D466" s="3"/>
      <c r="E466" s="3" t="s">
        <v>149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94.350999999999999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149</v>
      </c>
      <c r="D467" s="3"/>
      <c r="E467" s="3" t="s">
        <v>149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111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149</v>
      </c>
      <c r="D468" s="3"/>
      <c r="E468" s="3" t="s">
        <v>149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149</v>
      </c>
      <c r="D469" s="3"/>
      <c r="E469" s="3" t="s">
        <v>149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149</v>
      </c>
      <c r="D470" s="3"/>
      <c r="E470" s="3" t="s">
        <v>149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149</v>
      </c>
      <c r="D471" s="3"/>
      <c r="E471" s="3" t="s">
        <v>149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109</v>
      </c>
      <c r="O471" s="3"/>
      <c r="P471" s="3"/>
      <c r="Q471" s="3">
        <v>0.69099999999999995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149</v>
      </c>
      <c r="D472" s="3"/>
      <c r="E472" s="3" t="s">
        <v>149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225</v>
      </c>
      <c r="O472" s="3"/>
      <c r="P472" s="3"/>
      <c r="Q472" s="3">
        <v>2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150</v>
      </c>
      <c r="D473" s="3"/>
      <c r="E473" s="3" t="s">
        <v>150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301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150</v>
      </c>
      <c r="D474" s="3"/>
      <c r="E474" s="3" t="s">
        <v>150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151</v>
      </c>
      <c r="O474" s="3"/>
      <c r="P474" s="3"/>
      <c r="Q474" s="3">
        <v>4.3179999999999996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150</v>
      </c>
      <c r="D475" s="3"/>
      <c r="E475" s="3" t="s">
        <v>150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18</v>
      </c>
      <c r="O475" s="3"/>
      <c r="P475" s="3"/>
      <c r="Q475" s="3">
        <v>125.578</v>
      </c>
      <c r="R475" s="3" t="s">
        <v>15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150</v>
      </c>
      <c r="D476" s="3"/>
      <c r="E476" s="3" t="s">
        <v>150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1.143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150</v>
      </c>
      <c r="D477" s="3"/>
      <c r="E477" s="3" t="s">
        <v>150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15.951000000000001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150</v>
      </c>
      <c r="D478" s="3"/>
      <c r="E478" s="3" t="s">
        <v>150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98.1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150</v>
      </c>
      <c r="D479" s="3"/>
      <c r="E479" s="3" t="s">
        <v>150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111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150</v>
      </c>
      <c r="D480" s="3"/>
      <c r="E480" s="3" t="s">
        <v>150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150</v>
      </c>
      <c r="D481" s="3"/>
      <c r="E481" s="3" t="s">
        <v>150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150</v>
      </c>
      <c r="D482" s="3"/>
      <c r="E482" s="3" t="s">
        <v>150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150</v>
      </c>
      <c r="D483" s="3"/>
      <c r="E483" s="3" t="s">
        <v>150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109</v>
      </c>
      <c r="O483" s="3"/>
      <c r="P483" s="3"/>
      <c r="Q483" s="3">
        <v>0.69099999999999995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150</v>
      </c>
      <c r="D484" s="3"/>
      <c r="E484" s="3" t="s">
        <v>150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226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152</v>
      </c>
      <c r="D485" s="3"/>
      <c r="E485" s="3" t="s">
        <v>152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302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152</v>
      </c>
      <c r="D486" s="3"/>
      <c r="E486" s="3" t="s">
        <v>152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151</v>
      </c>
      <c r="O486" s="3"/>
      <c r="P486" s="3"/>
      <c r="Q486" s="3">
        <v>1.575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152</v>
      </c>
      <c r="D487" s="3"/>
      <c r="E487" s="3" t="s">
        <v>152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18</v>
      </c>
      <c r="O487" s="3"/>
      <c r="P487" s="3"/>
      <c r="Q487" s="3">
        <v>84.125</v>
      </c>
      <c r="R487" s="3" t="s">
        <v>15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152</v>
      </c>
      <c r="D488" s="3"/>
      <c r="E488" s="3" t="s">
        <v>152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105</v>
      </c>
      <c r="O488" s="3"/>
      <c r="P488" s="3"/>
      <c r="Q488" s="3">
        <v>0.41699999999999998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152</v>
      </c>
      <c r="D489" s="3"/>
      <c r="E489" s="3" t="s">
        <v>152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107</v>
      </c>
      <c r="O489" s="3"/>
      <c r="P489" s="3"/>
      <c r="Q489" s="3">
        <v>10.77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152</v>
      </c>
      <c r="D490" s="3"/>
      <c r="E490" s="3" t="s">
        <v>152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66.233000000000004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152</v>
      </c>
      <c r="D491" s="3"/>
      <c r="E491" s="3" t="s">
        <v>152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111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152</v>
      </c>
      <c r="D492" s="3"/>
      <c r="E492" s="3" t="s">
        <v>152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152</v>
      </c>
      <c r="D493" s="3"/>
      <c r="E493" s="3" t="s">
        <v>152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152</v>
      </c>
      <c r="D494" s="3"/>
      <c r="E494" s="3" t="s">
        <v>152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152</v>
      </c>
      <c r="D495" s="3"/>
      <c r="E495" s="3" t="s">
        <v>152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109</v>
      </c>
      <c r="O495" s="3"/>
      <c r="P495" s="3"/>
      <c r="Q495" s="3">
        <v>0.28499999999999998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152</v>
      </c>
      <c r="D496" s="3"/>
      <c r="E496" s="3" t="s">
        <v>152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227</v>
      </c>
      <c r="O496" s="3"/>
      <c r="P496" s="3"/>
      <c r="Q496" s="3">
        <v>2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153</v>
      </c>
      <c r="D497" s="3"/>
      <c r="E497" s="3" t="s">
        <v>153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303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153</v>
      </c>
      <c r="D498" s="3"/>
      <c r="E498" s="3" t="s">
        <v>153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151</v>
      </c>
      <c r="O498" s="3"/>
      <c r="P498" s="3"/>
      <c r="Q498" s="3">
        <v>1.88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153</v>
      </c>
      <c r="D499" s="3"/>
      <c r="E499" s="3" t="s">
        <v>153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18</v>
      </c>
      <c r="O499" s="3"/>
      <c r="P499" s="3"/>
      <c r="Q499" s="3">
        <v>89.001999999999995</v>
      </c>
      <c r="R499" s="3" t="s">
        <v>15</v>
      </c>
      <c r="S499" s="3"/>
      <c r="T499" s="3">
        <v>10</v>
      </c>
      <c r="U499" s="3"/>
      <c r="V499" s="3" t="s">
        <v>14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153</v>
      </c>
      <c r="D500" s="3"/>
      <c r="E500" s="3" t="s">
        <v>153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105</v>
      </c>
      <c r="O500" s="3"/>
      <c r="P500" s="3"/>
      <c r="Q500" s="3">
        <v>0.503</v>
      </c>
      <c r="R500" s="3" t="s">
        <v>106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153</v>
      </c>
      <c r="D501" s="3"/>
      <c r="E501" s="3" t="s">
        <v>153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107</v>
      </c>
      <c r="O501" s="3"/>
      <c r="P501" s="3"/>
      <c r="Q501" s="3">
        <v>11.379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153</v>
      </c>
      <c r="D502" s="3"/>
      <c r="E502" s="3" t="s">
        <v>153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69.981999999999999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153</v>
      </c>
      <c r="D503" s="3"/>
      <c r="E503" s="3" t="s">
        <v>153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111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153</v>
      </c>
      <c r="D504" s="3"/>
      <c r="E504" s="3" t="s">
        <v>153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153</v>
      </c>
      <c r="D505" s="3"/>
      <c r="E505" s="3" t="s">
        <v>153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153</v>
      </c>
      <c r="D506" s="3"/>
      <c r="E506" s="3" t="s">
        <v>153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153</v>
      </c>
      <c r="D507" s="3"/>
      <c r="E507" s="3" t="s">
        <v>153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109</v>
      </c>
      <c r="O507" s="3"/>
      <c r="P507" s="3"/>
      <c r="Q507" s="3">
        <v>0.33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153</v>
      </c>
      <c r="D508" s="3"/>
      <c r="E508" s="3" t="s">
        <v>153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228</v>
      </c>
      <c r="O508" s="3"/>
      <c r="P508" s="3"/>
      <c r="Q508" s="3">
        <v>2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154</v>
      </c>
      <c r="D509" s="3"/>
      <c r="E509" s="3" t="s">
        <v>154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304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154</v>
      </c>
      <c r="D510" s="3"/>
      <c r="E510" s="3" t="s">
        <v>154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151</v>
      </c>
      <c r="O510" s="3"/>
      <c r="P510" s="3"/>
      <c r="Q510" s="3">
        <v>2.1840000000000002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154</v>
      </c>
      <c r="D511" s="3"/>
      <c r="E511" s="3" t="s">
        <v>154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18</v>
      </c>
      <c r="O511" s="3"/>
      <c r="P511" s="3"/>
      <c r="Q511" s="3">
        <v>93.878</v>
      </c>
      <c r="R511" s="3" t="s">
        <v>15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154</v>
      </c>
      <c r="D512" s="3"/>
      <c r="E512" s="3" t="s">
        <v>154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105</v>
      </c>
      <c r="O512" s="3"/>
      <c r="P512" s="3"/>
      <c r="Q512" s="3">
        <v>0.58899999999999997</v>
      </c>
      <c r="R512" s="3" t="s">
        <v>106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154</v>
      </c>
      <c r="D513" s="3"/>
      <c r="E513" s="3" t="s">
        <v>154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107</v>
      </c>
      <c r="O513" s="3"/>
      <c r="P513" s="3"/>
      <c r="Q513" s="3">
        <v>11.989000000000001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154</v>
      </c>
      <c r="D514" s="3"/>
      <c r="E514" s="3" t="s">
        <v>154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73.730999999999995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154</v>
      </c>
      <c r="D515" s="3"/>
      <c r="E515" s="3" t="s">
        <v>154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111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154</v>
      </c>
      <c r="D516" s="3"/>
      <c r="E516" s="3" t="s">
        <v>154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154</v>
      </c>
      <c r="D517" s="3"/>
      <c r="E517" s="3" t="s">
        <v>154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154</v>
      </c>
      <c r="D518" s="3"/>
      <c r="E518" s="3" t="s">
        <v>154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154</v>
      </c>
      <c r="D519" s="3"/>
      <c r="E519" s="3" t="s">
        <v>154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109</v>
      </c>
      <c r="O519" s="3"/>
      <c r="P519" s="3"/>
      <c r="Q519" s="3">
        <v>0.375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154</v>
      </c>
      <c r="D520" s="3"/>
      <c r="E520" s="3" t="s">
        <v>154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229</v>
      </c>
      <c r="O520" s="3"/>
      <c r="P520" s="3"/>
      <c r="Q520" s="3">
        <v>2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155</v>
      </c>
      <c r="D521" s="3"/>
      <c r="E521" s="3" t="s">
        <v>155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305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155</v>
      </c>
      <c r="D522" s="3"/>
      <c r="E522" s="3" t="s">
        <v>155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151</v>
      </c>
      <c r="O522" s="3"/>
      <c r="P522" s="3"/>
      <c r="Q522" s="3">
        <v>2.4889999999999999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155</v>
      </c>
      <c r="D523" s="3"/>
      <c r="E523" s="3" t="s">
        <v>155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18</v>
      </c>
      <c r="O523" s="3"/>
      <c r="P523" s="3"/>
      <c r="Q523" s="3">
        <v>98.754999999999995</v>
      </c>
      <c r="R523" s="3" t="s">
        <v>15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155</v>
      </c>
      <c r="D524" s="3"/>
      <c r="E524" s="3" t="s">
        <v>155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105</v>
      </c>
      <c r="O524" s="3"/>
      <c r="P524" s="3"/>
      <c r="Q524" s="3">
        <v>0.67600000000000005</v>
      </c>
      <c r="R524" s="3" t="s">
        <v>106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155</v>
      </c>
      <c r="D525" s="3"/>
      <c r="E525" s="3" t="s">
        <v>155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107</v>
      </c>
      <c r="O525" s="3"/>
      <c r="P525" s="3"/>
      <c r="Q525" s="3">
        <v>12.598000000000001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155</v>
      </c>
      <c r="D526" s="3"/>
      <c r="E526" s="3" t="s">
        <v>155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77.48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155</v>
      </c>
      <c r="D527" s="3"/>
      <c r="E527" s="3" t="s">
        <v>155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111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155</v>
      </c>
      <c r="D528" s="3"/>
      <c r="E528" s="3" t="s">
        <v>155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155</v>
      </c>
      <c r="D529" s="3"/>
      <c r="E529" s="3" t="s">
        <v>155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155</v>
      </c>
      <c r="D530" s="3"/>
      <c r="E530" s="3" t="s">
        <v>155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155</v>
      </c>
      <c r="D531" s="3"/>
      <c r="E531" s="3" t="s">
        <v>155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109</v>
      </c>
      <c r="O531" s="3"/>
      <c r="P531" s="3"/>
      <c r="Q531" s="3">
        <v>0.42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155</v>
      </c>
      <c r="D532" s="3"/>
      <c r="E532" s="3" t="s">
        <v>155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230</v>
      </c>
      <c r="O532" s="3"/>
      <c r="P532" s="3"/>
      <c r="Q532" s="3">
        <v>2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156</v>
      </c>
      <c r="D533" s="3"/>
      <c r="E533" s="3" t="s">
        <v>156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306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156</v>
      </c>
      <c r="D534" s="3"/>
      <c r="E534" s="3" t="s">
        <v>156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151</v>
      </c>
      <c r="O534" s="3"/>
      <c r="P534" s="3"/>
      <c r="Q534" s="3">
        <v>3.0990000000000002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156</v>
      </c>
      <c r="D535" s="3"/>
      <c r="E535" s="3" t="s">
        <v>156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18</v>
      </c>
      <c r="O535" s="3"/>
      <c r="P535" s="3"/>
      <c r="Q535" s="3">
        <v>108.509</v>
      </c>
      <c r="R535" s="3" t="s">
        <v>15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156</v>
      </c>
      <c r="D536" s="3"/>
      <c r="E536" s="3" t="s">
        <v>156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105</v>
      </c>
      <c r="O536" s="3"/>
      <c r="P536" s="3"/>
      <c r="Q536" s="3">
        <v>0.84799999999999998</v>
      </c>
      <c r="R536" s="3" t="s">
        <v>106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156</v>
      </c>
      <c r="D537" s="3"/>
      <c r="E537" s="3" t="s">
        <v>156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107</v>
      </c>
      <c r="O537" s="3"/>
      <c r="P537" s="3"/>
      <c r="Q537" s="3">
        <v>13.818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156</v>
      </c>
      <c r="D538" s="3"/>
      <c r="E538" s="3" t="s">
        <v>156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84.977999999999994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156</v>
      </c>
      <c r="D539" s="3"/>
      <c r="E539" s="3" t="s">
        <v>156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111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156</v>
      </c>
      <c r="D540" s="3"/>
      <c r="E540" s="3" t="s">
        <v>156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156</v>
      </c>
      <c r="D541" s="3"/>
      <c r="E541" s="3" t="s">
        <v>156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156</v>
      </c>
      <c r="D542" s="3"/>
      <c r="E542" s="3" t="s">
        <v>156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156</v>
      </c>
      <c r="D543" s="3"/>
      <c r="E543" s="3" t="s">
        <v>156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109</v>
      </c>
      <c r="O543" s="3"/>
      <c r="P543" s="3"/>
      <c r="Q543" s="3">
        <v>0.51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156</v>
      </c>
      <c r="D544" s="3"/>
      <c r="E544" s="3" t="s">
        <v>156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231</v>
      </c>
      <c r="O544" s="3"/>
      <c r="P544" s="3"/>
      <c r="Q544" s="3">
        <v>2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157</v>
      </c>
      <c r="D545" s="3"/>
      <c r="E545" s="3" t="s">
        <v>157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307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157</v>
      </c>
      <c r="D546" s="3"/>
      <c r="E546" s="3" t="s">
        <v>157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151</v>
      </c>
      <c r="O546" s="3"/>
      <c r="P546" s="3"/>
      <c r="Q546" s="3">
        <v>3.4039999999999999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157</v>
      </c>
      <c r="D547" s="3"/>
      <c r="E547" s="3" t="s">
        <v>157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18</v>
      </c>
      <c r="O547" s="3"/>
      <c r="P547" s="3"/>
      <c r="Q547" s="3">
        <v>113.386</v>
      </c>
      <c r="R547" s="3" t="s">
        <v>15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157</v>
      </c>
      <c r="D548" s="3"/>
      <c r="E548" s="3" t="s">
        <v>157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105</v>
      </c>
      <c r="O548" s="3"/>
      <c r="P548" s="3"/>
      <c r="Q548" s="3">
        <v>0.93500000000000005</v>
      </c>
      <c r="R548" s="3" t="s">
        <v>106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157</v>
      </c>
      <c r="D549" s="3"/>
      <c r="E549" s="3" t="s">
        <v>157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107</v>
      </c>
      <c r="O549" s="3"/>
      <c r="P549" s="3"/>
      <c r="Q549" s="3">
        <v>14.427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157</v>
      </c>
      <c r="D550" s="3"/>
      <c r="E550" s="3" t="s">
        <v>157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88.727000000000004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157</v>
      </c>
      <c r="D551" s="3"/>
      <c r="E551" s="3" t="s">
        <v>157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111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157</v>
      </c>
      <c r="D552" s="3"/>
      <c r="E552" s="3" t="s">
        <v>157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157</v>
      </c>
      <c r="D553" s="3"/>
      <c r="E553" s="3" t="s">
        <v>157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157</v>
      </c>
      <c r="D554" s="3"/>
      <c r="E554" s="3" t="s">
        <v>157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157</v>
      </c>
      <c r="D555" s="3"/>
      <c r="E555" s="3" t="s">
        <v>157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109</v>
      </c>
      <c r="O555" s="3"/>
      <c r="P555" s="3"/>
      <c r="Q555" s="3">
        <v>0.55500000000000005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157</v>
      </c>
      <c r="D556" s="3"/>
      <c r="E556" s="3" t="s">
        <v>157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232</v>
      </c>
      <c r="O556" s="3"/>
      <c r="P556" s="3"/>
      <c r="Q556" s="3">
        <v>2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158</v>
      </c>
      <c r="D557" s="3"/>
      <c r="E557" s="3" t="s">
        <v>158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308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158</v>
      </c>
      <c r="D558" s="3"/>
      <c r="E558" s="3" t="s">
        <v>158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151</v>
      </c>
      <c r="O558" s="3"/>
      <c r="P558" s="3"/>
      <c r="Q558" s="3">
        <v>3.7080000000000002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158</v>
      </c>
      <c r="D559" s="3"/>
      <c r="E559" s="3" t="s">
        <v>158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18</v>
      </c>
      <c r="O559" s="3"/>
      <c r="P559" s="3"/>
      <c r="Q559" s="3">
        <v>118.262</v>
      </c>
      <c r="R559" s="3" t="s">
        <v>15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158</v>
      </c>
      <c r="D560" s="3"/>
      <c r="E560" s="3" t="s">
        <v>158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105</v>
      </c>
      <c r="O560" s="3"/>
      <c r="P560" s="3"/>
      <c r="Q560" s="3">
        <v>1.0209999999999999</v>
      </c>
      <c r="R560" s="3" t="s">
        <v>106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158</v>
      </c>
      <c r="D561" s="3"/>
      <c r="E561" s="3" t="s">
        <v>158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107</v>
      </c>
      <c r="O561" s="3"/>
      <c r="P561" s="3"/>
      <c r="Q561" s="3">
        <v>15.037000000000001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158</v>
      </c>
      <c r="D562" s="3"/>
      <c r="E562" s="3" t="s">
        <v>158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92.475999999999999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158</v>
      </c>
      <c r="D563" s="3"/>
      <c r="E563" s="3" t="s">
        <v>158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111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158</v>
      </c>
      <c r="D564" s="3"/>
      <c r="E564" s="3" t="s">
        <v>158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158</v>
      </c>
      <c r="D565" s="3"/>
      <c r="E565" s="3" t="s">
        <v>158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158</v>
      </c>
      <c r="D566" s="3"/>
      <c r="E566" s="3" t="s">
        <v>158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158</v>
      </c>
      <c r="D567" s="3"/>
      <c r="E567" s="3" t="s">
        <v>158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109</v>
      </c>
      <c r="O567" s="3"/>
      <c r="P567" s="3"/>
      <c r="Q567" s="3">
        <v>0.60099999999999998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158</v>
      </c>
      <c r="D568" s="3"/>
      <c r="E568" s="3" t="s">
        <v>158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233</v>
      </c>
      <c r="O568" s="3"/>
      <c r="P568" s="3"/>
      <c r="Q568" s="3">
        <v>2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159</v>
      </c>
      <c r="D569" s="3"/>
      <c r="E569" s="3" t="s">
        <v>159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309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159</v>
      </c>
      <c r="D570" s="3"/>
      <c r="E570" s="3" t="s">
        <v>159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151</v>
      </c>
      <c r="O570" s="3"/>
      <c r="P570" s="3"/>
      <c r="Q570" s="3">
        <v>1.575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159</v>
      </c>
      <c r="D571" s="3"/>
      <c r="E571" s="3" t="s">
        <v>159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18</v>
      </c>
      <c r="O571" s="3"/>
      <c r="P571" s="3"/>
      <c r="Q571" s="3">
        <v>86.563000000000002</v>
      </c>
      <c r="R571" s="3" t="s">
        <v>15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159</v>
      </c>
      <c r="D572" s="3"/>
      <c r="E572" s="3" t="s">
        <v>159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105</v>
      </c>
      <c r="O572" s="3"/>
      <c r="P572" s="3"/>
      <c r="Q572" s="3">
        <v>0.435</v>
      </c>
      <c r="R572" s="3" t="s">
        <v>106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159</v>
      </c>
      <c r="D573" s="3"/>
      <c r="E573" s="3" t="s">
        <v>159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107</v>
      </c>
      <c r="O573" s="3"/>
      <c r="P573" s="3"/>
      <c r="Q573" s="3">
        <v>11.074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159</v>
      </c>
      <c r="D574" s="3"/>
      <c r="E574" s="3" t="s">
        <v>159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68.108000000000004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159</v>
      </c>
      <c r="D575" s="3"/>
      <c r="E575" s="3" t="s">
        <v>159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111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159</v>
      </c>
      <c r="D576" s="3"/>
      <c r="E576" s="3" t="s">
        <v>159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159</v>
      </c>
      <c r="D577" s="3"/>
      <c r="E577" s="3" t="s">
        <v>159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159</v>
      </c>
      <c r="D578" s="3"/>
      <c r="E578" s="3" t="s">
        <v>159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159</v>
      </c>
      <c r="D579" s="3"/>
      <c r="E579" s="3" t="s">
        <v>159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109</v>
      </c>
      <c r="O579" s="3"/>
      <c r="P579" s="3"/>
      <c r="Q579" s="3">
        <v>0.28499999999999998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159</v>
      </c>
      <c r="D580" s="3"/>
      <c r="E580" s="3" t="s">
        <v>159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234</v>
      </c>
      <c r="O580" s="3"/>
      <c r="P580" s="3"/>
      <c r="Q580" s="3">
        <v>2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160</v>
      </c>
      <c r="D581" s="3"/>
      <c r="E581" s="3" t="s">
        <v>160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310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160</v>
      </c>
      <c r="D582" s="3"/>
      <c r="E582" s="3" t="s">
        <v>160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151</v>
      </c>
      <c r="O582" s="3"/>
      <c r="P582" s="3"/>
      <c r="Q582" s="3">
        <v>1.88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160</v>
      </c>
      <c r="D583" s="3"/>
      <c r="E583" s="3" t="s">
        <v>160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18</v>
      </c>
      <c r="O583" s="3"/>
      <c r="P583" s="3"/>
      <c r="Q583" s="3">
        <v>91.44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160</v>
      </c>
      <c r="D584" s="3"/>
      <c r="E584" s="3" t="s">
        <v>160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105</v>
      </c>
      <c r="O584" s="3"/>
      <c r="P584" s="3"/>
      <c r="Q584" s="3">
        <v>0.52400000000000002</v>
      </c>
      <c r="R584" s="3" t="s">
        <v>106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160</v>
      </c>
      <c r="D585" s="3"/>
      <c r="E585" s="3" t="s">
        <v>160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107</v>
      </c>
      <c r="O585" s="3"/>
      <c r="P585" s="3"/>
      <c r="Q585" s="3">
        <v>11.683999999999999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160</v>
      </c>
      <c r="D586" s="3"/>
      <c r="E586" s="3" t="s">
        <v>160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71.856999999999999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160</v>
      </c>
      <c r="D587" s="3"/>
      <c r="E587" s="3" t="s">
        <v>160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111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160</v>
      </c>
      <c r="D588" s="3"/>
      <c r="E588" s="3" t="s">
        <v>160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160</v>
      </c>
      <c r="D589" s="3"/>
      <c r="E589" s="3" t="s">
        <v>160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160</v>
      </c>
      <c r="D590" s="3"/>
      <c r="E590" s="3" t="s">
        <v>160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160</v>
      </c>
      <c r="D591" s="3"/>
      <c r="E591" s="3" t="s">
        <v>160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109</v>
      </c>
      <c r="O591" s="3"/>
      <c r="P591" s="3"/>
      <c r="Q591" s="3">
        <v>0.33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160</v>
      </c>
      <c r="D592" s="3"/>
      <c r="E592" s="3" t="s">
        <v>160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235</v>
      </c>
      <c r="O592" s="3"/>
      <c r="P592" s="3"/>
      <c r="Q592" s="3">
        <v>2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161</v>
      </c>
      <c r="D593" s="3"/>
      <c r="E593" s="3" t="s">
        <v>161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311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161</v>
      </c>
      <c r="D594" s="3"/>
      <c r="E594" s="3" t="s">
        <v>161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151</v>
      </c>
      <c r="O594" s="3"/>
      <c r="P594" s="3"/>
      <c r="Q594" s="3">
        <v>2.1840000000000002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161</v>
      </c>
      <c r="D595" s="3"/>
      <c r="E595" s="3" t="s">
        <v>161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18</v>
      </c>
      <c r="O595" s="3"/>
      <c r="P595" s="3"/>
      <c r="Q595" s="3">
        <v>96.316999999999993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161</v>
      </c>
      <c r="D596" s="3"/>
      <c r="E596" s="3" t="s">
        <v>161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105</v>
      </c>
      <c r="O596" s="3"/>
      <c r="P596" s="3"/>
      <c r="Q596" s="3">
        <v>0.61399999999999999</v>
      </c>
      <c r="R596" s="3" t="s">
        <v>106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161</v>
      </c>
      <c r="D597" s="3"/>
      <c r="E597" s="3" t="s">
        <v>161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107</v>
      </c>
      <c r="O597" s="3"/>
      <c r="P597" s="3"/>
      <c r="Q597" s="3">
        <v>12.294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161</v>
      </c>
      <c r="D598" s="3"/>
      <c r="E598" s="3" t="s">
        <v>161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75.605999999999995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161</v>
      </c>
      <c r="D599" s="3"/>
      <c r="E599" s="3" t="s">
        <v>161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111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161</v>
      </c>
      <c r="D600" s="3"/>
      <c r="E600" s="3" t="s">
        <v>161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161</v>
      </c>
      <c r="D601" s="3"/>
      <c r="E601" s="3" t="s">
        <v>161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161</v>
      </c>
      <c r="D602" s="3"/>
      <c r="E602" s="3" t="s">
        <v>161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161</v>
      </c>
      <c r="D603" s="3"/>
      <c r="E603" s="3" t="s">
        <v>161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109</v>
      </c>
      <c r="O603" s="3"/>
      <c r="P603" s="3"/>
      <c r="Q603" s="3">
        <v>0.375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161</v>
      </c>
      <c r="D604" s="3"/>
      <c r="E604" s="3" t="s">
        <v>161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236</v>
      </c>
      <c r="O604" s="3"/>
      <c r="P604" s="3"/>
      <c r="Q604" s="3">
        <v>2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162</v>
      </c>
      <c r="D605" s="3"/>
      <c r="E605" s="3" t="s">
        <v>162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312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162</v>
      </c>
      <c r="D606" s="3"/>
      <c r="E606" s="3" t="s">
        <v>162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151</v>
      </c>
      <c r="O606" s="3"/>
      <c r="P606" s="3"/>
      <c r="Q606" s="3">
        <v>2.4889999999999999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162</v>
      </c>
      <c r="D607" s="3"/>
      <c r="E607" s="3" t="s">
        <v>162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18</v>
      </c>
      <c r="O607" s="3"/>
      <c r="P607" s="3"/>
      <c r="Q607" s="3">
        <v>101.194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162</v>
      </c>
      <c r="D608" s="3"/>
      <c r="E608" s="3" t="s">
        <v>162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105</v>
      </c>
      <c r="O608" s="3"/>
      <c r="P608" s="3"/>
      <c r="Q608" s="3">
        <v>0.70399999999999996</v>
      </c>
      <c r="R608" s="3" t="s">
        <v>106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162</v>
      </c>
      <c r="D609" s="3"/>
      <c r="E609" s="3" t="s">
        <v>162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107</v>
      </c>
      <c r="O609" s="3"/>
      <c r="P609" s="3"/>
      <c r="Q609" s="3">
        <v>12.903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162</v>
      </c>
      <c r="D610" s="3"/>
      <c r="E610" s="3" t="s">
        <v>162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79.355000000000004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162</v>
      </c>
      <c r="D611" s="3"/>
      <c r="E611" s="3" t="s">
        <v>162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111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162</v>
      </c>
      <c r="D612" s="3"/>
      <c r="E612" s="3" t="s">
        <v>162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162</v>
      </c>
      <c r="D613" s="3"/>
      <c r="E613" s="3" t="s">
        <v>162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162</v>
      </c>
      <c r="D614" s="3"/>
      <c r="E614" s="3" t="s">
        <v>162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162</v>
      </c>
      <c r="D615" s="3"/>
      <c r="E615" s="3" t="s">
        <v>162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109</v>
      </c>
      <c r="O615" s="3"/>
      <c r="P615" s="3"/>
      <c r="Q615" s="3">
        <v>0.42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162</v>
      </c>
      <c r="D616" s="3"/>
      <c r="E616" s="3" t="s">
        <v>162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237</v>
      </c>
      <c r="O616" s="3"/>
      <c r="P616" s="3"/>
      <c r="Q616" s="3">
        <v>2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163</v>
      </c>
      <c r="D617" s="3"/>
      <c r="E617" s="3" t="s">
        <v>163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313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163</v>
      </c>
      <c r="D618" s="3"/>
      <c r="E618" s="3" t="s">
        <v>163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151</v>
      </c>
      <c r="O618" s="3"/>
      <c r="P618" s="3"/>
      <c r="Q618" s="3">
        <v>3.0990000000000002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163</v>
      </c>
      <c r="D619" s="3"/>
      <c r="E619" s="3" t="s">
        <v>163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18</v>
      </c>
      <c r="O619" s="3"/>
      <c r="P619" s="3"/>
      <c r="Q619" s="3">
        <v>110.947</v>
      </c>
      <c r="R619" s="3" t="s">
        <v>15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163</v>
      </c>
      <c r="D620" s="3"/>
      <c r="E620" s="3" t="s">
        <v>163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105</v>
      </c>
      <c r="O620" s="3"/>
      <c r="P620" s="3"/>
      <c r="Q620" s="3">
        <v>0.88400000000000001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163</v>
      </c>
      <c r="D621" s="3"/>
      <c r="E621" s="3" t="s">
        <v>163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107</v>
      </c>
      <c r="O621" s="3"/>
      <c r="P621" s="3"/>
      <c r="Q621" s="3">
        <v>14.122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163</v>
      </c>
      <c r="D622" s="3"/>
      <c r="E622" s="3" t="s">
        <v>163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86.852999999999994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163</v>
      </c>
      <c r="D623" s="3"/>
      <c r="E623" s="3" t="s">
        <v>163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111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163</v>
      </c>
      <c r="D624" s="3"/>
      <c r="E624" s="3" t="s">
        <v>163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163</v>
      </c>
      <c r="D625" s="3"/>
      <c r="E625" s="3" t="s">
        <v>163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163</v>
      </c>
      <c r="D626" s="3"/>
      <c r="E626" s="3" t="s">
        <v>163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163</v>
      </c>
      <c r="D627" s="3"/>
      <c r="E627" s="3" t="s">
        <v>163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109</v>
      </c>
      <c r="O627" s="3"/>
      <c r="P627" s="3"/>
      <c r="Q627" s="3">
        <v>0.51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163</v>
      </c>
      <c r="D628" s="3"/>
      <c r="E628" s="3" t="s">
        <v>163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238</v>
      </c>
      <c r="O628" s="3"/>
      <c r="P628" s="3"/>
      <c r="Q628" s="3">
        <v>2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164</v>
      </c>
      <c r="D629" s="3"/>
      <c r="E629" s="3" t="s">
        <v>164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314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164</v>
      </c>
      <c r="D630" s="3"/>
      <c r="E630" s="3" t="s">
        <v>164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151</v>
      </c>
      <c r="O630" s="3"/>
      <c r="P630" s="3"/>
      <c r="Q630" s="3">
        <v>3.4039999999999999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164</v>
      </c>
      <c r="D631" s="3"/>
      <c r="E631" s="3" t="s">
        <v>164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18</v>
      </c>
      <c r="O631" s="3"/>
      <c r="P631" s="3"/>
      <c r="Q631" s="3">
        <v>115.824</v>
      </c>
      <c r="R631" s="3" t="s">
        <v>15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164</v>
      </c>
      <c r="D632" s="3"/>
      <c r="E632" s="3" t="s">
        <v>164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0.97399999999999998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164</v>
      </c>
      <c r="D633" s="3"/>
      <c r="E633" s="3" t="s">
        <v>164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14.731999999999999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164</v>
      </c>
      <c r="D634" s="3"/>
      <c r="E634" s="3" t="s">
        <v>164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90.602000000000004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164</v>
      </c>
      <c r="D635" s="3"/>
      <c r="E635" s="3" t="s">
        <v>164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111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164</v>
      </c>
      <c r="D636" s="3"/>
      <c r="E636" s="3" t="s">
        <v>164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164</v>
      </c>
      <c r="D637" s="3"/>
      <c r="E637" s="3" t="s">
        <v>164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164</v>
      </c>
      <c r="D638" s="3"/>
      <c r="E638" s="3" t="s">
        <v>164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164</v>
      </c>
      <c r="D639" s="3"/>
      <c r="E639" s="3" t="s">
        <v>164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109</v>
      </c>
      <c r="O639" s="3"/>
      <c r="P639" s="3"/>
      <c r="Q639" s="3">
        <v>0.55500000000000005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164</v>
      </c>
      <c r="D640" s="3"/>
      <c r="E640" s="3" t="s">
        <v>164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239</v>
      </c>
      <c r="O640" s="3"/>
      <c r="P640" s="3"/>
      <c r="Q640" s="3">
        <v>2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165</v>
      </c>
      <c r="D641" s="3"/>
      <c r="E641" s="3" t="s">
        <v>165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315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165</v>
      </c>
      <c r="D642" s="3"/>
      <c r="E642" s="3" t="s">
        <v>165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151</v>
      </c>
      <c r="O642" s="3"/>
      <c r="P642" s="3"/>
      <c r="Q642" s="3">
        <v>3.7080000000000002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165</v>
      </c>
      <c r="D643" s="3"/>
      <c r="E643" s="3" t="s">
        <v>165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18</v>
      </c>
      <c r="O643" s="3"/>
      <c r="P643" s="3"/>
      <c r="Q643" s="3">
        <v>120.70099999999999</v>
      </c>
      <c r="R643" s="3" t="s">
        <v>15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165</v>
      </c>
      <c r="D644" s="3"/>
      <c r="E644" s="3" t="s">
        <v>165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105</v>
      </c>
      <c r="O644" s="3"/>
      <c r="P644" s="3"/>
      <c r="Q644" s="3">
        <v>1.0640000000000001</v>
      </c>
      <c r="R644" s="3" t="s">
        <v>106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165</v>
      </c>
      <c r="D645" s="3"/>
      <c r="E645" s="3" t="s">
        <v>165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107</v>
      </c>
      <c r="O645" s="3"/>
      <c r="P645" s="3"/>
      <c r="Q645" s="3">
        <v>15.342000000000001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165</v>
      </c>
      <c r="D646" s="3"/>
      <c r="E646" s="3" t="s">
        <v>165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94.350999999999999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165</v>
      </c>
      <c r="D647" s="3"/>
      <c r="E647" s="3" t="s">
        <v>165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111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165</v>
      </c>
      <c r="D648" s="3"/>
      <c r="E648" s="3" t="s">
        <v>165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165</v>
      </c>
      <c r="D649" s="3"/>
      <c r="E649" s="3" t="s">
        <v>165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165</v>
      </c>
      <c r="D650" s="3"/>
      <c r="E650" s="3" t="s">
        <v>165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165</v>
      </c>
      <c r="D651" s="3"/>
      <c r="E651" s="3" t="s">
        <v>165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109</v>
      </c>
      <c r="O651" s="3"/>
      <c r="P651" s="3"/>
      <c r="Q651" s="3">
        <v>0.60099999999999998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165</v>
      </c>
      <c r="D652" s="3"/>
      <c r="E652" s="3" t="s">
        <v>165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240</v>
      </c>
      <c r="O652" s="3"/>
      <c r="P652" s="3"/>
      <c r="Q652" s="3">
        <v>2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166</v>
      </c>
      <c r="D653" s="3"/>
      <c r="E653" s="3" t="s">
        <v>166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316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166</v>
      </c>
      <c r="D654" s="3"/>
      <c r="E654" s="3" t="s">
        <v>166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151</v>
      </c>
      <c r="O654" s="3"/>
      <c r="P654" s="3"/>
      <c r="Q654" s="3">
        <v>1.575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166</v>
      </c>
      <c r="D655" s="3"/>
      <c r="E655" s="3" t="s">
        <v>166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18</v>
      </c>
      <c r="O655" s="3"/>
      <c r="P655" s="3"/>
      <c r="Q655" s="3">
        <v>89.001999999999995</v>
      </c>
      <c r="R655" s="3" t="s">
        <v>15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166</v>
      </c>
      <c r="D656" s="3"/>
      <c r="E656" s="3" t="s">
        <v>166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105</v>
      </c>
      <c r="O656" s="3"/>
      <c r="P656" s="3"/>
      <c r="Q656" s="3">
        <v>0.45200000000000001</v>
      </c>
      <c r="R656" s="3" t="s">
        <v>106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166</v>
      </c>
      <c r="D657" s="3"/>
      <c r="E657" s="3" t="s">
        <v>166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107</v>
      </c>
      <c r="O657" s="3"/>
      <c r="P657" s="3"/>
      <c r="Q657" s="3">
        <v>11.379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166</v>
      </c>
      <c r="D658" s="3"/>
      <c r="E658" s="3" t="s">
        <v>166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69.981999999999999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166</v>
      </c>
      <c r="D659" s="3"/>
      <c r="E659" s="3" t="s">
        <v>166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111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166</v>
      </c>
      <c r="D660" s="3"/>
      <c r="E660" s="3" t="s">
        <v>166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166</v>
      </c>
      <c r="D661" s="3"/>
      <c r="E661" s="3" t="s">
        <v>166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166</v>
      </c>
      <c r="D662" s="3"/>
      <c r="E662" s="3" t="s">
        <v>166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166</v>
      </c>
      <c r="D663" s="3"/>
      <c r="E663" s="3" t="s">
        <v>166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109</v>
      </c>
      <c r="O663" s="3"/>
      <c r="P663" s="3"/>
      <c r="Q663" s="3">
        <v>0.28499999999999998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166</v>
      </c>
      <c r="D664" s="3"/>
      <c r="E664" s="3" t="s">
        <v>166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241</v>
      </c>
      <c r="O664" s="3"/>
      <c r="P664" s="3"/>
      <c r="Q664" s="3">
        <v>2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167</v>
      </c>
      <c r="D665" s="3"/>
      <c r="E665" s="3" t="s">
        <v>167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317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167</v>
      </c>
      <c r="D666" s="3"/>
      <c r="E666" s="3" t="s">
        <v>167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151</v>
      </c>
      <c r="O666" s="3"/>
      <c r="P666" s="3"/>
      <c r="Q666" s="3">
        <v>1.88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167</v>
      </c>
      <c r="D667" s="3"/>
      <c r="E667" s="3" t="s">
        <v>167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18</v>
      </c>
      <c r="O667" s="3"/>
      <c r="P667" s="3"/>
      <c r="Q667" s="3">
        <v>93.878</v>
      </c>
      <c r="R667" s="3" t="s">
        <v>15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167</v>
      </c>
      <c r="D668" s="3"/>
      <c r="E668" s="3" t="s">
        <v>167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105</v>
      </c>
      <c r="O668" s="3"/>
      <c r="P668" s="3"/>
      <c r="Q668" s="3">
        <v>0.54600000000000004</v>
      </c>
      <c r="R668" s="3" t="s">
        <v>106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167</v>
      </c>
      <c r="D669" s="3"/>
      <c r="E669" s="3" t="s">
        <v>167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107</v>
      </c>
      <c r="O669" s="3"/>
      <c r="P669" s="3"/>
      <c r="Q669" s="3">
        <v>11.989000000000001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167</v>
      </c>
      <c r="D670" s="3"/>
      <c r="E670" s="3" t="s">
        <v>167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73.730999999999995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167</v>
      </c>
      <c r="D671" s="3"/>
      <c r="E671" s="3" t="s">
        <v>167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111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167</v>
      </c>
      <c r="D672" s="3"/>
      <c r="E672" s="3" t="s">
        <v>167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167</v>
      </c>
      <c r="D673" s="3"/>
      <c r="E673" s="3" t="s">
        <v>167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167</v>
      </c>
      <c r="D674" s="3"/>
      <c r="E674" s="3" t="s">
        <v>167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167</v>
      </c>
      <c r="D675" s="3"/>
      <c r="E675" s="3" t="s">
        <v>167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109</v>
      </c>
      <c r="O675" s="3"/>
      <c r="P675" s="3"/>
      <c r="Q675" s="3">
        <v>0.33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167</v>
      </c>
      <c r="D676" s="3"/>
      <c r="E676" s="3" t="s">
        <v>167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242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168</v>
      </c>
      <c r="D677" s="3"/>
      <c r="E677" s="3" t="s">
        <v>168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318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168</v>
      </c>
      <c r="D678" s="3"/>
      <c r="E678" s="3" t="s">
        <v>168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151</v>
      </c>
      <c r="O678" s="3"/>
      <c r="P678" s="3"/>
      <c r="Q678" s="3">
        <v>2.1840000000000002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168</v>
      </c>
      <c r="D679" s="3"/>
      <c r="E679" s="3" t="s">
        <v>168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18</v>
      </c>
      <c r="O679" s="3"/>
      <c r="P679" s="3"/>
      <c r="Q679" s="3">
        <v>98.754999999999995</v>
      </c>
      <c r="R679" s="3" t="s">
        <v>15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168</v>
      </c>
      <c r="D680" s="3"/>
      <c r="E680" s="3" t="s">
        <v>168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105</v>
      </c>
      <c r="O680" s="3"/>
      <c r="P680" s="3"/>
      <c r="Q680" s="3">
        <v>0.63900000000000001</v>
      </c>
      <c r="R680" s="3" t="s">
        <v>106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168</v>
      </c>
      <c r="D681" s="3"/>
      <c r="E681" s="3" t="s">
        <v>168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107</v>
      </c>
      <c r="O681" s="3"/>
      <c r="P681" s="3"/>
      <c r="Q681" s="3">
        <v>12.598000000000001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168</v>
      </c>
      <c r="D682" s="3"/>
      <c r="E682" s="3" t="s">
        <v>168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77.48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168</v>
      </c>
      <c r="D683" s="3"/>
      <c r="E683" s="3" t="s">
        <v>168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111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168</v>
      </c>
      <c r="D684" s="3"/>
      <c r="E684" s="3" t="s">
        <v>168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168</v>
      </c>
      <c r="D685" s="3"/>
      <c r="E685" s="3" t="s">
        <v>168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168</v>
      </c>
      <c r="D686" s="3"/>
      <c r="E686" s="3" t="s">
        <v>168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168</v>
      </c>
      <c r="D687" s="3"/>
      <c r="E687" s="3" t="s">
        <v>168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109</v>
      </c>
      <c r="O687" s="3"/>
      <c r="P687" s="3"/>
      <c r="Q687" s="3">
        <v>0.375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168</v>
      </c>
      <c r="D688" s="3"/>
      <c r="E688" s="3" t="s">
        <v>168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243</v>
      </c>
      <c r="O688" s="3"/>
      <c r="P688" s="3"/>
      <c r="Q688" s="3">
        <v>2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169</v>
      </c>
      <c r="D689" s="3"/>
      <c r="E689" s="3" t="s">
        <v>169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319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169</v>
      </c>
      <c r="D690" s="3"/>
      <c r="E690" s="3" t="s">
        <v>169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151</v>
      </c>
      <c r="O690" s="3"/>
      <c r="P690" s="3"/>
      <c r="Q690" s="3">
        <v>2.4889999999999999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169</v>
      </c>
      <c r="D691" s="3"/>
      <c r="E691" s="3" t="s">
        <v>169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18</v>
      </c>
      <c r="O691" s="3"/>
      <c r="P691" s="3"/>
      <c r="Q691" s="3">
        <v>103.63200000000001</v>
      </c>
      <c r="R691" s="3" t="s">
        <v>15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169</v>
      </c>
      <c r="D692" s="3"/>
      <c r="E692" s="3" t="s">
        <v>169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105</v>
      </c>
      <c r="O692" s="3"/>
      <c r="P692" s="3"/>
      <c r="Q692" s="3">
        <v>0.73299999999999998</v>
      </c>
      <c r="R692" s="3" t="s">
        <v>106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169</v>
      </c>
      <c r="D693" s="3"/>
      <c r="E693" s="3" t="s">
        <v>169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107</v>
      </c>
      <c r="O693" s="3"/>
      <c r="P693" s="3"/>
      <c r="Q693" s="3">
        <v>13.208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169</v>
      </c>
      <c r="D694" s="3"/>
      <c r="E694" s="3" t="s">
        <v>169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81.228999999999999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169</v>
      </c>
      <c r="D695" s="3"/>
      <c r="E695" s="3" t="s">
        <v>169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111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169</v>
      </c>
      <c r="D696" s="3"/>
      <c r="E696" s="3" t="s">
        <v>169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169</v>
      </c>
      <c r="D697" s="3"/>
      <c r="E697" s="3" t="s">
        <v>169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169</v>
      </c>
      <c r="D698" s="3"/>
      <c r="E698" s="3" t="s">
        <v>169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169</v>
      </c>
      <c r="D699" s="3"/>
      <c r="E699" s="3" t="s">
        <v>169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109</v>
      </c>
      <c r="O699" s="3"/>
      <c r="P699" s="3"/>
      <c r="Q699" s="3">
        <v>0.42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169</v>
      </c>
      <c r="D700" s="3"/>
      <c r="E700" s="3" t="s">
        <v>169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244</v>
      </c>
      <c r="O700" s="3"/>
      <c r="P700" s="3"/>
      <c r="Q700" s="3">
        <v>2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170</v>
      </c>
      <c r="D701" s="3"/>
      <c r="E701" s="3" t="s">
        <v>170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320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170</v>
      </c>
      <c r="D702" s="3"/>
      <c r="E702" s="3" t="s">
        <v>170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151</v>
      </c>
      <c r="O702" s="3"/>
      <c r="P702" s="3"/>
      <c r="Q702" s="3">
        <v>3.0990000000000002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170</v>
      </c>
      <c r="D703" s="3"/>
      <c r="E703" s="3" t="s">
        <v>170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18</v>
      </c>
      <c r="O703" s="3"/>
      <c r="P703" s="3"/>
      <c r="Q703" s="3">
        <v>113.386</v>
      </c>
      <c r="R703" s="3" t="s">
        <v>15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170</v>
      </c>
      <c r="D704" s="3"/>
      <c r="E704" s="3" t="s">
        <v>170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105</v>
      </c>
      <c r="O704" s="3"/>
      <c r="P704" s="3"/>
      <c r="Q704" s="3">
        <v>0.92</v>
      </c>
      <c r="R704" s="3" t="s">
        <v>106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170</v>
      </c>
      <c r="D705" s="3"/>
      <c r="E705" s="3" t="s">
        <v>170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107</v>
      </c>
      <c r="O705" s="3"/>
      <c r="P705" s="3"/>
      <c r="Q705" s="3">
        <v>14.427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170</v>
      </c>
      <c r="D706" s="3"/>
      <c r="E706" s="3" t="s">
        <v>170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88.727000000000004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170</v>
      </c>
      <c r="D707" s="3"/>
      <c r="E707" s="3" t="s">
        <v>170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111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170</v>
      </c>
      <c r="D708" s="3"/>
      <c r="E708" s="3" t="s">
        <v>170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170</v>
      </c>
      <c r="D709" s="3"/>
      <c r="E709" s="3" t="s">
        <v>170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170</v>
      </c>
      <c r="D710" s="3"/>
      <c r="E710" s="3" t="s">
        <v>170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170</v>
      </c>
      <c r="D711" s="3"/>
      <c r="E711" s="3" t="s">
        <v>170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109</v>
      </c>
      <c r="O711" s="3"/>
      <c r="P711" s="3"/>
      <c r="Q711" s="3">
        <v>0.51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170</v>
      </c>
      <c r="D712" s="3"/>
      <c r="E712" s="3" t="s">
        <v>170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245</v>
      </c>
      <c r="O712" s="3"/>
      <c r="P712" s="3"/>
      <c r="Q712" s="3">
        <v>2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171</v>
      </c>
      <c r="D713" s="3"/>
      <c r="E713" s="3" t="s">
        <v>171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321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171</v>
      </c>
      <c r="D714" s="3"/>
      <c r="E714" s="3" t="s">
        <v>171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151</v>
      </c>
      <c r="O714" s="3"/>
      <c r="P714" s="3"/>
      <c r="Q714" s="3">
        <v>3.4039999999999999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171</v>
      </c>
      <c r="D715" s="3"/>
      <c r="E715" s="3" t="s">
        <v>171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18</v>
      </c>
      <c r="O715" s="3"/>
      <c r="P715" s="3"/>
      <c r="Q715" s="3">
        <v>118.262</v>
      </c>
      <c r="R715" s="3" t="s">
        <v>15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171</v>
      </c>
      <c r="D716" s="3"/>
      <c r="E716" s="3" t="s">
        <v>171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105</v>
      </c>
      <c r="O716" s="3"/>
      <c r="P716" s="3"/>
      <c r="Q716" s="3">
        <v>1.014</v>
      </c>
      <c r="R716" s="3" t="s">
        <v>106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171</v>
      </c>
      <c r="D717" s="3"/>
      <c r="E717" s="3" t="s">
        <v>171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107</v>
      </c>
      <c r="O717" s="3"/>
      <c r="P717" s="3"/>
      <c r="Q717" s="3">
        <v>15.037000000000001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171</v>
      </c>
      <c r="D718" s="3"/>
      <c r="E718" s="3" t="s">
        <v>171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92.475999999999999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171</v>
      </c>
      <c r="D719" s="3"/>
      <c r="E719" s="3" t="s">
        <v>171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111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171</v>
      </c>
      <c r="D720" s="3"/>
      <c r="E720" s="3" t="s">
        <v>171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171</v>
      </c>
      <c r="D721" s="3"/>
      <c r="E721" s="3" t="s">
        <v>171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171</v>
      </c>
      <c r="D722" s="3"/>
      <c r="E722" s="3" t="s">
        <v>171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171</v>
      </c>
      <c r="D723" s="3"/>
      <c r="E723" s="3" t="s">
        <v>171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109</v>
      </c>
      <c r="O723" s="3"/>
      <c r="P723" s="3"/>
      <c r="Q723" s="3">
        <v>0.55500000000000005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171</v>
      </c>
      <c r="D724" s="3"/>
      <c r="E724" s="3" t="s">
        <v>171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246</v>
      </c>
      <c r="O724" s="3"/>
      <c r="P724" s="3"/>
      <c r="Q724" s="3">
        <v>2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172</v>
      </c>
      <c r="D725" s="3"/>
      <c r="E725" s="3" t="s">
        <v>172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322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172</v>
      </c>
      <c r="D726" s="3"/>
      <c r="E726" s="3" t="s">
        <v>172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151</v>
      </c>
      <c r="O726" s="3"/>
      <c r="P726" s="3"/>
      <c r="Q726" s="3">
        <v>3.7080000000000002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172</v>
      </c>
      <c r="D727" s="3"/>
      <c r="E727" s="3" t="s">
        <v>172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18</v>
      </c>
      <c r="O727" s="3"/>
      <c r="P727" s="3"/>
      <c r="Q727" s="3">
        <v>123.139</v>
      </c>
      <c r="R727" s="3" t="s">
        <v>15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172</v>
      </c>
      <c r="D728" s="3"/>
      <c r="E728" s="3" t="s">
        <v>172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105</v>
      </c>
      <c r="O728" s="3"/>
      <c r="P728" s="3"/>
      <c r="Q728" s="3">
        <v>1.107</v>
      </c>
      <c r="R728" s="3" t="s">
        <v>106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172</v>
      </c>
      <c r="D729" s="3"/>
      <c r="E729" s="3" t="s">
        <v>172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107</v>
      </c>
      <c r="O729" s="3"/>
      <c r="P729" s="3"/>
      <c r="Q729" s="3">
        <v>15.646000000000001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172</v>
      </c>
      <c r="D730" s="3"/>
      <c r="E730" s="3" t="s">
        <v>172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96.224999999999994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172</v>
      </c>
      <c r="D731" s="3"/>
      <c r="E731" s="3" t="s">
        <v>172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111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172</v>
      </c>
      <c r="D732" s="3"/>
      <c r="E732" s="3" t="s">
        <v>172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172</v>
      </c>
      <c r="D733" s="3"/>
      <c r="E733" s="3" t="s">
        <v>172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172</v>
      </c>
      <c r="D734" s="3"/>
      <c r="E734" s="3" t="s">
        <v>172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172</v>
      </c>
      <c r="D735" s="3"/>
      <c r="E735" s="3" t="s">
        <v>172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109</v>
      </c>
      <c r="O735" s="3"/>
      <c r="P735" s="3"/>
      <c r="Q735" s="3">
        <v>0.60099999999999998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172</v>
      </c>
      <c r="D736" s="3"/>
      <c r="E736" s="3" t="s">
        <v>172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247</v>
      </c>
      <c r="O736" s="3"/>
      <c r="P736" s="3"/>
      <c r="Q736" s="3">
        <v>2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173</v>
      </c>
      <c r="D737" s="3"/>
      <c r="E737" s="3" t="s">
        <v>173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323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173</v>
      </c>
      <c r="D738" s="3"/>
      <c r="E738" s="3" t="s">
        <v>173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151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173</v>
      </c>
      <c r="D739" s="3"/>
      <c r="E739" s="3" t="s">
        <v>173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18</v>
      </c>
      <c r="O739" s="3"/>
      <c r="P739" s="3"/>
      <c r="Q739" s="3">
        <v>90.626999999999995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173</v>
      </c>
      <c r="D740" s="3"/>
      <c r="E740" s="3" t="s">
        <v>173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105</v>
      </c>
      <c r="O740" s="3"/>
      <c r="P740" s="3"/>
      <c r="Q740" s="3">
        <v>0.46400000000000002</v>
      </c>
      <c r="R740" s="3" t="s">
        <v>106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173</v>
      </c>
      <c r="D741" s="3"/>
      <c r="E741" s="3" t="s">
        <v>173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107</v>
      </c>
      <c r="O741" s="3"/>
      <c r="P741" s="3"/>
      <c r="Q741" s="3">
        <v>11.582000000000001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173</v>
      </c>
      <c r="D742" s="3"/>
      <c r="E742" s="3" t="s">
        <v>173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71.231999999999999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173</v>
      </c>
      <c r="D743" s="3"/>
      <c r="E743" s="3" t="s">
        <v>173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111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173</v>
      </c>
      <c r="D744" s="3"/>
      <c r="E744" s="3" t="s">
        <v>173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173</v>
      </c>
      <c r="D745" s="3"/>
      <c r="E745" s="3" t="s">
        <v>173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173</v>
      </c>
      <c r="D746" s="3"/>
      <c r="E746" s="3" t="s">
        <v>173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173</v>
      </c>
      <c r="D747" s="3"/>
      <c r="E747" s="3" t="s">
        <v>173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109</v>
      </c>
      <c r="O747" s="3"/>
      <c r="P747" s="3"/>
      <c r="Q747" s="3">
        <v>0.66100000000000003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173</v>
      </c>
      <c r="D748" s="3"/>
      <c r="E748" s="3" t="s">
        <v>173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248</v>
      </c>
      <c r="O748" s="3"/>
      <c r="P748" s="3"/>
      <c r="Q748" s="3">
        <v>2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174</v>
      </c>
      <c r="D749" s="3"/>
      <c r="E749" s="3" t="s">
        <v>174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324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174</v>
      </c>
      <c r="D750" s="3"/>
      <c r="E750" s="3" t="s">
        <v>174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151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174</v>
      </c>
      <c r="D751" s="3"/>
      <c r="E751" s="3" t="s">
        <v>174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18</v>
      </c>
      <c r="O751" s="3"/>
      <c r="P751" s="3"/>
      <c r="Q751" s="3">
        <v>95.504000000000005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174</v>
      </c>
      <c r="D752" s="3"/>
      <c r="E752" s="3" t="s">
        <v>174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105</v>
      </c>
      <c r="O752" s="3"/>
      <c r="P752" s="3"/>
      <c r="Q752" s="3">
        <v>0.56000000000000005</v>
      </c>
      <c r="R752" s="3" t="s">
        <v>106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174</v>
      </c>
      <c r="D753" s="3"/>
      <c r="E753" s="3" t="s">
        <v>174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107</v>
      </c>
      <c r="O753" s="3"/>
      <c r="P753" s="3"/>
      <c r="Q753" s="3">
        <v>12.192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174</v>
      </c>
      <c r="D754" s="3"/>
      <c r="E754" s="3" t="s">
        <v>174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74.980999999999995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174</v>
      </c>
      <c r="D755" s="3"/>
      <c r="E755" s="3" t="s">
        <v>174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111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174</v>
      </c>
      <c r="D756" s="3"/>
      <c r="E756" s="3" t="s">
        <v>174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174</v>
      </c>
      <c r="D757" s="3"/>
      <c r="E757" s="3" t="s">
        <v>174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174</v>
      </c>
      <c r="D758" s="3"/>
      <c r="E758" s="3" t="s">
        <v>174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174</v>
      </c>
      <c r="D759" s="3"/>
      <c r="E759" s="3" t="s">
        <v>174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109</v>
      </c>
      <c r="O759" s="3"/>
      <c r="P759" s="3"/>
      <c r="Q759" s="3">
        <v>0.66100000000000003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174</v>
      </c>
      <c r="D760" s="3"/>
      <c r="E760" s="3" t="s">
        <v>174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249</v>
      </c>
      <c r="O760" s="3"/>
      <c r="P760" s="3"/>
      <c r="Q760" s="3">
        <v>2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175</v>
      </c>
      <c r="D761" s="3"/>
      <c r="E761" s="3" t="s">
        <v>175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325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175</v>
      </c>
      <c r="D762" s="3"/>
      <c r="E762" s="3" t="s">
        <v>175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151</v>
      </c>
      <c r="O762" s="3"/>
      <c r="P762" s="3"/>
      <c r="Q762" s="3">
        <v>4.1150000000000002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175</v>
      </c>
      <c r="D763" s="3"/>
      <c r="E763" s="3" t="s">
        <v>175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18</v>
      </c>
      <c r="O763" s="3"/>
      <c r="P763" s="3"/>
      <c r="Q763" s="3">
        <v>100.381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175</v>
      </c>
      <c r="D764" s="3"/>
      <c r="E764" s="3" t="s">
        <v>175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105</v>
      </c>
      <c r="O764" s="3"/>
      <c r="P764" s="3"/>
      <c r="Q764" s="3">
        <v>0.65600000000000003</v>
      </c>
      <c r="R764" s="3" t="s">
        <v>106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175</v>
      </c>
      <c r="D765" s="3"/>
      <c r="E765" s="3" t="s">
        <v>175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107</v>
      </c>
      <c r="O765" s="3"/>
      <c r="P765" s="3"/>
      <c r="Q765" s="3">
        <v>12.802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175</v>
      </c>
      <c r="D766" s="3"/>
      <c r="E766" s="3" t="s">
        <v>175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78.73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175</v>
      </c>
      <c r="D767" s="3"/>
      <c r="E767" s="3" t="s">
        <v>175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111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175</v>
      </c>
      <c r="D768" s="3"/>
      <c r="E768" s="3" t="s">
        <v>175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175</v>
      </c>
      <c r="D769" s="3"/>
      <c r="E769" s="3" t="s">
        <v>175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175</v>
      </c>
      <c r="D770" s="3"/>
      <c r="E770" s="3" t="s">
        <v>175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175</v>
      </c>
      <c r="D771" s="3"/>
      <c r="E771" s="3" t="s">
        <v>175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109</v>
      </c>
      <c r="O771" s="3"/>
      <c r="P771" s="3"/>
      <c r="Q771" s="3">
        <v>0.66100000000000003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175</v>
      </c>
      <c r="D772" s="3"/>
      <c r="E772" s="3" t="s">
        <v>175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250</v>
      </c>
      <c r="O772" s="3"/>
      <c r="P772" s="3"/>
      <c r="Q772" s="3">
        <v>2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176</v>
      </c>
      <c r="D773" s="3"/>
      <c r="E773" s="3" t="s">
        <v>176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326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176</v>
      </c>
      <c r="D774" s="3"/>
      <c r="E774" s="3" t="s">
        <v>176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151</v>
      </c>
      <c r="O774" s="3"/>
      <c r="P774" s="3"/>
      <c r="Q774" s="3">
        <v>4.1150000000000002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176</v>
      </c>
      <c r="D775" s="3"/>
      <c r="E775" s="3" t="s">
        <v>176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18</v>
      </c>
      <c r="O775" s="3"/>
      <c r="P775" s="3"/>
      <c r="Q775" s="3">
        <v>105.258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176</v>
      </c>
      <c r="D776" s="3"/>
      <c r="E776" s="3" t="s">
        <v>176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105</v>
      </c>
      <c r="O776" s="3"/>
      <c r="P776" s="3"/>
      <c r="Q776" s="3">
        <v>0.752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176</v>
      </c>
      <c r="D777" s="3"/>
      <c r="E777" s="3" t="s">
        <v>176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107</v>
      </c>
      <c r="O777" s="3"/>
      <c r="P777" s="3"/>
      <c r="Q777" s="3">
        <v>13.411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176</v>
      </c>
      <c r="D778" s="3"/>
      <c r="E778" s="3" t="s">
        <v>176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82.478999999999999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176</v>
      </c>
      <c r="D779" s="3"/>
      <c r="E779" s="3" t="s">
        <v>176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111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176</v>
      </c>
      <c r="D780" s="3"/>
      <c r="E780" s="3" t="s">
        <v>176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176</v>
      </c>
      <c r="D781" s="3"/>
      <c r="E781" s="3" t="s">
        <v>176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176</v>
      </c>
      <c r="D782" s="3"/>
      <c r="E782" s="3" t="s">
        <v>176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176</v>
      </c>
      <c r="D783" s="3"/>
      <c r="E783" s="3" t="s">
        <v>176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109</v>
      </c>
      <c r="O783" s="3"/>
      <c r="P783" s="3"/>
      <c r="Q783" s="3">
        <v>0.66100000000000003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176</v>
      </c>
      <c r="D784" s="3"/>
      <c r="E784" s="3" t="s">
        <v>176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251</v>
      </c>
      <c r="O784" s="3"/>
      <c r="P784" s="3"/>
      <c r="Q784" s="3">
        <v>2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177</v>
      </c>
      <c r="D785" s="3"/>
      <c r="E785" s="3" t="s">
        <v>177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327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177</v>
      </c>
      <c r="D786" s="3"/>
      <c r="E786" s="3" t="s">
        <v>177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151</v>
      </c>
      <c r="O786" s="3"/>
      <c r="P786" s="3"/>
      <c r="Q786" s="3">
        <v>4.1150000000000002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177</v>
      </c>
      <c r="D787" s="3"/>
      <c r="E787" s="3" t="s">
        <v>177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18</v>
      </c>
      <c r="O787" s="3"/>
      <c r="P787" s="3"/>
      <c r="Q787" s="3">
        <v>115.011</v>
      </c>
      <c r="R787" s="3" t="s">
        <v>15</v>
      </c>
      <c r="S787" s="3"/>
      <c r="T787" s="3">
        <v>10</v>
      </c>
      <c r="U787" s="3"/>
      <c r="V787" s="3" t="s">
        <v>14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177</v>
      </c>
      <c r="D788" s="3"/>
      <c r="E788" s="3" t="s">
        <v>177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0.94399999999999995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177</v>
      </c>
      <c r="D789" s="3"/>
      <c r="E789" s="3" t="s">
        <v>177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14.63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177</v>
      </c>
      <c r="D790" s="3"/>
      <c r="E790" s="3" t="s">
        <v>177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89.977000000000004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177</v>
      </c>
      <c r="D791" s="3"/>
      <c r="E791" s="3" t="s">
        <v>177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111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177</v>
      </c>
      <c r="D792" s="3"/>
      <c r="E792" s="3" t="s">
        <v>177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177</v>
      </c>
      <c r="D793" s="3"/>
      <c r="E793" s="3" t="s">
        <v>177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177</v>
      </c>
      <c r="D794" s="3"/>
      <c r="E794" s="3" t="s">
        <v>177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177</v>
      </c>
      <c r="D795" s="3"/>
      <c r="E795" s="3" t="s">
        <v>177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109</v>
      </c>
      <c r="O795" s="3"/>
      <c r="P795" s="3"/>
      <c r="Q795" s="3">
        <v>0.66100000000000003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177</v>
      </c>
      <c r="D796" s="3"/>
      <c r="E796" s="3" t="s">
        <v>177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252</v>
      </c>
      <c r="O796" s="3"/>
      <c r="P796" s="3"/>
      <c r="Q796" s="3">
        <v>2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178</v>
      </c>
      <c r="D797" s="3"/>
      <c r="E797" s="3" t="s">
        <v>178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328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178</v>
      </c>
      <c r="D798" s="3"/>
      <c r="E798" s="3" t="s">
        <v>178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151</v>
      </c>
      <c r="O798" s="3"/>
      <c r="P798" s="3"/>
      <c r="Q798" s="3">
        <v>4.1150000000000002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178</v>
      </c>
      <c r="D799" s="3"/>
      <c r="E799" s="3" t="s">
        <v>178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18</v>
      </c>
      <c r="O799" s="3"/>
      <c r="P799" s="3"/>
      <c r="Q799" s="3">
        <v>119.88800000000001</v>
      </c>
      <c r="R799" s="3" t="s">
        <v>15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178</v>
      </c>
      <c r="D800" s="3"/>
      <c r="E800" s="3" t="s">
        <v>178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105</v>
      </c>
      <c r="O800" s="3"/>
      <c r="P800" s="3"/>
      <c r="Q800" s="3">
        <v>1.04</v>
      </c>
      <c r="R800" s="3" t="s">
        <v>106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178</v>
      </c>
      <c r="D801" s="3"/>
      <c r="E801" s="3" t="s">
        <v>178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107</v>
      </c>
      <c r="O801" s="3"/>
      <c r="P801" s="3"/>
      <c r="Q801" s="3">
        <v>15.24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178</v>
      </c>
      <c r="D802" s="3"/>
      <c r="E802" s="3" t="s">
        <v>178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93.725999999999999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178</v>
      </c>
      <c r="D803" s="3"/>
      <c r="E803" s="3" t="s">
        <v>178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111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178</v>
      </c>
      <c r="D804" s="3"/>
      <c r="E804" s="3" t="s">
        <v>178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178</v>
      </c>
      <c r="D805" s="3"/>
      <c r="E805" s="3" t="s">
        <v>178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178</v>
      </c>
      <c r="D806" s="3"/>
      <c r="E806" s="3" t="s">
        <v>178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178</v>
      </c>
      <c r="D807" s="3"/>
      <c r="E807" s="3" t="s">
        <v>178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109</v>
      </c>
      <c r="O807" s="3"/>
      <c r="P807" s="3"/>
      <c r="Q807" s="3">
        <v>0.66100000000000003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178</v>
      </c>
      <c r="D808" s="3"/>
      <c r="E808" s="3" t="s">
        <v>178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253</v>
      </c>
      <c r="O808" s="3"/>
      <c r="P808" s="3"/>
      <c r="Q808" s="3">
        <v>2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179</v>
      </c>
      <c r="D809" s="3"/>
      <c r="E809" s="3" t="s">
        <v>179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329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179</v>
      </c>
      <c r="D810" s="3"/>
      <c r="E810" s="3" t="s">
        <v>179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151</v>
      </c>
      <c r="O810" s="3"/>
      <c r="P810" s="3"/>
      <c r="Q810" s="3">
        <v>4.1150000000000002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179</v>
      </c>
      <c r="D811" s="3"/>
      <c r="E811" s="3" t="s">
        <v>179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18</v>
      </c>
      <c r="O811" s="3"/>
      <c r="P811" s="3"/>
      <c r="Q811" s="3">
        <v>124.765</v>
      </c>
      <c r="R811" s="3" t="s">
        <v>15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179</v>
      </c>
      <c r="D812" s="3"/>
      <c r="E812" s="3" t="s">
        <v>179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105</v>
      </c>
      <c r="O812" s="3"/>
      <c r="P812" s="3"/>
      <c r="Q812" s="3">
        <v>1.1359999999999999</v>
      </c>
      <c r="R812" s="3" t="s">
        <v>106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179</v>
      </c>
      <c r="D813" s="3"/>
      <c r="E813" s="3" t="s">
        <v>179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107</v>
      </c>
      <c r="O813" s="3"/>
      <c r="P813" s="3"/>
      <c r="Q813" s="3">
        <v>15.85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179</v>
      </c>
      <c r="D814" s="3"/>
      <c r="E814" s="3" t="s">
        <v>179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97.474999999999994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179</v>
      </c>
      <c r="D815" s="3"/>
      <c r="E815" s="3" t="s">
        <v>179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111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179</v>
      </c>
      <c r="D816" s="3"/>
      <c r="E816" s="3" t="s">
        <v>179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179</v>
      </c>
      <c r="D817" s="3"/>
      <c r="E817" s="3" t="s">
        <v>179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179</v>
      </c>
      <c r="D818" s="3"/>
      <c r="E818" s="3" t="s">
        <v>179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179</v>
      </c>
      <c r="D819" s="3"/>
      <c r="E819" s="3" t="s">
        <v>179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109</v>
      </c>
      <c r="O819" s="3"/>
      <c r="P819" s="3"/>
      <c r="Q819" s="3">
        <v>0.66100000000000003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179</v>
      </c>
      <c r="D820" s="3"/>
      <c r="E820" s="3" t="s">
        <v>179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254</v>
      </c>
      <c r="O820" s="3"/>
      <c r="P820" s="3"/>
      <c r="Q820" s="3">
        <v>2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180</v>
      </c>
      <c r="D821" s="3"/>
      <c r="E821" s="3" t="s">
        <v>180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330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180</v>
      </c>
      <c r="D822" s="3"/>
      <c r="E822" s="3" t="s">
        <v>180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151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180</v>
      </c>
      <c r="D823" s="3"/>
      <c r="E823" s="3" t="s">
        <v>180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18</v>
      </c>
      <c r="O823" s="3"/>
      <c r="P823" s="3"/>
      <c r="Q823" s="3">
        <v>93.878</v>
      </c>
      <c r="R823" s="3" t="s">
        <v>15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180</v>
      </c>
      <c r="D824" s="3"/>
      <c r="E824" s="3" t="s">
        <v>180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105</v>
      </c>
      <c r="O824" s="3"/>
      <c r="P824" s="3"/>
      <c r="Q824" s="3">
        <v>0.48699999999999999</v>
      </c>
      <c r="R824" s="3" t="s">
        <v>106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180</v>
      </c>
      <c r="D825" s="3"/>
      <c r="E825" s="3" t="s">
        <v>180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107</v>
      </c>
      <c r="O825" s="3"/>
      <c r="P825" s="3"/>
      <c r="Q825" s="3">
        <v>11.989000000000001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180</v>
      </c>
      <c r="D826" s="3"/>
      <c r="E826" s="3" t="s">
        <v>180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73.730999999999995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180</v>
      </c>
      <c r="D827" s="3"/>
      <c r="E827" s="3" t="s">
        <v>180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111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180</v>
      </c>
      <c r="D828" s="3"/>
      <c r="E828" s="3" t="s">
        <v>180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180</v>
      </c>
      <c r="D829" s="3"/>
      <c r="E829" s="3" t="s">
        <v>180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180</v>
      </c>
      <c r="D830" s="3"/>
      <c r="E830" s="3" t="s">
        <v>180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180</v>
      </c>
      <c r="D831" s="3"/>
      <c r="E831" s="3" t="s">
        <v>180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109</v>
      </c>
      <c r="O831" s="3"/>
      <c r="P831" s="3"/>
      <c r="Q831" s="3">
        <v>0.69099999999999995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180</v>
      </c>
      <c r="D832" s="3"/>
      <c r="E832" s="3" t="s">
        <v>180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255</v>
      </c>
      <c r="O832" s="3"/>
      <c r="P832" s="3"/>
      <c r="Q832" s="3">
        <v>2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181</v>
      </c>
      <c r="D833" s="3"/>
      <c r="E833" s="3" t="s">
        <v>181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331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181</v>
      </c>
      <c r="D834" s="3"/>
      <c r="E834" s="3" t="s">
        <v>181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151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181</v>
      </c>
      <c r="D835" s="3"/>
      <c r="E835" s="3" t="s">
        <v>181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18</v>
      </c>
      <c r="O835" s="3"/>
      <c r="P835" s="3"/>
      <c r="Q835" s="3">
        <v>98.754999999999995</v>
      </c>
      <c r="R835" s="3" t="s">
        <v>15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181</v>
      </c>
      <c r="D836" s="3"/>
      <c r="E836" s="3" t="s">
        <v>181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105</v>
      </c>
      <c r="O836" s="3"/>
      <c r="P836" s="3"/>
      <c r="Q836" s="3">
        <v>0.58799999999999997</v>
      </c>
      <c r="R836" s="3" t="s">
        <v>106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181</v>
      </c>
      <c r="D837" s="3"/>
      <c r="E837" s="3" t="s">
        <v>181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107</v>
      </c>
      <c r="O837" s="3"/>
      <c r="P837" s="3"/>
      <c r="Q837" s="3">
        <v>12.598000000000001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181</v>
      </c>
      <c r="D838" s="3"/>
      <c r="E838" s="3" t="s">
        <v>181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77.48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181</v>
      </c>
      <c r="D839" s="3"/>
      <c r="E839" s="3" t="s">
        <v>181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111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181</v>
      </c>
      <c r="D840" s="3"/>
      <c r="E840" s="3" t="s">
        <v>181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181</v>
      </c>
      <c r="D841" s="3"/>
      <c r="E841" s="3" t="s">
        <v>181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181</v>
      </c>
      <c r="D842" s="3"/>
      <c r="E842" s="3" t="s">
        <v>181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181</v>
      </c>
      <c r="D843" s="3"/>
      <c r="E843" s="3" t="s">
        <v>181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109</v>
      </c>
      <c r="O843" s="3"/>
      <c r="P843" s="3"/>
      <c r="Q843" s="3">
        <v>0.69099999999999995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181</v>
      </c>
      <c r="D844" s="3"/>
      <c r="E844" s="3" t="s">
        <v>181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256</v>
      </c>
      <c r="O844" s="3"/>
      <c r="P844" s="3"/>
      <c r="Q844" s="3">
        <v>2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182</v>
      </c>
      <c r="D845" s="3"/>
      <c r="E845" s="3" t="s">
        <v>182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332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182</v>
      </c>
      <c r="D846" s="3"/>
      <c r="E846" s="3" t="s">
        <v>182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151</v>
      </c>
      <c r="O846" s="3"/>
      <c r="P846" s="3"/>
      <c r="Q846" s="3">
        <v>4.3179999999999996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182</v>
      </c>
      <c r="D847" s="3"/>
      <c r="E847" s="3" t="s">
        <v>182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18</v>
      </c>
      <c r="O847" s="3"/>
      <c r="P847" s="3"/>
      <c r="Q847" s="3">
        <v>103.63200000000001</v>
      </c>
      <c r="R847" s="3" t="s">
        <v>15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182</v>
      </c>
      <c r="D848" s="3"/>
      <c r="E848" s="3" t="s">
        <v>182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105</v>
      </c>
      <c r="O848" s="3"/>
      <c r="P848" s="3"/>
      <c r="Q848" s="3">
        <v>0.68899999999999995</v>
      </c>
      <c r="R848" s="3" t="s">
        <v>106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182</v>
      </c>
      <c r="D849" s="3"/>
      <c r="E849" s="3" t="s">
        <v>182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107</v>
      </c>
      <c r="O849" s="3"/>
      <c r="P849" s="3"/>
      <c r="Q849" s="3">
        <v>13.208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182</v>
      </c>
      <c r="D850" s="3"/>
      <c r="E850" s="3" t="s">
        <v>182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81.228999999999999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182</v>
      </c>
      <c r="D851" s="3"/>
      <c r="E851" s="3" t="s">
        <v>182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111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182</v>
      </c>
      <c r="D852" s="3"/>
      <c r="E852" s="3" t="s">
        <v>182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182</v>
      </c>
      <c r="D853" s="3"/>
      <c r="E853" s="3" t="s">
        <v>182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182</v>
      </c>
      <c r="D854" s="3"/>
      <c r="E854" s="3" t="s">
        <v>182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182</v>
      </c>
      <c r="D855" s="3"/>
      <c r="E855" s="3" t="s">
        <v>182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109</v>
      </c>
      <c r="O855" s="3"/>
      <c r="P855" s="3"/>
      <c r="Q855" s="3">
        <v>0.69099999999999995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182</v>
      </c>
      <c r="D856" s="3"/>
      <c r="E856" s="3" t="s">
        <v>182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257</v>
      </c>
      <c r="O856" s="3"/>
      <c r="P856" s="3"/>
      <c r="Q856" s="3">
        <v>2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183</v>
      </c>
      <c r="D857" s="3"/>
      <c r="E857" s="3" t="s">
        <v>183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333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183</v>
      </c>
      <c r="D858" s="3"/>
      <c r="E858" s="3" t="s">
        <v>183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151</v>
      </c>
      <c r="O858" s="3"/>
      <c r="P858" s="3"/>
      <c r="Q858" s="3">
        <v>4.3179999999999996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183</v>
      </c>
      <c r="D859" s="3"/>
      <c r="E859" s="3" t="s">
        <v>183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18</v>
      </c>
      <c r="O859" s="3"/>
      <c r="P859" s="3"/>
      <c r="Q859" s="3">
        <v>108.509</v>
      </c>
      <c r="R859" s="3" t="s">
        <v>15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183</v>
      </c>
      <c r="D860" s="3"/>
      <c r="E860" s="3" t="s">
        <v>183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105</v>
      </c>
      <c r="O860" s="3"/>
      <c r="P860" s="3"/>
      <c r="Q860" s="3">
        <v>0.79</v>
      </c>
      <c r="R860" s="3" t="s">
        <v>106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183</v>
      </c>
      <c r="D861" s="3"/>
      <c r="E861" s="3" t="s">
        <v>183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107</v>
      </c>
      <c r="O861" s="3"/>
      <c r="P861" s="3"/>
      <c r="Q861" s="3">
        <v>13.818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183</v>
      </c>
      <c r="D862" s="3"/>
      <c r="E862" s="3" t="s">
        <v>183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84.977999999999994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183</v>
      </c>
      <c r="D863" s="3"/>
      <c r="E863" s="3" t="s">
        <v>183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111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183</v>
      </c>
      <c r="D864" s="3"/>
      <c r="E864" s="3" t="s">
        <v>183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183</v>
      </c>
      <c r="D865" s="3"/>
      <c r="E865" s="3" t="s">
        <v>183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183</v>
      </c>
      <c r="D866" s="3"/>
      <c r="E866" s="3" t="s">
        <v>183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183</v>
      </c>
      <c r="D867" s="3"/>
      <c r="E867" s="3" t="s">
        <v>183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109</v>
      </c>
      <c r="O867" s="3"/>
      <c r="P867" s="3"/>
      <c r="Q867" s="3">
        <v>0.69099999999999995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183</v>
      </c>
      <c r="D868" s="3"/>
      <c r="E868" s="3" t="s">
        <v>183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258</v>
      </c>
      <c r="O868" s="3"/>
      <c r="P868" s="3"/>
      <c r="Q868" s="3">
        <v>2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184</v>
      </c>
      <c r="D869" s="3"/>
      <c r="E869" s="3" t="s">
        <v>184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334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184</v>
      </c>
      <c r="D870" s="3"/>
      <c r="E870" s="3" t="s">
        <v>184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151</v>
      </c>
      <c r="O870" s="3"/>
      <c r="P870" s="3"/>
      <c r="Q870" s="3">
        <v>4.3179999999999996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184</v>
      </c>
      <c r="D871" s="3"/>
      <c r="E871" s="3" t="s">
        <v>184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18</v>
      </c>
      <c r="O871" s="3"/>
      <c r="P871" s="3"/>
      <c r="Q871" s="3">
        <v>118.262</v>
      </c>
      <c r="R871" s="3" t="s">
        <v>15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184</v>
      </c>
      <c r="D872" s="3"/>
      <c r="E872" s="3" t="s">
        <v>184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105</v>
      </c>
      <c r="O872" s="3"/>
      <c r="P872" s="3"/>
      <c r="Q872" s="3">
        <v>0.99199999999999999</v>
      </c>
      <c r="R872" s="3" t="s">
        <v>106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184</v>
      </c>
      <c r="D873" s="3"/>
      <c r="E873" s="3" t="s">
        <v>184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107</v>
      </c>
      <c r="O873" s="3"/>
      <c r="P873" s="3"/>
      <c r="Q873" s="3">
        <v>15.037000000000001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184</v>
      </c>
      <c r="D874" s="3"/>
      <c r="E874" s="3" t="s">
        <v>184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92.475999999999999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184</v>
      </c>
      <c r="D875" s="3"/>
      <c r="E875" s="3" t="s">
        <v>184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111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184</v>
      </c>
      <c r="D876" s="3"/>
      <c r="E876" s="3" t="s">
        <v>184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184</v>
      </c>
      <c r="D877" s="3"/>
      <c r="E877" s="3" t="s">
        <v>184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184</v>
      </c>
      <c r="D878" s="3"/>
      <c r="E878" s="3" t="s">
        <v>184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184</v>
      </c>
      <c r="D879" s="3"/>
      <c r="E879" s="3" t="s">
        <v>184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109</v>
      </c>
      <c r="O879" s="3"/>
      <c r="P879" s="3"/>
      <c r="Q879" s="3">
        <v>0.69099999999999995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184</v>
      </c>
      <c r="D880" s="3"/>
      <c r="E880" s="3" t="s">
        <v>184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259</v>
      </c>
      <c r="O880" s="3"/>
      <c r="P880" s="3"/>
      <c r="Q880" s="3">
        <v>2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185</v>
      </c>
      <c r="D881" s="3"/>
      <c r="E881" s="3" t="s">
        <v>185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335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185</v>
      </c>
      <c r="D882" s="3"/>
      <c r="E882" s="3" t="s">
        <v>185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151</v>
      </c>
      <c r="O882" s="3"/>
      <c r="P882" s="3"/>
      <c r="Q882" s="3">
        <v>4.3179999999999996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185</v>
      </c>
      <c r="D883" s="3"/>
      <c r="E883" s="3" t="s">
        <v>185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18</v>
      </c>
      <c r="O883" s="3"/>
      <c r="P883" s="3"/>
      <c r="Q883" s="3">
        <v>123.139</v>
      </c>
      <c r="R883" s="3" t="s">
        <v>15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185</v>
      </c>
      <c r="D884" s="3"/>
      <c r="E884" s="3" t="s">
        <v>185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105</v>
      </c>
      <c r="O884" s="3"/>
      <c r="P884" s="3"/>
      <c r="Q884" s="3">
        <v>1.0920000000000001</v>
      </c>
      <c r="R884" s="3" t="s">
        <v>106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185</v>
      </c>
      <c r="D885" s="3"/>
      <c r="E885" s="3" t="s">
        <v>185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107</v>
      </c>
      <c r="O885" s="3"/>
      <c r="P885" s="3"/>
      <c r="Q885" s="3">
        <v>15.646000000000001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185</v>
      </c>
      <c r="D886" s="3"/>
      <c r="E886" s="3" t="s">
        <v>185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96.224999999999994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185</v>
      </c>
      <c r="D887" s="3"/>
      <c r="E887" s="3" t="s">
        <v>185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111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185</v>
      </c>
      <c r="D888" s="3"/>
      <c r="E888" s="3" t="s">
        <v>185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185</v>
      </c>
      <c r="D889" s="3"/>
      <c r="E889" s="3" t="s">
        <v>185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185</v>
      </c>
      <c r="D890" s="3"/>
      <c r="E890" s="3" t="s">
        <v>185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185</v>
      </c>
      <c r="D891" s="3"/>
      <c r="E891" s="3" t="s">
        <v>185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109</v>
      </c>
      <c r="O891" s="3"/>
      <c r="P891" s="3"/>
      <c r="Q891" s="3">
        <v>0.69099999999999995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185</v>
      </c>
      <c r="D892" s="3"/>
      <c r="E892" s="3" t="s">
        <v>185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260</v>
      </c>
      <c r="O892" s="3"/>
      <c r="P892" s="3"/>
      <c r="Q892" s="3">
        <v>2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186</v>
      </c>
      <c r="D893" s="3"/>
      <c r="E893" s="3" t="s">
        <v>186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336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186</v>
      </c>
      <c r="D894" s="3"/>
      <c r="E894" s="3" t="s">
        <v>186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151</v>
      </c>
      <c r="O894" s="3"/>
      <c r="P894" s="3"/>
      <c r="Q894" s="3">
        <v>4.3179999999999996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186</v>
      </c>
      <c r="D895" s="3"/>
      <c r="E895" s="3" t="s">
        <v>186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18</v>
      </c>
      <c r="O895" s="3"/>
      <c r="P895" s="3"/>
      <c r="Q895" s="3">
        <v>128.01599999999999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186</v>
      </c>
      <c r="D896" s="3"/>
      <c r="E896" s="3" t="s">
        <v>186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105</v>
      </c>
      <c r="O896" s="3"/>
      <c r="P896" s="3"/>
      <c r="Q896" s="3">
        <v>1.1930000000000001</v>
      </c>
      <c r="R896" s="3" t="s">
        <v>106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186</v>
      </c>
      <c r="D897" s="3"/>
      <c r="E897" s="3" t="s">
        <v>186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107</v>
      </c>
      <c r="O897" s="3"/>
      <c r="P897" s="3"/>
      <c r="Q897" s="3">
        <v>16.256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186</v>
      </c>
      <c r="D898" s="3"/>
      <c r="E898" s="3" t="s">
        <v>186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99.974000000000004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186</v>
      </c>
      <c r="D899" s="3"/>
      <c r="E899" s="3" t="s">
        <v>186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111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186</v>
      </c>
      <c r="D900" s="3"/>
      <c r="E900" s="3" t="s">
        <v>186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186</v>
      </c>
      <c r="D901" s="3"/>
      <c r="E901" s="3" t="s">
        <v>186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186</v>
      </c>
      <c r="D902" s="3"/>
      <c r="E902" s="3" t="s">
        <v>186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186</v>
      </c>
      <c r="D903" s="3"/>
      <c r="E903" s="3" t="s">
        <v>186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109</v>
      </c>
      <c r="O903" s="3"/>
      <c r="P903" s="3"/>
      <c r="Q903" s="3">
        <v>0.69099999999999995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186</v>
      </c>
      <c r="D904" s="3"/>
      <c r="E904" s="3" t="s">
        <v>186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261</v>
      </c>
      <c r="O904" s="3"/>
      <c r="P904" s="3"/>
      <c r="Q904" s="3">
        <v>2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2026-05-29T04:57:54Z</dcterms:modified>
</cp:coreProperties>
</file>