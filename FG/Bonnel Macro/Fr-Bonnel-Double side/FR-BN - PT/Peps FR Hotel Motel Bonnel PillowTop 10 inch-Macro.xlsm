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-Double side\FR-BN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/>
  <c r="E14" i="13" l="1"/>
  <c r="H14" i="13" l="1"/>
  <c r="D14" i="13"/>
  <c r="G4" i="13"/>
  <c r="G12" i="13" l="1"/>
  <c r="H13" i="13" l="1"/>
  <c r="D13" i="13"/>
  <c r="H12" i="13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<sst xmlns="http://schemas.openxmlformats.org/spreadsheetml/2006/main" count="11081" uniqueCount="412">
  <si>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</si>
  <si>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</si>
  <si>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</si>
  <si>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</si>
  <si>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</si>
  <si>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</si>
  <si>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</si>
  <si>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</si>
  <si>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</si>
  <si>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</si>
  <si>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</si>
  <si>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</si>
  <si>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</si>
  <si>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</si>
  <si>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</si>
  <si>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</si>
  <si>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</si>
  <si>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</si>
  <si>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</si>
  <si>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</si>
  <si>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</si>
  <si>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</si>
  <si>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</si>
  <si>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</si>
  <si>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</si>
  <si>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</si>
  <si>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</si>
  <si>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</si>
  <si>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</si>
  <si>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</si>
  <si>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</si>
  <si>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</si>
  <si>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</si>
  <si>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</si>
  <si>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</si>
  <si>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</si>
  <si>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</si>
  <si>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</si>
  <si>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</si>
  <si>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</si>
  <si>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</si>
  <si>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</si>
  <si>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</si>
  <si>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</si>
  <si>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</si>
  <si>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</si>
  <si>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</si>
  <si>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</si>
  <si>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</si>
  <si>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</si>
  <si>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</si>
  <si>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</si>
  <si>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</si>
  <si>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</si>
  <si>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</si>
  <si>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</si>
  <si>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</si>
  <si>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</si>
  <si>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</si>
  <si>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</si>
  <si>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</si>
  <si>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</si>
  <si>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</si>
  <si>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</si>
  <si>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</si>
  <si>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</si>
  <si>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</si>
  <si>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</si>
  <si>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</si>
  <si>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</si>
  <si>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</si>
  <si>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</si>
  <si>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</si>
  <si>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</si>
  <si>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</si>
  <si>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</si>
  <si>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</si>
  <si>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</si>
  <si>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</si>
  <si>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</si>
  <si>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</si>
  <si>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</si>
  <si>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</si>
  <si>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</si>
  <si>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</si>
  <si>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</si>
  <si>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</si>
  <si>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</si>
  <si>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</si>
  <si>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</si>
  <si>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</si>
  <si>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</si>
  <si>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</si>
  <si>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</si>
  <si>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</si>
  <si>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</si>
  <si>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</si>
  <si>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</si>
  <si>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</si>
  <si>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</si>
  <si>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</si>
  <si>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</si>
  <si>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</si>
  <si>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</si>
  <si>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</si>
  <si>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</si>
  <si>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</si>
  <si>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</si>
  <si>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</si>
  <si>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SFG-RTHTMTRG-BNPC-QUILT</t>
  </si>
  <si>
    <t>RMI-PVC-90</t>
  </si>
  <si>
    <t>RTHTMTBNPT72X33X10</t>
  </si>
  <si>
    <t>RML-CS-PL-10.5</t>
  </si>
  <si>
    <t>RTHTMTBNPT72X39X10</t>
  </si>
  <si>
    <t>RTHTMTBNPT72X45X10</t>
  </si>
  <si>
    <t>RTHTMTBNPT72X51X10</t>
  </si>
  <si>
    <t>RTHTMTBNPT72X54X10</t>
  </si>
  <si>
    <t>RTHTMTBNPT72X57X10</t>
  </si>
  <si>
    <t>RTHTMTBNPT72X63X10</t>
  </si>
  <si>
    <t>RTHTMTBNPT72X69X10</t>
  </si>
  <si>
    <t>RTHTMTBNPT75X33X10</t>
  </si>
  <si>
    <t>RTHTMTBNPT75X39X10</t>
  </si>
  <si>
    <t>RTHTMTBNPT75X45X10</t>
  </si>
  <si>
    <t>RTHTMTBNPT75X51X10</t>
  </si>
  <si>
    <t>RTHTMTBNPT75X54X10</t>
  </si>
  <si>
    <t>RTHTMTBNPT75X57X10</t>
  </si>
  <si>
    <t>RTHTMTBNPT75X63X10</t>
  </si>
  <si>
    <t>RTHTMTBNPT75X69X10</t>
  </si>
  <si>
    <t>RTHTMTBNPT78X33X10</t>
  </si>
  <si>
    <t>RTHTMTBNPT78X39X10</t>
  </si>
  <si>
    <t>RTHTMTBNPT78X45X10</t>
  </si>
  <si>
    <t>RTHTMTBNPT78X51X10</t>
  </si>
  <si>
    <t>RTHTMTBNPT78X54X10</t>
  </si>
  <si>
    <t>RTHTMTBNPT78X57X10</t>
  </si>
  <si>
    <t>RTHTMTBNPT78X63X10</t>
  </si>
  <si>
    <t>RTHTMTBNPT78X69X10</t>
  </si>
  <si>
    <t>RTHTMTBNPT80X33X10</t>
  </si>
  <si>
    <t>RTHTMTBNPT80X39X10</t>
  </si>
  <si>
    <t>RTHTMTBNPT80X45X10</t>
  </si>
  <si>
    <t>RTHTMTBNPT80X51X10</t>
  </si>
  <si>
    <t>RTHTMTBNPT80X54X10</t>
  </si>
  <si>
    <t>RTHTMTBNPT80X57X10</t>
  </si>
  <si>
    <t>RTHTMTBNPT80X63X10</t>
  </si>
  <si>
    <t>RTHTMTBNPT80X69X10</t>
  </si>
  <si>
    <t>RTHTMTBNPT84X33X10</t>
  </si>
  <si>
    <t>RTHTMTBNPT84X39X10</t>
  </si>
  <si>
    <t>RTHTMTBNPT84X45X10</t>
  </si>
  <si>
    <t>RTHTMTBNPT84X51X10</t>
  </si>
  <si>
    <t>RTHTMTBNPT84X54X10</t>
  </si>
  <si>
    <t>RTHTMTBNPT84X57X10</t>
  </si>
  <si>
    <t>RTHTMTBNPT84X63X10</t>
  </si>
  <si>
    <t>RTHTMTBNPT84X69X10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</si>
  <si>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</si>
  <si>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</si>
  <si>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</si>
  <si>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</si>
  <si>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</si>
  <si>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</si>
  <si>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</si>
  <si>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</si>
  <si>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</si>
  <si>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</si>
  <si>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</si>
  <si>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</si>
  <si>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</si>
  <si>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</si>
  <si>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</si>
  <si>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</si>
  <si>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</si>
  <si>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</si>
  <si>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</si>
  <si>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</si>
  <si>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</si>
  <si>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</si>
  <si>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</si>
  <si>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</si>
  <si>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</si>
  <si>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</si>
  <si>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</si>
  <si>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</si>
  <si>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</si>
  <si>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</si>
  <si>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</si>
  <si>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</si>
  <si>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</si>
  <si>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</si>
  <si>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</si>
  <si>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</si>
  <si>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</si>
  <si>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</si>
  <si>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</si>
  <si>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</si>
  <si>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RTHTMTBNPT72X30X10</t>
  </si>
  <si>
    <t>60D-RB-MAT-FOAM-71.50X29.50X15MM</t>
  </si>
  <si>
    <t>RTHTMTBNPT72X36X10</t>
  </si>
  <si>
    <t>60D-RB-MAT-FOAM-71.50X35.50X15MM</t>
  </si>
  <si>
    <t>RTHTMTBNPT72X42X10</t>
  </si>
  <si>
    <t>60D-RB-MAT-FOAM-71.50X41.50X15MM</t>
  </si>
  <si>
    <t>RTHTMTBNPT72X48X10</t>
  </si>
  <si>
    <t>60D-RB-MAT-FOAM-71.50X47.50X15MM</t>
  </si>
  <si>
    <t>RTHTMTBNPT72X60X10</t>
  </si>
  <si>
    <t>60D-RB-MAT-FOAM-71.50X59.50X15MM</t>
  </si>
  <si>
    <t>RTHTMTBNPT72X66X10</t>
  </si>
  <si>
    <t>60D-RB-MAT-FOAM-71.50X65.50X15MM</t>
  </si>
  <si>
    <t>RTHTMTBNPT72X72X10</t>
  </si>
  <si>
    <t>60D-RB-MAT-FOAM-71.50X71.50X15MM</t>
  </si>
  <si>
    <t>RTHTMTBNPT75X30X10</t>
  </si>
  <si>
    <t>60D-RB-MAT-FOAM-74.50X29.50X15MM</t>
  </si>
  <si>
    <t>RTHTMTBNPT75X36X10</t>
  </si>
  <si>
    <t>60D-RB-MAT-FOAM-74.50X35.50X15MM</t>
  </si>
  <si>
    <t>RTHTMTBNPT75X42X10</t>
  </si>
  <si>
    <t>60D-RB-MAT-FOAM-74.50X41.50X15MM</t>
  </si>
  <si>
    <t>RTHTMTBNPT75X48X10</t>
  </si>
  <si>
    <t>60D-RB-MAT-FOAM-74.50X47.50X15MM</t>
  </si>
  <si>
    <t>RTHTMTBNPT75X60X10</t>
  </si>
  <si>
    <t>60D-RB-MAT-FOAM-74.50X59.50X15MM</t>
  </si>
  <si>
    <t>RTHTMTBNPT75X66X10</t>
  </si>
  <si>
    <t>60D-RB-MAT-FOAM-74.50X65.50X15MM</t>
  </si>
  <si>
    <t>RTHTMTBNPT75X72X10</t>
  </si>
  <si>
    <t>60D-RB-MAT-FOAM-74.50X71.50X15MM</t>
  </si>
  <si>
    <t>RTHTMTBNPT78X30X10</t>
  </si>
  <si>
    <t>60D-RB-MAT-FOAM-77.50X29.50X15MM</t>
  </si>
  <si>
    <t>RTHTMTBNPT78X36X10</t>
  </si>
  <si>
    <t>60D-RB-MAT-FOAM-77.50X35.50X15MM</t>
  </si>
  <si>
    <t>RTHTMTBNPT78X42X10</t>
  </si>
  <si>
    <t>60D-RB-MAT-FOAM-77.50X41.50X15MM</t>
  </si>
  <si>
    <t>RTHTMTBNPT78X48X10</t>
  </si>
  <si>
    <t>60D-RB-MAT-FOAM-77.50X47.50X15MM</t>
  </si>
  <si>
    <t>RTHTMTBNPT78X60X10</t>
  </si>
  <si>
    <t>60D-RB-MAT-FOAM-77.50X59.50X15MM</t>
  </si>
  <si>
    <t>RTHTMTBNPT78X66X10</t>
  </si>
  <si>
    <t>60D-RB-MAT-FOAM-77.50X65.50X15MM</t>
  </si>
  <si>
    <t>RTHTMTBNPT78X72X10</t>
  </si>
  <si>
    <t>60D-RB-MAT-FOAM-77.50X71.50X15MM</t>
  </si>
  <si>
    <t>RTHTMTBNPT80X30X10</t>
  </si>
  <si>
    <t>60D-RB-MAT-FOAM-79.50X29.50X15MM</t>
  </si>
  <si>
    <t>RTHTMTBNPT80X36X10</t>
  </si>
  <si>
    <t>60D-RB-MAT-FOAM-79.50X35.50X15MM</t>
  </si>
  <si>
    <t>RTHTMTBNPT80X42X10</t>
  </si>
  <si>
    <t>60D-RB-MAT-FOAM-79.50X41.50X15MM</t>
  </si>
  <si>
    <t>RTHTMTBNPT80X48X10</t>
  </si>
  <si>
    <t>60D-RB-MAT-FOAM-79.50X47.50X15MM</t>
  </si>
  <si>
    <t>RTHTMTBNPT80X60X10</t>
  </si>
  <si>
    <t>60D-RB-MAT-FOAM-79.50X59.50X15MM</t>
  </si>
  <si>
    <t>RTHTMTBNPT80X66X10</t>
  </si>
  <si>
    <t>60D-RB-MAT-FOAM-79.50X65.50X15MM</t>
  </si>
  <si>
    <t>RTHTMTBNPT80X72X10</t>
  </si>
  <si>
    <t>60D-RB-MAT-FOAM-79.50X71.50X15MM</t>
  </si>
  <si>
    <t>RTHTMTBNPT84X30X10</t>
  </si>
  <si>
    <t>60D-RB-MAT-FOAM-83.50X29.50X15MM</t>
  </si>
  <si>
    <t>RTHTMTBNPT84X36X10</t>
  </si>
  <si>
    <t>60D-RB-MAT-FOAM-83.50X35.50X15MM</t>
  </si>
  <si>
    <t>RTHTMTBNPT84X42X10</t>
  </si>
  <si>
    <t>60D-RB-MAT-FOAM-83.50X41.50X15MM</t>
  </si>
  <si>
    <t>RTHTMTBNPT84X48X10</t>
  </si>
  <si>
    <t>60D-RB-MAT-FOAM-83.50X47.50X15MM</t>
  </si>
  <si>
    <t>RTHTMTBNPT84X60X10</t>
  </si>
  <si>
    <t>60D-RB-MAT-FOAM-83.50X59.50X15MM</t>
  </si>
  <si>
    <t>RTHTMTBNPT84X66X10</t>
  </si>
  <si>
    <t>60D-RB-MAT-FOAM-83.50X65.50X15MM</t>
  </si>
  <si>
    <t>RTHTMTBNPT84X72X10</t>
  </si>
  <si>
    <t>60D-RB-MAT-FOAM-83.50X71.50X15MM</t>
  </si>
  <si>
    <t>OEBOXBNSR71.50X32.50X180</t>
  </si>
  <si>
    <t>25D-HELIXA-FOAM-67X28X15MM</t>
  </si>
  <si>
    <t>OEBOXBNSR71.50X38.50X180</t>
  </si>
  <si>
    <t>25D-HELIXA-FOAM-67X34X15MM</t>
  </si>
  <si>
    <t>OEBOXBNSR71.50X44.50X180</t>
  </si>
  <si>
    <t>25D-HELIXA-FOAM-67X40X15MM</t>
  </si>
  <si>
    <t>OEBOXBNSR71.50X50.50X180</t>
  </si>
  <si>
    <t>25D-HELIXA-FOAM-67X46X15MM</t>
  </si>
  <si>
    <t>OEBOXBNSR71.50X53.50X180</t>
  </si>
  <si>
    <t>25D-HELIXA-FOAM-67X49X15MM</t>
  </si>
  <si>
    <t>OEBOXBNSR71.50X56.50X180</t>
  </si>
  <si>
    <t>25D-HELIXA-FOAM-67X52X15MM</t>
  </si>
  <si>
    <t>OEBOXBNSR71.50X62.50X180</t>
  </si>
  <si>
    <t>25D-HELIXA-FOAM-67X58X15MM</t>
  </si>
  <si>
    <t>OEBOXBNSR71.50X68.50X180</t>
  </si>
  <si>
    <t>25D-HELIXA-FOAM-67X64X15MM</t>
  </si>
  <si>
    <t>OEBOXBNSR74.50X32.50X180</t>
  </si>
  <si>
    <t>25D-HELIXA-FOAM-70X28X15MM</t>
  </si>
  <si>
    <t>OEBOXBNSR74.50X38.50X180</t>
  </si>
  <si>
    <t>25D-HELIXA-FOAM-70X34X15MM</t>
  </si>
  <si>
    <t>OEBOXBNSR74.50X44.50X180</t>
  </si>
  <si>
    <t>25D-HELIXA-FOAM-70X40X15MM</t>
  </si>
  <si>
    <t>OEBOXBNSR74.50X50.50X180</t>
  </si>
  <si>
    <t>25D-HELIXA-FOAM-70X46X15MM</t>
  </si>
  <si>
    <t>OEBOXBNSR74.50X53.50X180</t>
  </si>
  <si>
    <t>25D-HELIXA-FOAM-70X49X15MM</t>
  </si>
  <si>
    <t>OEBOXBNSR74.50X56.50X180</t>
  </si>
  <si>
    <t>25D-HELIXA-FOAM-70X52X15MM</t>
  </si>
  <si>
    <t>OEBOXBNSR74.50X62.50X180</t>
  </si>
  <si>
    <t>25D-HELIXA-FOAM-70X58X15MM</t>
  </si>
  <si>
    <t>OEBOXBNSR74.50X68.50X180</t>
  </si>
  <si>
    <t>25D-HELIXA-FOAM-70X64X15MM</t>
  </si>
  <si>
    <t>OEBOXBNSR77.50X32.50X180</t>
  </si>
  <si>
    <t>25D-HELIXA-FOAM-73X28X15MM</t>
  </si>
  <si>
    <t>OEBOXBNSR77.50X38.50X180</t>
  </si>
  <si>
    <t>25D-HELIXA-FOAM-73X34X15MM</t>
  </si>
  <si>
    <t>OEBOXBNSR77.50X44.50X180</t>
  </si>
  <si>
    <t>25D-HELIXA-FOAM-73X40X15MM</t>
  </si>
  <si>
    <t>OEBOXBNSR77.50X50.50X180</t>
  </si>
  <si>
    <t>25D-HELIXA-FOAM-73X46X15MM</t>
  </si>
  <si>
    <t>OEBOXBNSR77.50X53.50X180</t>
  </si>
  <si>
    <t>25D-HELIXA-FOAM-73X49X15MM</t>
  </si>
  <si>
    <t>OEBOXBNSR77.50X56.50X180</t>
  </si>
  <si>
    <t>25D-HELIXA-FOAM-73X52X15MM</t>
  </si>
  <si>
    <t>OEBOXBNSR77.50X62.50X180</t>
  </si>
  <si>
    <t>25D-HELIXA-FOAM-73X58X15MM</t>
  </si>
  <si>
    <t>OEBOXBNSR77.50X68.50X180</t>
  </si>
  <si>
    <t>25D-HELIXA-FOAM-73X64X15MM</t>
  </si>
  <si>
    <t>OEBOXBNSR79.50X32.50X180</t>
  </si>
  <si>
    <t>25D-HELIXA-FOAM-75X28X15MM</t>
  </si>
  <si>
    <t>OEBOXBNSR79.50X38.50X180</t>
  </si>
  <si>
    <t>25D-HELIXA-FOAM-75X34X15MM</t>
  </si>
  <si>
    <t>OEBOXBNSR79.50X44.50X180</t>
  </si>
  <si>
    <t>25D-HELIXA-FOAM-75X40X15MM</t>
  </si>
  <si>
    <t>OEBOXBNSR79.50X50.50X180</t>
  </si>
  <si>
    <t>25D-HELIXA-FOAM-75X46X15MM</t>
  </si>
  <si>
    <t>OEBOXBNSR79.50X53.50X180</t>
  </si>
  <si>
    <t>25D-HELIXA-FOAM-75X49X15MM</t>
  </si>
  <si>
    <t>OEBOXBNSR79.50X56.50X180</t>
  </si>
  <si>
    <t>25D-HELIXA-FOAM-75X52X15MM</t>
  </si>
  <si>
    <t>OEBOXBNSR79.50X62.50X180</t>
  </si>
  <si>
    <t>25D-HELIXA-FOAM-75X58X15MM</t>
  </si>
  <si>
    <t>OEBOXBNSR79.50X68.50X180</t>
  </si>
  <si>
    <t>25D-HELIXA-FOAM-75X64X15MM</t>
  </si>
  <si>
    <t>OEBOXBNSR83.50X32.50X180</t>
  </si>
  <si>
    <t>25D-HELIXA-FOAM-79X28X15MM</t>
  </si>
  <si>
    <t>OEBOXBNSR83.50X38.50X180</t>
  </si>
  <si>
    <t>25D-HELIXA-FOAM-79X34X15MM</t>
  </si>
  <si>
    <t>OEBOXBNSR83.50X44.50X180</t>
  </si>
  <si>
    <t>25D-HELIXA-FOAM-79X40X15MM</t>
  </si>
  <si>
    <t>OEBOXBNSR83.50X50.50X180</t>
  </si>
  <si>
    <t>25D-HELIXA-FOAM-79X46X15MM</t>
  </si>
  <si>
    <t>OEBOXBNSR83.50X53.50X180</t>
  </si>
  <si>
    <t>25D-HELIXA-FOAM-79X49X15MM</t>
  </si>
  <si>
    <t>OEBOXBNSR83.50X56.50X180</t>
  </si>
  <si>
    <t>25D-HELIXA-FOAM-79X52X15MM</t>
  </si>
  <si>
    <t>OEBOXBNSR83.50X62.50X180</t>
  </si>
  <si>
    <t>25D-HELIXA-FOAM-79X58X15MM</t>
  </si>
  <si>
    <t>OEBOXBNSR83.50X68.50X180</t>
  </si>
  <si>
    <t>25D-HELIXA-FOAM-79X64X15MM</t>
  </si>
  <si>
    <t>OEBOXBNSR71.50X29.50X180</t>
  </si>
  <si>
    <t>25D-HELIXA-FOAM-67X25X15MM</t>
  </si>
  <si>
    <t>OEBOXBNSR71.50X35.50X180</t>
  </si>
  <si>
    <t>25D-HELIXA-FOAM-67X31X15MM</t>
  </si>
  <si>
    <t>OEBOXBNSR71.50X41.50X180</t>
  </si>
  <si>
    <t>25D-HELIXA-FOAM-67X37X15MM</t>
  </si>
  <si>
    <t>OEBOXBNSR71.50X47.50X180</t>
  </si>
  <si>
    <t>25D-HELIXA-FOAM-67X43X15MM</t>
  </si>
  <si>
    <t>OEBOXBNSR71.50X59.50X180</t>
  </si>
  <si>
    <t>25D-HELIXA-FOAM-67X55X15MM</t>
  </si>
  <si>
    <t>OEBOXBNSR71.50X65.50X180</t>
  </si>
  <si>
    <t>25D-HELIXA-FOAM-67X61X15MM</t>
  </si>
  <si>
    <t>OEBOXBNSR71.50X71.50X180</t>
  </si>
  <si>
    <t>25D-HELIXA-FOAM-67X67X15MM</t>
  </si>
  <si>
    <t>OEBOXBNSR74.50X29.50X180</t>
  </si>
  <si>
    <t>25D-HELIXA-FOAM-70X25X15MM</t>
  </si>
  <si>
    <t>OEBOXBNSR74.50X35.50X180</t>
  </si>
  <si>
    <t>25D-HELIXA-FOAM-70X31X15MM</t>
  </si>
  <si>
    <t>OEBOXBNSR74.50X41.50X180</t>
  </si>
  <si>
    <t>25D-HELIXA-FOAM-70X37X15MM</t>
  </si>
  <si>
    <t>OEBOXBNSR74.50X47.50X180</t>
  </si>
  <si>
    <t>25D-HELIXA-FOAM-70X43X15MM</t>
  </si>
  <si>
    <t>OEBOXBNSR74.50X59.50X180</t>
  </si>
  <si>
    <t>25D-HELIXA-FOAM-70X55X15MM</t>
  </si>
  <si>
    <t>OEBOXBNSR74.50X65.50X180</t>
  </si>
  <si>
    <t>25D-HELIXA-FOAM-70X61X15MM</t>
  </si>
  <si>
    <t>OEBOXBNSR74.50X71.50X180</t>
  </si>
  <si>
    <t>25D-HELIXA-FOAM-70X67X15MM</t>
  </si>
  <si>
    <t>OEBOXBNSR77.50X29.50X180</t>
  </si>
  <si>
    <t>25D-HELIXA-FOAM-73X25X15MM</t>
  </si>
  <si>
    <t>OEBOXBNSR77.50X35.50X180</t>
  </si>
  <si>
    <t>25D-HELIXA-FOAM-73X31X15MM</t>
  </si>
  <si>
    <t>OEBOXBNSR77.50X41.50X180</t>
  </si>
  <si>
    <t>25D-HELIXA-FOAM-73X37X15MM</t>
  </si>
  <si>
    <t>OEBOXBNSR77.50X47.50X180</t>
  </si>
  <si>
    <t>25D-HELIXA-FOAM-73X43X15MM</t>
  </si>
  <si>
    <t>OEBOXBNSR77.50X59.50X180</t>
  </si>
  <si>
    <t>25D-HELIXA-FOAM-73X55X15MM</t>
  </si>
  <si>
    <t>OEBOXBNSR77.50X65.50X180</t>
  </si>
  <si>
    <t>25D-HELIXA-FOAM-73X61X15MM</t>
  </si>
  <si>
    <t>OEBOXBNSR77.50X71.50X180</t>
  </si>
  <si>
    <t>25D-HELIXA-FOAM-73X67X15MM</t>
  </si>
  <si>
    <t>OEBOXBNSR79.50X29.50X180</t>
  </si>
  <si>
    <t>25D-HELIXA-FOAM-75X25X15MM</t>
  </si>
  <si>
    <t>OEBOXBNSR79.50X35.50X180</t>
  </si>
  <si>
    <t>25D-HELIXA-FOAM-75X31X15MM</t>
  </si>
  <si>
    <t>OEBOXBNSR79.50X41.50X180</t>
  </si>
  <si>
    <t>25D-HELIXA-FOAM-75X37X15MM</t>
  </si>
  <si>
    <t>OEBOXBNSR79.50X47.50X180</t>
  </si>
  <si>
    <t>25D-HELIXA-FOAM-75X43X15MM</t>
  </si>
  <si>
    <t>OEBOXBNSR79.50X59.50X180</t>
  </si>
  <si>
    <t>25D-HELIXA-FOAM-75X55X15MM</t>
  </si>
  <si>
    <t>OEBOXBNSR79.50X65.50X180</t>
  </si>
  <si>
    <t>25D-HELIXA-FOAM-75X61X15MM</t>
  </si>
  <si>
    <t>OEBOXBNSR79.50X71.50X180</t>
  </si>
  <si>
    <t>25D-HELIXA-FOAM-75X67X15MM</t>
  </si>
  <si>
    <t>OEBOXBNSR83.50X29.50X180</t>
  </si>
  <si>
    <t>25D-HELIXA-FOAM-79X25X15MM</t>
  </si>
  <si>
    <t>OEBOXBNSR83.50X35.50X180</t>
  </si>
  <si>
    <t>25D-HELIXA-FOAM-79X31X15MM</t>
  </si>
  <si>
    <t>OEBOXBNSR83.50X41.50X180</t>
  </si>
  <si>
    <t>25D-HELIXA-FOAM-79X37X15MM</t>
  </si>
  <si>
    <t>OEBOXBNSR83.50X47.50X180</t>
  </si>
  <si>
    <t>25D-HELIXA-FOAM-79X43X15MM</t>
  </si>
  <si>
    <t>OEBOXBNSR83.50X59.50X180</t>
  </si>
  <si>
    <t>25D-HELIXA-FOAM-79X55X15MM</t>
  </si>
  <si>
    <t>OEBOXBNSR83.50X65.50X180</t>
  </si>
  <si>
    <t>25D-HELIXA-FOAM-79X61X15MM</t>
  </si>
  <si>
    <t>OEBOXBNSR83.50X71.50X180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</si>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</sst>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3" fillId="0" borderId="1" xfId="0" applyNumberFormat="1" applyFont="1" applyFill="1" applyBorder="1" applyAlignment="1" applyProtection="1">
      <alignment horizontal="center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8" sqref="D8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7">
        <v>1</v>
      </c>
      <c r="B2" s="7" t="s">
        <v>12</v>
      </c>
      <c r="C2" s="7" t="s">
        <v>12</v>
      </c>
      <c r="D2" s="7" t="str">
        <f t="shared" ref="D2:D14" si="0">"RTHTMTBNPT"&amp;$K$2&amp;"X"&amp;$L$2&amp;"X"&amp;IF($M$2=10,$M$2,"0"&amp;$M$2)</f>
        <v>RTHTMTBNPT75X36X10</v>
      </c>
      <c r="E2" s="1" t="str">
        <f>"OEBOXBNSR"&amp;(K2-0.5)&amp;"0"&amp;"X"&amp;(L2-0.5)&amp;"0"&amp;"X"&amp;IF(M2=6,"100",IF(M2=8,"160",IF(M2=10,"180",0)))</f>
        <v>OEBOXBNSR74.50X35.50X180</v>
      </c>
      <c r="F2" s="11" t="s">
        <v>11</v>
      </c>
      <c r="G2" s="10">
        <v>1</v>
      </c>
      <c r="H2" s="10">
        <f t="shared" ref="H2" si="1">ROUND(G2,3)</f>
        <v>1</v>
      </c>
      <c r="I2" s="18" t="s">
        <v>16</v>
      </c>
      <c r="J2" s="5"/>
      <c r="K2" s="6">
        <v>75</v>
      </c>
      <c r="L2" s="6">
        <v>36</v>
      </c>
      <c r="M2" s="32">
        <v>10</v>
      </c>
      <c r="N2" s="6" t="s">
        <v>108</v>
      </c>
      <c r="P2" s="4" t="s">
        <v>91</v>
      </c>
      <c r="R2" s="30" t="s">
        <v>92</v>
      </c>
      <c r="S2" s="30" t="s">
        <v>93</v>
      </c>
      <c r="T2" s="30">
        <v>10</v>
      </c>
      <c r="U2" s="31" t="s">
        <v>108</v>
      </c>
    </row>
    <row r="3" spans="1:21" s="17" customFormat="1" x14ac:dyDescent="0.25">
      <c r="A3" s="37">
        <v>2</v>
      </c>
      <c r="B3" s="7" t="s">
        <v>17</v>
      </c>
      <c r="C3" s="7" t="s">
        <v>17</v>
      </c>
      <c r="D3" s="7" t="str">
        <f t="shared" si="0"/>
        <v>RTHTMTBNPT75X36X10</v>
      </c>
      <c r="E3" s="22" t="s">
        <v>109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30" t="s">
        <v>92</v>
      </c>
      <c r="S3" s="30" t="s">
        <v>94</v>
      </c>
      <c r="T3" s="30">
        <v>10</v>
      </c>
      <c r="U3" s="31" t="s">
        <v>108</v>
      </c>
    </row>
    <row r="4" spans="1:21" x14ac:dyDescent="0.25">
      <c r="A4" s="37">
        <v>3</v>
      </c>
      <c r="B4" s="7" t="s">
        <v>19</v>
      </c>
      <c r="C4" s="7" t="s">
        <v>19</v>
      </c>
      <c r="D4" s="7" t="str">
        <f t="shared" si="0"/>
        <v>RTHTMTBNPT75X36X10</v>
      </c>
      <c r="E4" s="34" t="s">
        <v>105</v>
      </c>
      <c r="F4" s="8" t="s">
        <v>106</v>
      </c>
      <c r="G4" s="10">
        <f>((K2-5)*(L2-5)/144)*0.00729*6</f>
        <v>0.65913749999999993</v>
      </c>
      <c r="H4" s="10">
        <f t="shared" ref="H4:H14" si="3">ROUND(G4,3)</f>
        <v>0.65900000000000003</v>
      </c>
      <c r="I4" s="8" t="s">
        <v>14</v>
      </c>
      <c r="J4" s="12"/>
      <c r="O4" s="17"/>
      <c r="R4" s="30" t="s">
        <v>92</v>
      </c>
      <c r="S4" s="30" t="s">
        <v>95</v>
      </c>
      <c r="T4" s="30">
        <v>10</v>
      </c>
      <c r="U4" s="31" t="s">
        <v>108</v>
      </c>
    </row>
    <row r="5" spans="1:21" x14ac:dyDescent="0.25">
      <c r="A5" s="37">
        <v>4</v>
      </c>
      <c r="B5" s="7" t="s">
        <v>17</v>
      </c>
      <c r="C5" s="7" t="s">
        <v>17</v>
      </c>
      <c r="D5" s="7" t="str">
        <f t="shared" si="0"/>
        <v>RTHTMTBNPT75X36X10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30" t="s">
        <v>92</v>
      </c>
      <c r="S5" s="30" t="s">
        <v>96</v>
      </c>
      <c r="T5" s="30">
        <v>10</v>
      </c>
      <c r="U5" s="31" t="s">
        <v>108</v>
      </c>
    </row>
    <row r="6" spans="1:21" x14ac:dyDescent="0.25">
      <c r="A6" s="37">
        <v>5</v>
      </c>
      <c r="B6" s="7" t="s">
        <v>19</v>
      </c>
      <c r="C6" s="7" t="s">
        <v>19</v>
      </c>
      <c r="D6" s="7" t="str">
        <f t="shared" si="0"/>
        <v>RTHTMTBNPT75X36X10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30" t="s">
        <v>92</v>
      </c>
      <c r="S6" s="30" t="s">
        <v>97</v>
      </c>
      <c r="T6" s="30">
        <v>10</v>
      </c>
      <c r="U6" s="31" t="s">
        <v>108</v>
      </c>
    </row>
    <row r="7" spans="1:21" x14ac:dyDescent="0.25">
      <c r="A7" s="37">
        <v>6</v>
      </c>
      <c r="B7" s="7" t="s">
        <v>19</v>
      </c>
      <c r="C7" s="7" t="s">
        <v>19</v>
      </c>
      <c r="D7" s="7" t="str">
        <f t="shared" si="0"/>
        <v>RTHTMTBNPT75X36X10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30" t="s">
        <v>92</v>
      </c>
      <c r="S7" s="30" t="s">
        <v>98</v>
      </c>
      <c r="T7" s="30">
        <v>10</v>
      </c>
      <c r="U7" s="31" t="s">
        <v>108</v>
      </c>
    </row>
    <row r="8" spans="1:21" x14ac:dyDescent="0.25">
      <c r="A8" s="37">
        <v>7</v>
      </c>
      <c r="B8" s="7" t="s">
        <v>20</v>
      </c>
      <c r="C8" s="35" t="s">
        <v>20</v>
      </c>
      <c r="D8" s="7" t="str">
        <f t="shared" si="0"/>
        <v>RTHTMTBNPT75X36X10</v>
      </c>
      <c r="E8" s="35" t="str">
        <f>IF(M2=6,"RML-CS-PL-6.5""",IF(M2=8,"RML-CS-PL-8.5",IF(M2=10,"RML-CS-PL-10.5",IF(M2=12,"RML-CS-PL-12.25"))))</f>
        <v>RML-CS-PL-10.5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30" t="s">
        <v>92</v>
      </c>
      <c r="S8" s="30" t="s">
        <v>99</v>
      </c>
      <c r="T8" s="30">
        <v>10</v>
      </c>
      <c r="U8" s="31" t="s">
        <v>108</v>
      </c>
    </row>
    <row r="9" spans="1:21" x14ac:dyDescent="0.25">
      <c r="A9" s="37">
        <v>8</v>
      </c>
      <c r="B9" s="7" t="s">
        <v>19</v>
      </c>
      <c r="C9" s="7" t="s">
        <v>19</v>
      </c>
      <c r="D9" s="7" t="str">
        <f t="shared" si="0"/>
        <v>RTHTMTBNPT75X36X10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30" t="s">
        <v>92</v>
      </c>
      <c r="S9" s="30" t="s">
        <v>100</v>
      </c>
      <c r="T9" s="30">
        <v>10</v>
      </c>
      <c r="U9" s="31" t="s">
        <v>108</v>
      </c>
    </row>
    <row r="10" spans="1:21" x14ac:dyDescent="0.25">
      <c r="A10" s="37">
        <v>9</v>
      </c>
      <c r="B10" s="7" t="s">
        <v>20</v>
      </c>
      <c r="C10" s="35" t="s">
        <v>20</v>
      </c>
      <c r="D10" s="7" t="str">
        <f t="shared" si="0"/>
        <v>RTHTMTBNPT75X36X10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30" t="s">
        <v>101</v>
      </c>
      <c r="S10" s="30" t="s">
        <v>93</v>
      </c>
      <c r="T10" s="30">
        <v>10</v>
      </c>
      <c r="U10" s="31" t="s">
        <v>108</v>
      </c>
    </row>
    <row r="11" spans="1:21" x14ac:dyDescent="0.25">
      <c r="A11" s="37">
        <v>10</v>
      </c>
      <c r="B11" s="7" t="s">
        <v>20</v>
      </c>
      <c r="C11" s="35" t="s">
        <v>20</v>
      </c>
      <c r="D11" s="7" t="str">
        <f t="shared" si="0"/>
        <v>RTHTMTBNPT75X36X10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30" t="s">
        <v>101</v>
      </c>
      <c r="S11" s="30" t="s">
        <v>94</v>
      </c>
      <c r="T11" s="30">
        <v>10</v>
      </c>
      <c r="U11" s="31" t="s">
        <v>108</v>
      </c>
    </row>
    <row r="12" spans="1:21" x14ac:dyDescent="0.25">
      <c r="A12" s="37">
        <v>11</v>
      </c>
      <c r="B12" s="7" t="s">
        <v>20</v>
      </c>
      <c r="C12" s="9" t="s">
        <v>20</v>
      </c>
      <c r="D12" s="7" t="str">
        <f t="shared" si="0"/>
        <v>RTHTMTBNPT75X36X10</v>
      </c>
      <c r="E12" s="9" t="s">
        <v>110</v>
      </c>
      <c r="F12" s="11" t="s">
        <v>13</v>
      </c>
      <c r="G12" s="10">
        <f>IF(K2&lt;76,((L2*2)+(M2*2)+4),((K2*2)+(M2*2)+4))*0.0254*89.5*0.0254*0.00009*1300</f>
        <v>0.64855612223999992</v>
      </c>
      <c r="H12" s="10">
        <f t="shared" si="3"/>
        <v>0.64900000000000002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30" t="s">
        <v>101</v>
      </c>
      <c r="S12" s="30" t="s">
        <v>95</v>
      </c>
      <c r="T12" s="30">
        <v>10</v>
      </c>
      <c r="U12" s="31" t="s">
        <v>108</v>
      </c>
    </row>
    <row r="13" spans="1:21" x14ac:dyDescent="0.25">
      <c r="A13" s="37">
        <v>12</v>
      </c>
      <c r="B13" s="7" t="s">
        <v>19</v>
      </c>
      <c r="C13" s="7" t="s">
        <v>19</v>
      </c>
      <c r="D13" s="7" t="str">
        <f t="shared" si="0"/>
        <v>RTHTMTBNPT75X36X10</v>
      </c>
      <c r="E13" s="36" t="str">
        <f>"25D-HELIXA-FOAM-"&amp;(K2-5)&amp;"X"&amp;(L2-5)&amp;"X15MM"</f>
        <v>25D-HELIXA-FOAM-70X31X15MM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30" t="s">
        <v>101</v>
      </c>
      <c r="S13" s="30" t="s">
        <v>96</v>
      </c>
      <c r="T13" s="30">
        <v>10</v>
      </c>
      <c r="U13" s="31" t="s">
        <v>108</v>
      </c>
    </row>
    <row r="14" spans="1:21" x14ac:dyDescent="0.25">
      <c r="A14" s="37">
        <v>13</v>
      </c>
      <c r="B14" s="7" t="s">
        <v>19</v>
      </c>
      <c r="C14" s="7" t="s">
        <v>19</v>
      </c>
      <c r="D14" s="7" t="str">
        <f t="shared" si="0"/>
        <v>RTHTMTBNPT75X36X10</v>
      </c>
      <c r="E14" s="36" t="str">
        <f>"60D-RB-MAT-FOAM-"&amp;(K2-0.5)&amp;"0"&amp;"X"&amp;(L2-0.5)&amp;"0"&amp;"X15MM"</f>
        <v>60D-RB-MAT-FOAM-74.50X35.50X15MM</v>
      </c>
      <c r="F14" s="8" t="s">
        <v>11</v>
      </c>
      <c r="G14" s="14">
        <v>2</v>
      </c>
      <c r="H14" s="10">
        <f t="shared" si="3"/>
        <v>2</v>
      </c>
      <c r="I14" s="18" t="s">
        <v>16</v>
      </c>
      <c r="J14" s="12"/>
      <c r="M14" s="19"/>
      <c r="O14" s="19"/>
      <c r="R14" s="30" t="s">
        <v>101</v>
      </c>
      <c r="S14" s="30" t="s">
        <v>97</v>
      </c>
      <c r="T14" s="30">
        <v>10</v>
      </c>
      <c r="U14" s="31" t="s">
        <v>108</v>
      </c>
    </row>
    <row r="15" spans="1:21" x14ac:dyDescent="0.25">
      <c r="J15" s="12"/>
      <c r="N15"/>
      <c r="O15"/>
      <c r="R15" s="30" t="s">
        <v>101</v>
      </c>
      <c r="S15" s="30" t="s">
        <v>98</v>
      </c>
      <c r="T15" s="30">
        <v>10</v>
      </c>
      <c r="U15" s="31" t="s">
        <v>108</v>
      </c>
    </row>
    <row r="16" spans="1:21" x14ac:dyDescent="0.25">
      <c r="J16" s="12"/>
      <c r="M16" s="19"/>
      <c r="N16"/>
      <c r="O16"/>
      <c r="R16" s="30" t="s">
        <v>101</v>
      </c>
      <c r="S16" s="30" t="s">
        <v>99</v>
      </c>
      <c r="T16" s="30">
        <v>10</v>
      </c>
      <c r="U16" s="31" t="s">
        <v>108</v>
      </c>
    </row>
    <row r="17" spans="5:21" x14ac:dyDescent="0.25">
      <c r="J17" s="12"/>
      <c r="N17"/>
      <c r="O17"/>
      <c r="R17" s="30" t="s">
        <v>101</v>
      </c>
      <c r="S17" s="30" t="s">
        <v>100</v>
      </c>
      <c r="T17" s="30">
        <v>10</v>
      </c>
      <c r="U17" s="31" t="s">
        <v>108</v>
      </c>
    </row>
    <row r="18" spans="5:21" x14ac:dyDescent="0.25">
      <c r="J18" s="12"/>
      <c r="N18"/>
      <c r="O18"/>
      <c r="R18" s="30" t="s">
        <v>102</v>
      </c>
      <c r="S18" s="30" t="s">
        <v>93</v>
      </c>
      <c r="T18" s="30">
        <v>10</v>
      </c>
      <c r="U18" s="31" t="s">
        <v>108</v>
      </c>
    </row>
    <row r="19" spans="5:21" x14ac:dyDescent="0.25">
      <c r="J19" s="12"/>
      <c r="N19"/>
      <c r="O19"/>
      <c r="R19" s="30" t="s">
        <v>102</v>
      </c>
      <c r="S19" s="30" t="s">
        <v>94</v>
      </c>
      <c r="T19" s="30">
        <v>10</v>
      </c>
      <c r="U19" s="31" t="s">
        <v>108</v>
      </c>
    </row>
    <row r="20" spans="5:21" x14ac:dyDescent="0.25">
      <c r="J20" s="12"/>
      <c r="N20" s="29"/>
      <c r="O20"/>
      <c r="R20" s="30" t="s">
        <v>102</v>
      </c>
      <c r="S20" s="30" t="s">
        <v>95</v>
      </c>
      <c r="T20" s="30">
        <v>10</v>
      </c>
      <c r="U20" s="31" t="s">
        <v>108</v>
      </c>
    </row>
    <row r="21" spans="5:21" x14ac:dyDescent="0.25">
      <c r="J21" s="12"/>
      <c r="N21"/>
      <c r="O21"/>
      <c r="R21" s="30" t="s">
        <v>102</v>
      </c>
      <c r="S21" s="30" t="s">
        <v>96</v>
      </c>
      <c r="T21" s="30">
        <v>10</v>
      </c>
      <c r="U21" s="31" t="s">
        <v>108</v>
      </c>
    </row>
    <row r="22" spans="5:21" x14ac:dyDescent="0.25">
      <c r="G22" s="19"/>
      <c r="J22" s="12"/>
      <c r="N22"/>
      <c r="O22"/>
      <c r="R22" s="30" t="s">
        <v>102</v>
      </c>
      <c r="S22" s="30" t="s">
        <v>97</v>
      </c>
      <c r="T22" s="30">
        <v>10</v>
      </c>
      <c r="U22" s="31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102</v>
      </c>
      <c r="S23" s="30" t="s">
        <v>98</v>
      </c>
      <c r="T23" s="30">
        <v>10</v>
      </c>
      <c r="U23" s="31" t="s">
        <v>108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102</v>
      </c>
      <c r="S24" s="30" t="s">
        <v>99</v>
      </c>
      <c r="T24" s="30">
        <v>10</v>
      </c>
      <c r="U24" s="31" t="s">
        <v>108</v>
      </c>
    </row>
    <row r="25" spans="5:21" x14ac:dyDescent="0.25">
      <c r="N25"/>
      <c r="O25"/>
      <c r="R25" s="30" t="s">
        <v>102</v>
      </c>
      <c r="S25" s="30" t="s">
        <v>100</v>
      </c>
      <c r="T25" s="30">
        <v>10</v>
      </c>
      <c r="U25" s="31" t="s">
        <v>108</v>
      </c>
    </row>
    <row r="26" spans="5:21" x14ac:dyDescent="0.25">
      <c r="N26"/>
      <c r="O26"/>
      <c r="R26" s="30" t="s">
        <v>103</v>
      </c>
      <c r="S26" s="30" t="s">
        <v>93</v>
      </c>
      <c r="T26" s="30">
        <v>10</v>
      </c>
      <c r="U26" s="31" t="s">
        <v>108</v>
      </c>
    </row>
    <row r="27" spans="5:21" x14ac:dyDescent="0.25">
      <c r="N27"/>
      <c r="O27"/>
      <c r="R27" s="30" t="s">
        <v>103</v>
      </c>
      <c r="S27" s="30" t="s">
        <v>94</v>
      </c>
      <c r="T27" s="30">
        <v>10</v>
      </c>
      <c r="U27" s="31" t="s">
        <v>108</v>
      </c>
    </row>
    <row r="28" spans="5:21" x14ac:dyDescent="0.25">
      <c r="E28" s="19"/>
      <c r="I28" s="19"/>
      <c r="M28" s="19"/>
      <c r="N28"/>
      <c r="O28"/>
      <c r="R28" s="30" t="s">
        <v>103</v>
      </c>
      <c r="S28" s="30" t="s">
        <v>95</v>
      </c>
      <c r="T28" s="30">
        <v>10</v>
      </c>
      <c r="U28" s="31" t="s">
        <v>108</v>
      </c>
    </row>
    <row r="29" spans="5:21" x14ac:dyDescent="0.25">
      <c r="E29" s="19"/>
      <c r="N29"/>
      <c r="O29"/>
      <c r="R29" s="30" t="s">
        <v>103</v>
      </c>
      <c r="S29" s="30" t="s">
        <v>96</v>
      </c>
      <c r="T29" s="30">
        <v>10</v>
      </c>
      <c r="U29" s="31" t="s">
        <v>108</v>
      </c>
    </row>
    <row r="30" spans="5:21" x14ac:dyDescent="0.25">
      <c r="H30" s="19"/>
      <c r="N30"/>
      <c r="O30"/>
      <c r="R30" s="30" t="s">
        <v>103</v>
      </c>
      <c r="S30" s="30" t="s">
        <v>97</v>
      </c>
      <c r="T30" s="30">
        <v>10</v>
      </c>
      <c r="U30" s="31" t="s">
        <v>108</v>
      </c>
    </row>
    <row r="31" spans="5:21" x14ac:dyDescent="0.25">
      <c r="N31"/>
      <c r="O31"/>
      <c r="R31" s="30" t="s">
        <v>103</v>
      </c>
      <c r="S31" s="30" t="s">
        <v>98</v>
      </c>
      <c r="T31" s="30">
        <v>10</v>
      </c>
      <c r="U31" s="31" t="s">
        <v>108</v>
      </c>
    </row>
    <row r="32" spans="5:21" x14ac:dyDescent="0.25">
      <c r="N32"/>
      <c r="O32"/>
      <c r="R32" s="30" t="s">
        <v>103</v>
      </c>
      <c r="S32" s="30" t="s">
        <v>99</v>
      </c>
      <c r="T32" s="30">
        <v>10</v>
      </c>
      <c r="U32" s="31" t="s">
        <v>108</v>
      </c>
    </row>
    <row r="33" spans="14:21" x14ac:dyDescent="0.25">
      <c r="N33"/>
      <c r="O33"/>
      <c r="R33" s="30" t="s">
        <v>103</v>
      </c>
      <c r="S33" s="30" t="s">
        <v>100</v>
      </c>
      <c r="T33" s="30">
        <v>10</v>
      </c>
      <c r="U33" s="31" t="s">
        <v>108</v>
      </c>
    </row>
    <row r="34" spans="14:21" x14ac:dyDescent="0.25">
      <c r="N34"/>
      <c r="O34"/>
      <c r="R34" s="30" t="s">
        <v>104</v>
      </c>
      <c r="S34" s="30" t="s">
        <v>93</v>
      </c>
      <c r="T34" s="30">
        <v>10</v>
      </c>
      <c r="U34" s="31" t="s">
        <v>108</v>
      </c>
    </row>
    <row r="35" spans="14:21" x14ac:dyDescent="0.25">
      <c r="N35"/>
      <c r="O35"/>
      <c r="R35" s="30" t="s">
        <v>104</v>
      </c>
      <c r="S35" s="30" t="s">
        <v>94</v>
      </c>
      <c r="T35" s="30">
        <v>10</v>
      </c>
      <c r="U35" s="31" t="s">
        <v>108</v>
      </c>
    </row>
    <row r="36" spans="14:21" x14ac:dyDescent="0.25">
      <c r="N36"/>
      <c r="O36"/>
      <c r="R36" s="30" t="s">
        <v>104</v>
      </c>
      <c r="S36" s="30" t="s">
        <v>95</v>
      </c>
      <c r="T36" s="30">
        <v>10</v>
      </c>
      <c r="U36" s="31" t="s">
        <v>108</v>
      </c>
    </row>
    <row r="37" spans="14:21" x14ac:dyDescent="0.25">
      <c r="N37"/>
      <c r="O37"/>
      <c r="R37" s="30" t="s">
        <v>104</v>
      </c>
      <c r="S37" s="30" t="s">
        <v>96</v>
      </c>
      <c r="T37" s="30">
        <v>10</v>
      </c>
      <c r="U37" s="31" t="s">
        <v>108</v>
      </c>
    </row>
    <row r="38" spans="14:21" x14ac:dyDescent="0.25">
      <c r="N38"/>
      <c r="O38"/>
      <c r="R38" s="30" t="s">
        <v>104</v>
      </c>
      <c r="S38" s="30" t="s">
        <v>97</v>
      </c>
      <c r="T38" s="30">
        <v>10</v>
      </c>
      <c r="U38" s="31" t="s">
        <v>108</v>
      </c>
    </row>
    <row r="39" spans="14:21" x14ac:dyDescent="0.25">
      <c r="N39"/>
      <c r="O39"/>
      <c r="R39" s="30" t="s">
        <v>104</v>
      </c>
      <c r="S39" s="30" t="s">
        <v>98</v>
      </c>
      <c r="T39" s="30">
        <v>10</v>
      </c>
      <c r="U39" s="31" t="s">
        <v>108</v>
      </c>
    </row>
    <row r="40" spans="14:21" x14ac:dyDescent="0.25">
      <c r="N40"/>
      <c r="O40"/>
      <c r="R40" s="30" t="s">
        <v>104</v>
      </c>
      <c r="S40" s="30" t="s">
        <v>99</v>
      </c>
      <c r="T40" s="30">
        <v>10</v>
      </c>
      <c r="U40" s="31" t="s">
        <v>108</v>
      </c>
    </row>
    <row r="41" spans="14:21" x14ac:dyDescent="0.25">
      <c r="N41"/>
      <c r="O41"/>
      <c r="R41" s="30" t="s">
        <v>104</v>
      </c>
      <c r="S41" s="30" t="s">
        <v>100</v>
      </c>
      <c r="T41" s="30">
        <v>10</v>
      </c>
      <c r="U41" s="31" t="s">
        <v>108</v>
      </c>
    </row>
    <row r="42" spans="14:21" x14ac:dyDescent="0.25">
      <c r="N42"/>
      <c r="O42"/>
      <c r="R42" s="30">
        <v>72</v>
      </c>
      <c r="S42" s="30">
        <v>30</v>
      </c>
      <c r="T42" s="30">
        <v>10</v>
      </c>
      <c r="U42" s="31" t="s">
        <v>108</v>
      </c>
    </row>
    <row r="43" spans="14:21" x14ac:dyDescent="0.25">
      <c r="N43"/>
      <c r="O43"/>
      <c r="R43" s="30">
        <v>72</v>
      </c>
      <c r="S43" s="30">
        <v>36</v>
      </c>
      <c r="T43" s="30">
        <v>10</v>
      </c>
      <c r="U43" s="31" t="s">
        <v>108</v>
      </c>
    </row>
    <row r="44" spans="14:21" x14ac:dyDescent="0.25">
      <c r="N44"/>
      <c r="O44"/>
      <c r="R44" s="30">
        <v>72</v>
      </c>
      <c r="S44" s="30">
        <v>42</v>
      </c>
      <c r="T44" s="30">
        <v>10</v>
      </c>
      <c r="U44" s="31" t="s">
        <v>108</v>
      </c>
    </row>
    <row r="45" spans="14:21" x14ac:dyDescent="0.25">
      <c r="N45"/>
      <c r="O45"/>
      <c r="R45" s="30">
        <v>72</v>
      </c>
      <c r="S45" s="30">
        <v>48</v>
      </c>
      <c r="T45" s="30">
        <v>10</v>
      </c>
      <c r="U45" s="31" t="s">
        <v>108</v>
      </c>
    </row>
    <row r="46" spans="14:21" x14ac:dyDescent="0.25">
      <c r="N46"/>
      <c r="O46"/>
      <c r="R46" s="30">
        <v>72</v>
      </c>
      <c r="S46" s="30">
        <v>60</v>
      </c>
      <c r="T46" s="30">
        <v>10</v>
      </c>
      <c r="U46" s="31" t="s">
        <v>108</v>
      </c>
    </row>
    <row r="47" spans="14:21" x14ac:dyDescent="0.25">
      <c r="N47"/>
      <c r="O47"/>
      <c r="R47" s="30">
        <v>72</v>
      </c>
      <c r="S47" s="30">
        <v>66</v>
      </c>
      <c r="T47" s="30">
        <v>10</v>
      </c>
      <c r="U47" s="31" t="s">
        <v>108</v>
      </c>
    </row>
    <row r="48" spans="14:21" x14ac:dyDescent="0.25">
      <c r="N48"/>
      <c r="O48"/>
      <c r="R48" s="30">
        <v>72</v>
      </c>
      <c r="S48" s="30">
        <v>72</v>
      </c>
      <c r="T48" s="30">
        <v>10</v>
      </c>
      <c r="U48" s="31" t="s">
        <v>108</v>
      </c>
    </row>
    <row r="49" spans="14:21" x14ac:dyDescent="0.25">
      <c r="N49"/>
      <c r="O49"/>
      <c r="R49" s="30">
        <v>75</v>
      </c>
      <c r="S49" s="30">
        <v>30</v>
      </c>
      <c r="T49" s="30">
        <v>10</v>
      </c>
      <c r="U49" s="31" t="s">
        <v>108</v>
      </c>
    </row>
    <row r="50" spans="14:21" x14ac:dyDescent="0.25">
      <c r="R50" s="30">
        <v>75</v>
      </c>
      <c r="S50" s="30">
        <v>36</v>
      </c>
      <c r="T50" s="30">
        <v>10</v>
      </c>
      <c r="U50" s="31" t="s">
        <v>108</v>
      </c>
    </row>
    <row r="51" spans="14:21" x14ac:dyDescent="0.25">
      <c r="R51" s="30">
        <v>75</v>
      </c>
      <c r="S51" s="30">
        <v>42</v>
      </c>
      <c r="T51" s="30">
        <v>10</v>
      </c>
      <c r="U51" s="31" t="s">
        <v>108</v>
      </c>
    </row>
    <row r="52" spans="14:21" x14ac:dyDescent="0.25">
      <c r="R52" s="30">
        <v>75</v>
      </c>
      <c r="S52" s="30">
        <v>48</v>
      </c>
      <c r="T52" s="30">
        <v>10</v>
      </c>
      <c r="U52" s="31" t="s">
        <v>108</v>
      </c>
    </row>
    <row r="53" spans="14:21" x14ac:dyDescent="0.25">
      <c r="R53" s="30">
        <v>75</v>
      </c>
      <c r="S53" s="30">
        <v>60</v>
      </c>
      <c r="T53" s="30">
        <v>10</v>
      </c>
      <c r="U53" s="31" t="s">
        <v>108</v>
      </c>
    </row>
    <row r="54" spans="14:21" x14ac:dyDescent="0.25">
      <c r="R54" s="30">
        <v>75</v>
      </c>
      <c r="S54" s="30">
        <v>66</v>
      </c>
      <c r="T54" s="30">
        <v>10</v>
      </c>
      <c r="U54" s="31" t="s">
        <v>108</v>
      </c>
    </row>
    <row r="55" spans="14:21" x14ac:dyDescent="0.25">
      <c r="R55" s="30">
        <v>75</v>
      </c>
      <c r="S55" s="30">
        <v>72</v>
      </c>
      <c r="T55" s="30">
        <v>10</v>
      </c>
      <c r="U55" s="31" t="s">
        <v>108</v>
      </c>
    </row>
    <row r="56" spans="14:21" x14ac:dyDescent="0.25">
      <c r="R56" s="30">
        <v>78</v>
      </c>
      <c r="S56" s="30">
        <v>30</v>
      </c>
      <c r="T56" s="30">
        <v>10</v>
      </c>
      <c r="U56" s="31" t="s">
        <v>108</v>
      </c>
    </row>
    <row r="57" spans="14:21" x14ac:dyDescent="0.25">
      <c r="R57" s="30">
        <v>78</v>
      </c>
      <c r="S57" s="30">
        <v>36</v>
      </c>
      <c r="T57" s="30">
        <v>10</v>
      </c>
      <c r="U57" s="31" t="s">
        <v>108</v>
      </c>
    </row>
    <row r="58" spans="14:21" x14ac:dyDescent="0.25">
      <c r="R58" s="30">
        <v>78</v>
      </c>
      <c r="S58" s="30">
        <v>42</v>
      </c>
      <c r="T58" s="30">
        <v>10</v>
      </c>
      <c r="U58" s="31" t="s">
        <v>108</v>
      </c>
    </row>
    <row r="59" spans="14:21" x14ac:dyDescent="0.25">
      <c r="R59" s="30">
        <v>78</v>
      </c>
      <c r="S59" s="30">
        <v>48</v>
      </c>
      <c r="T59" s="30">
        <v>10</v>
      </c>
      <c r="U59" s="31" t="s">
        <v>108</v>
      </c>
    </row>
    <row r="60" spans="14:21" x14ac:dyDescent="0.25">
      <c r="R60" s="30">
        <v>78</v>
      </c>
      <c r="S60" s="30">
        <v>60</v>
      </c>
      <c r="T60" s="30">
        <v>10</v>
      </c>
      <c r="U60" s="31" t="s">
        <v>108</v>
      </c>
    </row>
    <row r="61" spans="14:21" x14ac:dyDescent="0.25">
      <c r="R61" s="30">
        <v>78</v>
      </c>
      <c r="S61" s="30">
        <v>66</v>
      </c>
      <c r="T61" s="30">
        <v>10</v>
      </c>
      <c r="U61" s="31" t="s">
        <v>108</v>
      </c>
    </row>
    <row r="62" spans="14:21" x14ac:dyDescent="0.25">
      <c r="R62" s="30">
        <v>78</v>
      </c>
      <c r="S62" s="30">
        <v>72</v>
      </c>
      <c r="T62" s="30">
        <v>10</v>
      </c>
      <c r="U62" s="31" t="s">
        <v>108</v>
      </c>
    </row>
    <row r="63" spans="14:21" x14ac:dyDescent="0.25">
      <c r="R63" s="30">
        <v>80</v>
      </c>
      <c r="S63" s="30">
        <v>30</v>
      </c>
      <c r="T63" s="30">
        <v>10</v>
      </c>
      <c r="U63" s="31" t="s">
        <v>108</v>
      </c>
    </row>
    <row r="64" spans="14:21" x14ac:dyDescent="0.25">
      <c r="R64" s="30">
        <v>80</v>
      </c>
      <c r="S64" s="30">
        <v>36</v>
      </c>
      <c r="T64" s="30">
        <v>10</v>
      </c>
      <c r="U64" s="31" t="s">
        <v>108</v>
      </c>
    </row>
    <row r="65" spans="18:21" x14ac:dyDescent="0.25">
      <c r="R65" s="30">
        <v>80</v>
      </c>
      <c r="S65" s="30">
        <v>42</v>
      </c>
      <c r="T65" s="30">
        <v>10</v>
      </c>
      <c r="U65" s="31" t="s">
        <v>108</v>
      </c>
    </row>
    <row r="66" spans="18:21" x14ac:dyDescent="0.25">
      <c r="R66" s="30">
        <v>80</v>
      </c>
      <c r="S66" s="30">
        <v>48</v>
      </c>
      <c r="T66" s="30">
        <v>10</v>
      </c>
      <c r="U66" s="31" t="s">
        <v>108</v>
      </c>
    </row>
    <row r="67" spans="18:21" x14ac:dyDescent="0.25">
      <c r="R67" s="30">
        <v>80</v>
      </c>
      <c r="S67" s="30">
        <v>60</v>
      </c>
      <c r="T67" s="30">
        <v>10</v>
      </c>
      <c r="U67" s="31" t="s">
        <v>108</v>
      </c>
    </row>
    <row r="68" spans="18:21" x14ac:dyDescent="0.25">
      <c r="R68" s="30">
        <v>80</v>
      </c>
      <c r="S68" s="30">
        <v>66</v>
      </c>
      <c r="T68" s="30">
        <v>10</v>
      </c>
      <c r="U68" s="31" t="s">
        <v>108</v>
      </c>
    </row>
    <row r="69" spans="18:21" x14ac:dyDescent="0.25">
      <c r="R69" s="30">
        <v>80</v>
      </c>
      <c r="S69" s="30">
        <v>72</v>
      </c>
      <c r="T69" s="30">
        <v>10</v>
      </c>
      <c r="U69" s="31" t="s">
        <v>108</v>
      </c>
    </row>
    <row r="70" spans="18:21" x14ac:dyDescent="0.25">
      <c r="R70" s="30">
        <v>84</v>
      </c>
      <c r="S70" s="30">
        <v>30</v>
      </c>
      <c r="T70" s="30">
        <v>10</v>
      </c>
      <c r="U70" s="31" t="s">
        <v>108</v>
      </c>
    </row>
    <row r="71" spans="18:21" x14ac:dyDescent="0.25">
      <c r="R71" s="30">
        <v>84</v>
      </c>
      <c r="S71" s="30">
        <v>36</v>
      </c>
      <c r="T71" s="30">
        <v>10</v>
      </c>
      <c r="U71" s="31" t="s">
        <v>108</v>
      </c>
    </row>
    <row r="72" spans="18:21" x14ac:dyDescent="0.25">
      <c r="R72" s="30">
        <v>84</v>
      </c>
      <c r="S72" s="30">
        <v>42</v>
      </c>
      <c r="T72" s="30">
        <v>10</v>
      </c>
      <c r="U72" s="31" t="s">
        <v>108</v>
      </c>
    </row>
    <row r="73" spans="18:21" x14ac:dyDescent="0.25">
      <c r="R73" s="30">
        <v>84</v>
      </c>
      <c r="S73" s="30">
        <v>48</v>
      </c>
      <c r="T73" s="30">
        <v>10</v>
      </c>
      <c r="U73" s="31" t="s">
        <v>108</v>
      </c>
    </row>
    <row r="74" spans="18:21" x14ac:dyDescent="0.25">
      <c r="R74" s="30">
        <v>84</v>
      </c>
      <c r="S74" s="30">
        <v>60</v>
      </c>
      <c r="T74" s="30">
        <v>10</v>
      </c>
      <c r="U74" s="31" t="s">
        <v>108</v>
      </c>
    </row>
    <row r="75" spans="18:21" x14ac:dyDescent="0.25">
      <c r="R75" s="30">
        <v>84</v>
      </c>
      <c r="S75" s="30">
        <v>66</v>
      </c>
      <c r="T75" s="30">
        <v>10</v>
      </c>
      <c r="U75" s="31" t="s">
        <v>108</v>
      </c>
    </row>
    <row r="76" spans="18:21" x14ac:dyDescent="0.25">
      <c r="R76" s="30">
        <v>84</v>
      </c>
      <c r="S76" s="30">
        <v>72</v>
      </c>
      <c r="T76" s="30">
        <v>10</v>
      </c>
      <c r="U76" s="31" t="s">
        <v>108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80</v>
      </c>
      <c r="B1" s="27" t="s">
        <v>81</v>
      </c>
      <c r="C1" s="28" t="s">
        <v>82</v>
      </c>
      <c r="D1" s="27" t="s">
        <v>83</v>
      </c>
      <c r="E1" s="27" t="s">
        <v>4</v>
      </c>
      <c r="F1" s="27" t="s">
        <v>84</v>
      </c>
      <c r="G1" s="28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109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105</v>
      </c>
      <c r="E4" t="s">
        <v>106</v>
      </c>
      <c r="F4">
        <v>0.56999999999999995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110</v>
      </c>
      <c r="E12" t="s">
        <v>13</v>
      </c>
      <c r="F12">
        <v>0.60799999999999998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263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152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113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113</v>
      </c>
      <c r="C16">
        <v>20</v>
      </c>
      <c r="D16" t="s">
        <v>109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113</v>
      </c>
      <c r="C17">
        <v>30</v>
      </c>
      <c r="D17" t="s">
        <v>105</v>
      </c>
      <c r="E17" t="s">
        <v>106</v>
      </c>
      <c r="F17">
        <v>0.69199999999999995</v>
      </c>
      <c r="G17" t="s">
        <v>14</v>
      </c>
    </row>
    <row r="18" spans="1:7" x14ac:dyDescent="0.25">
      <c r="A18">
        <v>2</v>
      </c>
      <c r="B18" t="s">
        <v>113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113</v>
      </c>
      <c r="C19">
        <v>50</v>
      </c>
      <c r="D19" t="s">
        <v>107</v>
      </c>
      <c r="E19" t="s">
        <v>15</v>
      </c>
      <c r="F19">
        <v>23.367999999999999</v>
      </c>
      <c r="G19" t="s">
        <v>14</v>
      </c>
    </row>
    <row r="20" spans="1:7" x14ac:dyDescent="0.25">
      <c r="A20">
        <v>2</v>
      </c>
      <c r="B20" t="s">
        <v>113</v>
      </c>
      <c r="C20">
        <v>60</v>
      </c>
      <c r="D20" t="s">
        <v>18</v>
      </c>
      <c r="E20" t="s">
        <v>15</v>
      </c>
      <c r="F20">
        <v>143.71299999999999</v>
      </c>
      <c r="G20" t="s">
        <v>14</v>
      </c>
    </row>
    <row r="21" spans="1:7" x14ac:dyDescent="0.25">
      <c r="A21">
        <v>2</v>
      </c>
      <c r="B21" t="s">
        <v>113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113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113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113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113</v>
      </c>
      <c r="C25">
        <v>110</v>
      </c>
      <c r="D25" t="s">
        <v>110</v>
      </c>
      <c r="E25" t="s">
        <v>13</v>
      </c>
      <c r="F25">
        <v>0.68899999999999995</v>
      </c>
      <c r="G25" t="s">
        <v>14</v>
      </c>
    </row>
    <row r="26" spans="1:7" x14ac:dyDescent="0.25">
      <c r="A26">
        <v>2</v>
      </c>
      <c r="B26" t="s">
        <v>113</v>
      </c>
      <c r="C26">
        <v>120</v>
      </c>
      <c r="D26" t="s">
        <v>265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113</v>
      </c>
      <c r="C27">
        <v>130</v>
      </c>
      <c r="D27" t="s">
        <v>153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114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114</v>
      </c>
      <c r="C29">
        <v>20</v>
      </c>
      <c r="D29" t="s">
        <v>109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114</v>
      </c>
      <c r="C30">
        <v>30</v>
      </c>
      <c r="D30" t="s">
        <v>105</v>
      </c>
      <c r="E30" t="s">
        <v>106</v>
      </c>
      <c r="F30">
        <v>0.81399999999999995</v>
      </c>
      <c r="G30" t="s">
        <v>14</v>
      </c>
    </row>
    <row r="31" spans="1:7" x14ac:dyDescent="0.25">
      <c r="A31">
        <v>3</v>
      </c>
      <c r="B31" t="s">
        <v>114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114</v>
      </c>
      <c r="C32">
        <v>50</v>
      </c>
      <c r="D32" t="s">
        <v>107</v>
      </c>
      <c r="E32" t="s">
        <v>15</v>
      </c>
      <c r="F32">
        <v>24.587</v>
      </c>
      <c r="G32" t="s">
        <v>14</v>
      </c>
    </row>
    <row r="33" spans="1:7" x14ac:dyDescent="0.25">
      <c r="A33">
        <v>3</v>
      </c>
      <c r="B33" t="s">
        <v>114</v>
      </c>
      <c r="C33">
        <v>60</v>
      </c>
      <c r="D33" t="s">
        <v>18</v>
      </c>
      <c r="E33" t="s">
        <v>15</v>
      </c>
      <c r="F33">
        <v>151.21100000000001</v>
      </c>
      <c r="G33" t="s">
        <v>14</v>
      </c>
    </row>
    <row r="34" spans="1:7" x14ac:dyDescent="0.25">
      <c r="A34">
        <v>3</v>
      </c>
      <c r="B34" t="s">
        <v>114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114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114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114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114</v>
      </c>
      <c r="C38">
        <v>110</v>
      </c>
      <c r="D38" t="s">
        <v>110</v>
      </c>
      <c r="E38" t="s">
        <v>13</v>
      </c>
      <c r="F38">
        <v>0.77</v>
      </c>
      <c r="G38" t="s">
        <v>14</v>
      </c>
    </row>
    <row r="39" spans="1:7" x14ac:dyDescent="0.25">
      <c r="A39">
        <v>3</v>
      </c>
      <c r="B39" t="s">
        <v>114</v>
      </c>
      <c r="C39">
        <v>120</v>
      </c>
      <c r="D39" t="s">
        <v>267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114</v>
      </c>
      <c r="C40">
        <v>130</v>
      </c>
      <c r="D40" t="s">
        <v>154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115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115</v>
      </c>
      <c r="C42">
        <v>20</v>
      </c>
      <c r="D42" t="s">
        <v>109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115</v>
      </c>
      <c r="C43">
        <v>30</v>
      </c>
      <c r="D43" t="s">
        <v>105</v>
      </c>
      <c r="E43" t="s">
        <v>106</v>
      </c>
      <c r="F43">
        <v>0.93600000000000005</v>
      </c>
      <c r="G43" t="s">
        <v>14</v>
      </c>
    </row>
    <row r="44" spans="1:7" x14ac:dyDescent="0.25">
      <c r="A44">
        <v>4</v>
      </c>
      <c r="B44" t="s">
        <v>115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115</v>
      </c>
      <c r="C45">
        <v>50</v>
      </c>
      <c r="D45" t="s">
        <v>107</v>
      </c>
      <c r="E45" t="s">
        <v>15</v>
      </c>
      <c r="F45">
        <v>25.806000000000001</v>
      </c>
      <c r="G45" t="s">
        <v>14</v>
      </c>
    </row>
    <row r="46" spans="1:7" x14ac:dyDescent="0.25">
      <c r="A46">
        <v>4</v>
      </c>
      <c r="B46" t="s">
        <v>115</v>
      </c>
      <c r="C46">
        <v>60</v>
      </c>
      <c r="D46" t="s">
        <v>18</v>
      </c>
      <c r="E46" t="s">
        <v>15</v>
      </c>
      <c r="F46">
        <v>158.709</v>
      </c>
      <c r="G46" t="s">
        <v>14</v>
      </c>
    </row>
    <row r="47" spans="1:7" x14ac:dyDescent="0.25">
      <c r="A47">
        <v>4</v>
      </c>
      <c r="B47" t="s">
        <v>115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115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115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115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115</v>
      </c>
      <c r="C51">
        <v>110</v>
      </c>
      <c r="D51" t="s">
        <v>110</v>
      </c>
      <c r="E51" t="s">
        <v>13</v>
      </c>
      <c r="F51">
        <v>0.85099999999999998</v>
      </c>
      <c r="G51" t="s">
        <v>14</v>
      </c>
    </row>
    <row r="52" spans="1:7" x14ac:dyDescent="0.25">
      <c r="A52">
        <v>4</v>
      </c>
      <c r="B52" t="s">
        <v>115</v>
      </c>
      <c r="C52">
        <v>120</v>
      </c>
      <c r="D52" t="s">
        <v>269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115</v>
      </c>
      <c r="C53">
        <v>130</v>
      </c>
      <c r="D53" t="s">
        <v>155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116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116</v>
      </c>
      <c r="C55">
        <v>20</v>
      </c>
      <c r="D55" t="s">
        <v>109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116</v>
      </c>
      <c r="C56">
        <v>30</v>
      </c>
      <c r="D56" t="s">
        <v>105</v>
      </c>
      <c r="E56" t="s">
        <v>106</v>
      </c>
      <c r="F56">
        <v>0.997</v>
      </c>
      <c r="G56" t="s">
        <v>14</v>
      </c>
    </row>
    <row r="57" spans="1:7" x14ac:dyDescent="0.25">
      <c r="A57">
        <v>5</v>
      </c>
      <c r="B57" t="s">
        <v>116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116</v>
      </c>
      <c r="C58">
        <v>50</v>
      </c>
      <c r="D58" t="s">
        <v>107</v>
      </c>
      <c r="E58" t="s">
        <v>15</v>
      </c>
      <c r="F58">
        <v>26.416</v>
      </c>
      <c r="G58" t="s">
        <v>14</v>
      </c>
    </row>
    <row r="59" spans="1:7" x14ac:dyDescent="0.25">
      <c r="A59">
        <v>5</v>
      </c>
      <c r="B59" t="s">
        <v>116</v>
      </c>
      <c r="C59">
        <v>60</v>
      </c>
      <c r="D59" t="s">
        <v>18</v>
      </c>
      <c r="E59" t="s">
        <v>15</v>
      </c>
      <c r="F59">
        <v>162.458</v>
      </c>
      <c r="G59" t="s">
        <v>14</v>
      </c>
    </row>
    <row r="60" spans="1:7" x14ac:dyDescent="0.25">
      <c r="A60">
        <v>5</v>
      </c>
      <c r="B60" t="s">
        <v>116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116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116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116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116</v>
      </c>
      <c r="C64">
        <v>110</v>
      </c>
      <c r="D64" t="s">
        <v>110</v>
      </c>
      <c r="E64" t="s">
        <v>13</v>
      </c>
      <c r="F64">
        <v>0.89200000000000002</v>
      </c>
      <c r="G64" t="s">
        <v>14</v>
      </c>
    </row>
    <row r="65" spans="1:7" x14ac:dyDescent="0.25">
      <c r="A65">
        <v>5</v>
      </c>
      <c r="B65" t="s">
        <v>116</v>
      </c>
      <c r="C65">
        <v>120</v>
      </c>
      <c r="D65" t="s">
        <v>271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116</v>
      </c>
      <c r="C66">
        <v>130</v>
      </c>
      <c r="D66" t="s">
        <v>156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117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117</v>
      </c>
      <c r="C68">
        <v>20</v>
      </c>
      <c r="D68" t="s">
        <v>109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117</v>
      </c>
      <c r="C69">
        <v>30</v>
      </c>
      <c r="D69" t="s">
        <v>105</v>
      </c>
      <c r="E69" t="s">
        <v>106</v>
      </c>
      <c r="F69">
        <v>1.0580000000000001</v>
      </c>
      <c r="G69" t="s">
        <v>14</v>
      </c>
    </row>
    <row r="70" spans="1:7" x14ac:dyDescent="0.25">
      <c r="A70">
        <v>6</v>
      </c>
      <c r="B70" t="s">
        <v>117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117</v>
      </c>
      <c r="C71">
        <v>50</v>
      </c>
      <c r="D71" t="s">
        <v>107</v>
      </c>
      <c r="E71" t="s">
        <v>15</v>
      </c>
      <c r="F71">
        <v>27.026</v>
      </c>
      <c r="G71" t="s">
        <v>14</v>
      </c>
    </row>
    <row r="72" spans="1:7" x14ac:dyDescent="0.25">
      <c r="A72">
        <v>6</v>
      </c>
      <c r="B72" t="s">
        <v>117</v>
      </c>
      <c r="C72">
        <v>60</v>
      </c>
      <c r="D72" t="s">
        <v>18</v>
      </c>
      <c r="E72" t="s">
        <v>15</v>
      </c>
      <c r="F72">
        <v>166.20699999999999</v>
      </c>
      <c r="G72" t="s">
        <v>14</v>
      </c>
    </row>
    <row r="73" spans="1:7" x14ac:dyDescent="0.25">
      <c r="A73">
        <v>6</v>
      </c>
      <c r="B73" t="s">
        <v>117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117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117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117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117</v>
      </c>
      <c r="C77">
        <v>110</v>
      </c>
      <c r="D77" t="s">
        <v>110</v>
      </c>
      <c r="E77" t="s">
        <v>13</v>
      </c>
      <c r="F77">
        <v>0.93200000000000005</v>
      </c>
      <c r="G77" t="s">
        <v>14</v>
      </c>
    </row>
    <row r="78" spans="1:7" x14ac:dyDescent="0.25">
      <c r="A78">
        <v>6</v>
      </c>
      <c r="B78" t="s">
        <v>117</v>
      </c>
      <c r="C78">
        <v>120</v>
      </c>
      <c r="D78" t="s">
        <v>273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117</v>
      </c>
      <c r="C79">
        <v>130</v>
      </c>
      <c r="D79" t="s">
        <v>157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118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118</v>
      </c>
      <c r="C81">
        <v>20</v>
      </c>
      <c r="D81" t="s">
        <v>109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118</v>
      </c>
      <c r="C82">
        <v>30</v>
      </c>
      <c r="D82" t="s">
        <v>105</v>
      </c>
      <c r="E82" t="s">
        <v>106</v>
      </c>
      <c r="F82">
        <v>1.18</v>
      </c>
      <c r="G82" t="s">
        <v>14</v>
      </c>
    </row>
    <row r="83" spans="1:7" x14ac:dyDescent="0.25">
      <c r="A83">
        <v>7</v>
      </c>
      <c r="B83" t="s">
        <v>118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118</v>
      </c>
      <c r="C84">
        <v>50</v>
      </c>
      <c r="D84" t="s">
        <v>107</v>
      </c>
      <c r="E84" t="s">
        <v>15</v>
      </c>
      <c r="F84">
        <v>28.245000000000001</v>
      </c>
      <c r="G84" t="s">
        <v>14</v>
      </c>
    </row>
    <row r="85" spans="1:7" x14ac:dyDescent="0.25">
      <c r="A85">
        <v>7</v>
      </c>
      <c r="B85" t="s">
        <v>118</v>
      </c>
      <c r="C85">
        <v>60</v>
      </c>
      <c r="D85" t="s">
        <v>18</v>
      </c>
      <c r="E85" t="s">
        <v>15</v>
      </c>
      <c r="F85">
        <v>173.70599999999999</v>
      </c>
      <c r="G85" t="s">
        <v>14</v>
      </c>
    </row>
    <row r="86" spans="1:7" x14ac:dyDescent="0.25">
      <c r="A86">
        <v>7</v>
      </c>
      <c r="B86" t="s">
        <v>118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118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118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118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118</v>
      </c>
      <c r="C90">
        <v>110</v>
      </c>
      <c r="D90" t="s">
        <v>110</v>
      </c>
      <c r="E90" t="s">
        <v>13</v>
      </c>
      <c r="F90">
        <v>1.0129999999999999</v>
      </c>
      <c r="G90" t="s">
        <v>14</v>
      </c>
    </row>
    <row r="91" spans="1:7" x14ac:dyDescent="0.25">
      <c r="A91">
        <v>7</v>
      </c>
      <c r="B91" t="s">
        <v>118</v>
      </c>
      <c r="C91">
        <v>120</v>
      </c>
      <c r="D91" t="s">
        <v>275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118</v>
      </c>
      <c r="C92">
        <v>130</v>
      </c>
      <c r="D92" t="s">
        <v>158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119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119</v>
      </c>
      <c r="C94">
        <v>20</v>
      </c>
      <c r="D94" t="s">
        <v>109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119</v>
      </c>
      <c r="C95">
        <v>30</v>
      </c>
      <c r="D95" t="s">
        <v>105</v>
      </c>
      <c r="E95" t="s">
        <v>106</v>
      </c>
      <c r="F95">
        <v>1.302</v>
      </c>
      <c r="G95" t="s">
        <v>14</v>
      </c>
    </row>
    <row r="96" spans="1:7" x14ac:dyDescent="0.25">
      <c r="A96">
        <v>8</v>
      </c>
      <c r="B96" t="s">
        <v>119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119</v>
      </c>
      <c r="C97">
        <v>50</v>
      </c>
      <c r="D97" t="s">
        <v>107</v>
      </c>
      <c r="E97" t="s">
        <v>15</v>
      </c>
      <c r="F97">
        <v>29.463999999999999</v>
      </c>
      <c r="G97" t="s">
        <v>14</v>
      </c>
    </row>
    <row r="98" spans="1:7" x14ac:dyDescent="0.25">
      <c r="A98">
        <v>8</v>
      </c>
      <c r="B98" t="s">
        <v>119</v>
      </c>
      <c r="C98">
        <v>60</v>
      </c>
      <c r="D98" t="s">
        <v>18</v>
      </c>
      <c r="E98" t="s">
        <v>15</v>
      </c>
      <c r="F98">
        <v>181.20400000000001</v>
      </c>
      <c r="G98" t="s">
        <v>14</v>
      </c>
    </row>
    <row r="99" spans="1:7" x14ac:dyDescent="0.25">
      <c r="A99">
        <v>8</v>
      </c>
      <c r="B99" t="s">
        <v>119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119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119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119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119</v>
      </c>
      <c r="C103">
        <v>110</v>
      </c>
      <c r="D103" t="s">
        <v>110</v>
      </c>
      <c r="E103" t="s">
        <v>13</v>
      </c>
      <c r="F103">
        <v>1.0940000000000001</v>
      </c>
      <c r="G103" t="s">
        <v>14</v>
      </c>
    </row>
    <row r="104" spans="1:7" x14ac:dyDescent="0.25">
      <c r="A104">
        <v>8</v>
      </c>
      <c r="B104" t="s">
        <v>119</v>
      </c>
      <c r="C104">
        <v>120</v>
      </c>
      <c r="D104" t="s">
        <v>277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119</v>
      </c>
      <c r="C105">
        <v>130</v>
      </c>
      <c r="D105" t="s">
        <v>159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120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120</v>
      </c>
      <c r="C107">
        <v>20</v>
      </c>
      <c r="D107" t="s">
        <v>109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120</v>
      </c>
      <c r="C108">
        <v>30</v>
      </c>
      <c r="D108" t="s">
        <v>105</v>
      </c>
      <c r="E108" t="s">
        <v>106</v>
      </c>
      <c r="F108">
        <v>0.59499999999999997</v>
      </c>
      <c r="G108" t="s">
        <v>14</v>
      </c>
    </row>
    <row r="109" spans="1:7" x14ac:dyDescent="0.25">
      <c r="A109">
        <v>9</v>
      </c>
      <c r="B109" t="s">
        <v>120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120</v>
      </c>
      <c r="C110">
        <v>50</v>
      </c>
      <c r="D110" t="s">
        <v>107</v>
      </c>
      <c r="E110" t="s">
        <v>15</v>
      </c>
      <c r="F110">
        <v>22.757999999999999</v>
      </c>
      <c r="G110" t="s">
        <v>14</v>
      </c>
    </row>
    <row r="111" spans="1:7" x14ac:dyDescent="0.25">
      <c r="A111">
        <v>9</v>
      </c>
      <c r="B111" t="s">
        <v>120</v>
      </c>
      <c r="C111">
        <v>60</v>
      </c>
      <c r="D111" t="s">
        <v>18</v>
      </c>
      <c r="E111" t="s">
        <v>15</v>
      </c>
      <c r="F111">
        <v>139.964</v>
      </c>
      <c r="G111" t="s">
        <v>14</v>
      </c>
    </row>
    <row r="112" spans="1:7" x14ac:dyDescent="0.25">
      <c r="A112">
        <v>9</v>
      </c>
      <c r="B112" t="s">
        <v>120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120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120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120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120</v>
      </c>
      <c r="C116">
        <v>110</v>
      </c>
      <c r="D116" t="s">
        <v>110</v>
      </c>
      <c r="E116" t="s">
        <v>13</v>
      </c>
      <c r="F116">
        <v>0.60799999999999998</v>
      </c>
      <c r="G116" t="s">
        <v>14</v>
      </c>
    </row>
    <row r="117" spans="1:7" x14ac:dyDescent="0.25">
      <c r="A117">
        <v>9</v>
      </c>
      <c r="B117" t="s">
        <v>120</v>
      </c>
      <c r="C117">
        <v>120</v>
      </c>
      <c r="D117" t="s">
        <v>279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120</v>
      </c>
      <c r="C118">
        <v>130</v>
      </c>
      <c r="D118" t="s">
        <v>160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121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121</v>
      </c>
      <c r="C120">
        <v>20</v>
      </c>
      <c r="D120" t="s">
        <v>109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121</v>
      </c>
      <c r="C121">
        <v>30</v>
      </c>
      <c r="D121" t="s">
        <v>105</v>
      </c>
      <c r="E121" t="s">
        <v>106</v>
      </c>
      <c r="F121">
        <v>0.72299999999999998</v>
      </c>
      <c r="G121" t="s">
        <v>14</v>
      </c>
    </row>
    <row r="122" spans="1:7" x14ac:dyDescent="0.25">
      <c r="A122">
        <v>10</v>
      </c>
      <c r="B122" t="s">
        <v>121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121</v>
      </c>
      <c r="C123">
        <v>50</v>
      </c>
      <c r="D123" t="s">
        <v>107</v>
      </c>
      <c r="E123" t="s">
        <v>15</v>
      </c>
      <c r="F123">
        <v>23.978000000000002</v>
      </c>
      <c r="G123" t="s">
        <v>14</v>
      </c>
    </row>
    <row r="124" spans="1:7" x14ac:dyDescent="0.25">
      <c r="A124">
        <v>10</v>
      </c>
      <c r="B124" t="s">
        <v>121</v>
      </c>
      <c r="C124">
        <v>60</v>
      </c>
      <c r="D124" t="s">
        <v>18</v>
      </c>
      <c r="E124" t="s">
        <v>15</v>
      </c>
      <c r="F124">
        <v>147.46199999999999</v>
      </c>
      <c r="G124" t="s">
        <v>14</v>
      </c>
    </row>
    <row r="125" spans="1:7" x14ac:dyDescent="0.25">
      <c r="A125">
        <v>10</v>
      </c>
      <c r="B125" t="s">
        <v>121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121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121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121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121</v>
      </c>
      <c r="C129">
        <v>110</v>
      </c>
      <c r="D129" t="s">
        <v>110</v>
      </c>
      <c r="E129" t="s">
        <v>13</v>
      </c>
      <c r="F129">
        <v>0.68899999999999995</v>
      </c>
      <c r="G129" t="s">
        <v>14</v>
      </c>
    </row>
    <row r="130" spans="1:7" x14ac:dyDescent="0.25">
      <c r="A130">
        <v>10</v>
      </c>
      <c r="B130" t="s">
        <v>121</v>
      </c>
      <c r="C130">
        <v>120</v>
      </c>
      <c r="D130" t="s">
        <v>281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121</v>
      </c>
      <c r="C131">
        <v>130</v>
      </c>
      <c r="D131" t="s">
        <v>161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122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122</v>
      </c>
      <c r="C133">
        <v>20</v>
      </c>
      <c r="D133" t="s">
        <v>109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122</v>
      </c>
      <c r="C134">
        <v>30</v>
      </c>
      <c r="D134" t="s">
        <v>105</v>
      </c>
      <c r="E134" t="s">
        <v>106</v>
      </c>
      <c r="F134">
        <v>0.85099999999999998</v>
      </c>
      <c r="G134" t="s">
        <v>14</v>
      </c>
    </row>
    <row r="135" spans="1:7" x14ac:dyDescent="0.25">
      <c r="A135">
        <v>11</v>
      </c>
      <c r="B135" t="s">
        <v>122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122</v>
      </c>
      <c r="C136">
        <v>50</v>
      </c>
      <c r="D136" t="s">
        <v>107</v>
      </c>
      <c r="E136" t="s">
        <v>15</v>
      </c>
      <c r="F136">
        <v>25.196999999999999</v>
      </c>
      <c r="G136" t="s">
        <v>14</v>
      </c>
    </row>
    <row r="137" spans="1:7" x14ac:dyDescent="0.25">
      <c r="A137">
        <v>11</v>
      </c>
      <c r="B137" t="s">
        <v>122</v>
      </c>
      <c r="C137">
        <v>60</v>
      </c>
      <c r="D137" t="s">
        <v>18</v>
      </c>
      <c r="E137" t="s">
        <v>15</v>
      </c>
      <c r="F137">
        <v>154.96</v>
      </c>
      <c r="G137" t="s">
        <v>14</v>
      </c>
    </row>
    <row r="138" spans="1:7" x14ac:dyDescent="0.25">
      <c r="A138">
        <v>11</v>
      </c>
      <c r="B138" t="s">
        <v>122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122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122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122</v>
      </c>
      <c r="C142">
        <v>110</v>
      </c>
      <c r="D142" t="s">
        <v>110</v>
      </c>
      <c r="E142" t="s">
        <v>13</v>
      </c>
      <c r="F142">
        <v>0.77</v>
      </c>
      <c r="G142" t="s">
        <v>14</v>
      </c>
    </row>
    <row r="143" spans="1:7" x14ac:dyDescent="0.25">
      <c r="A143">
        <v>11</v>
      </c>
      <c r="B143" t="s">
        <v>122</v>
      </c>
      <c r="C143">
        <v>120</v>
      </c>
      <c r="D143" t="s">
        <v>283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122</v>
      </c>
      <c r="C144">
        <v>130</v>
      </c>
      <c r="D144" t="s">
        <v>162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123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123</v>
      </c>
      <c r="C146">
        <v>20</v>
      </c>
      <c r="D146" t="s">
        <v>109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123</v>
      </c>
      <c r="C147">
        <v>30</v>
      </c>
      <c r="D147" t="s">
        <v>105</v>
      </c>
      <c r="E147" t="s">
        <v>106</v>
      </c>
      <c r="F147">
        <v>0.97799999999999998</v>
      </c>
      <c r="G147" t="s">
        <v>14</v>
      </c>
    </row>
    <row r="148" spans="1:7" x14ac:dyDescent="0.25">
      <c r="A148">
        <v>12</v>
      </c>
      <c r="B148" t="s">
        <v>123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123</v>
      </c>
      <c r="C149">
        <v>50</v>
      </c>
      <c r="D149" t="s">
        <v>107</v>
      </c>
      <c r="E149" t="s">
        <v>15</v>
      </c>
      <c r="F149">
        <v>26.416</v>
      </c>
      <c r="G149" t="s">
        <v>14</v>
      </c>
    </row>
    <row r="150" spans="1:7" x14ac:dyDescent="0.25">
      <c r="A150">
        <v>12</v>
      </c>
      <c r="B150" t="s">
        <v>123</v>
      </c>
      <c r="C150">
        <v>60</v>
      </c>
      <c r="D150" t="s">
        <v>18</v>
      </c>
      <c r="E150" t="s">
        <v>15</v>
      </c>
      <c r="F150">
        <v>162.458</v>
      </c>
      <c r="G150" t="s">
        <v>14</v>
      </c>
    </row>
    <row r="151" spans="1:7" x14ac:dyDescent="0.25">
      <c r="A151">
        <v>12</v>
      </c>
      <c r="B151" t="s">
        <v>123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123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123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123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123</v>
      </c>
      <c r="C155">
        <v>110</v>
      </c>
      <c r="D155" t="s">
        <v>110</v>
      </c>
      <c r="E155" t="s">
        <v>13</v>
      </c>
      <c r="F155">
        <v>0.85099999999999998</v>
      </c>
      <c r="G155" t="s">
        <v>14</v>
      </c>
    </row>
    <row r="156" spans="1:7" x14ac:dyDescent="0.25">
      <c r="A156">
        <v>12</v>
      </c>
      <c r="B156" t="s">
        <v>123</v>
      </c>
      <c r="C156">
        <v>120</v>
      </c>
      <c r="D156" t="s">
        <v>285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123</v>
      </c>
      <c r="C157">
        <v>130</v>
      </c>
      <c r="D157" t="s">
        <v>163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124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124</v>
      </c>
      <c r="C159">
        <v>20</v>
      </c>
      <c r="D159" t="s">
        <v>109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124</v>
      </c>
      <c r="C160">
        <v>30</v>
      </c>
      <c r="D160" t="s">
        <v>105</v>
      </c>
      <c r="E160" t="s">
        <v>106</v>
      </c>
      <c r="F160">
        <v>1.042</v>
      </c>
      <c r="G160" t="s">
        <v>14</v>
      </c>
    </row>
    <row r="161" spans="1:7" x14ac:dyDescent="0.25">
      <c r="A161">
        <v>13</v>
      </c>
      <c r="B161" t="s">
        <v>124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124</v>
      </c>
      <c r="C162">
        <v>50</v>
      </c>
      <c r="D162" t="s">
        <v>107</v>
      </c>
      <c r="E162" t="s">
        <v>15</v>
      </c>
      <c r="F162">
        <v>27.026</v>
      </c>
      <c r="G162" t="s">
        <v>14</v>
      </c>
    </row>
    <row r="163" spans="1:7" x14ac:dyDescent="0.25">
      <c r="A163">
        <v>13</v>
      </c>
      <c r="B163" t="s">
        <v>124</v>
      </c>
      <c r="C163">
        <v>60</v>
      </c>
      <c r="D163" t="s">
        <v>18</v>
      </c>
      <c r="E163" t="s">
        <v>15</v>
      </c>
      <c r="F163">
        <v>166.20699999999999</v>
      </c>
      <c r="G163" t="s">
        <v>14</v>
      </c>
    </row>
    <row r="164" spans="1:7" x14ac:dyDescent="0.25">
      <c r="A164">
        <v>13</v>
      </c>
      <c r="B164" t="s">
        <v>124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124</v>
      </c>
      <c r="C168">
        <v>110</v>
      </c>
      <c r="D168" t="s">
        <v>110</v>
      </c>
      <c r="E168" t="s">
        <v>13</v>
      </c>
      <c r="F168">
        <v>0.89200000000000002</v>
      </c>
      <c r="G168" t="s">
        <v>14</v>
      </c>
    </row>
    <row r="169" spans="1:7" x14ac:dyDescent="0.25">
      <c r="A169">
        <v>13</v>
      </c>
      <c r="B169" t="s">
        <v>124</v>
      </c>
      <c r="C169">
        <v>120</v>
      </c>
      <c r="D169" t="s">
        <v>287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124</v>
      </c>
      <c r="C170">
        <v>130</v>
      </c>
      <c r="D170" t="s">
        <v>164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125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125</v>
      </c>
      <c r="C172">
        <v>20</v>
      </c>
      <c r="D172" t="s">
        <v>109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125</v>
      </c>
      <c r="C173">
        <v>30</v>
      </c>
      <c r="D173" t="s">
        <v>105</v>
      </c>
      <c r="E173" t="s">
        <v>106</v>
      </c>
      <c r="F173">
        <v>1.1060000000000001</v>
      </c>
      <c r="G173" t="s">
        <v>14</v>
      </c>
    </row>
    <row r="174" spans="1:7" x14ac:dyDescent="0.25">
      <c r="A174">
        <v>14</v>
      </c>
      <c r="B174" t="s">
        <v>125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125</v>
      </c>
      <c r="C175">
        <v>50</v>
      </c>
      <c r="D175" t="s">
        <v>107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14</v>
      </c>
      <c r="B176" t="s">
        <v>125</v>
      </c>
      <c r="C176">
        <v>60</v>
      </c>
      <c r="D176" t="s">
        <v>18</v>
      </c>
      <c r="E176" t="s">
        <v>15</v>
      </c>
      <c r="F176">
        <v>169.95599999999999</v>
      </c>
      <c r="G176" t="s">
        <v>14</v>
      </c>
    </row>
    <row r="177" spans="1:7" x14ac:dyDescent="0.25">
      <c r="A177">
        <v>14</v>
      </c>
      <c r="B177" t="s">
        <v>125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125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125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125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125</v>
      </c>
      <c r="C181">
        <v>110</v>
      </c>
      <c r="D181" t="s">
        <v>110</v>
      </c>
      <c r="E181" t="s">
        <v>13</v>
      </c>
      <c r="F181">
        <v>0.93200000000000005</v>
      </c>
      <c r="G181" t="s">
        <v>14</v>
      </c>
    </row>
    <row r="182" spans="1:7" x14ac:dyDescent="0.25">
      <c r="A182">
        <v>14</v>
      </c>
      <c r="B182" t="s">
        <v>125</v>
      </c>
      <c r="C182">
        <v>120</v>
      </c>
      <c r="D182" t="s">
        <v>289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125</v>
      </c>
      <c r="C183">
        <v>130</v>
      </c>
      <c r="D183" t="s">
        <v>165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126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126</v>
      </c>
      <c r="C185">
        <v>20</v>
      </c>
      <c r="D185" t="s">
        <v>109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126</v>
      </c>
      <c r="C186">
        <v>30</v>
      </c>
      <c r="D186" t="s">
        <v>105</v>
      </c>
      <c r="E186" t="s">
        <v>106</v>
      </c>
      <c r="F186">
        <v>1.2330000000000001</v>
      </c>
      <c r="G186" t="s">
        <v>14</v>
      </c>
    </row>
    <row r="187" spans="1:7" x14ac:dyDescent="0.25">
      <c r="A187">
        <v>15</v>
      </c>
      <c r="B187" t="s">
        <v>126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126</v>
      </c>
      <c r="C188">
        <v>50</v>
      </c>
      <c r="D188" t="s">
        <v>107</v>
      </c>
      <c r="E188" t="s">
        <v>15</v>
      </c>
      <c r="F188">
        <v>28.853999999999999</v>
      </c>
      <c r="G188" t="s">
        <v>14</v>
      </c>
    </row>
    <row r="189" spans="1:7" x14ac:dyDescent="0.25">
      <c r="A189">
        <v>15</v>
      </c>
      <c r="B189" t="s">
        <v>126</v>
      </c>
      <c r="C189">
        <v>60</v>
      </c>
      <c r="D189" t="s">
        <v>18</v>
      </c>
      <c r="E189" t="s">
        <v>15</v>
      </c>
      <c r="F189">
        <v>177.45500000000001</v>
      </c>
      <c r="G189" t="s">
        <v>14</v>
      </c>
    </row>
    <row r="190" spans="1:7" x14ac:dyDescent="0.25">
      <c r="A190">
        <v>15</v>
      </c>
      <c r="B190" t="s">
        <v>126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126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126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126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126</v>
      </c>
      <c r="C194">
        <v>110</v>
      </c>
      <c r="D194" t="s">
        <v>110</v>
      </c>
      <c r="E194" t="s">
        <v>13</v>
      </c>
      <c r="F194">
        <v>1.0129999999999999</v>
      </c>
      <c r="G194" t="s">
        <v>14</v>
      </c>
    </row>
    <row r="195" spans="1:7" x14ac:dyDescent="0.25">
      <c r="A195">
        <v>15</v>
      </c>
      <c r="B195" t="s">
        <v>126</v>
      </c>
      <c r="C195">
        <v>120</v>
      </c>
      <c r="D195" t="s">
        <v>291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126</v>
      </c>
      <c r="C196">
        <v>130</v>
      </c>
      <c r="D196" t="s">
        <v>166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127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127</v>
      </c>
      <c r="C198">
        <v>20</v>
      </c>
      <c r="D198" t="s">
        <v>109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127</v>
      </c>
      <c r="C199">
        <v>30</v>
      </c>
      <c r="D199" t="s">
        <v>105</v>
      </c>
      <c r="E199" t="s">
        <v>106</v>
      </c>
      <c r="F199">
        <v>1.361</v>
      </c>
      <c r="G199" t="s">
        <v>14</v>
      </c>
    </row>
    <row r="200" spans="1:7" x14ac:dyDescent="0.25">
      <c r="A200">
        <v>16</v>
      </c>
      <c r="B200" t="s">
        <v>127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127</v>
      </c>
      <c r="C201">
        <v>50</v>
      </c>
      <c r="D201" t="s">
        <v>107</v>
      </c>
      <c r="E201" t="s">
        <v>15</v>
      </c>
      <c r="F201">
        <v>30.074000000000002</v>
      </c>
      <c r="G201" t="s">
        <v>14</v>
      </c>
    </row>
    <row r="202" spans="1:7" x14ac:dyDescent="0.25">
      <c r="A202">
        <v>16</v>
      </c>
      <c r="B202" t="s">
        <v>127</v>
      </c>
      <c r="C202">
        <v>60</v>
      </c>
      <c r="D202" t="s">
        <v>18</v>
      </c>
      <c r="E202" t="s">
        <v>15</v>
      </c>
      <c r="F202">
        <v>184.953</v>
      </c>
      <c r="G202" t="s">
        <v>14</v>
      </c>
    </row>
    <row r="203" spans="1:7" x14ac:dyDescent="0.25">
      <c r="A203">
        <v>16</v>
      </c>
      <c r="B203" t="s">
        <v>127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127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127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127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127</v>
      </c>
      <c r="C207">
        <v>110</v>
      </c>
      <c r="D207" t="s">
        <v>110</v>
      </c>
      <c r="E207" t="s">
        <v>13</v>
      </c>
      <c r="F207">
        <v>1.0940000000000001</v>
      </c>
      <c r="G207" t="s">
        <v>14</v>
      </c>
    </row>
    <row r="208" spans="1:7" x14ac:dyDescent="0.25">
      <c r="A208">
        <v>16</v>
      </c>
      <c r="B208" t="s">
        <v>127</v>
      </c>
      <c r="C208">
        <v>120</v>
      </c>
      <c r="D208" t="s">
        <v>293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127</v>
      </c>
      <c r="C209">
        <v>130</v>
      </c>
      <c r="D209" t="s">
        <v>167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128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128</v>
      </c>
      <c r="C211">
        <v>20</v>
      </c>
      <c r="D211" t="s">
        <v>109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128</v>
      </c>
      <c r="C212">
        <v>30</v>
      </c>
      <c r="D212" t="s">
        <v>105</v>
      </c>
      <c r="E212" t="s">
        <v>106</v>
      </c>
      <c r="F212">
        <v>0.621</v>
      </c>
      <c r="G212" t="s">
        <v>14</v>
      </c>
    </row>
    <row r="213" spans="1:7" x14ac:dyDescent="0.25">
      <c r="A213">
        <v>17</v>
      </c>
      <c r="B213" t="s">
        <v>128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128</v>
      </c>
      <c r="C214">
        <v>50</v>
      </c>
      <c r="D214" t="s">
        <v>107</v>
      </c>
      <c r="E214" t="s">
        <v>15</v>
      </c>
      <c r="F214">
        <v>23.367999999999999</v>
      </c>
      <c r="G214" t="s">
        <v>14</v>
      </c>
    </row>
    <row r="215" spans="1:7" x14ac:dyDescent="0.25">
      <c r="A215">
        <v>17</v>
      </c>
      <c r="B215" t="s">
        <v>128</v>
      </c>
      <c r="C215">
        <v>60</v>
      </c>
      <c r="D215" t="s">
        <v>18</v>
      </c>
      <c r="E215" t="s">
        <v>15</v>
      </c>
      <c r="F215">
        <v>143.71299999999999</v>
      </c>
      <c r="G215" t="s">
        <v>14</v>
      </c>
    </row>
    <row r="216" spans="1:7" x14ac:dyDescent="0.25">
      <c r="A216">
        <v>17</v>
      </c>
      <c r="B216" t="s">
        <v>128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128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128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128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128</v>
      </c>
      <c r="C220">
        <v>110</v>
      </c>
      <c r="D220" t="s">
        <v>110</v>
      </c>
      <c r="E220" t="s">
        <v>13</v>
      </c>
      <c r="F220">
        <v>1.216</v>
      </c>
      <c r="G220" t="s">
        <v>14</v>
      </c>
    </row>
    <row r="221" spans="1:7" x14ac:dyDescent="0.25">
      <c r="A221">
        <v>17</v>
      </c>
      <c r="B221" t="s">
        <v>128</v>
      </c>
      <c r="C221">
        <v>120</v>
      </c>
      <c r="D221" t="s">
        <v>295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128</v>
      </c>
      <c r="C222">
        <v>130</v>
      </c>
      <c r="D222" t="s">
        <v>168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129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129</v>
      </c>
      <c r="C224">
        <v>20</v>
      </c>
      <c r="D224" t="s">
        <v>109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129</v>
      </c>
      <c r="C225">
        <v>30</v>
      </c>
      <c r="D225" t="s">
        <v>105</v>
      </c>
      <c r="E225" t="s">
        <v>106</v>
      </c>
      <c r="F225">
        <v>0.754</v>
      </c>
      <c r="G225" t="s">
        <v>14</v>
      </c>
    </row>
    <row r="226" spans="1:7" x14ac:dyDescent="0.25">
      <c r="A226">
        <v>18</v>
      </c>
      <c r="B226" t="s">
        <v>129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129</v>
      </c>
      <c r="C227">
        <v>50</v>
      </c>
      <c r="D227" t="s">
        <v>107</v>
      </c>
      <c r="E227" t="s">
        <v>15</v>
      </c>
      <c r="F227">
        <v>24.587</v>
      </c>
      <c r="G227" t="s">
        <v>14</v>
      </c>
    </row>
    <row r="228" spans="1:7" x14ac:dyDescent="0.25">
      <c r="A228">
        <v>18</v>
      </c>
      <c r="B228" t="s">
        <v>129</v>
      </c>
      <c r="C228">
        <v>60</v>
      </c>
      <c r="D228" t="s">
        <v>18</v>
      </c>
      <c r="E228" t="s">
        <v>15</v>
      </c>
      <c r="F228">
        <v>151.21100000000001</v>
      </c>
      <c r="G228" t="s">
        <v>14</v>
      </c>
    </row>
    <row r="229" spans="1:7" x14ac:dyDescent="0.25">
      <c r="A229">
        <v>18</v>
      </c>
      <c r="B229" t="s">
        <v>129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129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129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129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129</v>
      </c>
      <c r="C233">
        <v>110</v>
      </c>
      <c r="D233" t="s">
        <v>110</v>
      </c>
      <c r="E233" t="s">
        <v>13</v>
      </c>
      <c r="F233">
        <v>1.216</v>
      </c>
      <c r="G233" t="s">
        <v>14</v>
      </c>
    </row>
    <row r="234" spans="1:7" x14ac:dyDescent="0.25">
      <c r="A234">
        <v>18</v>
      </c>
      <c r="B234" t="s">
        <v>129</v>
      </c>
      <c r="C234">
        <v>120</v>
      </c>
      <c r="D234" t="s">
        <v>297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129</v>
      </c>
      <c r="C235">
        <v>130</v>
      </c>
      <c r="D235" t="s">
        <v>169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130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130</v>
      </c>
      <c r="C237">
        <v>20</v>
      </c>
      <c r="D237" t="s">
        <v>109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130</v>
      </c>
      <c r="C238">
        <v>30</v>
      </c>
      <c r="D238" t="s">
        <v>105</v>
      </c>
      <c r="E238" t="s">
        <v>106</v>
      </c>
      <c r="F238">
        <v>0.88700000000000001</v>
      </c>
      <c r="G238" t="s">
        <v>14</v>
      </c>
    </row>
    <row r="239" spans="1:7" x14ac:dyDescent="0.25">
      <c r="A239">
        <v>19</v>
      </c>
      <c r="B239" t="s">
        <v>130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130</v>
      </c>
      <c r="C240">
        <v>50</v>
      </c>
      <c r="D240" t="s">
        <v>107</v>
      </c>
      <c r="E240" t="s">
        <v>15</v>
      </c>
      <c r="F240">
        <v>25.806000000000001</v>
      </c>
      <c r="G240" t="s">
        <v>14</v>
      </c>
    </row>
    <row r="241" spans="1:7" x14ac:dyDescent="0.25">
      <c r="A241">
        <v>19</v>
      </c>
      <c r="B241" t="s">
        <v>130</v>
      </c>
      <c r="C241">
        <v>60</v>
      </c>
      <c r="D241" t="s">
        <v>18</v>
      </c>
      <c r="E241" t="s">
        <v>15</v>
      </c>
      <c r="F241">
        <v>158.709</v>
      </c>
      <c r="G241" t="s">
        <v>14</v>
      </c>
    </row>
    <row r="242" spans="1:7" x14ac:dyDescent="0.25">
      <c r="A242">
        <v>19</v>
      </c>
      <c r="B242" t="s">
        <v>130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130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130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130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130</v>
      </c>
      <c r="C246">
        <v>110</v>
      </c>
      <c r="D246" t="s">
        <v>110</v>
      </c>
      <c r="E246" t="s">
        <v>13</v>
      </c>
      <c r="F246">
        <v>1.216</v>
      </c>
      <c r="G246" t="s">
        <v>14</v>
      </c>
    </row>
    <row r="247" spans="1:7" x14ac:dyDescent="0.25">
      <c r="A247">
        <v>19</v>
      </c>
      <c r="B247" t="s">
        <v>130</v>
      </c>
      <c r="C247">
        <v>120</v>
      </c>
      <c r="D247" t="s">
        <v>299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130</v>
      </c>
      <c r="C248">
        <v>130</v>
      </c>
      <c r="D248" t="s">
        <v>170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131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131</v>
      </c>
      <c r="C250">
        <v>20</v>
      </c>
      <c r="D250" t="s">
        <v>109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131</v>
      </c>
      <c r="C251">
        <v>30</v>
      </c>
      <c r="D251" t="s">
        <v>105</v>
      </c>
      <c r="E251" t="s">
        <v>106</v>
      </c>
      <c r="F251">
        <v>1.02</v>
      </c>
      <c r="G251" t="s">
        <v>14</v>
      </c>
    </row>
    <row r="252" spans="1:7" x14ac:dyDescent="0.25">
      <c r="A252">
        <v>20</v>
      </c>
      <c r="B252" t="s">
        <v>131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131</v>
      </c>
      <c r="C253">
        <v>50</v>
      </c>
      <c r="D253" t="s">
        <v>107</v>
      </c>
      <c r="E253" t="s">
        <v>15</v>
      </c>
      <c r="F253">
        <v>27.026</v>
      </c>
      <c r="G253" t="s">
        <v>14</v>
      </c>
    </row>
    <row r="254" spans="1:7" x14ac:dyDescent="0.25">
      <c r="A254">
        <v>20</v>
      </c>
      <c r="B254" t="s">
        <v>131</v>
      </c>
      <c r="C254">
        <v>60</v>
      </c>
      <c r="D254" t="s">
        <v>18</v>
      </c>
      <c r="E254" t="s">
        <v>15</v>
      </c>
      <c r="F254">
        <v>166.20699999999999</v>
      </c>
      <c r="G254" t="s">
        <v>14</v>
      </c>
    </row>
    <row r="255" spans="1:7" x14ac:dyDescent="0.25">
      <c r="A255">
        <v>20</v>
      </c>
      <c r="B255" t="s">
        <v>131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131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131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131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131</v>
      </c>
      <c r="C259">
        <v>110</v>
      </c>
      <c r="D259" t="s">
        <v>110</v>
      </c>
      <c r="E259" t="s">
        <v>13</v>
      </c>
      <c r="F259">
        <v>1.216</v>
      </c>
      <c r="G259" t="s">
        <v>14</v>
      </c>
    </row>
    <row r="260" spans="1:7" x14ac:dyDescent="0.25">
      <c r="A260">
        <v>20</v>
      </c>
      <c r="B260" t="s">
        <v>131</v>
      </c>
      <c r="C260">
        <v>120</v>
      </c>
      <c r="D260" t="s">
        <v>301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131</v>
      </c>
      <c r="C261">
        <v>130</v>
      </c>
      <c r="D261" t="s">
        <v>171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132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132</v>
      </c>
      <c r="C263">
        <v>20</v>
      </c>
      <c r="D263" t="s">
        <v>109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132</v>
      </c>
      <c r="C264">
        <v>30</v>
      </c>
      <c r="D264" t="s">
        <v>105</v>
      </c>
      <c r="E264" t="s">
        <v>106</v>
      </c>
      <c r="F264">
        <v>1.087</v>
      </c>
      <c r="G264" t="s">
        <v>14</v>
      </c>
    </row>
    <row r="265" spans="1:7" x14ac:dyDescent="0.25">
      <c r="A265">
        <v>21</v>
      </c>
      <c r="B265" t="s">
        <v>132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132</v>
      </c>
      <c r="C266">
        <v>50</v>
      </c>
      <c r="D266" t="s">
        <v>107</v>
      </c>
      <c r="E266" t="s">
        <v>15</v>
      </c>
      <c r="F266">
        <v>27.635000000000002</v>
      </c>
      <c r="G266" t="s">
        <v>14</v>
      </c>
    </row>
    <row r="267" spans="1:7" x14ac:dyDescent="0.25">
      <c r="A267">
        <v>21</v>
      </c>
      <c r="B267" t="s">
        <v>132</v>
      </c>
      <c r="C267">
        <v>60</v>
      </c>
      <c r="D267" t="s">
        <v>18</v>
      </c>
      <c r="E267" t="s">
        <v>15</v>
      </c>
      <c r="F267">
        <v>169.95599999999999</v>
      </c>
      <c r="G267" t="s">
        <v>14</v>
      </c>
    </row>
    <row r="268" spans="1:7" x14ac:dyDescent="0.25">
      <c r="A268">
        <v>21</v>
      </c>
      <c r="B268" t="s">
        <v>132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132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132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132</v>
      </c>
      <c r="C272">
        <v>110</v>
      </c>
      <c r="D272" t="s">
        <v>110</v>
      </c>
      <c r="E272" t="s">
        <v>13</v>
      </c>
      <c r="F272">
        <v>1.216</v>
      </c>
      <c r="G272" t="s">
        <v>14</v>
      </c>
    </row>
    <row r="273" spans="1:7" x14ac:dyDescent="0.25">
      <c r="A273">
        <v>21</v>
      </c>
      <c r="B273" t="s">
        <v>132</v>
      </c>
      <c r="C273">
        <v>120</v>
      </c>
      <c r="D273" t="s">
        <v>303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132</v>
      </c>
      <c r="C274">
        <v>130</v>
      </c>
      <c r="D274" t="s">
        <v>172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133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133</v>
      </c>
      <c r="C276">
        <v>20</v>
      </c>
      <c r="D276" t="s">
        <v>109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133</v>
      </c>
      <c r="C277">
        <v>30</v>
      </c>
      <c r="D277" t="s">
        <v>105</v>
      </c>
      <c r="E277" t="s">
        <v>106</v>
      </c>
      <c r="F277">
        <v>1.153</v>
      </c>
      <c r="G277" t="s">
        <v>14</v>
      </c>
    </row>
    <row r="278" spans="1:7" x14ac:dyDescent="0.25">
      <c r="A278">
        <v>22</v>
      </c>
      <c r="B278" t="s">
        <v>133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133</v>
      </c>
      <c r="C279">
        <v>50</v>
      </c>
      <c r="D279" t="s">
        <v>107</v>
      </c>
      <c r="E279" t="s">
        <v>15</v>
      </c>
      <c r="F279">
        <v>28.245000000000001</v>
      </c>
      <c r="G279" t="s">
        <v>14</v>
      </c>
    </row>
    <row r="280" spans="1:7" x14ac:dyDescent="0.25">
      <c r="A280">
        <v>22</v>
      </c>
      <c r="B280" t="s">
        <v>133</v>
      </c>
      <c r="C280">
        <v>60</v>
      </c>
      <c r="D280" t="s">
        <v>18</v>
      </c>
      <c r="E280" t="s">
        <v>15</v>
      </c>
      <c r="F280">
        <v>173.70599999999999</v>
      </c>
      <c r="G280" t="s">
        <v>14</v>
      </c>
    </row>
    <row r="281" spans="1:7" x14ac:dyDescent="0.25">
      <c r="A281">
        <v>22</v>
      </c>
      <c r="B281" t="s">
        <v>133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133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133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133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133</v>
      </c>
      <c r="C285">
        <v>110</v>
      </c>
      <c r="D285" t="s">
        <v>110</v>
      </c>
      <c r="E285" t="s">
        <v>13</v>
      </c>
      <c r="F285">
        <v>1.216</v>
      </c>
      <c r="G285" t="s">
        <v>14</v>
      </c>
    </row>
    <row r="286" spans="1:7" x14ac:dyDescent="0.25">
      <c r="A286">
        <v>22</v>
      </c>
      <c r="B286" t="s">
        <v>133</v>
      </c>
      <c r="C286">
        <v>120</v>
      </c>
      <c r="D286" t="s">
        <v>305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133</v>
      </c>
      <c r="C287">
        <v>130</v>
      </c>
      <c r="D287" t="s">
        <v>173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134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134</v>
      </c>
      <c r="C289">
        <v>20</v>
      </c>
      <c r="D289" t="s">
        <v>109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134</v>
      </c>
      <c r="C290">
        <v>30</v>
      </c>
      <c r="D290" t="s">
        <v>105</v>
      </c>
      <c r="E290" t="s">
        <v>106</v>
      </c>
      <c r="F290">
        <v>1.286</v>
      </c>
      <c r="G290" t="s">
        <v>14</v>
      </c>
    </row>
    <row r="291" spans="1:7" x14ac:dyDescent="0.25">
      <c r="A291">
        <v>23</v>
      </c>
      <c r="B291" t="s">
        <v>134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134</v>
      </c>
      <c r="C292">
        <v>50</v>
      </c>
      <c r="D292" t="s">
        <v>107</v>
      </c>
      <c r="E292" t="s">
        <v>15</v>
      </c>
      <c r="F292">
        <v>29.463999999999999</v>
      </c>
      <c r="G292" t="s">
        <v>14</v>
      </c>
    </row>
    <row r="293" spans="1:7" x14ac:dyDescent="0.25">
      <c r="A293">
        <v>23</v>
      </c>
      <c r="B293" t="s">
        <v>134</v>
      </c>
      <c r="C293">
        <v>60</v>
      </c>
      <c r="D293" t="s">
        <v>18</v>
      </c>
      <c r="E293" t="s">
        <v>15</v>
      </c>
      <c r="F293">
        <v>181.20400000000001</v>
      </c>
      <c r="G293" t="s">
        <v>14</v>
      </c>
    </row>
    <row r="294" spans="1:7" x14ac:dyDescent="0.25">
      <c r="A294">
        <v>23</v>
      </c>
      <c r="B294" t="s">
        <v>134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134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134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134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134</v>
      </c>
      <c r="C298">
        <v>110</v>
      </c>
      <c r="D298" t="s">
        <v>110</v>
      </c>
      <c r="E298" t="s">
        <v>13</v>
      </c>
      <c r="F298">
        <v>1.216</v>
      </c>
      <c r="G298" t="s">
        <v>14</v>
      </c>
    </row>
    <row r="299" spans="1:7" x14ac:dyDescent="0.25">
      <c r="A299">
        <v>23</v>
      </c>
      <c r="B299" t="s">
        <v>134</v>
      </c>
      <c r="C299">
        <v>120</v>
      </c>
      <c r="D299" t="s">
        <v>307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134</v>
      </c>
      <c r="C300">
        <v>130</v>
      </c>
      <c r="D300" t="s">
        <v>174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135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135</v>
      </c>
      <c r="C302">
        <v>20</v>
      </c>
      <c r="D302" t="s">
        <v>109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135</v>
      </c>
      <c r="C303">
        <v>30</v>
      </c>
      <c r="D303" t="s">
        <v>105</v>
      </c>
      <c r="E303" t="s">
        <v>106</v>
      </c>
      <c r="F303">
        <v>1.419</v>
      </c>
      <c r="G303" t="s">
        <v>14</v>
      </c>
    </row>
    <row r="304" spans="1:7" x14ac:dyDescent="0.25">
      <c r="A304">
        <v>24</v>
      </c>
      <c r="B304" t="s">
        <v>135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135</v>
      </c>
      <c r="C305">
        <v>50</v>
      </c>
      <c r="D305" t="s">
        <v>107</v>
      </c>
      <c r="E305" t="s">
        <v>15</v>
      </c>
      <c r="F305">
        <v>30.683</v>
      </c>
      <c r="G305" t="s">
        <v>14</v>
      </c>
    </row>
    <row r="306" spans="1:7" x14ac:dyDescent="0.25">
      <c r="A306">
        <v>24</v>
      </c>
      <c r="B306" t="s">
        <v>135</v>
      </c>
      <c r="C306">
        <v>60</v>
      </c>
      <c r="D306" t="s">
        <v>18</v>
      </c>
      <c r="E306" t="s">
        <v>15</v>
      </c>
      <c r="F306">
        <v>188.702</v>
      </c>
      <c r="G306" t="s">
        <v>14</v>
      </c>
    </row>
    <row r="307" spans="1:7" x14ac:dyDescent="0.25">
      <c r="A307">
        <v>24</v>
      </c>
      <c r="B307" t="s">
        <v>135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135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135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135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135</v>
      </c>
      <c r="C311">
        <v>110</v>
      </c>
      <c r="D311" t="s">
        <v>110</v>
      </c>
      <c r="E311" t="s">
        <v>13</v>
      </c>
      <c r="F311">
        <v>1.216</v>
      </c>
      <c r="G311" t="s">
        <v>14</v>
      </c>
    </row>
    <row r="312" spans="1:7" x14ac:dyDescent="0.25">
      <c r="A312">
        <v>24</v>
      </c>
      <c r="B312" t="s">
        <v>135</v>
      </c>
      <c r="C312">
        <v>120</v>
      </c>
      <c r="D312" t="s">
        <v>309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135</v>
      </c>
      <c r="C313">
        <v>130</v>
      </c>
      <c r="D313" t="s">
        <v>175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136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136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136</v>
      </c>
      <c r="C316">
        <v>30</v>
      </c>
      <c r="D316" t="s">
        <v>105</v>
      </c>
      <c r="E316" t="s">
        <v>106</v>
      </c>
      <c r="F316">
        <v>0.63800000000000001</v>
      </c>
      <c r="G316" t="s">
        <v>14</v>
      </c>
    </row>
    <row r="317" spans="1:7" x14ac:dyDescent="0.25">
      <c r="A317">
        <v>25</v>
      </c>
      <c r="B317" t="s">
        <v>136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136</v>
      </c>
      <c r="C318">
        <v>50</v>
      </c>
      <c r="D318" t="s">
        <v>107</v>
      </c>
      <c r="E318" t="s">
        <v>15</v>
      </c>
      <c r="F318">
        <v>23.774000000000001</v>
      </c>
      <c r="G318" t="s">
        <v>14</v>
      </c>
    </row>
    <row r="319" spans="1:7" x14ac:dyDescent="0.25">
      <c r="A319">
        <v>25</v>
      </c>
      <c r="B319" t="s">
        <v>136</v>
      </c>
      <c r="C319">
        <v>60</v>
      </c>
      <c r="D319" t="s">
        <v>18</v>
      </c>
      <c r="E319" t="s">
        <v>15</v>
      </c>
      <c r="F319">
        <v>146.21299999999999</v>
      </c>
      <c r="G319" t="s">
        <v>14</v>
      </c>
    </row>
    <row r="320" spans="1:7" x14ac:dyDescent="0.25">
      <c r="A320">
        <v>25</v>
      </c>
      <c r="B320" t="s">
        <v>136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136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136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136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136</v>
      </c>
      <c r="C324">
        <v>110</v>
      </c>
      <c r="D324" t="s">
        <v>110</v>
      </c>
      <c r="E324" t="s">
        <v>13</v>
      </c>
      <c r="F324">
        <v>1.2430000000000001</v>
      </c>
      <c r="G324" t="s">
        <v>14</v>
      </c>
    </row>
    <row r="325" spans="1:7" x14ac:dyDescent="0.25">
      <c r="A325">
        <v>25</v>
      </c>
      <c r="B325" t="s">
        <v>136</v>
      </c>
      <c r="C325">
        <v>120</v>
      </c>
      <c r="D325" t="s">
        <v>311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136</v>
      </c>
      <c r="C326">
        <v>130</v>
      </c>
      <c r="D326" t="s">
        <v>176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137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137</v>
      </c>
      <c r="C328">
        <v>20</v>
      </c>
      <c r="D328" t="s">
        <v>109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137</v>
      </c>
      <c r="C329">
        <v>30</v>
      </c>
      <c r="D329" t="s">
        <v>105</v>
      </c>
      <c r="E329" t="s">
        <v>106</v>
      </c>
      <c r="F329">
        <v>0.77500000000000002</v>
      </c>
      <c r="G329" t="s">
        <v>14</v>
      </c>
    </row>
    <row r="330" spans="1:7" x14ac:dyDescent="0.25">
      <c r="A330">
        <v>26</v>
      </c>
      <c r="B330" t="s">
        <v>137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137</v>
      </c>
      <c r="C331">
        <v>50</v>
      </c>
      <c r="D331" t="s">
        <v>107</v>
      </c>
      <c r="E331" t="s">
        <v>15</v>
      </c>
      <c r="F331">
        <v>24.994</v>
      </c>
      <c r="G331" t="s">
        <v>14</v>
      </c>
    </row>
    <row r="332" spans="1:7" x14ac:dyDescent="0.25">
      <c r="A332">
        <v>26</v>
      </c>
      <c r="B332" t="s">
        <v>137</v>
      </c>
      <c r="C332">
        <v>60</v>
      </c>
      <c r="D332" t="s">
        <v>18</v>
      </c>
      <c r="E332" t="s">
        <v>15</v>
      </c>
      <c r="F332">
        <v>153.71100000000001</v>
      </c>
      <c r="G332" t="s">
        <v>14</v>
      </c>
    </row>
    <row r="333" spans="1:7" x14ac:dyDescent="0.25">
      <c r="A333">
        <v>26</v>
      </c>
      <c r="B333" t="s">
        <v>137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137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137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137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137</v>
      </c>
      <c r="C337">
        <v>110</v>
      </c>
      <c r="D337" t="s">
        <v>110</v>
      </c>
      <c r="E337" t="s">
        <v>13</v>
      </c>
      <c r="F337">
        <v>1.2430000000000001</v>
      </c>
      <c r="G337" t="s">
        <v>14</v>
      </c>
    </row>
    <row r="338" spans="1:7" x14ac:dyDescent="0.25">
      <c r="A338">
        <v>26</v>
      </c>
      <c r="B338" t="s">
        <v>137</v>
      </c>
      <c r="C338">
        <v>120</v>
      </c>
      <c r="D338" t="s">
        <v>313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137</v>
      </c>
      <c r="C339">
        <v>130</v>
      </c>
      <c r="D339" t="s">
        <v>177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138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138</v>
      </c>
      <c r="C341">
        <v>20</v>
      </c>
      <c r="D341" t="s">
        <v>109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138</v>
      </c>
      <c r="C342">
        <v>30</v>
      </c>
      <c r="D342" t="s">
        <v>105</v>
      </c>
      <c r="E342" t="s">
        <v>106</v>
      </c>
      <c r="F342">
        <v>0.91100000000000003</v>
      </c>
      <c r="G342" t="s">
        <v>14</v>
      </c>
    </row>
    <row r="343" spans="1:7" x14ac:dyDescent="0.25">
      <c r="A343">
        <v>27</v>
      </c>
      <c r="B343" t="s">
        <v>138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138</v>
      </c>
      <c r="C344">
        <v>50</v>
      </c>
      <c r="D344" t="s">
        <v>107</v>
      </c>
      <c r="E344" t="s">
        <v>15</v>
      </c>
      <c r="F344">
        <v>26.213000000000001</v>
      </c>
      <c r="G344" t="s">
        <v>14</v>
      </c>
    </row>
    <row r="345" spans="1:7" x14ac:dyDescent="0.25">
      <c r="A345">
        <v>27</v>
      </c>
      <c r="B345" t="s">
        <v>138</v>
      </c>
      <c r="C345">
        <v>60</v>
      </c>
      <c r="D345" t="s">
        <v>18</v>
      </c>
      <c r="E345" t="s">
        <v>15</v>
      </c>
      <c r="F345">
        <v>161.209</v>
      </c>
      <c r="G345" t="s">
        <v>14</v>
      </c>
    </row>
    <row r="346" spans="1:7" x14ac:dyDescent="0.25">
      <c r="A346">
        <v>27</v>
      </c>
      <c r="B346" t="s">
        <v>138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138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138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138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138</v>
      </c>
      <c r="C350">
        <v>110</v>
      </c>
      <c r="D350" t="s">
        <v>110</v>
      </c>
      <c r="E350" t="s">
        <v>13</v>
      </c>
      <c r="F350">
        <v>1.2430000000000001</v>
      </c>
      <c r="G350" t="s">
        <v>14</v>
      </c>
    </row>
    <row r="351" spans="1:7" x14ac:dyDescent="0.25">
      <c r="A351">
        <v>27</v>
      </c>
      <c r="B351" t="s">
        <v>138</v>
      </c>
      <c r="C351">
        <v>120</v>
      </c>
      <c r="D351" t="s">
        <v>315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138</v>
      </c>
      <c r="C352">
        <v>130</v>
      </c>
      <c r="D352" t="s">
        <v>178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139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139</v>
      </c>
      <c r="C354">
        <v>20</v>
      </c>
      <c r="D354" t="s">
        <v>109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139</v>
      </c>
      <c r="C355">
        <v>30</v>
      </c>
      <c r="D355" t="s">
        <v>105</v>
      </c>
      <c r="E355" t="s">
        <v>106</v>
      </c>
      <c r="F355">
        <v>1.048</v>
      </c>
      <c r="G355" t="s">
        <v>14</v>
      </c>
    </row>
    <row r="356" spans="1:7" x14ac:dyDescent="0.25">
      <c r="A356">
        <v>28</v>
      </c>
      <c r="B356" t="s">
        <v>139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139</v>
      </c>
      <c r="C357">
        <v>50</v>
      </c>
      <c r="D357" t="s">
        <v>107</v>
      </c>
      <c r="E357" t="s">
        <v>15</v>
      </c>
      <c r="F357">
        <v>27.431999999999999</v>
      </c>
      <c r="G357" t="s">
        <v>14</v>
      </c>
    </row>
    <row r="358" spans="1:7" x14ac:dyDescent="0.25">
      <c r="A358">
        <v>28</v>
      </c>
      <c r="B358" t="s">
        <v>139</v>
      </c>
      <c r="C358">
        <v>60</v>
      </c>
      <c r="D358" t="s">
        <v>18</v>
      </c>
      <c r="E358" t="s">
        <v>15</v>
      </c>
      <c r="F358">
        <v>168.70699999999999</v>
      </c>
      <c r="G358" t="s">
        <v>14</v>
      </c>
    </row>
    <row r="359" spans="1:7" x14ac:dyDescent="0.25">
      <c r="A359">
        <v>28</v>
      </c>
      <c r="B359" t="s">
        <v>139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139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139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139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139</v>
      </c>
      <c r="C363">
        <v>110</v>
      </c>
      <c r="D363" t="s">
        <v>110</v>
      </c>
      <c r="E363" t="s">
        <v>13</v>
      </c>
      <c r="F363">
        <v>1.2430000000000001</v>
      </c>
      <c r="G363" t="s">
        <v>14</v>
      </c>
    </row>
    <row r="364" spans="1:7" x14ac:dyDescent="0.25">
      <c r="A364">
        <v>28</v>
      </c>
      <c r="B364" t="s">
        <v>139</v>
      </c>
      <c r="C364">
        <v>120</v>
      </c>
      <c r="D364" t="s">
        <v>317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139</v>
      </c>
      <c r="C365">
        <v>130</v>
      </c>
      <c r="D365" t="s">
        <v>179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140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140</v>
      </c>
      <c r="C367">
        <v>20</v>
      </c>
      <c r="D367" t="s">
        <v>109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140</v>
      </c>
      <c r="C368">
        <v>30</v>
      </c>
      <c r="D368" t="s">
        <v>105</v>
      </c>
      <c r="E368" t="s">
        <v>106</v>
      </c>
      <c r="F368">
        <v>1.1160000000000001</v>
      </c>
      <c r="G368" t="s">
        <v>14</v>
      </c>
    </row>
    <row r="369" spans="1:7" x14ac:dyDescent="0.25">
      <c r="A369">
        <v>29</v>
      </c>
      <c r="B369" t="s">
        <v>140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140</v>
      </c>
      <c r="C370">
        <v>50</v>
      </c>
      <c r="D370" t="s">
        <v>107</v>
      </c>
      <c r="E370" t="s">
        <v>15</v>
      </c>
      <c r="F370">
        <v>28.042000000000002</v>
      </c>
      <c r="G370" t="s">
        <v>14</v>
      </c>
    </row>
    <row r="371" spans="1:7" x14ac:dyDescent="0.25">
      <c r="A371">
        <v>29</v>
      </c>
      <c r="B371" t="s">
        <v>140</v>
      </c>
      <c r="C371">
        <v>60</v>
      </c>
      <c r="D371" t="s">
        <v>18</v>
      </c>
      <c r="E371" t="s">
        <v>15</v>
      </c>
      <c r="F371">
        <v>172.45599999999999</v>
      </c>
      <c r="G371" t="s">
        <v>14</v>
      </c>
    </row>
    <row r="372" spans="1:7" x14ac:dyDescent="0.25">
      <c r="A372">
        <v>29</v>
      </c>
      <c r="B372" t="s">
        <v>140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140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140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140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140</v>
      </c>
      <c r="C376">
        <v>110</v>
      </c>
      <c r="D376" t="s">
        <v>110</v>
      </c>
      <c r="E376" t="s">
        <v>13</v>
      </c>
      <c r="F376">
        <v>1.2430000000000001</v>
      </c>
      <c r="G376" t="s">
        <v>14</v>
      </c>
    </row>
    <row r="377" spans="1:7" x14ac:dyDescent="0.25">
      <c r="A377">
        <v>29</v>
      </c>
      <c r="B377" t="s">
        <v>140</v>
      </c>
      <c r="C377">
        <v>120</v>
      </c>
      <c r="D377" t="s">
        <v>319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140</v>
      </c>
      <c r="C378">
        <v>130</v>
      </c>
      <c r="D378" t="s">
        <v>180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141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141</v>
      </c>
      <c r="C380">
        <v>20</v>
      </c>
      <c r="D380" t="s">
        <v>109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141</v>
      </c>
      <c r="C381">
        <v>30</v>
      </c>
      <c r="D381" t="s">
        <v>105</v>
      </c>
      <c r="E381" t="s">
        <v>106</v>
      </c>
      <c r="F381">
        <v>1.1850000000000001</v>
      </c>
      <c r="G381" t="s">
        <v>14</v>
      </c>
    </row>
    <row r="382" spans="1:7" x14ac:dyDescent="0.25">
      <c r="A382">
        <v>30</v>
      </c>
      <c r="B382" t="s">
        <v>141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141</v>
      </c>
      <c r="C383">
        <v>50</v>
      </c>
      <c r="D383" t="s">
        <v>107</v>
      </c>
      <c r="E383" t="s">
        <v>15</v>
      </c>
      <c r="F383">
        <v>28.651</v>
      </c>
      <c r="G383" t="s">
        <v>14</v>
      </c>
    </row>
    <row r="384" spans="1:7" x14ac:dyDescent="0.25">
      <c r="A384">
        <v>30</v>
      </c>
      <c r="B384" t="s">
        <v>141</v>
      </c>
      <c r="C384">
        <v>60</v>
      </c>
      <c r="D384" t="s">
        <v>18</v>
      </c>
      <c r="E384" t="s">
        <v>15</v>
      </c>
      <c r="F384">
        <v>176.20500000000001</v>
      </c>
      <c r="G384" t="s">
        <v>14</v>
      </c>
    </row>
    <row r="385" spans="1:7" x14ac:dyDescent="0.25">
      <c r="A385">
        <v>30</v>
      </c>
      <c r="B385" t="s">
        <v>141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141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141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141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141</v>
      </c>
      <c r="C389">
        <v>110</v>
      </c>
      <c r="D389" t="s">
        <v>110</v>
      </c>
      <c r="E389" t="s">
        <v>13</v>
      </c>
      <c r="F389">
        <v>1.2430000000000001</v>
      </c>
      <c r="G389" t="s">
        <v>14</v>
      </c>
    </row>
    <row r="390" spans="1:7" x14ac:dyDescent="0.25">
      <c r="A390">
        <v>30</v>
      </c>
      <c r="B390" t="s">
        <v>141</v>
      </c>
      <c r="C390">
        <v>120</v>
      </c>
      <c r="D390" t="s">
        <v>321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141</v>
      </c>
      <c r="C391">
        <v>130</v>
      </c>
      <c r="D391" t="s">
        <v>181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142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142</v>
      </c>
      <c r="C393">
        <v>20</v>
      </c>
      <c r="D393" t="s">
        <v>109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142</v>
      </c>
      <c r="C394">
        <v>30</v>
      </c>
      <c r="D394" t="s">
        <v>105</v>
      </c>
      <c r="E394" t="s">
        <v>106</v>
      </c>
      <c r="F394">
        <v>1.321</v>
      </c>
      <c r="G394" t="s">
        <v>14</v>
      </c>
    </row>
    <row r="395" spans="1:7" x14ac:dyDescent="0.25">
      <c r="A395">
        <v>31</v>
      </c>
      <c r="B395" t="s">
        <v>142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142</v>
      </c>
      <c r="C396">
        <v>50</v>
      </c>
      <c r="D396" t="s">
        <v>107</v>
      </c>
      <c r="E396" t="s">
        <v>15</v>
      </c>
      <c r="F396">
        <v>29.87</v>
      </c>
      <c r="G396" t="s">
        <v>14</v>
      </c>
    </row>
    <row r="397" spans="1:7" x14ac:dyDescent="0.25">
      <c r="A397">
        <v>31</v>
      </c>
      <c r="B397" t="s">
        <v>142</v>
      </c>
      <c r="C397">
        <v>60</v>
      </c>
      <c r="D397" t="s">
        <v>18</v>
      </c>
      <c r="E397" t="s">
        <v>15</v>
      </c>
      <c r="F397">
        <v>183.703</v>
      </c>
      <c r="G397" t="s">
        <v>14</v>
      </c>
    </row>
    <row r="398" spans="1:7" x14ac:dyDescent="0.25">
      <c r="A398">
        <v>31</v>
      </c>
      <c r="B398" t="s">
        <v>142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142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142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142</v>
      </c>
      <c r="C402">
        <v>110</v>
      </c>
      <c r="D402" t="s">
        <v>110</v>
      </c>
      <c r="E402" t="s">
        <v>13</v>
      </c>
      <c r="F402">
        <v>1.2430000000000001</v>
      </c>
      <c r="G402" t="s">
        <v>14</v>
      </c>
    </row>
    <row r="403" spans="1:7" x14ac:dyDescent="0.25">
      <c r="A403">
        <v>31</v>
      </c>
      <c r="B403" t="s">
        <v>142</v>
      </c>
      <c r="C403">
        <v>120</v>
      </c>
      <c r="D403" t="s">
        <v>323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142</v>
      </c>
      <c r="C404">
        <v>130</v>
      </c>
      <c r="D404" t="s">
        <v>182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143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143</v>
      </c>
      <c r="C406">
        <v>20</v>
      </c>
      <c r="D406" t="s">
        <v>109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143</v>
      </c>
      <c r="C407">
        <v>30</v>
      </c>
      <c r="D407" t="s">
        <v>105</v>
      </c>
      <c r="E407" t="s">
        <v>106</v>
      </c>
      <c r="F407">
        <v>1.458</v>
      </c>
      <c r="G407" t="s">
        <v>14</v>
      </c>
    </row>
    <row r="408" spans="1:7" x14ac:dyDescent="0.25">
      <c r="A408">
        <v>32</v>
      </c>
      <c r="B408" t="s">
        <v>143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143</v>
      </c>
      <c r="C409">
        <v>50</v>
      </c>
      <c r="D409" t="s">
        <v>107</v>
      </c>
      <c r="E409" t="s">
        <v>15</v>
      </c>
      <c r="F409">
        <v>31.09</v>
      </c>
      <c r="G409" t="s">
        <v>14</v>
      </c>
    </row>
    <row r="410" spans="1:7" x14ac:dyDescent="0.25">
      <c r="A410">
        <v>32</v>
      </c>
      <c r="B410" t="s">
        <v>143</v>
      </c>
      <c r="C410">
        <v>60</v>
      </c>
      <c r="D410" t="s">
        <v>18</v>
      </c>
      <c r="E410" t="s">
        <v>15</v>
      </c>
      <c r="F410">
        <v>191.20099999999999</v>
      </c>
      <c r="G410" t="s">
        <v>14</v>
      </c>
    </row>
    <row r="411" spans="1:7" x14ac:dyDescent="0.25">
      <c r="A411">
        <v>32</v>
      </c>
      <c r="B411" t="s">
        <v>143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143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143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143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143</v>
      </c>
      <c r="C415">
        <v>110</v>
      </c>
      <c r="D415" t="s">
        <v>110</v>
      </c>
      <c r="E415" t="s">
        <v>13</v>
      </c>
      <c r="F415">
        <v>1.2430000000000001</v>
      </c>
      <c r="G415" t="s">
        <v>14</v>
      </c>
    </row>
    <row r="416" spans="1:7" x14ac:dyDescent="0.25">
      <c r="A416">
        <v>32</v>
      </c>
      <c r="B416" t="s">
        <v>143</v>
      </c>
      <c r="C416">
        <v>120</v>
      </c>
      <c r="D416" t="s">
        <v>325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143</v>
      </c>
      <c r="C417">
        <v>130</v>
      </c>
      <c r="D417" t="s">
        <v>183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144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144</v>
      </c>
      <c r="C419">
        <v>20</v>
      </c>
      <c r="D419" t="s">
        <v>109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144</v>
      </c>
      <c r="C420">
        <v>30</v>
      </c>
      <c r="D420" t="s">
        <v>105</v>
      </c>
      <c r="E420" t="s">
        <v>106</v>
      </c>
      <c r="F420">
        <v>0.67200000000000004</v>
      </c>
      <c r="G420" t="s">
        <v>14</v>
      </c>
    </row>
    <row r="421" spans="1:7" x14ac:dyDescent="0.25">
      <c r="A421">
        <v>33</v>
      </c>
      <c r="B421" t="s">
        <v>144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144</v>
      </c>
      <c r="C422">
        <v>50</v>
      </c>
      <c r="D422" t="s">
        <v>107</v>
      </c>
      <c r="E422" t="s">
        <v>15</v>
      </c>
      <c r="F422">
        <v>24.587</v>
      </c>
      <c r="G422" t="s">
        <v>14</v>
      </c>
    </row>
    <row r="423" spans="1:7" x14ac:dyDescent="0.25">
      <c r="A423">
        <v>33</v>
      </c>
      <c r="B423" t="s">
        <v>144</v>
      </c>
      <c r="C423">
        <v>60</v>
      </c>
      <c r="D423" t="s">
        <v>18</v>
      </c>
      <c r="E423" t="s">
        <v>15</v>
      </c>
      <c r="F423">
        <v>151.21100000000001</v>
      </c>
      <c r="G423" t="s">
        <v>14</v>
      </c>
    </row>
    <row r="424" spans="1:7" x14ac:dyDescent="0.25">
      <c r="A424">
        <v>33</v>
      </c>
      <c r="B424" t="s">
        <v>144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144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144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144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144</v>
      </c>
      <c r="C428">
        <v>110</v>
      </c>
      <c r="D428" t="s">
        <v>110</v>
      </c>
      <c r="E428" t="s">
        <v>13</v>
      </c>
      <c r="F428">
        <v>1.2969999999999999</v>
      </c>
      <c r="G428" t="s">
        <v>14</v>
      </c>
    </row>
    <row r="429" spans="1:7" x14ac:dyDescent="0.25">
      <c r="A429">
        <v>33</v>
      </c>
      <c r="B429" t="s">
        <v>144</v>
      </c>
      <c r="C429">
        <v>120</v>
      </c>
      <c r="D429" t="s">
        <v>327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144</v>
      </c>
      <c r="C430">
        <v>130</v>
      </c>
      <c r="D430" t="s">
        <v>184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145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145</v>
      </c>
      <c r="C432">
        <v>20</v>
      </c>
      <c r="D432" t="s">
        <v>109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145</v>
      </c>
      <c r="C433">
        <v>30</v>
      </c>
      <c r="D433" t="s">
        <v>105</v>
      </c>
      <c r="E433" t="s">
        <v>106</v>
      </c>
      <c r="F433">
        <v>0.81599999999999995</v>
      </c>
      <c r="G433" t="s">
        <v>14</v>
      </c>
    </row>
    <row r="434" spans="1:7" x14ac:dyDescent="0.25">
      <c r="A434">
        <v>34</v>
      </c>
      <c r="B434" t="s">
        <v>145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145</v>
      </c>
      <c r="C435">
        <v>50</v>
      </c>
      <c r="D435" t="s">
        <v>107</v>
      </c>
      <c r="E435" t="s">
        <v>15</v>
      </c>
      <c r="F435">
        <v>25.806000000000001</v>
      </c>
      <c r="G435" t="s">
        <v>14</v>
      </c>
    </row>
    <row r="436" spans="1:7" x14ac:dyDescent="0.25">
      <c r="A436">
        <v>34</v>
      </c>
      <c r="B436" t="s">
        <v>145</v>
      </c>
      <c r="C436">
        <v>60</v>
      </c>
      <c r="D436" t="s">
        <v>18</v>
      </c>
      <c r="E436" t="s">
        <v>15</v>
      </c>
      <c r="F436">
        <v>158.709</v>
      </c>
      <c r="G436" t="s">
        <v>14</v>
      </c>
    </row>
    <row r="437" spans="1:7" x14ac:dyDescent="0.25">
      <c r="A437">
        <v>34</v>
      </c>
      <c r="B437" t="s">
        <v>145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145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145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145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145</v>
      </c>
      <c r="C441">
        <v>110</v>
      </c>
      <c r="D441" t="s">
        <v>110</v>
      </c>
      <c r="E441" t="s">
        <v>13</v>
      </c>
      <c r="F441">
        <v>1.2969999999999999</v>
      </c>
      <c r="G441" t="s">
        <v>14</v>
      </c>
    </row>
    <row r="442" spans="1:7" x14ac:dyDescent="0.25">
      <c r="A442">
        <v>34</v>
      </c>
      <c r="B442" t="s">
        <v>145</v>
      </c>
      <c r="C442">
        <v>120</v>
      </c>
      <c r="D442" t="s">
        <v>329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145</v>
      </c>
      <c r="C443">
        <v>130</v>
      </c>
      <c r="D443" t="s">
        <v>185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146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146</v>
      </c>
      <c r="C445">
        <v>20</v>
      </c>
      <c r="D445" t="s">
        <v>109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146</v>
      </c>
      <c r="C446">
        <v>30</v>
      </c>
      <c r="D446" t="s">
        <v>105</v>
      </c>
      <c r="E446" t="s">
        <v>106</v>
      </c>
      <c r="F446">
        <v>0.96</v>
      </c>
      <c r="G446" t="s">
        <v>14</v>
      </c>
    </row>
    <row r="447" spans="1:7" x14ac:dyDescent="0.25">
      <c r="A447">
        <v>35</v>
      </c>
      <c r="B447" t="s">
        <v>146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146</v>
      </c>
      <c r="C448">
        <v>50</v>
      </c>
      <c r="D448" t="s">
        <v>107</v>
      </c>
      <c r="E448" t="s">
        <v>15</v>
      </c>
      <c r="F448">
        <v>27.026</v>
      </c>
      <c r="G448" t="s">
        <v>14</v>
      </c>
    </row>
    <row r="449" spans="1:7" x14ac:dyDescent="0.25">
      <c r="A449">
        <v>35</v>
      </c>
      <c r="B449" t="s">
        <v>146</v>
      </c>
      <c r="C449">
        <v>60</v>
      </c>
      <c r="D449" t="s">
        <v>18</v>
      </c>
      <c r="E449" t="s">
        <v>15</v>
      </c>
      <c r="F449">
        <v>166.20699999999999</v>
      </c>
      <c r="G449" t="s">
        <v>14</v>
      </c>
    </row>
    <row r="450" spans="1:7" x14ac:dyDescent="0.25">
      <c r="A450">
        <v>35</v>
      </c>
      <c r="B450" t="s">
        <v>146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146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146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146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146</v>
      </c>
      <c r="C454">
        <v>110</v>
      </c>
      <c r="D454" t="s">
        <v>110</v>
      </c>
      <c r="E454" t="s">
        <v>13</v>
      </c>
      <c r="F454">
        <v>1.2969999999999999</v>
      </c>
      <c r="G454" t="s">
        <v>14</v>
      </c>
    </row>
    <row r="455" spans="1:7" x14ac:dyDescent="0.25">
      <c r="A455">
        <v>35</v>
      </c>
      <c r="B455" t="s">
        <v>146</v>
      </c>
      <c r="C455">
        <v>120</v>
      </c>
      <c r="D455" t="s">
        <v>331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146</v>
      </c>
      <c r="C456">
        <v>130</v>
      </c>
      <c r="D456" t="s">
        <v>186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147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147</v>
      </c>
      <c r="C458">
        <v>20</v>
      </c>
      <c r="D458" t="s">
        <v>109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147</v>
      </c>
      <c r="C459">
        <v>30</v>
      </c>
      <c r="D459" t="s">
        <v>105</v>
      </c>
      <c r="E459" t="s">
        <v>106</v>
      </c>
      <c r="F459">
        <v>1.1040000000000001</v>
      </c>
      <c r="G459" t="s">
        <v>14</v>
      </c>
    </row>
    <row r="460" spans="1:7" x14ac:dyDescent="0.25">
      <c r="A460">
        <v>36</v>
      </c>
      <c r="B460" t="s">
        <v>147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147</v>
      </c>
      <c r="C461">
        <v>50</v>
      </c>
      <c r="D461" t="s">
        <v>107</v>
      </c>
      <c r="E461" t="s">
        <v>15</v>
      </c>
      <c r="F461">
        <v>28.245000000000001</v>
      </c>
      <c r="G461" t="s">
        <v>14</v>
      </c>
    </row>
    <row r="462" spans="1:7" x14ac:dyDescent="0.25">
      <c r="A462">
        <v>36</v>
      </c>
      <c r="B462" t="s">
        <v>147</v>
      </c>
      <c r="C462">
        <v>60</v>
      </c>
      <c r="D462" t="s">
        <v>18</v>
      </c>
      <c r="E462" t="s">
        <v>15</v>
      </c>
      <c r="F462">
        <v>173.70599999999999</v>
      </c>
      <c r="G462" t="s">
        <v>14</v>
      </c>
    </row>
    <row r="463" spans="1:7" x14ac:dyDescent="0.25">
      <c r="A463">
        <v>36</v>
      </c>
      <c r="B463" t="s">
        <v>147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147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147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147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147</v>
      </c>
      <c r="C467">
        <v>110</v>
      </c>
      <c r="D467" t="s">
        <v>110</v>
      </c>
      <c r="E467" t="s">
        <v>13</v>
      </c>
      <c r="F467">
        <v>1.2969999999999999</v>
      </c>
      <c r="G467" t="s">
        <v>14</v>
      </c>
    </row>
    <row r="468" spans="1:7" x14ac:dyDescent="0.25">
      <c r="A468">
        <v>36</v>
      </c>
      <c r="B468" t="s">
        <v>147</v>
      </c>
      <c r="C468">
        <v>120</v>
      </c>
      <c r="D468" t="s">
        <v>333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147</v>
      </c>
      <c r="C469">
        <v>130</v>
      </c>
      <c r="D469" t="s">
        <v>187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148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148</v>
      </c>
      <c r="C471">
        <v>20</v>
      </c>
      <c r="D471" t="s">
        <v>109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148</v>
      </c>
      <c r="C472">
        <v>30</v>
      </c>
      <c r="D472" t="s">
        <v>105</v>
      </c>
      <c r="E472" t="s">
        <v>106</v>
      </c>
      <c r="F472">
        <v>1.1759999999999999</v>
      </c>
      <c r="G472" t="s">
        <v>14</v>
      </c>
    </row>
    <row r="473" spans="1:7" x14ac:dyDescent="0.25">
      <c r="A473">
        <v>37</v>
      </c>
      <c r="B473" t="s">
        <v>148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148</v>
      </c>
      <c r="C474">
        <v>50</v>
      </c>
      <c r="D474" t="s">
        <v>107</v>
      </c>
      <c r="E474" t="s">
        <v>15</v>
      </c>
      <c r="F474">
        <v>28.853999999999999</v>
      </c>
      <c r="G474" t="s">
        <v>14</v>
      </c>
    </row>
    <row r="475" spans="1:7" x14ac:dyDescent="0.25">
      <c r="A475">
        <v>37</v>
      </c>
      <c r="B475" t="s">
        <v>148</v>
      </c>
      <c r="C475">
        <v>60</v>
      </c>
      <c r="D475" t="s">
        <v>18</v>
      </c>
      <c r="E475" t="s">
        <v>15</v>
      </c>
      <c r="F475">
        <v>177.45500000000001</v>
      </c>
      <c r="G475" t="s">
        <v>14</v>
      </c>
    </row>
    <row r="476" spans="1:7" x14ac:dyDescent="0.25">
      <c r="A476">
        <v>37</v>
      </c>
      <c r="B476" t="s">
        <v>148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148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148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148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148</v>
      </c>
      <c r="C480">
        <v>110</v>
      </c>
      <c r="D480" t="s">
        <v>110</v>
      </c>
      <c r="E480" t="s">
        <v>13</v>
      </c>
      <c r="F480">
        <v>1.2969999999999999</v>
      </c>
      <c r="G480" t="s">
        <v>14</v>
      </c>
    </row>
    <row r="481" spans="1:7" x14ac:dyDescent="0.25">
      <c r="A481">
        <v>37</v>
      </c>
      <c r="B481" t="s">
        <v>148</v>
      </c>
      <c r="C481">
        <v>120</v>
      </c>
      <c r="D481" t="s">
        <v>335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148</v>
      </c>
      <c r="C482">
        <v>130</v>
      </c>
      <c r="D482" t="s">
        <v>188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149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149</v>
      </c>
      <c r="C484">
        <v>20</v>
      </c>
      <c r="D484" t="s">
        <v>109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149</v>
      </c>
      <c r="C485">
        <v>30</v>
      </c>
      <c r="D485" t="s">
        <v>105</v>
      </c>
      <c r="E485" t="s">
        <v>106</v>
      </c>
      <c r="F485">
        <v>1.248</v>
      </c>
      <c r="G485" t="s">
        <v>14</v>
      </c>
    </row>
    <row r="486" spans="1:7" x14ac:dyDescent="0.25">
      <c r="A486">
        <v>38</v>
      </c>
      <c r="B486" t="s">
        <v>149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149</v>
      </c>
      <c r="C487">
        <v>50</v>
      </c>
      <c r="D487" t="s">
        <v>107</v>
      </c>
      <c r="E487" t="s">
        <v>15</v>
      </c>
      <c r="F487">
        <v>29.463999999999999</v>
      </c>
      <c r="G487" t="s">
        <v>14</v>
      </c>
    </row>
    <row r="488" spans="1:7" x14ac:dyDescent="0.25">
      <c r="A488">
        <v>38</v>
      </c>
      <c r="B488" t="s">
        <v>149</v>
      </c>
      <c r="C488">
        <v>60</v>
      </c>
      <c r="D488" t="s">
        <v>18</v>
      </c>
      <c r="E488" t="s">
        <v>15</v>
      </c>
      <c r="F488">
        <v>181.20400000000001</v>
      </c>
      <c r="G488" t="s">
        <v>14</v>
      </c>
    </row>
    <row r="489" spans="1:7" x14ac:dyDescent="0.25">
      <c r="A489">
        <v>38</v>
      </c>
      <c r="B489" t="s">
        <v>149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149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149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149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149</v>
      </c>
      <c r="C493">
        <v>110</v>
      </c>
      <c r="D493" t="s">
        <v>110</v>
      </c>
      <c r="E493" t="s">
        <v>13</v>
      </c>
      <c r="F493">
        <v>1.2969999999999999</v>
      </c>
      <c r="G493" t="s">
        <v>14</v>
      </c>
    </row>
    <row r="494" spans="1:7" x14ac:dyDescent="0.25">
      <c r="A494">
        <v>38</v>
      </c>
      <c r="B494" t="s">
        <v>149</v>
      </c>
      <c r="C494">
        <v>120</v>
      </c>
      <c r="D494" t="s">
        <v>337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149</v>
      </c>
      <c r="C495">
        <v>130</v>
      </c>
      <c r="D495" t="s">
        <v>189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150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150</v>
      </c>
      <c r="C497">
        <v>20</v>
      </c>
      <c r="D497" t="s">
        <v>109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150</v>
      </c>
      <c r="C498">
        <v>30</v>
      </c>
      <c r="D498" t="s">
        <v>105</v>
      </c>
      <c r="E498" t="s">
        <v>106</v>
      </c>
      <c r="F498">
        <v>1.3919999999999999</v>
      </c>
      <c r="G498" t="s">
        <v>14</v>
      </c>
    </row>
    <row r="499" spans="1:7" x14ac:dyDescent="0.25">
      <c r="A499">
        <v>39</v>
      </c>
      <c r="B499" t="s">
        <v>150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150</v>
      </c>
      <c r="C500">
        <v>50</v>
      </c>
      <c r="D500" t="s">
        <v>107</v>
      </c>
      <c r="E500" t="s">
        <v>15</v>
      </c>
      <c r="F500">
        <v>30.683</v>
      </c>
      <c r="G500" t="s">
        <v>14</v>
      </c>
    </row>
    <row r="501" spans="1:7" x14ac:dyDescent="0.25">
      <c r="A501">
        <v>39</v>
      </c>
      <c r="B501" t="s">
        <v>150</v>
      </c>
      <c r="C501">
        <v>60</v>
      </c>
      <c r="D501" t="s">
        <v>18</v>
      </c>
      <c r="E501" t="s">
        <v>15</v>
      </c>
      <c r="F501">
        <v>188.702</v>
      </c>
      <c r="G501" t="s">
        <v>14</v>
      </c>
    </row>
    <row r="502" spans="1:7" x14ac:dyDescent="0.25">
      <c r="A502">
        <v>39</v>
      </c>
      <c r="B502" t="s">
        <v>150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150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150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150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150</v>
      </c>
      <c r="C506">
        <v>110</v>
      </c>
      <c r="D506" t="s">
        <v>110</v>
      </c>
      <c r="E506" t="s">
        <v>13</v>
      </c>
      <c r="F506">
        <v>1.2969999999999999</v>
      </c>
      <c r="G506" t="s">
        <v>14</v>
      </c>
    </row>
    <row r="507" spans="1:7" x14ac:dyDescent="0.25">
      <c r="A507">
        <v>39</v>
      </c>
      <c r="B507" t="s">
        <v>150</v>
      </c>
      <c r="C507">
        <v>120</v>
      </c>
      <c r="D507" t="s">
        <v>339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150</v>
      </c>
      <c r="C508">
        <v>130</v>
      </c>
      <c r="D508" t="s">
        <v>190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151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151</v>
      </c>
      <c r="C510">
        <v>20</v>
      </c>
      <c r="D510" t="s">
        <v>109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151</v>
      </c>
      <c r="C511">
        <v>30</v>
      </c>
      <c r="D511" t="s">
        <v>105</v>
      </c>
      <c r="E511" t="s">
        <v>106</v>
      </c>
      <c r="F511">
        <v>1.536</v>
      </c>
      <c r="G511" t="s">
        <v>14</v>
      </c>
    </row>
    <row r="512" spans="1:7" x14ac:dyDescent="0.25">
      <c r="A512">
        <v>40</v>
      </c>
      <c r="B512" t="s">
        <v>151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151</v>
      </c>
      <c r="C513">
        <v>50</v>
      </c>
      <c r="D513" t="s">
        <v>107</v>
      </c>
      <c r="E513" t="s">
        <v>15</v>
      </c>
      <c r="F513">
        <v>31.902000000000001</v>
      </c>
      <c r="G513" t="s">
        <v>14</v>
      </c>
    </row>
    <row r="514" spans="1:7" x14ac:dyDescent="0.25">
      <c r="A514">
        <v>40</v>
      </c>
      <c r="B514" t="s">
        <v>151</v>
      </c>
      <c r="C514">
        <v>60</v>
      </c>
      <c r="D514" t="s">
        <v>18</v>
      </c>
      <c r="E514" t="s">
        <v>15</v>
      </c>
      <c r="F514">
        <v>196.2</v>
      </c>
      <c r="G514" t="s">
        <v>14</v>
      </c>
    </row>
    <row r="515" spans="1:7" x14ac:dyDescent="0.25">
      <c r="A515">
        <v>40</v>
      </c>
      <c r="B515" t="s">
        <v>151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151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151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151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151</v>
      </c>
      <c r="C519">
        <v>110</v>
      </c>
      <c r="D519" t="s">
        <v>110</v>
      </c>
      <c r="E519" t="s">
        <v>13</v>
      </c>
      <c r="F519">
        <v>1.2969999999999999</v>
      </c>
      <c r="G519" t="s">
        <v>14</v>
      </c>
    </row>
    <row r="520" spans="1:7" x14ac:dyDescent="0.25">
      <c r="A520">
        <v>40</v>
      </c>
      <c r="B520" t="s">
        <v>151</v>
      </c>
      <c r="C520">
        <v>120</v>
      </c>
      <c r="D520" t="s">
        <v>341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151</v>
      </c>
      <c r="C521">
        <v>130</v>
      </c>
      <c r="D521" t="s">
        <v>191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109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105</v>
      </c>
      <c r="E524" t="s">
        <v>106</v>
      </c>
      <c r="F524">
        <v>0.50900000000000001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21.539000000000001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132.46600000000001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110</v>
      </c>
      <c r="E532" t="s">
        <v>13</v>
      </c>
      <c r="F532">
        <v>0.56699999999999995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343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193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109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105</v>
      </c>
      <c r="E537" t="s">
        <v>106</v>
      </c>
      <c r="F537">
        <v>0.63100000000000001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22.757999999999999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139.964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110</v>
      </c>
      <c r="E545" t="s">
        <v>13</v>
      </c>
      <c r="F545">
        <v>0.64900000000000002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345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195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109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105</v>
      </c>
      <c r="E550" t="s">
        <v>106</v>
      </c>
      <c r="F550">
        <v>0.753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23.978000000000002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147.46199999999999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110</v>
      </c>
      <c r="E558" t="s">
        <v>13</v>
      </c>
      <c r="F558">
        <v>0.73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347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197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109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105</v>
      </c>
      <c r="E563" t="s">
        <v>106</v>
      </c>
      <c r="F563">
        <v>0.875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25.196999999999999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154.96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110</v>
      </c>
      <c r="E571" t="s">
        <v>13</v>
      </c>
      <c r="F571">
        <v>0.81100000000000005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349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199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109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105</v>
      </c>
      <c r="E576" t="s">
        <v>106</v>
      </c>
      <c r="F576">
        <v>1.119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27.635000000000002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169.95599999999999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110</v>
      </c>
      <c r="E584" t="s">
        <v>13</v>
      </c>
      <c r="F584">
        <v>0.97299999999999998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351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201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109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105</v>
      </c>
      <c r="E589" t="s">
        <v>106</v>
      </c>
      <c r="F589">
        <v>1.2410000000000001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28.853999999999999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177.45500000000001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110</v>
      </c>
      <c r="E597" t="s">
        <v>13</v>
      </c>
      <c r="F597">
        <v>1.054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353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203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109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105</v>
      </c>
      <c r="E602" t="s">
        <v>106</v>
      </c>
      <c r="F602">
        <v>1.3640000000000001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30.074000000000002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184.953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110</v>
      </c>
      <c r="E610" t="s">
        <v>13</v>
      </c>
      <c r="F610">
        <v>1.135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355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205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109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105</v>
      </c>
      <c r="E615" t="s">
        <v>106</v>
      </c>
      <c r="F615">
        <v>0.53200000000000003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22.149000000000001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136.215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110</v>
      </c>
      <c r="E623" t="s">
        <v>13</v>
      </c>
      <c r="F623">
        <v>0.56699999999999995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357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207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109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105</v>
      </c>
      <c r="E628" t="s">
        <v>106</v>
      </c>
      <c r="F628">
        <v>0.65900000000000003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23.367999999999999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143.71299999999999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110</v>
      </c>
      <c r="E636" t="s">
        <v>13</v>
      </c>
      <c r="F636">
        <v>0.64900000000000002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359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209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109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105</v>
      </c>
      <c r="E641" t="s">
        <v>106</v>
      </c>
      <c r="F641">
        <v>0.78700000000000003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24.587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151.21100000000001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110</v>
      </c>
      <c r="E649" t="s">
        <v>13</v>
      </c>
      <c r="F649">
        <v>0.73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361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211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109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105</v>
      </c>
      <c r="E654" t="s">
        <v>106</v>
      </c>
      <c r="F654">
        <v>0.91400000000000003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25.806000000000001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158.709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110</v>
      </c>
      <c r="E662" t="s">
        <v>13</v>
      </c>
      <c r="F662">
        <v>0.81100000000000005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363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213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109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105</v>
      </c>
      <c r="E667" t="s">
        <v>106</v>
      </c>
      <c r="F667">
        <v>1.169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28.245000000000001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173.70599999999999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110</v>
      </c>
      <c r="E675" t="s">
        <v>13</v>
      </c>
      <c r="F675">
        <v>0.97299999999999998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365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215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109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105</v>
      </c>
      <c r="E680" t="s">
        <v>106</v>
      </c>
      <c r="F680">
        <v>1.2969999999999999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29.463999999999999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181.20400000000001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110</v>
      </c>
      <c r="E688" t="s">
        <v>13</v>
      </c>
      <c r="F688">
        <v>1.054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367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217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109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105</v>
      </c>
      <c r="E693" t="s">
        <v>106</v>
      </c>
      <c r="F693">
        <v>1.425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30.683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188.702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110</v>
      </c>
      <c r="E701" t="s">
        <v>13</v>
      </c>
      <c r="F701">
        <v>1.135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369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219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109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105</v>
      </c>
      <c r="E706" t="s">
        <v>106</v>
      </c>
      <c r="F706">
        <v>0.55400000000000005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22.757999999999999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139.964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110</v>
      </c>
      <c r="E714" t="s">
        <v>13</v>
      </c>
      <c r="F714">
        <v>1.216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371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221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109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105</v>
      </c>
      <c r="E719" t="s">
        <v>106</v>
      </c>
      <c r="F719">
        <v>0.68700000000000006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23.978000000000002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147.46199999999999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110</v>
      </c>
      <c r="E727" t="s">
        <v>13</v>
      </c>
      <c r="F727">
        <v>1.216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373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223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109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105</v>
      </c>
      <c r="E732" t="s">
        <v>106</v>
      </c>
      <c r="F732">
        <v>0.82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25.196999999999999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154.96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110</v>
      </c>
      <c r="E740" t="s">
        <v>13</v>
      </c>
      <c r="F740">
        <v>1.216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375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225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109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105</v>
      </c>
      <c r="E745" t="s">
        <v>106</v>
      </c>
      <c r="F745">
        <v>0.95299999999999996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26.416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162.458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110</v>
      </c>
      <c r="E753" t="s">
        <v>13</v>
      </c>
      <c r="F753">
        <v>1.216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377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227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109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105</v>
      </c>
      <c r="E758" t="s">
        <v>106</v>
      </c>
      <c r="F758">
        <v>1.22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28.853999999999999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177.45500000000001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110</v>
      </c>
      <c r="E766" t="s">
        <v>13</v>
      </c>
      <c r="F766">
        <v>1.216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379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229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109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105</v>
      </c>
      <c r="E771" t="s">
        <v>106</v>
      </c>
      <c r="F771">
        <v>1.353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30.074000000000002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184.953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110</v>
      </c>
      <c r="E779" t="s">
        <v>13</v>
      </c>
      <c r="F779">
        <v>1.216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381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231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109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105</v>
      </c>
      <c r="E784" t="s">
        <v>106</v>
      </c>
      <c r="F784">
        <v>1.486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31.292999999999999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192.45099999999999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110</v>
      </c>
      <c r="E792" t="s">
        <v>13</v>
      </c>
      <c r="F792">
        <v>1.216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383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233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109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105</v>
      </c>
      <c r="E797" t="s">
        <v>106</v>
      </c>
      <c r="F797">
        <v>0.56999999999999995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23.164999999999999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142.464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110</v>
      </c>
      <c r="E805" t="s">
        <v>13</v>
      </c>
      <c r="F805">
        <v>1.2430000000000001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385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235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109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105</v>
      </c>
      <c r="E810" t="s">
        <v>106</v>
      </c>
      <c r="F810">
        <v>0.70599999999999996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24.384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149.96199999999999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110</v>
      </c>
      <c r="E818" t="s">
        <v>13</v>
      </c>
      <c r="F818">
        <v>1.2430000000000001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387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237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109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105</v>
      </c>
      <c r="E823" t="s">
        <v>106</v>
      </c>
      <c r="F823">
        <v>0.84299999999999997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25.603000000000002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157.46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110</v>
      </c>
      <c r="E831" t="s">
        <v>13</v>
      </c>
      <c r="F831">
        <v>1.2430000000000001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389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239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109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105</v>
      </c>
      <c r="E836" t="s">
        <v>106</v>
      </c>
      <c r="F836">
        <v>0.98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26.821999999999999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164.958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110</v>
      </c>
      <c r="E844" t="s">
        <v>13</v>
      </c>
      <c r="F844">
        <v>1.2430000000000001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391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241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109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105</v>
      </c>
      <c r="E849" t="s">
        <v>106</v>
      </c>
      <c r="F849">
        <v>1.2529999999999999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29.260999999999999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179.95400000000001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110</v>
      </c>
      <c r="E857" t="s">
        <v>13</v>
      </c>
      <c r="F857">
        <v>1.2430000000000001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393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243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109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105</v>
      </c>
      <c r="E862" t="s">
        <v>106</v>
      </c>
      <c r="F862">
        <v>1.39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30.48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187.452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110</v>
      </c>
      <c r="E870" t="s">
        <v>13</v>
      </c>
      <c r="F870">
        <v>1.2430000000000001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395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245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109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105</v>
      </c>
      <c r="E875" t="s">
        <v>106</v>
      </c>
      <c r="F875">
        <v>1.526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31.699000000000002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194.95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110</v>
      </c>
      <c r="E883" t="s">
        <v>13</v>
      </c>
      <c r="F883">
        <v>1.2430000000000001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397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247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109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105</v>
      </c>
      <c r="E888" t="s">
        <v>106</v>
      </c>
      <c r="F888">
        <v>0.6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23.978000000000002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147.46199999999999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110</v>
      </c>
      <c r="E896" t="s">
        <v>13</v>
      </c>
      <c r="F896">
        <v>1.2969999999999999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399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249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109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105</v>
      </c>
      <c r="E901" t="s">
        <v>106</v>
      </c>
      <c r="F901">
        <v>0.74399999999999999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154.96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110</v>
      </c>
      <c r="E909" t="s">
        <v>13</v>
      </c>
      <c r="F909">
        <v>1.2969999999999999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401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251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109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105</v>
      </c>
      <c r="E914" t="s">
        <v>106</v>
      </c>
      <c r="F914">
        <v>0.88800000000000001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26.416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162.458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110</v>
      </c>
      <c r="E922" t="s">
        <v>13</v>
      </c>
      <c r="F922">
        <v>1.2969999999999999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403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253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109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105</v>
      </c>
      <c r="E927" t="s">
        <v>106</v>
      </c>
      <c r="F927">
        <v>1.032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27.635000000000002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169.95599999999999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110</v>
      </c>
      <c r="E935" t="s">
        <v>13</v>
      </c>
      <c r="F935">
        <v>1.2969999999999999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405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255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109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105</v>
      </c>
      <c r="E940" t="s">
        <v>106</v>
      </c>
      <c r="F940">
        <v>1.32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30.074000000000002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184.953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110</v>
      </c>
      <c r="E948" t="s">
        <v>13</v>
      </c>
      <c r="F948">
        <v>1.2969999999999999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407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257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109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105</v>
      </c>
      <c r="E953" t="s">
        <v>106</v>
      </c>
      <c r="F953">
        <v>1.464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31.292999999999999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192.45099999999999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110</v>
      </c>
      <c r="E961" t="s">
        <v>13</v>
      </c>
      <c r="F961">
        <v>1.2969999999999999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409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259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109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105</v>
      </c>
      <c r="E966" t="s">
        <v>106</v>
      </c>
      <c r="F966">
        <v>1.6080000000000001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32.512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199.94900000000001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110</v>
      </c>
      <c r="E974" t="s">
        <v>13</v>
      </c>
      <c r="F974">
        <v>1.2969999999999999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411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261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N15" sqref="N15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3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3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4" t="s">
        <v>49</v>
      </c>
      <c r="C4" s="24" t="s">
        <v>50</v>
      </c>
      <c r="D4" s="38" t="s">
        <v>51</v>
      </c>
      <c r="E4" s="24" t="s">
        <v>3</v>
      </c>
      <c r="F4" s="38" t="s">
        <v>52</v>
      </c>
      <c r="G4" s="24" t="s">
        <v>53</v>
      </c>
      <c r="H4" s="24" t="s">
        <v>6</v>
      </c>
      <c r="I4" s="24" t="s">
        <v>54</v>
      </c>
      <c r="J4" s="38" t="s">
        <v>55</v>
      </c>
      <c r="K4" s="38" t="s">
        <v>56</v>
      </c>
      <c r="L4" s="38" t="s">
        <v>57</v>
      </c>
      <c r="M4" s="25" t="s">
        <v>58</v>
      </c>
      <c r="N4" s="26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0.56999999999999995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110</v>
      </c>
      <c r="O15" s="3"/>
      <c r="P15" s="3"/>
      <c r="Q15" s="3">
        <v>0.60799999999999998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263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152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113</v>
      </c>
      <c r="D18" s="3"/>
      <c r="E18" s="3" t="s">
        <v>113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113</v>
      </c>
      <c r="D19" s="3"/>
      <c r="E19" s="3" t="s">
        <v>113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109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113</v>
      </c>
      <c r="D20" s="3"/>
      <c r="E20" s="3" t="s">
        <v>113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105</v>
      </c>
      <c r="O20" s="3"/>
      <c r="P20" s="3"/>
      <c r="Q20" s="3">
        <v>0.69199999999999995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113</v>
      </c>
      <c r="D21" s="3"/>
      <c r="E21" s="3" t="s">
        <v>113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113</v>
      </c>
      <c r="D22" s="3"/>
      <c r="E22" s="3" t="s">
        <v>113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23.367999999999999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113</v>
      </c>
      <c r="D23" s="3"/>
      <c r="E23" s="3" t="s">
        <v>113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143.71299999999999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113</v>
      </c>
      <c r="D24" s="3"/>
      <c r="E24" s="3" t="s">
        <v>113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113</v>
      </c>
      <c r="D25" s="3"/>
      <c r="E25" s="3" t="s">
        <v>113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113</v>
      </c>
      <c r="D26" s="3"/>
      <c r="E26" s="3" t="s">
        <v>113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113</v>
      </c>
      <c r="D27" s="3"/>
      <c r="E27" s="3" t="s">
        <v>113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113</v>
      </c>
      <c r="D28" s="3"/>
      <c r="E28" s="3" t="s">
        <v>113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110</v>
      </c>
      <c r="O28" s="3"/>
      <c r="P28" s="3"/>
      <c r="Q28" s="3">
        <v>0.68899999999999995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265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153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114</v>
      </c>
      <c r="D31" s="3"/>
      <c r="E31" s="3" t="s">
        <v>114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114</v>
      </c>
      <c r="D32" s="3"/>
      <c r="E32" s="3" t="s">
        <v>114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109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114</v>
      </c>
      <c r="D33" s="3"/>
      <c r="E33" s="3" t="s">
        <v>114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105</v>
      </c>
      <c r="O33" s="3"/>
      <c r="P33" s="3"/>
      <c r="Q33" s="3">
        <v>0.81399999999999995</v>
      </c>
      <c r="R33" s="3" t="s">
        <v>106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114</v>
      </c>
      <c r="D34" s="3"/>
      <c r="E34" s="3" t="s">
        <v>114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114</v>
      </c>
      <c r="D35" s="3"/>
      <c r="E35" s="3" t="s">
        <v>114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24.587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114</v>
      </c>
      <c r="D36" s="3"/>
      <c r="E36" s="3" t="s">
        <v>114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151.21100000000001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114</v>
      </c>
      <c r="D37" s="3"/>
      <c r="E37" s="3" t="s">
        <v>114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114</v>
      </c>
      <c r="D38" s="3"/>
      <c r="E38" s="3" t="s">
        <v>114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114</v>
      </c>
      <c r="D39" s="3"/>
      <c r="E39" s="3" t="s">
        <v>114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114</v>
      </c>
      <c r="D40" s="3"/>
      <c r="E40" s="3" t="s">
        <v>114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110</v>
      </c>
      <c r="O41" s="3"/>
      <c r="P41" s="3"/>
      <c r="Q41" s="3">
        <v>0.77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267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154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115</v>
      </c>
      <c r="D44" s="3"/>
      <c r="E44" s="3" t="s">
        <v>115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115</v>
      </c>
      <c r="D45" s="3"/>
      <c r="E45" s="3" t="s">
        <v>115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109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115</v>
      </c>
      <c r="D46" s="3"/>
      <c r="E46" s="3" t="s">
        <v>115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105</v>
      </c>
      <c r="O46" s="3"/>
      <c r="P46" s="3"/>
      <c r="Q46" s="3">
        <v>0.93600000000000005</v>
      </c>
      <c r="R46" s="3" t="s">
        <v>106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115</v>
      </c>
      <c r="D47" s="3"/>
      <c r="E47" s="3" t="s">
        <v>115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115</v>
      </c>
      <c r="D48" s="3"/>
      <c r="E48" s="3" t="s">
        <v>115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25.806000000000001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115</v>
      </c>
      <c r="D49" s="3"/>
      <c r="E49" s="3" t="s">
        <v>115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158.709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115</v>
      </c>
      <c r="D50" s="3"/>
      <c r="E50" s="3" t="s">
        <v>115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115</v>
      </c>
      <c r="D51" s="3"/>
      <c r="E51" s="3" t="s">
        <v>115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115</v>
      </c>
      <c r="D52" s="3"/>
      <c r="E52" s="3" t="s">
        <v>115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110</v>
      </c>
      <c r="O54" s="3"/>
      <c r="P54" s="3"/>
      <c r="Q54" s="3">
        <v>0.85099999999999998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269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155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116</v>
      </c>
      <c r="D57" s="3"/>
      <c r="E57" s="3" t="s">
        <v>116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116</v>
      </c>
      <c r="D58" s="3"/>
      <c r="E58" s="3" t="s">
        <v>116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109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116</v>
      </c>
      <c r="D59" s="3"/>
      <c r="E59" s="3" t="s">
        <v>116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105</v>
      </c>
      <c r="O59" s="3"/>
      <c r="P59" s="3"/>
      <c r="Q59" s="3">
        <v>0.997</v>
      </c>
      <c r="R59" s="3" t="s">
        <v>106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116</v>
      </c>
      <c r="D60" s="3"/>
      <c r="E60" s="3" t="s">
        <v>116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116</v>
      </c>
      <c r="D61" s="3"/>
      <c r="E61" s="3" t="s">
        <v>116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26.416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116</v>
      </c>
      <c r="D62" s="3"/>
      <c r="E62" s="3" t="s">
        <v>116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162.458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116</v>
      </c>
      <c r="D63" s="3"/>
      <c r="E63" s="3" t="s">
        <v>116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116</v>
      </c>
      <c r="D64" s="3"/>
      <c r="E64" s="3" t="s">
        <v>116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110</v>
      </c>
      <c r="O67" s="3"/>
      <c r="P67" s="3"/>
      <c r="Q67" s="3">
        <v>0.89200000000000002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271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109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105</v>
      </c>
      <c r="O72" s="3"/>
      <c r="P72" s="3"/>
      <c r="Q72" s="3">
        <v>1.0580000000000001</v>
      </c>
      <c r="R72" s="3" t="s">
        <v>106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27.026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166.20699999999999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110</v>
      </c>
      <c r="O80" s="3"/>
      <c r="P80" s="3"/>
      <c r="Q80" s="3">
        <v>0.93200000000000005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273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157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118</v>
      </c>
      <c r="D83" s="3"/>
      <c r="E83" s="3" t="s">
        <v>118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118</v>
      </c>
      <c r="D84" s="3"/>
      <c r="E84" s="3" t="s">
        <v>118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109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118</v>
      </c>
      <c r="D85" s="3"/>
      <c r="E85" s="3" t="s">
        <v>118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105</v>
      </c>
      <c r="O85" s="3"/>
      <c r="P85" s="3"/>
      <c r="Q85" s="3">
        <v>1.18</v>
      </c>
      <c r="R85" s="3" t="s">
        <v>106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118</v>
      </c>
      <c r="D86" s="3"/>
      <c r="E86" s="3" t="s">
        <v>118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118</v>
      </c>
      <c r="D87" s="3"/>
      <c r="E87" s="3" t="s">
        <v>118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28.245000000000001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118</v>
      </c>
      <c r="D88" s="3"/>
      <c r="E88" s="3" t="s">
        <v>118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173.70599999999999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110</v>
      </c>
      <c r="O93" s="3"/>
      <c r="P93" s="3"/>
      <c r="Q93" s="3">
        <v>1.0129999999999999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275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158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119</v>
      </c>
      <c r="D96" s="3"/>
      <c r="E96" s="3" t="s">
        <v>119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119</v>
      </c>
      <c r="D97" s="3"/>
      <c r="E97" s="3" t="s">
        <v>119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109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119</v>
      </c>
      <c r="D98" s="3"/>
      <c r="E98" s="3" t="s">
        <v>119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105</v>
      </c>
      <c r="O98" s="3"/>
      <c r="P98" s="3"/>
      <c r="Q98" s="3">
        <v>1.302</v>
      </c>
      <c r="R98" s="3" t="s">
        <v>106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119</v>
      </c>
      <c r="D99" s="3"/>
      <c r="E99" s="3" t="s">
        <v>119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119</v>
      </c>
      <c r="D100" s="3"/>
      <c r="E100" s="3" t="s">
        <v>119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29.463999999999999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181.20400000000001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110</v>
      </c>
      <c r="O106" s="3"/>
      <c r="P106" s="3"/>
      <c r="Q106" s="3">
        <v>1.0940000000000001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277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159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120</v>
      </c>
      <c r="D109" s="3"/>
      <c r="E109" s="3" t="s">
        <v>120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120</v>
      </c>
      <c r="D110" s="3"/>
      <c r="E110" s="3" t="s">
        <v>120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109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120</v>
      </c>
      <c r="D111" s="3"/>
      <c r="E111" s="3" t="s">
        <v>120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105</v>
      </c>
      <c r="O111" s="3"/>
      <c r="P111" s="3"/>
      <c r="Q111" s="3">
        <v>0.59499999999999997</v>
      </c>
      <c r="R111" s="3" t="s">
        <v>106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120</v>
      </c>
      <c r="D112" s="3"/>
      <c r="E112" s="3" t="s">
        <v>120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22.757999999999999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139.964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110</v>
      </c>
      <c r="O119" s="3"/>
      <c r="P119" s="3"/>
      <c r="Q119" s="3">
        <v>0.60799999999999998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279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160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121</v>
      </c>
      <c r="D122" s="3"/>
      <c r="E122" s="3" t="s">
        <v>121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121</v>
      </c>
      <c r="D123" s="3"/>
      <c r="E123" s="3" t="s">
        <v>121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109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121</v>
      </c>
      <c r="D124" s="3"/>
      <c r="E124" s="3" t="s">
        <v>121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105</v>
      </c>
      <c r="O124" s="3"/>
      <c r="P124" s="3"/>
      <c r="Q124" s="3">
        <v>0.72299999999999998</v>
      </c>
      <c r="R124" s="3" t="s">
        <v>106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23.978000000000002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147.46199999999999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110</v>
      </c>
      <c r="O132" s="3"/>
      <c r="P132" s="3"/>
      <c r="Q132" s="3">
        <v>0.68899999999999995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281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161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122</v>
      </c>
      <c r="D135" s="3"/>
      <c r="E135" s="3" t="s">
        <v>122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122</v>
      </c>
      <c r="D136" s="3"/>
      <c r="E136" s="3" t="s">
        <v>122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109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105</v>
      </c>
      <c r="O137" s="3"/>
      <c r="P137" s="3"/>
      <c r="Q137" s="3">
        <v>0.85099999999999998</v>
      </c>
      <c r="R137" s="3" t="s">
        <v>106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25.196999999999999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154.96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110</v>
      </c>
      <c r="O145" s="3"/>
      <c r="P145" s="3"/>
      <c r="Q145" s="3">
        <v>0.77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283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162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123</v>
      </c>
      <c r="D148" s="3"/>
      <c r="E148" s="3" t="s">
        <v>123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109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105</v>
      </c>
      <c r="O150" s="3"/>
      <c r="P150" s="3"/>
      <c r="Q150" s="3">
        <v>0.97799999999999998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26.416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162.458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110</v>
      </c>
      <c r="O158" s="3"/>
      <c r="P158" s="3"/>
      <c r="Q158" s="3">
        <v>0.85099999999999998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285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163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1.042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27.026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166.20699999999999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110</v>
      </c>
      <c r="O171" s="3"/>
      <c r="P171" s="3"/>
      <c r="Q171" s="3">
        <v>0.89200000000000002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287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124</v>
      </c>
      <c r="D173" s="3"/>
      <c r="E173" s="3" t="s">
        <v>124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164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109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105</v>
      </c>
      <c r="O176" s="3"/>
      <c r="P176" s="3"/>
      <c r="Q176" s="3">
        <v>1.1060000000000001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169.95599999999999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110</v>
      </c>
      <c r="O184" s="3"/>
      <c r="P184" s="3"/>
      <c r="Q184" s="3">
        <v>0.93200000000000005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125</v>
      </c>
      <c r="D185" s="3"/>
      <c r="E185" s="3" t="s">
        <v>125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289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125</v>
      </c>
      <c r="D186" s="3"/>
      <c r="E186" s="3" t="s">
        <v>125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165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109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105</v>
      </c>
      <c r="O189" s="3"/>
      <c r="P189" s="3"/>
      <c r="Q189" s="3">
        <v>1.2330000000000001</v>
      </c>
      <c r="R189" s="3" t="s">
        <v>106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28.853999999999999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177.45500000000001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126</v>
      </c>
      <c r="D197" s="3"/>
      <c r="E197" s="3" t="s">
        <v>126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110</v>
      </c>
      <c r="O197" s="3"/>
      <c r="P197" s="3"/>
      <c r="Q197" s="3">
        <v>1.0129999999999999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126</v>
      </c>
      <c r="D198" s="3"/>
      <c r="E198" s="3" t="s">
        <v>126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291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126</v>
      </c>
      <c r="D199" s="3"/>
      <c r="E199" s="3" t="s">
        <v>126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166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109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105</v>
      </c>
      <c r="O202" s="3"/>
      <c r="P202" s="3"/>
      <c r="Q202" s="3">
        <v>1.361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30.074000000000002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184.953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127</v>
      </c>
      <c r="D209" s="3"/>
      <c r="E209" s="3" t="s">
        <v>127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127</v>
      </c>
      <c r="D210" s="3"/>
      <c r="E210" s="3" t="s">
        <v>127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110</v>
      </c>
      <c r="O210" s="3"/>
      <c r="P210" s="3"/>
      <c r="Q210" s="3">
        <v>1.0940000000000001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127</v>
      </c>
      <c r="D211" s="3"/>
      <c r="E211" s="3" t="s">
        <v>127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293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127</v>
      </c>
      <c r="D212" s="3"/>
      <c r="E212" s="3" t="s">
        <v>127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167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109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105</v>
      </c>
      <c r="O215" s="3"/>
      <c r="P215" s="3"/>
      <c r="Q215" s="3">
        <v>0.621</v>
      </c>
      <c r="R215" s="3" t="s">
        <v>106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23.367999999999999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143.71299999999999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128</v>
      </c>
      <c r="D221" s="3"/>
      <c r="E221" s="3" t="s">
        <v>128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128</v>
      </c>
      <c r="D222" s="3"/>
      <c r="E222" s="3" t="s">
        <v>128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128</v>
      </c>
      <c r="D223" s="3"/>
      <c r="E223" s="3" t="s">
        <v>128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110</v>
      </c>
      <c r="O223" s="3"/>
      <c r="P223" s="3"/>
      <c r="Q223" s="3">
        <v>1.216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128</v>
      </c>
      <c r="D224" s="3"/>
      <c r="E224" s="3" t="s">
        <v>128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295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128</v>
      </c>
      <c r="D225" s="3"/>
      <c r="E225" s="3" t="s">
        <v>128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168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109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105</v>
      </c>
      <c r="O228" s="3"/>
      <c r="P228" s="3"/>
      <c r="Q228" s="3">
        <v>0.754</v>
      </c>
      <c r="R228" s="3" t="s">
        <v>106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24.587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151.21100000000001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129</v>
      </c>
      <c r="D233" s="3"/>
      <c r="E233" s="3" t="s">
        <v>129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129</v>
      </c>
      <c r="D234" s="3"/>
      <c r="E234" s="3" t="s">
        <v>129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129</v>
      </c>
      <c r="D235" s="3"/>
      <c r="E235" s="3" t="s">
        <v>129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129</v>
      </c>
      <c r="D236" s="3"/>
      <c r="E236" s="3" t="s">
        <v>129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110</v>
      </c>
      <c r="O236" s="3"/>
      <c r="P236" s="3"/>
      <c r="Q236" s="3">
        <v>1.216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129</v>
      </c>
      <c r="D237" s="3"/>
      <c r="E237" s="3" t="s">
        <v>129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297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129</v>
      </c>
      <c r="D238" s="3"/>
      <c r="E238" s="3" t="s">
        <v>129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169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109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105</v>
      </c>
      <c r="O241" s="3"/>
      <c r="P241" s="3"/>
      <c r="Q241" s="3">
        <v>0.88700000000000001</v>
      </c>
      <c r="R241" s="3" t="s">
        <v>106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25.806000000000001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158.709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130</v>
      </c>
      <c r="D245" s="3"/>
      <c r="E245" s="3" t="s">
        <v>130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130</v>
      </c>
      <c r="D246" s="3"/>
      <c r="E246" s="3" t="s">
        <v>130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130</v>
      </c>
      <c r="D247" s="3"/>
      <c r="E247" s="3" t="s">
        <v>130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130</v>
      </c>
      <c r="D248" s="3"/>
      <c r="E248" s="3" t="s">
        <v>130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130</v>
      </c>
      <c r="D249" s="3"/>
      <c r="E249" s="3" t="s">
        <v>130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110</v>
      </c>
      <c r="O249" s="3"/>
      <c r="P249" s="3"/>
      <c r="Q249" s="3">
        <v>1.216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130</v>
      </c>
      <c r="D250" s="3"/>
      <c r="E250" s="3" t="s">
        <v>130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299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130</v>
      </c>
      <c r="D251" s="3"/>
      <c r="E251" s="3" t="s">
        <v>130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170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109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105</v>
      </c>
      <c r="O254" s="3"/>
      <c r="P254" s="3"/>
      <c r="Q254" s="3">
        <v>1.02</v>
      </c>
      <c r="R254" s="3" t="s">
        <v>106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27.026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131</v>
      </c>
      <c r="D257" s="3"/>
      <c r="E257" s="3" t="s">
        <v>131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166.20699999999999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131</v>
      </c>
      <c r="D258" s="3"/>
      <c r="E258" s="3" t="s">
        <v>131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131</v>
      </c>
      <c r="D259" s="3"/>
      <c r="E259" s="3" t="s">
        <v>131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131</v>
      </c>
      <c r="D260" s="3"/>
      <c r="E260" s="3" t="s">
        <v>131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131</v>
      </c>
      <c r="D261" s="3"/>
      <c r="E261" s="3" t="s">
        <v>131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131</v>
      </c>
      <c r="D262" s="3"/>
      <c r="E262" s="3" t="s">
        <v>131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110</v>
      </c>
      <c r="O262" s="3"/>
      <c r="P262" s="3"/>
      <c r="Q262" s="3">
        <v>1.216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131</v>
      </c>
      <c r="D263" s="3"/>
      <c r="E263" s="3" t="s">
        <v>131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301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131</v>
      </c>
      <c r="D264" s="3"/>
      <c r="E264" s="3" t="s">
        <v>131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171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109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105</v>
      </c>
      <c r="O267" s="3"/>
      <c r="P267" s="3"/>
      <c r="Q267" s="3">
        <v>1.087</v>
      </c>
      <c r="R267" s="3" t="s">
        <v>106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132</v>
      </c>
      <c r="D269" s="3"/>
      <c r="E269" s="3" t="s">
        <v>132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27.635000000000002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132</v>
      </c>
      <c r="D270" s="3"/>
      <c r="E270" s="3" t="s">
        <v>132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169.95599999999999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132</v>
      </c>
      <c r="D271" s="3"/>
      <c r="E271" s="3" t="s">
        <v>132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132</v>
      </c>
      <c r="D272" s="3"/>
      <c r="E272" s="3" t="s">
        <v>132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132</v>
      </c>
      <c r="D273" s="3"/>
      <c r="E273" s="3" t="s">
        <v>132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132</v>
      </c>
      <c r="D274" s="3"/>
      <c r="E274" s="3" t="s">
        <v>132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132</v>
      </c>
      <c r="D275" s="3"/>
      <c r="E275" s="3" t="s">
        <v>132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110</v>
      </c>
      <c r="O275" s="3"/>
      <c r="P275" s="3"/>
      <c r="Q275" s="3">
        <v>1.216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132</v>
      </c>
      <c r="D276" s="3"/>
      <c r="E276" s="3" t="s">
        <v>132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303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132</v>
      </c>
      <c r="D277" s="3"/>
      <c r="E277" s="3" t="s">
        <v>132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172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109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105</v>
      </c>
      <c r="O280" s="3"/>
      <c r="P280" s="3"/>
      <c r="Q280" s="3">
        <v>1.153</v>
      </c>
      <c r="R280" s="3" t="s">
        <v>106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133</v>
      </c>
      <c r="D281" s="3"/>
      <c r="E281" s="3" t="s">
        <v>133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133</v>
      </c>
      <c r="D282" s="3"/>
      <c r="E282" s="3" t="s">
        <v>133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28.245000000000001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133</v>
      </c>
      <c r="D283" s="3"/>
      <c r="E283" s="3" t="s">
        <v>133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173.70599999999999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133</v>
      </c>
      <c r="D284" s="3"/>
      <c r="E284" s="3" t="s">
        <v>133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133</v>
      </c>
      <c r="D285" s="3"/>
      <c r="E285" s="3" t="s">
        <v>133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133</v>
      </c>
      <c r="D286" s="3"/>
      <c r="E286" s="3" t="s">
        <v>133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133</v>
      </c>
      <c r="D287" s="3"/>
      <c r="E287" s="3" t="s">
        <v>133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133</v>
      </c>
      <c r="D288" s="3"/>
      <c r="E288" s="3" t="s">
        <v>133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110</v>
      </c>
      <c r="O288" s="3"/>
      <c r="P288" s="3"/>
      <c r="Q288" s="3">
        <v>1.216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133</v>
      </c>
      <c r="D289" s="3"/>
      <c r="E289" s="3" t="s">
        <v>133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305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133</v>
      </c>
      <c r="D290" s="3"/>
      <c r="E290" s="3" t="s">
        <v>133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173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109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134</v>
      </c>
      <c r="D293" s="3"/>
      <c r="E293" s="3" t="s">
        <v>134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105</v>
      </c>
      <c r="O293" s="3"/>
      <c r="P293" s="3"/>
      <c r="Q293" s="3">
        <v>1.286</v>
      </c>
      <c r="R293" s="3" t="s">
        <v>106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134</v>
      </c>
      <c r="D294" s="3"/>
      <c r="E294" s="3" t="s">
        <v>134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134</v>
      </c>
      <c r="D295" s="3"/>
      <c r="E295" s="3" t="s">
        <v>134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29.463999999999999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134</v>
      </c>
      <c r="D296" s="3"/>
      <c r="E296" s="3" t="s">
        <v>134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181.20400000000001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134</v>
      </c>
      <c r="D297" s="3"/>
      <c r="E297" s="3" t="s">
        <v>134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134</v>
      </c>
      <c r="D298" s="3"/>
      <c r="E298" s="3" t="s">
        <v>134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134</v>
      </c>
      <c r="D299" s="3"/>
      <c r="E299" s="3" t="s">
        <v>134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134</v>
      </c>
      <c r="D300" s="3"/>
      <c r="E300" s="3" t="s">
        <v>134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134</v>
      </c>
      <c r="D301" s="3"/>
      <c r="E301" s="3" t="s">
        <v>134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110</v>
      </c>
      <c r="O301" s="3"/>
      <c r="P301" s="3"/>
      <c r="Q301" s="3">
        <v>1.216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134</v>
      </c>
      <c r="D302" s="3"/>
      <c r="E302" s="3" t="s">
        <v>134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307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134</v>
      </c>
      <c r="D303" s="3"/>
      <c r="E303" s="3" t="s">
        <v>134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174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135</v>
      </c>
      <c r="D305" s="3"/>
      <c r="E305" s="3" t="s">
        <v>135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109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135</v>
      </c>
      <c r="D306" s="3"/>
      <c r="E306" s="3" t="s">
        <v>135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105</v>
      </c>
      <c r="O306" s="3"/>
      <c r="P306" s="3"/>
      <c r="Q306" s="3">
        <v>1.419</v>
      </c>
      <c r="R306" s="3" t="s">
        <v>106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135</v>
      </c>
      <c r="D307" s="3"/>
      <c r="E307" s="3" t="s">
        <v>135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135</v>
      </c>
      <c r="D308" s="3"/>
      <c r="E308" s="3" t="s">
        <v>135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30.683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135</v>
      </c>
      <c r="D309" s="3"/>
      <c r="E309" s="3" t="s">
        <v>135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188.702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135</v>
      </c>
      <c r="D310" s="3"/>
      <c r="E310" s="3" t="s">
        <v>135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135</v>
      </c>
      <c r="D311" s="3"/>
      <c r="E311" s="3" t="s">
        <v>135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135</v>
      </c>
      <c r="D312" s="3"/>
      <c r="E312" s="3" t="s">
        <v>135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135</v>
      </c>
      <c r="D313" s="3"/>
      <c r="E313" s="3" t="s">
        <v>135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135</v>
      </c>
      <c r="D314" s="3"/>
      <c r="E314" s="3" t="s">
        <v>135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110</v>
      </c>
      <c r="O314" s="3"/>
      <c r="P314" s="3"/>
      <c r="Q314" s="3">
        <v>1.216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135</v>
      </c>
      <c r="D315" s="3"/>
      <c r="E315" s="3" t="s">
        <v>135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309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135</v>
      </c>
      <c r="D316" s="3"/>
      <c r="E316" s="3" t="s">
        <v>135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175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136</v>
      </c>
      <c r="D317" s="3"/>
      <c r="E317" s="3" t="s">
        <v>136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136</v>
      </c>
      <c r="D318" s="3"/>
      <c r="E318" s="3" t="s">
        <v>136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136</v>
      </c>
      <c r="D319" s="3"/>
      <c r="E319" s="3" t="s">
        <v>136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0.63800000000000001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136</v>
      </c>
      <c r="D320" s="3"/>
      <c r="E320" s="3" t="s">
        <v>136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136</v>
      </c>
      <c r="D321" s="3"/>
      <c r="E321" s="3" t="s">
        <v>136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23.774000000000001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136</v>
      </c>
      <c r="D322" s="3"/>
      <c r="E322" s="3" t="s">
        <v>136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146.21299999999999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136</v>
      </c>
      <c r="D323" s="3"/>
      <c r="E323" s="3" t="s">
        <v>136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136</v>
      </c>
      <c r="D324" s="3"/>
      <c r="E324" s="3" t="s">
        <v>136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136</v>
      </c>
      <c r="D325" s="3"/>
      <c r="E325" s="3" t="s">
        <v>136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136</v>
      </c>
      <c r="D326" s="3"/>
      <c r="E326" s="3" t="s">
        <v>136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136</v>
      </c>
      <c r="D327" s="3"/>
      <c r="E327" s="3" t="s">
        <v>136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110</v>
      </c>
      <c r="O327" s="3"/>
      <c r="P327" s="3"/>
      <c r="Q327" s="3">
        <v>1.2430000000000001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136</v>
      </c>
      <c r="D328" s="3"/>
      <c r="E328" s="3" t="s">
        <v>136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311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136</v>
      </c>
      <c r="D329" s="3"/>
      <c r="E329" s="3" t="s">
        <v>136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176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137</v>
      </c>
      <c r="D330" s="3"/>
      <c r="E330" s="3" t="s">
        <v>137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137</v>
      </c>
      <c r="D331" s="3"/>
      <c r="E331" s="3" t="s">
        <v>137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109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137</v>
      </c>
      <c r="D332" s="3"/>
      <c r="E332" s="3" t="s">
        <v>137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105</v>
      </c>
      <c r="O332" s="3"/>
      <c r="P332" s="3"/>
      <c r="Q332" s="3">
        <v>0.77500000000000002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137</v>
      </c>
      <c r="D333" s="3"/>
      <c r="E333" s="3" t="s">
        <v>137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137</v>
      </c>
      <c r="D334" s="3"/>
      <c r="E334" s="3" t="s">
        <v>137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24.994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137</v>
      </c>
      <c r="D335" s="3"/>
      <c r="E335" s="3" t="s">
        <v>137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153.71100000000001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137</v>
      </c>
      <c r="D336" s="3"/>
      <c r="E336" s="3" t="s">
        <v>137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137</v>
      </c>
      <c r="D337" s="3"/>
      <c r="E337" s="3" t="s">
        <v>137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137</v>
      </c>
      <c r="D338" s="3"/>
      <c r="E338" s="3" t="s">
        <v>137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137</v>
      </c>
      <c r="D339" s="3"/>
      <c r="E339" s="3" t="s">
        <v>137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137</v>
      </c>
      <c r="D340" s="3"/>
      <c r="E340" s="3" t="s">
        <v>137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110</v>
      </c>
      <c r="O340" s="3"/>
      <c r="P340" s="3"/>
      <c r="Q340" s="3">
        <v>1.2430000000000001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137</v>
      </c>
      <c r="D341" s="3"/>
      <c r="E341" s="3" t="s">
        <v>137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313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137</v>
      </c>
      <c r="D342" s="3"/>
      <c r="E342" s="3" t="s">
        <v>137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177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138</v>
      </c>
      <c r="D343" s="3"/>
      <c r="E343" s="3" t="s">
        <v>138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138</v>
      </c>
      <c r="D344" s="3"/>
      <c r="E344" s="3" t="s">
        <v>138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109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138</v>
      </c>
      <c r="D345" s="3"/>
      <c r="E345" s="3" t="s">
        <v>138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105</v>
      </c>
      <c r="O345" s="3"/>
      <c r="P345" s="3"/>
      <c r="Q345" s="3">
        <v>0.91100000000000003</v>
      </c>
      <c r="R345" s="3" t="s">
        <v>106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138</v>
      </c>
      <c r="D346" s="3"/>
      <c r="E346" s="3" t="s">
        <v>138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138</v>
      </c>
      <c r="D347" s="3"/>
      <c r="E347" s="3" t="s">
        <v>138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26.213000000000001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138</v>
      </c>
      <c r="D348" s="3"/>
      <c r="E348" s="3" t="s">
        <v>138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161.209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138</v>
      </c>
      <c r="D349" s="3"/>
      <c r="E349" s="3" t="s">
        <v>138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138</v>
      </c>
      <c r="D350" s="3"/>
      <c r="E350" s="3" t="s">
        <v>138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138</v>
      </c>
      <c r="D351" s="3"/>
      <c r="E351" s="3" t="s">
        <v>138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138</v>
      </c>
      <c r="D352" s="3"/>
      <c r="E352" s="3" t="s">
        <v>138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138</v>
      </c>
      <c r="D353" s="3"/>
      <c r="E353" s="3" t="s">
        <v>138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110</v>
      </c>
      <c r="O353" s="3"/>
      <c r="P353" s="3"/>
      <c r="Q353" s="3">
        <v>1.2430000000000001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138</v>
      </c>
      <c r="D354" s="3"/>
      <c r="E354" s="3" t="s">
        <v>138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315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138</v>
      </c>
      <c r="D355" s="3"/>
      <c r="E355" s="3" t="s">
        <v>138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178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139</v>
      </c>
      <c r="D356" s="3"/>
      <c r="E356" s="3" t="s">
        <v>139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139</v>
      </c>
      <c r="D357" s="3"/>
      <c r="E357" s="3" t="s">
        <v>139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109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139</v>
      </c>
      <c r="D358" s="3"/>
      <c r="E358" s="3" t="s">
        <v>139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105</v>
      </c>
      <c r="O358" s="3"/>
      <c r="P358" s="3"/>
      <c r="Q358" s="3">
        <v>1.048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139</v>
      </c>
      <c r="D359" s="3"/>
      <c r="E359" s="3" t="s">
        <v>139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139</v>
      </c>
      <c r="D360" s="3"/>
      <c r="E360" s="3" t="s">
        <v>139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27.431999999999999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139</v>
      </c>
      <c r="D361" s="3"/>
      <c r="E361" s="3" t="s">
        <v>139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168.70699999999999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139</v>
      </c>
      <c r="D362" s="3"/>
      <c r="E362" s="3" t="s">
        <v>139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139</v>
      </c>
      <c r="D363" s="3"/>
      <c r="E363" s="3" t="s">
        <v>139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139</v>
      </c>
      <c r="D364" s="3"/>
      <c r="E364" s="3" t="s">
        <v>139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139</v>
      </c>
      <c r="D365" s="3"/>
      <c r="E365" s="3" t="s">
        <v>139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139</v>
      </c>
      <c r="D366" s="3"/>
      <c r="E366" s="3" t="s">
        <v>139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110</v>
      </c>
      <c r="O366" s="3"/>
      <c r="P366" s="3"/>
      <c r="Q366" s="3">
        <v>1.2430000000000001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139</v>
      </c>
      <c r="D367" s="3"/>
      <c r="E367" s="3" t="s">
        <v>139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317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139</v>
      </c>
      <c r="D368" s="3"/>
      <c r="E368" s="3" t="s">
        <v>139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179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140</v>
      </c>
      <c r="D369" s="3"/>
      <c r="E369" s="3" t="s">
        <v>140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140</v>
      </c>
      <c r="D370" s="3"/>
      <c r="E370" s="3" t="s">
        <v>140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109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140</v>
      </c>
      <c r="D371" s="3"/>
      <c r="E371" s="3" t="s">
        <v>140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105</v>
      </c>
      <c r="O371" s="3"/>
      <c r="P371" s="3"/>
      <c r="Q371" s="3">
        <v>1.1160000000000001</v>
      </c>
      <c r="R371" s="3" t="s">
        <v>106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140</v>
      </c>
      <c r="D372" s="3"/>
      <c r="E372" s="3" t="s">
        <v>140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140</v>
      </c>
      <c r="D373" s="3"/>
      <c r="E373" s="3" t="s">
        <v>140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28.042000000000002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140</v>
      </c>
      <c r="D374" s="3"/>
      <c r="E374" s="3" t="s">
        <v>140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172.45599999999999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140</v>
      </c>
      <c r="D375" s="3"/>
      <c r="E375" s="3" t="s">
        <v>140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140</v>
      </c>
      <c r="D376" s="3"/>
      <c r="E376" s="3" t="s">
        <v>140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140</v>
      </c>
      <c r="D377" s="3"/>
      <c r="E377" s="3" t="s">
        <v>140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140</v>
      </c>
      <c r="D378" s="3"/>
      <c r="E378" s="3" t="s">
        <v>140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140</v>
      </c>
      <c r="D379" s="3"/>
      <c r="E379" s="3" t="s">
        <v>140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110</v>
      </c>
      <c r="O379" s="3"/>
      <c r="P379" s="3"/>
      <c r="Q379" s="3">
        <v>1.2430000000000001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140</v>
      </c>
      <c r="D380" s="3"/>
      <c r="E380" s="3" t="s">
        <v>140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319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140</v>
      </c>
      <c r="D381" s="3"/>
      <c r="E381" s="3" t="s">
        <v>140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180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141</v>
      </c>
      <c r="D382" s="3"/>
      <c r="E382" s="3" t="s">
        <v>141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141</v>
      </c>
      <c r="D383" s="3"/>
      <c r="E383" s="3" t="s">
        <v>141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109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141</v>
      </c>
      <c r="D384" s="3"/>
      <c r="E384" s="3" t="s">
        <v>141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105</v>
      </c>
      <c r="O384" s="3"/>
      <c r="P384" s="3"/>
      <c r="Q384" s="3">
        <v>1.1850000000000001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141</v>
      </c>
      <c r="D385" s="3"/>
      <c r="E385" s="3" t="s">
        <v>141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141</v>
      </c>
      <c r="D386" s="3"/>
      <c r="E386" s="3" t="s">
        <v>141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28.651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141</v>
      </c>
      <c r="D387" s="3"/>
      <c r="E387" s="3" t="s">
        <v>141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176.20500000000001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141</v>
      </c>
      <c r="D388" s="3"/>
      <c r="E388" s="3" t="s">
        <v>141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141</v>
      </c>
      <c r="D389" s="3"/>
      <c r="E389" s="3" t="s">
        <v>141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141</v>
      </c>
      <c r="D390" s="3"/>
      <c r="E390" s="3" t="s">
        <v>141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141</v>
      </c>
      <c r="D391" s="3"/>
      <c r="E391" s="3" t="s">
        <v>141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141</v>
      </c>
      <c r="D392" s="3"/>
      <c r="E392" s="3" t="s">
        <v>141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110</v>
      </c>
      <c r="O392" s="3"/>
      <c r="P392" s="3"/>
      <c r="Q392" s="3">
        <v>1.2430000000000001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141</v>
      </c>
      <c r="D393" s="3"/>
      <c r="E393" s="3" t="s">
        <v>141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321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141</v>
      </c>
      <c r="D394" s="3"/>
      <c r="E394" s="3" t="s">
        <v>141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181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142</v>
      </c>
      <c r="D395" s="3"/>
      <c r="E395" s="3" t="s">
        <v>142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142</v>
      </c>
      <c r="D396" s="3"/>
      <c r="E396" s="3" t="s">
        <v>142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109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142</v>
      </c>
      <c r="D397" s="3"/>
      <c r="E397" s="3" t="s">
        <v>142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105</v>
      </c>
      <c r="O397" s="3"/>
      <c r="P397" s="3"/>
      <c r="Q397" s="3">
        <v>1.321</v>
      </c>
      <c r="R397" s="3" t="s">
        <v>106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142</v>
      </c>
      <c r="D398" s="3"/>
      <c r="E398" s="3" t="s">
        <v>142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142</v>
      </c>
      <c r="D399" s="3"/>
      <c r="E399" s="3" t="s">
        <v>142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29.87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142</v>
      </c>
      <c r="D400" s="3"/>
      <c r="E400" s="3" t="s">
        <v>142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183.703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142</v>
      </c>
      <c r="D401" s="3"/>
      <c r="E401" s="3" t="s">
        <v>142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142</v>
      </c>
      <c r="D402" s="3"/>
      <c r="E402" s="3" t="s">
        <v>142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142</v>
      </c>
      <c r="D403" s="3"/>
      <c r="E403" s="3" t="s">
        <v>142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142</v>
      </c>
      <c r="D404" s="3"/>
      <c r="E404" s="3" t="s">
        <v>142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142</v>
      </c>
      <c r="D405" s="3"/>
      <c r="E405" s="3" t="s">
        <v>142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110</v>
      </c>
      <c r="O405" s="3"/>
      <c r="P405" s="3"/>
      <c r="Q405" s="3">
        <v>1.2430000000000001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142</v>
      </c>
      <c r="D406" s="3"/>
      <c r="E406" s="3" t="s">
        <v>142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323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142</v>
      </c>
      <c r="D407" s="3"/>
      <c r="E407" s="3" t="s">
        <v>142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182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143</v>
      </c>
      <c r="D408" s="3"/>
      <c r="E408" s="3" t="s">
        <v>143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143</v>
      </c>
      <c r="D409" s="3"/>
      <c r="E409" s="3" t="s">
        <v>143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109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143</v>
      </c>
      <c r="D410" s="3"/>
      <c r="E410" s="3" t="s">
        <v>143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105</v>
      </c>
      <c r="O410" s="3"/>
      <c r="P410" s="3"/>
      <c r="Q410" s="3">
        <v>1.458</v>
      </c>
      <c r="R410" s="3" t="s">
        <v>106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143</v>
      </c>
      <c r="D411" s="3"/>
      <c r="E411" s="3" t="s">
        <v>143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143</v>
      </c>
      <c r="D412" s="3"/>
      <c r="E412" s="3" t="s">
        <v>143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31.09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143</v>
      </c>
      <c r="D413" s="3"/>
      <c r="E413" s="3" t="s">
        <v>143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191.20099999999999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143</v>
      </c>
      <c r="D414" s="3"/>
      <c r="E414" s="3" t="s">
        <v>143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143</v>
      </c>
      <c r="D415" s="3"/>
      <c r="E415" s="3" t="s">
        <v>143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143</v>
      </c>
      <c r="D416" s="3"/>
      <c r="E416" s="3" t="s">
        <v>143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143</v>
      </c>
      <c r="D417" s="3"/>
      <c r="E417" s="3" t="s">
        <v>143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143</v>
      </c>
      <c r="D418" s="3"/>
      <c r="E418" s="3" t="s">
        <v>143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110</v>
      </c>
      <c r="O418" s="3"/>
      <c r="P418" s="3"/>
      <c r="Q418" s="3">
        <v>1.2430000000000001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143</v>
      </c>
      <c r="D419" s="3"/>
      <c r="E419" s="3" t="s">
        <v>143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325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143</v>
      </c>
      <c r="D420" s="3"/>
      <c r="E420" s="3" t="s">
        <v>143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183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144</v>
      </c>
      <c r="D421" s="3"/>
      <c r="E421" s="3" t="s">
        <v>144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144</v>
      </c>
      <c r="D422" s="3"/>
      <c r="E422" s="3" t="s">
        <v>144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109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144</v>
      </c>
      <c r="D423" s="3"/>
      <c r="E423" s="3" t="s">
        <v>144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105</v>
      </c>
      <c r="O423" s="3"/>
      <c r="P423" s="3"/>
      <c r="Q423" s="3">
        <v>0.67200000000000004</v>
      </c>
      <c r="R423" s="3" t="s">
        <v>106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144</v>
      </c>
      <c r="D424" s="3"/>
      <c r="E424" s="3" t="s">
        <v>144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144</v>
      </c>
      <c r="D425" s="3"/>
      <c r="E425" s="3" t="s">
        <v>144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24.587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144</v>
      </c>
      <c r="D426" s="3"/>
      <c r="E426" s="3" t="s">
        <v>144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151.21100000000001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144</v>
      </c>
      <c r="D427" s="3"/>
      <c r="E427" s="3" t="s">
        <v>144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144</v>
      </c>
      <c r="D428" s="3"/>
      <c r="E428" s="3" t="s">
        <v>144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144</v>
      </c>
      <c r="D429" s="3"/>
      <c r="E429" s="3" t="s">
        <v>144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144</v>
      </c>
      <c r="D430" s="3"/>
      <c r="E430" s="3" t="s">
        <v>144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144</v>
      </c>
      <c r="D431" s="3"/>
      <c r="E431" s="3" t="s">
        <v>144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110</v>
      </c>
      <c r="O431" s="3"/>
      <c r="P431" s="3"/>
      <c r="Q431" s="3">
        <v>1.2969999999999999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144</v>
      </c>
      <c r="D432" s="3"/>
      <c r="E432" s="3" t="s">
        <v>144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327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144</v>
      </c>
      <c r="D433" s="3"/>
      <c r="E433" s="3" t="s">
        <v>144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184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145</v>
      </c>
      <c r="D434" s="3"/>
      <c r="E434" s="3" t="s">
        <v>145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145</v>
      </c>
      <c r="D435" s="3"/>
      <c r="E435" s="3" t="s">
        <v>145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109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145</v>
      </c>
      <c r="D436" s="3"/>
      <c r="E436" s="3" t="s">
        <v>145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105</v>
      </c>
      <c r="O436" s="3"/>
      <c r="P436" s="3"/>
      <c r="Q436" s="3">
        <v>0.81599999999999995</v>
      </c>
      <c r="R436" s="3" t="s">
        <v>106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145</v>
      </c>
      <c r="D437" s="3"/>
      <c r="E437" s="3" t="s">
        <v>145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145</v>
      </c>
      <c r="D438" s="3"/>
      <c r="E438" s="3" t="s">
        <v>145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25.806000000000001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145</v>
      </c>
      <c r="D439" s="3"/>
      <c r="E439" s="3" t="s">
        <v>145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158.709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145</v>
      </c>
      <c r="D440" s="3"/>
      <c r="E440" s="3" t="s">
        <v>145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145</v>
      </c>
      <c r="D441" s="3"/>
      <c r="E441" s="3" t="s">
        <v>145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145</v>
      </c>
      <c r="D442" s="3"/>
      <c r="E442" s="3" t="s">
        <v>145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145</v>
      </c>
      <c r="D443" s="3"/>
      <c r="E443" s="3" t="s">
        <v>145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145</v>
      </c>
      <c r="D444" s="3"/>
      <c r="E444" s="3" t="s">
        <v>145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110</v>
      </c>
      <c r="O444" s="3"/>
      <c r="P444" s="3"/>
      <c r="Q444" s="3">
        <v>1.2969999999999999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145</v>
      </c>
      <c r="D445" s="3"/>
      <c r="E445" s="3" t="s">
        <v>145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329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145</v>
      </c>
      <c r="D446" s="3"/>
      <c r="E446" s="3" t="s">
        <v>145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185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146</v>
      </c>
      <c r="D447" s="3"/>
      <c r="E447" s="3" t="s">
        <v>146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146</v>
      </c>
      <c r="D448" s="3"/>
      <c r="E448" s="3" t="s">
        <v>146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109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146</v>
      </c>
      <c r="D449" s="3"/>
      <c r="E449" s="3" t="s">
        <v>146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105</v>
      </c>
      <c r="O449" s="3"/>
      <c r="P449" s="3"/>
      <c r="Q449" s="3">
        <v>0.96</v>
      </c>
      <c r="R449" s="3" t="s">
        <v>106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146</v>
      </c>
      <c r="D450" s="3"/>
      <c r="E450" s="3" t="s">
        <v>146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146</v>
      </c>
      <c r="D451" s="3"/>
      <c r="E451" s="3" t="s">
        <v>146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27.026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146</v>
      </c>
      <c r="D452" s="3"/>
      <c r="E452" s="3" t="s">
        <v>146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166.20699999999999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146</v>
      </c>
      <c r="D453" s="3"/>
      <c r="E453" s="3" t="s">
        <v>146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146</v>
      </c>
      <c r="D454" s="3"/>
      <c r="E454" s="3" t="s">
        <v>146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146</v>
      </c>
      <c r="D455" s="3"/>
      <c r="E455" s="3" t="s">
        <v>146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146</v>
      </c>
      <c r="D456" s="3"/>
      <c r="E456" s="3" t="s">
        <v>146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146</v>
      </c>
      <c r="D457" s="3"/>
      <c r="E457" s="3" t="s">
        <v>146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110</v>
      </c>
      <c r="O457" s="3"/>
      <c r="P457" s="3"/>
      <c r="Q457" s="3">
        <v>1.2969999999999999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146</v>
      </c>
      <c r="D458" s="3"/>
      <c r="E458" s="3" t="s">
        <v>146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331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146</v>
      </c>
      <c r="D459" s="3"/>
      <c r="E459" s="3" t="s">
        <v>146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186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147</v>
      </c>
      <c r="D460" s="3"/>
      <c r="E460" s="3" t="s">
        <v>147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147</v>
      </c>
      <c r="D461" s="3"/>
      <c r="E461" s="3" t="s">
        <v>147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109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147</v>
      </c>
      <c r="D462" s="3"/>
      <c r="E462" s="3" t="s">
        <v>147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105</v>
      </c>
      <c r="O462" s="3"/>
      <c r="P462" s="3"/>
      <c r="Q462" s="3">
        <v>1.1040000000000001</v>
      </c>
      <c r="R462" s="3" t="s">
        <v>106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147</v>
      </c>
      <c r="D463" s="3"/>
      <c r="E463" s="3" t="s">
        <v>147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147</v>
      </c>
      <c r="D464" s="3"/>
      <c r="E464" s="3" t="s">
        <v>147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28.245000000000001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147</v>
      </c>
      <c r="D465" s="3"/>
      <c r="E465" s="3" t="s">
        <v>147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173.70599999999999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147</v>
      </c>
      <c r="D466" s="3"/>
      <c r="E466" s="3" t="s">
        <v>147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147</v>
      </c>
      <c r="D467" s="3"/>
      <c r="E467" s="3" t="s">
        <v>147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147</v>
      </c>
      <c r="D468" s="3"/>
      <c r="E468" s="3" t="s">
        <v>147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147</v>
      </c>
      <c r="D469" s="3"/>
      <c r="E469" s="3" t="s">
        <v>147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147</v>
      </c>
      <c r="D470" s="3"/>
      <c r="E470" s="3" t="s">
        <v>147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110</v>
      </c>
      <c r="O470" s="3"/>
      <c r="P470" s="3"/>
      <c r="Q470" s="3">
        <v>1.2969999999999999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147</v>
      </c>
      <c r="D471" s="3"/>
      <c r="E471" s="3" t="s">
        <v>147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333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147</v>
      </c>
      <c r="D472" s="3"/>
      <c r="E472" s="3" t="s">
        <v>147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187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148</v>
      </c>
      <c r="D473" s="3"/>
      <c r="E473" s="3" t="s">
        <v>148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148</v>
      </c>
      <c r="D474" s="3"/>
      <c r="E474" s="3" t="s">
        <v>148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148</v>
      </c>
      <c r="D475" s="3"/>
      <c r="E475" s="3" t="s">
        <v>148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1.1759999999999999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148</v>
      </c>
      <c r="D476" s="3"/>
      <c r="E476" s="3" t="s">
        <v>148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148</v>
      </c>
      <c r="D477" s="3"/>
      <c r="E477" s="3" t="s">
        <v>148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28.853999999999999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148</v>
      </c>
      <c r="D478" s="3"/>
      <c r="E478" s="3" t="s">
        <v>148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177.45500000000001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148</v>
      </c>
      <c r="D479" s="3"/>
      <c r="E479" s="3" t="s">
        <v>148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148</v>
      </c>
      <c r="D480" s="3"/>
      <c r="E480" s="3" t="s">
        <v>148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148</v>
      </c>
      <c r="D481" s="3"/>
      <c r="E481" s="3" t="s">
        <v>148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148</v>
      </c>
      <c r="D482" s="3"/>
      <c r="E482" s="3" t="s">
        <v>148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148</v>
      </c>
      <c r="D483" s="3"/>
      <c r="E483" s="3" t="s">
        <v>148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110</v>
      </c>
      <c r="O483" s="3"/>
      <c r="P483" s="3"/>
      <c r="Q483" s="3">
        <v>1.2969999999999999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148</v>
      </c>
      <c r="D484" s="3"/>
      <c r="E484" s="3" t="s">
        <v>148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335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148</v>
      </c>
      <c r="D485" s="3"/>
      <c r="E485" s="3" t="s">
        <v>148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188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149</v>
      </c>
      <c r="D486" s="3"/>
      <c r="E486" s="3" t="s">
        <v>149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149</v>
      </c>
      <c r="D487" s="3"/>
      <c r="E487" s="3" t="s">
        <v>149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109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149</v>
      </c>
      <c r="D488" s="3"/>
      <c r="E488" s="3" t="s">
        <v>149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105</v>
      </c>
      <c r="O488" s="3"/>
      <c r="P488" s="3"/>
      <c r="Q488" s="3">
        <v>1.248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149</v>
      </c>
      <c r="D489" s="3"/>
      <c r="E489" s="3" t="s">
        <v>149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149</v>
      </c>
      <c r="D490" s="3"/>
      <c r="E490" s="3" t="s">
        <v>149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29.463999999999999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149</v>
      </c>
      <c r="D491" s="3"/>
      <c r="E491" s="3" t="s">
        <v>149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181.20400000000001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149</v>
      </c>
      <c r="D492" s="3"/>
      <c r="E492" s="3" t="s">
        <v>149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149</v>
      </c>
      <c r="D493" s="3"/>
      <c r="E493" s="3" t="s">
        <v>149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149</v>
      </c>
      <c r="D494" s="3"/>
      <c r="E494" s="3" t="s">
        <v>149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149</v>
      </c>
      <c r="D495" s="3"/>
      <c r="E495" s="3" t="s">
        <v>149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149</v>
      </c>
      <c r="D496" s="3"/>
      <c r="E496" s="3" t="s">
        <v>149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110</v>
      </c>
      <c r="O496" s="3"/>
      <c r="P496" s="3"/>
      <c r="Q496" s="3">
        <v>1.2969999999999999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149</v>
      </c>
      <c r="D497" s="3"/>
      <c r="E497" s="3" t="s">
        <v>149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337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149</v>
      </c>
      <c r="D498" s="3"/>
      <c r="E498" s="3" t="s">
        <v>149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189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150</v>
      </c>
      <c r="D499" s="3"/>
      <c r="E499" s="3" t="s">
        <v>150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150</v>
      </c>
      <c r="D500" s="3"/>
      <c r="E500" s="3" t="s">
        <v>150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109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150</v>
      </c>
      <c r="D501" s="3"/>
      <c r="E501" s="3" t="s">
        <v>150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105</v>
      </c>
      <c r="O501" s="3"/>
      <c r="P501" s="3"/>
      <c r="Q501" s="3">
        <v>1.3919999999999999</v>
      </c>
      <c r="R501" s="3" t="s">
        <v>106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150</v>
      </c>
      <c r="D502" s="3"/>
      <c r="E502" s="3" t="s">
        <v>150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150</v>
      </c>
      <c r="D503" s="3"/>
      <c r="E503" s="3" t="s">
        <v>150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30.683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150</v>
      </c>
      <c r="D504" s="3"/>
      <c r="E504" s="3" t="s">
        <v>150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188.702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150</v>
      </c>
      <c r="D505" s="3"/>
      <c r="E505" s="3" t="s">
        <v>150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150</v>
      </c>
      <c r="D506" s="3"/>
      <c r="E506" s="3" t="s">
        <v>150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150</v>
      </c>
      <c r="D507" s="3"/>
      <c r="E507" s="3" t="s">
        <v>150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150</v>
      </c>
      <c r="D508" s="3"/>
      <c r="E508" s="3" t="s">
        <v>150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150</v>
      </c>
      <c r="D509" s="3"/>
      <c r="E509" s="3" t="s">
        <v>150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110</v>
      </c>
      <c r="O509" s="3"/>
      <c r="P509" s="3"/>
      <c r="Q509" s="3">
        <v>1.2969999999999999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150</v>
      </c>
      <c r="D510" s="3"/>
      <c r="E510" s="3" t="s">
        <v>150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339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150</v>
      </c>
      <c r="D511" s="3"/>
      <c r="E511" s="3" t="s">
        <v>150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190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151</v>
      </c>
      <c r="D512" s="3"/>
      <c r="E512" s="3" t="s">
        <v>151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151</v>
      </c>
      <c r="D513" s="3"/>
      <c r="E513" s="3" t="s">
        <v>151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109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151</v>
      </c>
      <c r="D514" s="3"/>
      <c r="E514" s="3" t="s">
        <v>151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105</v>
      </c>
      <c r="O514" s="3"/>
      <c r="P514" s="3"/>
      <c r="Q514" s="3">
        <v>1.536</v>
      </c>
      <c r="R514" s="3" t="s">
        <v>106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151</v>
      </c>
      <c r="D515" s="3"/>
      <c r="E515" s="3" t="s">
        <v>151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151</v>
      </c>
      <c r="D516" s="3"/>
      <c r="E516" s="3" t="s">
        <v>151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31.902000000000001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151</v>
      </c>
      <c r="D517" s="3"/>
      <c r="E517" s="3" t="s">
        <v>151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196.2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151</v>
      </c>
      <c r="D518" s="3"/>
      <c r="E518" s="3" t="s">
        <v>151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151</v>
      </c>
      <c r="D519" s="3"/>
      <c r="E519" s="3" t="s">
        <v>151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151</v>
      </c>
      <c r="D520" s="3"/>
      <c r="E520" s="3" t="s">
        <v>151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151</v>
      </c>
      <c r="D521" s="3"/>
      <c r="E521" s="3" t="s">
        <v>151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151</v>
      </c>
      <c r="D522" s="3"/>
      <c r="E522" s="3" t="s">
        <v>151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110</v>
      </c>
      <c r="O522" s="3"/>
      <c r="P522" s="3"/>
      <c r="Q522" s="3">
        <v>1.2969999999999999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151</v>
      </c>
      <c r="D523" s="3"/>
      <c r="E523" s="3" t="s">
        <v>151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341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151</v>
      </c>
      <c r="D524" s="3"/>
      <c r="E524" s="3" t="s">
        <v>151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191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109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105</v>
      </c>
      <c r="O527" s="3"/>
      <c r="P527" s="3"/>
      <c r="Q527" s="3">
        <v>0.50900000000000001</v>
      </c>
      <c r="R527" s="3" t="s">
        <v>106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21.539000000000001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132.46600000000001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110</v>
      </c>
      <c r="O535" s="3"/>
      <c r="P535" s="3"/>
      <c r="Q535" s="3">
        <v>0.56699999999999995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343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193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109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105</v>
      </c>
      <c r="O540" s="3"/>
      <c r="P540" s="3"/>
      <c r="Q540" s="3">
        <v>0.63100000000000001</v>
      </c>
      <c r="R540" s="3" t="s">
        <v>106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22.757999999999999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139.964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110</v>
      </c>
      <c r="O548" s="3"/>
      <c r="P548" s="3"/>
      <c r="Q548" s="3">
        <v>0.64900000000000002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345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195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109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105</v>
      </c>
      <c r="O553" s="3"/>
      <c r="P553" s="3"/>
      <c r="Q553" s="3">
        <v>0.753</v>
      </c>
      <c r="R553" s="3" t="s">
        <v>106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23.978000000000002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147.46199999999999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110</v>
      </c>
      <c r="O561" s="3"/>
      <c r="P561" s="3"/>
      <c r="Q561" s="3">
        <v>0.73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347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197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109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105</v>
      </c>
      <c r="O566" s="3"/>
      <c r="P566" s="3"/>
      <c r="Q566" s="3">
        <v>0.875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25.196999999999999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154.96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110</v>
      </c>
      <c r="O574" s="3"/>
      <c r="P574" s="3"/>
      <c r="Q574" s="3">
        <v>0.81100000000000005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349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199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109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105</v>
      </c>
      <c r="O579" s="3"/>
      <c r="P579" s="3"/>
      <c r="Q579" s="3">
        <v>1.119</v>
      </c>
      <c r="R579" s="3" t="s">
        <v>106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27.635000000000002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169.95599999999999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110</v>
      </c>
      <c r="O587" s="3"/>
      <c r="P587" s="3"/>
      <c r="Q587" s="3">
        <v>0.97299999999999998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351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201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109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105</v>
      </c>
      <c r="O592" s="3"/>
      <c r="P592" s="3"/>
      <c r="Q592" s="3">
        <v>1.2410000000000001</v>
      </c>
      <c r="R592" s="3" t="s">
        <v>106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28.853999999999999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177.45500000000001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110</v>
      </c>
      <c r="O600" s="3"/>
      <c r="P600" s="3"/>
      <c r="Q600" s="3">
        <v>1.054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353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203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109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105</v>
      </c>
      <c r="O605" s="3"/>
      <c r="P605" s="3"/>
      <c r="Q605" s="3">
        <v>1.3640000000000001</v>
      </c>
      <c r="R605" s="3" t="s">
        <v>106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30.074000000000002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184.953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110</v>
      </c>
      <c r="O613" s="3"/>
      <c r="P613" s="3"/>
      <c r="Q613" s="3">
        <v>1.135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355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205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109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105</v>
      </c>
      <c r="O618" s="3"/>
      <c r="P618" s="3"/>
      <c r="Q618" s="3">
        <v>0.53200000000000003</v>
      </c>
      <c r="R618" s="3" t="s">
        <v>106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22.149000000000001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136.215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110</v>
      </c>
      <c r="O626" s="3"/>
      <c r="P626" s="3"/>
      <c r="Q626" s="3">
        <v>0.56699999999999995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357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207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0.65900000000000003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23.367999999999999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143.71299999999999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110</v>
      </c>
      <c r="O639" s="3"/>
      <c r="P639" s="3"/>
      <c r="Q639" s="3">
        <v>0.64900000000000002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359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209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109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105</v>
      </c>
      <c r="O644" s="3"/>
      <c r="P644" s="3"/>
      <c r="Q644" s="3">
        <v>0.78700000000000003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24.587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151.21100000000001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110</v>
      </c>
      <c r="O652" s="3"/>
      <c r="P652" s="3"/>
      <c r="Q652" s="3">
        <v>0.73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361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211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109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105</v>
      </c>
      <c r="O657" s="3"/>
      <c r="P657" s="3"/>
      <c r="Q657" s="3">
        <v>0.91400000000000003</v>
      </c>
      <c r="R657" s="3" t="s">
        <v>106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25.806000000000001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158.709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110</v>
      </c>
      <c r="O665" s="3"/>
      <c r="P665" s="3"/>
      <c r="Q665" s="3">
        <v>0.81100000000000005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363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213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109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105</v>
      </c>
      <c r="O670" s="3"/>
      <c r="P670" s="3"/>
      <c r="Q670" s="3">
        <v>1.169</v>
      </c>
      <c r="R670" s="3" t="s">
        <v>106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28.245000000000001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173.70599999999999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110</v>
      </c>
      <c r="O678" s="3"/>
      <c r="P678" s="3"/>
      <c r="Q678" s="3">
        <v>0.97299999999999998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365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215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109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105</v>
      </c>
      <c r="O683" s="3"/>
      <c r="P683" s="3"/>
      <c r="Q683" s="3">
        <v>1.2969999999999999</v>
      </c>
      <c r="R683" s="3" t="s">
        <v>106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29.463999999999999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181.20400000000001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110</v>
      </c>
      <c r="O691" s="3"/>
      <c r="P691" s="3"/>
      <c r="Q691" s="3">
        <v>1.054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367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217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109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105</v>
      </c>
      <c r="O696" s="3"/>
      <c r="P696" s="3"/>
      <c r="Q696" s="3">
        <v>1.425</v>
      </c>
      <c r="R696" s="3" t="s">
        <v>106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30.683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188.702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110</v>
      </c>
      <c r="O704" s="3"/>
      <c r="P704" s="3"/>
      <c r="Q704" s="3">
        <v>1.135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369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219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109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105</v>
      </c>
      <c r="O709" s="3"/>
      <c r="P709" s="3"/>
      <c r="Q709" s="3">
        <v>0.55400000000000005</v>
      </c>
      <c r="R709" s="3" t="s">
        <v>106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22.757999999999999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139.964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110</v>
      </c>
      <c r="O717" s="3"/>
      <c r="P717" s="3"/>
      <c r="Q717" s="3">
        <v>1.216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371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221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109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105</v>
      </c>
      <c r="O722" s="3"/>
      <c r="P722" s="3"/>
      <c r="Q722" s="3">
        <v>0.68700000000000006</v>
      </c>
      <c r="R722" s="3" t="s">
        <v>106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23.978000000000002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147.46199999999999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110</v>
      </c>
      <c r="O730" s="3"/>
      <c r="P730" s="3"/>
      <c r="Q730" s="3">
        <v>1.216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373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223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109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105</v>
      </c>
      <c r="O735" s="3"/>
      <c r="P735" s="3"/>
      <c r="Q735" s="3">
        <v>0.82</v>
      </c>
      <c r="R735" s="3" t="s">
        <v>106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25.196999999999999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154.96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110</v>
      </c>
      <c r="O743" s="3"/>
      <c r="P743" s="3"/>
      <c r="Q743" s="3">
        <v>1.216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375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225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109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105</v>
      </c>
      <c r="O748" s="3"/>
      <c r="P748" s="3"/>
      <c r="Q748" s="3">
        <v>0.95299999999999996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26.416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162.458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110</v>
      </c>
      <c r="O756" s="3"/>
      <c r="P756" s="3"/>
      <c r="Q756" s="3">
        <v>1.216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377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227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109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105</v>
      </c>
      <c r="O761" s="3"/>
      <c r="P761" s="3"/>
      <c r="Q761" s="3">
        <v>1.22</v>
      </c>
      <c r="R761" s="3" t="s">
        <v>106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28.853999999999999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177.45500000000001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110</v>
      </c>
      <c r="O769" s="3"/>
      <c r="P769" s="3"/>
      <c r="Q769" s="3">
        <v>1.216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379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229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109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105</v>
      </c>
      <c r="O774" s="3"/>
      <c r="P774" s="3"/>
      <c r="Q774" s="3">
        <v>1.353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30.074000000000002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184.953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110</v>
      </c>
      <c r="O782" s="3"/>
      <c r="P782" s="3"/>
      <c r="Q782" s="3">
        <v>1.216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381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231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1.486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31.292999999999999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192.45099999999999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110</v>
      </c>
      <c r="O795" s="3"/>
      <c r="P795" s="3"/>
      <c r="Q795" s="3">
        <v>1.216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383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233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109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105</v>
      </c>
      <c r="O800" s="3"/>
      <c r="P800" s="3"/>
      <c r="Q800" s="3">
        <v>0.56999999999999995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23.164999999999999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142.464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110</v>
      </c>
      <c r="O808" s="3"/>
      <c r="P808" s="3"/>
      <c r="Q808" s="3">
        <v>1.2430000000000001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385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235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109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105</v>
      </c>
      <c r="O813" s="3"/>
      <c r="P813" s="3"/>
      <c r="Q813" s="3">
        <v>0.70599999999999996</v>
      </c>
      <c r="R813" s="3" t="s">
        <v>106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24.384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149.96199999999999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110</v>
      </c>
      <c r="O821" s="3"/>
      <c r="P821" s="3"/>
      <c r="Q821" s="3">
        <v>1.2430000000000001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387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237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109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105</v>
      </c>
      <c r="O826" s="3"/>
      <c r="P826" s="3"/>
      <c r="Q826" s="3">
        <v>0.84299999999999997</v>
      </c>
      <c r="R826" s="3" t="s">
        <v>106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25.603000000000002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157.46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110</v>
      </c>
      <c r="O834" s="3"/>
      <c r="P834" s="3"/>
      <c r="Q834" s="3">
        <v>1.2430000000000001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389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239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109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105</v>
      </c>
      <c r="O839" s="3"/>
      <c r="P839" s="3"/>
      <c r="Q839" s="3">
        <v>0.98</v>
      </c>
      <c r="R839" s="3" t="s">
        <v>106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26.821999999999999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164.958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110</v>
      </c>
      <c r="O847" s="3"/>
      <c r="P847" s="3"/>
      <c r="Q847" s="3">
        <v>1.2430000000000001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391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241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109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105</v>
      </c>
      <c r="O852" s="3"/>
      <c r="P852" s="3"/>
      <c r="Q852" s="3">
        <v>1.2529999999999999</v>
      </c>
      <c r="R852" s="3" t="s">
        <v>106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29.260999999999999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179.95400000000001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110</v>
      </c>
      <c r="O860" s="3"/>
      <c r="P860" s="3"/>
      <c r="Q860" s="3">
        <v>1.2430000000000001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393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243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109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105</v>
      </c>
      <c r="O865" s="3"/>
      <c r="P865" s="3"/>
      <c r="Q865" s="3">
        <v>1.39</v>
      </c>
      <c r="R865" s="3" t="s">
        <v>106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30.48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187.452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110</v>
      </c>
      <c r="O873" s="3"/>
      <c r="P873" s="3"/>
      <c r="Q873" s="3">
        <v>1.2430000000000001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395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245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109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105</v>
      </c>
      <c r="O878" s="3"/>
      <c r="P878" s="3"/>
      <c r="Q878" s="3">
        <v>1.526</v>
      </c>
      <c r="R878" s="3" t="s">
        <v>106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31.699000000000002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194.95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110</v>
      </c>
      <c r="O886" s="3"/>
      <c r="P886" s="3"/>
      <c r="Q886" s="3">
        <v>1.2430000000000001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397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247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109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105</v>
      </c>
      <c r="O891" s="3"/>
      <c r="P891" s="3"/>
      <c r="Q891" s="3">
        <v>0.6</v>
      </c>
      <c r="R891" s="3" t="s">
        <v>106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23.978000000000002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147.46199999999999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110</v>
      </c>
      <c r="O899" s="3"/>
      <c r="P899" s="3"/>
      <c r="Q899" s="3">
        <v>1.2969999999999999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399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249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109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105</v>
      </c>
      <c r="O904" s="3"/>
      <c r="P904" s="3"/>
      <c r="Q904" s="3">
        <v>0.74399999999999999</v>
      </c>
      <c r="R904" s="3" t="s">
        <v>106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154.96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110</v>
      </c>
      <c r="O912" s="3"/>
      <c r="P912" s="3"/>
      <c r="Q912" s="3">
        <v>1.2969999999999999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401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109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105</v>
      </c>
      <c r="O917" s="3"/>
      <c r="P917" s="3"/>
      <c r="Q917" s="3">
        <v>0.88800000000000001</v>
      </c>
      <c r="R917" s="3" t="s">
        <v>106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26.416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162.458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110</v>
      </c>
      <c r="O925" s="3"/>
      <c r="P925" s="3"/>
      <c r="Q925" s="3">
        <v>1.2969999999999999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403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109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105</v>
      </c>
      <c r="O930" s="3"/>
      <c r="P930" s="3"/>
      <c r="Q930" s="3">
        <v>1.032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27.635000000000002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169.95599999999999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110</v>
      </c>
      <c r="O938" s="3"/>
      <c r="P938" s="3"/>
      <c r="Q938" s="3">
        <v>1.2969999999999999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405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109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105</v>
      </c>
      <c r="O943" s="3"/>
      <c r="P943" s="3"/>
      <c r="Q943" s="3">
        <v>1.32</v>
      </c>
      <c r="R943" s="3" t="s">
        <v>106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30.074000000000002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184.953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110</v>
      </c>
      <c r="O951" s="3"/>
      <c r="P951" s="3"/>
      <c r="Q951" s="3">
        <v>1.2969999999999999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407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257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109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105</v>
      </c>
      <c r="O956" s="3"/>
      <c r="P956" s="3"/>
      <c r="Q956" s="3">
        <v>1.464</v>
      </c>
      <c r="R956" s="3" t="s">
        <v>106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31.292999999999999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192.45099999999999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110</v>
      </c>
      <c r="O964" s="3"/>
      <c r="P964" s="3"/>
      <c r="Q964" s="3">
        <v>1.2969999999999999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409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259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109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105</v>
      </c>
      <c r="O969" s="3"/>
      <c r="P969" s="3"/>
      <c r="Q969" s="3">
        <v>1.6080000000000001</v>
      </c>
      <c r="R969" s="3" t="s">
        <v>106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32.512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199.94900000000001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110</v>
      </c>
      <c r="O977" s="3"/>
      <c r="P977" s="3"/>
      <c r="Q977" s="3">
        <v>1.2969999999999999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411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2026-06-01T08:45:15Z</dcterms:modified>
</cp:coreProperties>
</file>