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color indexed="8"/>
      <sz val="11"/>
      <scheme val="minor"/>
    </font>
  </fonts>
  <fills count="7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0" pivotButton="0" quotePrefix="0" xfId="0"/>
    <xf numFmtId="164" fontId="3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164" fontId="3" fillId="0" borderId="1" applyAlignment="1" pivotButton="0" quotePrefix="0" xfId="0">
      <alignment vertical="center"/>
    </xf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4" fillId="6" borderId="2" applyAlignment="1" applyProtection="1" pivotButton="0" quotePrefix="0" xfId="0">
      <alignment horizontal="left"/>
      <protection locked="0" hidden="0"/>
    </xf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22" sqref="E22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2" customWidth="1" style="19" min="4" max="4"/>
    <col width="34.5703125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9.140625" customWidth="1" style="19" min="21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t="inlineStr">
        <is>
          <t>LENTH</t>
        </is>
      </c>
      <c r="S1" t="inlineStr">
        <is>
          <t>WIDTH</t>
        </is>
      </c>
      <c r="T1" t="inlineStr">
        <is>
          <t>HIG</t>
        </is>
      </c>
      <c r="U1" t="inlineStr">
        <is>
          <t>CLR</t>
        </is>
      </c>
    </row>
    <row r="2">
      <c r="A2" s="39" t="n">
        <v>1</v>
      </c>
      <c r="B2" s="16" t="inlineStr">
        <is>
          <t>STEEL</t>
        </is>
      </c>
      <c r="C2" s="16" t="inlineStr">
        <is>
          <t>STEEL</t>
        </is>
      </c>
      <c r="D2" s="16">
        <f>"SKBNNL"&amp;IF($N$2="BW","BW",IF($N$2="CR","CR",IF($N$2="DB","DB",IF($N$2="BG","BG",IF($N$2="LG","LG",IF($N$2="MR","MR"))))))&amp;$K$2&amp;"X"&amp;$L$2&amp;"X"&amp;IF($M$2=10,$M$2,"0"&amp;$M$2&amp;"-"&amp;"CPC")</f>
        <v/>
      </c>
      <c r="E2" s="1">
        <f>"OEBOXBNSR"&amp;(K2-0.5)&amp;"0"&amp;"X"&amp;(L2-0.5)&amp;"0"&amp;"X"&amp;IF(M2=5,"100",IF(M2=6,"120",IF(M2=8,"130",IF(M2=10,"150",0))))</f>
        <v/>
      </c>
      <c r="F2" s="22" t="inlineStr">
        <is>
          <t>NOS</t>
        </is>
      </c>
      <c r="G2" s="14" t="n">
        <v>1</v>
      </c>
      <c r="H2" s="14">
        <f>ROUND(G2,3)</f>
        <v/>
      </c>
      <c r="I2" s="21" t="inlineStr">
        <is>
          <t>CBESFG</t>
        </is>
      </c>
      <c r="J2" s="5" t="n"/>
      <c r="K2" s="6" t="n">
        <v>75</v>
      </c>
      <c r="L2" s="6" t="n">
        <v>36</v>
      </c>
      <c r="M2" s="6" t="n">
        <v>6</v>
      </c>
      <c r="N2" s="6" t="inlineStr">
        <is>
          <t>MR</t>
        </is>
      </c>
      <c r="R2" s="38" t="inlineStr">
        <is>
          <t>75</t>
        </is>
      </c>
      <c r="S2" s="38" t="inlineStr">
        <is>
          <t>36</t>
        </is>
      </c>
      <c r="T2" s="38" t="inlineStr">
        <is>
          <t>06</t>
        </is>
      </c>
      <c r="U2" s="38" t="inlineStr">
        <is>
          <t>DB</t>
        </is>
      </c>
    </row>
    <row r="3" s="19">
      <c r="A3" s="39" t="n">
        <v>3</v>
      </c>
      <c r="B3" s="16" t="inlineStr">
        <is>
          <t>TAPE EDGE</t>
        </is>
      </c>
      <c r="C3" s="16" t="inlineStr">
        <is>
          <t>TAPE EDGE</t>
        </is>
      </c>
      <c r="D3" s="16">
        <f>"SKBNNL"&amp;IF($N$2="BW","BW",IF($N$2="CR","CR",IF($N$2="DB","DB",IF($N$2="BG","BG",IF($N$2="LG","LG",IF($N$2="MR","MR"))))))&amp;$K$2&amp;"X"&amp;$L$2&amp;"X"&amp;IF($M$2=10,$M$2,"0"&amp;$M$2&amp;"-"&amp;"CPC")</f>
        <v/>
      </c>
      <c r="E3" s="41" t="inlineStr">
        <is>
          <t>RML-POLY-GUM</t>
        </is>
      </c>
      <c r="F3" s="22" t="inlineStr">
        <is>
          <t>LTR</t>
        </is>
      </c>
      <c r="G3" s="42">
        <f>((K2-1)*(L2-1)/144)*0.00729*3</f>
        <v/>
      </c>
      <c r="H3" s="14">
        <f>ROUND(G3,3)</f>
        <v/>
      </c>
      <c r="I3" s="22" t="inlineStr">
        <is>
          <t>CBEWIP</t>
        </is>
      </c>
      <c r="J3" s="5" t="n"/>
      <c r="K3" s="18" t="n"/>
      <c r="L3" s="18" t="n"/>
      <c r="M3" s="18" t="n"/>
      <c r="N3" s="18" t="n"/>
      <c r="R3" s="38" t="inlineStr">
        <is>
          <t>75</t>
        </is>
      </c>
      <c r="S3" s="38" t="inlineStr">
        <is>
          <t>72</t>
        </is>
      </c>
      <c r="T3" s="38" t="inlineStr">
        <is>
          <t>06</t>
        </is>
      </c>
      <c r="U3" s="38" t="inlineStr">
        <is>
          <t>DB</t>
        </is>
      </c>
    </row>
    <row r="4">
      <c r="A4" s="39" t="n">
        <v>4</v>
      </c>
      <c r="B4" s="16" t="inlineStr">
        <is>
          <t>QUILTING</t>
        </is>
      </c>
      <c r="C4" s="16" t="inlineStr">
        <is>
          <t>QUILTING</t>
        </is>
      </c>
      <c r="D4" s="16">
        <f>"SKBNNL"&amp;IF($N$2="BW","BW",IF($N$2="CR","CR",IF($N$2="DB","DB",IF($N$2="BG","BG",IF($N$2="LG","LG",IF($N$2="MR","MR"))))))&amp;$K$2&amp;"X"&amp;$L$2&amp;"X"&amp;IF($M$2=10,$M$2,"0"&amp;$M$2&amp;"-"&amp;"CPC")</f>
        <v/>
      </c>
      <c r="E4" s="21">
        <f>IF(N2="MR","SFG-SPKMR-ONL-QUILT",IF(N2="BW","SFG-SPKBW-ONL-QUILT",IF(N2="DB","SFG-SPKDB-ONL-QUILT",0)))</f>
        <v/>
      </c>
      <c r="F4" s="22" t="inlineStr">
        <is>
          <t>MTR</t>
        </is>
      </c>
      <c r="G4" s="27">
        <f>IF(K2&lt;79,(L2+1),IF(L2&lt;37,(K2+1),(K2+1)))*0.0254</f>
        <v/>
      </c>
      <c r="H4" s="14">
        <f>ROUND(G4,3)</f>
        <v/>
      </c>
      <c r="I4" s="21" t="inlineStr">
        <is>
          <t>CBESFG</t>
        </is>
      </c>
      <c r="J4" s="12" t="n"/>
      <c r="R4" s="38" t="inlineStr">
        <is>
          <t>78</t>
        </is>
      </c>
      <c r="S4" s="38" t="inlineStr">
        <is>
          <t>60</t>
        </is>
      </c>
      <c r="T4" s="38" t="inlineStr">
        <is>
          <t>06</t>
        </is>
      </c>
      <c r="U4" s="38" t="inlineStr">
        <is>
          <t>DB</t>
        </is>
      </c>
    </row>
    <row r="5">
      <c r="A5" s="39" t="n">
        <v>5</v>
      </c>
      <c r="B5" s="16" t="inlineStr">
        <is>
          <t>QUILTING</t>
        </is>
      </c>
      <c r="C5" s="16" t="inlineStr">
        <is>
          <t>QUILTING</t>
        </is>
      </c>
      <c r="D5" s="16">
        <f>"SKBNNL"&amp;IF($N$2="BW","BW",IF($N$2="CR","CR",IF($N$2="DB","DB",IF($N$2="BG","BG",IF($N$2="LG","LG",IF($N$2="MR","MR"))))))&amp;$K$2&amp;"X"&amp;$L$2&amp;"X"&amp;IF($M$2=10,$M$2,"0"&amp;$M$2&amp;"-"&amp;"CPC")</f>
        <v/>
      </c>
      <c r="E5">
        <f>IF(N2="MR","SFG-SPKMR-BP",IF(N2="BW","SFG-SPKBW-BP",IF(N2="DB","SFG-SPKDB-BP",0)))</f>
        <v/>
      </c>
      <c r="F5" s="22" t="inlineStr">
        <is>
          <t>MTR</t>
        </is>
      </c>
      <c r="G5">
        <f>IF(K2&lt;79,(L2+1),IF(L2&lt;37,(K2+1),(K2+1)))*0.0254</f>
        <v/>
      </c>
      <c r="H5" s="14">
        <f>ROUND(G5,3)</f>
        <v/>
      </c>
      <c r="I5" s="21" t="inlineStr">
        <is>
          <t>CBESFG</t>
        </is>
      </c>
      <c r="J5" s="12" t="n"/>
      <c r="R5" s="38" t="inlineStr">
        <is>
          <t>78</t>
        </is>
      </c>
      <c r="S5" s="38" t="inlineStr">
        <is>
          <t>72</t>
        </is>
      </c>
      <c r="T5" s="38" t="inlineStr">
        <is>
          <t>06</t>
        </is>
      </c>
      <c r="U5" s="38" t="inlineStr">
        <is>
          <t>DB</t>
        </is>
      </c>
    </row>
    <row r="6">
      <c r="A6" s="39" t="n">
        <v>7</v>
      </c>
      <c r="B6" s="16" t="inlineStr">
        <is>
          <t>QUILTING</t>
        </is>
      </c>
      <c r="C6" s="16" t="inlineStr">
        <is>
          <t>QUILTING</t>
        </is>
      </c>
      <c r="D6" s="16">
        <f>"SKBNNL"&amp;IF($N$2="BW","BW",IF($N$2="CR","CR",IF($N$2="DB","DB",IF($N$2="BG","BG",IF($N$2="LG","LG",IF($N$2="MR","MR"))))))&amp;$K$2&amp;"X"&amp;$L$2&amp;"X"&amp;IF($M$2=10,$M$2,"0"&amp;$M$2&amp;"-"&amp;"CPC")</f>
        <v/>
      </c>
      <c r="E6" s="22" t="inlineStr">
        <is>
          <t>RM-NWN-70GSMX6INCH</t>
        </is>
      </c>
      <c r="F6" s="22" t="inlineStr">
        <is>
          <t>KGS</t>
        </is>
      </c>
      <c r="G6" s="14">
        <f>(K2+L2+1.5)*4*0.0254*10.7/1000</f>
        <v/>
      </c>
      <c r="H6" s="14">
        <f>ROUND(G6,3)</f>
        <v/>
      </c>
      <c r="I6" s="22" t="inlineStr">
        <is>
          <t>CBEWIP</t>
        </is>
      </c>
      <c r="J6" s="12" t="n"/>
      <c r="R6" s="38" t="inlineStr">
        <is>
          <t>72</t>
        </is>
      </c>
      <c r="S6" s="38" t="inlineStr">
        <is>
          <t>36</t>
        </is>
      </c>
      <c r="T6" s="38" t="inlineStr">
        <is>
          <t>06</t>
        </is>
      </c>
      <c r="U6" s="38" t="inlineStr">
        <is>
          <t>MR</t>
        </is>
      </c>
    </row>
    <row r="7">
      <c r="A7" s="39" t="n">
        <v>8</v>
      </c>
      <c r="B7" s="16" t="inlineStr">
        <is>
          <t>QUILTING</t>
        </is>
      </c>
      <c r="C7" s="16" t="inlineStr">
        <is>
          <t>QUILTING</t>
        </is>
      </c>
      <c r="D7" s="16">
        <f>"SKBNNL"&amp;IF($N$2="BW","BW",IF($N$2="CR","CR",IF($N$2="DB","DB",IF($N$2="BG","BG",IF($N$2="LG","LG",IF($N$2="MR","MR"))))))&amp;$K$2&amp;"X"&amp;$L$2&amp;"X"&amp;IF($M$2=10,$M$2,"0"&amp;$M$2&amp;"-"&amp;"CPC")</f>
        <v/>
      </c>
      <c r="E7" s="16" t="inlineStr">
        <is>
          <t>RM-THRD-QS-TKT40</t>
        </is>
      </c>
      <c r="F7" s="16" t="inlineStr">
        <is>
          <t>MTR</t>
        </is>
      </c>
      <c r="G7" s="27">
        <f>(K2+L2+1.5)*4*0.0254*10</f>
        <v/>
      </c>
      <c r="H7" s="14">
        <f>ROUND(G7,3)</f>
        <v/>
      </c>
      <c r="I7" s="22" t="inlineStr">
        <is>
          <t>CBEWIP</t>
        </is>
      </c>
      <c r="J7" s="12" t="n"/>
      <c r="R7" s="38" t="inlineStr">
        <is>
          <t>72</t>
        </is>
      </c>
      <c r="S7" s="38" t="inlineStr">
        <is>
          <t>48</t>
        </is>
      </c>
      <c r="T7" s="38" t="inlineStr">
        <is>
          <t>06</t>
        </is>
      </c>
      <c r="U7" s="38" t="inlineStr">
        <is>
          <t>MR</t>
        </is>
      </c>
    </row>
    <row r="8">
      <c r="A8" s="39" t="n">
        <v>9</v>
      </c>
      <c r="B8" s="16" t="inlineStr">
        <is>
          <t>TAPE EDGE</t>
        </is>
      </c>
      <c r="C8" s="16" t="inlineStr">
        <is>
          <t>TAPE EDGE</t>
        </is>
      </c>
      <c r="D8" s="16">
        <f>"SKBNNL"&amp;IF($N$2="BW","BW",IF($N$2="CR","CR",IF($N$2="DB","DB",IF($N$2="BG","BG",IF($N$2="LG","LG",IF($N$2="MR","MR"))))))&amp;$K$2&amp;"X"&amp;$L$2&amp;"X"&amp;IF($M$2=10,$M$2,"0"&amp;$M$2&amp;"-"&amp;"CPC")</f>
        <v/>
      </c>
      <c r="E8" s="22">
        <f>IF(N2="BW","RML-EDTAPE-BRN",IF(N2="CR","RML-EDTAPE-BRN",IF(N2="DB","RML-EDTAPE-BLUE",IF(N2="LG","RML-EDTAPE-BLUE",IF(N2="BG","RML-EDTAPE-YEL-FDY",IF(N2="MR","RML-EDTAPE-MER-KNIT",0))))))</f>
        <v/>
      </c>
      <c r="F8" s="22" t="inlineStr">
        <is>
          <t>MTR</t>
        </is>
      </c>
      <c r="G8" s="14">
        <f>(K2+L2+4)*2*0.0254*2</f>
        <v/>
      </c>
      <c r="H8" s="14">
        <f>ROUND(G8,3)</f>
        <v/>
      </c>
      <c r="I8" s="22" t="inlineStr">
        <is>
          <t>CBEWIP</t>
        </is>
      </c>
      <c r="J8" s="12" t="n"/>
      <c r="R8" s="38" t="inlineStr">
        <is>
          <t>75</t>
        </is>
      </c>
      <c r="S8" s="38" t="inlineStr">
        <is>
          <t>36</t>
        </is>
      </c>
      <c r="T8" s="38" t="inlineStr">
        <is>
          <t>06</t>
        </is>
      </c>
      <c r="U8" s="38" t="inlineStr">
        <is>
          <t>MR</t>
        </is>
      </c>
    </row>
    <row r="9">
      <c r="A9" s="39" t="n">
        <v>10</v>
      </c>
      <c r="B9" s="16" t="inlineStr">
        <is>
          <t>TAPE EDGE</t>
        </is>
      </c>
      <c r="C9" s="16" t="inlineStr">
        <is>
          <t>TAPE EDGE</t>
        </is>
      </c>
      <c r="D9" s="16">
        <f>"SKBNNL"&amp;IF($N$2="BW","BW",IF($N$2="CR","CR",IF($N$2="DB","DB",IF($N$2="BG","BG",IF($N$2="LG","LG",IF($N$2="MR","MR"))))))&amp;$K$2&amp;"X"&amp;$L$2&amp;"X"&amp;IF($M$2=10,$M$2,"0"&amp;$M$2&amp;"-"&amp;"CPC")</f>
        <v/>
      </c>
      <c r="E9" s="22">
        <f>IF(N2="BW","RM-THRD-TKT40-BLACK",IF(N2="CR","RM-THRD-TKT40-BLACK",IF(N2="BG","RM-THRD-QS-TKT40",IF(N2="LG","RM-THRD-TKT40-BLACK",IF(N2="DB","RM-THRD-TKT40-BLACK",IF(N2="MR","RML-THRD-TKT-40MER",0))))))</f>
        <v/>
      </c>
      <c r="F9" s="22" t="inlineStr">
        <is>
          <t>MTR</t>
        </is>
      </c>
      <c r="G9" s="14">
        <f>(K2+L2+4)*2*0.0254*(4.73+1.42)*2</f>
        <v/>
      </c>
      <c r="H9" s="14">
        <f>ROUND(G9,3)</f>
        <v/>
      </c>
      <c r="I9" s="22" t="inlineStr">
        <is>
          <t>CBEWIP</t>
        </is>
      </c>
      <c r="J9" s="12" t="n"/>
      <c r="P9" s="34" t="n"/>
      <c r="R9" s="38" t="inlineStr">
        <is>
          <t>75</t>
        </is>
      </c>
      <c r="S9" s="38" t="inlineStr">
        <is>
          <t>48</t>
        </is>
      </c>
      <c r="T9" s="38" t="inlineStr">
        <is>
          <t>06</t>
        </is>
      </c>
      <c r="U9" s="38" t="inlineStr">
        <is>
          <t>MR</t>
        </is>
      </c>
    </row>
    <row r="10">
      <c r="A10" s="39" t="n">
        <v>11</v>
      </c>
      <c r="B10" s="16" t="inlineStr">
        <is>
          <t>QC</t>
        </is>
      </c>
      <c r="C10" s="22" t="inlineStr">
        <is>
          <t>QC</t>
        </is>
      </c>
      <c r="D10" s="16">
        <f>"SKBNNL"&amp;IF($N$2="BW","BW",IF($N$2="CR","CR",IF($N$2="DB","DB",IF($N$2="BG","BG",IF($N$2="LG","LG",IF($N$2="MR","MR"))))))&amp;$K$2&amp;"X"&amp;$L$2&amp;"X"&amp;IF($M$2=10,$M$2,"0"&amp;$M$2&amp;"-"&amp;"CPC")</f>
        <v/>
      </c>
      <c r="E10" s="40" t="inlineStr">
        <is>
          <t>RML-CS-DRM-SILV-7</t>
        </is>
      </c>
      <c r="F10" s="22" t="inlineStr">
        <is>
          <t>NOS</t>
        </is>
      </c>
      <c r="G10" s="14" t="n">
        <v>4</v>
      </c>
      <c r="H10" s="14">
        <f>ROUND(G10,3)</f>
        <v/>
      </c>
      <c r="I10" s="22" t="inlineStr">
        <is>
          <t>CBEWIP</t>
        </is>
      </c>
      <c r="J10" s="12" t="n"/>
      <c r="R10" s="38" t="inlineStr">
        <is>
          <t>75</t>
        </is>
      </c>
      <c r="S10" s="38" t="inlineStr">
        <is>
          <t>60</t>
        </is>
      </c>
      <c r="T10" s="38" t="inlineStr">
        <is>
          <t>06</t>
        </is>
      </c>
      <c r="U10" s="38" t="inlineStr">
        <is>
          <t>MR</t>
        </is>
      </c>
    </row>
    <row r="11">
      <c r="A11" s="39" t="n">
        <v>12</v>
      </c>
      <c r="B11" s="16" t="inlineStr">
        <is>
          <t>TAPE EDGE</t>
        </is>
      </c>
      <c r="C11" s="16" t="inlineStr">
        <is>
          <t>TAPE EDGE</t>
        </is>
      </c>
      <c r="D11" s="16">
        <f>"SKBNNL"&amp;IF($N$2="BW","BW",IF($N$2="CR","CR",IF($N$2="DB","DB",IF($N$2="BG","BG",IF($N$2="LG","LG",IF($N$2="MR","MR"))))))&amp;$K$2&amp;"X"&amp;$L$2&amp;"X"&amp;IF($M$2=10,$M$2,"0"&amp;$M$2&amp;"-"&amp;"CPC")</f>
        <v/>
      </c>
      <c r="E11" s="22" t="inlineStr">
        <is>
          <t>RM-PEPS-MAT-MRP-LBL</t>
        </is>
      </c>
      <c r="F11" s="22" t="inlineStr">
        <is>
          <t>NOS</t>
        </is>
      </c>
      <c r="G11" s="14" t="n">
        <v>1</v>
      </c>
      <c r="H11" s="14">
        <f>ROUND(G11,3)</f>
        <v/>
      </c>
      <c r="I11" s="22" t="inlineStr">
        <is>
          <t>CBEWIP</t>
        </is>
      </c>
      <c r="J11" s="12" t="n"/>
      <c r="K11" s="26" t="n"/>
      <c r="L11" s="26" t="n"/>
      <c r="N11" s="34" t="n"/>
      <c r="R11" s="38" t="inlineStr">
        <is>
          <t>75</t>
        </is>
      </c>
      <c r="S11" s="38" t="inlineStr">
        <is>
          <t>72</t>
        </is>
      </c>
      <c r="T11" s="38" t="inlineStr">
        <is>
          <t>06</t>
        </is>
      </c>
      <c r="U11" s="38" t="inlineStr">
        <is>
          <t>MR</t>
        </is>
      </c>
    </row>
    <row r="12">
      <c r="A12" s="39" t="n">
        <v>13</v>
      </c>
      <c r="B12" s="16" t="inlineStr">
        <is>
          <t>QC</t>
        </is>
      </c>
      <c r="C12" s="22" t="inlineStr">
        <is>
          <t>QC</t>
        </is>
      </c>
      <c r="D12" s="16">
        <f>"SKBNNL"&amp;IF($N$2="BW","BW",IF($N$2="CR","CR",IF($N$2="DB","DB",IF($N$2="BG","BG",IF($N$2="LG","LG",IF($N$2="MR","MR"))))))&amp;$K$2&amp;"X"&amp;$L$2&amp;"X"&amp;IF($M$2=10,$M$2,"0"&amp;$M$2&amp;"-"&amp;"CPC")</f>
        <v/>
      </c>
      <c r="E12" s="22" t="inlineStr">
        <is>
          <t>RML-OK-ROUND-STK</t>
        </is>
      </c>
      <c r="F12" s="22" t="inlineStr">
        <is>
          <t>NOS</t>
        </is>
      </c>
      <c r="G12" s="14" t="n">
        <v>1</v>
      </c>
      <c r="H12" s="14">
        <f>ROUND(G12,3)</f>
        <v/>
      </c>
      <c r="I12" s="22" t="inlineStr">
        <is>
          <t>CBEWIP</t>
        </is>
      </c>
      <c r="J12" s="12" t="n"/>
      <c r="R12" s="38" t="inlineStr">
        <is>
          <t>78</t>
        </is>
      </c>
      <c r="S12" s="38" t="inlineStr">
        <is>
          <t>60</t>
        </is>
      </c>
      <c r="T12" s="38" t="inlineStr">
        <is>
          <t>06</t>
        </is>
      </c>
      <c r="U12" s="38" t="inlineStr">
        <is>
          <t>MR</t>
        </is>
      </c>
    </row>
    <row r="13">
      <c r="A13" s="39" t="n">
        <v>14</v>
      </c>
      <c r="B13" s="16" t="inlineStr">
        <is>
          <t>QC</t>
        </is>
      </c>
      <c r="C13" s="22" t="inlineStr">
        <is>
          <t>QC</t>
        </is>
      </c>
      <c r="D13" s="16">
        <f>"SKBNNL"&amp;IF($N$2="BW","BW",IF($N$2="CR","CR",IF($N$2="DB","DB",IF($N$2="BG","BG",IF($N$2="LG","LG",IF($N$2="MR","MR"))))))&amp;$K$2&amp;"X"&amp;$L$2&amp;"X"&amp;IF($M$2=10,$M$2,"0"&amp;$M$2&amp;"-"&amp;"CPC")</f>
        <v/>
      </c>
      <c r="E13" s="22" t="inlineStr">
        <is>
          <t>RML-OK-STICKER</t>
        </is>
      </c>
      <c r="F13" s="22" t="inlineStr">
        <is>
          <t>NOS</t>
        </is>
      </c>
      <c r="G13" s="14" t="n">
        <v>1</v>
      </c>
      <c r="H13" s="14">
        <f>ROUND(G13,3)</f>
        <v/>
      </c>
      <c r="I13" s="22" t="inlineStr">
        <is>
          <t>CBEWIP</t>
        </is>
      </c>
      <c r="J13" s="12" t="n"/>
      <c r="K13" s="34" t="n"/>
      <c r="R13" s="38" t="inlineStr">
        <is>
          <t>78</t>
        </is>
      </c>
      <c r="S13" s="38" t="inlineStr">
        <is>
          <t>72</t>
        </is>
      </c>
      <c r="T13" s="38" t="inlineStr">
        <is>
          <t>06</t>
        </is>
      </c>
      <c r="U13" s="38" t="inlineStr">
        <is>
          <t>MR</t>
        </is>
      </c>
    </row>
    <row r="14">
      <c r="A14" s="39" t="n">
        <v>15</v>
      </c>
      <c r="B14" s="16" t="inlineStr">
        <is>
          <t>QC</t>
        </is>
      </c>
      <c r="C14" s="22" t="inlineStr">
        <is>
          <t>QC</t>
        </is>
      </c>
      <c r="D14" s="16">
        <f>"SKBNNL"&amp;IF($N$2="BW","BW",IF($N$2="CR","CR",IF($N$2="DB","DB",IF($N$2="BG","BG",IF($N$2="LG","LG",IF($N$2="MR","MR"))))))&amp;$K$2&amp;"X"&amp;$L$2&amp;"X"&amp;IF($M$2=10,$M$2,"0"&amp;$M$2&amp;"-"&amp;"CPC")</f>
        <v/>
      </c>
      <c r="E14" s="22" t="inlineStr">
        <is>
          <t>RMI-PVC-50</t>
        </is>
      </c>
      <c r="F14" s="22" t="inlineStr">
        <is>
          <t>KGS</t>
        </is>
      </c>
      <c r="G14" s="14">
        <f>IF(AND(K2&lt;=79,L2&lt;=79),((L2*2)+(M2*2)+4),IF(AND(K2&gt;=79,L2&gt;=79),((K2*2)+(M2*2)+((L2-79)*2)+4),IF(AND(K2&lt;=79,L2&gt;=79),((L2*2)+(M2*2)+4),IF(AND(K2&gt;=79,L2&lt;=79),((K2*2)+(M2*2)+4)))))*89.5*0.0254*0.0254*0.00005*1300</f>
        <v/>
      </c>
      <c r="H14" s="14">
        <f>ROUND(G14,3)</f>
        <v/>
      </c>
      <c r="I14" s="22" t="inlineStr">
        <is>
          <t>CBEWIP</t>
        </is>
      </c>
      <c r="J14" s="12" t="n"/>
      <c r="M14" s="34" t="n"/>
      <c r="O14" s="34" t="n"/>
      <c r="R14" s="38" t="n"/>
      <c r="S14" s="38" t="n"/>
      <c r="T14" s="38" t="n"/>
      <c r="U14" s="38" t="n"/>
    </row>
    <row r="15">
      <c r="A15" s="39" t="n">
        <v>17</v>
      </c>
      <c r="B15" s="16" t="inlineStr">
        <is>
          <t>TAPE EDGE</t>
        </is>
      </c>
      <c r="C15" s="16" t="inlineStr">
        <is>
          <t>TAPE EDGE</t>
        </is>
      </c>
      <c r="D15" s="16">
        <f>"SKBNNL"&amp;IF($N$2="BW","BW",IF($N$2="CR","CR",IF($N$2="DB","DB",IF($N$2="BG","BG",IF($N$2="LG","LG",IF($N$2="MR","MR"))))))&amp;$K$2&amp;"X"&amp;$L$2&amp;"X"&amp;IF($M$2=10,$M$2,"0"&amp;$M$2&amp;"-"&amp;"CPC")</f>
        <v/>
      </c>
      <c r="E15" s="43">
        <f>"17D-PU-FOAM-"&amp;(K2-0.5)&amp;"0"&amp;"X"&amp;(L2-0.5)&amp;"0"&amp;"X"&amp;"10MM"</f>
        <v/>
      </c>
      <c r="F15" s="22" t="inlineStr">
        <is>
          <t>NOS</t>
        </is>
      </c>
      <c r="G15" s="14" t="n">
        <v>1</v>
      </c>
      <c r="H15" s="14">
        <f>ROUND(G15,3)</f>
        <v/>
      </c>
      <c r="I15" s="22" t="inlineStr">
        <is>
          <t>CBESFG</t>
        </is>
      </c>
      <c r="J15" s="12" t="n"/>
      <c r="R15" s="38" t="n"/>
      <c r="S15" s="38" t="n"/>
      <c r="T15" s="38" t="n"/>
      <c r="U15" s="38" t="n"/>
    </row>
    <row r="16">
      <c r="J16" s="12" t="n"/>
      <c r="M16" s="34" t="n"/>
      <c r="R16" s="38" t="n"/>
      <c r="S16" s="38" t="n"/>
      <c r="T16" s="38" t="n"/>
      <c r="U16" s="38" t="n"/>
    </row>
    <row r="17">
      <c r="J17" s="12" t="n"/>
      <c r="R17" s="38" t="n"/>
      <c r="S17" s="38" t="n"/>
      <c r="T17" s="38" t="n"/>
      <c r="U17" s="38" t="n"/>
    </row>
    <row r="18">
      <c r="J18" s="12" t="n"/>
      <c r="R18" s="38" t="n"/>
      <c r="S18" s="38" t="n"/>
      <c r="T18" s="38" t="n"/>
      <c r="U18" s="38" t="n"/>
    </row>
    <row r="19">
      <c r="J19" s="12" t="n"/>
      <c r="R19" s="38" t="n"/>
      <c r="S19" s="38" t="n"/>
      <c r="T19" s="38" t="n"/>
      <c r="U19" s="38" t="n"/>
    </row>
    <row r="20">
      <c r="J20" s="12" t="n"/>
      <c r="N20" s="34" t="n"/>
      <c r="R20" s="38" t="n"/>
      <c r="S20" s="38" t="n"/>
      <c r="T20" s="38" t="n"/>
      <c r="U20" s="38" t="n"/>
    </row>
    <row r="21">
      <c r="J21" s="12" t="n"/>
      <c r="R21" s="38" t="n"/>
      <c r="S21" s="38" t="n"/>
      <c r="T21" s="38" t="n"/>
      <c r="U21" s="38" t="n"/>
    </row>
    <row r="22">
      <c r="G22" s="34" t="n"/>
      <c r="H22" s="35" t="n"/>
      <c r="I22" s="36" t="n"/>
      <c r="J22" s="12" t="n"/>
      <c r="R22" s="38" t="n"/>
      <c r="S22" s="38" t="n"/>
      <c r="T22" s="38" t="n"/>
      <c r="U22" s="38" t="n"/>
    </row>
    <row r="23">
      <c r="G23" s="34" t="n"/>
      <c r="J23" s="13" t="n"/>
      <c r="R23" s="38" t="n"/>
      <c r="S23" s="38" t="n"/>
      <c r="T23" s="38" t="n"/>
      <c r="U23" s="38" t="n"/>
    </row>
    <row r="24">
      <c r="G24" s="34" t="n"/>
      <c r="I24" s="34" t="n"/>
      <c r="J24" s="13" t="n"/>
      <c r="N24" s="34" t="n"/>
      <c r="R24" s="38" t="n"/>
      <c r="S24" s="38" t="n"/>
      <c r="T24" s="38" t="n"/>
      <c r="U24" s="38" t="n"/>
    </row>
    <row r="25">
      <c r="G25" s="34" t="n"/>
      <c r="H25" s="35" t="n"/>
      <c r="I25" s="36" t="n"/>
      <c r="R25" s="38" t="n"/>
      <c r="S25" s="38" t="n"/>
      <c r="T25" s="38" t="n"/>
      <c r="U25" s="38" t="n"/>
    </row>
    <row r="26">
      <c r="G26" s="34" t="n"/>
      <c r="R26" s="38" t="n"/>
      <c r="S26" s="38" t="n"/>
      <c r="T26" s="38" t="n"/>
      <c r="U26" s="38" t="n"/>
    </row>
    <row r="27">
      <c r="G27" s="34" t="n"/>
      <c r="I27" s="34" t="n"/>
      <c r="R27" s="38" t="n"/>
      <c r="S27" s="38" t="n"/>
      <c r="T27" s="38" t="n"/>
      <c r="U27" s="38" t="n"/>
    </row>
    <row r="28">
      <c r="E28" s="34" t="n"/>
      <c r="I28" s="34" t="n"/>
      <c r="M28" s="34" t="n"/>
      <c r="R28" s="38" t="n"/>
      <c r="S28" s="38" t="n"/>
      <c r="T28" s="38" t="n"/>
      <c r="U28" s="38" t="n"/>
    </row>
    <row r="29">
      <c r="E29" s="34" t="n"/>
      <c r="R29" s="38" t="n"/>
      <c r="S29" s="38" t="n"/>
      <c r="T29" s="38" t="n"/>
      <c r="U29" s="38" t="n"/>
    </row>
    <row r="30">
      <c r="H30" s="34" t="n"/>
      <c r="R30" s="38" t="n"/>
      <c r="S30" s="38" t="n"/>
      <c r="T30" s="38" t="n"/>
      <c r="U30" s="38" t="n"/>
    </row>
    <row r="31">
      <c r="R31" s="38" t="n"/>
      <c r="S31" s="38" t="n"/>
      <c r="T31" s="38" t="n"/>
      <c r="U31" s="38" t="n"/>
    </row>
    <row r="32">
      <c r="R32" s="38" t="n"/>
      <c r="S32" s="38" t="n"/>
      <c r="T32" s="38" t="n"/>
      <c r="U32" s="38" t="n"/>
    </row>
    <row r="33">
      <c r="R33" s="38" t="n"/>
      <c r="S33" s="38" t="n"/>
      <c r="T33" s="38" t="n"/>
      <c r="U33" s="38" t="n"/>
    </row>
    <row r="34">
      <c r="R34" s="38" t="n"/>
      <c r="S34" s="38" t="n"/>
      <c r="T34" s="38" t="n"/>
      <c r="U34" s="38" t="n"/>
    </row>
    <row r="35">
      <c r="R35" s="38" t="n"/>
      <c r="S35" s="38" t="n"/>
      <c r="T35" s="38" t="n"/>
      <c r="U35" s="38" t="n"/>
    </row>
    <row r="36">
      <c r="R36" s="38" t="n"/>
      <c r="S36" s="38" t="n"/>
      <c r="T36" s="38" t="n"/>
      <c r="U36" s="38" t="n"/>
    </row>
    <row r="37">
      <c r="R37" s="38" t="n"/>
      <c r="S37" s="38" t="n"/>
      <c r="T37" s="38" t="n"/>
      <c r="U37" s="38" t="n"/>
    </row>
    <row r="38">
      <c r="R38" s="38" t="n"/>
      <c r="S38" s="38" t="n"/>
      <c r="T38" s="38" t="n"/>
      <c r="U38" s="38" t="n"/>
    </row>
    <row r="39">
      <c r="R39" s="38" t="n"/>
      <c r="S39" s="38" t="n"/>
      <c r="T39" s="38" t="n"/>
      <c r="U39" s="38" t="n"/>
    </row>
    <row r="40">
      <c r="R40" s="38" t="n"/>
      <c r="S40" s="38" t="n"/>
      <c r="T40" s="38" t="n"/>
      <c r="U40" s="38" t="n"/>
    </row>
    <row r="41">
      <c r="R41" s="38" t="n"/>
      <c r="S41" s="38" t="n"/>
      <c r="T41" s="38" t="n"/>
      <c r="U41" s="38" t="n"/>
    </row>
    <row r="42">
      <c r="R42" s="38" t="n"/>
      <c r="S42" s="38" t="n"/>
      <c r="T42" s="38" t="n"/>
      <c r="U42" s="38" t="n"/>
    </row>
    <row r="43">
      <c r="R43" s="38" t="n"/>
      <c r="S43" s="38" t="n"/>
      <c r="T43" s="38" t="n"/>
      <c r="U43" s="38" t="n"/>
    </row>
    <row r="44">
      <c r="R44" s="38" t="n"/>
      <c r="S44" s="38" t="n"/>
      <c r="T44" s="38" t="n"/>
      <c r="U44" s="38" t="n"/>
    </row>
    <row r="45">
      <c r="R45" s="38" t="n"/>
      <c r="S45" s="38" t="n"/>
      <c r="T45" s="38" t="n"/>
      <c r="U45" s="38" t="n"/>
    </row>
    <row r="46">
      <c r="R46" s="38" t="n"/>
      <c r="S46" s="38" t="n"/>
      <c r="T46" s="38" t="n"/>
      <c r="U46" s="38" t="n"/>
    </row>
    <row r="47">
      <c r="R47" s="38" t="n"/>
      <c r="S47" s="38" t="n"/>
      <c r="T47" s="38" t="n"/>
      <c r="U47" s="38" t="n"/>
    </row>
    <row r="48">
      <c r="R48" s="38" t="n"/>
      <c r="S48" s="38" t="n"/>
      <c r="T48" s="38" t="n"/>
      <c r="U48" s="38" t="n"/>
    </row>
    <row r="49">
      <c r="R49" s="38" t="n"/>
      <c r="S49" s="38" t="n"/>
      <c r="T49" s="38" t="n"/>
      <c r="U49" s="38" t="n"/>
    </row>
    <row r="50">
      <c r="R50" s="38" t="n"/>
      <c r="S50" s="38" t="n"/>
      <c r="T50" s="38" t="n"/>
      <c r="U50" s="38" t="n"/>
    </row>
    <row r="51">
      <c r="R51" s="38" t="n"/>
      <c r="S51" s="38" t="n"/>
      <c r="T51" s="38" t="n"/>
      <c r="U51" s="38" t="n"/>
    </row>
    <row r="52">
      <c r="R52" s="38" t="n"/>
      <c r="S52" s="38" t="n"/>
      <c r="T52" s="38" t="n"/>
      <c r="U52" s="38" t="n"/>
    </row>
    <row r="53">
      <c r="R53" s="38" t="n"/>
      <c r="S53" s="38" t="n"/>
      <c r="T53" s="38" t="n"/>
      <c r="U53" s="38" t="n"/>
    </row>
    <row r="54">
      <c r="R54" s="38" t="n"/>
      <c r="S54" s="38" t="n"/>
      <c r="T54" s="38" t="n"/>
      <c r="U54" s="38" t="n"/>
    </row>
    <row r="55">
      <c r="R55" s="38" t="n"/>
      <c r="S55" s="38" t="n"/>
      <c r="T55" s="38" t="n"/>
      <c r="U55" s="38" t="n"/>
    </row>
    <row r="56">
      <c r="R56" s="38" t="n"/>
      <c r="S56" s="38" t="n"/>
      <c r="T56" s="38" t="n"/>
      <c r="U56" s="38" t="n"/>
    </row>
    <row r="57">
      <c r="R57" s="38" t="n"/>
      <c r="S57" s="38" t="n"/>
      <c r="T57" s="38" t="n"/>
      <c r="U57" s="38" t="n"/>
    </row>
    <row r="58">
      <c r="R58" s="38" t="n"/>
      <c r="S58" s="38" t="n"/>
      <c r="T58" s="38" t="n"/>
      <c r="U58" s="38" t="n"/>
    </row>
    <row r="59">
      <c r="R59" s="38" t="n"/>
      <c r="S59" s="38" t="n"/>
      <c r="T59" s="38" t="n"/>
      <c r="U59" s="38" t="n"/>
    </row>
    <row r="60">
      <c r="R60" s="38" t="n"/>
      <c r="S60" s="38" t="n"/>
      <c r="T60" s="38" t="n"/>
      <c r="U60" s="38" t="n"/>
    </row>
    <row r="61">
      <c r="R61" s="38" t="n"/>
      <c r="S61" s="38" t="n"/>
      <c r="T61" s="38" t="n"/>
      <c r="U61" s="38" t="n"/>
    </row>
    <row r="62">
      <c r="R62" s="38" t="n"/>
      <c r="S62" s="38" t="n"/>
      <c r="T62" s="38" t="n"/>
      <c r="U62" s="38" t="n"/>
    </row>
    <row r="63">
      <c r="R63" s="38" t="n"/>
      <c r="S63" s="38" t="n"/>
      <c r="T63" s="38" t="n"/>
      <c r="U63" s="38" t="n"/>
    </row>
    <row r="64">
      <c r="R64" s="38" t="n"/>
      <c r="S64" s="38" t="n"/>
      <c r="T64" s="38" t="n"/>
      <c r="U64" s="38" t="n"/>
    </row>
    <row r="65">
      <c r="R65" s="38" t="n"/>
      <c r="S65" s="38" t="n"/>
      <c r="T65" s="38" t="n"/>
      <c r="U65" s="38" t="n"/>
    </row>
    <row r="66">
      <c r="R66" s="38" t="n"/>
      <c r="S66" s="38" t="n"/>
      <c r="T66" s="38" t="n"/>
      <c r="U66" s="38" t="n"/>
    </row>
    <row r="67">
      <c r="R67" s="38" t="n"/>
      <c r="S67" s="38" t="n"/>
      <c r="T67" s="38" t="n"/>
      <c r="U67" s="38" t="n"/>
    </row>
    <row r="68">
      <c r="R68" s="38" t="n"/>
      <c r="S68" s="38" t="n"/>
      <c r="T68" s="38" t="n"/>
      <c r="U68" s="38" t="n"/>
    </row>
    <row r="69">
      <c r="R69" s="38" t="n"/>
      <c r="S69" s="38" t="n"/>
      <c r="T69" s="38" t="n"/>
      <c r="U69" s="38" t="n"/>
    </row>
    <row r="70">
      <c r="R70" s="38" t="n"/>
      <c r="S70" s="38" t="n"/>
      <c r="T70" s="38" t="n"/>
      <c r="U70" s="38" t="n"/>
    </row>
    <row r="71">
      <c r="R71" s="38" t="n"/>
      <c r="S71" s="38" t="n"/>
      <c r="T71" s="38" t="n"/>
      <c r="U71" s="38" t="n"/>
    </row>
    <row r="72">
      <c r="R72" s="38" t="n"/>
      <c r="S72" s="38" t="n"/>
      <c r="T72" s="38" t="n"/>
      <c r="U72" s="38" t="n"/>
    </row>
    <row r="73">
      <c r="R73" s="38" t="n"/>
      <c r="S73" s="38" t="n"/>
      <c r="T73" s="38" t="n"/>
      <c r="U73" s="38" t="n"/>
    </row>
    <row r="74">
      <c r="R74" s="38" t="n"/>
      <c r="S74" s="38" t="n"/>
      <c r="T74" s="38" t="n"/>
      <c r="U74" s="38" t="n"/>
    </row>
    <row r="75">
      <c r="R75" s="38" t="n"/>
      <c r="S75" s="38" t="n"/>
      <c r="T75" s="38" t="n"/>
      <c r="U75" s="38" t="n"/>
    </row>
    <row r="76">
      <c r="R76" s="38" t="n"/>
      <c r="S76" s="38" t="n"/>
      <c r="T76" s="38" t="n"/>
      <c r="U76" s="38" t="n"/>
    </row>
    <row r="77">
      <c r="R77" s="38" t="n"/>
      <c r="S77" s="38" t="n"/>
      <c r="T77" s="38" t="n"/>
      <c r="U77" s="38" t="n"/>
    </row>
    <row r="78">
      <c r="R78" s="38" t="n"/>
      <c r="S78" s="38" t="n"/>
      <c r="T78" s="38" t="n"/>
      <c r="U78" s="38" t="n"/>
    </row>
    <row r="79">
      <c r="R79" s="38" t="n"/>
      <c r="S79" s="38" t="n"/>
      <c r="T79" s="38" t="n"/>
      <c r="U79" s="38" t="n"/>
    </row>
    <row r="80">
      <c r="R80" s="38" t="n"/>
      <c r="S80" s="38" t="n"/>
      <c r="T80" s="38" t="n"/>
      <c r="U80" s="38" t="n"/>
    </row>
    <row r="81">
      <c r="R81" s="38" t="n"/>
      <c r="S81" s="38" t="n"/>
      <c r="T81" s="38" t="n"/>
      <c r="U81" s="38" t="n"/>
    </row>
    <row r="82">
      <c r="R82" s="38" t="n"/>
      <c r="S82" s="38" t="n"/>
      <c r="T82" s="38" t="n"/>
      <c r="U82" s="38" t="n"/>
    </row>
    <row r="83">
      <c r="R83" s="38" t="n"/>
      <c r="S83" s="38" t="n"/>
      <c r="T83" s="38" t="n"/>
      <c r="U83" s="38" t="n"/>
    </row>
    <row r="84">
      <c r="R84" s="38" t="n"/>
      <c r="S84" s="38" t="n"/>
      <c r="T84" s="38" t="n"/>
      <c r="U84" s="38" t="n"/>
    </row>
    <row r="85">
      <c r="R85" s="38" t="n"/>
      <c r="S85" s="38" t="n"/>
      <c r="T85" s="38" t="n"/>
      <c r="U85" s="38" t="n"/>
    </row>
    <row r="86">
      <c r="R86" s="38" t="n"/>
      <c r="S86" s="38" t="n"/>
      <c r="T86" s="38" t="n"/>
      <c r="U86" s="38" t="n"/>
    </row>
    <row r="87">
      <c r="R87" s="38" t="n"/>
      <c r="S87" s="38" t="n"/>
      <c r="T87" s="38" t="n"/>
      <c r="U87" s="38" t="n"/>
    </row>
    <row r="88">
      <c r="R88" s="38" t="n"/>
      <c r="S88" s="38" t="n"/>
      <c r="T88" s="38" t="n"/>
      <c r="U88" s="38" t="n"/>
    </row>
    <row r="89">
      <c r="R89" s="38" t="n"/>
      <c r="S89" s="38" t="n"/>
      <c r="T89" s="38" t="n"/>
      <c r="U89" s="38" t="n"/>
    </row>
    <row r="90">
      <c r="R90" s="38" t="n"/>
      <c r="S90" s="38" t="n"/>
      <c r="T90" s="38" t="n"/>
      <c r="U90" s="38" t="n"/>
    </row>
    <row r="91">
      <c r="R91" s="38" t="n"/>
      <c r="S91" s="38" t="n"/>
      <c r="T91" s="38" t="n"/>
      <c r="U91" s="38" t="n"/>
    </row>
    <row r="92">
      <c r="R92" s="38" t="n"/>
      <c r="S92" s="38" t="n"/>
      <c r="T92" s="38" t="n"/>
      <c r="U92" s="38" t="n"/>
    </row>
    <row r="93">
      <c r="R93" s="38" t="n"/>
      <c r="S93" s="38" t="n"/>
      <c r="T93" s="38" t="n"/>
      <c r="U93" s="38" t="n"/>
    </row>
    <row r="94">
      <c r="R94" s="38" t="n"/>
      <c r="S94" s="38" t="n"/>
      <c r="T94" s="38" t="n"/>
      <c r="U94" s="38" t="n"/>
    </row>
    <row r="95">
      <c r="R95" s="38" t="n"/>
      <c r="S95" s="38" t="n"/>
      <c r="T95" s="38" t="n"/>
      <c r="U95" s="38" t="n"/>
    </row>
    <row r="96">
      <c r="R96" s="38" t="n"/>
      <c r="S96" s="38" t="n"/>
      <c r="T96" s="38" t="n"/>
      <c r="U96" s="38" t="n"/>
    </row>
    <row r="97">
      <c r="R97" s="38" t="n"/>
      <c r="S97" s="38" t="n"/>
      <c r="T97" s="38" t="n"/>
      <c r="U97" s="38" t="n"/>
    </row>
    <row r="98">
      <c r="R98" s="38" t="n"/>
      <c r="S98" s="38" t="n"/>
      <c r="T98" s="38" t="n"/>
      <c r="U98" s="38" t="n"/>
    </row>
    <row r="99">
      <c r="R99" s="38" t="n"/>
      <c r="S99" s="38" t="n"/>
      <c r="T99" s="38" t="n"/>
      <c r="U99" s="38" t="n"/>
    </row>
    <row r="100">
      <c r="R100" s="38" t="n"/>
      <c r="S100" s="38" t="n"/>
      <c r="T100" s="38" t="n"/>
      <c r="U100" s="38" t="n"/>
    </row>
    <row r="101">
      <c r="R101" s="38" t="n"/>
      <c r="S101" s="38" t="n"/>
      <c r="T101" s="38" t="n"/>
      <c r="U101" s="38" t="n"/>
    </row>
    <row r="102">
      <c r="R102" s="38" t="n"/>
      <c r="S102" s="38" t="n"/>
      <c r="T102" s="38" t="n"/>
      <c r="U102" s="38" t="n"/>
    </row>
    <row r="103">
      <c r="R103" s="38" t="n"/>
      <c r="S103" s="38" t="n"/>
      <c r="T103" s="38" t="n"/>
      <c r="U103" s="38" t="n"/>
    </row>
    <row r="104">
      <c r="R104" s="38" t="n"/>
      <c r="S104" s="38" t="n"/>
      <c r="T104" s="38" t="n"/>
      <c r="U104" s="38" t="n"/>
    </row>
    <row r="105">
      <c r="R105" s="38" t="n"/>
      <c r="S105" s="38" t="n"/>
      <c r="T105" s="38" t="n"/>
      <c r="U105" s="38" t="n"/>
    </row>
    <row r="106">
      <c r="R106" s="38" t="n"/>
      <c r="S106" s="38" t="n"/>
      <c r="T106" s="38" t="n"/>
      <c r="U106" s="38" t="n"/>
    </row>
    <row r="107">
      <c r="R107" s="38" t="n"/>
      <c r="S107" s="38" t="n"/>
      <c r="T107" s="38" t="n"/>
      <c r="U107" s="38" t="n"/>
    </row>
    <row r="108">
      <c r="R108" s="38" t="n"/>
      <c r="S108" s="38" t="n"/>
      <c r="T108" s="38" t="n"/>
      <c r="U108" s="38" t="n"/>
    </row>
    <row r="109">
      <c r="R109" s="38" t="n"/>
      <c r="S109" s="38" t="n"/>
      <c r="T109" s="38" t="n"/>
      <c r="U109" s="38" t="n"/>
    </row>
    <row r="110">
      <c r="R110" s="38" t="n"/>
      <c r="S110" s="38" t="n"/>
      <c r="T110" s="38" t="n"/>
      <c r="U110" s="38" t="n"/>
    </row>
    <row r="111">
      <c r="R111" s="38" t="n"/>
      <c r="S111" s="38" t="n"/>
      <c r="T111" s="38" t="n"/>
      <c r="U111" s="38" t="n"/>
    </row>
    <row r="112">
      <c r="R112" s="38" t="n"/>
      <c r="S112" s="38" t="n"/>
      <c r="T112" s="38" t="n"/>
      <c r="U112" s="38" t="n"/>
    </row>
    <row r="113">
      <c r="R113" s="38" t="n"/>
      <c r="S113" s="38" t="n"/>
      <c r="T113" s="38" t="n"/>
      <c r="U113" s="38" t="n"/>
    </row>
    <row r="114">
      <c r="R114" s="38" t="n"/>
      <c r="S114" s="38" t="n"/>
      <c r="T114" s="38" t="n"/>
      <c r="U114" s="38" t="n"/>
    </row>
    <row r="115">
      <c r="R115" s="38" t="n"/>
      <c r="S115" s="38" t="n"/>
      <c r="T115" s="38" t="n"/>
      <c r="U115" s="38" t="n"/>
    </row>
    <row r="116">
      <c r="R116" s="38" t="n"/>
      <c r="S116" s="38" t="n"/>
      <c r="T116" s="38" t="n"/>
      <c r="U116" s="38" t="n"/>
    </row>
    <row r="117">
      <c r="R117" s="38" t="n"/>
      <c r="S117" s="38" t="n"/>
      <c r="T117" s="38" t="n"/>
      <c r="U117" s="38" t="n"/>
    </row>
    <row r="118">
      <c r="R118" s="38" t="n"/>
      <c r="S118" s="38" t="n"/>
      <c r="T118" s="38" t="n"/>
      <c r="U118" s="38" t="n"/>
    </row>
    <row r="119">
      <c r="R119" s="38" t="n"/>
      <c r="S119" s="38" t="n"/>
      <c r="T119" s="38" t="n"/>
      <c r="U119" s="38" t="n"/>
    </row>
    <row r="120">
      <c r="R120" s="38" t="n"/>
      <c r="S120" s="38" t="n"/>
      <c r="T120" s="38" t="n"/>
      <c r="U120" s="38" t="n"/>
    </row>
    <row r="121">
      <c r="R121" s="38" t="n"/>
      <c r="S121" s="38" t="n"/>
      <c r="T121" s="38" t="n"/>
      <c r="U121" s="38" t="n"/>
    </row>
    <row r="122">
      <c r="R122" s="38" t="n"/>
      <c r="S122" s="38" t="n"/>
      <c r="T122" s="38" t="n"/>
      <c r="U122" s="38" t="n"/>
    </row>
    <row r="123">
      <c r="R123" s="38" t="n"/>
      <c r="S123" s="38" t="n"/>
      <c r="T123" s="38" t="n"/>
      <c r="U123" s="38" t="n"/>
    </row>
    <row r="124">
      <c r="R124" s="38" t="n"/>
      <c r="S124" s="38" t="n"/>
      <c r="T124" s="38" t="n"/>
      <c r="U124" s="38" t="n"/>
    </row>
    <row r="125">
      <c r="R125" s="38" t="n"/>
      <c r="S125" s="38" t="n"/>
      <c r="T125" s="38" t="n"/>
      <c r="U125" s="38" t="n"/>
    </row>
    <row r="126">
      <c r="R126" s="38" t="n"/>
      <c r="S126" s="38" t="n"/>
      <c r="T126" s="38" t="n"/>
      <c r="U126" s="38" t="n"/>
    </row>
    <row r="127">
      <c r="R127" s="38" t="n"/>
      <c r="S127" s="38" t="n"/>
      <c r="T127" s="38" t="n"/>
      <c r="U127" s="38" t="n"/>
    </row>
    <row r="128">
      <c r="R128" s="38" t="n"/>
      <c r="S128" s="38" t="n"/>
      <c r="T128" s="38" t="n"/>
      <c r="U128" s="38" t="n"/>
    </row>
    <row r="129">
      <c r="R129" s="38" t="n"/>
      <c r="S129" s="38" t="n"/>
      <c r="T129" s="38" t="n"/>
      <c r="U129" s="38" t="n"/>
    </row>
    <row r="130">
      <c r="R130" s="38" t="n"/>
      <c r="S130" s="38" t="n"/>
      <c r="T130" s="38" t="n"/>
      <c r="U130" s="38" t="n"/>
    </row>
    <row r="131">
      <c r="R131" s="38" t="n"/>
      <c r="S131" s="38" t="n"/>
      <c r="T131" s="38" t="n"/>
      <c r="U131" s="38" t="n"/>
    </row>
    <row r="132">
      <c r="R132" s="38" t="n"/>
      <c r="S132" s="38" t="n"/>
      <c r="T132" s="38" t="n"/>
      <c r="U132" s="38" t="n"/>
    </row>
    <row r="133">
      <c r="R133" s="38" t="n"/>
      <c r="S133" s="38" t="n"/>
      <c r="T133" s="38" t="n"/>
      <c r="U133" s="38" t="n"/>
    </row>
    <row r="134">
      <c r="R134" s="38" t="n"/>
      <c r="S134" s="38" t="n"/>
      <c r="T134" s="38" t="n"/>
      <c r="U134" s="38" t="n"/>
    </row>
    <row r="135">
      <c r="R135" s="38" t="n"/>
      <c r="S135" s="38" t="n"/>
      <c r="T135" s="38" t="n"/>
      <c r="U135" s="38" t="n"/>
    </row>
    <row r="136">
      <c r="R136" s="38" t="n"/>
      <c r="S136" s="38" t="n"/>
      <c r="T136" s="38" t="n"/>
      <c r="U136" s="38" t="n"/>
    </row>
    <row r="137">
      <c r="R137" s="38" t="n"/>
      <c r="S137" s="38" t="n"/>
      <c r="T137" s="38" t="n"/>
      <c r="U137" s="38" t="n"/>
    </row>
    <row r="138">
      <c r="R138" s="38" t="n"/>
      <c r="S138" s="38" t="n"/>
      <c r="T138" s="38" t="n"/>
      <c r="U138" s="38" t="n"/>
    </row>
    <row r="139">
      <c r="R139" s="38" t="n"/>
      <c r="S139" s="38" t="n"/>
      <c r="T139" s="38" t="n"/>
      <c r="U139" s="38" t="n"/>
    </row>
    <row r="140">
      <c r="R140" s="38" t="n"/>
      <c r="S140" s="38" t="n"/>
      <c r="T140" s="38" t="n"/>
      <c r="U140" s="38" t="n"/>
    </row>
    <row r="141">
      <c r="R141" s="38" t="n"/>
      <c r="S141" s="38" t="n"/>
      <c r="T141" s="38" t="n"/>
      <c r="U141" s="38" t="n"/>
    </row>
    <row r="142">
      <c r="R142" s="38" t="n"/>
      <c r="S142" s="38" t="n"/>
      <c r="T142" s="38" t="n"/>
      <c r="U142" s="38" t="n"/>
    </row>
    <row r="143">
      <c r="R143" s="38" t="n"/>
      <c r="S143" s="38" t="n"/>
      <c r="T143" s="38" t="n"/>
      <c r="U143" s="38" t="n"/>
    </row>
    <row r="144">
      <c r="R144" s="38" t="n"/>
      <c r="S144" s="38" t="n"/>
      <c r="T144" s="38" t="n"/>
      <c r="U144" s="38" t="n"/>
    </row>
    <row r="145">
      <c r="R145" s="38" t="n"/>
      <c r="S145" s="38" t="n"/>
      <c r="T145" s="38" t="n"/>
      <c r="U145" s="38" t="n"/>
    </row>
    <row r="146">
      <c r="R146" s="38" t="n"/>
      <c r="S146" s="38" t="n"/>
      <c r="T146" s="38" t="n"/>
      <c r="U146" s="38" t="n"/>
    </row>
    <row r="147">
      <c r="R147" s="38" t="n"/>
      <c r="S147" s="38" t="n"/>
      <c r="T147" s="38" t="n"/>
      <c r="U147" s="38" t="n"/>
    </row>
    <row r="148">
      <c r="R148" s="38" t="n"/>
      <c r="S148" s="38" t="n"/>
      <c r="T148" s="38" t="n"/>
      <c r="U148" s="38" t="n"/>
    </row>
    <row r="149">
      <c r="R149" s="38" t="n"/>
      <c r="S149" s="38" t="n"/>
      <c r="T149" s="38" t="n"/>
      <c r="U149" s="38" t="n"/>
    </row>
    <row r="150">
      <c r="R150" s="38" t="n"/>
      <c r="S150" s="38" t="n"/>
      <c r="T150" s="38" t="n"/>
      <c r="U150" s="38" t="n"/>
    </row>
    <row r="151">
      <c r="R151" s="38" t="n"/>
      <c r="S151" s="38" t="n"/>
      <c r="T151" s="38" t="n"/>
      <c r="U151" s="38" t="n"/>
    </row>
    <row r="152">
      <c r="R152" s="38" t="n"/>
      <c r="S152" s="38" t="n"/>
      <c r="T152" s="38" t="n"/>
      <c r="U152" s="38" t="n"/>
    </row>
    <row r="153">
      <c r="R153" s="38" t="n"/>
      <c r="S153" s="38" t="n"/>
      <c r="T153" s="38" t="n"/>
      <c r="U153" s="38" t="n"/>
    </row>
    <row r="154">
      <c r="R154" s="38" t="n"/>
      <c r="S154" s="38" t="n"/>
      <c r="T154" s="38" t="n"/>
      <c r="U154" s="38" t="n"/>
    </row>
    <row r="155">
      <c r="R155" s="38" t="n"/>
      <c r="S155" s="38" t="n"/>
      <c r="T155" s="38" t="n"/>
      <c r="U155" s="38" t="n"/>
    </row>
    <row r="156">
      <c r="R156" s="38" t="n"/>
      <c r="S156" s="38" t="n"/>
      <c r="T156" s="38" t="n"/>
      <c r="U156" s="38" t="n"/>
    </row>
    <row r="157">
      <c r="R157" s="38" t="n"/>
      <c r="S157" s="38" t="n"/>
      <c r="T157" s="38" t="n"/>
      <c r="U157" s="38" t="n"/>
    </row>
    <row r="158">
      <c r="R158" s="38" t="n"/>
      <c r="S158" s="38" t="n"/>
      <c r="T158" s="38" t="n"/>
      <c r="U158" s="38" t="n"/>
    </row>
    <row r="159">
      <c r="R159" s="38" t="n"/>
      <c r="S159" s="38" t="n"/>
      <c r="T159" s="38" t="n"/>
      <c r="U159" s="38" t="n"/>
    </row>
    <row r="160">
      <c r="R160" s="38" t="n"/>
      <c r="S160" s="38" t="n"/>
      <c r="T160" s="38" t="n"/>
      <c r="U160" s="38" t="n"/>
    </row>
    <row r="161">
      <c r="R161" s="38" t="n"/>
      <c r="S161" s="38" t="n"/>
      <c r="T161" s="38" t="n"/>
      <c r="U161" s="38" t="n"/>
    </row>
    <row r="162">
      <c r="R162" s="38" t="n"/>
      <c r="S162" s="38" t="n"/>
      <c r="T162" s="38" t="n"/>
      <c r="U162" s="38" t="n"/>
    </row>
    <row r="163">
      <c r="R163" s="38" t="n"/>
      <c r="S163" s="38" t="n"/>
      <c r="T163" s="38" t="n"/>
      <c r="U163" s="38" t="n"/>
    </row>
    <row r="164">
      <c r="R164" s="38" t="n"/>
      <c r="S164" s="38" t="n"/>
      <c r="T164" s="38" t="n"/>
      <c r="U164" s="38" t="n"/>
    </row>
    <row r="165">
      <c r="R165" s="38" t="n"/>
      <c r="S165" s="38" t="n"/>
      <c r="T165" s="38" t="n"/>
      <c r="U165" s="38" t="n"/>
    </row>
    <row r="166">
      <c r="R166" s="38" t="n"/>
      <c r="S166" s="38" t="n"/>
      <c r="T166" s="38" t="n"/>
      <c r="U166" s="38" t="n"/>
    </row>
    <row r="167">
      <c r="R167" s="38" t="n"/>
      <c r="S167" s="38" t="n"/>
      <c r="T167" s="38" t="n"/>
      <c r="U167" s="38" t="n"/>
    </row>
    <row r="168">
      <c r="R168" s="38" t="n"/>
      <c r="S168" s="38" t="n"/>
      <c r="T168" s="38" t="n"/>
      <c r="U168" s="38" t="n"/>
    </row>
    <row r="169">
      <c r="R169" s="38" t="n"/>
      <c r="S169" s="38" t="n"/>
      <c r="T169" s="38" t="n"/>
      <c r="U169" s="38" t="n"/>
    </row>
    <row r="170">
      <c r="R170" s="38" t="n"/>
      <c r="S170" s="38" t="n"/>
      <c r="T170" s="38" t="n"/>
      <c r="U170" s="38" t="n"/>
    </row>
    <row r="171">
      <c r="R171" s="38" t="n"/>
      <c r="S171" s="38" t="n"/>
      <c r="T171" s="38" t="n"/>
      <c r="U171" s="38" t="n"/>
    </row>
    <row r="172">
      <c r="R172" s="38" t="n"/>
      <c r="S172" s="38" t="n"/>
      <c r="T172" s="38" t="n"/>
      <c r="U172" s="38" t="n"/>
    </row>
    <row r="173">
      <c r="R173" s="38" t="n"/>
      <c r="S173" s="38" t="n"/>
      <c r="T173" s="38" t="n"/>
      <c r="U173" s="38" t="n"/>
    </row>
    <row r="174">
      <c r="R174" s="38" t="n"/>
      <c r="S174" s="38" t="n"/>
      <c r="T174" s="38" t="n"/>
      <c r="U174" s="38" t="n"/>
    </row>
    <row r="175">
      <c r="R175" s="38" t="n"/>
      <c r="S175" s="38" t="n"/>
      <c r="T175" s="38" t="n"/>
      <c r="U175" s="38" t="n"/>
    </row>
    <row r="176">
      <c r="R176" s="38" t="n"/>
      <c r="S176" s="38" t="n"/>
      <c r="T176" s="38" t="n"/>
      <c r="U176" s="38" t="n"/>
    </row>
    <row r="177">
      <c r="R177" s="38" t="n"/>
      <c r="S177" s="38" t="n"/>
      <c r="T177" s="38" t="n"/>
      <c r="U177" s="38" t="n"/>
    </row>
    <row r="178">
      <c r="R178" s="38" t="n"/>
      <c r="S178" s="38" t="n"/>
      <c r="T178" s="38" t="n"/>
      <c r="U178" s="38" t="n"/>
    </row>
    <row r="179">
      <c r="R179" s="38" t="n"/>
      <c r="S179" s="38" t="n"/>
      <c r="T179" s="38" t="n"/>
      <c r="U179" s="38" t="n"/>
    </row>
    <row r="180">
      <c r="R180" s="38" t="n"/>
      <c r="S180" s="38" t="n"/>
      <c r="T180" s="38" t="n"/>
      <c r="U180" s="38" t="n"/>
    </row>
    <row r="181">
      <c r="R181" s="38" t="n"/>
      <c r="S181" s="38" t="n"/>
      <c r="T181" s="38" t="n"/>
      <c r="U181" s="38" t="n"/>
    </row>
    <row r="182">
      <c r="R182" s="38" t="n"/>
      <c r="S182" s="38" t="n"/>
      <c r="T182" s="38" t="n"/>
      <c r="U182" s="38" t="n"/>
    </row>
    <row r="183">
      <c r="R183" s="38" t="n"/>
      <c r="S183" s="38" t="n"/>
      <c r="T183" s="38" t="n"/>
      <c r="U183" s="38" t="n"/>
    </row>
    <row r="184">
      <c r="R184" s="38" t="n"/>
      <c r="S184" s="38" t="n"/>
      <c r="T184" s="38" t="n"/>
      <c r="U184" s="38" t="n"/>
    </row>
    <row r="185">
      <c r="R185" s="38" t="n"/>
      <c r="S185" s="38" t="n"/>
      <c r="T185" s="38" t="n"/>
      <c r="U185" s="38" t="n"/>
    </row>
    <row r="186">
      <c r="R186" s="38" t="n"/>
      <c r="S186" s="38" t="n"/>
      <c r="T186" s="38" t="n"/>
      <c r="U186" s="38" t="n"/>
    </row>
    <row r="187">
      <c r="R187" s="38" t="n"/>
      <c r="S187" s="38" t="n"/>
      <c r="T187" s="38" t="n"/>
      <c r="U187" s="38" t="n"/>
    </row>
    <row r="188">
      <c r="R188" s="38" t="n"/>
      <c r="S188" s="38" t="n"/>
      <c r="T188" s="38" t="n"/>
      <c r="U188" s="38" t="n"/>
    </row>
    <row r="189">
      <c r="R189" s="38" t="n"/>
      <c r="S189" s="38" t="n"/>
      <c r="T189" s="38" t="n"/>
      <c r="U189" s="38" t="n"/>
    </row>
    <row r="190">
      <c r="R190" s="38" t="n"/>
      <c r="S190" s="38" t="n"/>
      <c r="T190" s="38" t="n"/>
      <c r="U190" s="38" t="n"/>
    </row>
    <row r="191">
      <c r="R191" s="38" t="n"/>
      <c r="S191" s="38" t="n"/>
      <c r="T191" s="38" t="n"/>
      <c r="U191" s="38" t="n"/>
    </row>
    <row r="192">
      <c r="R192" s="38" t="n"/>
      <c r="S192" s="38" t="n"/>
      <c r="T192" s="38" t="n"/>
      <c r="U192" s="38" t="n"/>
    </row>
    <row r="193">
      <c r="R193" s="38" t="n"/>
      <c r="S193" s="38" t="n"/>
      <c r="T193" s="38" t="n"/>
      <c r="U193" s="38" t="n"/>
    </row>
    <row r="194">
      <c r="R194" s="38" t="n"/>
      <c r="S194" s="38" t="n"/>
      <c r="T194" s="38" t="n"/>
      <c r="U194" s="38" t="n"/>
    </row>
    <row r="195">
      <c r="R195" s="38" t="n"/>
      <c r="S195" s="38" t="n"/>
      <c r="T195" s="38" t="n"/>
      <c r="U195" s="38" t="n"/>
    </row>
    <row r="196">
      <c r="R196" s="38" t="n"/>
      <c r="S196" s="38" t="n"/>
      <c r="T196" s="38" t="n"/>
      <c r="U196" s="38" t="n"/>
    </row>
    <row r="197">
      <c r="R197" s="38" t="n"/>
      <c r="S197" s="38" t="n"/>
      <c r="T197" s="38" t="n"/>
      <c r="U197" s="38" t="n"/>
    </row>
    <row r="198">
      <c r="R198" s="38" t="n"/>
      <c r="S198" s="38" t="n"/>
      <c r="T198" s="38" t="n"/>
      <c r="U198" s="38" t="n"/>
    </row>
    <row r="199">
      <c r="R199" s="38" t="n"/>
      <c r="S199" s="38" t="n"/>
      <c r="T199" s="38" t="n"/>
      <c r="U199" s="38" t="n"/>
    </row>
    <row r="200">
      <c r="R200" s="38" t="n"/>
      <c r="S200" s="38" t="n"/>
      <c r="T200" s="38" t="n"/>
      <c r="U200" s="38" t="n"/>
    </row>
    <row r="201">
      <c r="R201" s="38" t="n"/>
      <c r="S201" s="38" t="n"/>
      <c r="T201" s="38" t="n"/>
      <c r="U201" s="38" t="n"/>
    </row>
    <row r="202">
      <c r="R202" s="38" t="n"/>
      <c r="S202" s="38" t="n"/>
      <c r="T202" s="38" t="n"/>
      <c r="U202" s="38" t="n"/>
    </row>
    <row r="203">
      <c r="R203" s="38" t="n"/>
      <c r="S203" s="38" t="n"/>
      <c r="T203" s="38" t="n"/>
      <c r="U203" s="38" t="n"/>
    </row>
    <row r="204">
      <c r="R204" s="38" t="n"/>
      <c r="S204" s="38" t="n"/>
      <c r="T204" s="38" t="n"/>
      <c r="U204" s="38" t="n"/>
    </row>
    <row r="205">
      <c r="R205" s="38" t="n"/>
      <c r="S205" s="38" t="n"/>
      <c r="T205" s="38" t="n"/>
      <c r="U205" s="38" t="n"/>
    </row>
    <row r="206">
      <c r="R206" s="38" t="n"/>
      <c r="S206" s="38" t="n"/>
      <c r="T206" s="38" t="n"/>
      <c r="U206" s="38" t="n"/>
    </row>
    <row r="207">
      <c r="R207" s="38" t="n"/>
      <c r="S207" s="38" t="n"/>
      <c r="T207" s="38" t="n"/>
      <c r="U207" s="38" t="n"/>
    </row>
    <row r="208">
      <c r="R208" s="38" t="n"/>
      <c r="S208" s="38" t="n"/>
      <c r="T208" s="38" t="n"/>
      <c r="U208" s="38" t="n"/>
    </row>
    <row r="209">
      <c r="R209" s="38" t="n"/>
      <c r="S209" s="38" t="n"/>
      <c r="T209" s="38" t="n"/>
      <c r="U209" s="38" t="n"/>
    </row>
    <row r="210">
      <c r="R210" s="38" t="n"/>
      <c r="S210" s="38" t="n"/>
      <c r="T210" s="38" t="n"/>
      <c r="U210" s="38" t="n"/>
    </row>
    <row r="211">
      <c r="R211" s="38" t="n"/>
      <c r="S211" s="38" t="n"/>
      <c r="T211" s="38" t="n"/>
      <c r="U211" s="38" t="n"/>
    </row>
    <row r="212">
      <c r="R212" s="38" t="n"/>
      <c r="S212" s="38" t="n"/>
      <c r="T212" s="38" t="n"/>
      <c r="U212" s="38" t="n"/>
    </row>
    <row r="213">
      <c r="R213" s="38" t="n"/>
      <c r="S213" s="38" t="n"/>
      <c r="T213" s="38" t="n"/>
      <c r="U213" s="38" t="n"/>
    </row>
    <row r="214">
      <c r="R214" s="38" t="n"/>
      <c r="S214" s="38" t="n"/>
      <c r="T214" s="38" t="n"/>
      <c r="U214" s="38" t="n"/>
    </row>
    <row r="215">
      <c r="R215" s="38" t="n"/>
      <c r="S215" s="38" t="n"/>
      <c r="T215" s="38" t="n"/>
      <c r="U215" s="38" t="n"/>
    </row>
    <row r="216">
      <c r="R216" s="38" t="n"/>
      <c r="S216" s="38" t="n"/>
      <c r="T216" s="38" t="n"/>
      <c r="U216" s="38" t="n"/>
    </row>
    <row r="217">
      <c r="R217" s="38" t="n"/>
      <c r="S217" s="38" t="n"/>
      <c r="T217" s="38" t="n"/>
      <c r="U217" s="38" t="n"/>
    </row>
    <row r="218">
      <c r="R218" s="38" t="n"/>
      <c r="S218" s="38" t="n"/>
      <c r="T218" s="38" t="n"/>
      <c r="U218" s="38" t="n"/>
    </row>
    <row r="219">
      <c r="R219" s="38" t="n"/>
      <c r="S219" s="38" t="n"/>
      <c r="T219" s="38" t="n"/>
      <c r="U219" s="38" t="n"/>
    </row>
    <row r="220">
      <c r="R220" s="38" t="n"/>
      <c r="S220" s="38" t="n"/>
      <c r="T220" s="38" t="n"/>
      <c r="U220" s="38" t="n"/>
    </row>
    <row r="221">
      <c r="R221" s="38" t="n"/>
      <c r="S221" s="38" t="n"/>
      <c r="T221" s="38" t="n"/>
      <c r="U221" s="38" t="n"/>
    </row>
    <row r="222">
      <c r="R222" s="38" t="n"/>
      <c r="S222" s="38" t="n"/>
      <c r="T222" s="38" t="n"/>
      <c r="U222" s="38" t="n"/>
    </row>
    <row r="223">
      <c r="R223" s="38" t="n"/>
      <c r="S223" s="38" t="n"/>
      <c r="T223" s="38" t="n"/>
      <c r="U223" s="38" t="n"/>
    </row>
    <row r="224">
      <c r="R224" s="38" t="n"/>
      <c r="S224" s="38" t="n"/>
      <c r="T224" s="38" t="n"/>
      <c r="U224" s="38" t="n"/>
    </row>
    <row r="225">
      <c r="R225" s="38" t="n"/>
      <c r="S225" s="38" t="n"/>
      <c r="T225" s="38" t="n"/>
      <c r="U225" s="38" t="n"/>
    </row>
    <row r="226">
      <c r="R226" s="38" t="n"/>
      <c r="S226" s="38" t="n"/>
      <c r="T226" s="38" t="n"/>
      <c r="U226" s="38" t="n"/>
    </row>
    <row r="227">
      <c r="R227" s="38" t="n"/>
      <c r="S227" s="38" t="n"/>
      <c r="T227" s="38" t="n"/>
      <c r="U227" s="38" t="n"/>
    </row>
    <row r="228">
      <c r="R228" s="38" t="n"/>
      <c r="S228" s="38" t="n"/>
      <c r="T228" s="38" t="n"/>
      <c r="U228" s="38" t="n"/>
    </row>
    <row r="229">
      <c r="R229" s="38" t="n"/>
      <c r="S229" s="38" t="n"/>
      <c r="T229" s="38" t="n"/>
      <c r="U229" s="38" t="n"/>
    </row>
    <row r="230">
      <c r="R230" s="38" t="n"/>
      <c r="S230" s="38" t="n"/>
      <c r="T230" s="38" t="n"/>
      <c r="U230" s="38" t="n"/>
    </row>
    <row r="231">
      <c r="R231" s="38" t="n"/>
      <c r="S231" s="38" t="n"/>
      <c r="T231" s="38" t="n"/>
      <c r="U231" s="38" t="n"/>
    </row>
    <row r="232">
      <c r="R232" s="38" t="n"/>
      <c r="S232" s="38" t="n"/>
      <c r="T232" s="38" t="n"/>
      <c r="U232" s="38" t="n"/>
    </row>
    <row r="233">
      <c r="R233" s="38" t="n"/>
      <c r="S233" s="38" t="n"/>
      <c r="T233" s="38" t="n"/>
      <c r="U233" s="38" t="n"/>
    </row>
    <row r="234">
      <c r="R234" s="38" t="n"/>
      <c r="S234" s="38" t="n"/>
      <c r="T234" s="38" t="n"/>
      <c r="U234" s="38" t="n"/>
    </row>
    <row r="235">
      <c r="R235" s="38" t="n"/>
      <c r="S235" s="38" t="n"/>
      <c r="T235" s="38" t="n"/>
      <c r="U235" s="38" t="n"/>
    </row>
    <row r="236">
      <c r="R236" s="38" t="n"/>
      <c r="S236" s="38" t="n"/>
      <c r="T236" s="38" t="n"/>
      <c r="U236" s="38" t="n"/>
    </row>
    <row r="237">
      <c r="R237" s="38" t="n"/>
      <c r="S237" s="38" t="n"/>
      <c r="T237" s="38" t="n"/>
      <c r="U237" s="38" t="n"/>
    </row>
    <row r="238">
      <c r="R238" s="38" t="n"/>
      <c r="S238" s="38" t="n"/>
      <c r="T238" s="38" t="n"/>
      <c r="U238" s="38" t="n"/>
    </row>
    <row r="239">
      <c r="R239" s="38" t="n"/>
      <c r="S239" s="38" t="n"/>
      <c r="T239" s="38" t="n"/>
      <c r="U239" s="38" t="n"/>
    </row>
    <row r="240">
      <c r="R240" s="38" t="n"/>
      <c r="S240" s="38" t="n"/>
      <c r="T240" s="38" t="n"/>
      <c r="U240" s="38" t="n"/>
    </row>
    <row r="241">
      <c r="R241" s="38" t="n"/>
      <c r="S241" s="38" t="n"/>
      <c r="T241" s="38" t="n"/>
      <c r="U241" s="38" t="n"/>
    </row>
    <row r="242">
      <c r="R242" s="38" t="n"/>
      <c r="S242" s="38" t="n"/>
      <c r="T242" s="38" t="n"/>
      <c r="U242" s="38" t="n"/>
    </row>
    <row r="243">
      <c r="R243" s="38" t="n"/>
      <c r="S243" s="38" t="n"/>
      <c r="T243" s="38" t="n"/>
      <c r="U243" s="38" t="n"/>
    </row>
    <row r="244">
      <c r="R244" s="38" t="n"/>
      <c r="S244" s="38" t="n"/>
      <c r="T244" s="38" t="n"/>
      <c r="U244" s="38" t="n"/>
    </row>
    <row r="245">
      <c r="R245" s="38" t="n"/>
      <c r="S245" s="38" t="n"/>
      <c r="T245" s="38" t="n"/>
      <c r="U245" s="38" t="n"/>
    </row>
    <row r="246">
      <c r="R246" s="38" t="n"/>
      <c r="S246" s="38" t="n"/>
      <c r="T246" s="38" t="n"/>
      <c r="U246" s="38" t="n"/>
    </row>
    <row r="247">
      <c r="R247" s="38" t="n"/>
      <c r="S247" s="38" t="n"/>
      <c r="T247" s="38" t="n"/>
      <c r="U247" s="38" t="n"/>
    </row>
    <row r="248">
      <c r="R248" s="38" t="n"/>
      <c r="S248" s="38" t="n"/>
      <c r="T248" s="38" t="n"/>
      <c r="U248" s="38" t="n"/>
    </row>
    <row r="249">
      <c r="R249" s="38" t="n"/>
      <c r="S249" s="38" t="n"/>
      <c r="T249" s="38" t="n"/>
      <c r="U249" s="38" t="n"/>
    </row>
    <row r="250">
      <c r="R250" s="38" t="n"/>
      <c r="S250" s="38" t="n"/>
      <c r="T250" s="38" t="n"/>
      <c r="U250" s="38" t="n"/>
    </row>
    <row r="251">
      <c r="R251" s="38" t="n"/>
      <c r="S251" s="38" t="n"/>
      <c r="T251" s="38" t="n"/>
      <c r="U251" s="38" t="n"/>
    </row>
    <row r="252">
      <c r="R252" s="38" t="n"/>
      <c r="S252" s="38" t="n"/>
      <c r="T252" s="38" t="n"/>
      <c r="U252" s="38" t="n"/>
    </row>
    <row r="253">
      <c r="R253" s="38" t="n"/>
      <c r="S253" s="38" t="n"/>
      <c r="T253" s="38" t="n"/>
      <c r="U253" s="38" t="n"/>
    </row>
    <row r="254">
      <c r="R254" s="38" t="n"/>
      <c r="S254" s="38" t="n"/>
      <c r="T254" s="38" t="n"/>
      <c r="U254" s="38" t="n"/>
    </row>
    <row r="255">
      <c r="R255" s="38" t="n"/>
      <c r="S255" s="38" t="n"/>
      <c r="T255" s="38" t="n"/>
      <c r="U255" s="38" t="n"/>
    </row>
    <row r="256">
      <c r="R256" s="38" t="n"/>
      <c r="S256" s="38" t="n"/>
      <c r="T256" s="38" t="n"/>
      <c r="U256" s="38" t="n"/>
    </row>
    <row r="257">
      <c r="R257" s="38" t="n"/>
      <c r="S257" s="38" t="n"/>
      <c r="T257" s="38" t="n"/>
      <c r="U257" s="38" t="n"/>
    </row>
    <row r="258">
      <c r="R258" s="38" t="n"/>
      <c r="S258" s="38" t="n"/>
      <c r="T258" s="38" t="n"/>
      <c r="U258" s="38" t="n"/>
    </row>
    <row r="259">
      <c r="R259" s="38" t="n"/>
      <c r="S259" s="38" t="n"/>
      <c r="T259" s="38" t="n"/>
      <c r="U259" s="38" t="n"/>
    </row>
    <row r="260">
      <c r="R260" s="38" t="n"/>
      <c r="S260" s="38" t="n"/>
      <c r="T260" s="38" t="n"/>
      <c r="U260" s="38" t="n"/>
    </row>
    <row r="261">
      <c r="R261" s="38" t="n"/>
      <c r="S261" s="38" t="n"/>
      <c r="T261" s="38" t="n"/>
      <c r="U261" s="38" t="n"/>
    </row>
    <row r="262">
      <c r="R262" s="38" t="n"/>
      <c r="S262" s="38" t="n"/>
      <c r="T262" s="38" t="n"/>
      <c r="U262" s="38" t="n"/>
    </row>
    <row r="263">
      <c r="R263" s="38" t="n"/>
      <c r="S263" s="38" t="n"/>
      <c r="T263" s="38" t="n"/>
      <c r="U263" s="38" t="n"/>
    </row>
    <row r="264">
      <c r="R264" s="38" t="n"/>
      <c r="S264" s="38" t="n"/>
      <c r="T264" s="38" t="n"/>
      <c r="U264" s="38" t="n"/>
    </row>
    <row r="265">
      <c r="R265" s="38" t="n"/>
      <c r="S265" s="38" t="n"/>
      <c r="T265" s="38" t="n"/>
      <c r="U265" s="38" t="n"/>
    </row>
    <row r="266">
      <c r="R266" s="38" t="n"/>
      <c r="S266" s="38" t="n"/>
      <c r="T266" s="38" t="n"/>
      <c r="U266" s="38" t="n"/>
    </row>
    <row r="267">
      <c r="R267" s="38" t="n"/>
      <c r="S267" s="38" t="n"/>
      <c r="T267" s="38" t="n"/>
      <c r="U267" s="38" t="n"/>
    </row>
    <row r="268">
      <c r="R268" s="38" t="n"/>
      <c r="S268" s="38" t="n"/>
      <c r="T268" s="38" t="n"/>
      <c r="U268" s="38" t="n"/>
    </row>
    <row r="269">
      <c r="R269" s="38" t="n"/>
      <c r="S269" s="38" t="n"/>
      <c r="T269" s="38" t="n"/>
      <c r="U269" s="38" t="n"/>
    </row>
    <row r="270">
      <c r="R270" s="38" t="n"/>
      <c r="S270" s="38" t="n"/>
      <c r="T270" s="38" t="n"/>
      <c r="U270" s="38" t="n"/>
    </row>
    <row r="271">
      <c r="R271" s="38" t="n"/>
      <c r="S271" s="38" t="n"/>
      <c r="T271" s="38" t="n"/>
      <c r="U271" s="38" t="n"/>
    </row>
    <row r="272">
      <c r="R272" s="38" t="n"/>
      <c r="S272" s="38" t="n"/>
      <c r="T272" s="38" t="n"/>
      <c r="U272" s="38" t="n"/>
    </row>
    <row r="273">
      <c r="R273" s="38" t="n"/>
      <c r="S273" s="38" t="n"/>
      <c r="T273" s="38" t="n"/>
      <c r="U273" s="38" t="n"/>
    </row>
    <row r="274">
      <c r="R274" s="38" t="n"/>
      <c r="S274" s="38" t="n"/>
      <c r="T274" s="38" t="n"/>
      <c r="U274" s="38" t="n"/>
    </row>
    <row r="275">
      <c r="R275" s="38" t="n"/>
      <c r="S275" s="38" t="n"/>
      <c r="T275" s="38" t="n"/>
      <c r="U275" s="38" t="n"/>
    </row>
    <row r="276">
      <c r="R276" s="38" t="n"/>
      <c r="S276" s="38" t="n"/>
      <c r="T276" s="38" t="n"/>
      <c r="U276" s="38" t="n"/>
    </row>
    <row r="277">
      <c r="R277" s="38" t="n"/>
      <c r="S277" s="38" t="n"/>
      <c r="T277" s="38" t="n"/>
      <c r="U277" s="38" t="n"/>
    </row>
    <row r="278">
      <c r="R278" s="38" t="n"/>
      <c r="S278" s="38" t="n"/>
      <c r="T278" s="38" t="n"/>
      <c r="U278" s="38" t="n"/>
    </row>
    <row r="279">
      <c r="R279" s="38" t="n"/>
      <c r="S279" s="38" t="n"/>
      <c r="T279" s="38" t="n"/>
      <c r="U279" s="38" t="n"/>
    </row>
    <row r="280">
      <c r="R280" s="38" t="n"/>
      <c r="S280" s="38" t="n"/>
      <c r="T280" s="38" t="n"/>
      <c r="U280" s="38" t="n"/>
    </row>
    <row r="281">
      <c r="R281" s="38" t="n"/>
      <c r="S281" s="38" t="n"/>
      <c r="T281" s="38" t="n"/>
      <c r="U281" s="38" t="n"/>
    </row>
    <row r="282">
      <c r="R282" s="38" t="n"/>
      <c r="S282" s="38" t="n"/>
      <c r="T282" s="38" t="n"/>
      <c r="U282" s="38" t="n"/>
    </row>
    <row r="283">
      <c r="R283" s="38" t="n"/>
      <c r="S283" s="38" t="n"/>
      <c r="T283" s="38" t="n"/>
      <c r="U283" s="38" t="n"/>
    </row>
    <row r="284">
      <c r="R284" s="38" t="n"/>
      <c r="S284" s="38" t="n"/>
      <c r="T284" s="38" t="n"/>
      <c r="U284" s="38" t="n"/>
    </row>
    <row r="285">
      <c r="R285" s="38" t="n"/>
      <c r="S285" s="38" t="n"/>
      <c r="T285" s="38" t="n"/>
      <c r="U285" s="38" t="n"/>
    </row>
    <row r="286">
      <c r="R286" s="38" t="n"/>
      <c r="S286" s="38" t="n"/>
      <c r="T286" s="38" t="n"/>
      <c r="U286" s="38" t="n"/>
    </row>
    <row r="287">
      <c r="R287" s="38" t="n"/>
      <c r="S287" s="38" t="n"/>
      <c r="T287" s="38" t="n"/>
      <c r="U287" s="38" t="n"/>
    </row>
    <row r="288">
      <c r="R288" s="38" t="n"/>
      <c r="S288" s="38" t="n"/>
      <c r="T288" s="38" t="n"/>
      <c r="U288" s="38" t="n"/>
    </row>
    <row r="289">
      <c r="R289" s="38" t="n"/>
      <c r="S289" s="38" t="n"/>
      <c r="T289" s="38" t="n"/>
      <c r="U289" s="38" t="n"/>
    </row>
    <row r="290">
      <c r="R290" s="38" t="n"/>
      <c r="S290" s="38" t="n"/>
      <c r="T290" s="38" t="n"/>
      <c r="U290" s="38" t="n"/>
    </row>
    <row r="291">
      <c r="R291" s="38" t="n"/>
      <c r="S291" s="38" t="n"/>
      <c r="T291" s="38" t="n"/>
      <c r="U291" s="38" t="n"/>
    </row>
    <row r="292">
      <c r="R292" s="38" t="n"/>
      <c r="S292" s="38" t="n"/>
      <c r="T292" s="38" t="n"/>
      <c r="U292" s="38" t="n"/>
    </row>
    <row r="293">
      <c r="R293" s="38" t="n"/>
      <c r="S293" s="38" t="n"/>
      <c r="T293" s="38" t="n"/>
      <c r="U293" s="38" t="n"/>
    </row>
    <row r="294">
      <c r="R294" s="38" t="n"/>
      <c r="S294" s="38" t="n"/>
      <c r="T294" s="38" t="n"/>
      <c r="U294" s="38" t="n"/>
    </row>
    <row r="295">
      <c r="R295" s="38" t="n"/>
      <c r="S295" s="38" t="n"/>
      <c r="T295" s="38" t="n"/>
      <c r="U295" s="38" t="n"/>
    </row>
    <row r="296">
      <c r="R296" s="38" t="n"/>
      <c r="S296" s="38" t="n"/>
      <c r="T296" s="38" t="n"/>
      <c r="U296" s="38" t="n"/>
    </row>
    <row r="297">
      <c r="R297" s="38" t="n"/>
      <c r="S297" s="38" t="n"/>
      <c r="T297" s="38" t="n"/>
      <c r="U297" s="38" t="n"/>
    </row>
    <row r="298">
      <c r="R298" s="38" t="n"/>
      <c r="S298" s="38" t="n"/>
      <c r="T298" s="38" t="n"/>
      <c r="U298" s="38" t="n"/>
    </row>
    <row r="299">
      <c r="R299" s="38" t="n"/>
      <c r="S299" s="38" t="n"/>
      <c r="T299" s="38" t="n"/>
      <c r="U299" s="38" t="n"/>
    </row>
    <row r="300">
      <c r="R300" s="38" t="n"/>
      <c r="S300" s="38" t="n"/>
      <c r="T300" s="38" t="n"/>
      <c r="U300" s="38" t="n"/>
    </row>
    <row r="301">
      <c r="R301" s="38" t="n"/>
      <c r="S301" s="38" t="n"/>
      <c r="T301" s="38" t="n"/>
      <c r="U301" s="38" t="n"/>
    </row>
    <row r="302">
      <c r="R302" s="38" t="n"/>
      <c r="S302" s="38" t="n"/>
      <c r="T302" s="38" t="n"/>
      <c r="U302" s="38" t="n"/>
    </row>
    <row r="303">
      <c r="R303" s="38" t="n"/>
      <c r="S303" s="38" t="n"/>
      <c r="T303" s="38" t="n"/>
      <c r="U303" s="38" t="n"/>
    </row>
    <row r="304">
      <c r="R304" s="38" t="n"/>
      <c r="S304" s="38" t="n"/>
      <c r="T304" s="38" t="n"/>
      <c r="U304" s="38" t="n"/>
    </row>
    <row r="305">
      <c r="R305" s="38" t="n"/>
      <c r="S305" s="38" t="n"/>
      <c r="T305" s="38" t="n"/>
      <c r="U305" s="38" t="n"/>
    </row>
    <row r="306">
      <c r="R306" s="38" t="n"/>
      <c r="S306" s="38" t="n"/>
      <c r="T306" s="38" t="n"/>
      <c r="U306" s="38" t="n"/>
    </row>
    <row r="307">
      <c r="R307" s="38" t="n"/>
      <c r="S307" s="38" t="n"/>
      <c r="T307" s="38" t="n"/>
      <c r="U307" s="38" t="n"/>
    </row>
    <row r="308">
      <c r="R308" s="38" t="n"/>
      <c r="S308" s="38" t="n"/>
      <c r="T308" s="38" t="n"/>
      <c r="U308" s="38" t="n"/>
    </row>
    <row r="309">
      <c r="R309" s="38" t="n"/>
      <c r="S309" s="38" t="n"/>
      <c r="T309" s="38" t="n"/>
      <c r="U309" s="38" t="n"/>
    </row>
    <row r="310">
      <c r="R310" s="38" t="n"/>
      <c r="S310" s="38" t="n"/>
      <c r="T310" s="38" t="n"/>
      <c r="U310" s="38" t="n"/>
    </row>
    <row r="311">
      <c r="R311" s="38" t="n"/>
      <c r="S311" s="38" t="n"/>
      <c r="T311" s="38" t="n"/>
      <c r="U311" s="38" t="n"/>
    </row>
    <row r="312">
      <c r="R312" s="38" t="n"/>
      <c r="S312" s="38" t="n"/>
      <c r="T312" s="38" t="n"/>
      <c r="U312" s="38" t="n"/>
    </row>
    <row r="313">
      <c r="R313" s="38" t="n"/>
      <c r="S313" s="38" t="n"/>
      <c r="T313" s="38" t="n"/>
      <c r="U313" s="38" t="n"/>
    </row>
    <row r="314">
      <c r="R314" s="38" t="n"/>
      <c r="S314" s="38" t="n"/>
      <c r="T314" s="38" t="n"/>
      <c r="U314" s="38" t="n"/>
    </row>
    <row r="315">
      <c r="R315" s="38" t="n"/>
      <c r="S315" s="38" t="n"/>
      <c r="T315" s="38" t="n"/>
      <c r="U315" s="38" t="n"/>
    </row>
    <row r="316">
      <c r="R316" s="38" t="n"/>
      <c r="S316" s="38" t="n"/>
      <c r="T316" s="38" t="n"/>
      <c r="U316" s="38" t="n"/>
    </row>
    <row r="317">
      <c r="R317" s="38" t="n"/>
      <c r="S317" s="38" t="n"/>
      <c r="T317" s="38" t="n"/>
      <c r="U317" s="38" t="n"/>
    </row>
    <row r="318">
      <c r="R318" s="38" t="n"/>
      <c r="S318" s="38" t="n"/>
      <c r="T318" s="38" t="n"/>
      <c r="U318" s="38" t="n"/>
    </row>
    <row r="319">
      <c r="R319" s="38" t="n"/>
      <c r="S319" s="38" t="n"/>
      <c r="T319" s="38" t="n"/>
      <c r="U319" s="38" t="n"/>
    </row>
    <row r="320">
      <c r="R320" s="38" t="n"/>
      <c r="S320" s="38" t="n"/>
      <c r="T320" s="38" t="n"/>
      <c r="U320" s="38" t="n"/>
    </row>
    <row r="321">
      <c r="R321" s="38" t="n"/>
      <c r="S321" s="38" t="n"/>
      <c r="T321" s="38" t="n"/>
      <c r="U321" s="38" t="n"/>
    </row>
    <row r="322">
      <c r="R322" s="38" t="n"/>
      <c r="S322" s="38" t="n"/>
      <c r="T322" s="38" t="n"/>
      <c r="U322" s="38" t="n"/>
    </row>
    <row r="323">
      <c r="R323" s="38" t="n"/>
      <c r="S323" s="38" t="n"/>
      <c r="T323" s="38" t="n"/>
      <c r="U323" s="38" t="n"/>
    </row>
    <row r="324">
      <c r="R324" s="38" t="n"/>
      <c r="S324" s="38" t="n"/>
      <c r="T324" s="38" t="n"/>
      <c r="U324" s="38" t="n"/>
    </row>
    <row r="325">
      <c r="R325" s="38" t="n"/>
      <c r="S325" s="38" t="n"/>
      <c r="T325" s="38" t="n"/>
      <c r="U325" s="38" t="n"/>
    </row>
    <row r="326">
      <c r="R326" s="38" t="n"/>
      <c r="S326" s="38" t="n"/>
      <c r="T326" s="38" t="n"/>
      <c r="U326" s="38" t="n"/>
    </row>
    <row r="327">
      <c r="R327" s="38" t="n"/>
      <c r="S327" s="38" t="n"/>
      <c r="T327" s="38" t="n"/>
      <c r="U327" s="38" t="n"/>
    </row>
    <row r="328">
      <c r="R328" s="38" t="n"/>
      <c r="S328" s="38" t="n"/>
      <c r="T328" s="38" t="n"/>
      <c r="U328" s="38" t="n"/>
    </row>
    <row r="329">
      <c r="R329" s="38" t="n"/>
      <c r="S329" s="38" t="n"/>
      <c r="T329" s="38" t="n"/>
      <c r="U329" s="38" t="n"/>
    </row>
    <row r="330">
      <c r="R330" s="38" t="n"/>
      <c r="S330" s="38" t="n"/>
      <c r="T330" s="38" t="n"/>
      <c r="U330" s="38" t="n"/>
    </row>
    <row r="331">
      <c r="R331" s="38" t="n"/>
      <c r="S331" s="38" t="n"/>
      <c r="T331" s="38" t="n"/>
      <c r="U331" s="38" t="n"/>
    </row>
    <row r="332">
      <c r="R332" s="38" t="n"/>
      <c r="S332" s="38" t="n"/>
      <c r="T332" s="38" t="n"/>
      <c r="U332" s="38" t="n"/>
    </row>
    <row r="333">
      <c r="R333" s="38" t="n"/>
      <c r="S333" s="38" t="n"/>
      <c r="T333" s="38" t="n"/>
      <c r="U333" s="38" t="n"/>
    </row>
    <row r="334">
      <c r="R334" s="38" t="n"/>
      <c r="S334" s="38" t="n"/>
      <c r="T334" s="38" t="n"/>
      <c r="U334" s="38" t="n"/>
    </row>
    <row r="335">
      <c r="R335" s="38" t="n"/>
      <c r="S335" s="38" t="n"/>
      <c r="T335" s="38" t="n"/>
      <c r="U335" s="38" t="n"/>
    </row>
    <row r="336">
      <c r="R336" s="38" t="n"/>
      <c r="S336" s="38" t="n"/>
      <c r="T336" s="38" t="n"/>
      <c r="U336" s="38" t="n"/>
    </row>
    <row r="337">
      <c r="R337" s="38" t="n"/>
      <c r="S337" s="38" t="n"/>
      <c r="T337" s="38" t="n"/>
      <c r="U337" s="38" t="n"/>
    </row>
    <row r="338">
      <c r="R338" s="38" t="n"/>
      <c r="S338" s="38" t="n"/>
      <c r="T338" s="38" t="n"/>
      <c r="U338" s="38" t="n"/>
    </row>
    <row r="339">
      <c r="R339" s="38" t="n"/>
      <c r="S339" s="38" t="n"/>
      <c r="T339" s="38" t="n"/>
      <c r="U339" s="38" t="n"/>
    </row>
    <row r="340">
      <c r="R340" s="38" t="n"/>
      <c r="S340" s="38" t="n"/>
      <c r="T340" s="38" t="n"/>
      <c r="U340" s="38" t="n"/>
    </row>
    <row r="341">
      <c r="R341" s="38" t="n"/>
      <c r="S341" s="38" t="n"/>
      <c r="T341" s="38" t="n"/>
      <c r="U341" s="38" t="n"/>
    </row>
    <row r="342">
      <c r="R342" s="38" t="n"/>
      <c r="S342" s="38" t="n"/>
      <c r="T342" s="38" t="n"/>
      <c r="U342" s="38" t="n"/>
    </row>
    <row r="343">
      <c r="R343" s="38" t="n"/>
      <c r="S343" s="38" t="n"/>
      <c r="T343" s="38" t="n"/>
      <c r="U343" s="38" t="n"/>
    </row>
    <row r="344">
      <c r="R344" s="38" t="n"/>
      <c r="S344" s="38" t="n"/>
      <c r="T344" s="38" t="n"/>
      <c r="U344" s="38" t="n"/>
    </row>
    <row r="345">
      <c r="R345" s="38" t="n"/>
      <c r="S345" s="38" t="n"/>
      <c r="T345" s="38" t="n"/>
      <c r="U345" s="38" t="n"/>
    </row>
    <row r="346">
      <c r="R346" s="38" t="n"/>
      <c r="S346" s="38" t="n"/>
      <c r="T346" s="38" t="n"/>
      <c r="U346" s="38" t="n"/>
    </row>
    <row r="347">
      <c r="R347" s="38" t="n"/>
      <c r="S347" s="38" t="n"/>
      <c r="T347" s="38" t="n"/>
      <c r="U347" s="38" t="n"/>
    </row>
    <row r="348">
      <c r="R348" s="38" t="n"/>
      <c r="S348" s="38" t="n"/>
      <c r="T348" s="38" t="n"/>
      <c r="U348" s="38" t="n"/>
    </row>
    <row r="349">
      <c r="R349" s="38" t="n"/>
      <c r="S349" s="38" t="n"/>
      <c r="T349" s="38" t="n"/>
      <c r="U349" s="38" t="n"/>
    </row>
    <row r="350">
      <c r="R350" s="38" t="n"/>
      <c r="S350" s="38" t="n"/>
      <c r="T350" s="38" t="n"/>
      <c r="U350" s="38" t="n"/>
    </row>
    <row r="351">
      <c r="R351" s="38" t="n"/>
      <c r="S351" s="38" t="n"/>
      <c r="T351" s="38" t="n"/>
      <c r="U351" s="38" t="n"/>
    </row>
    <row r="352">
      <c r="R352" s="38" t="n"/>
      <c r="S352" s="38" t="n"/>
      <c r="T352" s="38" t="n"/>
      <c r="U352" s="38" t="n"/>
    </row>
    <row r="353">
      <c r="R353" s="38" t="n"/>
      <c r="S353" s="38" t="n"/>
      <c r="T353" s="38" t="n"/>
      <c r="U353" s="38" t="n"/>
    </row>
    <row r="354">
      <c r="R354" s="38" t="n"/>
      <c r="S354" s="38" t="n"/>
      <c r="T354" s="38" t="n"/>
      <c r="U354" s="38" t="n"/>
    </row>
    <row r="355">
      <c r="R355" s="38" t="n"/>
      <c r="S355" s="38" t="n"/>
      <c r="T355" s="38" t="n"/>
      <c r="U355" s="38" t="n"/>
    </row>
    <row r="356">
      <c r="R356" s="38" t="n"/>
      <c r="S356" s="38" t="n"/>
      <c r="T356" s="38" t="n"/>
      <c r="U356" s="38" t="n"/>
    </row>
    <row r="357">
      <c r="R357" s="38" t="n"/>
      <c r="S357" s="38" t="n"/>
      <c r="T357" s="38" t="n"/>
      <c r="U357" s="38" t="n"/>
    </row>
    <row r="358">
      <c r="R358" s="38" t="n"/>
      <c r="S358" s="38" t="n"/>
      <c r="T358" s="38" t="n"/>
      <c r="U358" s="38" t="n"/>
    </row>
    <row r="359">
      <c r="R359" s="38" t="n"/>
      <c r="S359" s="38" t="n"/>
      <c r="T359" s="38" t="n"/>
      <c r="U359" s="38" t="n"/>
    </row>
    <row r="360">
      <c r="R360" s="38" t="n"/>
      <c r="S360" s="38" t="n"/>
      <c r="T360" s="38" t="n"/>
      <c r="U360" s="38" t="n"/>
    </row>
    <row r="361">
      <c r="R361" s="38" t="n"/>
      <c r="S361" s="38" t="n"/>
      <c r="T361" s="38" t="n"/>
      <c r="U361" s="38" t="n"/>
    </row>
    <row r="362">
      <c r="R362" s="38" t="n"/>
      <c r="S362" s="38" t="n"/>
      <c r="T362" s="38" t="n"/>
      <c r="U362" s="38" t="n"/>
    </row>
    <row r="363">
      <c r="R363" s="38" t="n"/>
      <c r="S363" s="38" t="n"/>
      <c r="T363" s="38" t="n"/>
      <c r="U363" s="38" t="n"/>
    </row>
    <row r="364">
      <c r="R364" s="38" t="n"/>
      <c r="S364" s="38" t="n"/>
      <c r="T364" s="38" t="n"/>
      <c r="U364" s="38" t="n"/>
    </row>
    <row r="365">
      <c r="R365" s="38" t="n"/>
      <c r="S365" s="38" t="n"/>
      <c r="T365" s="38" t="n"/>
      <c r="U365" s="38" t="n"/>
    </row>
    <row r="366">
      <c r="R366" s="38" t="n"/>
      <c r="S366" s="38" t="n"/>
      <c r="T366" s="38" t="n"/>
      <c r="U366" s="38" t="n"/>
    </row>
    <row r="367">
      <c r="R367" s="38" t="n"/>
      <c r="S367" s="38" t="n"/>
      <c r="T367" s="38" t="n"/>
      <c r="U367" s="38" t="n"/>
    </row>
    <row r="368">
      <c r="R368" s="38" t="n"/>
      <c r="S368" s="38" t="n"/>
      <c r="T368" s="38" t="n"/>
      <c r="U368" s="38" t="n"/>
    </row>
    <row r="369">
      <c r="R369" s="38" t="n"/>
      <c r="S369" s="38" t="n"/>
      <c r="T369" s="38" t="n"/>
      <c r="U369" s="38" t="n"/>
    </row>
    <row r="370">
      <c r="R370" s="38" t="n"/>
      <c r="S370" s="38" t="n"/>
      <c r="T370" s="38" t="n"/>
      <c r="U370" s="38" t="n"/>
    </row>
    <row r="371">
      <c r="R371" s="38" t="n"/>
      <c r="S371" s="38" t="n"/>
      <c r="T371" s="38" t="n"/>
      <c r="U371" s="38" t="n"/>
    </row>
    <row r="372">
      <c r="R372" s="38" t="n"/>
      <c r="S372" s="38" t="n"/>
      <c r="T372" s="38" t="n"/>
      <c r="U372" s="38" t="n"/>
    </row>
    <row r="373">
      <c r="R373" s="38" t="n"/>
      <c r="S373" s="38" t="n"/>
      <c r="T373" s="38" t="n"/>
      <c r="U373" s="38" t="n"/>
    </row>
    <row r="374">
      <c r="R374" s="38" t="n"/>
      <c r="S374" s="38" t="n"/>
      <c r="T374" s="38" t="n"/>
      <c r="U374" s="38" t="n"/>
    </row>
    <row r="375">
      <c r="R375" s="38" t="n"/>
      <c r="S375" s="38" t="n"/>
      <c r="T375" s="38" t="n"/>
      <c r="U375" s="38" t="n"/>
    </row>
    <row r="376">
      <c r="R376" s="38" t="n"/>
      <c r="S376" s="38" t="n"/>
      <c r="T376" s="38" t="n"/>
      <c r="U376" s="38" t="n"/>
    </row>
    <row r="377">
      <c r="R377" s="38" t="n"/>
      <c r="S377" s="38" t="n"/>
      <c r="T377" s="38" t="n"/>
      <c r="U377" s="38" t="n"/>
    </row>
    <row r="378">
      <c r="R378" s="38" t="n"/>
      <c r="S378" s="38" t="n"/>
      <c r="T378" s="38" t="n"/>
      <c r="U378" s="38" t="n"/>
    </row>
    <row r="379">
      <c r="R379" s="38" t="n"/>
      <c r="S379" s="38" t="n"/>
      <c r="T379" s="38" t="n"/>
      <c r="U379" s="38" t="n"/>
    </row>
    <row r="380">
      <c r="R380" s="38" t="n"/>
      <c r="S380" s="38" t="n"/>
      <c r="T380" s="38" t="n"/>
      <c r="U380" s="38" t="n"/>
    </row>
    <row r="381">
      <c r="R381" s="38" t="n"/>
      <c r="S381" s="38" t="n"/>
      <c r="T381" s="38" t="n"/>
      <c r="U381" s="38" t="n"/>
    </row>
    <row r="382">
      <c r="R382" s="38" t="n"/>
      <c r="S382" s="38" t="n"/>
      <c r="T382" s="38" t="n"/>
      <c r="U382" s="38" t="n"/>
    </row>
    <row r="383">
      <c r="R383" s="38" t="n"/>
      <c r="S383" s="38" t="n"/>
      <c r="T383" s="38" t="n"/>
      <c r="U383" s="38" t="n"/>
    </row>
    <row r="384">
      <c r="R384" s="38" t="n"/>
      <c r="S384" s="38" t="n"/>
      <c r="T384" s="38" t="n"/>
      <c r="U384" s="38" t="n"/>
    </row>
    <row r="385">
      <c r="R385" s="38" t="n"/>
      <c r="S385" s="38" t="n"/>
      <c r="T385" s="38" t="n"/>
      <c r="U385" s="38" t="n"/>
    </row>
    <row r="386">
      <c r="R386" s="38" t="n"/>
      <c r="S386" s="38" t="n"/>
      <c r="T386" s="38" t="n"/>
      <c r="U386" s="38" t="n"/>
    </row>
    <row r="387">
      <c r="R387" s="38" t="n"/>
      <c r="S387" s="38" t="n"/>
      <c r="T387" s="38" t="n"/>
      <c r="U387" s="38" t="n"/>
    </row>
    <row r="388">
      <c r="R388" s="38" t="n"/>
      <c r="S388" s="38" t="n"/>
      <c r="T388" s="38" t="n"/>
      <c r="U388" s="38" t="n"/>
    </row>
    <row r="389">
      <c r="R389" s="38" t="n"/>
      <c r="S389" s="38" t="n"/>
      <c r="T389" s="38" t="n"/>
      <c r="U389" s="38" t="n"/>
    </row>
    <row r="390">
      <c r="R390" s="38" t="n"/>
      <c r="S390" s="38" t="n"/>
      <c r="T390" s="38" t="n"/>
      <c r="U390" s="38" t="n"/>
    </row>
    <row r="391">
      <c r="R391" s="38" t="n"/>
      <c r="S391" s="38" t="n"/>
      <c r="T391" s="38" t="n"/>
      <c r="U391" s="38" t="n"/>
    </row>
    <row r="392">
      <c r="R392" s="38" t="n"/>
      <c r="S392" s="38" t="n"/>
      <c r="T392" s="38" t="n"/>
      <c r="U392" s="38" t="n"/>
    </row>
    <row r="393">
      <c r="R393" s="38" t="n"/>
      <c r="S393" s="38" t="n"/>
      <c r="T393" s="38" t="n"/>
      <c r="U393" s="38" t="n"/>
    </row>
    <row r="394">
      <c r="R394" s="38" t="n"/>
      <c r="S394" s="38" t="n"/>
      <c r="T394" s="38" t="n"/>
      <c r="U394" s="38" t="n"/>
    </row>
    <row r="395">
      <c r="R395" s="38" t="n"/>
      <c r="S395" s="38" t="n"/>
      <c r="T395" s="38" t="n"/>
      <c r="U395" s="38" t="n"/>
    </row>
    <row r="396">
      <c r="R396" s="38" t="n"/>
      <c r="S396" s="38" t="n"/>
      <c r="T396" s="38" t="n"/>
      <c r="U396" s="38" t="n"/>
    </row>
    <row r="397">
      <c r="R397" s="38" t="n"/>
      <c r="S397" s="38" t="n"/>
      <c r="T397" s="38" t="n"/>
      <c r="U397" s="38" t="n"/>
    </row>
    <row r="398">
      <c r="R398" s="38" t="n"/>
      <c r="S398" s="38" t="n"/>
      <c r="T398" s="38" t="n"/>
      <c r="U398" s="38" t="n"/>
    </row>
    <row r="399">
      <c r="R399" s="38" t="n"/>
      <c r="S399" s="38" t="n"/>
      <c r="T399" s="38" t="n"/>
      <c r="U399" s="38" t="n"/>
    </row>
    <row r="400">
      <c r="R400" s="38" t="n"/>
      <c r="S400" s="38" t="n"/>
      <c r="T400" s="38" t="n"/>
      <c r="U400" s="38" t="n"/>
    </row>
    <row r="401">
      <c r="R401" s="38" t="n"/>
      <c r="S401" s="38" t="n"/>
      <c r="T401" s="38" t="n"/>
      <c r="U401" s="38" t="n"/>
    </row>
    <row r="402">
      <c r="R402" s="38" t="n"/>
      <c r="S402" s="38" t="n"/>
      <c r="T402" s="38" t="n"/>
      <c r="U402" s="38" t="n"/>
    </row>
    <row r="403">
      <c r="R403" s="38" t="n"/>
      <c r="S403" s="38" t="n"/>
      <c r="T403" s="38" t="n"/>
      <c r="U403" s="38" t="n"/>
    </row>
    <row r="404">
      <c r="R404" s="38" t="n"/>
      <c r="S404" s="38" t="n"/>
      <c r="T404" s="38" t="n"/>
      <c r="U404" s="38" t="n"/>
    </row>
    <row r="405">
      <c r="R405" s="38" t="n"/>
      <c r="S405" s="38" t="n"/>
      <c r="T405" s="38" t="n"/>
      <c r="U405" s="38" t="n"/>
    </row>
    <row r="406">
      <c r="R406" s="38" t="n"/>
      <c r="S406" s="38" t="n"/>
      <c r="T406" s="38" t="n"/>
      <c r="U406" s="38" t="n"/>
    </row>
    <row r="407">
      <c r="R407" s="38" t="n"/>
      <c r="S407" s="38" t="n"/>
      <c r="T407" s="38" t="n"/>
      <c r="U407" s="38" t="n"/>
    </row>
    <row r="408">
      <c r="R408" s="38" t="n"/>
      <c r="S408" s="38" t="n"/>
      <c r="T408" s="38" t="n"/>
      <c r="U408" s="38" t="n"/>
    </row>
    <row r="409">
      <c r="R409" s="38" t="n"/>
      <c r="S409" s="38" t="n"/>
      <c r="T409" s="38" t="n"/>
      <c r="U409" s="38" t="n"/>
    </row>
    <row r="410">
      <c r="R410" s="38" t="n"/>
      <c r="S410" s="38" t="n"/>
      <c r="T410" s="38" t="n"/>
      <c r="U410" s="38" t="n"/>
    </row>
    <row r="411">
      <c r="R411" s="38" t="n"/>
      <c r="S411" s="38" t="n"/>
      <c r="T411" s="38" t="n"/>
      <c r="U411" s="38" t="n"/>
    </row>
    <row r="412">
      <c r="R412" s="38" t="n"/>
      <c r="S412" s="38" t="n"/>
      <c r="T412" s="38" t="n"/>
      <c r="U412" s="38" t="n"/>
    </row>
    <row r="413">
      <c r="R413" s="38" t="n"/>
      <c r="S413" s="38" t="n"/>
      <c r="T413" s="38" t="n"/>
      <c r="U413" s="38" t="n"/>
    </row>
    <row r="414">
      <c r="R414" s="38" t="n"/>
      <c r="S414" s="38" t="n"/>
      <c r="T414" s="38" t="n"/>
      <c r="U414" s="38" t="n"/>
    </row>
    <row r="415">
      <c r="R415" s="38" t="n"/>
      <c r="S415" s="38" t="n"/>
      <c r="T415" s="38" t="n"/>
      <c r="U415" s="38" t="n"/>
    </row>
    <row r="416">
      <c r="R416" s="38" t="n"/>
      <c r="S416" s="38" t="n"/>
      <c r="T416" s="38" t="n"/>
      <c r="U416" s="38" t="n"/>
    </row>
    <row r="417">
      <c r="R417" s="38" t="n"/>
      <c r="S417" s="38" t="n"/>
      <c r="T417" s="38" t="n"/>
      <c r="U417" s="38" t="n"/>
    </row>
    <row r="418">
      <c r="R418" s="38" t="n"/>
      <c r="S418" s="38" t="n"/>
      <c r="T418" s="38" t="n"/>
      <c r="U418" s="38" t="n"/>
    </row>
    <row r="419">
      <c r="R419" s="38" t="n"/>
      <c r="S419" s="38" t="n"/>
      <c r="T419" s="38" t="n"/>
      <c r="U419" s="38" t="n"/>
    </row>
    <row r="420">
      <c r="R420" s="38" t="n"/>
      <c r="S420" s="38" t="n"/>
      <c r="T420" s="38" t="n"/>
      <c r="U420" s="38" t="n"/>
    </row>
    <row r="421">
      <c r="R421" s="38" t="n"/>
      <c r="S421" s="38" t="n"/>
      <c r="T421" s="38" t="n"/>
      <c r="U421" s="38" t="n"/>
    </row>
    <row r="422">
      <c r="R422" s="38" t="n"/>
      <c r="S422" s="38" t="n"/>
      <c r="T422" s="38" t="n"/>
      <c r="U422" s="38" t="n"/>
    </row>
    <row r="423">
      <c r="R423" s="38" t="n"/>
      <c r="S423" s="38" t="n"/>
      <c r="T423" s="38" t="n"/>
      <c r="U423" s="38" t="n"/>
    </row>
    <row r="424">
      <c r="R424" s="38" t="n"/>
      <c r="S424" s="38" t="n"/>
      <c r="T424" s="38" t="n"/>
      <c r="U424" s="38" t="n"/>
    </row>
    <row r="425">
      <c r="R425" s="38" t="n"/>
      <c r="S425" s="38" t="n"/>
      <c r="T425" s="38" t="n"/>
      <c r="U425" s="38" t="n"/>
    </row>
    <row r="426">
      <c r="R426" s="38" t="n"/>
      <c r="S426" s="38" t="n"/>
      <c r="T426" s="38" t="n"/>
      <c r="U426" s="38" t="n"/>
    </row>
    <row r="427">
      <c r="R427" s="38" t="n"/>
      <c r="S427" s="38" t="n"/>
      <c r="T427" s="38" t="n"/>
      <c r="U427" s="38" t="n"/>
    </row>
    <row r="428">
      <c r="R428" s="38" t="n"/>
      <c r="S428" s="38" t="n"/>
      <c r="T428" s="38" t="n"/>
      <c r="U428" s="38" t="n"/>
    </row>
    <row r="429">
      <c r="R429" s="38" t="n"/>
      <c r="S429" s="38" t="n"/>
      <c r="T429" s="38" t="n"/>
      <c r="U429" s="38" t="n"/>
    </row>
    <row r="430">
      <c r="R430" s="38" t="n"/>
      <c r="S430" s="38" t="n"/>
      <c r="T430" s="38" t="n"/>
      <c r="U430" s="38" t="n"/>
    </row>
    <row r="431">
      <c r="R431" s="38" t="n"/>
      <c r="S431" s="38" t="n"/>
      <c r="T431" s="38" t="n"/>
      <c r="U431" s="38" t="n"/>
    </row>
    <row r="432">
      <c r="R432" s="38" t="n"/>
      <c r="S432" s="38" t="n"/>
      <c r="T432" s="38" t="n"/>
      <c r="U432" s="38" t="n"/>
    </row>
    <row r="433">
      <c r="R433" s="38" t="n"/>
      <c r="S433" s="38" t="n"/>
      <c r="T433" s="38" t="n"/>
      <c r="U433" s="38" t="n"/>
    </row>
    <row r="434">
      <c r="R434" s="38" t="n"/>
      <c r="S434" s="38" t="n"/>
      <c r="T434" s="38" t="n"/>
      <c r="U434" s="38" t="n"/>
    </row>
    <row r="435">
      <c r="R435" s="38" t="n"/>
      <c r="S435" s="38" t="n"/>
      <c r="T435" s="38" t="n"/>
      <c r="U435" s="38" t="n"/>
    </row>
    <row r="436">
      <c r="R436" s="38" t="n"/>
      <c r="S436" s="38" t="n"/>
      <c r="T436" s="38" t="n"/>
      <c r="U436" s="38" t="n"/>
    </row>
    <row r="437">
      <c r="R437" s="38" t="n"/>
      <c r="S437" s="38" t="n"/>
      <c r="T437" s="38" t="n"/>
      <c r="U437" s="38" t="n"/>
    </row>
    <row r="438">
      <c r="R438" s="38" t="n"/>
      <c r="S438" s="38" t="n"/>
      <c r="T438" s="38" t="n"/>
      <c r="U438" s="38" t="n"/>
    </row>
    <row r="439">
      <c r="R439" s="38" t="n"/>
      <c r="S439" s="38" t="n"/>
      <c r="T439" s="38" t="n"/>
      <c r="U439" s="38" t="n"/>
    </row>
    <row r="440">
      <c r="R440" s="38" t="n"/>
      <c r="S440" s="38" t="n"/>
      <c r="T440" s="38" t="n"/>
      <c r="U440" s="38" t="n"/>
    </row>
    <row r="441">
      <c r="R441" s="38" t="n"/>
      <c r="S441" s="38" t="n"/>
      <c r="T441" s="38" t="n"/>
      <c r="U441" s="38" t="n"/>
    </row>
    <row r="442">
      <c r="R442" s="38" t="n"/>
      <c r="S442" s="38" t="n"/>
      <c r="T442" s="38" t="n"/>
      <c r="U442" s="38" t="n"/>
    </row>
    <row r="443">
      <c r="R443" s="38" t="n"/>
      <c r="S443" s="38" t="n"/>
      <c r="T443" s="38" t="n"/>
      <c r="U443" s="38" t="n"/>
    </row>
    <row r="444">
      <c r="R444" s="38" t="n"/>
      <c r="S444" s="38" t="n"/>
      <c r="T444" s="38" t="n"/>
      <c r="U444" s="38" t="n"/>
    </row>
    <row r="445">
      <c r="R445" s="38" t="n"/>
      <c r="S445" s="38" t="n"/>
      <c r="T445" s="38" t="n"/>
      <c r="U445" s="38" t="n"/>
    </row>
    <row r="446">
      <c r="R446" s="38" t="n"/>
      <c r="S446" s="38" t="n"/>
      <c r="T446" s="38" t="n"/>
      <c r="U446" s="38" t="n"/>
    </row>
    <row r="447">
      <c r="R447" s="38" t="n"/>
      <c r="S447" s="38" t="n"/>
      <c r="T447" s="38" t="n"/>
      <c r="U447" s="38" t="n"/>
    </row>
    <row r="448">
      <c r="R448" s="38" t="n"/>
      <c r="S448" s="38" t="n"/>
      <c r="T448" s="38" t="n"/>
      <c r="U448" s="38" t="n"/>
    </row>
    <row r="449">
      <c r="R449" s="38" t="n"/>
      <c r="S449" s="38" t="n"/>
      <c r="T449" s="38" t="n"/>
      <c r="U449" s="38" t="n"/>
    </row>
    <row r="450">
      <c r="R450" s="38" t="n"/>
      <c r="S450" s="38" t="n"/>
      <c r="T450" s="38" t="n"/>
      <c r="U450" s="38" t="n"/>
    </row>
    <row r="451">
      <c r="R451" s="38" t="n"/>
      <c r="S451" s="38" t="n"/>
      <c r="T451" s="38" t="n"/>
      <c r="U451" s="38" t="n"/>
    </row>
    <row r="452">
      <c r="R452" s="38" t="n"/>
      <c r="S452" s="38" t="n"/>
      <c r="T452" s="38" t="n"/>
      <c r="U452" s="38" t="n"/>
    </row>
    <row r="453">
      <c r="R453" s="38" t="n"/>
      <c r="S453" s="38" t="n"/>
      <c r="T453" s="38" t="n"/>
      <c r="U453" s="38" t="n"/>
    </row>
    <row r="454">
      <c r="R454" s="38" t="n"/>
      <c r="S454" s="38" t="n"/>
      <c r="T454" s="38" t="n"/>
      <c r="U454" s="38" t="n"/>
    </row>
    <row r="455">
      <c r="R455" s="38" t="n"/>
      <c r="S455" s="38" t="n"/>
      <c r="T455" s="38" t="n"/>
      <c r="U455" s="38" t="n"/>
    </row>
    <row r="456">
      <c r="R456" s="38" t="n"/>
      <c r="S456" s="38" t="n"/>
      <c r="T456" s="38" t="n"/>
      <c r="U456" s="38" t="n"/>
    </row>
    <row r="457">
      <c r="R457" s="38" t="n"/>
      <c r="S457" s="38" t="n"/>
      <c r="T457" s="38" t="n"/>
      <c r="U457" s="38" t="n"/>
    </row>
    <row r="458">
      <c r="R458" s="38" t="n"/>
      <c r="S458" s="38" t="n"/>
      <c r="T458" s="38" t="n"/>
      <c r="U458" s="38" t="n"/>
    </row>
    <row r="459">
      <c r="R459" s="38" t="n"/>
      <c r="S459" s="38" t="n"/>
      <c r="T459" s="38" t="n"/>
      <c r="U459" s="38" t="n"/>
    </row>
    <row r="460">
      <c r="R460" s="38" t="n"/>
      <c r="S460" s="38" t="n"/>
      <c r="T460" s="38" t="n"/>
      <c r="U460" s="38" t="n"/>
    </row>
    <row r="461">
      <c r="R461" s="38" t="n"/>
      <c r="S461" s="38" t="n"/>
      <c r="T461" s="38" t="n"/>
      <c r="U461" s="38" t="n"/>
    </row>
    <row r="462">
      <c r="R462" s="38" t="n"/>
      <c r="S462" s="38" t="n"/>
      <c r="T462" s="38" t="n"/>
      <c r="U462" s="38" t="n"/>
    </row>
    <row r="463">
      <c r="R463" s="38" t="n"/>
      <c r="S463" s="38" t="n"/>
      <c r="T463" s="38" t="n"/>
      <c r="U463" s="38" t="n"/>
    </row>
    <row r="464">
      <c r="R464" s="38" t="n"/>
      <c r="S464" s="38" t="n"/>
      <c r="T464" s="38" t="n"/>
      <c r="U464" s="38" t="n"/>
    </row>
    <row r="465">
      <c r="R465" s="38" t="n"/>
      <c r="S465" s="38" t="n"/>
      <c r="T465" s="38" t="n"/>
      <c r="U465" s="38" t="n"/>
    </row>
    <row r="466">
      <c r="R466" s="38" t="n"/>
      <c r="S466" s="38" t="n"/>
      <c r="T466" s="38" t="n"/>
      <c r="U466" s="38" t="n"/>
    </row>
    <row r="467">
      <c r="R467" s="38" t="n"/>
      <c r="S467" s="38" t="n"/>
      <c r="T467" s="38" t="n"/>
      <c r="U467" s="38" t="n"/>
    </row>
    <row r="468">
      <c r="R468" s="38" t="n"/>
      <c r="S468" s="38" t="n"/>
      <c r="T468" s="38" t="n"/>
      <c r="U468" s="38" t="n"/>
    </row>
    <row r="469">
      <c r="R469" s="38" t="n"/>
      <c r="S469" s="38" t="n"/>
      <c r="T469" s="38" t="n"/>
      <c r="U469" s="38" t="n"/>
    </row>
    <row r="470">
      <c r="R470" s="38" t="n"/>
      <c r="S470" s="38" t="n"/>
      <c r="T470" s="38" t="n"/>
      <c r="U470" s="38" t="n"/>
    </row>
    <row r="471">
      <c r="R471" s="38" t="n"/>
      <c r="S471" s="38" t="n"/>
      <c r="T471" s="38" t="n"/>
      <c r="U471" s="38" t="n"/>
    </row>
    <row r="472">
      <c r="R472" s="38" t="n"/>
      <c r="S472" s="38" t="n"/>
      <c r="T472" s="38" t="n"/>
      <c r="U472" s="38" t="n"/>
    </row>
    <row r="473">
      <c r="R473" s="38" t="n"/>
      <c r="S473" s="38" t="n"/>
      <c r="T473" s="38" t="n"/>
      <c r="U473" s="38" t="n"/>
    </row>
    <row r="474">
      <c r="R474" s="38" t="n"/>
      <c r="S474" s="38" t="n"/>
      <c r="T474" s="38" t="n"/>
      <c r="U474" s="38" t="n"/>
    </row>
    <row r="475">
      <c r="R475" s="38" t="n"/>
      <c r="S475" s="38" t="n"/>
      <c r="T475" s="38" t="n"/>
      <c r="U475" s="38" t="n"/>
    </row>
    <row r="476">
      <c r="R476" s="38" t="n"/>
      <c r="S476" s="38" t="n"/>
      <c r="T476" s="38" t="n"/>
      <c r="U476" s="38" t="n"/>
    </row>
    <row r="477">
      <c r="R477" s="38" t="n"/>
      <c r="S477" s="38" t="n"/>
      <c r="T477" s="38" t="n"/>
      <c r="U477" s="38" t="n"/>
    </row>
    <row r="478">
      <c r="R478" s="38" t="n"/>
      <c r="S478" s="38" t="n"/>
      <c r="T478" s="38" t="n"/>
      <c r="U478" s="38" t="n"/>
    </row>
    <row r="479">
      <c r="R479" s="38" t="n"/>
      <c r="S479" s="38" t="n"/>
      <c r="T479" s="38" t="n"/>
      <c r="U479" s="38" t="n"/>
    </row>
    <row r="480">
      <c r="R480" s="38" t="n"/>
      <c r="S480" s="38" t="n"/>
      <c r="T480" s="38" t="n"/>
      <c r="U480" s="38" t="n"/>
    </row>
    <row r="481">
      <c r="R481" s="38" t="n"/>
      <c r="S481" s="38" t="n"/>
      <c r="T481" s="38" t="n"/>
      <c r="U481" s="38" t="n"/>
    </row>
    <row r="482">
      <c r="R482" s="38" t="n"/>
      <c r="S482" s="38" t="n"/>
      <c r="T482" s="38" t="n"/>
      <c r="U482" s="38" t="n"/>
    </row>
    <row r="483">
      <c r="R483" s="38" t="n"/>
      <c r="S483" s="38" t="n"/>
      <c r="T483" s="38" t="n"/>
      <c r="U483" s="38" t="n"/>
    </row>
    <row r="484">
      <c r="R484" s="38" t="n"/>
      <c r="S484" s="38" t="n"/>
      <c r="T484" s="38" t="n"/>
      <c r="U484" s="38" t="n"/>
    </row>
    <row r="485">
      <c r="R485" s="38" t="n"/>
      <c r="S485" s="38" t="n"/>
      <c r="T485" s="38" t="n"/>
      <c r="U485" s="38" t="n"/>
    </row>
    <row r="486">
      <c r="R486" s="38" t="n"/>
      <c r="S486" s="38" t="n"/>
      <c r="T486" s="38" t="n"/>
      <c r="U486" s="38" t="n"/>
    </row>
    <row r="487">
      <c r="R487" s="38" t="n"/>
      <c r="S487" s="38" t="n"/>
      <c r="T487" s="38" t="n"/>
      <c r="U487" s="38" t="n"/>
    </row>
    <row r="488">
      <c r="R488" s="38" t="n"/>
      <c r="S488" s="38" t="n"/>
      <c r="T488" s="38" t="n"/>
      <c r="U488" s="38" t="n"/>
    </row>
    <row r="489">
      <c r="R489" s="38" t="n"/>
      <c r="S489" s="38" t="n"/>
      <c r="T489" s="38" t="n"/>
      <c r="U489" s="38" t="n"/>
    </row>
    <row r="490">
      <c r="R490" s="38" t="n"/>
      <c r="S490" s="38" t="n"/>
      <c r="T490" s="38" t="n"/>
      <c r="U490" s="38" t="n"/>
    </row>
    <row r="491">
      <c r="R491" s="38" t="n"/>
      <c r="S491" s="38" t="n"/>
      <c r="T491" s="38" t="n"/>
      <c r="U491" s="38" t="n"/>
    </row>
    <row r="492">
      <c r="R492" s="38" t="n"/>
      <c r="S492" s="38" t="n"/>
      <c r="T492" s="38" t="n"/>
      <c r="U492" s="38" t="n"/>
    </row>
    <row r="493">
      <c r="R493" s="38" t="n"/>
      <c r="S493" s="38" t="n"/>
      <c r="T493" s="38" t="n"/>
      <c r="U493" s="38" t="n"/>
    </row>
    <row r="494">
      <c r="R494" s="38" t="n"/>
      <c r="S494" s="38" t="n"/>
      <c r="T494" s="38" t="n"/>
      <c r="U494" s="38" t="n"/>
    </row>
    <row r="495">
      <c r="R495" s="38" t="n"/>
      <c r="S495" s="38" t="n"/>
      <c r="T495" s="38" t="n"/>
      <c r="U495" s="38" t="n"/>
    </row>
    <row r="496">
      <c r="R496" s="38" t="n"/>
      <c r="S496" s="38" t="n"/>
      <c r="T496" s="38" t="n"/>
      <c r="U496" s="38" t="n"/>
    </row>
    <row r="497">
      <c r="R497" s="38" t="n"/>
      <c r="S497" s="38" t="n"/>
      <c r="T497" s="38" t="n"/>
      <c r="U497" s="38" t="n"/>
    </row>
    <row r="498">
      <c r="R498" s="38" t="n"/>
      <c r="S498" s="38" t="n"/>
      <c r="T498" s="38" t="n"/>
      <c r="U498" s="38" t="n"/>
    </row>
    <row r="499">
      <c r="R499" s="38" t="n"/>
      <c r="S499" s="38" t="n"/>
      <c r="T499" s="38" t="n"/>
      <c r="U499" s="38" t="n"/>
    </row>
    <row r="500">
      <c r="R500" s="38" t="n"/>
      <c r="S500" s="38" t="n"/>
      <c r="T500" s="38" t="n"/>
      <c r="U500" s="38" t="n"/>
    </row>
    <row r="501">
      <c r="R501" s="38" t="n"/>
      <c r="S501" s="38" t="n"/>
      <c r="T501" s="38" t="n"/>
      <c r="U501" s="38" t="n"/>
    </row>
    <row r="502">
      <c r="R502" s="38" t="n"/>
      <c r="S502" s="38" t="n"/>
      <c r="T502" s="38" t="n"/>
      <c r="U502" s="38" t="n"/>
    </row>
    <row r="503">
      <c r="R503" s="38" t="n"/>
      <c r="S503" s="38" t="n"/>
      <c r="T503" s="38" t="n"/>
      <c r="U503" s="38" t="n"/>
    </row>
    <row r="504">
      <c r="R504" s="38" t="n"/>
      <c r="S504" s="38" t="n"/>
      <c r="T504" s="38" t="n"/>
      <c r="U504" s="38" t="n"/>
    </row>
    <row r="505">
      <c r="R505" s="38" t="n"/>
      <c r="S505" s="38" t="n"/>
      <c r="T505" s="38" t="n"/>
      <c r="U505" s="38" t="n"/>
    </row>
    <row r="506">
      <c r="R506" s="38" t="n"/>
      <c r="S506" s="38" t="n"/>
      <c r="T506" s="38" t="n"/>
      <c r="U506" s="38" t="n"/>
    </row>
    <row r="507">
      <c r="R507" s="38" t="n"/>
      <c r="S507" s="38" t="n"/>
      <c r="T507" s="38" t="n"/>
      <c r="U507" s="38" t="n"/>
    </row>
    <row r="508">
      <c r="R508" s="38" t="n"/>
      <c r="S508" s="38" t="n"/>
      <c r="T508" s="38" t="n"/>
      <c r="U508" s="38" t="n"/>
    </row>
    <row r="509">
      <c r="R509" s="38" t="n"/>
      <c r="S509" s="38" t="n"/>
      <c r="T509" s="38" t="n"/>
      <c r="U509" s="38" t="n"/>
    </row>
    <row r="510">
      <c r="R510" s="38" t="n"/>
      <c r="S510" s="38" t="n"/>
      <c r="T510" s="38" t="n"/>
      <c r="U510" s="38" t="n"/>
    </row>
    <row r="511">
      <c r="R511" s="38" t="n"/>
      <c r="S511" s="38" t="n"/>
      <c r="T511" s="38" t="n"/>
      <c r="U511" s="38" t="n"/>
    </row>
    <row r="512">
      <c r="R512" s="38" t="n"/>
      <c r="S512" s="38" t="n"/>
      <c r="T512" s="38" t="n"/>
      <c r="U512" s="38" t="n"/>
    </row>
    <row r="513">
      <c r="R513" s="38" t="n"/>
      <c r="S513" s="38" t="n"/>
      <c r="T513" s="38" t="n"/>
      <c r="U513" s="38" t="n"/>
    </row>
    <row r="514">
      <c r="R514" s="38" t="n"/>
      <c r="S514" s="38" t="n"/>
      <c r="T514" s="38" t="n"/>
      <c r="U514" s="38" t="n"/>
    </row>
    <row r="515">
      <c r="R515" s="38" t="n"/>
      <c r="S515" s="38" t="n"/>
      <c r="T515" s="38" t="n"/>
      <c r="U515" s="38" t="n"/>
    </row>
    <row r="516">
      <c r="R516" s="38" t="n"/>
      <c r="S516" s="38" t="n"/>
      <c r="T516" s="38" t="n"/>
      <c r="U516" s="38" t="n"/>
    </row>
    <row r="517">
      <c r="R517" s="38" t="n"/>
      <c r="S517" s="38" t="n"/>
      <c r="T517" s="38" t="n"/>
      <c r="U517" s="38" t="n"/>
    </row>
    <row r="518">
      <c r="R518" s="38" t="n"/>
      <c r="S518" s="38" t="n"/>
      <c r="T518" s="38" t="n"/>
      <c r="U518" s="38" t="n"/>
    </row>
    <row r="519">
      <c r="R519" s="38" t="n"/>
      <c r="S519" s="38" t="n"/>
      <c r="T519" s="38" t="n"/>
      <c r="U519" s="38" t="n"/>
    </row>
    <row r="520">
      <c r="R520" s="38" t="n"/>
      <c r="S520" s="38" t="n"/>
      <c r="T520" s="38" t="n"/>
      <c r="U520" s="38" t="n"/>
    </row>
    <row r="521">
      <c r="R521" s="38" t="n"/>
      <c r="S521" s="38" t="n"/>
      <c r="T521" s="38" t="n"/>
      <c r="U521" s="38" t="n"/>
    </row>
    <row r="522">
      <c r="R522" s="38" t="n"/>
      <c r="S522" s="38" t="n"/>
      <c r="T522" s="38" t="n"/>
      <c r="U522" s="38" t="n"/>
    </row>
    <row r="523">
      <c r="R523" s="38" t="n"/>
      <c r="S523" s="38" t="n"/>
      <c r="T523" s="38" t="n"/>
      <c r="U523" s="38" t="n"/>
    </row>
    <row r="524">
      <c r="R524" s="38" t="n"/>
      <c r="S524" s="38" t="n"/>
      <c r="T524" s="38" t="n"/>
      <c r="U524" s="38" t="n"/>
    </row>
    <row r="525">
      <c r="R525" s="38" t="n"/>
      <c r="S525" s="38" t="n"/>
      <c r="T525" s="38" t="n"/>
      <c r="U525" s="38" t="n"/>
    </row>
    <row r="526">
      <c r="R526" s="38" t="n"/>
      <c r="S526" s="38" t="n"/>
      <c r="T526" s="38" t="n"/>
      <c r="U526" s="38" t="n"/>
    </row>
    <row r="527">
      <c r="R527" s="38" t="n"/>
      <c r="S527" s="38" t="n"/>
      <c r="T527" s="38" t="n"/>
      <c r="U527" s="38" t="n"/>
    </row>
    <row r="528">
      <c r="R528" s="38" t="n"/>
      <c r="S528" s="38" t="n"/>
      <c r="T528" s="38" t="n"/>
      <c r="U528" s="38" t="n"/>
    </row>
    <row r="529">
      <c r="R529" s="38" t="n"/>
      <c r="S529" s="38" t="n"/>
      <c r="T529" s="38" t="n"/>
      <c r="U529" s="38" t="n"/>
    </row>
    <row r="530">
      <c r="R530" s="38" t="n"/>
      <c r="S530" s="38" t="n"/>
      <c r="T530" s="38" t="n"/>
      <c r="U530" s="38" t="n"/>
    </row>
    <row r="531">
      <c r="R531" s="38" t="n"/>
      <c r="S531" s="38" t="n"/>
      <c r="T531" s="38" t="n"/>
      <c r="U531" s="38" t="n"/>
    </row>
    <row r="532">
      <c r="R532" s="38" t="n"/>
      <c r="S532" s="38" t="n"/>
      <c r="T532" s="38" t="n"/>
      <c r="U532" s="38" t="n"/>
    </row>
    <row r="533">
      <c r="R533" s="38" t="n"/>
      <c r="S533" s="38" t="n"/>
      <c r="T533" s="38" t="n"/>
      <c r="U533" s="38" t="n"/>
    </row>
    <row r="534">
      <c r="R534" s="38" t="n"/>
      <c r="S534" s="38" t="n"/>
      <c r="T534" s="38" t="n"/>
      <c r="U534" s="38" t="n"/>
    </row>
    <row r="535">
      <c r="R535" s="38" t="n"/>
      <c r="S535" s="38" t="n"/>
      <c r="T535" s="38" t="n"/>
      <c r="U535" s="38" t="n"/>
    </row>
    <row r="536">
      <c r="R536" s="38" t="n"/>
      <c r="S536" s="38" t="n"/>
      <c r="T536" s="38" t="n"/>
      <c r="U536" s="38" t="n"/>
    </row>
    <row r="537">
      <c r="R537" s="38" t="n"/>
      <c r="S537" s="38" t="n"/>
      <c r="T537" s="38" t="n"/>
      <c r="U537" s="38" t="n"/>
    </row>
    <row r="538">
      <c r="R538" s="38" t="n"/>
      <c r="S538" s="38" t="n"/>
      <c r="T538" s="38" t="n"/>
      <c r="U538" s="38" t="n"/>
    </row>
    <row r="539">
      <c r="R539" s="38" t="n"/>
      <c r="S539" s="38" t="n"/>
      <c r="T539" s="38" t="n"/>
      <c r="U539" s="38" t="n"/>
    </row>
    <row r="540">
      <c r="R540" s="38" t="n"/>
      <c r="S540" s="38" t="n"/>
      <c r="T540" s="38" t="n"/>
      <c r="U540" s="38" t="n"/>
    </row>
    <row r="541">
      <c r="R541" s="38" t="n"/>
      <c r="S541" s="38" t="n"/>
      <c r="T541" s="38" t="n"/>
      <c r="U541" s="38" t="n"/>
    </row>
    <row r="542">
      <c r="R542" s="38" t="n"/>
      <c r="S542" s="38" t="n"/>
      <c r="T542" s="38" t="n"/>
      <c r="U542" s="38" t="n"/>
    </row>
    <row r="543">
      <c r="R543" s="38" t="n"/>
      <c r="S543" s="38" t="n"/>
      <c r="T543" s="38" t="n"/>
      <c r="U543" s="38" t="n"/>
    </row>
    <row r="544">
      <c r="R544" s="38" t="n"/>
      <c r="S544" s="38" t="n"/>
      <c r="T544" s="38" t="n"/>
      <c r="U544" s="38" t="n"/>
    </row>
    <row r="545">
      <c r="R545" s="38" t="n"/>
      <c r="S545" s="38" t="n"/>
      <c r="T545" s="38" t="n"/>
      <c r="U545" s="38" t="n"/>
    </row>
    <row r="546">
      <c r="R546" s="38" t="n"/>
      <c r="S546" s="38" t="n"/>
      <c r="T546" s="38" t="n"/>
      <c r="U546" s="38" t="n"/>
    </row>
    <row r="547">
      <c r="R547" s="38" t="n"/>
      <c r="S547" s="38" t="n"/>
      <c r="T547" s="38" t="n"/>
      <c r="U547" s="38" t="n"/>
    </row>
    <row r="548">
      <c r="R548" s="38" t="n"/>
      <c r="S548" s="38" t="n"/>
      <c r="T548" s="38" t="n"/>
      <c r="U548" s="38" t="n"/>
    </row>
    <row r="549">
      <c r="R549" s="38" t="n"/>
      <c r="S549" s="38" t="n"/>
      <c r="T549" s="38" t="n"/>
      <c r="U549" s="38" t="n"/>
    </row>
    <row r="550">
      <c r="R550" s="38" t="n"/>
      <c r="S550" s="38" t="n"/>
      <c r="T550" s="38" t="n"/>
      <c r="U550" s="38" t="n"/>
    </row>
    <row r="551">
      <c r="R551" s="38" t="n"/>
      <c r="S551" s="38" t="n"/>
      <c r="T551" s="38" t="n"/>
      <c r="U551" s="38" t="n"/>
    </row>
    <row r="552">
      <c r="R552" s="38" t="n"/>
      <c r="S552" s="38" t="n"/>
      <c r="T552" s="38" t="n"/>
      <c r="U552" s="38" t="n"/>
    </row>
    <row r="553">
      <c r="R553" s="38" t="n"/>
      <c r="S553" s="38" t="n"/>
      <c r="T553" s="38" t="n"/>
      <c r="U553" s="38" t="n"/>
    </row>
    <row r="554">
      <c r="R554" s="38" t="n"/>
      <c r="S554" s="38" t="n"/>
      <c r="T554" s="38" t="n"/>
      <c r="U554" s="38" t="n"/>
    </row>
    <row r="555">
      <c r="R555" s="38" t="n"/>
      <c r="S555" s="38" t="n"/>
      <c r="T555" s="38" t="n"/>
      <c r="U555" s="38" t="n"/>
    </row>
    <row r="556">
      <c r="R556" s="38" t="n"/>
      <c r="S556" s="38" t="n"/>
      <c r="T556" s="38" t="n"/>
      <c r="U556" s="38" t="n"/>
    </row>
    <row r="557">
      <c r="R557" s="38" t="n"/>
      <c r="S557" s="38" t="n"/>
      <c r="T557" s="38" t="n"/>
      <c r="U557" s="38" t="n"/>
    </row>
    <row r="558">
      <c r="R558" s="38" t="n"/>
      <c r="S558" s="38" t="n"/>
      <c r="T558" s="38" t="n"/>
      <c r="U558" s="38" t="n"/>
    </row>
    <row r="559">
      <c r="R559" s="38" t="n"/>
      <c r="S559" s="38" t="n"/>
      <c r="T559" s="38" t="n"/>
      <c r="U559" s="38" t="n"/>
    </row>
    <row r="560">
      <c r="R560" s="38" t="n"/>
      <c r="S560" s="38" t="n"/>
      <c r="T560" s="38" t="n"/>
      <c r="U560" s="38" t="n"/>
    </row>
    <row r="561">
      <c r="R561" s="38" t="n"/>
      <c r="S561" s="38" t="n"/>
      <c r="T561" s="38" t="n"/>
      <c r="U561" s="38" t="n"/>
    </row>
    <row r="562">
      <c r="R562" s="38" t="n"/>
      <c r="S562" s="38" t="n"/>
      <c r="T562" s="38" t="n"/>
      <c r="U562" s="38" t="n"/>
    </row>
    <row r="563">
      <c r="R563" s="38" t="n"/>
      <c r="S563" s="38" t="n"/>
      <c r="T563" s="38" t="n"/>
      <c r="U563" s="38" t="n"/>
    </row>
    <row r="564">
      <c r="R564" s="38" t="n"/>
      <c r="S564" s="38" t="n"/>
      <c r="T564" s="38" t="n"/>
      <c r="U564" s="38" t="n"/>
    </row>
    <row r="565">
      <c r="R565" s="38" t="n"/>
      <c r="S565" s="38" t="n"/>
      <c r="T565" s="38" t="n"/>
      <c r="U565" s="38" t="n"/>
    </row>
    <row r="566">
      <c r="R566" s="38" t="n"/>
      <c r="S566" s="38" t="n"/>
      <c r="T566" s="38" t="n"/>
      <c r="U566" s="38" t="n"/>
    </row>
    <row r="567">
      <c r="R567" s="38" t="n"/>
      <c r="S567" s="38" t="n"/>
      <c r="T567" s="38" t="n"/>
      <c r="U567" s="38" t="n"/>
    </row>
    <row r="568">
      <c r="R568" s="38" t="n"/>
      <c r="S568" s="38" t="n"/>
      <c r="T568" s="38" t="n"/>
      <c r="U568" s="38" t="n"/>
    </row>
    <row r="569">
      <c r="R569" s="38" t="n"/>
      <c r="S569" s="38" t="n"/>
      <c r="T569" s="38" t="n"/>
      <c r="U569" s="38" t="n"/>
    </row>
    <row r="570">
      <c r="R570" s="38" t="n"/>
      <c r="S570" s="38" t="n"/>
      <c r="T570" s="38" t="n"/>
      <c r="U570" s="38" t="n"/>
    </row>
    <row r="571">
      <c r="R571" s="38" t="n"/>
      <c r="S571" s="38" t="n"/>
      <c r="T571" s="38" t="n"/>
      <c r="U571" s="38" t="n"/>
    </row>
    <row r="572">
      <c r="R572" s="38" t="n"/>
      <c r="S572" s="38" t="n"/>
      <c r="T572" s="38" t="n"/>
      <c r="U572" s="38" t="n"/>
    </row>
    <row r="573">
      <c r="R573" s="38" t="n"/>
      <c r="S573" s="38" t="n"/>
      <c r="T573" s="38" t="n"/>
      <c r="U573" s="38" t="n"/>
    </row>
    <row r="574">
      <c r="R574" s="38" t="n"/>
      <c r="S574" s="38" t="n"/>
      <c r="T574" s="38" t="n"/>
      <c r="U574" s="38" t="n"/>
    </row>
    <row r="575">
      <c r="R575" s="38" t="n"/>
      <c r="S575" s="38" t="n"/>
      <c r="T575" s="38" t="n"/>
      <c r="U575" s="38" t="n"/>
    </row>
    <row r="576">
      <c r="R576" s="38" t="n"/>
      <c r="S576" s="38" t="n"/>
      <c r="T576" s="38" t="n"/>
      <c r="U576" s="38" t="n"/>
    </row>
    <row r="577">
      <c r="R577" s="38" t="n"/>
      <c r="S577" s="38" t="n"/>
      <c r="T577" s="38" t="n"/>
      <c r="U577" s="38" t="n"/>
    </row>
    <row r="578">
      <c r="R578" s="38" t="n"/>
      <c r="S578" s="38" t="n"/>
      <c r="T578" s="38" t="n"/>
      <c r="U578" s="38" t="n"/>
    </row>
    <row r="579">
      <c r="R579" s="38" t="n"/>
      <c r="S579" s="38" t="n"/>
      <c r="T579" s="38" t="n"/>
      <c r="U579" s="38" t="n"/>
    </row>
    <row r="580">
      <c r="R580" s="38" t="n"/>
      <c r="S580" s="38" t="n"/>
      <c r="T580" s="38" t="n"/>
      <c r="U580" s="38" t="n"/>
    </row>
    <row r="581">
      <c r="R581" s="38" t="n"/>
      <c r="S581" s="38" t="n"/>
      <c r="T581" s="38" t="n"/>
      <c r="U581" s="38" t="n"/>
    </row>
    <row r="582">
      <c r="R582" s="38" t="n"/>
      <c r="S582" s="38" t="n"/>
      <c r="T582" s="38" t="n"/>
      <c r="U582" s="38" t="n"/>
    </row>
    <row r="583">
      <c r="R583" s="38" t="n"/>
      <c r="S583" s="38" t="n"/>
      <c r="T583" s="38" t="n"/>
      <c r="U583" s="38" t="n"/>
    </row>
    <row r="584">
      <c r="R584" s="38" t="n"/>
      <c r="S584" s="38" t="n"/>
      <c r="T584" s="38" t="n"/>
      <c r="U584" s="38" t="n"/>
    </row>
    <row r="585">
      <c r="R585" s="38" t="n"/>
      <c r="S585" s="38" t="n"/>
      <c r="T585" s="38" t="n"/>
      <c r="U585" s="38" t="n"/>
    </row>
    <row r="586">
      <c r="R586" s="38" t="n"/>
      <c r="S586" s="38" t="n"/>
      <c r="T586" s="38" t="n"/>
      <c r="U586" s="38" t="n"/>
    </row>
    <row r="587">
      <c r="R587" s="38" t="n"/>
      <c r="S587" s="38" t="n"/>
      <c r="T587" s="38" t="n"/>
      <c r="U587" s="38" t="n"/>
    </row>
    <row r="588">
      <c r="R588" s="38" t="n"/>
      <c r="S588" s="38" t="n"/>
      <c r="T588" s="38" t="n"/>
      <c r="U588" s="38" t="n"/>
    </row>
    <row r="589">
      <c r="R589" s="38" t="n"/>
      <c r="S589" s="38" t="n"/>
      <c r="T589" s="38" t="n"/>
      <c r="U589" s="38" t="n"/>
    </row>
    <row r="590">
      <c r="R590" s="38" t="n"/>
      <c r="S590" s="38" t="n"/>
      <c r="T590" s="38" t="n"/>
      <c r="U590" s="38" t="n"/>
    </row>
    <row r="591">
      <c r="R591" s="38" t="n"/>
      <c r="S591" s="38" t="n"/>
      <c r="T591" s="38" t="n"/>
      <c r="U591" s="38" t="n"/>
    </row>
    <row r="592">
      <c r="R592" s="38" t="n"/>
      <c r="S592" s="38" t="n"/>
      <c r="T592" s="38" t="n"/>
      <c r="U592" s="38" t="n"/>
    </row>
    <row r="593">
      <c r="R593" s="38" t="n"/>
      <c r="S593" s="38" t="n"/>
      <c r="T593" s="38" t="n"/>
      <c r="U593" s="38" t="n"/>
    </row>
    <row r="594">
      <c r="R594" s="38" t="n"/>
      <c r="S594" s="38" t="n"/>
      <c r="T594" s="38" t="n"/>
      <c r="U594" s="38" t="n"/>
    </row>
    <row r="595">
      <c r="R595" s="38" t="n"/>
      <c r="S595" s="38" t="n"/>
      <c r="T595" s="38" t="n"/>
      <c r="U595" s="38" t="n"/>
    </row>
    <row r="596">
      <c r="R596" s="38" t="n"/>
      <c r="S596" s="38" t="n"/>
      <c r="T596" s="38" t="n"/>
      <c r="U596" s="38" t="n"/>
    </row>
    <row r="597">
      <c r="R597" s="38" t="n"/>
      <c r="S597" s="38" t="n"/>
      <c r="T597" s="38" t="n"/>
      <c r="U597" s="38" t="n"/>
    </row>
    <row r="598">
      <c r="R598" s="38" t="n"/>
      <c r="S598" s="38" t="n"/>
      <c r="T598" s="38" t="n"/>
      <c r="U598" s="38" t="n"/>
    </row>
    <row r="599">
      <c r="R599" s="38" t="n"/>
      <c r="S599" s="38" t="n"/>
      <c r="T599" s="38" t="n"/>
      <c r="U599" s="38" t="n"/>
    </row>
    <row r="600">
      <c r="R600" s="38" t="n"/>
      <c r="S600" s="38" t="n"/>
      <c r="T600" s="38" t="n"/>
      <c r="U600" s="38" t="n"/>
    </row>
    <row r="601">
      <c r="R601" s="38" t="n"/>
      <c r="S601" s="38" t="n"/>
      <c r="T601" s="38" t="n"/>
      <c r="U601" s="38" t="n"/>
    </row>
    <row r="602">
      <c r="R602" s="38" t="n"/>
      <c r="S602" s="38" t="n"/>
      <c r="T602" s="38" t="n"/>
      <c r="U602" s="38" t="n"/>
    </row>
    <row r="603">
      <c r="R603" s="38" t="n"/>
      <c r="S603" s="38" t="n"/>
      <c r="T603" s="38" t="n"/>
      <c r="U603" s="38" t="n"/>
    </row>
    <row r="604">
      <c r="R604" s="38" t="n"/>
      <c r="S604" s="38" t="n"/>
      <c r="T604" s="38" t="n"/>
      <c r="U604" s="38" t="n"/>
    </row>
    <row r="605">
      <c r="R605" s="38" t="n"/>
      <c r="S605" s="38" t="n"/>
      <c r="T605" s="38" t="n"/>
      <c r="U605" s="38" t="n"/>
    </row>
    <row r="606">
      <c r="R606" s="38" t="n"/>
      <c r="S606" s="38" t="n"/>
      <c r="T606" s="38" t="n"/>
      <c r="U606" s="38" t="n"/>
    </row>
    <row r="607">
      <c r="R607" s="38" t="n"/>
      <c r="S607" s="38" t="n"/>
      <c r="T607" s="38" t="n"/>
      <c r="U607" s="38" t="n"/>
    </row>
    <row r="608">
      <c r="R608" s="38" t="n"/>
      <c r="S608" s="38" t="n"/>
      <c r="T608" s="38" t="n"/>
      <c r="U608" s="38" t="n"/>
    </row>
    <row r="609">
      <c r="R609" s="38" t="n"/>
      <c r="S609" s="38" t="n"/>
      <c r="T609" s="38" t="n"/>
      <c r="U609" s="38" t="n"/>
    </row>
    <row r="610">
      <c r="R610" s="38" t="n"/>
      <c r="S610" s="38" t="n"/>
      <c r="T610" s="38" t="n"/>
      <c r="U610" s="38" t="n"/>
    </row>
    <row r="611">
      <c r="R611" s="38" t="n"/>
      <c r="S611" s="38" t="n"/>
      <c r="T611" s="38" t="n"/>
      <c r="U611" s="38" t="n"/>
    </row>
    <row r="612">
      <c r="R612" s="38" t="n"/>
      <c r="S612" s="38" t="n"/>
      <c r="T612" s="38" t="n"/>
      <c r="U612" s="38" t="n"/>
    </row>
    <row r="613">
      <c r="R613" s="38" t="n"/>
      <c r="S613" s="38" t="n"/>
      <c r="T613" s="38" t="n"/>
      <c r="U613" s="38" t="n"/>
    </row>
    <row r="614">
      <c r="R614" s="38" t="n"/>
      <c r="S614" s="38" t="n"/>
      <c r="T614" s="38" t="n"/>
      <c r="U614" s="38" t="n"/>
    </row>
    <row r="615">
      <c r="R615" s="38" t="n"/>
      <c r="S615" s="38" t="n"/>
      <c r="T615" s="38" t="n"/>
      <c r="U615" s="38" t="n"/>
    </row>
    <row r="616">
      <c r="R616" s="38" t="n"/>
      <c r="S616" s="38" t="n"/>
      <c r="T616" s="38" t="n"/>
      <c r="U616" s="38" t="n"/>
    </row>
    <row r="617">
      <c r="R617" s="38" t="n"/>
      <c r="S617" s="38" t="n"/>
      <c r="T617" s="38" t="n"/>
      <c r="U617" s="38" t="n"/>
    </row>
    <row r="618">
      <c r="R618" s="38" t="n"/>
      <c r="S618" s="38" t="n"/>
      <c r="T618" s="38" t="n"/>
      <c r="U618" s="38" t="n"/>
    </row>
    <row r="619">
      <c r="R619" s="38" t="n"/>
      <c r="S619" s="38" t="n"/>
      <c r="T619" s="38" t="n"/>
      <c r="U619" s="38" t="n"/>
    </row>
    <row r="620">
      <c r="R620" s="38" t="n"/>
      <c r="S620" s="38" t="n"/>
      <c r="T620" s="38" t="n"/>
      <c r="U620" s="38" t="n"/>
    </row>
    <row r="621">
      <c r="R621" s="38" t="n"/>
      <c r="S621" s="38" t="n"/>
      <c r="T621" s="38" t="n"/>
      <c r="U621" s="38" t="n"/>
    </row>
    <row r="622">
      <c r="R622" s="38" t="n"/>
      <c r="S622" s="38" t="n"/>
      <c r="T622" s="38" t="n"/>
      <c r="U622" s="38" t="n"/>
    </row>
    <row r="623">
      <c r="R623" s="38" t="n"/>
      <c r="S623" s="38" t="n"/>
      <c r="T623" s="38" t="n"/>
      <c r="U623" s="38" t="n"/>
    </row>
    <row r="624">
      <c r="R624" s="38" t="n"/>
      <c r="S624" s="38" t="n"/>
      <c r="T624" s="38" t="n"/>
      <c r="U624" s="38" t="n"/>
    </row>
    <row r="625">
      <c r="R625" s="38" t="n"/>
      <c r="S625" s="38" t="n"/>
      <c r="T625" s="38" t="n"/>
      <c r="U625" s="38" t="n"/>
    </row>
    <row r="626">
      <c r="R626" s="38" t="n"/>
      <c r="S626" s="38" t="n"/>
      <c r="T626" s="38" t="n"/>
      <c r="U626" s="38" t="n"/>
    </row>
    <row r="627">
      <c r="R627" s="38" t="n"/>
      <c r="S627" s="38" t="n"/>
      <c r="T627" s="38" t="n"/>
      <c r="U627" s="38" t="n"/>
    </row>
    <row r="628">
      <c r="R628" s="38" t="n"/>
      <c r="S628" s="38" t="n"/>
      <c r="T628" s="38" t="n"/>
      <c r="U628" s="38" t="n"/>
    </row>
    <row r="629">
      <c r="R629" s="38" t="n"/>
      <c r="S629" s="38" t="n"/>
      <c r="T629" s="38" t="n"/>
      <c r="U629" s="38" t="n"/>
    </row>
    <row r="630">
      <c r="R630" s="38" t="n"/>
      <c r="S630" s="38" t="n"/>
      <c r="T630" s="38" t="n"/>
      <c r="U630" s="38" t="n"/>
    </row>
    <row r="631">
      <c r="R631" s="38" t="n"/>
      <c r="S631" s="38" t="n"/>
      <c r="T631" s="38" t="n"/>
      <c r="U631" s="38" t="n"/>
    </row>
    <row r="632">
      <c r="R632" s="38" t="n"/>
      <c r="S632" s="38" t="n"/>
      <c r="T632" s="38" t="n"/>
      <c r="U632" s="38" t="n"/>
    </row>
    <row r="633">
      <c r="R633" s="38" t="n"/>
      <c r="S633" s="38" t="n"/>
      <c r="T633" s="38" t="n"/>
      <c r="U633" s="38" t="n"/>
    </row>
    <row r="634">
      <c r="R634" s="38" t="n"/>
      <c r="S634" s="38" t="n"/>
      <c r="T634" s="38" t="n"/>
      <c r="U634" s="38" t="n"/>
    </row>
    <row r="635">
      <c r="R635" s="38" t="n"/>
      <c r="S635" s="38" t="n"/>
      <c r="T635" s="38" t="n"/>
      <c r="U635" s="38" t="n"/>
    </row>
    <row r="636">
      <c r="R636" s="38" t="n"/>
      <c r="S636" s="38" t="n"/>
      <c r="T636" s="38" t="n"/>
      <c r="U636" s="38" t="n"/>
    </row>
    <row r="637">
      <c r="R637" s="38" t="n"/>
      <c r="S637" s="38" t="n"/>
      <c r="T637" s="38" t="n"/>
      <c r="U637" s="38" t="n"/>
    </row>
    <row r="638">
      <c r="R638" s="38" t="n"/>
      <c r="S638" s="38" t="n"/>
      <c r="T638" s="38" t="n"/>
      <c r="U638" s="38" t="n"/>
    </row>
    <row r="639">
      <c r="R639" s="38" t="n"/>
      <c r="S639" s="38" t="n"/>
      <c r="T639" s="38" t="n"/>
      <c r="U639" s="38" t="n"/>
    </row>
    <row r="640">
      <c r="R640" s="38" t="n"/>
      <c r="S640" s="38" t="n"/>
      <c r="T640" s="38" t="n"/>
      <c r="U640" s="38" t="n"/>
    </row>
    <row r="641">
      <c r="R641" s="38" t="n"/>
      <c r="S641" s="38" t="n"/>
      <c r="T641" s="38" t="n"/>
      <c r="U641" s="38" t="n"/>
    </row>
    <row r="642">
      <c r="R642" s="38" t="n"/>
      <c r="S642" s="38" t="n"/>
      <c r="T642" s="38" t="n"/>
      <c r="U642" s="38" t="n"/>
    </row>
    <row r="643">
      <c r="R643" s="38" t="n"/>
      <c r="S643" s="38" t="n"/>
      <c r="T643" s="38" t="n"/>
      <c r="U643" s="38" t="n"/>
    </row>
    <row r="644">
      <c r="R644" s="38" t="n"/>
      <c r="S644" s="38" t="n"/>
      <c r="T644" s="38" t="n"/>
      <c r="U644" s="38" t="n"/>
    </row>
    <row r="645">
      <c r="R645" s="38" t="n"/>
      <c r="S645" s="38" t="n"/>
      <c r="T645" s="38" t="n"/>
      <c r="U645" s="38" t="n"/>
    </row>
    <row r="646">
      <c r="R646" s="38" t="n"/>
      <c r="S646" s="38" t="n"/>
      <c r="T646" s="38" t="n"/>
      <c r="U646" s="38" t="n"/>
    </row>
    <row r="647">
      <c r="R647" s="38" t="n"/>
      <c r="S647" s="38" t="n"/>
      <c r="T647" s="38" t="n"/>
      <c r="U647" s="38" t="n"/>
    </row>
    <row r="648">
      <c r="R648" s="38" t="n"/>
      <c r="S648" s="38" t="n"/>
      <c r="T648" s="38" t="n"/>
      <c r="U648" s="38" t="n"/>
    </row>
    <row r="649">
      <c r="R649" s="38" t="n"/>
      <c r="S649" s="38" t="n"/>
      <c r="T649" s="38" t="n"/>
      <c r="U649" s="38" t="n"/>
    </row>
    <row r="650">
      <c r="R650" s="38" t="n"/>
      <c r="S650" s="38" t="n"/>
      <c r="T650" s="38" t="n"/>
      <c r="U650" s="38" t="n"/>
    </row>
    <row r="651">
      <c r="R651" s="38" t="n"/>
      <c r="S651" s="38" t="n"/>
      <c r="T651" s="38" t="n"/>
      <c r="U651" s="38" t="n"/>
    </row>
    <row r="652">
      <c r="R652" s="38" t="n"/>
      <c r="S652" s="38" t="n"/>
      <c r="T652" s="38" t="n"/>
      <c r="U652" s="38" t="n"/>
    </row>
    <row r="653">
      <c r="R653" s="38" t="n"/>
      <c r="S653" s="38" t="n"/>
      <c r="T653" s="38" t="n"/>
      <c r="U653" s="38" t="n"/>
    </row>
    <row r="654">
      <c r="R654" s="38" t="n"/>
      <c r="S654" s="38" t="n"/>
      <c r="T654" s="38" t="n"/>
      <c r="U654" s="38" t="n"/>
    </row>
    <row r="655">
      <c r="R655" s="38" t="n"/>
      <c r="S655" s="38" t="n"/>
      <c r="T655" s="38" t="n"/>
      <c r="U655" s="38" t="n"/>
    </row>
    <row r="656">
      <c r="R656" s="38" t="n"/>
      <c r="S656" s="38" t="n"/>
      <c r="T656" s="38" t="n"/>
      <c r="U656" s="38" t="n"/>
    </row>
    <row r="657">
      <c r="R657" s="38" t="n"/>
      <c r="S657" s="38" t="n"/>
      <c r="T657" s="38" t="n"/>
      <c r="U657" s="38" t="n"/>
    </row>
    <row r="658">
      <c r="R658" s="38" t="n"/>
      <c r="S658" s="38" t="n"/>
      <c r="T658" s="38" t="n"/>
      <c r="U658" s="38" t="n"/>
    </row>
    <row r="659">
      <c r="R659" s="38" t="n"/>
      <c r="S659" s="38" t="n"/>
      <c r="T659" s="38" t="n"/>
      <c r="U659" s="38" t="n"/>
    </row>
    <row r="660">
      <c r="R660" s="38" t="n"/>
      <c r="S660" s="38" t="n"/>
      <c r="T660" s="38" t="n"/>
      <c r="U660" s="38" t="n"/>
    </row>
    <row r="661">
      <c r="R661" s="38" t="n"/>
      <c r="S661" s="38" t="n"/>
      <c r="T661" s="38" t="n"/>
      <c r="U661" s="38" t="n"/>
    </row>
    <row r="662">
      <c r="R662" s="38" t="n"/>
      <c r="S662" s="38" t="n"/>
      <c r="T662" s="38" t="n"/>
      <c r="U662" s="38" t="n"/>
    </row>
    <row r="663">
      <c r="R663" s="38" t="n"/>
      <c r="S663" s="38" t="n"/>
      <c r="T663" s="38" t="n"/>
      <c r="U663" s="38" t="n"/>
    </row>
    <row r="664">
      <c r="R664" s="38" t="n"/>
      <c r="S664" s="38" t="n"/>
      <c r="T664" s="38" t="n"/>
      <c r="U664" s="38" t="n"/>
    </row>
    <row r="665">
      <c r="R665" s="38" t="n"/>
      <c r="S665" s="38" t="n"/>
      <c r="T665" s="38" t="n"/>
      <c r="U665" s="38" t="n"/>
    </row>
    <row r="666">
      <c r="R666" s="38" t="n"/>
      <c r="S666" s="38" t="n"/>
      <c r="T666" s="38" t="n"/>
      <c r="U666" s="38" t="n"/>
    </row>
    <row r="667">
      <c r="R667" s="38" t="n"/>
      <c r="S667" s="38" t="n"/>
      <c r="T667" s="38" t="n"/>
      <c r="U667" s="38" t="n"/>
    </row>
    <row r="668">
      <c r="R668" s="38" t="n"/>
      <c r="S668" s="38" t="n"/>
      <c r="T668" s="38" t="n"/>
      <c r="U668" s="38" t="n"/>
    </row>
    <row r="669">
      <c r="R669" s="38" t="n"/>
      <c r="S669" s="38" t="n"/>
      <c r="T669" s="38" t="n"/>
      <c r="U669" s="38" t="n"/>
    </row>
    <row r="670">
      <c r="R670" s="38" t="n"/>
      <c r="S670" s="38" t="n"/>
      <c r="T670" s="38" t="n"/>
      <c r="U670" s="38" t="n"/>
    </row>
    <row r="671">
      <c r="R671" s="38" t="n"/>
      <c r="S671" s="38" t="n"/>
      <c r="T671" s="38" t="n"/>
      <c r="U671" s="38" t="n"/>
    </row>
    <row r="672">
      <c r="R672" s="38" t="n"/>
      <c r="S672" s="38" t="n"/>
      <c r="T672" s="38" t="n"/>
      <c r="U672" s="38" t="n"/>
    </row>
    <row r="673">
      <c r="R673" s="38" t="n"/>
      <c r="S673" s="38" t="n"/>
      <c r="T673" s="38" t="n"/>
      <c r="U673" s="38" t="n"/>
    </row>
    <row r="674">
      <c r="R674" s="38" t="n"/>
      <c r="S674" s="38" t="n"/>
      <c r="T674" s="38" t="n"/>
      <c r="U674" s="38" t="n"/>
    </row>
    <row r="675">
      <c r="R675" s="38" t="n"/>
      <c r="S675" s="38" t="n"/>
      <c r="T675" s="38" t="n"/>
      <c r="U675" s="38" t="n"/>
    </row>
    <row r="676">
      <c r="R676" s="38" t="n"/>
      <c r="S676" s="38" t="n"/>
      <c r="T676" s="38" t="n"/>
      <c r="U676" s="38" t="n"/>
    </row>
    <row r="677">
      <c r="R677" s="38" t="n"/>
      <c r="S677" s="38" t="n"/>
      <c r="T677" s="38" t="n"/>
      <c r="U677" s="38" t="n"/>
    </row>
    <row r="678">
      <c r="R678" s="38" t="n"/>
      <c r="S678" s="38" t="n"/>
      <c r="T678" s="38" t="n"/>
      <c r="U678" s="38" t="n"/>
    </row>
    <row r="679">
      <c r="R679" s="38" t="n"/>
      <c r="S679" s="38" t="n"/>
      <c r="T679" s="38" t="n"/>
      <c r="U679" s="38" t="n"/>
    </row>
    <row r="680">
      <c r="R680" s="38" t="n"/>
      <c r="S680" s="38" t="n"/>
      <c r="T680" s="38" t="n"/>
      <c r="U680" s="38" t="n"/>
    </row>
    <row r="681">
      <c r="R681" s="38" t="n"/>
      <c r="S681" s="38" t="n"/>
      <c r="T681" s="38" t="n"/>
      <c r="U681" s="38" t="n"/>
    </row>
    <row r="682">
      <c r="R682" s="38" t="n"/>
      <c r="S682" s="38" t="n"/>
      <c r="T682" s="38" t="n"/>
      <c r="U682" s="38" t="n"/>
    </row>
    <row r="683">
      <c r="R683" s="38" t="n"/>
      <c r="S683" s="38" t="n"/>
      <c r="T683" s="38" t="n"/>
      <c r="U683" s="38" t="n"/>
    </row>
    <row r="684">
      <c r="R684" s="38" t="n"/>
      <c r="S684" s="38" t="n"/>
      <c r="T684" s="38" t="n"/>
      <c r="U684" s="38" t="n"/>
    </row>
    <row r="685">
      <c r="R685" s="38" t="n"/>
      <c r="S685" s="38" t="n"/>
      <c r="T685" s="38" t="n"/>
      <c r="U685" s="38" t="n"/>
    </row>
    <row r="686">
      <c r="R686" s="38" t="n"/>
      <c r="S686" s="38" t="n"/>
      <c r="T686" s="38" t="n"/>
      <c r="U686" s="38" t="n"/>
    </row>
    <row r="687">
      <c r="R687" s="38" t="n"/>
      <c r="S687" s="38" t="n"/>
      <c r="T687" s="38" t="n"/>
      <c r="U687" s="38" t="n"/>
    </row>
    <row r="688">
      <c r="R688" s="38" t="n"/>
      <c r="S688" s="38" t="n"/>
      <c r="T688" s="38" t="n"/>
      <c r="U688" s="38" t="n"/>
    </row>
    <row r="689">
      <c r="R689" s="38" t="n"/>
      <c r="S689" s="38" t="n"/>
      <c r="T689" s="38" t="n"/>
      <c r="U689" s="38" t="n"/>
    </row>
    <row r="690">
      <c r="R690" s="38" t="n"/>
      <c r="S690" s="38" t="n"/>
      <c r="T690" s="38" t="n"/>
      <c r="U690" s="38" t="n"/>
    </row>
    <row r="691">
      <c r="R691" s="38" t="n"/>
      <c r="S691" s="38" t="n"/>
      <c r="T691" s="38" t="n"/>
      <c r="U691" s="38" t="n"/>
    </row>
    <row r="692">
      <c r="R692" s="38" t="n"/>
      <c r="S692" s="38" t="n"/>
      <c r="T692" s="38" t="n"/>
      <c r="U692" s="38" t="n"/>
    </row>
    <row r="693">
      <c r="R693" s="38" t="n"/>
      <c r="S693" s="38" t="n"/>
      <c r="T693" s="38" t="n"/>
      <c r="U693" s="38" t="n"/>
    </row>
    <row r="694">
      <c r="R694" s="38" t="n"/>
      <c r="S694" s="38" t="n"/>
      <c r="T694" s="38" t="n"/>
      <c r="U694" s="38" t="n"/>
    </row>
    <row r="695">
      <c r="R695" s="38" t="n"/>
      <c r="S695" s="38" t="n"/>
      <c r="T695" s="38" t="n"/>
      <c r="U695" s="38" t="n"/>
    </row>
    <row r="696">
      <c r="R696" s="38" t="n"/>
      <c r="S696" s="38" t="n"/>
      <c r="T696" s="38" t="n"/>
      <c r="U696" s="38" t="n"/>
    </row>
    <row r="697">
      <c r="R697" s="38" t="n"/>
      <c r="S697" s="38" t="n"/>
      <c r="T697" s="38" t="n"/>
      <c r="U697" s="38" t="n"/>
    </row>
    <row r="698">
      <c r="R698" s="38" t="n"/>
      <c r="S698" s="38" t="n"/>
      <c r="T698" s="38" t="n"/>
      <c r="U698" s="38" t="n"/>
    </row>
    <row r="699">
      <c r="R699" s="38" t="n"/>
      <c r="S699" s="38" t="n"/>
      <c r="T699" s="38" t="n"/>
      <c r="U699" s="38" t="n"/>
    </row>
    <row r="700">
      <c r="R700" s="38" t="n"/>
      <c r="S700" s="38" t="n"/>
      <c r="T700" s="38" t="n"/>
      <c r="U700" s="38" t="n"/>
    </row>
    <row r="701">
      <c r="R701" s="38" t="n"/>
      <c r="S701" s="38" t="n"/>
      <c r="T701" s="38" t="n"/>
      <c r="U701" s="38" t="n"/>
    </row>
    <row r="702">
      <c r="R702" s="38" t="n"/>
      <c r="S702" s="38" t="n"/>
      <c r="T702" s="38" t="n"/>
      <c r="U702" s="38" t="n"/>
    </row>
    <row r="703">
      <c r="R703" s="38" t="n"/>
      <c r="S703" s="38" t="n"/>
      <c r="T703" s="38" t="n"/>
      <c r="U703" s="38" t="n"/>
    </row>
    <row r="704">
      <c r="R704" s="38" t="n"/>
      <c r="S704" s="38" t="n"/>
      <c r="T704" s="38" t="n"/>
      <c r="U704" s="38" t="n"/>
    </row>
    <row r="705">
      <c r="R705" s="38" t="n"/>
      <c r="S705" s="38" t="n"/>
      <c r="T705" s="38" t="n"/>
      <c r="U705" s="38" t="n"/>
    </row>
    <row r="706">
      <c r="R706" s="38" t="n"/>
      <c r="S706" s="38" t="n"/>
      <c r="T706" s="38" t="n"/>
      <c r="U706" s="38" t="n"/>
    </row>
    <row r="707">
      <c r="R707" s="38" t="n"/>
      <c r="S707" s="38" t="n"/>
      <c r="T707" s="38" t="n"/>
      <c r="U707" s="38" t="n"/>
    </row>
    <row r="708">
      <c r="R708" s="38" t="n"/>
      <c r="S708" s="38" t="n"/>
      <c r="T708" s="38" t="n"/>
      <c r="U708" s="38" t="n"/>
    </row>
    <row r="709">
      <c r="R709" s="38" t="n"/>
      <c r="S709" s="38" t="n"/>
      <c r="T709" s="38" t="n"/>
      <c r="U709" s="38" t="n"/>
    </row>
    <row r="710">
      <c r="R710" s="38" t="n"/>
      <c r="S710" s="38" t="n"/>
      <c r="T710" s="38" t="n"/>
      <c r="U710" s="38" t="n"/>
    </row>
    <row r="711">
      <c r="R711" s="38" t="n"/>
      <c r="S711" s="38" t="n"/>
      <c r="T711" s="38" t="n"/>
      <c r="U711" s="38" t="n"/>
    </row>
    <row r="712">
      <c r="R712" s="38" t="n"/>
      <c r="S712" s="38" t="n"/>
      <c r="T712" s="38" t="n"/>
      <c r="U712" s="38" t="n"/>
    </row>
    <row r="713">
      <c r="R713" s="38" t="n"/>
      <c r="S713" s="38" t="n"/>
      <c r="T713" s="38" t="n"/>
      <c r="U713" s="38" t="n"/>
    </row>
    <row r="714">
      <c r="R714" s="38" t="n"/>
      <c r="S714" s="38" t="n"/>
      <c r="T714" s="38" t="n"/>
      <c r="U714" s="38" t="n"/>
    </row>
    <row r="715">
      <c r="R715" s="38" t="n"/>
      <c r="S715" s="38" t="n"/>
      <c r="T715" s="38" t="n"/>
      <c r="U715" s="38" t="n"/>
    </row>
    <row r="716">
      <c r="R716" s="38" t="n"/>
      <c r="S716" s="38" t="n"/>
      <c r="T716" s="38" t="n"/>
      <c r="U716" s="38" t="n"/>
    </row>
    <row r="717">
      <c r="R717" s="38" t="n"/>
      <c r="S717" s="38" t="n"/>
      <c r="T717" s="38" t="n"/>
      <c r="U717" s="38" t="n"/>
    </row>
    <row r="718">
      <c r="R718" s="38" t="n"/>
      <c r="S718" s="38" t="n"/>
      <c r="T718" s="38" t="n"/>
      <c r="U718" s="38" t="n"/>
    </row>
    <row r="719">
      <c r="R719" s="38" t="n"/>
      <c r="S719" s="38" t="n"/>
      <c r="T719" s="38" t="n"/>
      <c r="U719" s="38" t="n"/>
    </row>
    <row r="720">
      <c r="R720" s="38" t="n"/>
      <c r="S720" s="38" t="n"/>
      <c r="T720" s="38" t="n"/>
      <c r="U720" s="38" t="n"/>
    </row>
    <row r="721">
      <c r="R721" s="38" t="n"/>
      <c r="S721" s="38" t="n"/>
      <c r="T721" s="38" t="n"/>
      <c r="U721" s="38" t="n"/>
    </row>
    <row r="722">
      <c r="R722" s="38" t="n"/>
      <c r="S722" s="38" t="n"/>
      <c r="T722" s="38" t="n"/>
      <c r="U722" s="38" t="n"/>
    </row>
    <row r="723">
      <c r="R723" s="38" t="n"/>
      <c r="S723" s="38" t="n"/>
      <c r="T723" s="38" t="n"/>
      <c r="U723" s="38" t="n"/>
    </row>
    <row r="724">
      <c r="R724" s="38" t="n"/>
      <c r="S724" s="38" t="n"/>
      <c r="T724" s="38" t="n"/>
      <c r="U724" s="38" t="n"/>
    </row>
    <row r="725">
      <c r="R725" s="38" t="n"/>
      <c r="S725" s="38" t="n"/>
      <c r="T725" s="38" t="n"/>
      <c r="U725" s="38" t="n"/>
    </row>
    <row r="726">
      <c r="R726" s="38" t="n"/>
      <c r="S726" s="38" t="n"/>
      <c r="T726" s="38" t="n"/>
      <c r="U726" s="38" t="n"/>
    </row>
    <row r="727">
      <c r="R727" s="38" t="n"/>
      <c r="S727" s="38" t="n"/>
      <c r="T727" s="38" t="n"/>
      <c r="U727" s="38" t="n"/>
    </row>
    <row r="728">
      <c r="R728" s="38" t="n"/>
      <c r="S728" s="38" t="n"/>
      <c r="T728" s="38" t="n"/>
      <c r="U728" s="38" t="n"/>
    </row>
    <row r="729">
      <c r="R729" s="38" t="n"/>
      <c r="S729" s="38" t="n"/>
      <c r="T729" s="38" t="n"/>
      <c r="U729" s="38" t="n"/>
    </row>
    <row r="730">
      <c r="R730" s="38" t="n"/>
      <c r="S730" s="38" t="n"/>
      <c r="T730" s="38" t="n"/>
      <c r="U730" s="38" t="n"/>
    </row>
    <row r="731">
      <c r="R731" s="38" t="n"/>
      <c r="S731" s="38" t="n"/>
      <c r="T731" s="38" t="n"/>
      <c r="U731" s="38" t="n"/>
    </row>
    <row r="732">
      <c r="R732" s="38" t="n"/>
      <c r="S732" s="38" t="n"/>
      <c r="T732" s="38" t="n"/>
      <c r="U732" s="38" t="n"/>
    </row>
    <row r="733">
      <c r="R733" s="38" t="n"/>
      <c r="S733" s="38" t="n"/>
      <c r="T733" s="38" t="n"/>
      <c r="U733" s="38" t="n"/>
    </row>
    <row r="734">
      <c r="R734" s="38" t="n"/>
      <c r="S734" s="38" t="n"/>
      <c r="T734" s="38" t="n"/>
      <c r="U734" s="38" t="n"/>
    </row>
    <row r="735">
      <c r="R735" s="38" t="n"/>
      <c r="S735" s="38" t="n"/>
      <c r="T735" s="38" t="n"/>
      <c r="U735" s="38" t="n"/>
    </row>
    <row r="736">
      <c r="R736" s="38" t="n"/>
      <c r="S736" s="38" t="n"/>
      <c r="T736" s="38" t="n"/>
      <c r="U736" s="38" t="n"/>
    </row>
    <row r="737">
      <c r="R737" s="38" t="n"/>
      <c r="S737" s="38" t="n"/>
      <c r="T737" s="38" t="n"/>
      <c r="U737" s="38" t="n"/>
    </row>
    <row r="738">
      <c r="R738" s="38" t="n"/>
      <c r="S738" s="38" t="n"/>
      <c r="T738" s="38" t="n"/>
      <c r="U738" s="38" t="n"/>
    </row>
    <row r="739">
      <c r="R739" s="38" t="n"/>
      <c r="S739" s="38" t="n"/>
      <c r="T739" s="38" t="n"/>
      <c r="U739" s="38" t="n"/>
    </row>
    <row r="740">
      <c r="R740" s="38" t="n"/>
      <c r="S740" s="38" t="n"/>
      <c r="T740" s="38" t="n"/>
      <c r="U740" s="38" t="n"/>
    </row>
    <row r="741">
      <c r="R741" s="38" t="n"/>
      <c r="S741" s="38" t="n"/>
      <c r="T741" s="38" t="n"/>
      <c r="U741" s="38" t="n"/>
    </row>
    <row r="742">
      <c r="R742" s="38" t="n"/>
      <c r="S742" s="38" t="n"/>
      <c r="T742" s="38" t="n"/>
      <c r="U742" s="38" t="n"/>
    </row>
    <row r="743">
      <c r="R743" s="38" t="n"/>
      <c r="S743" s="38" t="n"/>
      <c r="T743" s="38" t="n"/>
      <c r="U743" s="38" t="n"/>
    </row>
    <row r="744">
      <c r="R744" s="38" t="n"/>
      <c r="S744" s="38" t="n"/>
      <c r="T744" s="38" t="n"/>
      <c r="U744" s="38" t="n"/>
    </row>
    <row r="745">
      <c r="R745" s="38" t="n"/>
      <c r="S745" s="38" t="n"/>
      <c r="T745" s="38" t="n"/>
      <c r="U745" s="38" t="n"/>
    </row>
    <row r="746">
      <c r="R746" s="38" t="n"/>
      <c r="S746" s="38" t="n"/>
      <c r="T746" s="38" t="n"/>
      <c r="U746" s="38" t="n"/>
    </row>
    <row r="747">
      <c r="R747" s="38" t="n"/>
      <c r="S747" s="38" t="n"/>
      <c r="T747" s="38" t="n"/>
      <c r="U747" s="38" t="n"/>
    </row>
    <row r="748">
      <c r="R748" s="38" t="n"/>
      <c r="S748" s="38" t="n"/>
      <c r="T748" s="38" t="n"/>
      <c r="U748" s="38" t="n"/>
    </row>
    <row r="749">
      <c r="R749" s="38" t="n"/>
      <c r="S749" s="38" t="n"/>
      <c r="T749" s="38" t="n"/>
      <c r="U749" s="38" t="n"/>
    </row>
    <row r="750">
      <c r="R750" s="38" t="n"/>
      <c r="S750" s="38" t="n"/>
      <c r="T750" s="38" t="n"/>
      <c r="U750" s="38" t="n"/>
    </row>
    <row r="751">
      <c r="R751" s="38" t="n"/>
      <c r="S751" s="38" t="n"/>
      <c r="T751" s="38" t="n"/>
      <c r="U751" s="38" t="n"/>
    </row>
    <row r="752">
      <c r="R752" s="38" t="n"/>
      <c r="S752" s="38" t="n"/>
      <c r="T752" s="38" t="n"/>
      <c r="U752" s="38" t="n"/>
    </row>
    <row r="753">
      <c r="R753" s="38" t="n"/>
      <c r="S753" s="38" t="n"/>
      <c r="T753" s="38" t="n"/>
      <c r="U753" s="38" t="n"/>
    </row>
    <row r="754">
      <c r="R754" s="38" t="n"/>
      <c r="S754" s="38" t="n"/>
      <c r="T754" s="38" t="n"/>
      <c r="U754" s="38" t="n"/>
    </row>
    <row r="755">
      <c r="R755" s="38" t="n"/>
      <c r="S755" s="38" t="n"/>
      <c r="T755" s="38" t="n"/>
      <c r="U755" s="38" t="n"/>
    </row>
    <row r="756">
      <c r="R756" s="38" t="n"/>
      <c r="S756" s="38" t="n"/>
      <c r="T756" s="38" t="n"/>
      <c r="U756" s="38" t="n"/>
    </row>
    <row r="757">
      <c r="R757" s="38" t="n"/>
      <c r="S757" s="38" t="n"/>
      <c r="T757" s="38" t="n"/>
      <c r="U757" s="38" t="n"/>
    </row>
    <row r="758">
      <c r="R758" s="38" t="n"/>
      <c r="S758" s="38" t="n"/>
      <c r="T758" s="38" t="n"/>
      <c r="U758" s="38" t="n"/>
    </row>
    <row r="759">
      <c r="R759" s="38" t="n"/>
      <c r="S759" s="38" t="n"/>
      <c r="T759" s="38" t="n"/>
      <c r="U759" s="38" t="n"/>
    </row>
    <row r="760">
      <c r="R760" s="38" t="n"/>
      <c r="S760" s="38" t="n"/>
      <c r="T760" s="38" t="n"/>
      <c r="U760" s="38" t="n"/>
    </row>
    <row r="761">
      <c r="R761" s="38" t="n"/>
      <c r="S761" s="38" t="n"/>
      <c r="T761" s="38" t="n"/>
      <c r="U761" s="38" t="n"/>
    </row>
    <row r="762">
      <c r="R762" s="38" t="n"/>
      <c r="S762" s="38" t="n"/>
      <c r="T762" s="38" t="n"/>
      <c r="U762" s="38" t="n"/>
    </row>
    <row r="763">
      <c r="R763" s="38" t="n"/>
      <c r="S763" s="38" t="n"/>
      <c r="T763" s="38" t="n"/>
      <c r="U763" s="38" t="n"/>
    </row>
    <row r="764">
      <c r="R764" s="38" t="n"/>
      <c r="S764" s="38" t="n"/>
      <c r="T764" s="38" t="n"/>
      <c r="U764" s="38" t="n"/>
    </row>
    <row r="765">
      <c r="R765" s="38" t="n"/>
      <c r="S765" s="38" t="n"/>
      <c r="T765" s="38" t="n"/>
      <c r="U765" s="38" t="n"/>
    </row>
    <row r="766">
      <c r="R766" s="38" t="n"/>
      <c r="S766" s="38" t="n"/>
      <c r="T766" s="38" t="n"/>
      <c r="U766" s="38" t="n"/>
    </row>
    <row r="767">
      <c r="R767" s="38" t="n"/>
      <c r="S767" s="38" t="n"/>
      <c r="T767" s="38" t="n"/>
      <c r="U767" s="38" t="n"/>
    </row>
    <row r="768">
      <c r="R768" s="38" t="n"/>
      <c r="S768" s="38" t="n"/>
      <c r="T768" s="38" t="n"/>
      <c r="U768" s="38" t="n"/>
    </row>
    <row r="769">
      <c r="R769" s="38" t="n"/>
      <c r="S769" s="38" t="n"/>
      <c r="T769" s="38" t="n"/>
      <c r="U769" s="38" t="n"/>
    </row>
    <row r="770">
      <c r="R770" s="38" t="n"/>
      <c r="S770" s="38" t="n"/>
      <c r="T770" s="38" t="n"/>
      <c r="U770" s="38" t="n"/>
    </row>
    <row r="771">
      <c r="R771" s="38" t="n"/>
      <c r="S771" s="38" t="n"/>
      <c r="T771" s="38" t="n"/>
      <c r="U771" s="38" t="n"/>
    </row>
    <row r="772">
      <c r="R772" s="38" t="n"/>
      <c r="S772" s="38" t="n"/>
      <c r="T772" s="38" t="n"/>
      <c r="U772" s="38" t="n"/>
    </row>
    <row r="773">
      <c r="R773" s="38" t="n"/>
      <c r="S773" s="38" t="n"/>
      <c r="T773" s="38" t="n"/>
      <c r="U773" s="38" t="n"/>
    </row>
    <row r="774">
      <c r="R774" s="38" t="n"/>
      <c r="S774" s="38" t="n"/>
      <c r="T774" s="38" t="n"/>
      <c r="U774" s="38" t="n"/>
    </row>
    <row r="775">
      <c r="R775" s="38" t="n"/>
      <c r="S775" s="38" t="n"/>
      <c r="T775" s="38" t="n"/>
      <c r="U775" s="38" t="n"/>
    </row>
    <row r="776">
      <c r="R776" s="38" t="n"/>
      <c r="S776" s="38" t="n"/>
      <c r="T776" s="38" t="n"/>
      <c r="U776" s="38" t="n"/>
    </row>
    <row r="777">
      <c r="R777" s="38" t="n"/>
      <c r="S777" s="38" t="n"/>
      <c r="T777" s="38" t="n"/>
      <c r="U777" s="38" t="n"/>
    </row>
    <row r="778">
      <c r="R778" s="38" t="n"/>
      <c r="S778" s="38" t="n"/>
      <c r="T778" s="38" t="n"/>
      <c r="U778" s="38" t="n"/>
    </row>
    <row r="779">
      <c r="R779" s="38" t="n"/>
      <c r="S779" s="38" t="n"/>
      <c r="T779" s="38" t="n"/>
      <c r="U779" s="38" t="n"/>
    </row>
    <row r="780">
      <c r="R780" s="38" t="n"/>
      <c r="S780" s="38" t="n"/>
      <c r="T780" s="38" t="n"/>
      <c r="U780" s="38" t="n"/>
    </row>
    <row r="781">
      <c r="R781" s="38" t="n"/>
      <c r="S781" s="38" t="n"/>
      <c r="T781" s="38" t="n"/>
      <c r="U781" s="38" t="n"/>
    </row>
    <row r="782">
      <c r="R782" s="38" t="n"/>
      <c r="S782" s="38" t="n"/>
      <c r="T782" s="38" t="n"/>
      <c r="U782" s="38" t="n"/>
    </row>
    <row r="783">
      <c r="R783" s="38" t="n"/>
      <c r="S783" s="38" t="n"/>
      <c r="T783" s="38" t="n"/>
      <c r="U783" s="38" t="n"/>
    </row>
    <row r="784">
      <c r="R784" s="38" t="n"/>
      <c r="S784" s="38" t="n"/>
      <c r="T784" s="38" t="n"/>
      <c r="U784" s="38" t="n"/>
    </row>
    <row r="785">
      <c r="R785" s="38" t="n"/>
      <c r="S785" s="38" t="n"/>
      <c r="T785" s="38" t="n"/>
      <c r="U785" s="38" t="n"/>
    </row>
    <row r="786">
      <c r="R786" s="38" t="n"/>
      <c r="S786" s="38" t="n"/>
      <c r="T786" s="38" t="n"/>
      <c r="U786" s="38" t="n"/>
    </row>
    <row r="787">
      <c r="R787" s="38" t="n"/>
      <c r="S787" s="38" t="n"/>
      <c r="T787" s="38" t="n"/>
      <c r="U787" s="38" t="n"/>
    </row>
    <row r="788">
      <c r="R788" s="38" t="n"/>
      <c r="S788" s="38" t="n"/>
      <c r="T788" s="38" t="n"/>
      <c r="U788" s="38" t="n"/>
    </row>
    <row r="789">
      <c r="R789" s="38" t="n"/>
      <c r="S789" s="38" t="n"/>
      <c r="T789" s="38" t="n"/>
      <c r="U789" s="38" t="n"/>
    </row>
    <row r="790">
      <c r="R790" s="38" t="n"/>
      <c r="S790" s="38" t="n"/>
      <c r="T790" s="38" t="n"/>
      <c r="U790" s="38" t="n"/>
    </row>
    <row r="791">
      <c r="R791" s="38" t="n"/>
      <c r="S791" s="38" t="n"/>
      <c r="T791" s="38" t="n"/>
      <c r="U791" s="38" t="n"/>
    </row>
    <row r="792">
      <c r="R792" s="38" t="n"/>
      <c r="S792" s="38" t="n"/>
      <c r="T792" s="38" t="n"/>
      <c r="U792" s="38" t="n"/>
    </row>
    <row r="793">
      <c r="R793" s="38" t="n"/>
      <c r="S793" s="38" t="n"/>
      <c r="T793" s="38" t="n"/>
      <c r="U793" s="38" t="n"/>
    </row>
    <row r="794">
      <c r="R794" s="38" t="n"/>
      <c r="S794" s="38" t="n"/>
      <c r="T794" s="38" t="n"/>
      <c r="U794" s="38" t="n"/>
    </row>
    <row r="795">
      <c r="R795" s="38" t="n"/>
      <c r="S795" s="38" t="n"/>
      <c r="T795" s="38" t="n"/>
      <c r="U795" s="38" t="n"/>
    </row>
    <row r="796">
      <c r="R796" s="38" t="n"/>
      <c r="S796" s="38" t="n"/>
      <c r="T796" s="38" t="n"/>
      <c r="U796" s="38" t="n"/>
    </row>
    <row r="797">
      <c r="R797" s="38" t="n"/>
      <c r="S797" s="38" t="n"/>
      <c r="T797" s="38" t="n"/>
      <c r="U797" s="38" t="n"/>
    </row>
    <row r="798">
      <c r="R798" s="38" t="n"/>
      <c r="S798" s="38" t="n"/>
      <c r="T798" s="38" t="n"/>
      <c r="U798" s="38" t="n"/>
    </row>
    <row r="799">
      <c r="R799" s="38" t="n"/>
      <c r="S799" s="38" t="n"/>
      <c r="T799" s="38" t="n"/>
      <c r="U799" s="38" t="n"/>
    </row>
    <row r="800">
      <c r="R800" s="38" t="n"/>
      <c r="S800" s="38" t="n"/>
      <c r="T800" s="38" t="n"/>
      <c r="U800" s="38" t="n"/>
    </row>
    <row r="801">
      <c r="R801" s="38" t="n"/>
      <c r="S801" s="38" t="n"/>
      <c r="T801" s="38" t="n"/>
      <c r="U801" s="38" t="n"/>
    </row>
    <row r="802">
      <c r="R802" s="38" t="n"/>
      <c r="S802" s="38" t="n"/>
      <c r="T802" s="38" t="n"/>
      <c r="U802" s="38" t="n"/>
    </row>
    <row r="803">
      <c r="R803" s="38" t="n"/>
      <c r="S803" s="38" t="n"/>
      <c r="T803" s="38" t="n"/>
      <c r="U803" s="38" t="n"/>
    </row>
    <row r="804">
      <c r="R804" s="38" t="n"/>
      <c r="S804" s="38" t="n"/>
      <c r="T804" s="38" t="n"/>
      <c r="U804" s="38" t="n"/>
    </row>
    <row r="805">
      <c r="R805" s="38" t="n"/>
      <c r="S805" s="38" t="n"/>
      <c r="T805" s="38" t="n"/>
      <c r="U805" s="38" t="n"/>
    </row>
    <row r="806">
      <c r="R806" s="38" t="n"/>
      <c r="S806" s="38" t="n"/>
      <c r="T806" s="38" t="n"/>
      <c r="U806" s="38" t="n"/>
    </row>
    <row r="807">
      <c r="R807" s="38" t="n"/>
      <c r="S807" s="38" t="n"/>
      <c r="T807" s="38" t="n"/>
      <c r="U807" s="38" t="n"/>
    </row>
    <row r="808">
      <c r="R808" s="38" t="n"/>
      <c r="S808" s="38" t="n"/>
      <c r="T808" s="38" t="n"/>
      <c r="U808" s="38" t="n"/>
    </row>
    <row r="809">
      <c r="R809" s="38" t="n"/>
      <c r="S809" s="38" t="n"/>
      <c r="T809" s="38" t="n"/>
      <c r="U809" s="38" t="n"/>
    </row>
    <row r="810">
      <c r="R810" s="38" t="n"/>
      <c r="S810" s="38" t="n"/>
      <c r="T810" s="38" t="n"/>
      <c r="U810" s="38" t="n"/>
    </row>
    <row r="811">
      <c r="R811" s="38" t="n"/>
      <c r="S811" s="38" t="n"/>
      <c r="T811" s="38" t="n"/>
      <c r="U811" s="38" t="n"/>
    </row>
    <row r="812">
      <c r="R812" s="38" t="n"/>
      <c r="S812" s="38" t="n"/>
      <c r="T812" s="38" t="n"/>
      <c r="U812" s="38" t="n"/>
    </row>
    <row r="813">
      <c r="R813" s="38" t="n"/>
      <c r="S813" s="38" t="n"/>
      <c r="T813" s="38" t="n"/>
      <c r="U813" s="38" t="n"/>
    </row>
    <row r="814">
      <c r="R814" s="38" t="n"/>
      <c r="S814" s="38" t="n"/>
      <c r="T814" s="38" t="n"/>
      <c r="U814" s="38" t="n"/>
    </row>
    <row r="815">
      <c r="R815" s="38" t="n"/>
      <c r="S815" s="38" t="n"/>
      <c r="T815" s="38" t="n"/>
      <c r="U815" s="38" t="n"/>
    </row>
    <row r="816">
      <c r="R816" s="38" t="n"/>
      <c r="S816" s="38" t="n"/>
      <c r="T816" s="38" t="n"/>
      <c r="U816" s="38" t="n"/>
    </row>
    <row r="817">
      <c r="R817" s="38" t="n"/>
      <c r="S817" s="38" t="n"/>
      <c r="T817" s="38" t="n"/>
      <c r="U817" s="38" t="n"/>
    </row>
    <row r="818">
      <c r="R818" s="38" t="n"/>
      <c r="S818" s="38" t="n"/>
      <c r="T818" s="38" t="n"/>
      <c r="U818" s="38" t="n"/>
    </row>
    <row r="819">
      <c r="R819" s="38" t="n"/>
      <c r="S819" s="38" t="n"/>
      <c r="T819" s="38" t="n"/>
      <c r="U819" s="38" t="n"/>
    </row>
    <row r="820">
      <c r="R820" s="38" t="n"/>
      <c r="S820" s="38" t="n"/>
      <c r="T820" s="38" t="n"/>
      <c r="U820" s="38" t="n"/>
    </row>
    <row r="821">
      <c r="R821" s="38" t="n"/>
      <c r="S821" s="38" t="n"/>
      <c r="T821" s="38" t="n"/>
      <c r="U821" s="38" t="n"/>
    </row>
    <row r="822">
      <c r="R822" s="38" t="n"/>
      <c r="S822" s="38" t="n"/>
      <c r="T822" s="38" t="n"/>
      <c r="U822" s="38" t="n"/>
    </row>
    <row r="823">
      <c r="R823" s="38" t="n"/>
      <c r="S823" s="38" t="n"/>
      <c r="T823" s="38" t="n"/>
      <c r="U823" s="38" t="n"/>
    </row>
    <row r="824">
      <c r="R824" s="38" t="n"/>
      <c r="S824" s="38" t="n"/>
      <c r="T824" s="38" t="n"/>
      <c r="U824" s="38" t="n"/>
    </row>
    <row r="825">
      <c r="R825" s="38" t="n"/>
      <c r="S825" s="38" t="n"/>
      <c r="T825" s="38" t="n"/>
      <c r="U825" s="38" t="n"/>
    </row>
    <row r="826">
      <c r="R826" s="38" t="n"/>
      <c r="S826" s="38" t="n"/>
      <c r="T826" s="38" t="n"/>
      <c r="U826" s="38" t="n"/>
    </row>
    <row r="827">
      <c r="R827" s="38" t="n"/>
      <c r="S827" s="38" t="n"/>
      <c r="T827" s="38" t="n"/>
      <c r="U827" s="38" t="n"/>
    </row>
    <row r="828">
      <c r="R828" s="38" t="n"/>
      <c r="S828" s="38" t="n"/>
      <c r="T828" s="38" t="n"/>
      <c r="U828" s="38" t="n"/>
    </row>
    <row r="829">
      <c r="R829" s="38" t="n"/>
      <c r="S829" s="38" t="n"/>
      <c r="T829" s="38" t="n"/>
      <c r="U829" s="38" t="n"/>
    </row>
    <row r="830">
      <c r="R830" s="38" t="n"/>
      <c r="S830" s="38" t="n"/>
      <c r="T830" s="38" t="n"/>
      <c r="U830" s="38" t="n"/>
    </row>
    <row r="831">
      <c r="R831" s="38" t="n"/>
      <c r="S831" s="38" t="n"/>
      <c r="T831" s="38" t="n"/>
      <c r="U831" s="38" t="n"/>
    </row>
    <row r="832">
      <c r="R832" s="38" t="n"/>
      <c r="S832" s="38" t="n"/>
      <c r="T832" s="38" t="n"/>
      <c r="U832" s="38" t="n"/>
    </row>
    <row r="833">
      <c r="R833" s="38" t="n"/>
      <c r="S833" s="38" t="n"/>
      <c r="T833" s="38" t="n"/>
      <c r="U833" s="38" t="n"/>
    </row>
    <row r="834">
      <c r="R834" s="38" t="n"/>
      <c r="S834" s="38" t="n"/>
      <c r="T834" s="38" t="n"/>
      <c r="U834" s="38" t="n"/>
    </row>
    <row r="835">
      <c r="R835" s="38" t="n"/>
      <c r="S835" s="38" t="n"/>
      <c r="T835" s="38" t="n"/>
      <c r="U835" s="38" t="n"/>
    </row>
    <row r="836">
      <c r="R836" s="38" t="n"/>
      <c r="S836" s="38" t="n"/>
      <c r="T836" s="38" t="n"/>
      <c r="U836" s="38" t="n"/>
    </row>
    <row r="837">
      <c r="R837" s="38" t="n"/>
      <c r="S837" s="38" t="n"/>
      <c r="T837" s="38" t="n"/>
      <c r="U837" s="38" t="n"/>
    </row>
    <row r="838">
      <c r="R838" s="38" t="n"/>
      <c r="S838" s="38" t="n"/>
      <c r="T838" s="38" t="n"/>
      <c r="U838" s="38" t="n"/>
    </row>
    <row r="839">
      <c r="R839" s="38" t="n"/>
      <c r="S839" s="38" t="n"/>
      <c r="T839" s="38" t="n"/>
      <c r="U839" s="38" t="n"/>
    </row>
    <row r="840">
      <c r="R840" s="38" t="n"/>
      <c r="S840" s="38" t="n"/>
      <c r="T840" s="38" t="n"/>
      <c r="U840" s="38" t="n"/>
    </row>
    <row r="841">
      <c r="R841" s="38" t="n"/>
      <c r="S841" s="38" t="n"/>
      <c r="T841" s="38" t="n"/>
      <c r="U841" s="38" t="n"/>
    </row>
    <row r="842">
      <c r="R842" s="38" t="n"/>
      <c r="S842" s="38" t="n"/>
      <c r="T842" s="38" t="n"/>
      <c r="U842" s="38" t="n"/>
    </row>
    <row r="843">
      <c r="R843" s="38" t="n"/>
      <c r="S843" s="38" t="n"/>
      <c r="T843" s="38" t="n"/>
      <c r="U843" s="38" t="n"/>
    </row>
    <row r="844">
      <c r="R844" s="38" t="n"/>
      <c r="S844" s="38" t="n"/>
      <c r="T844" s="38" t="n"/>
      <c r="U844" s="38" t="n"/>
    </row>
    <row r="845">
      <c r="R845" s="38" t="n"/>
      <c r="S845" s="38" t="n"/>
      <c r="T845" s="38" t="n"/>
      <c r="U845" s="38" t="n"/>
    </row>
    <row r="846">
      <c r="R846" s="38" t="n"/>
      <c r="S846" s="38" t="n"/>
      <c r="T846" s="38" t="n"/>
      <c r="U846" s="38" t="n"/>
    </row>
    <row r="847">
      <c r="R847" s="38" t="n"/>
      <c r="S847" s="38" t="n"/>
      <c r="T847" s="38" t="n"/>
      <c r="U847" s="38" t="n"/>
    </row>
    <row r="848">
      <c r="R848" s="38" t="n"/>
      <c r="S848" s="38" t="n"/>
      <c r="T848" s="38" t="n"/>
      <c r="U848" s="38" t="n"/>
    </row>
    <row r="849">
      <c r="R849" s="38" t="n"/>
      <c r="S849" s="38" t="n"/>
      <c r="T849" s="38" t="n"/>
      <c r="U849" s="38" t="n"/>
    </row>
    <row r="850">
      <c r="R850" s="38" t="n"/>
      <c r="S850" s="38" t="n"/>
      <c r="T850" s="38" t="n"/>
      <c r="U850" s="38" t="n"/>
    </row>
    <row r="851">
      <c r="R851" s="38" t="n"/>
      <c r="S851" s="38" t="n"/>
      <c r="T851" s="38" t="n"/>
      <c r="U851" s="38" t="n"/>
    </row>
    <row r="852">
      <c r="R852" s="38" t="n"/>
      <c r="S852" s="38" t="n"/>
      <c r="T852" s="38" t="n"/>
      <c r="U852" s="38" t="n"/>
    </row>
    <row r="853">
      <c r="R853" s="38" t="n"/>
      <c r="S853" s="38" t="n"/>
      <c r="T853" s="38" t="n"/>
      <c r="U853" s="38" t="n"/>
    </row>
    <row r="854">
      <c r="R854" s="38" t="n"/>
      <c r="S854" s="38" t="n"/>
      <c r="T854" s="38" t="n"/>
      <c r="U854" s="38" t="n"/>
    </row>
    <row r="855">
      <c r="R855" s="38" t="n"/>
      <c r="S855" s="38" t="n"/>
      <c r="T855" s="38" t="n"/>
      <c r="U855" s="38" t="n"/>
    </row>
    <row r="856">
      <c r="R856" s="38" t="n"/>
      <c r="S856" s="38" t="n"/>
      <c r="T856" s="38" t="n"/>
      <c r="U856" s="38" t="n"/>
    </row>
    <row r="857">
      <c r="R857" s="38" t="n"/>
      <c r="S857" s="38" t="n"/>
      <c r="T857" s="38" t="n"/>
      <c r="U857" s="38" t="n"/>
    </row>
    <row r="858">
      <c r="R858" s="38" t="n"/>
      <c r="S858" s="38" t="n"/>
      <c r="T858" s="38" t="n"/>
      <c r="U858" s="38" t="n"/>
    </row>
    <row r="859">
      <c r="R859" s="38" t="n"/>
      <c r="S859" s="38" t="n"/>
      <c r="T859" s="38" t="n"/>
      <c r="U859" s="38" t="n"/>
    </row>
    <row r="860">
      <c r="R860" s="38" t="n"/>
      <c r="S860" s="38" t="n"/>
      <c r="T860" s="38" t="n"/>
      <c r="U860" s="38" t="n"/>
    </row>
    <row r="861">
      <c r="R861" s="38" t="n"/>
      <c r="S861" s="38" t="n"/>
      <c r="T861" s="38" t="n"/>
      <c r="U861" s="38" t="n"/>
    </row>
    <row r="862">
      <c r="R862" s="38" t="n"/>
      <c r="S862" s="38" t="n"/>
      <c r="T862" s="38" t="n"/>
      <c r="U862" s="38" t="n"/>
    </row>
    <row r="863">
      <c r="R863" s="38" t="n"/>
      <c r="S863" s="38" t="n"/>
      <c r="T863" s="38" t="n"/>
      <c r="U863" s="38" t="n"/>
    </row>
    <row r="864">
      <c r="R864" s="38" t="n"/>
      <c r="S864" s="38" t="n"/>
      <c r="T864" s="38" t="n"/>
      <c r="U864" s="38" t="n"/>
    </row>
    <row r="865">
      <c r="R865" s="38" t="n"/>
      <c r="S865" s="38" t="n"/>
      <c r="T865" s="38" t="n"/>
      <c r="U865" s="38" t="n"/>
    </row>
    <row r="866">
      <c r="R866" s="38" t="n"/>
      <c r="S866" s="38" t="n"/>
      <c r="T866" s="38" t="n"/>
      <c r="U866" s="38" t="n"/>
    </row>
    <row r="867">
      <c r="R867" s="38" t="n"/>
      <c r="S867" s="38" t="n"/>
      <c r="T867" s="38" t="n"/>
      <c r="U867" s="38" t="n"/>
    </row>
    <row r="868">
      <c r="R868" s="38" t="n"/>
      <c r="S868" s="38" t="n"/>
      <c r="T868" s="38" t="n"/>
      <c r="U868" s="38" t="n"/>
    </row>
    <row r="869">
      <c r="R869" s="38" t="n"/>
      <c r="S869" s="38" t="n"/>
      <c r="T869" s="38" t="n"/>
      <c r="U869" s="38" t="n"/>
    </row>
    <row r="870">
      <c r="R870" s="38" t="n"/>
      <c r="S870" s="38" t="n"/>
      <c r="T870" s="38" t="n"/>
      <c r="U870" s="38" t="n"/>
    </row>
    <row r="871">
      <c r="R871" s="38" t="n"/>
      <c r="S871" s="38" t="n"/>
      <c r="T871" s="38" t="n"/>
      <c r="U871" s="38" t="n"/>
    </row>
    <row r="872">
      <c r="R872" s="38" t="n"/>
      <c r="S872" s="38" t="n"/>
      <c r="T872" s="38" t="n"/>
      <c r="U872" s="38" t="n"/>
    </row>
    <row r="873">
      <c r="R873" s="38" t="n"/>
      <c r="S873" s="38" t="n"/>
      <c r="T873" s="38" t="n"/>
      <c r="U873" s="38" t="n"/>
    </row>
    <row r="874">
      <c r="R874" s="38" t="n"/>
      <c r="S874" s="38" t="n"/>
      <c r="T874" s="38" t="n"/>
      <c r="U874" s="38" t="n"/>
    </row>
    <row r="875">
      <c r="R875" s="38" t="n"/>
      <c r="S875" s="38" t="n"/>
      <c r="T875" s="38" t="n"/>
      <c r="U875" s="38" t="n"/>
    </row>
    <row r="876">
      <c r="R876" s="38" t="n"/>
      <c r="S876" s="38" t="n"/>
      <c r="T876" s="38" t="n"/>
      <c r="U876" s="38" t="n"/>
    </row>
    <row r="877">
      <c r="R877" s="38" t="n"/>
      <c r="S877" s="38" t="n"/>
      <c r="T877" s="38" t="n"/>
      <c r="U877" s="38" t="n"/>
    </row>
    <row r="878">
      <c r="R878" s="38" t="n"/>
      <c r="S878" s="38" t="n"/>
      <c r="T878" s="38" t="n"/>
      <c r="U878" s="38" t="n"/>
    </row>
    <row r="879">
      <c r="R879" s="38" t="n"/>
      <c r="S879" s="38" t="n"/>
      <c r="T879" s="38" t="n"/>
      <c r="U879" s="38" t="n"/>
    </row>
    <row r="880">
      <c r="R880" s="38" t="n"/>
      <c r="S880" s="38" t="n"/>
      <c r="T880" s="38" t="n"/>
      <c r="U880" s="38" t="n"/>
    </row>
    <row r="881">
      <c r="R881" s="38" t="n"/>
      <c r="S881" s="38" t="n"/>
      <c r="T881" s="38" t="n"/>
      <c r="U881" s="38" t="n"/>
    </row>
    <row r="882">
      <c r="R882" s="38" t="n"/>
      <c r="S882" s="38" t="n"/>
      <c r="T882" s="38" t="n"/>
      <c r="U882" s="38" t="n"/>
    </row>
    <row r="883">
      <c r="R883" s="38" t="n"/>
      <c r="S883" s="38" t="n"/>
      <c r="T883" s="38" t="n"/>
      <c r="U883" s="38" t="n"/>
    </row>
    <row r="884">
      <c r="R884" s="38" t="n"/>
      <c r="S884" s="38" t="n"/>
      <c r="T884" s="38" t="n"/>
      <c r="U884" s="38" t="n"/>
    </row>
    <row r="885">
      <c r="R885" s="38" t="n"/>
      <c r="S885" s="38" t="n"/>
      <c r="T885" s="38" t="n"/>
      <c r="U885" s="38" t="n"/>
    </row>
    <row r="886">
      <c r="R886" s="38" t="n"/>
      <c r="S886" s="38" t="n"/>
      <c r="T886" s="38" t="n"/>
      <c r="U886" s="38" t="n"/>
    </row>
    <row r="887">
      <c r="R887" s="38" t="n"/>
      <c r="S887" s="38" t="n"/>
      <c r="T887" s="38" t="n"/>
      <c r="U887" s="38" t="n"/>
    </row>
    <row r="888">
      <c r="R888" s="38" t="n"/>
      <c r="S888" s="38" t="n"/>
      <c r="T888" s="38" t="n"/>
      <c r="U888" s="38" t="n"/>
    </row>
    <row r="889">
      <c r="R889" s="38" t="n"/>
      <c r="S889" s="38" t="n"/>
      <c r="T889" s="38" t="n"/>
      <c r="U889" s="38" t="n"/>
    </row>
    <row r="890">
      <c r="R890" s="38" t="n"/>
      <c r="S890" s="38" t="n"/>
      <c r="T890" s="38" t="n"/>
      <c r="U890" s="38" t="n"/>
    </row>
    <row r="891">
      <c r="R891" s="38" t="n"/>
      <c r="S891" s="38" t="n"/>
      <c r="T891" s="38" t="n"/>
      <c r="U891" s="38" t="n"/>
    </row>
    <row r="892">
      <c r="R892" s="38" t="n"/>
      <c r="S892" s="38" t="n"/>
      <c r="T892" s="38" t="n"/>
      <c r="U892" s="38" t="n"/>
    </row>
    <row r="893">
      <c r="R893" s="38" t="n"/>
      <c r="S893" s="38" t="n"/>
      <c r="T893" s="38" t="n"/>
      <c r="U893" s="38" t="n"/>
    </row>
    <row r="894">
      <c r="R894" s="38" t="n"/>
      <c r="S894" s="38" t="n"/>
      <c r="T894" s="38" t="n"/>
      <c r="U894" s="38" t="n"/>
    </row>
    <row r="895">
      <c r="R895" s="38" t="n"/>
      <c r="S895" s="38" t="n"/>
      <c r="T895" s="38" t="n"/>
      <c r="U895" s="38" t="n"/>
    </row>
    <row r="896">
      <c r="R896" s="38" t="n"/>
      <c r="S896" s="38" t="n"/>
      <c r="T896" s="38" t="n"/>
      <c r="U896" s="38" t="n"/>
    </row>
    <row r="897">
      <c r="R897" s="38" t="n"/>
      <c r="S897" s="38" t="n"/>
      <c r="T897" s="38" t="n"/>
      <c r="U897" s="38" t="n"/>
    </row>
    <row r="898">
      <c r="R898" s="38" t="n"/>
      <c r="S898" s="38" t="n"/>
      <c r="T898" s="38" t="n"/>
      <c r="U898" s="38" t="n"/>
    </row>
    <row r="899">
      <c r="R899" s="38" t="n"/>
      <c r="S899" s="38" t="n"/>
      <c r="T899" s="38" t="n"/>
      <c r="U899" s="38" t="n"/>
    </row>
    <row r="900">
      <c r="R900" s="38" t="n"/>
      <c r="S900" s="38" t="n"/>
      <c r="T900" s="38" t="n"/>
      <c r="U900" s="38" t="n"/>
    </row>
    <row r="901">
      <c r="R901" s="38" t="n"/>
      <c r="S901" s="38" t="n"/>
      <c r="T901" s="38" t="n"/>
      <c r="U901" s="38" t="n"/>
    </row>
    <row r="902">
      <c r="R902" s="38" t="n"/>
      <c r="S902" s="38" t="n"/>
      <c r="T902" s="38" t="n"/>
      <c r="U902" s="38" t="n"/>
    </row>
    <row r="903">
      <c r="R903" s="38" t="n"/>
      <c r="S903" s="38" t="n"/>
      <c r="T903" s="38" t="n"/>
      <c r="U903" s="38" t="n"/>
    </row>
    <row r="904">
      <c r="R904" s="38" t="n"/>
      <c r="S904" s="38" t="n"/>
      <c r="T904" s="38" t="n"/>
      <c r="U904" s="38" t="n"/>
    </row>
    <row r="905">
      <c r="R905" s="38" t="n"/>
      <c r="S905" s="38" t="n"/>
      <c r="T905" s="38" t="n"/>
      <c r="U905" s="38" t="n"/>
    </row>
    <row r="906">
      <c r="R906" s="38" t="n"/>
      <c r="S906" s="38" t="n"/>
      <c r="T906" s="38" t="n"/>
      <c r="U906" s="38" t="n"/>
    </row>
    <row r="907">
      <c r="R907" s="38" t="n"/>
      <c r="S907" s="38" t="n"/>
      <c r="T907" s="38" t="n"/>
      <c r="U907" s="38" t="n"/>
    </row>
    <row r="908">
      <c r="R908" s="38" t="n"/>
      <c r="S908" s="38" t="n"/>
      <c r="T908" s="38" t="n"/>
      <c r="U908" s="38" t="n"/>
    </row>
    <row r="909">
      <c r="R909" s="38" t="n"/>
      <c r="S909" s="38" t="n"/>
      <c r="T909" s="38" t="n"/>
      <c r="U909" s="38" t="n"/>
    </row>
    <row r="910">
      <c r="R910" s="38" t="n"/>
      <c r="S910" s="38" t="n"/>
      <c r="T910" s="38" t="n"/>
      <c r="U910" s="38" t="n"/>
    </row>
    <row r="911">
      <c r="R911" s="38" t="n"/>
      <c r="S911" s="38" t="n"/>
      <c r="T911" s="38" t="n"/>
      <c r="U911" s="38" t="n"/>
    </row>
    <row r="912">
      <c r="R912" s="38" t="n"/>
      <c r="S912" s="38" t="n"/>
      <c r="T912" s="38" t="n"/>
      <c r="U912" s="38" t="n"/>
    </row>
    <row r="913">
      <c r="R913" s="38" t="n"/>
      <c r="S913" s="38" t="n"/>
      <c r="T913" s="38" t="n"/>
      <c r="U913" s="38" t="n"/>
    </row>
    <row r="914">
      <c r="R914" s="38" t="n"/>
      <c r="S914" s="38" t="n"/>
      <c r="T914" s="38" t="n"/>
      <c r="U914" s="38" t="n"/>
    </row>
    <row r="915">
      <c r="R915" s="38" t="n"/>
      <c r="S915" s="38" t="n"/>
      <c r="T915" s="38" t="n"/>
      <c r="U915" s="38" t="n"/>
    </row>
    <row r="916">
      <c r="R916" s="38" t="n"/>
      <c r="S916" s="38" t="n"/>
      <c r="T916" s="38" t="n"/>
      <c r="U916" s="38" t="n"/>
    </row>
    <row r="917">
      <c r="R917" s="38" t="n"/>
      <c r="S917" s="38" t="n"/>
      <c r="T917" s="38" t="n"/>
      <c r="U917" s="38" t="n"/>
    </row>
    <row r="918">
      <c r="R918" s="38" t="n"/>
      <c r="S918" s="38" t="n"/>
      <c r="T918" s="38" t="n"/>
      <c r="U918" s="38" t="n"/>
    </row>
    <row r="919">
      <c r="R919" s="38" t="n"/>
      <c r="S919" s="38" t="n"/>
      <c r="T919" s="38" t="n"/>
      <c r="U919" s="38" t="n"/>
    </row>
    <row r="920">
      <c r="R920" s="38" t="n"/>
      <c r="S920" s="38" t="n"/>
      <c r="T920" s="38" t="n"/>
      <c r="U920" s="38" t="n"/>
    </row>
    <row r="921">
      <c r="R921" s="38" t="n"/>
      <c r="S921" s="38" t="n"/>
      <c r="T921" s="38" t="n"/>
      <c r="U921" s="38" t="n"/>
    </row>
    <row r="922">
      <c r="R922" s="38" t="n"/>
      <c r="S922" s="38" t="n"/>
      <c r="T922" s="38" t="n"/>
      <c r="U922" s="38" t="n"/>
    </row>
    <row r="923">
      <c r="R923" s="38" t="n"/>
      <c r="S923" s="38" t="n"/>
      <c r="T923" s="38" t="n"/>
      <c r="U923" s="38" t="n"/>
    </row>
    <row r="924">
      <c r="R924" s="38" t="n"/>
      <c r="S924" s="38" t="n"/>
      <c r="T924" s="38" t="n"/>
      <c r="U924" s="38" t="n"/>
    </row>
    <row r="925">
      <c r="R925" s="38" t="n"/>
      <c r="S925" s="38" t="n"/>
      <c r="T925" s="38" t="n"/>
      <c r="U925" s="38" t="n"/>
    </row>
    <row r="926">
      <c r="R926" s="38" t="n"/>
      <c r="S926" s="38" t="n"/>
      <c r="T926" s="38" t="n"/>
      <c r="U926" s="38" t="n"/>
    </row>
    <row r="927">
      <c r="R927" s="38" t="n"/>
      <c r="S927" s="38" t="n"/>
      <c r="T927" s="38" t="n"/>
      <c r="U927" s="38" t="n"/>
    </row>
    <row r="928">
      <c r="R928" s="38" t="n"/>
      <c r="S928" s="38" t="n"/>
      <c r="T928" s="38" t="n"/>
      <c r="U928" s="38" t="n"/>
    </row>
    <row r="929">
      <c r="R929" s="38" t="n"/>
      <c r="S929" s="38" t="n"/>
      <c r="T929" s="38" t="n"/>
      <c r="U929" s="38" t="n"/>
    </row>
    <row r="930">
      <c r="R930" s="38" t="n"/>
      <c r="S930" s="38" t="n"/>
      <c r="T930" s="38" t="n"/>
      <c r="U930" s="38" t="n"/>
    </row>
    <row r="931">
      <c r="R931" s="38" t="n"/>
      <c r="S931" s="38" t="n"/>
      <c r="T931" s="38" t="n"/>
      <c r="U931" s="38" t="n"/>
    </row>
    <row r="932">
      <c r="R932" s="38" t="n"/>
      <c r="S932" s="38" t="n"/>
      <c r="T932" s="38" t="n"/>
      <c r="U932" s="38" t="n"/>
    </row>
    <row r="933">
      <c r="R933" s="38" t="n"/>
      <c r="S933" s="38" t="n"/>
      <c r="T933" s="38" t="n"/>
      <c r="U933" s="38" t="n"/>
    </row>
    <row r="934">
      <c r="R934" s="38" t="n"/>
      <c r="S934" s="38" t="n"/>
      <c r="T934" s="38" t="n"/>
      <c r="U934" s="38" t="n"/>
    </row>
    <row r="935">
      <c r="R935" s="38" t="n"/>
      <c r="S935" s="38" t="n"/>
      <c r="T935" s="38" t="n"/>
      <c r="U935" s="38" t="n"/>
    </row>
    <row r="936">
      <c r="R936" s="38" t="n"/>
      <c r="S936" s="38" t="n"/>
      <c r="T936" s="38" t="n"/>
      <c r="U936" s="38" t="n"/>
    </row>
    <row r="937">
      <c r="R937" s="38" t="n"/>
      <c r="S937" s="38" t="n"/>
      <c r="T937" s="38" t="n"/>
      <c r="U937" s="38" t="n"/>
    </row>
    <row r="938">
      <c r="R938" s="38" t="n"/>
      <c r="S938" s="38" t="n"/>
      <c r="T938" s="38" t="n"/>
      <c r="U938" s="38" t="n"/>
    </row>
    <row r="939">
      <c r="R939" s="38" t="n"/>
      <c r="S939" s="38" t="n"/>
      <c r="T939" s="38" t="n"/>
      <c r="U939" s="38" t="n"/>
    </row>
    <row r="940">
      <c r="R940" s="38" t="n"/>
      <c r="S940" s="38" t="n"/>
      <c r="T940" s="38" t="n"/>
      <c r="U940" s="38" t="n"/>
    </row>
    <row r="941">
      <c r="R941" s="38" t="n"/>
      <c r="S941" s="38" t="n"/>
      <c r="T941" s="38" t="n"/>
      <c r="U941" s="38" t="n"/>
    </row>
    <row r="942">
      <c r="R942" s="38" t="n"/>
      <c r="S942" s="38" t="n"/>
      <c r="T942" s="38" t="n"/>
      <c r="U942" s="38" t="n"/>
    </row>
    <row r="943">
      <c r="R943" s="38" t="n"/>
      <c r="S943" s="38" t="n"/>
      <c r="T943" s="38" t="n"/>
      <c r="U943" s="38" t="n"/>
    </row>
    <row r="944">
      <c r="R944" s="38" t="n"/>
      <c r="S944" s="38" t="n"/>
      <c r="T944" s="38" t="n"/>
      <c r="U944" s="38" t="n"/>
    </row>
    <row r="945">
      <c r="R945" s="38" t="n"/>
      <c r="S945" s="38" t="n"/>
      <c r="T945" s="38" t="n"/>
      <c r="U945" s="38" t="n"/>
    </row>
    <row r="946">
      <c r="R946" s="38" t="n"/>
      <c r="S946" s="38" t="n"/>
      <c r="T946" s="38" t="n"/>
      <c r="U946" s="38" t="n"/>
    </row>
    <row r="947">
      <c r="R947" s="38" t="n"/>
      <c r="S947" s="38" t="n"/>
      <c r="T947" s="38" t="n"/>
      <c r="U947" s="38" t="n"/>
    </row>
    <row r="948">
      <c r="R948" s="38" t="n"/>
      <c r="S948" s="38" t="n"/>
      <c r="T948" s="38" t="n"/>
      <c r="U948" s="38" t="n"/>
    </row>
    <row r="949">
      <c r="R949" s="38" t="n"/>
      <c r="S949" s="38" t="n"/>
      <c r="T949" s="38" t="n"/>
      <c r="U949" s="38" t="n"/>
    </row>
    <row r="950">
      <c r="R950" s="38" t="n"/>
      <c r="S950" s="38" t="n"/>
      <c r="T950" s="38" t="n"/>
      <c r="U950" s="38" t="n"/>
    </row>
    <row r="951">
      <c r="R951" s="38" t="n"/>
      <c r="S951" s="38" t="n"/>
      <c r="T951" s="38" t="n"/>
      <c r="U951" s="38" t="n"/>
    </row>
    <row r="952">
      <c r="R952" s="38" t="n"/>
      <c r="S952" s="38" t="n"/>
      <c r="T952" s="38" t="n"/>
      <c r="U952" s="38" t="n"/>
    </row>
    <row r="953">
      <c r="R953" s="38" t="n"/>
      <c r="S953" s="38" t="n"/>
      <c r="T953" s="38" t="n"/>
      <c r="U953" s="38" t="n"/>
    </row>
    <row r="954">
      <c r="R954" s="38" t="n"/>
      <c r="S954" s="38" t="n"/>
      <c r="T954" s="38" t="n"/>
      <c r="U954" s="38" t="n"/>
    </row>
    <row r="955">
      <c r="R955" s="38" t="n"/>
      <c r="S955" s="38" t="n"/>
      <c r="T955" s="38" t="n"/>
      <c r="U955" s="38" t="n"/>
    </row>
    <row r="956">
      <c r="R956" s="38" t="n"/>
      <c r="S956" s="38" t="n"/>
      <c r="T956" s="38" t="n"/>
      <c r="U956" s="38" t="n"/>
    </row>
    <row r="957">
      <c r="R957" s="38" t="n"/>
      <c r="S957" s="38" t="n"/>
      <c r="T957" s="38" t="n"/>
      <c r="U957" s="38" t="n"/>
    </row>
    <row r="958">
      <c r="R958" s="38" t="n"/>
      <c r="S958" s="38" t="n"/>
      <c r="T958" s="38" t="n"/>
      <c r="U958" s="38" t="n"/>
    </row>
    <row r="959">
      <c r="R959" s="38" t="n"/>
      <c r="S959" s="38" t="n"/>
      <c r="T959" s="38" t="n"/>
      <c r="U959" s="38" t="n"/>
    </row>
    <row r="960">
      <c r="R960" s="38" t="n"/>
      <c r="S960" s="38" t="n"/>
      <c r="T960" s="38" t="n"/>
      <c r="U960" s="38" t="n"/>
    </row>
    <row r="961">
      <c r="R961" s="38" t="n"/>
      <c r="S961" s="38" t="n"/>
      <c r="T961" s="38" t="n"/>
      <c r="U961" s="3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169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32" t="inlineStr">
        <is>
          <t>S.NO</t>
        </is>
      </c>
      <c r="B1" s="32" t="inlineStr">
        <is>
          <t>MATTRESS CODE</t>
        </is>
      </c>
      <c r="C1" s="33" t="inlineStr">
        <is>
          <t>PS.NO</t>
        </is>
      </c>
      <c r="D1" s="32" t="inlineStr">
        <is>
          <t>ITEMCODE</t>
        </is>
      </c>
      <c r="E1" s="32" t="inlineStr">
        <is>
          <t>UOM</t>
        </is>
      </c>
      <c r="F1" s="32" t="inlineStr">
        <is>
          <t>OTY</t>
        </is>
      </c>
      <c r="G1" s="33" t="inlineStr">
        <is>
          <t>WH CODE</t>
        </is>
      </c>
    </row>
    <row r="2">
      <c r="A2" t="n">
        <v>1</v>
      </c>
      <c r="B2" t="inlineStr">
        <is>
          <t>SKBNNLDB75X36X06-CPC</t>
        </is>
      </c>
      <c r="C2" t="n">
        <v>10</v>
      </c>
      <c r="D2" t="inlineStr">
        <is>
          <t>OEBOXBNSR74.50X35.50X120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SKBNNLDB75X36X06-CPC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0.393</v>
      </c>
      <c r="G3" t="inlineStr">
        <is>
          <t>CBEWIP</t>
        </is>
      </c>
    </row>
    <row r="4">
      <c r="A4" t="n">
        <v>1</v>
      </c>
      <c r="B4" t="inlineStr">
        <is>
          <t>SKBNNLDB75X36X06-CPC</t>
        </is>
      </c>
      <c r="C4" t="n">
        <v>30</v>
      </c>
      <c r="D4" t="inlineStr">
        <is>
          <t>SFG-SPKDB-ONL-QUILT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SKBNNLDB75X36X06-CPC</t>
        </is>
      </c>
      <c r="C5" t="n">
        <v>40</v>
      </c>
      <c r="D5" t="inlineStr">
        <is>
          <t>SFG-SPKDB-BP</t>
        </is>
      </c>
      <c r="E5" t="inlineStr">
        <is>
          <t>MTR</t>
        </is>
      </c>
      <c r="F5" t="n">
        <v>0.9399999999999999</v>
      </c>
      <c r="G5" t="inlineStr">
        <is>
          <t>CBESFG</t>
        </is>
      </c>
    </row>
    <row r="6">
      <c r="A6" t="n">
        <v>1</v>
      </c>
      <c r="B6" t="inlineStr">
        <is>
          <t>SKBNNLDB75X36X06-CPC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0.122</v>
      </c>
      <c r="G6" t="inlineStr">
        <is>
          <t>CBEWIP</t>
        </is>
      </c>
    </row>
    <row r="7">
      <c r="A7" t="n">
        <v>1</v>
      </c>
      <c r="B7" t="inlineStr">
        <is>
          <t>SKBNNLDB75X36X06-CPC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114.3</v>
      </c>
      <c r="G7" t="inlineStr">
        <is>
          <t>CBEWIP</t>
        </is>
      </c>
    </row>
    <row r="8">
      <c r="A8" t="n">
        <v>1</v>
      </c>
      <c r="B8" t="inlineStr">
        <is>
          <t>SKBNNLDB75X36X06-CPC</t>
        </is>
      </c>
      <c r="C8" t="n">
        <v>70</v>
      </c>
      <c r="D8" t="inlineStr">
        <is>
          <t>RML-EDTAPE-BLUE</t>
        </is>
      </c>
      <c r="E8" t="inlineStr">
        <is>
          <t>MTR</t>
        </is>
      </c>
      <c r="F8" t="n">
        <v>11.684</v>
      </c>
      <c r="G8" t="inlineStr">
        <is>
          <t>CBEWIP</t>
        </is>
      </c>
    </row>
    <row r="9">
      <c r="A9" t="n">
        <v>1</v>
      </c>
      <c r="B9" t="inlineStr">
        <is>
          <t>SKBNNLDB75X36X06-CPC</t>
        </is>
      </c>
      <c r="C9" t="n">
        <v>80</v>
      </c>
      <c r="D9" t="inlineStr">
        <is>
          <t>RM-THRD-TKT40-BLACK</t>
        </is>
      </c>
      <c r="E9" t="inlineStr">
        <is>
          <t>MTR</t>
        </is>
      </c>
      <c r="F9" t="n">
        <v>71.857</v>
      </c>
      <c r="G9" t="inlineStr">
        <is>
          <t>CBEWIP</t>
        </is>
      </c>
    </row>
    <row r="10">
      <c r="A10" t="n">
        <v>1</v>
      </c>
      <c r="B10" t="inlineStr">
        <is>
          <t>SKBNNLDB75X36X06-CPC</t>
        </is>
      </c>
      <c r="C10" t="n">
        <v>90</v>
      </c>
      <c r="D10" t="inlineStr">
        <is>
          <t>RML-CS-DRM-SILV-7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SKBNNLDB75X36X06-CPC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SKBNNLDB75X36X06-CPC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SKBNNLDB75X36X06-CPC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SKBNNLDB75X36X06-CPC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SKBNNLDB75X36X06-CPC</t>
        </is>
      </c>
      <c r="C15" t="n">
        <v>140</v>
      </c>
      <c r="D15" t="inlineStr">
        <is>
          <t>17D-PU-FOAM-74.50X35.50X10MM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SKBNNLDB75X72X06-CPC</t>
        </is>
      </c>
      <c r="C16" t="n">
        <v>10</v>
      </c>
      <c r="D16" t="inlineStr">
        <is>
          <t>OEBOXBNSR74.50X71.50X120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SKBNNLDB75X72X06-CPC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0.798</v>
      </c>
      <c r="G17" t="inlineStr">
        <is>
          <t>CBEWIP</t>
        </is>
      </c>
    </row>
    <row r="18">
      <c r="A18" t="n">
        <v>2</v>
      </c>
      <c r="B18" t="inlineStr">
        <is>
          <t>SKBNNLDB75X72X06-CPC</t>
        </is>
      </c>
      <c r="C18" t="n">
        <v>30</v>
      </c>
      <c r="D18" t="inlineStr">
        <is>
          <t>SFG-SPKDB-ONL-QUILT</t>
        </is>
      </c>
      <c r="E18" t="inlineStr">
        <is>
          <t>MTR</t>
        </is>
      </c>
      <c r="F18" t="n">
        <v>1.854</v>
      </c>
      <c r="G18" t="inlineStr">
        <is>
          <t>CBESFG</t>
        </is>
      </c>
    </row>
    <row r="19">
      <c r="A19" t="n">
        <v>2</v>
      </c>
      <c r="B19" t="inlineStr">
        <is>
          <t>SKBNNLDB75X72X06-CPC</t>
        </is>
      </c>
      <c r="C19" t="n">
        <v>40</v>
      </c>
      <c r="D19" t="inlineStr">
        <is>
          <t>SFG-SPKDB-BP</t>
        </is>
      </c>
      <c r="E19" t="inlineStr">
        <is>
          <t>MTR</t>
        </is>
      </c>
      <c r="F19" t="n">
        <v>1.854</v>
      </c>
      <c r="G19" t="inlineStr">
        <is>
          <t>CBESFG</t>
        </is>
      </c>
    </row>
    <row r="20">
      <c r="A20" t="n">
        <v>2</v>
      </c>
      <c r="B20" t="inlineStr">
        <is>
          <t>SKBNNLDB75X72X06-CPC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0.161</v>
      </c>
      <c r="G20" t="inlineStr">
        <is>
          <t>CBEWIP</t>
        </is>
      </c>
    </row>
    <row r="21">
      <c r="A21" t="n">
        <v>2</v>
      </c>
      <c r="B21" t="inlineStr">
        <is>
          <t>SKBNNLDB75X72X06-CPC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150.876</v>
      </c>
      <c r="G21" t="inlineStr">
        <is>
          <t>CBEWIP</t>
        </is>
      </c>
    </row>
    <row r="22">
      <c r="A22" t="n">
        <v>2</v>
      </c>
      <c r="B22" t="inlineStr">
        <is>
          <t>SKBNNLDB75X72X06-CPC</t>
        </is>
      </c>
      <c r="C22" t="n">
        <v>70</v>
      </c>
      <c r="D22" t="inlineStr">
        <is>
          <t>RML-EDTAPE-BLUE</t>
        </is>
      </c>
      <c r="E22" t="inlineStr">
        <is>
          <t>MTR</t>
        </is>
      </c>
      <c r="F22" t="n">
        <v>15.342</v>
      </c>
      <c r="G22" t="inlineStr">
        <is>
          <t>CBEWIP</t>
        </is>
      </c>
    </row>
    <row r="23">
      <c r="A23" t="n">
        <v>2</v>
      </c>
      <c r="B23" t="inlineStr">
        <is>
          <t>SKBNNLDB75X72X06-CPC</t>
        </is>
      </c>
      <c r="C23" t="n">
        <v>80</v>
      </c>
      <c r="D23" t="inlineStr">
        <is>
          <t>RM-THRD-TKT40-BLACK</t>
        </is>
      </c>
      <c r="E23" t="inlineStr">
        <is>
          <t>MTR</t>
        </is>
      </c>
      <c r="F23" t="n">
        <v>94.351</v>
      </c>
      <c r="G23" t="inlineStr">
        <is>
          <t>CBEWIP</t>
        </is>
      </c>
    </row>
    <row r="24">
      <c r="A24" t="n">
        <v>2</v>
      </c>
      <c r="B24" t="inlineStr">
        <is>
          <t>SKBNNLDB75X72X06-CPC</t>
        </is>
      </c>
      <c r="C24" t="n">
        <v>90</v>
      </c>
      <c r="D24" t="inlineStr">
        <is>
          <t>RML-CS-DRM-SILV-7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SKBNNLDB75X72X06-CPC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SKBNNLDB75X72X06-CPC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SKBNNLDB75X72X06-CPC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SKBNNLDB75X72X06-CPC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0.601</v>
      </c>
      <c r="G28" t="inlineStr">
        <is>
          <t>CBEWIP</t>
        </is>
      </c>
    </row>
    <row r="29">
      <c r="A29" t="n">
        <v>2</v>
      </c>
      <c r="B29" t="inlineStr">
        <is>
          <t>SKBNNLDB75X72X06-CPC</t>
        </is>
      </c>
      <c r="C29" t="n">
        <v>140</v>
      </c>
      <c r="D29" t="inlineStr">
        <is>
          <t>17D-PU-FOAM-74.50X71.50X10MM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SKBNNLDB78X60X06-CPC</t>
        </is>
      </c>
      <c r="C30" t="n">
        <v>10</v>
      </c>
      <c r="D30" t="inlineStr">
        <is>
          <t>OEBOXBNSR77.50X59.50X120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SKBNNLDB78X60X06-CPC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0.6899999999999999</v>
      </c>
      <c r="G31" t="inlineStr">
        <is>
          <t>CBEWIP</t>
        </is>
      </c>
    </row>
    <row r="32">
      <c r="A32" t="n">
        <v>3</v>
      </c>
      <c r="B32" t="inlineStr">
        <is>
          <t>SKBNNLDB78X60X06-CPC</t>
        </is>
      </c>
      <c r="C32" t="n">
        <v>30</v>
      </c>
      <c r="D32" t="inlineStr">
        <is>
          <t>SFG-SPKDB-ONL-QUILT</t>
        </is>
      </c>
      <c r="E32" t="inlineStr">
        <is>
          <t>MTR</t>
        </is>
      </c>
      <c r="F32" t="n">
        <v>1.549</v>
      </c>
      <c r="G32" t="inlineStr">
        <is>
          <t>CBESFG</t>
        </is>
      </c>
    </row>
    <row r="33">
      <c r="A33" t="n">
        <v>3</v>
      </c>
      <c r="B33" t="inlineStr">
        <is>
          <t>SKBNNLDB78X60X06-CPC</t>
        </is>
      </c>
      <c r="C33" t="n">
        <v>40</v>
      </c>
      <c r="D33" t="inlineStr">
        <is>
          <t>SFG-SPKDB-BP</t>
        </is>
      </c>
      <c r="E33" t="inlineStr">
        <is>
          <t>MTR</t>
        </is>
      </c>
      <c r="F33" t="n">
        <v>1.549</v>
      </c>
      <c r="G33" t="inlineStr">
        <is>
          <t>CBESFG</t>
        </is>
      </c>
    </row>
    <row r="34">
      <c r="A34" t="n">
        <v>3</v>
      </c>
      <c r="B34" t="inlineStr">
        <is>
          <t>SKBNNLDB78X60X06-CPC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0.152</v>
      </c>
      <c r="G34" t="inlineStr">
        <is>
          <t>CBEWIP</t>
        </is>
      </c>
    </row>
    <row r="35">
      <c r="A35" t="n">
        <v>3</v>
      </c>
      <c r="B35" t="inlineStr">
        <is>
          <t>SKBNNLDB78X60X06-CPC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141.732</v>
      </c>
      <c r="G35" t="inlineStr">
        <is>
          <t>CBEWIP</t>
        </is>
      </c>
    </row>
    <row r="36">
      <c r="A36" t="n">
        <v>3</v>
      </c>
      <c r="B36" t="inlineStr">
        <is>
          <t>SKBNNLDB78X60X06-CPC</t>
        </is>
      </c>
      <c r="C36" t="n">
        <v>70</v>
      </c>
      <c r="D36" t="inlineStr">
        <is>
          <t>RML-EDTAPE-BLUE</t>
        </is>
      </c>
      <c r="E36" t="inlineStr">
        <is>
          <t>MTR</t>
        </is>
      </c>
      <c r="F36" t="n">
        <v>14.427</v>
      </c>
      <c r="G36" t="inlineStr">
        <is>
          <t>CBEWIP</t>
        </is>
      </c>
    </row>
    <row r="37">
      <c r="A37" t="n">
        <v>3</v>
      </c>
      <c r="B37" t="inlineStr">
        <is>
          <t>SKBNNLDB78X60X06-CPC</t>
        </is>
      </c>
      <c r="C37" t="n">
        <v>80</v>
      </c>
      <c r="D37" t="inlineStr">
        <is>
          <t>RM-THRD-TKT40-BLACK</t>
        </is>
      </c>
      <c r="E37" t="inlineStr">
        <is>
          <t>MTR</t>
        </is>
      </c>
      <c r="F37" t="n">
        <v>88.727</v>
      </c>
      <c r="G37" t="inlineStr">
        <is>
          <t>CBEWIP</t>
        </is>
      </c>
    </row>
    <row r="38">
      <c r="A38" t="n">
        <v>3</v>
      </c>
      <c r="B38" t="inlineStr">
        <is>
          <t>SKBNNLDB78X60X06-CPC</t>
        </is>
      </c>
      <c r="C38" t="n">
        <v>90</v>
      </c>
      <c r="D38" t="inlineStr">
        <is>
          <t>RML-CS-DRM-SILV-7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SKBNNLDB78X60X06-CPC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SKBNNLDB78X60X06-CPC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SKBNNLDB78X60X06-CPC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SKBNNLDB78X60X06-CPC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0.51</v>
      </c>
      <c r="G42" t="inlineStr">
        <is>
          <t>CBEWIP</t>
        </is>
      </c>
    </row>
    <row r="43">
      <c r="A43" t="n">
        <v>3</v>
      </c>
      <c r="B43" t="inlineStr">
        <is>
          <t>SKBNNLDB78X60X06-CPC</t>
        </is>
      </c>
      <c r="C43" t="n">
        <v>140</v>
      </c>
      <c r="D43" t="inlineStr">
        <is>
          <t>17D-PU-FOAM-77.50X59.50X10MM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SKBNNLDB78X72X06-CPC</t>
        </is>
      </c>
      <c r="C44" t="n">
        <v>10</v>
      </c>
      <c r="D44" t="inlineStr">
        <is>
          <t>OEBOXBNSR77.50X71.50X120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SKBNNLDB78X72X06-CPC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0.83</v>
      </c>
      <c r="G45" t="inlineStr">
        <is>
          <t>CBEWIP</t>
        </is>
      </c>
    </row>
    <row r="46">
      <c r="A46" t="n">
        <v>4</v>
      </c>
      <c r="B46" t="inlineStr">
        <is>
          <t>SKBNNLDB78X72X06-CPC</t>
        </is>
      </c>
      <c r="C46" t="n">
        <v>30</v>
      </c>
      <c r="D46" t="inlineStr">
        <is>
          <t>SFG-SPKDB-ONL-QUILT</t>
        </is>
      </c>
      <c r="E46" t="inlineStr">
        <is>
          <t>MTR</t>
        </is>
      </c>
      <c r="F46" t="n">
        <v>1.854</v>
      </c>
      <c r="G46" t="inlineStr">
        <is>
          <t>CBESFG</t>
        </is>
      </c>
    </row>
    <row r="47">
      <c r="A47" t="n">
        <v>4</v>
      </c>
      <c r="B47" t="inlineStr">
        <is>
          <t>SKBNNLDB78X72X06-CPC</t>
        </is>
      </c>
      <c r="C47" t="n">
        <v>40</v>
      </c>
      <c r="D47" t="inlineStr">
        <is>
          <t>SFG-SPKDB-BP</t>
        </is>
      </c>
      <c r="E47" t="inlineStr">
        <is>
          <t>MTR</t>
        </is>
      </c>
      <c r="F47" t="n">
        <v>1.854</v>
      </c>
      <c r="G47" t="inlineStr">
        <is>
          <t>CBESFG</t>
        </is>
      </c>
    </row>
    <row r="48">
      <c r="A48" t="n">
        <v>4</v>
      </c>
      <c r="B48" t="inlineStr">
        <is>
          <t>SKBNNLDB78X72X06-CPC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0.165</v>
      </c>
      <c r="G48" t="inlineStr">
        <is>
          <t>CBEWIP</t>
        </is>
      </c>
    </row>
    <row r="49">
      <c r="A49" t="n">
        <v>4</v>
      </c>
      <c r="B49" t="inlineStr">
        <is>
          <t>SKBNNLDB78X72X06-CPC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153.924</v>
      </c>
      <c r="G49" t="inlineStr">
        <is>
          <t>CBEWIP</t>
        </is>
      </c>
    </row>
    <row r="50">
      <c r="A50" t="n">
        <v>4</v>
      </c>
      <c r="B50" t="inlineStr">
        <is>
          <t>SKBNNLDB78X72X06-CPC</t>
        </is>
      </c>
      <c r="C50" t="n">
        <v>70</v>
      </c>
      <c r="D50" t="inlineStr">
        <is>
          <t>RML-EDTAPE-BLUE</t>
        </is>
      </c>
      <c r="E50" t="inlineStr">
        <is>
          <t>MTR</t>
        </is>
      </c>
      <c r="F50" t="n">
        <v>15.646</v>
      </c>
      <c r="G50" t="inlineStr">
        <is>
          <t>CBEWIP</t>
        </is>
      </c>
    </row>
    <row r="51">
      <c r="A51" t="n">
        <v>4</v>
      </c>
      <c r="B51" t="inlineStr">
        <is>
          <t>SKBNNLDB78X72X06-CPC</t>
        </is>
      </c>
      <c r="C51" t="n">
        <v>80</v>
      </c>
      <c r="D51" t="inlineStr">
        <is>
          <t>RM-THRD-TKT40-BLACK</t>
        </is>
      </c>
      <c r="E51" t="inlineStr">
        <is>
          <t>MTR</t>
        </is>
      </c>
      <c r="F51" t="n">
        <v>96.22499999999999</v>
      </c>
      <c r="G51" t="inlineStr">
        <is>
          <t>CBEWIP</t>
        </is>
      </c>
    </row>
    <row r="52">
      <c r="A52" t="n">
        <v>4</v>
      </c>
      <c r="B52" t="inlineStr">
        <is>
          <t>SKBNNLDB78X72X06-CPC</t>
        </is>
      </c>
      <c r="C52" t="n">
        <v>90</v>
      </c>
      <c r="D52" t="inlineStr">
        <is>
          <t>RML-CS-DRM-SILV-7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SKBNNLDB78X72X06-CPC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SKBNNLDB78X72X06-CPC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SKBNNLDB78X72X06-CPC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SKBNNLDB78X72X06-CPC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0.601</v>
      </c>
      <c r="G56" t="inlineStr">
        <is>
          <t>CBEWIP</t>
        </is>
      </c>
    </row>
    <row r="57">
      <c r="A57" t="n">
        <v>4</v>
      </c>
      <c r="B57" t="inlineStr">
        <is>
          <t>SKBNNLDB78X72X06-CPC</t>
        </is>
      </c>
      <c r="C57" t="n">
        <v>140</v>
      </c>
      <c r="D57" t="inlineStr">
        <is>
          <t>17D-PU-FOAM-77.50X71.50X10MM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SKBNNLMR72X36X06-CPC</t>
        </is>
      </c>
      <c r="C58" t="n">
        <v>10</v>
      </c>
      <c r="D58" t="inlineStr">
        <is>
          <t>OEBOXBNSR71.50X35.50X120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SKBNNLMR72X36X06-CPC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0.377</v>
      </c>
      <c r="G59" t="inlineStr">
        <is>
          <t>CBEWIP</t>
        </is>
      </c>
    </row>
    <row r="60">
      <c r="A60" t="n">
        <v>5</v>
      </c>
      <c r="B60" t="inlineStr">
        <is>
          <t>SKBNNLMR72X36X06-CPC</t>
        </is>
      </c>
      <c r="C60" t="n">
        <v>30</v>
      </c>
      <c r="D60" t="inlineStr">
        <is>
          <t>SFG-SPKMR-ONL-QUILT</t>
        </is>
      </c>
      <c r="E60" t="inlineStr">
        <is>
          <t>MTR</t>
        </is>
      </c>
      <c r="F60" t="n">
        <v>0.9399999999999999</v>
      </c>
      <c r="G60" t="inlineStr">
        <is>
          <t>CBESFG</t>
        </is>
      </c>
    </row>
    <row r="61">
      <c r="A61" t="n">
        <v>5</v>
      </c>
      <c r="B61" t="inlineStr">
        <is>
          <t>SKBNNLMR72X36X06-CPC</t>
        </is>
      </c>
      <c r="C61" t="n">
        <v>40</v>
      </c>
      <c r="D61" t="inlineStr">
        <is>
          <t>SFG-SPKMR-BP</t>
        </is>
      </c>
      <c r="E61" t="inlineStr">
        <is>
          <t>MTR</t>
        </is>
      </c>
      <c r="F61" t="n">
        <v>0.9399999999999999</v>
      </c>
      <c r="G61" t="inlineStr">
        <is>
          <t>CBESFG</t>
        </is>
      </c>
    </row>
    <row r="62">
      <c r="A62" t="n">
        <v>5</v>
      </c>
      <c r="B62" t="inlineStr">
        <is>
          <t>SKBNNLMR72X36X06-CPC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0.119</v>
      </c>
      <c r="G62" t="inlineStr">
        <is>
          <t>CBEWIP</t>
        </is>
      </c>
    </row>
    <row r="63">
      <c r="A63" t="n">
        <v>5</v>
      </c>
      <c r="B63" t="inlineStr">
        <is>
          <t>SKBNNLMR72X36X06-CPC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111.252</v>
      </c>
      <c r="G63" t="inlineStr">
        <is>
          <t>CBEWIP</t>
        </is>
      </c>
    </row>
    <row r="64">
      <c r="A64" t="n">
        <v>5</v>
      </c>
      <c r="B64" t="inlineStr">
        <is>
          <t>SKBNNLMR72X36X06-CPC</t>
        </is>
      </c>
      <c r="C64" t="n">
        <v>70</v>
      </c>
      <c r="D64" t="inlineStr">
        <is>
          <t>RML-EDTAPE-MER-KNIT</t>
        </is>
      </c>
      <c r="E64" t="inlineStr">
        <is>
          <t>MTR</t>
        </is>
      </c>
      <c r="F64" t="n">
        <v>11.379</v>
      </c>
      <c r="G64" t="inlineStr">
        <is>
          <t>CBEWIP</t>
        </is>
      </c>
    </row>
    <row r="65">
      <c r="A65" t="n">
        <v>5</v>
      </c>
      <c r="B65" t="inlineStr">
        <is>
          <t>SKBNNLMR72X36X06-CPC</t>
        </is>
      </c>
      <c r="C65" t="n">
        <v>80</v>
      </c>
      <c r="D65" t="inlineStr">
        <is>
          <t>RML-THRD-TKT-40MER</t>
        </is>
      </c>
      <c r="E65" t="inlineStr">
        <is>
          <t>MTR</t>
        </is>
      </c>
      <c r="F65" t="n">
        <v>69.982</v>
      </c>
      <c r="G65" t="inlineStr">
        <is>
          <t>CBEWIP</t>
        </is>
      </c>
    </row>
    <row r="66">
      <c r="A66" t="n">
        <v>5</v>
      </c>
      <c r="B66" t="inlineStr">
        <is>
          <t>SKBNNLMR72X36X06-CPC</t>
        </is>
      </c>
      <c r="C66" t="n">
        <v>90</v>
      </c>
      <c r="D66" t="inlineStr">
        <is>
          <t>RML-CS-DRM-SILV-7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SKBNNLMR72X36X06-CPC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SKBNNLMR72X36X06-CPC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SKBNNLMR72X36X06-CPC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SKBNNLMR72X36X06-CPC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0.33</v>
      </c>
      <c r="G70" t="inlineStr">
        <is>
          <t>CBEWIP</t>
        </is>
      </c>
    </row>
    <row r="71">
      <c r="A71" t="n">
        <v>5</v>
      </c>
      <c r="B71" t="inlineStr">
        <is>
          <t>SKBNNLMR72X36X06-CPC</t>
        </is>
      </c>
      <c r="C71" t="n">
        <v>140</v>
      </c>
      <c r="D71" t="inlineStr">
        <is>
          <t>17D-PU-FOAM-71.50X35.50X10MM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SKBNNLMR72X48X06-CPC</t>
        </is>
      </c>
      <c r="C72" t="n">
        <v>10</v>
      </c>
      <c r="D72" t="inlineStr">
        <is>
          <t>OEBOXBNSR71.50X47.50X120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SKBNNLMR72X48X06-CPC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0.507</v>
      </c>
      <c r="G73" t="inlineStr">
        <is>
          <t>CBEWIP</t>
        </is>
      </c>
    </row>
    <row r="74">
      <c r="A74" t="n">
        <v>6</v>
      </c>
      <c r="B74" t="inlineStr">
        <is>
          <t>SKBNNLMR72X48X06-CPC</t>
        </is>
      </c>
      <c r="C74" t="n">
        <v>30</v>
      </c>
      <c r="D74" t="inlineStr">
        <is>
          <t>SFG-SPKMR-ONL-QUILT</t>
        </is>
      </c>
      <c r="E74" t="inlineStr">
        <is>
          <t>MTR</t>
        </is>
      </c>
      <c r="F74" t="n">
        <v>1.245</v>
      </c>
      <c r="G74" t="inlineStr">
        <is>
          <t>CBESFG</t>
        </is>
      </c>
    </row>
    <row r="75">
      <c r="A75" t="n">
        <v>6</v>
      </c>
      <c r="B75" t="inlineStr">
        <is>
          <t>SKBNNLMR72X48X06-CPC</t>
        </is>
      </c>
      <c r="C75" t="n">
        <v>40</v>
      </c>
      <c r="D75" t="inlineStr">
        <is>
          <t>SFG-SPKMR-BP</t>
        </is>
      </c>
      <c r="E75" t="inlineStr">
        <is>
          <t>MTR</t>
        </is>
      </c>
      <c r="F75" t="n">
        <v>1.245</v>
      </c>
      <c r="G75" t="inlineStr">
        <is>
          <t>CBESFG</t>
        </is>
      </c>
    </row>
    <row r="76">
      <c r="A76" t="n">
        <v>6</v>
      </c>
      <c r="B76" t="inlineStr">
        <is>
          <t>SKBNNLMR72X48X06-CPC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0.132</v>
      </c>
      <c r="G76" t="inlineStr">
        <is>
          <t>CBEWIP</t>
        </is>
      </c>
    </row>
    <row r="77">
      <c r="A77" t="n">
        <v>6</v>
      </c>
      <c r="B77" t="inlineStr">
        <is>
          <t>SKBNNLMR72X48X06-CPC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123.444</v>
      </c>
      <c r="G77" t="inlineStr">
        <is>
          <t>CBEWIP</t>
        </is>
      </c>
    </row>
    <row r="78">
      <c r="A78" t="n">
        <v>6</v>
      </c>
      <c r="B78" t="inlineStr">
        <is>
          <t>SKBNNLMR72X48X06-CPC</t>
        </is>
      </c>
      <c r="C78" t="n">
        <v>70</v>
      </c>
      <c r="D78" t="inlineStr">
        <is>
          <t>RML-EDTAPE-MER-KNIT</t>
        </is>
      </c>
      <c r="E78" t="inlineStr">
        <is>
          <t>MTR</t>
        </is>
      </c>
      <c r="F78" t="n">
        <v>12.598</v>
      </c>
      <c r="G78" t="inlineStr">
        <is>
          <t>CBEWIP</t>
        </is>
      </c>
    </row>
    <row r="79">
      <c r="A79" t="n">
        <v>6</v>
      </c>
      <c r="B79" t="inlineStr">
        <is>
          <t>SKBNNLMR72X48X06-CPC</t>
        </is>
      </c>
      <c r="C79" t="n">
        <v>80</v>
      </c>
      <c r="D79" t="inlineStr">
        <is>
          <t>RML-THRD-TKT-40MER</t>
        </is>
      </c>
      <c r="E79" t="inlineStr">
        <is>
          <t>MTR</t>
        </is>
      </c>
      <c r="F79" t="n">
        <v>77.48</v>
      </c>
      <c r="G79" t="inlineStr">
        <is>
          <t>CBEWIP</t>
        </is>
      </c>
    </row>
    <row r="80">
      <c r="A80" t="n">
        <v>6</v>
      </c>
      <c r="B80" t="inlineStr">
        <is>
          <t>SKBNNLMR72X48X06-CPC</t>
        </is>
      </c>
      <c r="C80" t="n">
        <v>90</v>
      </c>
      <c r="D80" t="inlineStr">
        <is>
          <t>RML-CS-DRM-SILV-7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SKBNNLMR72X48X06-CPC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SKBNNLMR72X48X06-CPC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SKBNNLMR72X48X06-CPC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SKBNNLMR72X48X06-CPC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0.42</v>
      </c>
      <c r="G84" t="inlineStr">
        <is>
          <t>CBEWIP</t>
        </is>
      </c>
    </row>
    <row r="85">
      <c r="A85" t="n">
        <v>6</v>
      </c>
      <c r="B85" t="inlineStr">
        <is>
          <t>SKBNNLMR72X48X06-CPC</t>
        </is>
      </c>
      <c r="C85" t="n">
        <v>140</v>
      </c>
      <c r="D85" t="inlineStr">
        <is>
          <t>17D-PU-FOAM-71.50X47.50X10MM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SKBNNLMR75X36X06-CPC</t>
        </is>
      </c>
      <c r="C86" t="n">
        <v>10</v>
      </c>
      <c r="D86" t="inlineStr">
        <is>
          <t>OEBOXBNSR74.50X35.50X120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SKBNNLMR75X36X06-CPC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0.393</v>
      </c>
      <c r="G87" t="inlineStr">
        <is>
          <t>CBEWIP</t>
        </is>
      </c>
    </row>
    <row r="88">
      <c r="A88" t="n">
        <v>7</v>
      </c>
      <c r="B88" t="inlineStr">
        <is>
          <t>SKBNNLMR75X36X06-CPC</t>
        </is>
      </c>
      <c r="C88" t="n">
        <v>30</v>
      </c>
      <c r="D88" t="inlineStr">
        <is>
          <t>SFG-SPKMR-ONL-QUILT</t>
        </is>
      </c>
      <c r="E88" t="inlineStr">
        <is>
          <t>MTR</t>
        </is>
      </c>
      <c r="F88" t="n">
        <v>0.9399999999999999</v>
      </c>
      <c r="G88" t="inlineStr">
        <is>
          <t>CBESFG</t>
        </is>
      </c>
    </row>
    <row r="89">
      <c r="A89" t="n">
        <v>7</v>
      </c>
      <c r="B89" t="inlineStr">
        <is>
          <t>SKBNNLMR75X36X06-CPC</t>
        </is>
      </c>
      <c r="C89" t="n">
        <v>40</v>
      </c>
      <c r="D89" t="inlineStr">
        <is>
          <t>SFG-SPKMR-BP</t>
        </is>
      </c>
      <c r="E89" t="inlineStr">
        <is>
          <t>MTR</t>
        </is>
      </c>
      <c r="F89" t="n">
        <v>0.9399999999999999</v>
      </c>
      <c r="G89" t="inlineStr">
        <is>
          <t>CBESFG</t>
        </is>
      </c>
    </row>
    <row r="90">
      <c r="A90" t="n">
        <v>7</v>
      </c>
      <c r="B90" t="inlineStr">
        <is>
          <t>SKBNNLMR75X36X06-CPC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0.122</v>
      </c>
      <c r="G90" t="inlineStr">
        <is>
          <t>CBEWIP</t>
        </is>
      </c>
    </row>
    <row r="91">
      <c r="A91" t="n">
        <v>7</v>
      </c>
      <c r="B91" t="inlineStr">
        <is>
          <t>SKBNNLMR75X36X06-CPC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114.3</v>
      </c>
      <c r="G91" t="inlineStr">
        <is>
          <t>CBEWIP</t>
        </is>
      </c>
    </row>
    <row r="92">
      <c r="A92" t="n">
        <v>7</v>
      </c>
      <c r="B92" t="inlineStr">
        <is>
          <t>SKBNNLMR75X36X06-CPC</t>
        </is>
      </c>
      <c r="C92" t="n">
        <v>70</v>
      </c>
      <c r="D92" t="inlineStr">
        <is>
          <t>RML-EDTAPE-MER-KNIT</t>
        </is>
      </c>
      <c r="E92" t="inlineStr">
        <is>
          <t>MTR</t>
        </is>
      </c>
      <c r="F92" t="n">
        <v>11.684</v>
      </c>
      <c r="G92" t="inlineStr">
        <is>
          <t>CBEWIP</t>
        </is>
      </c>
    </row>
    <row r="93">
      <c r="A93" t="n">
        <v>7</v>
      </c>
      <c r="B93" t="inlineStr">
        <is>
          <t>SKBNNLMR75X36X06-CPC</t>
        </is>
      </c>
      <c r="C93" t="n">
        <v>80</v>
      </c>
      <c r="D93" t="inlineStr">
        <is>
          <t>RML-THRD-TKT-40MER</t>
        </is>
      </c>
      <c r="E93" t="inlineStr">
        <is>
          <t>MTR</t>
        </is>
      </c>
      <c r="F93" t="n">
        <v>71.857</v>
      </c>
      <c r="G93" t="inlineStr">
        <is>
          <t>CBEWIP</t>
        </is>
      </c>
    </row>
    <row r="94">
      <c r="A94" t="n">
        <v>7</v>
      </c>
      <c r="B94" t="inlineStr">
        <is>
          <t>SKBNNLMR75X36X06-CPC</t>
        </is>
      </c>
      <c r="C94" t="n">
        <v>90</v>
      </c>
      <c r="D94" t="inlineStr">
        <is>
          <t>RML-CS-DRM-SILV-7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SKBNNLMR75X36X06-CPC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SKBNNLMR75X36X06-CPC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SKBNNLMR75X36X06-CPC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SKBNNLMR75X36X06-CPC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0.33</v>
      </c>
      <c r="G98" t="inlineStr">
        <is>
          <t>CBEWIP</t>
        </is>
      </c>
    </row>
    <row r="99">
      <c r="A99" t="n">
        <v>7</v>
      </c>
      <c r="B99" t="inlineStr">
        <is>
          <t>SKBNNLMR75X36X06-CPC</t>
        </is>
      </c>
      <c r="C99" t="n">
        <v>140</v>
      </c>
      <c r="D99" t="inlineStr">
        <is>
          <t>17D-PU-FOAM-74.50X35.50X10MM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SKBNNLMR75X48X06-CPC</t>
        </is>
      </c>
      <c r="C100" t="n">
        <v>10</v>
      </c>
      <c r="D100" t="inlineStr">
        <is>
          <t>OEBOXBNSR74.50X47.50X120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SKBNNLMR75X48X06-CPC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0.528</v>
      </c>
      <c r="G101" t="inlineStr">
        <is>
          <t>CBEWIP</t>
        </is>
      </c>
    </row>
    <row r="102">
      <c r="A102" t="n">
        <v>8</v>
      </c>
      <c r="B102" t="inlineStr">
        <is>
          <t>SKBNNLMR75X48X06-CPC</t>
        </is>
      </c>
      <c r="C102" t="n">
        <v>30</v>
      </c>
      <c r="D102" t="inlineStr">
        <is>
          <t>SFG-SPKMR-ONL-QUILT</t>
        </is>
      </c>
      <c r="E102" t="inlineStr">
        <is>
          <t>MTR</t>
        </is>
      </c>
      <c r="F102" t="n">
        <v>1.245</v>
      </c>
      <c r="G102" t="inlineStr">
        <is>
          <t>CBESFG</t>
        </is>
      </c>
    </row>
    <row r="103">
      <c r="A103" t="n">
        <v>8</v>
      </c>
      <c r="B103" t="inlineStr">
        <is>
          <t>SKBNNLMR75X48X06-CPC</t>
        </is>
      </c>
      <c r="C103" t="n">
        <v>40</v>
      </c>
      <c r="D103" t="inlineStr">
        <is>
          <t>SFG-SPKMR-BP</t>
        </is>
      </c>
      <c r="E103" t="inlineStr">
        <is>
          <t>MTR</t>
        </is>
      </c>
      <c r="F103" t="n">
        <v>1.245</v>
      </c>
      <c r="G103" t="inlineStr">
        <is>
          <t>CBESFG</t>
        </is>
      </c>
    </row>
    <row r="104">
      <c r="A104" t="n">
        <v>8</v>
      </c>
      <c r="B104" t="inlineStr">
        <is>
          <t>SKBNNLMR75X48X06-CPC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0.135</v>
      </c>
      <c r="G104" t="inlineStr">
        <is>
          <t>CBEWIP</t>
        </is>
      </c>
    </row>
    <row r="105">
      <c r="A105" t="n">
        <v>8</v>
      </c>
      <c r="B105" t="inlineStr">
        <is>
          <t>SKBNNLMR75X48X06-CPC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126.492</v>
      </c>
      <c r="G105" t="inlineStr">
        <is>
          <t>CBEWIP</t>
        </is>
      </c>
    </row>
    <row r="106">
      <c r="A106" t="n">
        <v>8</v>
      </c>
      <c r="B106" t="inlineStr">
        <is>
          <t>SKBNNLMR75X48X06-CPC</t>
        </is>
      </c>
      <c r="C106" t="n">
        <v>70</v>
      </c>
      <c r="D106" t="inlineStr">
        <is>
          <t>RML-EDTAPE-MER-KNIT</t>
        </is>
      </c>
      <c r="E106" t="inlineStr">
        <is>
          <t>MTR</t>
        </is>
      </c>
      <c r="F106" t="n">
        <v>12.903</v>
      </c>
      <c r="G106" t="inlineStr">
        <is>
          <t>CBEWIP</t>
        </is>
      </c>
    </row>
    <row r="107">
      <c r="A107" t="n">
        <v>8</v>
      </c>
      <c r="B107" t="inlineStr">
        <is>
          <t>SKBNNLMR75X48X06-CPC</t>
        </is>
      </c>
      <c r="C107" t="n">
        <v>80</v>
      </c>
      <c r="D107" t="inlineStr">
        <is>
          <t>RML-THRD-TKT-40MER</t>
        </is>
      </c>
      <c r="E107" t="inlineStr">
        <is>
          <t>MTR</t>
        </is>
      </c>
      <c r="F107" t="n">
        <v>79.355</v>
      </c>
      <c r="G107" t="inlineStr">
        <is>
          <t>CBEWIP</t>
        </is>
      </c>
    </row>
    <row r="108">
      <c r="A108" t="n">
        <v>8</v>
      </c>
      <c r="B108" t="inlineStr">
        <is>
          <t>SKBNNLMR75X48X06-CPC</t>
        </is>
      </c>
      <c r="C108" t="n">
        <v>90</v>
      </c>
      <c r="D108" t="inlineStr">
        <is>
          <t>RML-CS-DRM-SILV-7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SKBNNLMR75X48X06-CPC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SKBNNLMR75X48X06-CPC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SKBNNLMR75X48X06-CPC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SKBNNLMR75X48X06-CPC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0.42</v>
      </c>
      <c r="G112" t="inlineStr">
        <is>
          <t>CBEWIP</t>
        </is>
      </c>
    </row>
    <row r="113">
      <c r="A113" t="n">
        <v>8</v>
      </c>
      <c r="B113" t="inlineStr">
        <is>
          <t>SKBNNLMR75X48X06-CPC</t>
        </is>
      </c>
      <c r="C113" t="n">
        <v>140</v>
      </c>
      <c r="D113" t="inlineStr">
        <is>
          <t>17D-PU-FOAM-74.50X47.50X10MM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SKBNNLMR75X60X06-CPC</t>
        </is>
      </c>
      <c r="C114" t="n">
        <v>10</v>
      </c>
      <c r="D114" t="inlineStr">
        <is>
          <t>OEBOXBNSR74.50X59.50X120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SKBNNLMR75X60X06-CPC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0.663</v>
      </c>
      <c r="G115" t="inlineStr">
        <is>
          <t>CBEWIP</t>
        </is>
      </c>
    </row>
    <row r="116">
      <c r="A116" t="n">
        <v>9</v>
      </c>
      <c r="B116" t="inlineStr">
        <is>
          <t>SKBNNLMR75X60X06-CPC</t>
        </is>
      </c>
      <c r="C116" t="n">
        <v>30</v>
      </c>
      <c r="D116" t="inlineStr">
        <is>
          <t>SFG-SPKMR-ONL-QUILT</t>
        </is>
      </c>
      <c r="E116" t="inlineStr">
        <is>
          <t>MTR</t>
        </is>
      </c>
      <c r="F116" t="n">
        <v>1.549</v>
      </c>
      <c r="G116" t="inlineStr">
        <is>
          <t>CBESFG</t>
        </is>
      </c>
    </row>
    <row r="117">
      <c r="A117" t="n">
        <v>9</v>
      </c>
      <c r="B117" t="inlineStr">
        <is>
          <t>SKBNNLMR75X60X06-CPC</t>
        </is>
      </c>
      <c r="C117" t="n">
        <v>40</v>
      </c>
      <c r="D117" t="inlineStr">
        <is>
          <t>SFG-SPKMR-BP</t>
        </is>
      </c>
      <c r="E117" t="inlineStr">
        <is>
          <t>MTR</t>
        </is>
      </c>
      <c r="F117" t="n">
        <v>1.549</v>
      </c>
      <c r="G117" t="inlineStr">
        <is>
          <t>CBESFG</t>
        </is>
      </c>
    </row>
    <row r="118">
      <c r="A118" t="n">
        <v>9</v>
      </c>
      <c r="B118" t="inlineStr">
        <is>
          <t>SKBNNLMR75X60X06-CPC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0.148</v>
      </c>
      <c r="G118" t="inlineStr">
        <is>
          <t>CBEWIP</t>
        </is>
      </c>
    </row>
    <row r="119">
      <c r="A119" t="n">
        <v>9</v>
      </c>
      <c r="B119" t="inlineStr">
        <is>
          <t>SKBNNLMR75X60X06-CPC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138.684</v>
      </c>
      <c r="G119" t="inlineStr">
        <is>
          <t>CBEWIP</t>
        </is>
      </c>
    </row>
    <row r="120">
      <c r="A120" t="n">
        <v>9</v>
      </c>
      <c r="B120" t="inlineStr">
        <is>
          <t>SKBNNLMR75X60X06-CPC</t>
        </is>
      </c>
      <c r="C120" t="n">
        <v>70</v>
      </c>
      <c r="D120" t="inlineStr">
        <is>
          <t>RML-EDTAPE-MER-KNIT</t>
        </is>
      </c>
      <c r="E120" t="inlineStr">
        <is>
          <t>MTR</t>
        </is>
      </c>
      <c r="F120" t="n">
        <v>14.122</v>
      </c>
      <c r="G120" t="inlineStr">
        <is>
          <t>CBEWIP</t>
        </is>
      </c>
    </row>
    <row r="121">
      <c r="A121" t="n">
        <v>9</v>
      </c>
      <c r="B121" t="inlineStr">
        <is>
          <t>SKBNNLMR75X60X06-CPC</t>
        </is>
      </c>
      <c r="C121" t="n">
        <v>80</v>
      </c>
      <c r="D121" t="inlineStr">
        <is>
          <t>RML-THRD-TKT-40MER</t>
        </is>
      </c>
      <c r="E121" t="inlineStr">
        <is>
          <t>MTR</t>
        </is>
      </c>
      <c r="F121" t="n">
        <v>86.85299999999999</v>
      </c>
      <c r="G121" t="inlineStr">
        <is>
          <t>CBEWIP</t>
        </is>
      </c>
    </row>
    <row r="122">
      <c r="A122" t="n">
        <v>9</v>
      </c>
      <c r="B122" t="inlineStr">
        <is>
          <t>SKBNNLMR75X60X06-CPC</t>
        </is>
      </c>
      <c r="C122" t="n">
        <v>90</v>
      </c>
      <c r="D122" t="inlineStr">
        <is>
          <t>RML-CS-DRM-SILV-7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SKBNNLMR75X60X06-CPC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SKBNNLMR75X60X06-CPC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SKBNNLMR75X60X06-CPC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SKBNNLMR75X60X06-CPC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0.51</v>
      </c>
      <c r="G126" t="inlineStr">
        <is>
          <t>CBEWIP</t>
        </is>
      </c>
    </row>
    <row r="127">
      <c r="A127" t="n">
        <v>9</v>
      </c>
      <c r="B127" t="inlineStr">
        <is>
          <t>SKBNNLMR75X60X06-CPC</t>
        </is>
      </c>
      <c r="C127" t="n">
        <v>140</v>
      </c>
      <c r="D127" t="inlineStr">
        <is>
          <t>17D-PU-FOAM-74.50X59.50X10MM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SKBNNLMR75X72X06-CPC</t>
        </is>
      </c>
      <c r="C128" t="n">
        <v>10</v>
      </c>
      <c r="D128" t="inlineStr">
        <is>
          <t>OEBOXBNSR74.50X71.50X120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SKBNNLMR75X72X06-CPC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0.798</v>
      </c>
      <c r="G129" t="inlineStr">
        <is>
          <t>CBEWIP</t>
        </is>
      </c>
    </row>
    <row r="130">
      <c r="A130" t="n">
        <v>10</v>
      </c>
      <c r="B130" t="inlineStr">
        <is>
          <t>SKBNNLMR75X72X06-CPC</t>
        </is>
      </c>
      <c r="C130" t="n">
        <v>30</v>
      </c>
      <c r="D130" t="inlineStr">
        <is>
          <t>SFG-SPKMR-ONL-QUILT</t>
        </is>
      </c>
      <c r="E130" t="inlineStr">
        <is>
          <t>MTR</t>
        </is>
      </c>
      <c r="F130" t="n">
        <v>1.854</v>
      </c>
      <c r="G130" t="inlineStr">
        <is>
          <t>CBESFG</t>
        </is>
      </c>
    </row>
    <row r="131">
      <c r="A131" t="n">
        <v>10</v>
      </c>
      <c r="B131" t="inlineStr">
        <is>
          <t>SKBNNLMR75X72X06-CPC</t>
        </is>
      </c>
      <c r="C131" t="n">
        <v>40</v>
      </c>
      <c r="D131" t="inlineStr">
        <is>
          <t>SFG-SPKMR-BP</t>
        </is>
      </c>
      <c r="E131" t="inlineStr">
        <is>
          <t>MTR</t>
        </is>
      </c>
      <c r="F131" t="n">
        <v>1.854</v>
      </c>
      <c r="G131" t="inlineStr">
        <is>
          <t>CBESFG</t>
        </is>
      </c>
    </row>
    <row r="132">
      <c r="A132" t="n">
        <v>10</v>
      </c>
      <c r="B132" t="inlineStr">
        <is>
          <t>SKBNNLMR75X72X06-CPC</t>
        </is>
      </c>
      <c r="C132" t="n">
        <v>50</v>
      </c>
      <c r="D132" t="inlineStr">
        <is>
          <t>RM-NWN-65GSMX6INCH</t>
        </is>
      </c>
      <c r="E132" t="inlineStr">
        <is>
          <t>KGS</t>
        </is>
      </c>
      <c r="F132" t="n">
        <v>0.161</v>
      </c>
      <c r="G132" t="inlineStr">
        <is>
          <t>CBEWIP</t>
        </is>
      </c>
    </row>
    <row r="133">
      <c r="A133" t="n">
        <v>10</v>
      </c>
      <c r="B133" t="inlineStr">
        <is>
          <t>SKBNNLMR75X72X06-CPC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150.876</v>
      </c>
      <c r="G133" t="inlineStr">
        <is>
          <t>CBEWIP</t>
        </is>
      </c>
    </row>
    <row r="134">
      <c r="A134" t="n">
        <v>10</v>
      </c>
      <c r="B134" t="inlineStr">
        <is>
          <t>SKBNNLMR75X72X06-CPC</t>
        </is>
      </c>
      <c r="C134" t="n">
        <v>70</v>
      </c>
      <c r="D134" t="inlineStr">
        <is>
          <t>RML-EDTAPE-MER-KNIT</t>
        </is>
      </c>
      <c r="E134" t="inlineStr">
        <is>
          <t>MTR</t>
        </is>
      </c>
      <c r="F134" t="n">
        <v>15.342</v>
      </c>
      <c r="G134" t="inlineStr">
        <is>
          <t>CBEWIP</t>
        </is>
      </c>
    </row>
    <row r="135">
      <c r="A135" t="n">
        <v>10</v>
      </c>
      <c r="B135" t="inlineStr">
        <is>
          <t>SKBNNLMR75X72X06-CPC</t>
        </is>
      </c>
      <c r="C135" t="n">
        <v>80</v>
      </c>
      <c r="D135" t="inlineStr">
        <is>
          <t>RML-THRD-TKT-40MER</t>
        </is>
      </c>
      <c r="E135" t="inlineStr">
        <is>
          <t>MTR</t>
        </is>
      </c>
      <c r="F135" t="n">
        <v>94.351</v>
      </c>
      <c r="G135" t="inlineStr">
        <is>
          <t>CBEWIP</t>
        </is>
      </c>
    </row>
    <row r="136">
      <c r="A136" t="n">
        <v>10</v>
      </c>
      <c r="B136" t="inlineStr">
        <is>
          <t>SKBNNLMR75X72X06-CPC</t>
        </is>
      </c>
      <c r="C136" t="n">
        <v>90</v>
      </c>
      <c r="D136" t="inlineStr">
        <is>
          <t>RML-CS-DRM-SILV-7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SKBNNLMR75X72X06-CPC</t>
        </is>
      </c>
      <c r="C137" t="n">
        <v>100</v>
      </c>
      <c r="D137" t="inlineStr">
        <is>
          <t>RM-PEPS-MAT-MRP-LBL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SKBNNLMR75X72X06-CPC</t>
        </is>
      </c>
      <c r="C138" t="n">
        <v>110</v>
      </c>
      <c r="D138" t="inlineStr">
        <is>
          <t>RML-OK-ROUND-STK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SKBNNLMR75X72X06-CPC</t>
        </is>
      </c>
      <c r="C139" t="n">
        <v>120</v>
      </c>
      <c r="D139" t="inlineStr">
        <is>
          <t>RML-OK-STICKER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10</v>
      </c>
      <c r="B140" t="inlineStr">
        <is>
          <t>SKBNNLMR75X72X06-CPC</t>
        </is>
      </c>
      <c r="C140" t="n">
        <v>130</v>
      </c>
      <c r="D140" t="inlineStr">
        <is>
          <t>RMI-PVC-50</t>
        </is>
      </c>
      <c r="E140" t="inlineStr">
        <is>
          <t>KGS</t>
        </is>
      </c>
      <c r="F140" t="n">
        <v>0.601</v>
      </c>
      <c r="G140" t="inlineStr">
        <is>
          <t>CBEWIP</t>
        </is>
      </c>
    </row>
    <row r="141">
      <c r="A141" t="n">
        <v>10</v>
      </c>
      <c r="B141" t="inlineStr">
        <is>
          <t>SKBNNLMR75X72X06-CPC</t>
        </is>
      </c>
      <c r="C141" t="n">
        <v>140</v>
      </c>
      <c r="D141" t="inlineStr">
        <is>
          <t>17D-PU-FOAM-74.50X71.50X10MM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SKBNNLMR78X60X06-CPC</t>
        </is>
      </c>
      <c r="C142" t="n">
        <v>10</v>
      </c>
      <c r="D142" t="inlineStr">
        <is>
          <t>OEBOXBNSR77.50X59.50X120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SKBNNLMR78X60X06-CPC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0.6899999999999999</v>
      </c>
      <c r="G143" t="inlineStr">
        <is>
          <t>CBEWIP</t>
        </is>
      </c>
    </row>
    <row r="144">
      <c r="A144" t="n">
        <v>11</v>
      </c>
      <c r="B144" t="inlineStr">
        <is>
          <t>SKBNNLMR78X60X06-CPC</t>
        </is>
      </c>
      <c r="C144" t="n">
        <v>30</v>
      </c>
      <c r="D144" t="inlineStr">
        <is>
          <t>SFG-SPKMR-ONL-QUILT</t>
        </is>
      </c>
      <c r="E144" t="inlineStr">
        <is>
          <t>MTR</t>
        </is>
      </c>
      <c r="F144" t="n">
        <v>1.549</v>
      </c>
      <c r="G144" t="inlineStr">
        <is>
          <t>CBESFG</t>
        </is>
      </c>
    </row>
    <row r="145">
      <c r="A145" t="n">
        <v>11</v>
      </c>
      <c r="B145" t="inlineStr">
        <is>
          <t>SKBNNLMR78X60X06-CPC</t>
        </is>
      </c>
      <c r="C145" t="n">
        <v>40</v>
      </c>
      <c r="D145" t="inlineStr">
        <is>
          <t>SFG-SPKMR-BP</t>
        </is>
      </c>
      <c r="E145" t="inlineStr">
        <is>
          <t>MTR</t>
        </is>
      </c>
      <c r="F145" t="n">
        <v>1.549</v>
      </c>
      <c r="G145" t="inlineStr">
        <is>
          <t>CBESFG</t>
        </is>
      </c>
    </row>
    <row r="146">
      <c r="A146" t="n">
        <v>11</v>
      </c>
      <c r="B146" t="inlineStr">
        <is>
          <t>SKBNNLMR78X60X06-CPC</t>
        </is>
      </c>
      <c r="C146" t="n">
        <v>50</v>
      </c>
      <c r="D146" t="inlineStr">
        <is>
          <t>RM-NWN-65GSMX6INCH</t>
        </is>
      </c>
      <c r="E146" t="inlineStr">
        <is>
          <t>KGS</t>
        </is>
      </c>
      <c r="F146" t="n">
        <v>0.152</v>
      </c>
      <c r="G146" t="inlineStr">
        <is>
          <t>CBEWIP</t>
        </is>
      </c>
    </row>
    <row r="147">
      <c r="A147" t="n">
        <v>11</v>
      </c>
      <c r="B147" t="inlineStr">
        <is>
          <t>SKBNNLMR78X60X06-CPC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141.732</v>
      </c>
      <c r="G147" t="inlineStr">
        <is>
          <t>CBEWIP</t>
        </is>
      </c>
    </row>
    <row r="148">
      <c r="A148" t="n">
        <v>11</v>
      </c>
      <c r="B148" t="inlineStr">
        <is>
          <t>SKBNNLMR78X60X06-CPC</t>
        </is>
      </c>
      <c r="C148" t="n">
        <v>70</v>
      </c>
      <c r="D148" t="inlineStr">
        <is>
          <t>RML-EDTAPE-MER-KNIT</t>
        </is>
      </c>
      <c r="E148" t="inlineStr">
        <is>
          <t>MTR</t>
        </is>
      </c>
      <c r="F148" t="n">
        <v>14.427</v>
      </c>
      <c r="G148" t="inlineStr">
        <is>
          <t>CBEWIP</t>
        </is>
      </c>
    </row>
    <row r="149">
      <c r="A149" t="n">
        <v>11</v>
      </c>
      <c r="B149" t="inlineStr">
        <is>
          <t>SKBNNLMR78X60X06-CPC</t>
        </is>
      </c>
      <c r="C149" t="n">
        <v>80</v>
      </c>
      <c r="D149" t="inlineStr">
        <is>
          <t>RML-THRD-TKT-40MER</t>
        </is>
      </c>
      <c r="E149" t="inlineStr">
        <is>
          <t>MTR</t>
        </is>
      </c>
      <c r="F149" t="n">
        <v>88.727</v>
      </c>
      <c r="G149" t="inlineStr">
        <is>
          <t>CBEWIP</t>
        </is>
      </c>
    </row>
    <row r="150">
      <c r="A150" t="n">
        <v>11</v>
      </c>
      <c r="B150" t="inlineStr">
        <is>
          <t>SKBNNLMR78X60X06-CPC</t>
        </is>
      </c>
      <c r="C150" t="n">
        <v>90</v>
      </c>
      <c r="D150" t="inlineStr">
        <is>
          <t>RML-CS-DRM-SILV-7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SKBNNLMR78X60X06-CPC</t>
        </is>
      </c>
      <c r="C151" t="n">
        <v>100</v>
      </c>
      <c r="D151" t="inlineStr">
        <is>
          <t>RM-PEPS-MAT-MRP-LBL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SKBNNLMR78X60X06-CPC</t>
        </is>
      </c>
      <c r="C152" t="n">
        <v>110</v>
      </c>
      <c r="D152" t="inlineStr">
        <is>
          <t>RML-OK-ROUND-STK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SKBNNLMR78X60X06-CPC</t>
        </is>
      </c>
      <c r="C153" t="n">
        <v>120</v>
      </c>
      <c r="D153" t="inlineStr">
        <is>
          <t>RML-OK-STICKER</t>
        </is>
      </c>
      <c r="E153" t="inlineStr">
        <is>
          <t>NOS</t>
        </is>
      </c>
      <c r="F153" t="n">
        <v>1</v>
      </c>
      <c r="G153" t="inlineStr">
        <is>
          <t>CBEWIP</t>
        </is>
      </c>
    </row>
    <row r="154">
      <c r="A154" t="n">
        <v>11</v>
      </c>
      <c r="B154" t="inlineStr">
        <is>
          <t>SKBNNLMR78X60X06-CPC</t>
        </is>
      </c>
      <c r="C154" t="n">
        <v>130</v>
      </c>
      <c r="D154" t="inlineStr">
        <is>
          <t>RMI-PVC-50</t>
        </is>
      </c>
      <c r="E154" t="inlineStr">
        <is>
          <t>KGS</t>
        </is>
      </c>
      <c r="F154" t="n">
        <v>0.51</v>
      </c>
      <c r="G154" t="inlineStr">
        <is>
          <t>CBEWIP</t>
        </is>
      </c>
    </row>
    <row r="155">
      <c r="A155" t="n">
        <v>11</v>
      </c>
      <c r="B155" t="inlineStr">
        <is>
          <t>SKBNNLMR78X60X06-CPC</t>
        </is>
      </c>
      <c r="C155" t="n">
        <v>140</v>
      </c>
      <c r="D155" t="inlineStr">
        <is>
          <t>17D-PU-FOAM-77.50X59.50X10MM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SKBNNLMR78X72X06-CPC</t>
        </is>
      </c>
      <c r="C156" t="n">
        <v>10</v>
      </c>
      <c r="D156" t="inlineStr">
        <is>
          <t>OEBOXBNSR77.50X71.50X120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SKBNNLMR78X72X06-CPC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0.83</v>
      </c>
      <c r="G157" t="inlineStr">
        <is>
          <t>CBEWIP</t>
        </is>
      </c>
    </row>
    <row r="158">
      <c r="A158" t="n">
        <v>12</v>
      </c>
      <c r="B158" t="inlineStr">
        <is>
          <t>SKBNNLMR78X72X06-CPC</t>
        </is>
      </c>
      <c r="C158" t="n">
        <v>30</v>
      </c>
      <c r="D158" t="inlineStr">
        <is>
          <t>SFG-SPKMR-ONL-QUILT</t>
        </is>
      </c>
      <c r="E158" t="inlineStr">
        <is>
          <t>MTR</t>
        </is>
      </c>
      <c r="F158" t="n">
        <v>1.854</v>
      </c>
      <c r="G158" t="inlineStr">
        <is>
          <t>CBESFG</t>
        </is>
      </c>
    </row>
    <row r="159">
      <c r="A159" t="n">
        <v>12</v>
      </c>
      <c r="B159" t="inlineStr">
        <is>
          <t>SKBNNLMR78X72X06-CPC</t>
        </is>
      </c>
      <c r="C159" t="n">
        <v>40</v>
      </c>
      <c r="D159" t="inlineStr">
        <is>
          <t>SFG-SPKMR-BP</t>
        </is>
      </c>
      <c r="E159" t="inlineStr">
        <is>
          <t>MTR</t>
        </is>
      </c>
      <c r="F159" t="n">
        <v>1.854</v>
      </c>
      <c r="G159" t="inlineStr">
        <is>
          <t>CBESFG</t>
        </is>
      </c>
    </row>
    <row r="160">
      <c r="A160" t="n">
        <v>12</v>
      </c>
      <c r="B160" t="inlineStr">
        <is>
          <t>SKBNNLMR78X72X06-CPC</t>
        </is>
      </c>
      <c r="C160" t="n">
        <v>50</v>
      </c>
      <c r="D160" t="inlineStr">
        <is>
          <t>RM-NWN-65GSMX6INCH</t>
        </is>
      </c>
      <c r="E160" t="inlineStr">
        <is>
          <t>KGS</t>
        </is>
      </c>
      <c r="F160" t="n">
        <v>0.165</v>
      </c>
      <c r="G160" t="inlineStr">
        <is>
          <t>CBEWIP</t>
        </is>
      </c>
    </row>
    <row r="161">
      <c r="A161" t="n">
        <v>12</v>
      </c>
      <c r="B161" t="inlineStr">
        <is>
          <t>SKBNNLMR78X72X06-CPC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153.924</v>
      </c>
      <c r="G161" t="inlineStr">
        <is>
          <t>CBEWIP</t>
        </is>
      </c>
    </row>
    <row r="162">
      <c r="A162" t="n">
        <v>12</v>
      </c>
      <c r="B162" t="inlineStr">
        <is>
          <t>SKBNNLMR78X72X06-CPC</t>
        </is>
      </c>
      <c r="C162" t="n">
        <v>70</v>
      </c>
      <c r="D162" t="inlineStr">
        <is>
          <t>RML-EDTAPE-MER-KNIT</t>
        </is>
      </c>
      <c r="E162" t="inlineStr">
        <is>
          <t>MTR</t>
        </is>
      </c>
      <c r="F162" t="n">
        <v>15.646</v>
      </c>
      <c r="G162" t="inlineStr">
        <is>
          <t>CBEWIP</t>
        </is>
      </c>
    </row>
    <row r="163">
      <c r="A163" t="n">
        <v>12</v>
      </c>
      <c r="B163" t="inlineStr">
        <is>
          <t>SKBNNLMR78X72X06-CPC</t>
        </is>
      </c>
      <c r="C163" t="n">
        <v>80</v>
      </c>
      <c r="D163" t="inlineStr">
        <is>
          <t>RML-THRD-TKT-40MER</t>
        </is>
      </c>
      <c r="E163" t="inlineStr">
        <is>
          <t>MTR</t>
        </is>
      </c>
      <c r="F163" t="n">
        <v>96.22499999999999</v>
      </c>
      <c r="G163" t="inlineStr">
        <is>
          <t>CBEWIP</t>
        </is>
      </c>
    </row>
    <row r="164">
      <c r="A164" t="n">
        <v>12</v>
      </c>
      <c r="B164" t="inlineStr">
        <is>
          <t>SKBNNLMR78X72X06-CPC</t>
        </is>
      </c>
      <c r="C164" t="n">
        <v>90</v>
      </c>
      <c r="D164" t="inlineStr">
        <is>
          <t>RML-CS-DRM-SILV-7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SKBNNLMR78X72X06-CPC</t>
        </is>
      </c>
      <c r="C165" t="n">
        <v>100</v>
      </c>
      <c r="D165" t="inlineStr">
        <is>
          <t>RM-PEPS-MAT-MRP-LBL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SKBNNLMR78X72X06-CPC</t>
        </is>
      </c>
      <c r="C166" t="n">
        <v>110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SKBNNLMR78X72X06-CPC</t>
        </is>
      </c>
      <c r="C167" t="n">
        <v>120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12</v>
      </c>
      <c r="B168" t="inlineStr">
        <is>
          <t>SKBNNLMR78X72X06-CPC</t>
        </is>
      </c>
      <c r="C168" t="n">
        <v>130</v>
      </c>
      <c r="D168" t="inlineStr">
        <is>
          <t>RMI-PVC-50</t>
        </is>
      </c>
      <c r="E168" t="inlineStr">
        <is>
          <t>KGS</t>
        </is>
      </c>
      <c r="F168" t="n">
        <v>0.601</v>
      </c>
      <c r="G168" t="inlineStr">
        <is>
          <t>CBEWIP</t>
        </is>
      </c>
    </row>
    <row r="169">
      <c r="A169" t="n">
        <v>12</v>
      </c>
      <c r="B169" t="inlineStr">
        <is>
          <t>SKBNNLMR78X72X06-CPC</t>
        </is>
      </c>
      <c r="C169" t="n">
        <v>140</v>
      </c>
      <c r="D169" t="inlineStr">
        <is>
          <t>17D-PU-FOAM-77.50X71.50X10MM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72"/>
  <sheetViews>
    <sheetView zoomScale="85" zoomScaleNormal="85" workbookViewId="0">
      <selection activeCell="AM8" sqref="AM8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42578125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6" t="inlineStr">
        <is>
          <t>Rec.No</t>
        </is>
      </c>
      <c r="B1" s="47" t="inlineStr">
        <is>
          <t>"Edit Product Structure"</t>
        </is>
      </c>
      <c r="C1" s="50" t="n"/>
      <c r="D1" s="50" t="n"/>
      <c r="E1" s="50" t="n"/>
      <c r="F1" s="50" t="n"/>
      <c r="G1" s="50" t="n"/>
      <c r="H1" s="50" t="n"/>
      <c r="I1" s="50" t="n"/>
      <c r="J1" s="50" t="n"/>
      <c r="K1" s="50" t="n"/>
      <c r="L1" s="51" t="n"/>
      <c r="M1" s="48" t="inlineStr">
        <is>
          <t>Component Details-"Edit Product Structure"</t>
        </is>
      </c>
      <c r="N1" s="50" t="n"/>
      <c r="O1" s="50" t="n"/>
      <c r="P1" s="50" t="n"/>
      <c r="Q1" s="50" t="n"/>
      <c r="R1" s="50" t="n"/>
      <c r="S1" s="50" t="n"/>
      <c r="T1" s="50" t="n"/>
      <c r="U1" s="50" t="n"/>
      <c r="V1" s="50" t="n"/>
      <c r="W1" s="50" t="n"/>
      <c r="X1" s="50" t="n"/>
      <c r="Y1" s="50" t="n"/>
      <c r="Z1" s="50" t="n"/>
      <c r="AA1" s="50" t="n"/>
      <c r="AB1" s="50" t="n"/>
      <c r="AC1" s="50" t="n"/>
      <c r="AD1" s="50" t="n"/>
      <c r="AE1" s="50" t="n"/>
      <c r="AF1" s="50" t="n"/>
      <c r="AG1" s="50" t="n"/>
      <c r="AH1" s="50" t="n"/>
      <c r="AI1" s="50" t="n"/>
      <c r="AJ1" s="50" t="n"/>
      <c r="AK1" s="50" t="n"/>
      <c r="AL1" s="51" t="n"/>
    </row>
    <row r="2">
      <c r="A2" s="52" t="n"/>
      <c r="B2" s="47" t="inlineStr">
        <is>
          <t>Combo</t>
        </is>
      </c>
      <c r="C2" s="47" t="inlineStr">
        <is>
          <t>EDIT</t>
        </is>
      </c>
      <c r="D2" s="47" t="inlineStr">
        <is>
          <t>Edit</t>
        </is>
      </c>
      <c r="E2" s="47" t="inlineStr">
        <is>
          <t>EDIT</t>
        </is>
      </c>
      <c r="F2" s="47" t="inlineStr">
        <is>
          <t>Edit</t>
        </is>
      </c>
      <c r="G2" s="47" t="inlineStr">
        <is>
          <t>Combo</t>
        </is>
      </c>
      <c r="H2" s="47" t="inlineStr">
        <is>
          <t>Edit</t>
        </is>
      </c>
      <c r="I2" s="47" t="inlineStr">
        <is>
          <t>Edit</t>
        </is>
      </c>
      <c r="J2" s="47" t="inlineStr">
        <is>
          <t>Edit</t>
        </is>
      </c>
      <c r="K2" s="47" t="inlineStr">
        <is>
          <t>Edit</t>
        </is>
      </c>
      <c r="L2" s="47" t="inlineStr">
        <is>
          <t>Combo</t>
        </is>
      </c>
      <c r="M2" s="48" t="inlineStr">
        <is>
          <t>EditBox</t>
        </is>
      </c>
      <c r="N2" s="28" t="inlineStr">
        <is>
          <t>EditBox</t>
        </is>
      </c>
      <c r="O2" s="48" t="inlineStr">
        <is>
          <t>EditBox</t>
        </is>
      </c>
      <c r="P2" s="48" t="inlineStr">
        <is>
          <t>DisplayOnly</t>
        </is>
      </c>
      <c r="Q2" s="48" t="inlineStr">
        <is>
          <t>EditBox</t>
        </is>
      </c>
      <c r="R2" s="48" t="inlineStr">
        <is>
          <t>DisplayOnly</t>
        </is>
      </c>
      <c r="S2" s="48" t="inlineStr">
        <is>
          <t>EditBox</t>
        </is>
      </c>
      <c r="T2" s="48" t="inlineStr">
        <is>
          <t>EditBox</t>
        </is>
      </c>
      <c r="U2" s="48" t="inlineStr">
        <is>
          <t>DisplayOnly</t>
        </is>
      </c>
      <c r="V2" s="48" t="inlineStr">
        <is>
          <t>EditBox</t>
        </is>
      </c>
      <c r="W2" s="48" t="inlineStr">
        <is>
          <t>EditBox</t>
        </is>
      </c>
      <c r="X2" s="48" t="inlineStr">
        <is>
          <t>EditBox</t>
        </is>
      </c>
      <c r="Y2" s="48" t="inlineStr">
        <is>
          <t>DisplayOnly</t>
        </is>
      </c>
      <c r="Z2" s="48" t="inlineStr">
        <is>
          <t>ComboBox</t>
        </is>
      </c>
      <c r="AA2" s="48" t="inlineStr">
        <is>
          <t>EditBox</t>
        </is>
      </c>
      <c r="AB2" s="48" t="inlineStr">
        <is>
          <t>EditBox</t>
        </is>
      </c>
      <c r="AC2" s="48" t="inlineStr">
        <is>
          <t>EditBox</t>
        </is>
      </c>
      <c r="AD2" s="48" t="inlineStr">
        <is>
          <t>EditBox</t>
        </is>
      </c>
      <c r="AE2" s="48" t="inlineStr">
        <is>
          <t>EditBox</t>
        </is>
      </c>
      <c r="AF2" s="48" t="inlineStr">
        <is>
          <t>EditBox</t>
        </is>
      </c>
      <c r="AG2" s="48" t="inlineStr">
        <is>
          <t>ComboBox</t>
        </is>
      </c>
      <c r="AH2" s="48" t="inlineStr">
        <is>
          <t>ComboBox</t>
        </is>
      </c>
      <c r="AI2" s="48" t="inlineStr">
        <is>
          <t>ComboBox</t>
        </is>
      </c>
      <c r="AJ2" s="48" t="inlineStr">
        <is>
          <t>EditBox</t>
        </is>
      </c>
      <c r="AK2" s="48" t="inlineStr">
        <is>
          <t>EditBox</t>
        </is>
      </c>
      <c r="AL2" s="48" t="inlineStr">
        <is>
          <t>EditBox</t>
        </is>
      </c>
    </row>
    <row r="3">
      <c r="A3" s="52" t="n"/>
      <c r="B3" s="47" t="inlineStr">
        <is>
          <t>String(25)</t>
        </is>
      </c>
      <c r="C3" s="47" t="inlineStr">
        <is>
          <t>String(32)</t>
        </is>
      </c>
      <c r="D3" s="47" t="inlineStr">
        <is>
          <t>String(1000)</t>
        </is>
      </c>
      <c r="E3" s="47" t="inlineStr">
        <is>
          <t>String(32)</t>
        </is>
      </c>
      <c r="F3" s="47" t="inlineStr">
        <is>
          <t>String(8)</t>
        </is>
      </c>
      <c r="G3" s="47" t="inlineStr">
        <is>
          <t>String(6)</t>
        </is>
      </c>
      <c r="H3" s="47" t="inlineStr">
        <is>
          <t>String(10)</t>
        </is>
      </c>
      <c r="I3" s="47" t="inlineStr">
        <is>
          <t>Numeric(29)</t>
        </is>
      </c>
      <c r="J3" s="47" t="inlineStr">
        <is>
          <t>String(32)</t>
        </is>
      </c>
      <c r="K3" s="47" t="inlineStr">
        <is>
          <t>String(32)</t>
        </is>
      </c>
      <c r="L3" s="47" t="inlineStr">
        <is>
          <t>String(20)</t>
        </is>
      </c>
      <c r="M3" s="48" t="inlineStr">
        <is>
          <t>Integer(4)</t>
        </is>
      </c>
      <c r="N3" s="28" t="inlineStr">
        <is>
          <t>String(32)</t>
        </is>
      </c>
      <c r="O3" s="48" t="inlineStr">
        <is>
          <t>String(8)</t>
        </is>
      </c>
      <c r="P3" s="48" t="inlineStr">
        <is>
          <t>String(150)</t>
        </is>
      </c>
      <c r="Q3" s="48" t="inlineStr">
        <is>
          <t>Numeric(29)</t>
        </is>
      </c>
      <c r="R3" s="48" t="inlineStr">
        <is>
          <t>String(10)</t>
        </is>
      </c>
      <c r="S3" s="48" t="inlineStr">
        <is>
          <t>Numeric(10)</t>
        </is>
      </c>
      <c r="T3" s="48" t="inlineStr">
        <is>
          <t>Integer(4)</t>
        </is>
      </c>
      <c r="U3" s="48" t="inlineStr">
        <is>
          <t>String(16)</t>
        </is>
      </c>
      <c r="V3" s="48" t="inlineStr">
        <is>
          <t>String(10)</t>
        </is>
      </c>
      <c r="W3" s="48" t="inlineStr">
        <is>
          <t>Numeric(29)</t>
        </is>
      </c>
      <c r="X3" s="48" t="inlineStr">
        <is>
          <t>Numeric(29)</t>
        </is>
      </c>
      <c r="Y3" s="48" t="inlineStr">
        <is>
          <t>String(25)</t>
        </is>
      </c>
      <c r="Z3" s="48" t="inlineStr">
        <is>
          <t>String(20)</t>
        </is>
      </c>
      <c r="AA3" s="48" t="inlineStr">
        <is>
          <t>Date(11)</t>
        </is>
      </c>
      <c r="AB3" s="48" t="inlineStr">
        <is>
          <t>Date(11)</t>
        </is>
      </c>
      <c r="AC3" s="48" t="inlineStr">
        <is>
          <t>Numeric(29)</t>
        </is>
      </c>
      <c r="AD3" s="48" t="inlineStr">
        <is>
          <t>Numeric(29)</t>
        </is>
      </c>
      <c r="AE3" s="48" t="inlineStr">
        <is>
          <t>String(16)</t>
        </is>
      </c>
      <c r="AF3" s="48" t="inlineStr">
        <is>
          <t>Numeric(10)</t>
        </is>
      </c>
      <c r="AG3" s="48" t="inlineStr">
        <is>
          <t>String(25)</t>
        </is>
      </c>
      <c r="AH3" s="48" t="inlineStr">
        <is>
          <t>String(20)</t>
        </is>
      </c>
      <c r="AI3" s="48" t="inlineStr">
        <is>
          <t>String(20)</t>
        </is>
      </c>
      <c r="AJ3" s="48" t="inlineStr">
        <is>
          <t>String(32)</t>
        </is>
      </c>
      <c r="AK3" s="48" t="inlineStr">
        <is>
          <t>String(8)</t>
        </is>
      </c>
      <c r="AL3" s="48" t="inlineStr">
        <is>
          <t>String(80)</t>
        </is>
      </c>
    </row>
    <row r="4">
      <c r="A4" s="53" t="n"/>
      <c r="B4" s="29" t="inlineStr">
        <is>
          <t>Status</t>
        </is>
      </c>
      <c r="C4" s="29" t="inlineStr">
        <is>
          <t>PS No.</t>
        </is>
      </c>
      <c r="D4" s="47" t="inlineStr">
        <is>
          <t>PS Desc.</t>
        </is>
      </c>
      <c r="E4" s="29" t="inlineStr">
        <is>
          <t>Item Code</t>
        </is>
      </c>
      <c r="F4" s="47" t="inlineStr">
        <is>
          <t>Variant Code</t>
        </is>
      </c>
      <c r="G4" s="29" t="inlineStr">
        <is>
          <t>Maintained By</t>
        </is>
      </c>
      <c r="H4" s="29" t="inlineStr">
        <is>
          <t>Warehouse Code</t>
        </is>
      </c>
      <c r="I4" s="29" t="inlineStr">
        <is>
          <t>Parent Qty.</t>
        </is>
      </c>
      <c r="J4" s="47" t="inlineStr">
        <is>
          <t>Process Plan No.</t>
        </is>
      </c>
      <c r="K4" s="47" t="inlineStr">
        <is>
          <t>Bill Of Resource</t>
        </is>
      </c>
      <c r="L4" s="47" t="inlineStr">
        <is>
          <t>Default For</t>
        </is>
      </c>
      <c r="M4" s="30" t="inlineStr">
        <is>
          <t>PS Seq.</t>
        </is>
      </c>
      <c r="N4" s="31" t="inlineStr">
        <is>
          <t>Item Code</t>
        </is>
      </c>
      <c r="O4" s="48" t="inlineStr">
        <is>
          <t>Variant Code</t>
        </is>
      </c>
      <c r="P4" s="48" t="inlineStr">
        <is>
          <t>Desc.</t>
        </is>
      </c>
      <c r="Q4" s="48" t="inlineStr">
        <is>
          <t>Qty.</t>
        </is>
      </c>
      <c r="R4" s="48" t="inlineStr">
        <is>
          <t>UOM</t>
        </is>
      </c>
      <c r="S4" s="48" t="inlineStr">
        <is>
          <t>Scrap %</t>
        </is>
      </c>
      <c r="T4" s="48" t="inlineStr">
        <is>
          <t>PP Seq.</t>
        </is>
      </c>
      <c r="U4" s="48" t="inlineStr">
        <is>
          <t>Plant</t>
        </is>
      </c>
      <c r="V4" s="48" t="inlineStr">
        <is>
          <t>Warehouse Code</t>
        </is>
      </c>
      <c r="W4" s="48" t="inlineStr">
        <is>
          <t>Setup Qty.</t>
        </is>
      </c>
      <c r="X4" s="48" t="inlineStr">
        <is>
          <t>Batch Qty.</t>
        </is>
      </c>
      <c r="Y4" s="48" t="inlineStr">
        <is>
          <t>Item Type</t>
        </is>
      </c>
      <c r="Z4" s="48" t="inlineStr">
        <is>
          <t>I/O</t>
        </is>
      </c>
      <c r="AA4" s="48" t="inlineStr">
        <is>
          <t>Valid From</t>
        </is>
      </c>
      <c r="AB4" s="48" t="inlineStr">
        <is>
          <t>Valid To</t>
        </is>
      </c>
      <c r="AC4" s="48" t="inlineStr">
        <is>
          <t>Min. Qty.</t>
        </is>
      </c>
      <c r="AD4" s="48" t="inlineStr">
        <is>
          <t>Max. Qty.</t>
        </is>
      </c>
      <c r="AE4" s="48" t="inlineStr">
        <is>
          <t>Ref. Designator</t>
        </is>
      </c>
      <c r="AF4" s="48" t="inlineStr">
        <is>
          <t>Lead Time Offset</t>
        </is>
      </c>
      <c r="AG4" s="48" t="inlineStr">
        <is>
          <t>Stock Status</t>
        </is>
      </c>
      <c r="AH4" s="48" t="inlineStr">
        <is>
          <t>Critical</t>
        </is>
      </c>
      <c r="AI4" s="48" t="inlineStr">
        <is>
          <t>Use-Up Option</t>
        </is>
      </c>
      <c r="AJ4" s="48" t="inlineStr">
        <is>
          <t>Repl. Item Code</t>
        </is>
      </c>
      <c r="AK4" s="48" t="inlineStr">
        <is>
          <t>Repl. Variant Code</t>
        </is>
      </c>
      <c r="AL4" s="48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SKBNNLDB75X36X06-CPC</t>
        </is>
      </c>
      <c r="D5" s="43" t="n"/>
      <c r="E5" s="43" t="inlineStr">
        <is>
          <t>SKBNNLDB75X36X06-CPC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OEBOXBNSR74.50X35.50X120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SKBNNLDB75X36X06-CPC</t>
        </is>
      </c>
      <c r="D6" s="43" t="n"/>
      <c r="E6" s="43" t="inlineStr">
        <is>
          <t>SKBNNLDB75X36X06-CPC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RML-POLY-GUM</t>
        </is>
      </c>
      <c r="O6" s="43" t="n"/>
      <c r="P6" s="43" t="n"/>
      <c r="Q6" s="43" t="n">
        <v>0.393</v>
      </c>
      <c r="R6" s="43" t="inlineStr">
        <is>
          <t>LTR</t>
        </is>
      </c>
      <c r="S6" s="43" t="n"/>
      <c r="T6" s="43" t="n">
        <v>10</v>
      </c>
      <c r="U6" s="43" t="n"/>
      <c r="V6" s="43" t="inlineStr">
        <is>
          <t>CBEWIP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SKBNNLDB75X36X06-CPC</t>
        </is>
      </c>
      <c r="D7" s="43" t="n"/>
      <c r="E7" s="43" t="inlineStr">
        <is>
          <t>SKBNNLDB75X36X06-CPC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SFG-SPKDB-ONL-QUILT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SKBNNLDB75X36X06-CPC</t>
        </is>
      </c>
      <c r="D8" s="43" t="n"/>
      <c r="E8" s="43" t="inlineStr">
        <is>
          <t>SKBNNLDB75X36X06-CPC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SFG-SPKDB-BP</t>
        </is>
      </c>
      <c r="O8" s="43" t="n"/>
      <c r="P8" s="43" t="n"/>
      <c r="Q8" s="43" t="n">
        <v>0.9399999999999999</v>
      </c>
      <c r="R8" s="43" t="inlineStr">
        <is>
          <t>MTR</t>
        </is>
      </c>
      <c r="S8" s="43" t="n"/>
      <c r="T8" s="43" t="n">
        <v>10</v>
      </c>
      <c r="U8" s="43" t="n"/>
      <c r="V8" s="43" t="inlineStr">
        <is>
          <t>CBESFG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SKBNNLDB75X36X06-CPC</t>
        </is>
      </c>
      <c r="D9" s="43" t="n"/>
      <c r="E9" s="43" t="inlineStr">
        <is>
          <t>SKBNNLDB75X36X06-CPC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0.122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SKBNNLDB75X36X06-CPC</t>
        </is>
      </c>
      <c r="D10" s="43" t="n"/>
      <c r="E10" s="43" t="inlineStr">
        <is>
          <t>SKBNNLDB75X36X06-CPC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114.3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SKBNNLDB75X36X06-CPC</t>
        </is>
      </c>
      <c r="D11" s="43" t="n"/>
      <c r="E11" s="43" t="inlineStr">
        <is>
          <t>SKBNNLDB75X36X06-CPC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RML-EDTAPE-BLUE</t>
        </is>
      </c>
      <c r="O11" s="43" t="n"/>
      <c r="P11" s="43" t="n"/>
      <c r="Q11" s="43" t="n">
        <v>11.684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SKBNNLDB75X36X06-CPC</t>
        </is>
      </c>
      <c r="D12" s="43" t="n"/>
      <c r="E12" s="43" t="inlineStr">
        <is>
          <t>SKBNNLDB75X36X06-CPC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RM-THRD-TKT40-BLACK</t>
        </is>
      </c>
      <c r="O12" s="43" t="n"/>
      <c r="P12" s="43" t="n"/>
      <c r="Q12" s="43" t="n">
        <v>71.857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SKBNNLDB75X36X06-CPC</t>
        </is>
      </c>
      <c r="D13" s="43" t="n"/>
      <c r="E13" s="43" t="inlineStr">
        <is>
          <t>SKBNNLDB75X36X06-CPC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RML-CS-DRM-SILV-7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SKBNNLDB75X36X06-CPC</t>
        </is>
      </c>
      <c r="D14" s="43" t="n"/>
      <c r="E14" s="43" t="inlineStr">
        <is>
          <t>SKBNNLDB75X36X06-CPC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SKBNNLDB75X36X06-CPC</t>
        </is>
      </c>
      <c r="D15" s="43" t="n"/>
      <c r="E15" s="43" t="inlineStr">
        <is>
          <t>SKBNNLDB75X36X06-CPC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SKBNNLDB75X36X06-CPC</t>
        </is>
      </c>
      <c r="D16" s="43" t="n"/>
      <c r="E16" s="43" t="inlineStr">
        <is>
          <t>SKBNNLDB75X36X06-CPC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SKBNNLDB75X36X06-CPC</t>
        </is>
      </c>
      <c r="D17" s="43" t="n"/>
      <c r="E17" s="43" t="inlineStr">
        <is>
          <t>SKBNNLDB75X36X06-CPC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SKBNNLDB75X36X06-CPC</t>
        </is>
      </c>
      <c r="D18" s="43" t="n"/>
      <c r="E18" s="43" t="inlineStr">
        <is>
          <t>SKBNNLDB75X36X06-CPC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17D-PU-FOAM-74.50X35.50X10MM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SKBNNLDB75X72X06-CPC</t>
        </is>
      </c>
      <c r="D19" s="43" t="n"/>
      <c r="E19" s="43" t="inlineStr">
        <is>
          <t>SKBNNLDB75X72X06-CPC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OEBOXBNSR74.50X71.50X120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SKBNNLDB75X72X06-CPC</t>
        </is>
      </c>
      <c r="D20" s="43" t="n"/>
      <c r="E20" s="43" t="inlineStr">
        <is>
          <t>SKBNNLDB75X72X06-CPC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RML-POLY-GUM</t>
        </is>
      </c>
      <c r="O20" s="43" t="n"/>
      <c r="P20" s="43" t="n"/>
      <c r="Q20" s="43" t="n">
        <v>0.798</v>
      </c>
      <c r="R20" s="43" t="inlineStr">
        <is>
          <t>LTR</t>
        </is>
      </c>
      <c r="S20" s="43" t="n"/>
      <c r="T20" s="43" t="n">
        <v>10</v>
      </c>
      <c r="U20" s="43" t="n"/>
      <c r="V20" s="43" t="inlineStr">
        <is>
          <t>CBEWIP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SKBNNLDB75X72X06-CPC</t>
        </is>
      </c>
      <c r="D21" s="43" t="n"/>
      <c r="E21" s="43" t="inlineStr">
        <is>
          <t>SKBNNLDB75X72X06-CPC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SFG-SPKDB-ONL-QUILT</t>
        </is>
      </c>
      <c r="O21" s="43" t="n"/>
      <c r="P21" s="43" t="n"/>
      <c r="Q21" s="43" t="n">
        <v>1.854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SKBNNLDB75X72X06-CPC</t>
        </is>
      </c>
      <c r="D22" s="43" t="n"/>
      <c r="E22" s="43" t="inlineStr">
        <is>
          <t>SKBNNLDB75X72X06-CPC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SFG-SPKDB-BP</t>
        </is>
      </c>
      <c r="O22" s="43" t="n"/>
      <c r="P22" s="43" t="n"/>
      <c r="Q22" s="43" t="n">
        <v>1.854</v>
      </c>
      <c r="R22" s="43" t="inlineStr">
        <is>
          <t>MTR</t>
        </is>
      </c>
      <c r="S22" s="43" t="n"/>
      <c r="T22" s="43" t="n">
        <v>10</v>
      </c>
      <c r="U22" s="43" t="n"/>
      <c r="V22" s="43" t="inlineStr">
        <is>
          <t>CBESFG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SKBNNLDB75X72X06-CPC</t>
        </is>
      </c>
      <c r="D23" s="43" t="n"/>
      <c r="E23" s="43" t="inlineStr">
        <is>
          <t>SKBNNLDB75X72X06-CPC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0.161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SKBNNLDB75X72X06-CPC</t>
        </is>
      </c>
      <c r="D24" s="43" t="n"/>
      <c r="E24" s="43" t="inlineStr">
        <is>
          <t>SKBNNLDB75X72X06-CPC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150.876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SKBNNLDB75X72X06-CPC</t>
        </is>
      </c>
      <c r="D25" s="43" t="n"/>
      <c r="E25" s="43" t="inlineStr">
        <is>
          <t>SKBNNLDB75X72X06-CPC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RML-EDTAPE-BLUE</t>
        </is>
      </c>
      <c r="O25" s="43" t="n"/>
      <c r="P25" s="43" t="n"/>
      <c r="Q25" s="43" t="n">
        <v>15.342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SKBNNLDB75X72X06-CPC</t>
        </is>
      </c>
      <c r="D26" s="43" t="n"/>
      <c r="E26" s="43" t="inlineStr">
        <is>
          <t>SKBNNLDB75X72X06-CPC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RM-THRD-TKT40-BLACK</t>
        </is>
      </c>
      <c r="O26" s="43" t="n"/>
      <c r="P26" s="43" t="n"/>
      <c r="Q26" s="43" t="n">
        <v>94.351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SKBNNLDB75X72X06-CPC</t>
        </is>
      </c>
      <c r="D27" s="43" t="n"/>
      <c r="E27" s="43" t="inlineStr">
        <is>
          <t>SKBNNLDB75X72X06-CPC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RML-CS-DRM-SILV-7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SKBNNLDB75X72X06-CPC</t>
        </is>
      </c>
      <c r="D28" s="43" t="n"/>
      <c r="E28" s="43" t="inlineStr">
        <is>
          <t>SKBNNLDB75X72X06-CPC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SKBNNLDB75X72X06-CPC</t>
        </is>
      </c>
      <c r="D29" s="43" t="n"/>
      <c r="E29" s="43" t="inlineStr">
        <is>
          <t>SKBNNLDB75X72X06-CPC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SKBNNLDB75X72X06-CPC</t>
        </is>
      </c>
      <c r="D30" s="43" t="n"/>
      <c r="E30" s="43" t="inlineStr">
        <is>
          <t>SKBNNLDB75X72X06-CPC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SKBNNLDB75X72X06-CPC</t>
        </is>
      </c>
      <c r="D31" s="43" t="n"/>
      <c r="E31" s="43" t="inlineStr">
        <is>
          <t>SKBNNLDB75X72X06-CPC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0.601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SKBNNLDB75X72X06-CPC</t>
        </is>
      </c>
      <c r="D32" s="43" t="n"/>
      <c r="E32" s="43" t="inlineStr">
        <is>
          <t>SKBNNLDB75X72X06-CPC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17D-PU-FOAM-74.50X71.50X10MM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SKBNNLDB78X60X06-CPC</t>
        </is>
      </c>
      <c r="D33" s="43" t="n"/>
      <c r="E33" s="43" t="inlineStr">
        <is>
          <t>SKBNNLDB78X60X06-CPC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OEBOXBNSR77.50X59.50X120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SKBNNLDB78X60X06-CPC</t>
        </is>
      </c>
      <c r="D34" s="43" t="n"/>
      <c r="E34" s="43" t="inlineStr">
        <is>
          <t>SKBNNLDB78X60X06-CPC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RML-POLY-GUM</t>
        </is>
      </c>
      <c r="O34" s="43" t="n"/>
      <c r="P34" s="43" t="n"/>
      <c r="Q34" s="43" t="n">
        <v>0.6899999999999999</v>
      </c>
      <c r="R34" s="43" t="inlineStr">
        <is>
          <t>LTR</t>
        </is>
      </c>
      <c r="S34" s="43" t="n"/>
      <c r="T34" s="43" t="n">
        <v>10</v>
      </c>
      <c r="U34" s="43" t="n"/>
      <c r="V34" s="43" t="inlineStr">
        <is>
          <t>CBEWIP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SKBNNLDB78X60X06-CPC</t>
        </is>
      </c>
      <c r="D35" s="43" t="n"/>
      <c r="E35" s="43" t="inlineStr">
        <is>
          <t>SKBNNLDB78X60X06-CPC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SFG-SPKDB-ONL-QUILT</t>
        </is>
      </c>
      <c r="O35" s="43" t="n"/>
      <c r="P35" s="43" t="n"/>
      <c r="Q35" s="43" t="n">
        <v>1.549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SKBNNLDB78X60X06-CPC</t>
        </is>
      </c>
      <c r="D36" s="43" t="n"/>
      <c r="E36" s="43" t="inlineStr">
        <is>
          <t>SKBNNLDB78X60X06-CPC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SFG-SPKDB-BP</t>
        </is>
      </c>
      <c r="O36" s="43" t="n"/>
      <c r="P36" s="43" t="n"/>
      <c r="Q36" s="43" t="n">
        <v>1.549</v>
      </c>
      <c r="R36" s="43" t="inlineStr">
        <is>
          <t>MTR</t>
        </is>
      </c>
      <c r="S36" s="43" t="n"/>
      <c r="T36" s="43" t="n">
        <v>10</v>
      </c>
      <c r="U36" s="43" t="n"/>
      <c r="V36" s="43" t="inlineStr">
        <is>
          <t>CBESFG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SKBNNLDB78X60X06-CPC</t>
        </is>
      </c>
      <c r="D37" s="43" t="n"/>
      <c r="E37" s="43" t="inlineStr">
        <is>
          <t>SKBNNLDB78X60X06-CPC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0.152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SKBNNLDB78X60X06-CPC</t>
        </is>
      </c>
      <c r="D38" s="43" t="n"/>
      <c r="E38" s="43" t="inlineStr">
        <is>
          <t>SKBNNLDB78X60X06-CPC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141.732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SKBNNLDB78X60X06-CPC</t>
        </is>
      </c>
      <c r="D39" s="43" t="n"/>
      <c r="E39" s="43" t="inlineStr">
        <is>
          <t>SKBNNLDB78X60X06-CPC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RML-EDTAPE-BLUE</t>
        </is>
      </c>
      <c r="O39" s="43" t="n"/>
      <c r="P39" s="43" t="n"/>
      <c r="Q39" s="43" t="n">
        <v>14.427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SKBNNLDB78X60X06-CPC</t>
        </is>
      </c>
      <c r="D40" s="43" t="n"/>
      <c r="E40" s="43" t="inlineStr">
        <is>
          <t>SKBNNLDB78X60X06-CPC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RM-THRD-TKT40-BLACK</t>
        </is>
      </c>
      <c r="O40" s="43" t="n"/>
      <c r="P40" s="43" t="n"/>
      <c r="Q40" s="43" t="n">
        <v>88.727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SKBNNLDB78X60X06-CPC</t>
        </is>
      </c>
      <c r="D41" s="43" t="n"/>
      <c r="E41" s="43" t="inlineStr">
        <is>
          <t>SKBNNLDB78X60X06-CPC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RML-CS-DRM-SILV-7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SKBNNLDB78X60X06-CPC</t>
        </is>
      </c>
      <c r="D42" s="43" t="n"/>
      <c r="E42" s="43" t="inlineStr">
        <is>
          <t>SKBNNLDB78X60X06-CPC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SKBNNLDB78X60X06-CPC</t>
        </is>
      </c>
      <c r="D43" s="43" t="n"/>
      <c r="E43" s="43" t="inlineStr">
        <is>
          <t>SKBNNLDB78X60X06-CPC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SKBNNLDB78X60X06-CPC</t>
        </is>
      </c>
      <c r="D44" s="43" t="n"/>
      <c r="E44" s="43" t="inlineStr">
        <is>
          <t>SKBNNLDB78X60X06-CPC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SKBNNLDB78X60X06-CPC</t>
        </is>
      </c>
      <c r="D45" s="43" t="n"/>
      <c r="E45" s="43" t="inlineStr">
        <is>
          <t>SKBNNLDB78X60X06-CPC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0.51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SKBNNLDB78X60X06-CPC</t>
        </is>
      </c>
      <c r="D46" s="43" t="n"/>
      <c r="E46" s="43" t="inlineStr">
        <is>
          <t>SKBNNLDB78X60X06-CPC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17D-PU-FOAM-77.50X59.50X10MM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SKBNNLDB78X72X06-CPC</t>
        </is>
      </c>
      <c r="D47" s="43" t="n"/>
      <c r="E47" s="43" t="inlineStr">
        <is>
          <t>SKBNNLDB78X72X06-CPC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OEBOXBNSR77.50X71.50X120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SKBNNLDB78X72X06-CPC</t>
        </is>
      </c>
      <c r="D48" s="43" t="n"/>
      <c r="E48" s="43" t="inlineStr">
        <is>
          <t>SKBNNLDB78X72X06-CPC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RML-POLY-GUM</t>
        </is>
      </c>
      <c r="O48" s="43" t="n"/>
      <c r="P48" s="43" t="n"/>
      <c r="Q48" s="43" t="n">
        <v>0.83</v>
      </c>
      <c r="R48" s="43" t="inlineStr">
        <is>
          <t>LTR</t>
        </is>
      </c>
      <c r="S48" s="43" t="n"/>
      <c r="T48" s="43" t="n">
        <v>10</v>
      </c>
      <c r="U48" s="43" t="n"/>
      <c r="V48" s="43" t="inlineStr">
        <is>
          <t>CBEWIP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SKBNNLDB78X72X06-CPC</t>
        </is>
      </c>
      <c r="D49" s="43" t="n"/>
      <c r="E49" s="43" t="inlineStr">
        <is>
          <t>SKBNNLDB78X72X06-CPC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SFG-SPKDB-ONL-QUILT</t>
        </is>
      </c>
      <c r="O49" s="43" t="n"/>
      <c r="P49" s="43" t="n"/>
      <c r="Q49" s="43" t="n">
        <v>1.854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SKBNNLDB78X72X06-CPC</t>
        </is>
      </c>
      <c r="D50" s="43" t="n"/>
      <c r="E50" s="43" t="inlineStr">
        <is>
          <t>SKBNNLDB78X72X06-CPC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SFG-SPKDB-BP</t>
        </is>
      </c>
      <c r="O50" s="43" t="n"/>
      <c r="P50" s="43" t="n"/>
      <c r="Q50" s="43" t="n">
        <v>1.854</v>
      </c>
      <c r="R50" s="43" t="inlineStr">
        <is>
          <t>MTR</t>
        </is>
      </c>
      <c r="S50" s="43" t="n"/>
      <c r="T50" s="43" t="n">
        <v>10</v>
      </c>
      <c r="U50" s="43" t="n"/>
      <c r="V50" s="43" t="inlineStr">
        <is>
          <t>CBESFG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SKBNNLDB78X72X06-CPC</t>
        </is>
      </c>
      <c r="D51" s="43" t="n"/>
      <c r="E51" s="43" t="inlineStr">
        <is>
          <t>SKBNNLDB78X72X06-CPC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0.165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SKBNNLDB78X72X06-CPC</t>
        </is>
      </c>
      <c r="D52" s="43" t="n"/>
      <c r="E52" s="43" t="inlineStr">
        <is>
          <t>SKBNNLDB78X72X06-CPC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153.924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SKBNNLDB78X72X06-CPC</t>
        </is>
      </c>
      <c r="D53" s="43" t="n"/>
      <c r="E53" s="43" t="inlineStr">
        <is>
          <t>SKBNNLDB78X72X06-CPC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RML-EDTAPE-BLUE</t>
        </is>
      </c>
      <c r="O53" s="43" t="n"/>
      <c r="P53" s="43" t="n"/>
      <c r="Q53" s="43" t="n">
        <v>15.646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SKBNNLDB78X72X06-CPC</t>
        </is>
      </c>
      <c r="D54" s="43" t="n"/>
      <c r="E54" s="43" t="inlineStr">
        <is>
          <t>SKBNNLDB78X72X06-CPC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RM-THRD-TKT40-BLACK</t>
        </is>
      </c>
      <c r="O54" s="43" t="n"/>
      <c r="P54" s="43" t="n"/>
      <c r="Q54" s="43" t="n">
        <v>96.22499999999999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SKBNNLDB78X72X06-CPC</t>
        </is>
      </c>
      <c r="D55" s="43" t="n"/>
      <c r="E55" s="43" t="inlineStr">
        <is>
          <t>SKBNNLDB78X72X06-CPC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RML-CS-DRM-SILV-7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SKBNNLDB78X72X06-CPC</t>
        </is>
      </c>
      <c r="D56" s="43" t="n"/>
      <c r="E56" s="43" t="inlineStr">
        <is>
          <t>SKBNNLDB78X72X06-CPC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SKBNNLDB78X72X06-CPC</t>
        </is>
      </c>
      <c r="D57" s="43" t="n"/>
      <c r="E57" s="43" t="inlineStr">
        <is>
          <t>SKBNNLDB78X72X06-CPC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SKBNNLDB78X72X06-CPC</t>
        </is>
      </c>
      <c r="D58" s="43" t="n"/>
      <c r="E58" s="43" t="inlineStr">
        <is>
          <t>SKBNNLDB78X72X06-CPC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SKBNNLDB78X72X06-CPC</t>
        </is>
      </c>
      <c r="D59" s="43" t="n"/>
      <c r="E59" s="43" t="inlineStr">
        <is>
          <t>SKBNNLDB78X72X06-CPC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0.601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SKBNNLDB78X72X06-CPC</t>
        </is>
      </c>
      <c r="D60" s="43" t="n"/>
      <c r="E60" s="43" t="inlineStr">
        <is>
          <t>SKBNNLDB78X72X06-CPC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17D-PU-FOAM-77.50X71.50X10MM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SKBNNLMR72X36X06-CPC</t>
        </is>
      </c>
      <c r="D61" s="43" t="n"/>
      <c r="E61" s="43" t="inlineStr">
        <is>
          <t>SKBNNLMR72X36X06-CPC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OEBOXBNSR71.50X35.50X120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SKBNNLMR72X36X06-CPC</t>
        </is>
      </c>
      <c r="D62" s="43" t="n"/>
      <c r="E62" s="43" t="inlineStr">
        <is>
          <t>SKBNNLMR72X36X06-CPC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RML-POLY-GUM</t>
        </is>
      </c>
      <c r="O62" s="43" t="n"/>
      <c r="P62" s="43" t="n"/>
      <c r="Q62" s="43" t="n">
        <v>0.377</v>
      </c>
      <c r="R62" s="43" t="inlineStr">
        <is>
          <t>LTR</t>
        </is>
      </c>
      <c r="S62" s="43" t="n"/>
      <c r="T62" s="43" t="n">
        <v>10</v>
      </c>
      <c r="U62" s="43" t="n"/>
      <c r="V62" s="43" t="inlineStr">
        <is>
          <t>CBEWIP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SKBNNLMR72X36X06-CPC</t>
        </is>
      </c>
      <c r="D63" s="43" t="n"/>
      <c r="E63" s="43" t="inlineStr">
        <is>
          <t>SKBNNLMR72X36X06-CPC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SFG-SPKMR-ONL-QUILT</t>
        </is>
      </c>
      <c r="O63" s="43" t="n"/>
      <c r="P63" s="43" t="n"/>
      <c r="Q63" s="43" t="n">
        <v>0.9399999999999999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SKBNNLMR72X36X06-CPC</t>
        </is>
      </c>
      <c r="D64" s="43" t="n"/>
      <c r="E64" s="43" t="inlineStr">
        <is>
          <t>SKBNNLMR72X36X06-CPC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SFG-SPKMR-BP</t>
        </is>
      </c>
      <c r="O64" s="43" t="n"/>
      <c r="P64" s="43" t="n"/>
      <c r="Q64" s="43" t="n">
        <v>0.9399999999999999</v>
      </c>
      <c r="R64" s="43" t="inlineStr">
        <is>
          <t>MTR</t>
        </is>
      </c>
      <c r="S64" s="43" t="n"/>
      <c r="T64" s="43" t="n">
        <v>10</v>
      </c>
      <c r="U64" s="43" t="n"/>
      <c r="V64" s="43" t="inlineStr">
        <is>
          <t>CBESFG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SKBNNLMR72X36X06-CPC</t>
        </is>
      </c>
      <c r="D65" s="43" t="n"/>
      <c r="E65" s="43" t="inlineStr">
        <is>
          <t>SKBNNLMR72X36X06-CPC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0.119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SKBNNLMR72X36X06-CPC</t>
        </is>
      </c>
      <c r="D66" s="43" t="n"/>
      <c r="E66" s="43" t="inlineStr">
        <is>
          <t>SKBNNLMR72X36X06-CPC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111.252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SKBNNLMR72X36X06-CPC</t>
        </is>
      </c>
      <c r="D67" s="43" t="n"/>
      <c r="E67" s="43" t="inlineStr">
        <is>
          <t>SKBNNLMR72X36X06-CPC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RML-EDTAPE-MER-KNIT</t>
        </is>
      </c>
      <c r="O67" s="43" t="n"/>
      <c r="P67" s="43" t="n"/>
      <c r="Q67" s="43" t="n">
        <v>11.379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SKBNNLMR72X36X06-CPC</t>
        </is>
      </c>
      <c r="D68" s="43" t="n"/>
      <c r="E68" s="43" t="inlineStr">
        <is>
          <t>SKBNNLMR72X36X06-CPC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RML-THRD-TKT-40MER</t>
        </is>
      </c>
      <c r="O68" s="43" t="n"/>
      <c r="P68" s="43" t="n"/>
      <c r="Q68" s="43" t="n">
        <v>69.982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SKBNNLMR72X36X06-CPC</t>
        </is>
      </c>
      <c r="D69" s="43" t="n"/>
      <c r="E69" s="43" t="inlineStr">
        <is>
          <t>SKBNNLMR72X36X06-CPC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RML-CS-DRM-SILV-7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SKBNNLMR72X36X06-CPC</t>
        </is>
      </c>
      <c r="D70" s="43" t="n"/>
      <c r="E70" s="43" t="inlineStr">
        <is>
          <t>SKBNNLMR72X36X06-CPC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SKBNNLMR72X36X06-CPC</t>
        </is>
      </c>
      <c r="D71" s="43" t="n"/>
      <c r="E71" s="43" t="inlineStr">
        <is>
          <t>SKBNNLMR72X36X06-CPC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SKBNNLMR72X36X06-CPC</t>
        </is>
      </c>
      <c r="D72" s="43" t="n"/>
      <c r="E72" s="43" t="inlineStr">
        <is>
          <t>SKBNNLMR72X36X06-CPC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SKBNNLMR72X36X06-CPC</t>
        </is>
      </c>
      <c r="D73" s="43" t="n"/>
      <c r="E73" s="43" t="inlineStr">
        <is>
          <t>SKBNNLMR72X36X06-CPC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0.33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SKBNNLMR72X36X06-CPC</t>
        </is>
      </c>
      <c r="D74" s="43" t="n"/>
      <c r="E74" s="43" t="inlineStr">
        <is>
          <t>SKBNNLMR72X36X06-CPC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17D-PU-FOAM-71.50X35.50X10MM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SKBNNLMR72X48X06-CPC</t>
        </is>
      </c>
      <c r="D75" s="43" t="n"/>
      <c r="E75" s="43" t="inlineStr">
        <is>
          <t>SKBNNLMR72X48X06-CPC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OEBOXBNSR71.50X47.50X120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SKBNNLMR72X48X06-CPC</t>
        </is>
      </c>
      <c r="D76" s="43" t="n"/>
      <c r="E76" s="43" t="inlineStr">
        <is>
          <t>SKBNNLMR72X48X06-CPC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RML-POLY-GUM</t>
        </is>
      </c>
      <c r="O76" s="43" t="n"/>
      <c r="P76" s="43" t="n"/>
      <c r="Q76" s="43" t="n">
        <v>0.507</v>
      </c>
      <c r="R76" s="43" t="inlineStr">
        <is>
          <t>LTR</t>
        </is>
      </c>
      <c r="S76" s="43" t="n"/>
      <c r="T76" s="43" t="n">
        <v>10</v>
      </c>
      <c r="U76" s="43" t="n"/>
      <c r="V76" s="43" t="inlineStr">
        <is>
          <t>CBEWIP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SKBNNLMR72X48X06-CPC</t>
        </is>
      </c>
      <c r="D77" s="43" t="n"/>
      <c r="E77" s="43" t="inlineStr">
        <is>
          <t>SKBNNLMR72X48X06-CPC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SFG-SPKMR-ONL-QUILT</t>
        </is>
      </c>
      <c r="O77" s="43" t="n"/>
      <c r="P77" s="43" t="n"/>
      <c r="Q77" s="43" t="n">
        <v>1.245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SKBNNLMR72X48X06-CPC</t>
        </is>
      </c>
      <c r="D78" s="43" t="n"/>
      <c r="E78" s="43" t="inlineStr">
        <is>
          <t>SKBNNLMR72X48X06-CPC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SFG-SPKMR-BP</t>
        </is>
      </c>
      <c r="O78" s="43" t="n"/>
      <c r="P78" s="43" t="n"/>
      <c r="Q78" s="43" t="n">
        <v>1.245</v>
      </c>
      <c r="R78" s="43" t="inlineStr">
        <is>
          <t>MTR</t>
        </is>
      </c>
      <c r="S78" s="43" t="n"/>
      <c r="T78" s="43" t="n">
        <v>10</v>
      </c>
      <c r="U78" s="43" t="n"/>
      <c r="V78" s="43" t="inlineStr">
        <is>
          <t>CBESFG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SKBNNLMR72X48X06-CPC</t>
        </is>
      </c>
      <c r="D79" s="43" t="n"/>
      <c r="E79" s="43" t="inlineStr">
        <is>
          <t>SKBNNLMR72X48X06-CPC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0.132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SKBNNLMR72X48X06-CPC</t>
        </is>
      </c>
      <c r="D80" s="43" t="n"/>
      <c r="E80" s="43" t="inlineStr">
        <is>
          <t>SKBNNLMR72X48X06-CPC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123.444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SKBNNLMR72X48X06-CPC</t>
        </is>
      </c>
      <c r="D81" s="43" t="n"/>
      <c r="E81" s="43" t="inlineStr">
        <is>
          <t>SKBNNLMR72X48X06-CPC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RML-EDTAPE-MER-KNIT</t>
        </is>
      </c>
      <c r="O81" s="43" t="n"/>
      <c r="P81" s="43" t="n"/>
      <c r="Q81" s="43" t="n">
        <v>12.598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SKBNNLMR72X48X06-CPC</t>
        </is>
      </c>
      <c r="D82" s="43" t="n"/>
      <c r="E82" s="43" t="inlineStr">
        <is>
          <t>SKBNNLMR72X48X06-CPC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RML-THRD-TKT-40MER</t>
        </is>
      </c>
      <c r="O82" s="43" t="n"/>
      <c r="P82" s="43" t="n"/>
      <c r="Q82" s="43" t="n">
        <v>77.48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SKBNNLMR72X48X06-CPC</t>
        </is>
      </c>
      <c r="D83" s="43" t="n"/>
      <c r="E83" s="43" t="inlineStr">
        <is>
          <t>SKBNNLMR72X48X06-CPC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RML-CS-DRM-SILV-7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SKBNNLMR72X48X06-CPC</t>
        </is>
      </c>
      <c r="D84" s="43" t="n"/>
      <c r="E84" s="43" t="inlineStr">
        <is>
          <t>SKBNNLMR72X48X06-CPC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SKBNNLMR72X48X06-CPC</t>
        </is>
      </c>
      <c r="D85" s="43" t="n"/>
      <c r="E85" s="43" t="inlineStr">
        <is>
          <t>SKBNNLMR72X48X06-CPC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SKBNNLMR72X48X06-CPC</t>
        </is>
      </c>
      <c r="D86" s="43" t="n"/>
      <c r="E86" s="43" t="inlineStr">
        <is>
          <t>SKBNNLMR72X48X06-CPC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SKBNNLMR72X48X06-CPC</t>
        </is>
      </c>
      <c r="D87" s="43" t="n"/>
      <c r="E87" s="43" t="inlineStr">
        <is>
          <t>SKBNNLMR72X48X06-CPC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0.42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SKBNNLMR72X48X06-CPC</t>
        </is>
      </c>
      <c r="D88" s="43" t="n"/>
      <c r="E88" s="43" t="inlineStr">
        <is>
          <t>SKBNNLMR72X48X06-CPC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17D-PU-FOAM-71.50X47.50X10MM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SKBNNLMR75X36X06-CPC</t>
        </is>
      </c>
      <c r="D89" s="43" t="n"/>
      <c r="E89" s="43" t="inlineStr">
        <is>
          <t>SKBNNLMR75X36X06-CPC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OEBOXBNSR74.50X35.50X120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SKBNNLMR75X36X06-CPC</t>
        </is>
      </c>
      <c r="D90" s="43" t="n"/>
      <c r="E90" s="43" t="inlineStr">
        <is>
          <t>SKBNNLMR75X36X06-CPC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RML-POLY-GUM</t>
        </is>
      </c>
      <c r="O90" s="43" t="n"/>
      <c r="P90" s="43" t="n"/>
      <c r="Q90" s="43" t="n">
        <v>0.393</v>
      </c>
      <c r="R90" s="43" t="inlineStr">
        <is>
          <t>LTR</t>
        </is>
      </c>
      <c r="S90" s="43" t="n"/>
      <c r="T90" s="43" t="n">
        <v>10</v>
      </c>
      <c r="U90" s="43" t="n"/>
      <c r="V90" s="43" t="inlineStr">
        <is>
          <t>CBEWIP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SKBNNLMR75X36X06-CPC</t>
        </is>
      </c>
      <c r="D91" s="43" t="n"/>
      <c r="E91" s="43" t="inlineStr">
        <is>
          <t>SKBNNLMR75X36X06-CPC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SFG-SPKMR-ONL-QUILT</t>
        </is>
      </c>
      <c r="O91" s="43" t="n"/>
      <c r="P91" s="43" t="n"/>
      <c r="Q91" s="43" t="n">
        <v>0.9399999999999999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SKBNNLMR75X36X06-CPC</t>
        </is>
      </c>
      <c r="D92" s="43" t="n"/>
      <c r="E92" s="43" t="inlineStr">
        <is>
          <t>SKBNNLMR75X36X06-CPC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SFG-SPKMR-BP</t>
        </is>
      </c>
      <c r="O92" s="43" t="n"/>
      <c r="P92" s="43" t="n"/>
      <c r="Q92" s="43" t="n">
        <v>0.9399999999999999</v>
      </c>
      <c r="R92" s="43" t="inlineStr">
        <is>
          <t>MTR</t>
        </is>
      </c>
      <c r="S92" s="43" t="n"/>
      <c r="T92" s="43" t="n">
        <v>10</v>
      </c>
      <c r="U92" s="43" t="n"/>
      <c r="V92" s="43" t="inlineStr">
        <is>
          <t>CBESFG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SKBNNLMR75X36X06-CPC</t>
        </is>
      </c>
      <c r="D93" s="43" t="n"/>
      <c r="E93" s="43" t="inlineStr">
        <is>
          <t>SKBNNLMR75X36X06-CPC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0.122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SKBNNLMR75X36X06-CPC</t>
        </is>
      </c>
      <c r="D94" s="43" t="n"/>
      <c r="E94" s="43" t="inlineStr">
        <is>
          <t>SKBNNLMR75X36X06-CPC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114.3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SKBNNLMR75X36X06-CPC</t>
        </is>
      </c>
      <c r="D95" s="43" t="n"/>
      <c r="E95" s="43" t="inlineStr">
        <is>
          <t>SKBNNLMR75X36X06-CPC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RML-EDTAPE-MER-KNIT</t>
        </is>
      </c>
      <c r="O95" s="43" t="n"/>
      <c r="P95" s="43" t="n"/>
      <c r="Q95" s="43" t="n">
        <v>11.684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SKBNNLMR75X36X06-CPC</t>
        </is>
      </c>
      <c r="D96" s="43" t="n"/>
      <c r="E96" s="43" t="inlineStr">
        <is>
          <t>SKBNNLMR75X36X06-CPC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RML-THRD-TKT-40MER</t>
        </is>
      </c>
      <c r="O96" s="43" t="n"/>
      <c r="P96" s="43" t="n"/>
      <c r="Q96" s="43" t="n">
        <v>71.857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SKBNNLMR75X36X06-CPC</t>
        </is>
      </c>
      <c r="D97" s="43" t="n"/>
      <c r="E97" s="43" t="inlineStr">
        <is>
          <t>SKBNNLMR75X36X06-CPC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RML-CS-DRM-SILV-7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SKBNNLMR75X36X06-CPC</t>
        </is>
      </c>
      <c r="D98" s="43" t="n"/>
      <c r="E98" s="43" t="inlineStr">
        <is>
          <t>SKBNNLMR75X36X06-CPC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SKBNNLMR75X36X06-CPC</t>
        </is>
      </c>
      <c r="D99" s="43" t="n"/>
      <c r="E99" s="43" t="inlineStr">
        <is>
          <t>SKBNNLMR75X36X06-CPC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SKBNNLMR75X36X06-CPC</t>
        </is>
      </c>
      <c r="D100" s="43" t="n"/>
      <c r="E100" s="43" t="inlineStr">
        <is>
          <t>SKBNNLMR75X36X06-CPC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SKBNNLMR75X36X06-CPC</t>
        </is>
      </c>
      <c r="D101" s="43" t="n"/>
      <c r="E101" s="43" t="inlineStr">
        <is>
          <t>SKBNNLMR75X36X06-CPC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0.33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SKBNNLMR75X36X06-CPC</t>
        </is>
      </c>
      <c r="D102" s="43" t="n"/>
      <c r="E102" s="43" t="inlineStr">
        <is>
          <t>SKBNNLMR75X36X06-CPC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17D-PU-FOAM-74.50X35.50X10MM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SKBNNLMR75X48X06-CPC</t>
        </is>
      </c>
      <c r="D103" s="43" t="n"/>
      <c r="E103" s="43" t="inlineStr">
        <is>
          <t>SKBNNLMR75X48X06-CPC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OEBOXBNSR74.50X47.50X120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SKBNNLMR75X48X06-CPC</t>
        </is>
      </c>
      <c r="D104" s="43" t="n"/>
      <c r="E104" s="43" t="inlineStr">
        <is>
          <t>SKBNNLMR75X48X06-CPC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RML-POLY-GUM</t>
        </is>
      </c>
      <c r="O104" s="43" t="n"/>
      <c r="P104" s="43" t="n"/>
      <c r="Q104" s="43" t="n">
        <v>0.528</v>
      </c>
      <c r="R104" s="43" t="inlineStr">
        <is>
          <t>LTR</t>
        </is>
      </c>
      <c r="S104" s="43" t="n"/>
      <c r="T104" s="43" t="n">
        <v>10</v>
      </c>
      <c r="U104" s="43" t="n"/>
      <c r="V104" s="43" t="inlineStr">
        <is>
          <t>CBEWIP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SKBNNLMR75X48X06-CPC</t>
        </is>
      </c>
      <c r="D105" s="43" t="n"/>
      <c r="E105" s="43" t="inlineStr">
        <is>
          <t>SKBNNLMR75X48X06-CPC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SFG-SPKMR-ONL-QUILT</t>
        </is>
      </c>
      <c r="O105" s="43" t="n"/>
      <c r="P105" s="43" t="n"/>
      <c r="Q105" s="43" t="n">
        <v>1.245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SKBNNLMR75X48X06-CPC</t>
        </is>
      </c>
      <c r="D106" s="43" t="n"/>
      <c r="E106" s="43" t="inlineStr">
        <is>
          <t>SKBNNLMR75X48X06-CPC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SFG-SPKMR-BP</t>
        </is>
      </c>
      <c r="O106" s="43" t="n"/>
      <c r="P106" s="43" t="n"/>
      <c r="Q106" s="43" t="n">
        <v>1.245</v>
      </c>
      <c r="R106" s="43" t="inlineStr">
        <is>
          <t>MTR</t>
        </is>
      </c>
      <c r="S106" s="43" t="n"/>
      <c r="T106" s="43" t="n">
        <v>10</v>
      </c>
      <c r="U106" s="43" t="n"/>
      <c r="V106" s="43" t="inlineStr">
        <is>
          <t>CBESFG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SKBNNLMR75X48X06-CPC</t>
        </is>
      </c>
      <c r="D107" s="43" t="n"/>
      <c r="E107" s="43" t="inlineStr">
        <is>
          <t>SKBNNLMR75X48X06-CPC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0.135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SKBNNLMR75X48X06-CPC</t>
        </is>
      </c>
      <c r="D108" s="43" t="n"/>
      <c r="E108" s="43" t="inlineStr">
        <is>
          <t>SKBNNLMR75X48X06-CPC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126.492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SKBNNLMR75X48X06-CPC</t>
        </is>
      </c>
      <c r="D109" s="43" t="n"/>
      <c r="E109" s="43" t="inlineStr">
        <is>
          <t>SKBNNLMR75X48X06-CPC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RML-EDTAPE-MER-KNIT</t>
        </is>
      </c>
      <c r="O109" s="43" t="n"/>
      <c r="P109" s="43" t="n"/>
      <c r="Q109" s="43" t="n">
        <v>12.903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SKBNNLMR75X48X06-CPC</t>
        </is>
      </c>
      <c r="D110" s="43" t="n"/>
      <c r="E110" s="43" t="inlineStr">
        <is>
          <t>SKBNNLMR75X48X06-CPC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RML-THRD-TKT-40MER</t>
        </is>
      </c>
      <c r="O110" s="43" t="n"/>
      <c r="P110" s="43" t="n"/>
      <c r="Q110" s="43" t="n">
        <v>79.355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SKBNNLMR75X48X06-CPC</t>
        </is>
      </c>
      <c r="D111" s="43" t="n"/>
      <c r="E111" s="43" t="inlineStr">
        <is>
          <t>SKBNNLMR75X48X06-CPC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RML-CS-DRM-SILV-7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SKBNNLMR75X48X06-CPC</t>
        </is>
      </c>
      <c r="D112" s="43" t="n"/>
      <c r="E112" s="43" t="inlineStr">
        <is>
          <t>SKBNNLMR75X48X06-CPC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SKBNNLMR75X48X06-CPC</t>
        </is>
      </c>
      <c r="D113" s="43" t="n"/>
      <c r="E113" s="43" t="inlineStr">
        <is>
          <t>SKBNNLMR75X48X06-CPC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SKBNNLMR75X48X06-CPC</t>
        </is>
      </c>
      <c r="D114" s="43" t="n"/>
      <c r="E114" s="43" t="inlineStr">
        <is>
          <t>SKBNNLMR75X48X06-CPC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SKBNNLMR75X48X06-CPC</t>
        </is>
      </c>
      <c r="D115" s="43" t="n"/>
      <c r="E115" s="43" t="inlineStr">
        <is>
          <t>SKBNNLMR75X48X06-CPC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0.42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SKBNNLMR75X48X06-CPC</t>
        </is>
      </c>
      <c r="D116" s="43" t="n"/>
      <c r="E116" s="43" t="inlineStr">
        <is>
          <t>SKBNNLMR75X48X06-CPC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17D-PU-FOAM-74.50X47.50X10MM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SKBNNLMR75X60X06-CPC</t>
        </is>
      </c>
      <c r="D117" s="43" t="n"/>
      <c r="E117" s="43" t="inlineStr">
        <is>
          <t>SKBNNLMR75X60X06-CPC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OEBOXBNSR74.50X59.50X120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SKBNNLMR75X60X06-CPC</t>
        </is>
      </c>
      <c r="D118" s="43" t="n"/>
      <c r="E118" s="43" t="inlineStr">
        <is>
          <t>SKBNNLMR75X60X06-CPC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RML-POLY-GUM</t>
        </is>
      </c>
      <c r="O118" s="43" t="n"/>
      <c r="P118" s="43" t="n"/>
      <c r="Q118" s="43" t="n">
        <v>0.663</v>
      </c>
      <c r="R118" s="43" t="inlineStr">
        <is>
          <t>LTR</t>
        </is>
      </c>
      <c r="S118" s="43" t="n"/>
      <c r="T118" s="43" t="n">
        <v>10</v>
      </c>
      <c r="U118" s="43" t="n"/>
      <c r="V118" s="43" t="inlineStr">
        <is>
          <t>CBEWIP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SKBNNLMR75X60X06-CPC</t>
        </is>
      </c>
      <c r="D119" s="43" t="n"/>
      <c r="E119" s="43" t="inlineStr">
        <is>
          <t>SKBNNLMR75X60X06-CPC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SFG-SPKMR-ONL-QUILT</t>
        </is>
      </c>
      <c r="O119" s="43" t="n"/>
      <c r="P119" s="43" t="n"/>
      <c r="Q119" s="43" t="n">
        <v>1.549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SKBNNLMR75X60X06-CPC</t>
        </is>
      </c>
      <c r="D120" s="43" t="n"/>
      <c r="E120" s="43" t="inlineStr">
        <is>
          <t>SKBNNLMR75X60X06-CPC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SFG-SPKMR-BP</t>
        </is>
      </c>
      <c r="O120" s="43" t="n"/>
      <c r="P120" s="43" t="n"/>
      <c r="Q120" s="43" t="n">
        <v>1.549</v>
      </c>
      <c r="R120" s="43" t="inlineStr">
        <is>
          <t>MTR</t>
        </is>
      </c>
      <c r="S120" s="43" t="n"/>
      <c r="T120" s="43" t="n">
        <v>10</v>
      </c>
      <c r="U120" s="43" t="n"/>
      <c r="V120" s="43" t="inlineStr">
        <is>
          <t>CBESFG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SKBNNLMR75X60X06-CPC</t>
        </is>
      </c>
      <c r="D121" s="43" t="n"/>
      <c r="E121" s="43" t="inlineStr">
        <is>
          <t>SKBNNLMR75X60X06-CPC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0.148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SKBNNLMR75X60X06-CPC</t>
        </is>
      </c>
      <c r="D122" s="43" t="n"/>
      <c r="E122" s="43" t="inlineStr">
        <is>
          <t>SKBNNLMR75X60X06-CPC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138.684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SKBNNLMR75X60X06-CPC</t>
        </is>
      </c>
      <c r="D123" s="43" t="n"/>
      <c r="E123" s="43" t="inlineStr">
        <is>
          <t>SKBNNLMR75X60X06-CPC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RML-EDTAPE-MER-KNIT</t>
        </is>
      </c>
      <c r="O123" s="43" t="n"/>
      <c r="P123" s="43" t="n"/>
      <c r="Q123" s="43" t="n">
        <v>14.122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SKBNNLMR75X60X06-CPC</t>
        </is>
      </c>
      <c r="D124" s="43" t="n"/>
      <c r="E124" s="43" t="inlineStr">
        <is>
          <t>SKBNNLMR75X60X06-CPC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RML-THRD-TKT-40MER</t>
        </is>
      </c>
      <c r="O124" s="43" t="n"/>
      <c r="P124" s="43" t="n"/>
      <c r="Q124" s="43" t="n">
        <v>86.85299999999999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SKBNNLMR75X60X06-CPC</t>
        </is>
      </c>
      <c r="D125" s="43" t="n"/>
      <c r="E125" s="43" t="inlineStr">
        <is>
          <t>SKBNNLMR75X60X06-CPC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RML-CS-DRM-SILV-7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SKBNNLMR75X60X06-CPC</t>
        </is>
      </c>
      <c r="D126" s="43" t="n"/>
      <c r="E126" s="43" t="inlineStr">
        <is>
          <t>SKBNNLMR75X60X06-CPC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SKBNNLMR75X60X06-CPC</t>
        </is>
      </c>
      <c r="D127" s="43" t="n"/>
      <c r="E127" s="43" t="inlineStr">
        <is>
          <t>SKBNNLMR75X60X06-CPC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SKBNNLMR75X60X06-CPC</t>
        </is>
      </c>
      <c r="D128" s="43" t="n"/>
      <c r="E128" s="43" t="inlineStr">
        <is>
          <t>SKBNNLMR75X60X06-CPC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SKBNNLMR75X60X06-CPC</t>
        </is>
      </c>
      <c r="D129" s="43" t="n"/>
      <c r="E129" s="43" t="inlineStr">
        <is>
          <t>SKBNNLMR75X60X06-CPC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0.51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SKBNNLMR75X60X06-CPC</t>
        </is>
      </c>
      <c r="D130" s="43" t="n"/>
      <c r="E130" s="43" t="inlineStr">
        <is>
          <t>SKBNNLMR75X60X06-CPC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17D-PU-FOAM-74.50X59.50X10MM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  <row r="131">
      <c r="A131" s="43" t="n">
        <v>10</v>
      </c>
      <c r="B131" s="43" t="inlineStr">
        <is>
          <t>Active</t>
        </is>
      </c>
      <c r="C131" s="43" t="inlineStr">
        <is>
          <t>SKBNNLMR75X72X06-CPC</t>
        </is>
      </c>
      <c r="D131" s="43" t="n"/>
      <c r="E131" s="43" t="inlineStr">
        <is>
          <t>SKBNNLMR75X72X06-CPC</t>
        </is>
      </c>
      <c r="F131" s="43" t="n"/>
      <c r="G131" s="43" t="n"/>
      <c r="H131" s="43" t="n"/>
      <c r="I131" s="43" t="n"/>
      <c r="J131" s="43" t="n"/>
      <c r="K131" s="43" t="n"/>
      <c r="L131" s="43" t="inlineStr">
        <is>
          <t>MRP</t>
        </is>
      </c>
      <c r="M131" s="43" t="n">
        <v>10</v>
      </c>
      <c r="N131" s="43" t="inlineStr">
        <is>
          <t>OEBOXBNSR74.50X71.50X120</t>
        </is>
      </c>
      <c r="O131" s="43" t="n"/>
      <c r="P131" s="43" t="n"/>
      <c r="Q131" s="43" t="n">
        <v>1</v>
      </c>
      <c r="R131" s="43" t="inlineStr">
        <is>
          <t>NOS</t>
        </is>
      </c>
      <c r="S131" s="43" t="n"/>
      <c r="T131" s="43" t="n">
        <v>10</v>
      </c>
      <c r="U131" s="43" t="n"/>
      <c r="V131" s="43" t="inlineStr">
        <is>
          <t>CBESFG</t>
        </is>
      </c>
      <c r="W131" s="43" t="n"/>
      <c r="X131" s="43" t="n"/>
      <c r="Y131" s="43" t="n"/>
      <c r="Z131" s="43" t="n"/>
      <c r="AA131" s="43" t="n"/>
      <c r="AB131" s="43" t="n"/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</row>
    <row r="132">
      <c r="A132" s="43" t="n">
        <v>10</v>
      </c>
      <c r="B132" s="43" t="inlineStr">
        <is>
          <t>Active</t>
        </is>
      </c>
      <c r="C132" s="43" t="inlineStr">
        <is>
          <t>SKBNNLMR75X72X06-CPC</t>
        </is>
      </c>
      <c r="D132" s="43" t="n"/>
      <c r="E132" s="43" t="inlineStr">
        <is>
          <t>SKBNNLMR75X72X06-CPC</t>
        </is>
      </c>
      <c r="F132" s="43" t="n"/>
      <c r="G132" s="43" t="n"/>
      <c r="H132" s="43" t="n"/>
      <c r="I132" s="43" t="n"/>
      <c r="J132" s="43" t="n"/>
      <c r="K132" s="43" t="n"/>
      <c r="L132" s="43" t="inlineStr">
        <is>
          <t>MRP</t>
        </is>
      </c>
      <c r="M132" s="43" t="n">
        <v>20</v>
      </c>
      <c r="N132" s="43" t="inlineStr">
        <is>
          <t>RML-POLY-GUM</t>
        </is>
      </c>
      <c r="O132" s="43" t="n"/>
      <c r="P132" s="43" t="n"/>
      <c r="Q132" s="43" t="n">
        <v>0.798</v>
      </c>
      <c r="R132" s="43" t="inlineStr">
        <is>
          <t>LTR</t>
        </is>
      </c>
      <c r="S132" s="43" t="n"/>
      <c r="T132" s="43" t="n">
        <v>10</v>
      </c>
      <c r="U132" s="43" t="n"/>
      <c r="V132" s="43" t="inlineStr">
        <is>
          <t>CBEWIP</t>
        </is>
      </c>
      <c r="W132" s="43" t="n"/>
      <c r="X132" s="43" t="n"/>
      <c r="Y132" s="43" t="n"/>
      <c r="Z132" s="43" t="n"/>
      <c r="AA132" s="43" t="n"/>
      <c r="AB132" s="43" t="n"/>
      <c r="AC132" s="43" t="n"/>
      <c r="AD132" s="43" t="n"/>
      <c r="AE132" s="43" t="n"/>
      <c r="AF132" s="43" t="n"/>
      <c r="AG132" s="43" t="n"/>
      <c r="AH132" s="43" t="n"/>
      <c r="AI132" s="43" t="n"/>
      <c r="AJ132" s="43" t="n"/>
      <c r="AK132" s="43" t="n"/>
      <c r="AL132" s="43" t="n"/>
    </row>
    <row r="133">
      <c r="A133" s="43" t="n">
        <v>10</v>
      </c>
      <c r="B133" s="43" t="inlineStr">
        <is>
          <t>Active</t>
        </is>
      </c>
      <c r="C133" s="43" t="inlineStr">
        <is>
          <t>SKBNNLMR75X72X06-CPC</t>
        </is>
      </c>
      <c r="D133" s="43" t="n"/>
      <c r="E133" s="43" t="inlineStr">
        <is>
          <t>SKBNNLMR75X72X06-CPC</t>
        </is>
      </c>
      <c r="F133" s="43" t="n"/>
      <c r="G133" s="43" t="n"/>
      <c r="H133" s="43" t="n"/>
      <c r="I133" s="43" t="n"/>
      <c r="J133" s="43" t="n"/>
      <c r="K133" s="43" t="n"/>
      <c r="L133" s="43" t="inlineStr">
        <is>
          <t>MRP</t>
        </is>
      </c>
      <c r="M133" s="43" t="n">
        <v>30</v>
      </c>
      <c r="N133" s="43" t="inlineStr">
        <is>
          <t>SFG-SPKMR-ONL-QUILT</t>
        </is>
      </c>
      <c r="O133" s="43" t="n"/>
      <c r="P133" s="43" t="n"/>
      <c r="Q133" s="43" t="n">
        <v>1.854</v>
      </c>
      <c r="R133" s="43" t="inlineStr">
        <is>
          <t>MTR</t>
        </is>
      </c>
      <c r="S133" s="43" t="n"/>
      <c r="T133" s="43" t="n">
        <v>10</v>
      </c>
      <c r="U133" s="43" t="n"/>
      <c r="V133" s="43" t="inlineStr">
        <is>
          <t>CBESFG</t>
        </is>
      </c>
      <c r="W133" s="43" t="n"/>
      <c r="X133" s="43" t="n"/>
      <c r="Y133" s="43" t="n"/>
      <c r="Z133" s="43" t="n"/>
      <c r="AA133" s="43" t="n"/>
      <c r="AB133" s="43" t="n"/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</row>
    <row r="134">
      <c r="A134" s="43" t="n">
        <v>10</v>
      </c>
      <c r="B134" s="43" t="inlineStr">
        <is>
          <t>Active</t>
        </is>
      </c>
      <c r="C134" s="43" t="inlineStr">
        <is>
          <t>SKBNNLMR75X72X06-CPC</t>
        </is>
      </c>
      <c r="D134" s="43" t="n"/>
      <c r="E134" s="43" t="inlineStr">
        <is>
          <t>SKBNNLMR75X72X06-CPC</t>
        </is>
      </c>
      <c r="F134" s="43" t="n"/>
      <c r="G134" s="43" t="n"/>
      <c r="H134" s="43" t="n"/>
      <c r="I134" s="43" t="n"/>
      <c r="J134" s="43" t="n"/>
      <c r="K134" s="43" t="n"/>
      <c r="L134" s="43" t="inlineStr">
        <is>
          <t>MRP</t>
        </is>
      </c>
      <c r="M134" s="43" t="n">
        <v>40</v>
      </c>
      <c r="N134" s="43" t="inlineStr">
        <is>
          <t>SFG-SPKMR-BP</t>
        </is>
      </c>
      <c r="O134" s="43" t="n"/>
      <c r="P134" s="43" t="n"/>
      <c r="Q134" s="43" t="n">
        <v>1.854</v>
      </c>
      <c r="R134" s="43" t="inlineStr">
        <is>
          <t>MTR</t>
        </is>
      </c>
      <c r="S134" s="43" t="n"/>
      <c r="T134" s="43" t="n">
        <v>10</v>
      </c>
      <c r="U134" s="43" t="n"/>
      <c r="V134" s="43" t="inlineStr">
        <is>
          <t>CBESFG</t>
        </is>
      </c>
      <c r="W134" s="43" t="n"/>
      <c r="X134" s="43" t="n"/>
      <c r="Y134" s="43" t="n"/>
      <c r="Z134" s="43" t="n"/>
      <c r="AA134" s="43" t="n"/>
      <c r="AB134" s="43" t="n"/>
      <c r="AC134" s="43" t="n"/>
      <c r="AD134" s="43" t="n"/>
      <c r="AE134" s="43" t="n"/>
      <c r="AF134" s="43" t="n"/>
      <c r="AG134" s="43" t="n"/>
      <c r="AH134" s="43" t="n"/>
      <c r="AI134" s="43" t="n"/>
      <c r="AJ134" s="43" t="n"/>
      <c r="AK134" s="43" t="n"/>
      <c r="AL134" s="43" t="n"/>
    </row>
    <row r="135">
      <c r="A135" s="43" t="n">
        <v>10</v>
      </c>
      <c r="B135" s="43" t="inlineStr">
        <is>
          <t>Active</t>
        </is>
      </c>
      <c r="C135" s="43" t="inlineStr">
        <is>
          <t>SKBNNLMR75X72X06-CPC</t>
        </is>
      </c>
      <c r="D135" s="43" t="n"/>
      <c r="E135" s="43" t="inlineStr">
        <is>
          <t>SKBNNLMR75X72X06-CPC</t>
        </is>
      </c>
      <c r="F135" s="43" t="n"/>
      <c r="G135" s="43" t="n"/>
      <c r="H135" s="43" t="n"/>
      <c r="I135" s="43" t="n"/>
      <c r="J135" s="43" t="n"/>
      <c r="K135" s="43" t="n"/>
      <c r="L135" s="43" t="inlineStr">
        <is>
          <t>MRP</t>
        </is>
      </c>
      <c r="M135" s="43" t="n">
        <v>50</v>
      </c>
      <c r="N135" s="43" t="inlineStr">
        <is>
          <t>RM-NWN-70GSMX6INCH</t>
        </is>
      </c>
      <c r="O135" s="43" t="n"/>
      <c r="P135" s="43" t="n"/>
      <c r="Q135" s="43" t="n">
        <v>0.161</v>
      </c>
      <c r="R135" s="43" t="inlineStr">
        <is>
          <t>KGS</t>
        </is>
      </c>
      <c r="S135" s="43" t="n"/>
      <c r="T135" s="43" t="n">
        <v>10</v>
      </c>
      <c r="U135" s="43" t="n"/>
      <c r="V135" s="43" t="inlineStr">
        <is>
          <t>CBEWIP</t>
        </is>
      </c>
      <c r="W135" s="43" t="n"/>
      <c r="X135" s="43" t="n"/>
      <c r="Y135" s="43" t="n"/>
      <c r="Z135" s="43" t="n"/>
      <c r="AA135" s="43" t="n"/>
      <c r="AB135" s="43" t="n"/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</row>
    <row r="136">
      <c r="A136" s="43" t="n">
        <v>10</v>
      </c>
      <c r="B136" s="43" t="inlineStr">
        <is>
          <t>Active</t>
        </is>
      </c>
      <c r="C136" s="43" t="inlineStr">
        <is>
          <t>SKBNNLMR75X72X06-CPC</t>
        </is>
      </c>
      <c r="D136" s="43" t="n"/>
      <c r="E136" s="43" t="inlineStr">
        <is>
          <t>SKBNNLMR75X72X06-CPC</t>
        </is>
      </c>
      <c r="F136" s="43" t="n"/>
      <c r="G136" s="43" t="n"/>
      <c r="H136" s="43" t="n"/>
      <c r="I136" s="43" t="n"/>
      <c r="J136" s="43" t="n"/>
      <c r="K136" s="43" t="n"/>
      <c r="L136" s="43" t="inlineStr">
        <is>
          <t>MRP</t>
        </is>
      </c>
      <c r="M136" s="43" t="n">
        <v>60</v>
      </c>
      <c r="N136" s="43" t="inlineStr">
        <is>
          <t>RM-THRD-QS-TKT40</t>
        </is>
      </c>
      <c r="O136" s="43" t="n"/>
      <c r="P136" s="43" t="n"/>
      <c r="Q136" s="43" t="n">
        <v>150.876</v>
      </c>
      <c r="R136" s="43" t="inlineStr">
        <is>
          <t>MTR</t>
        </is>
      </c>
      <c r="S136" s="43" t="n"/>
      <c r="T136" s="43" t="n">
        <v>10</v>
      </c>
      <c r="U136" s="43" t="n"/>
      <c r="V136" s="43" t="inlineStr">
        <is>
          <t>CBEWIP</t>
        </is>
      </c>
      <c r="W136" s="43" t="n"/>
      <c r="X136" s="43" t="n"/>
      <c r="Y136" s="43" t="n"/>
      <c r="Z136" s="43" t="n"/>
      <c r="AA136" s="43" t="n"/>
      <c r="AB136" s="43" t="n"/>
      <c r="AC136" s="43" t="n"/>
      <c r="AD136" s="43" t="n"/>
      <c r="AE136" s="43" t="n"/>
      <c r="AF136" s="43" t="n"/>
      <c r="AG136" s="43" t="n"/>
      <c r="AH136" s="43" t="n"/>
      <c r="AI136" s="43" t="n"/>
      <c r="AJ136" s="43" t="n"/>
      <c r="AK136" s="43" t="n"/>
      <c r="AL136" s="43" t="n"/>
    </row>
    <row r="137">
      <c r="A137" s="43" t="n">
        <v>10</v>
      </c>
      <c r="B137" s="43" t="inlineStr">
        <is>
          <t>Active</t>
        </is>
      </c>
      <c r="C137" s="43" t="inlineStr">
        <is>
          <t>SKBNNLMR75X72X06-CPC</t>
        </is>
      </c>
      <c r="D137" s="43" t="n"/>
      <c r="E137" s="43" t="inlineStr">
        <is>
          <t>SKBNNLMR75X72X06-CPC</t>
        </is>
      </c>
      <c r="F137" s="43" t="n"/>
      <c r="G137" s="43" t="n"/>
      <c r="H137" s="43" t="n"/>
      <c r="I137" s="43" t="n"/>
      <c r="J137" s="43" t="n"/>
      <c r="K137" s="43" t="n"/>
      <c r="L137" s="43" t="inlineStr">
        <is>
          <t>MRP</t>
        </is>
      </c>
      <c r="M137" s="43" t="n">
        <v>70</v>
      </c>
      <c r="N137" s="43" t="inlineStr">
        <is>
          <t>RML-EDTAPE-MER-KNIT</t>
        </is>
      </c>
      <c r="O137" s="43" t="n"/>
      <c r="P137" s="43" t="n"/>
      <c r="Q137" s="43" t="n">
        <v>15.342</v>
      </c>
      <c r="R137" s="43" t="inlineStr">
        <is>
          <t>MTR</t>
        </is>
      </c>
      <c r="S137" s="43" t="n"/>
      <c r="T137" s="43" t="n">
        <v>10</v>
      </c>
      <c r="U137" s="43" t="n"/>
      <c r="V137" s="43" t="inlineStr">
        <is>
          <t>CBEWIP</t>
        </is>
      </c>
      <c r="W137" s="43" t="n"/>
      <c r="X137" s="43" t="n"/>
      <c r="Y137" s="43" t="n"/>
      <c r="Z137" s="43" t="n"/>
      <c r="AA137" s="43" t="n"/>
      <c r="AB137" s="43" t="n"/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</row>
    <row r="138">
      <c r="A138" s="43" t="n">
        <v>10</v>
      </c>
      <c r="B138" s="43" t="inlineStr">
        <is>
          <t>Active</t>
        </is>
      </c>
      <c r="C138" s="43" t="inlineStr">
        <is>
          <t>SKBNNLMR75X72X06-CPC</t>
        </is>
      </c>
      <c r="D138" s="43" t="n"/>
      <c r="E138" s="43" t="inlineStr">
        <is>
          <t>SKBNNLMR75X72X06-CPC</t>
        </is>
      </c>
      <c r="F138" s="43" t="n"/>
      <c r="G138" s="43" t="n"/>
      <c r="H138" s="43" t="n"/>
      <c r="I138" s="43" t="n"/>
      <c r="J138" s="43" t="n"/>
      <c r="K138" s="43" t="n"/>
      <c r="L138" s="43" t="inlineStr">
        <is>
          <t>MRP</t>
        </is>
      </c>
      <c r="M138" s="43" t="n">
        <v>80</v>
      </c>
      <c r="N138" s="43" t="inlineStr">
        <is>
          <t>RML-THRD-TKT-40MER</t>
        </is>
      </c>
      <c r="O138" s="43" t="n"/>
      <c r="P138" s="43" t="n"/>
      <c r="Q138" s="43" t="n">
        <v>94.351</v>
      </c>
      <c r="R138" s="43" t="inlineStr">
        <is>
          <t>MTR</t>
        </is>
      </c>
      <c r="S138" s="43" t="n"/>
      <c r="T138" s="43" t="n">
        <v>10</v>
      </c>
      <c r="U138" s="43" t="n"/>
      <c r="V138" s="43" t="inlineStr">
        <is>
          <t>CBEWIP</t>
        </is>
      </c>
      <c r="W138" s="43" t="n"/>
      <c r="X138" s="43" t="n"/>
      <c r="Y138" s="43" t="n"/>
      <c r="Z138" s="43" t="n"/>
      <c r="AA138" s="43" t="n"/>
      <c r="AB138" s="43" t="n"/>
      <c r="AC138" s="43" t="n"/>
      <c r="AD138" s="43" t="n"/>
      <c r="AE138" s="43" t="n"/>
      <c r="AF138" s="43" t="n"/>
      <c r="AG138" s="43" t="n"/>
      <c r="AH138" s="43" t="n"/>
      <c r="AI138" s="43" t="n"/>
      <c r="AJ138" s="43" t="n"/>
      <c r="AK138" s="43" t="n"/>
      <c r="AL138" s="43" t="n"/>
    </row>
    <row r="139">
      <c r="A139" s="43" t="n">
        <v>10</v>
      </c>
      <c r="B139" s="43" t="inlineStr">
        <is>
          <t>Active</t>
        </is>
      </c>
      <c r="C139" s="43" t="inlineStr">
        <is>
          <t>SKBNNLMR75X72X06-CPC</t>
        </is>
      </c>
      <c r="D139" s="43" t="n"/>
      <c r="E139" s="43" t="inlineStr">
        <is>
          <t>SKBNNLMR75X72X06-CPC</t>
        </is>
      </c>
      <c r="F139" s="43" t="n"/>
      <c r="G139" s="43" t="n"/>
      <c r="H139" s="43" t="n"/>
      <c r="I139" s="43" t="n"/>
      <c r="J139" s="43" t="n"/>
      <c r="K139" s="43" t="n"/>
      <c r="L139" s="43" t="inlineStr">
        <is>
          <t>MRP</t>
        </is>
      </c>
      <c r="M139" s="43" t="n">
        <v>90</v>
      </c>
      <c r="N139" s="43" t="inlineStr">
        <is>
          <t>RML-CS-DRM-SILV-7</t>
        </is>
      </c>
      <c r="O139" s="43" t="n"/>
      <c r="P139" s="43" t="n"/>
      <c r="Q139" s="43" t="n">
        <v>4</v>
      </c>
      <c r="R139" s="43" t="inlineStr">
        <is>
          <t>NOS</t>
        </is>
      </c>
      <c r="S139" s="43" t="n"/>
      <c r="T139" s="43" t="n">
        <v>10</v>
      </c>
      <c r="U139" s="43" t="n"/>
      <c r="V139" s="43" t="inlineStr">
        <is>
          <t>CBEWIP</t>
        </is>
      </c>
      <c r="W139" s="43" t="n"/>
      <c r="X139" s="43" t="n"/>
      <c r="Y139" s="43" t="n"/>
      <c r="Z139" s="43" t="n"/>
      <c r="AA139" s="43" t="n"/>
      <c r="AB139" s="43" t="n"/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</row>
    <row r="140">
      <c r="A140" s="43" t="n">
        <v>10</v>
      </c>
      <c r="B140" s="43" t="inlineStr">
        <is>
          <t>Active</t>
        </is>
      </c>
      <c r="C140" s="43" t="inlineStr">
        <is>
          <t>SKBNNLMR75X72X06-CPC</t>
        </is>
      </c>
      <c r="D140" s="43" t="n"/>
      <c r="E140" s="43" t="inlineStr">
        <is>
          <t>SKBNNLMR75X72X06-CPC</t>
        </is>
      </c>
      <c r="F140" s="43" t="n"/>
      <c r="G140" s="43" t="n"/>
      <c r="H140" s="43" t="n"/>
      <c r="I140" s="43" t="n"/>
      <c r="J140" s="43" t="n"/>
      <c r="K140" s="43" t="n"/>
      <c r="L140" s="43" t="inlineStr">
        <is>
          <t>MRP</t>
        </is>
      </c>
      <c r="M140" s="43" t="n">
        <v>100</v>
      </c>
      <c r="N140" s="43" t="inlineStr">
        <is>
          <t>RM-PEPS-MAT-MRP-LBL</t>
        </is>
      </c>
      <c r="O140" s="43" t="n"/>
      <c r="P140" s="43" t="n"/>
      <c r="Q140" s="43" t="n">
        <v>1</v>
      </c>
      <c r="R140" s="43" t="inlineStr">
        <is>
          <t>NOS</t>
        </is>
      </c>
      <c r="S140" s="43" t="n"/>
      <c r="T140" s="43" t="n">
        <v>10</v>
      </c>
      <c r="U140" s="43" t="n"/>
      <c r="V140" s="43" t="inlineStr">
        <is>
          <t>CBEWIP</t>
        </is>
      </c>
      <c r="W140" s="43" t="n"/>
      <c r="X140" s="43" t="n"/>
      <c r="Y140" s="43" t="n"/>
      <c r="Z140" s="43" t="n"/>
      <c r="AA140" s="43" t="n"/>
      <c r="AB140" s="43" t="n"/>
      <c r="AC140" s="43" t="n"/>
      <c r="AD140" s="43" t="n"/>
      <c r="AE140" s="43" t="n"/>
      <c r="AF140" s="43" t="n"/>
      <c r="AG140" s="43" t="n"/>
      <c r="AH140" s="43" t="n"/>
      <c r="AI140" s="43" t="n"/>
      <c r="AJ140" s="43" t="n"/>
      <c r="AK140" s="43" t="n"/>
      <c r="AL140" s="43" t="n"/>
    </row>
    <row r="141">
      <c r="A141" s="43" t="n">
        <v>10</v>
      </c>
      <c r="B141" s="43" t="inlineStr">
        <is>
          <t>Active</t>
        </is>
      </c>
      <c r="C141" s="43" t="inlineStr">
        <is>
          <t>SKBNNLMR75X72X06-CPC</t>
        </is>
      </c>
      <c r="D141" s="43" t="n"/>
      <c r="E141" s="43" t="inlineStr">
        <is>
          <t>SKBNNLMR75X72X06-CPC</t>
        </is>
      </c>
      <c r="F141" s="43" t="n"/>
      <c r="G141" s="43" t="n"/>
      <c r="H141" s="43" t="n"/>
      <c r="I141" s="43" t="n"/>
      <c r="J141" s="43" t="n"/>
      <c r="K141" s="43" t="n"/>
      <c r="L141" s="43" t="inlineStr">
        <is>
          <t>MRP</t>
        </is>
      </c>
      <c r="M141" s="43" t="n">
        <v>110</v>
      </c>
      <c r="N141" s="43" t="inlineStr">
        <is>
          <t>RML-OK-ROUND-STK</t>
        </is>
      </c>
      <c r="O141" s="43" t="n"/>
      <c r="P141" s="43" t="n"/>
      <c r="Q141" s="43" t="n">
        <v>1</v>
      </c>
      <c r="R141" s="43" t="inlineStr">
        <is>
          <t>NOS</t>
        </is>
      </c>
      <c r="S141" s="43" t="n"/>
      <c r="T141" s="43" t="n">
        <v>10</v>
      </c>
      <c r="U141" s="43" t="n"/>
      <c r="V141" s="43" t="inlineStr">
        <is>
          <t>CBEWIP</t>
        </is>
      </c>
      <c r="W141" s="43" t="n"/>
      <c r="X141" s="43" t="n"/>
      <c r="Y141" s="43" t="n"/>
      <c r="Z141" s="43" t="n"/>
      <c r="AA141" s="43" t="n"/>
      <c r="AB141" s="43" t="n"/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</row>
    <row r="142">
      <c r="A142" s="43" t="n">
        <v>10</v>
      </c>
      <c r="B142" s="43" t="inlineStr">
        <is>
          <t>Active</t>
        </is>
      </c>
      <c r="C142" s="43" t="inlineStr">
        <is>
          <t>SKBNNLMR75X72X06-CPC</t>
        </is>
      </c>
      <c r="D142" s="43" t="n"/>
      <c r="E142" s="43" t="inlineStr">
        <is>
          <t>SKBNNLMR75X72X06-CPC</t>
        </is>
      </c>
      <c r="F142" s="43" t="n"/>
      <c r="G142" s="43" t="n"/>
      <c r="H142" s="43" t="n"/>
      <c r="I142" s="43" t="n"/>
      <c r="J142" s="43" t="n"/>
      <c r="K142" s="43" t="n"/>
      <c r="L142" s="43" t="inlineStr">
        <is>
          <t>MRP</t>
        </is>
      </c>
      <c r="M142" s="43" t="n">
        <v>120</v>
      </c>
      <c r="N142" s="43" t="inlineStr">
        <is>
          <t>RML-OK-STICKER</t>
        </is>
      </c>
      <c r="O142" s="43" t="n"/>
      <c r="P142" s="43" t="n"/>
      <c r="Q142" s="43" t="n">
        <v>1</v>
      </c>
      <c r="R142" s="43" t="inlineStr">
        <is>
          <t>NOS</t>
        </is>
      </c>
      <c r="S142" s="43" t="n"/>
      <c r="T142" s="43" t="n">
        <v>10</v>
      </c>
      <c r="U142" s="43" t="n"/>
      <c r="V142" s="43" t="inlineStr">
        <is>
          <t>CBEWIP</t>
        </is>
      </c>
      <c r="W142" s="43" t="n"/>
      <c r="X142" s="43" t="n"/>
      <c r="Y142" s="43" t="n"/>
      <c r="Z142" s="43" t="n"/>
      <c r="AA142" s="43" t="n"/>
      <c r="AB142" s="43" t="n"/>
      <c r="AC142" s="43" t="n"/>
      <c r="AD142" s="43" t="n"/>
      <c r="AE142" s="43" t="n"/>
      <c r="AF142" s="43" t="n"/>
      <c r="AG142" s="43" t="n"/>
      <c r="AH142" s="43" t="n"/>
      <c r="AI142" s="43" t="n"/>
      <c r="AJ142" s="43" t="n"/>
      <c r="AK142" s="43" t="n"/>
      <c r="AL142" s="43" t="n"/>
    </row>
    <row r="143">
      <c r="A143" s="43" t="n">
        <v>10</v>
      </c>
      <c r="B143" s="43" t="inlineStr">
        <is>
          <t>Active</t>
        </is>
      </c>
      <c r="C143" s="43" t="inlineStr">
        <is>
          <t>SKBNNLMR75X72X06-CPC</t>
        </is>
      </c>
      <c r="D143" s="43" t="n"/>
      <c r="E143" s="43" t="inlineStr">
        <is>
          <t>SKBNNLMR75X72X06-CPC</t>
        </is>
      </c>
      <c r="F143" s="43" t="n"/>
      <c r="G143" s="43" t="n"/>
      <c r="H143" s="43" t="n"/>
      <c r="I143" s="43" t="n"/>
      <c r="J143" s="43" t="n"/>
      <c r="K143" s="43" t="n"/>
      <c r="L143" s="43" t="inlineStr">
        <is>
          <t>MRP</t>
        </is>
      </c>
      <c r="M143" s="43" t="n">
        <v>130</v>
      </c>
      <c r="N143" s="43" t="inlineStr">
        <is>
          <t>RMI-PVC-50</t>
        </is>
      </c>
      <c r="O143" s="43" t="n"/>
      <c r="P143" s="43" t="n"/>
      <c r="Q143" s="43" t="n">
        <v>0.601</v>
      </c>
      <c r="R143" s="43" t="inlineStr">
        <is>
          <t>KGS</t>
        </is>
      </c>
      <c r="S143" s="43" t="n"/>
      <c r="T143" s="43" t="n">
        <v>10</v>
      </c>
      <c r="U143" s="43" t="n"/>
      <c r="V143" s="43" t="inlineStr">
        <is>
          <t>CBEWIP</t>
        </is>
      </c>
      <c r="W143" s="43" t="n"/>
      <c r="X143" s="43" t="n"/>
      <c r="Y143" s="43" t="n"/>
      <c r="Z143" s="43" t="n"/>
      <c r="AA143" s="43" t="n"/>
      <c r="AB143" s="43" t="n"/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</row>
    <row r="144">
      <c r="A144" s="43" t="n">
        <v>10</v>
      </c>
      <c r="B144" s="43" t="inlineStr">
        <is>
          <t>Active</t>
        </is>
      </c>
      <c r="C144" s="43" t="inlineStr">
        <is>
          <t>SKBNNLMR75X72X06-CPC</t>
        </is>
      </c>
      <c r="D144" s="43" t="n"/>
      <c r="E144" s="43" t="inlineStr">
        <is>
          <t>SKBNNLMR75X72X06-CPC</t>
        </is>
      </c>
      <c r="F144" s="43" t="n"/>
      <c r="G144" s="43" t="n"/>
      <c r="H144" s="43" t="n"/>
      <c r="I144" s="43" t="n"/>
      <c r="J144" s="43" t="n"/>
      <c r="K144" s="43" t="n"/>
      <c r="L144" s="43" t="inlineStr">
        <is>
          <t>MRP</t>
        </is>
      </c>
      <c r="M144" s="43" t="n">
        <v>140</v>
      </c>
      <c r="N144" s="43" t="inlineStr">
        <is>
          <t>17D-PU-FOAM-74.50X71.50X10MM</t>
        </is>
      </c>
      <c r="O144" s="43" t="n"/>
      <c r="P144" s="43" t="n"/>
      <c r="Q144" s="43" t="n">
        <v>1</v>
      </c>
      <c r="R144" s="43" t="inlineStr">
        <is>
          <t>NOS</t>
        </is>
      </c>
      <c r="S144" s="43" t="n"/>
      <c r="T144" s="43" t="n">
        <v>10</v>
      </c>
      <c r="U144" s="43" t="n"/>
      <c r="V144" s="43" t="inlineStr">
        <is>
          <t>CBESFG</t>
        </is>
      </c>
      <c r="W144" s="43" t="n"/>
      <c r="X144" s="43" t="n"/>
      <c r="Y144" s="43" t="n"/>
      <c r="Z144" s="43" t="n"/>
      <c r="AA144" s="43" t="n"/>
      <c r="AB144" s="43" t="n"/>
      <c r="AC144" s="43" t="n"/>
      <c r="AD144" s="43" t="n"/>
      <c r="AE144" s="43" t="n"/>
      <c r="AF144" s="43" t="n"/>
      <c r="AG144" s="43" t="n"/>
      <c r="AH144" s="43" t="n"/>
      <c r="AI144" s="43" t="n"/>
      <c r="AJ144" s="43" t="n"/>
      <c r="AK144" s="43" t="n"/>
      <c r="AL144" s="43" t="n"/>
    </row>
    <row r="145">
      <c r="A145" s="43" t="n">
        <v>11</v>
      </c>
      <c r="B145" s="43" t="inlineStr">
        <is>
          <t>Active</t>
        </is>
      </c>
      <c r="C145" s="43" t="inlineStr">
        <is>
          <t>SKBNNLMR78X60X06-CPC</t>
        </is>
      </c>
      <c r="D145" s="43" t="n"/>
      <c r="E145" s="43" t="inlineStr">
        <is>
          <t>SKBNNLMR78X60X06-CPC</t>
        </is>
      </c>
      <c r="F145" s="43" t="n"/>
      <c r="G145" s="43" t="n"/>
      <c r="H145" s="43" t="n"/>
      <c r="I145" s="43" t="n"/>
      <c r="J145" s="43" t="n"/>
      <c r="K145" s="43" t="n"/>
      <c r="L145" s="43" t="inlineStr">
        <is>
          <t>MRP</t>
        </is>
      </c>
      <c r="M145" s="43" t="n">
        <v>10</v>
      </c>
      <c r="N145" s="43" t="inlineStr">
        <is>
          <t>OEBOXBNSR77.50X59.50X120</t>
        </is>
      </c>
      <c r="O145" s="43" t="n"/>
      <c r="P145" s="43" t="n"/>
      <c r="Q145" s="43" t="n">
        <v>1</v>
      </c>
      <c r="R145" s="43" t="inlineStr">
        <is>
          <t>NOS</t>
        </is>
      </c>
      <c r="S145" s="43" t="n"/>
      <c r="T145" s="43" t="n">
        <v>10</v>
      </c>
      <c r="U145" s="43" t="n"/>
      <c r="V145" s="43" t="inlineStr">
        <is>
          <t>CBESFG</t>
        </is>
      </c>
      <c r="W145" s="43" t="n"/>
      <c r="X145" s="43" t="n"/>
      <c r="Y145" s="43" t="n"/>
      <c r="Z145" s="43" t="n"/>
      <c r="AA145" s="43" t="n"/>
      <c r="AB145" s="43" t="n"/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</row>
    <row r="146">
      <c r="A146" s="43" t="n">
        <v>11</v>
      </c>
      <c r="B146" s="43" t="inlineStr">
        <is>
          <t>Active</t>
        </is>
      </c>
      <c r="C146" s="43" t="inlineStr">
        <is>
          <t>SKBNNLMR78X60X06-CPC</t>
        </is>
      </c>
      <c r="D146" s="43" t="n"/>
      <c r="E146" s="43" t="inlineStr">
        <is>
          <t>SKBNNLMR78X60X06-CPC</t>
        </is>
      </c>
      <c r="F146" s="43" t="n"/>
      <c r="G146" s="43" t="n"/>
      <c r="H146" s="43" t="n"/>
      <c r="I146" s="43" t="n"/>
      <c r="J146" s="43" t="n"/>
      <c r="K146" s="43" t="n"/>
      <c r="L146" s="43" t="inlineStr">
        <is>
          <t>MRP</t>
        </is>
      </c>
      <c r="M146" s="43" t="n">
        <v>20</v>
      </c>
      <c r="N146" s="43" t="inlineStr">
        <is>
          <t>RML-POLY-GUM</t>
        </is>
      </c>
      <c r="O146" s="43" t="n"/>
      <c r="P146" s="43" t="n"/>
      <c r="Q146" s="43" t="n">
        <v>0.6899999999999999</v>
      </c>
      <c r="R146" s="43" t="inlineStr">
        <is>
          <t>LTR</t>
        </is>
      </c>
      <c r="S146" s="43" t="n"/>
      <c r="T146" s="43" t="n">
        <v>10</v>
      </c>
      <c r="U146" s="43" t="n"/>
      <c r="V146" s="43" t="inlineStr">
        <is>
          <t>CBEWIP</t>
        </is>
      </c>
      <c r="W146" s="43" t="n"/>
      <c r="X146" s="43" t="n"/>
      <c r="Y146" s="43" t="n"/>
      <c r="Z146" s="43" t="n"/>
      <c r="AA146" s="43" t="n"/>
      <c r="AB146" s="43" t="n"/>
      <c r="AC146" s="43" t="n"/>
      <c r="AD146" s="43" t="n"/>
      <c r="AE146" s="43" t="n"/>
      <c r="AF146" s="43" t="n"/>
      <c r="AG146" s="43" t="n"/>
      <c r="AH146" s="43" t="n"/>
      <c r="AI146" s="43" t="n"/>
      <c r="AJ146" s="43" t="n"/>
      <c r="AK146" s="43" t="n"/>
      <c r="AL146" s="43" t="n"/>
    </row>
    <row r="147">
      <c r="A147" s="43" t="n">
        <v>11</v>
      </c>
      <c r="B147" s="43" t="inlineStr">
        <is>
          <t>Active</t>
        </is>
      </c>
      <c r="C147" s="43" t="inlineStr">
        <is>
          <t>SKBNNLMR78X60X06-CPC</t>
        </is>
      </c>
      <c r="D147" s="43" t="n"/>
      <c r="E147" s="43" t="inlineStr">
        <is>
          <t>SKBNNLMR78X60X06-CPC</t>
        </is>
      </c>
      <c r="F147" s="43" t="n"/>
      <c r="G147" s="43" t="n"/>
      <c r="H147" s="43" t="n"/>
      <c r="I147" s="43" t="n"/>
      <c r="J147" s="43" t="n"/>
      <c r="K147" s="43" t="n"/>
      <c r="L147" s="43" t="inlineStr">
        <is>
          <t>MRP</t>
        </is>
      </c>
      <c r="M147" s="43" t="n">
        <v>30</v>
      </c>
      <c r="N147" s="43" t="inlineStr">
        <is>
          <t>SFG-SPKMR-ONL-QUILT</t>
        </is>
      </c>
      <c r="O147" s="43" t="n"/>
      <c r="P147" s="43" t="n"/>
      <c r="Q147" s="43" t="n">
        <v>1.549</v>
      </c>
      <c r="R147" s="43" t="inlineStr">
        <is>
          <t>MTR</t>
        </is>
      </c>
      <c r="S147" s="43" t="n"/>
      <c r="T147" s="43" t="n">
        <v>10</v>
      </c>
      <c r="U147" s="43" t="n"/>
      <c r="V147" s="43" t="inlineStr">
        <is>
          <t>CBESFG</t>
        </is>
      </c>
      <c r="W147" s="43" t="n"/>
      <c r="X147" s="43" t="n"/>
      <c r="Y147" s="43" t="n"/>
      <c r="Z147" s="43" t="n"/>
      <c r="AA147" s="43" t="n"/>
      <c r="AB147" s="43" t="n"/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</row>
    <row r="148">
      <c r="A148" s="43" t="n">
        <v>11</v>
      </c>
      <c r="B148" s="43" t="inlineStr">
        <is>
          <t>Active</t>
        </is>
      </c>
      <c r="C148" s="43" t="inlineStr">
        <is>
          <t>SKBNNLMR78X60X06-CPC</t>
        </is>
      </c>
      <c r="D148" s="43" t="n"/>
      <c r="E148" s="43" t="inlineStr">
        <is>
          <t>SKBNNLMR78X60X06-CPC</t>
        </is>
      </c>
      <c r="F148" s="43" t="n"/>
      <c r="G148" s="43" t="n"/>
      <c r="H148" s="43" t="n"/>
      <c r="I148" s="43" t="n"/>
      <c r="J148" s="43" t="n"/>
      <c r="K148" s="43" t="n"/>
      <c r="L148" s="43" t="inlineStr">
        <is>
          <t>MRP</t>
        </is>
      </c>
      <c r="M148" s="43" t="n">
        <v>40</v>
      </c>
      <c r="N148" s="43" t="inlineStr">
        <is>
          <t>SFG-SPKMR-BP</t>
        </is>
      </c>
      <c r="O148" s="43" t="n"/>
      <c r="P148" s="43" t="n"/>
      <c r="Q148" s="43" t="n">
        <v>1.549</v>
      </c>
      <c r="R148" s="43" t="inlineStr">
        <is>
          <t>MTR</t>
        </is>
      </c>
      <c r="S148" s="43" t="n"/>
      <c r="T148" s="43" t="n">
        <v>10</v>
      </c>
      <c r="U148" s="43" t="n"/>
      <c r="V148" s="43" t="inlineStr">
        <is>
          <t>CBESFG</t>
        </is>
      </c>
      <c r="W148" s="43" t="n"/>
      <c r="X148" s="43" t="n"/>
      <c r="Y148" s="43" t="n"/>
      <c r="Z148" s="43" t="n"/>
      <c r="AA148" s="43" t="n"/>
      <c r="AB148" s="43" t="n"/>
      <c r="AC148" s="43" t="n"/>
      <c r="AD148" s="43" t="n"/>
      <c r="AE148" s="43" t="n"/>
      <c r="AF148" s="43" t="n"/>
      <c r="AG148" s="43" t="n"/>
      <c r="AH148" s="43" t="n"/>
      <c r="AI148" s="43" t="n"/>
      <c r="AJ148" s="43" t="n"/>
      <c r="AK148" s="43" t="n"/>
      <c r="AL148" s="43" t="n"/>
    </row>
    <row r="149">
      <c r="A149" s="43" t="n">
        <v>11</v>
      </c>
      <c r="B149" s="43" t="inlineStr">
        <is>
          <t>Active</t>
        </is>
      </c>
      <c r="C149" s="43" t="inlineStr">
        <is>
          <t>SKBNNLMR78X60X06-CPC</t>
        </is>
      </c>
      <c r="D149" s="43" t="n"/>
      <c r="E149" s="43" t="inlineStr">
        <is>
          <t>SKBNNLMR78X60X06-CPC</t>
        </is>
      </c>
      <c r="F149" s="43" t="n"/>
      <c r="G149" s="43" t="n"/>
      <c r="H149" s="43" t="n"/>
      <c r="I149" s="43" t="n"/>
      <c r="J149" s="43" t="n"/>
      <c r="K149" s="43" t="n"/>
      <c r="L149" s="43" t="inlineStr">
        <is>
          <t>MRP</t>
        </is>
      </c>
      <c r="M149" s="43" t="n">
        <v>50</v>
      </c>
      <c r="N149" s="43" t="inlineStr">
        <is>
          <t>RM-NWN-70GSMX6INCH</t>
        </is>
      </c>
      <c r="O149" s="43" t="n"/>
      <c r="P149" s="43" t="n"/>
      <c r="Q149" s="43" t="n">
        <v>0.152</v>
      </c>
      <c r="R149" s="43" t="inlineStr">
        <is>
          <t>KGS</t>
        </is>
      </c>
      <c r="S149" s="43" t="n"/>
      <c r="T149" s="43" t="n">
        <v>10</v>
      </c>
      <c r="U149" s="43" t="n"/>
      <c r="V149" s="43" t="inlineStr">
        <is>
          <t>CBEWIP</t>
        </is>
      </c>
      <c r="W149" s="43" t="n"/>
      <c r="X149" s="43" t="n"/>
      <c r="Y149" s="43" t="n"/>
      <c r="Z149" s="43" t="n"/>
      <c r="AA149" s="43" t="n"/>
      <c r="AB149" s="43" t="n"/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</row>
    <row r="150">
      <c r="A150" s="43" t="n">
        <v>11</v>
      </c>
      <c r="B150" s="43" t="inlineStr">
        <is>
          <t>Active</t>
        </is>
      </c>
      <c r="C150" s="43" t="inlineStr">
        <is>
          <t>SKBNNLMR78X60X06-CPC</t>
        </is>
      </c>
      <c r="D150" s="43" t="n"/>
      <c r="E150" s="43" t="inlineStr">
        <is>
          <t>SKBNNLMR78X60X06-CPC</t>
        </is>
      </c>
      <c r="F150" s="43" t="n"/>
      <c r="G150" s="43" t="n"/>
      <c r="H150" s="43" t="n"/>
      <c r="I150" s="43" t="n"/>
      <c r="J150" s="43" t="n"/>
      <c r="K150" s="43" t="n"/>
      <c r="L150" s="43" t="inlineStr">
        <is>
          <t>MRP</t>
        </is>
      </c>
      <c r="M150" s="43" t="n">
        <v>60</v>
      </c>
      <c r="N150" s="43" t="inlineStr">
        <is>
          <t>RM-THRD-QS-TKT40</t>
        </is>
      </c>
      <c r="O150" s="43" t="n"/>
      <c r="P150" s="43" t="n"/>
      <c r="Q150" s="43" t="n">
        <v>141.732</v>
      </c>
      <c r="R150" s="43" t="inlineStr">
        <is>
          <t>MTR</t>
        </is>
      </c>
      <c r="S150" s="43" t="n"/>
      <c r="T150" s="43" t="n">
        <v>10</v>
      </c>
      <c r="U150" s="43" t="n"/>
      <c r="V150" s="43" t="inlineStr">
        <is>
          <t>CBEWIP</t>
        </is>
      </c>
      <c r="W150" s="43" t="n"/>
      <c r="X150" s="43" t="n"/>
      <c r="Y150" s="43" t="n"/>
      <c r="Z150" s="43" t="n"/>
      <c r="AA150" s="43" t="n"/>
      <c r="AB150" s="43" t="n"/>
      <c r="AC150" s="43" t="n"/>
      <c r="AD150" s="43" t="n"/>
      <c r="AE150" s="43" t="n"/>
      <c r="AF150" s="43" t="n"/>
      <c r="AG150" s="43" t="n"/>
      <c r="AH150" s="43" t="n"/>
      <c r="AI150" s="43" t="n"/>
      <c r="AJ150" s="43" t="n"/>
      <c r="AK150" s="43" t="n"/>
      <c r="AL150" s="43" t="n"/>
    </row>
    <row r="151">
      <c r="A151" s="43" t="n">
        <v>11</v>
      </c>
      <c r="B151" s="43" t="inlineStr">
        <is>
          <t>Active</t>
        </is>
      </c>
      <c r="C151" s="43" t="inlineStr">
        <is>
          <t>SKBNNLMR78X60X06-CPC</t>
        </is>
      </c>
      <c r="D151" s="43" t="n"/>
      <c r="E151" s="43" t="inlineStr">
        <is>
          <t>SKBNNLMR78X60X06-CPC</t>
        </is>
      </c>
      <c r="F151" s="43" t="n"/>
      <c r="G151" s="43" t="n"/>
      <c r="H151" s="43" t="n"/>
      <c r="I151" s="43" t="n"/>
      <c r="J151" s="43" t="n"/>
      <c r="K151" s="43" t="n"/>
      <c r="L151" s="43" t="inlineStr">
        <is>
          <t>MRP</t>
        </is>
      </c>
      <c r="M151" s="43" t="n">
        <v>70</v>
      </c>
      <c r="N151" s="43" t="inlineStr">
        <is>
          <t>RML-EDTAPE-MER-KNIT</t>
        </is>
      </c>
      <c r="O151" s="43" t="n"/>
      <c r="P151" s="43" t="n"/>
      <c r="Q151" s="43" t="n">
        <v>14.427</v>
      </c>
      <c r="R151" s="43" t="inlineStr">
        <is>
          <t>MTR</t>
        </is>
      </c>
      <c r="S151" s="43" t="n"/>
      <c r="T151" s="43" t="n">
        <v>10</v>
      </c>
      <c r="U151" s="43" t="n"/>
      <c r="V151" s="43" t="inlineStr">
        <is>
          <t>CBEWIP</t>
        </is>
      </c>
      <c r="W151" s="43" t="n"/>
      <c r="X151" s="43" t="n"/>
      <c r="Y151" s="43" t="n"/>
      <c r="Z151" s="43" t="n"/>
      <c r="AA151" s="43" t="n"/>
      <c r="AB151" s="43" t="n"/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</row>
    <row r="152">
      <c r="A152" s="43" t="n">
        <v>11</v>
      </c>
      <c r="B152" s="43" t="inlineStr">
        <is>
          <t>Active</t>
        </is>
      </c>
      <c r="C152" s="43" t="inlineStr">
        <is>
          <t>SKBNNLMR78X60X06-CPC</t>
        </is>
      </c>
      <c r="D152" s="43" t="n"/>
      <c r="E152" s="43" t="inlineStr">
        <is>
          <t>SKBNNLMR78X60X06-CPC</t>
        </is>
      </c>
      <c r="F152" s="43" t="n"/>
      <c r="G152" s="43" t="n"/>
      <c r="H152" s="43" t="n"/>
      <c r="I152" s="43" t="n"/>
      <c r="J152" s="43" t="n"/>
      <c r="K152" s="43" t="n"/>
      <c r="L152" s="43" t="inlineStr">
        <is>
          <t>MRP</t>
        </is>
      </c>
      <c r="M152" s="43" t="n">
        <v>80</v>
      </c>
      <c r="N152" s="43" t="inlineStr">
        <is>
          <t>RML-THRD-TKT-40MER</t>
        </is>
      </c>
      <c r="O152" s="43" t="n"/>
      <c r="P152" s="43" t="n"/>
      <c r="Q152" s="43" t="n">
        <v>88.727</v>
      </c>
      <c r="R152" s="43" t="inlineStr">
        <is>
          <t>MTR</t>
        </is>
      </c>
      <c r="S152" s="43" t="n"/>
      <c r="T152" s="43" t="n">
        <v>10</v>
      </c>
      <c r="U152" s="43" t="n"/>
      <c r="V152" s="43" t="inlineStr">
        <is>
          <t>CBEWIP</t>
        </is>
      </c>
      <c r="W152" s="43" t="n"/>
      <c r="X152" s="43" t="n"/>
      <c r="Y152" s="43" t="n"/>
      <c r="Z152" s="43" t="n"/>
      <c r="AA152" s="43" t="n"/>
      <c r="AB152" s="43" t="n"/>
      <c r="AC152" s="43" t="n"/>
      <c r="AD152" s="43" t="n"/>
      <c r="AE152" s="43" t="n"/>
      <c r="AF152" s="43" t="n"/>
      <c r="AG152" s="43" t="n"/>
      <c r="AH152" s="43" t="n"/>
      <c r="AI152" s="43" t="n"/>
      <c r="AJ152" s="43" t="n"/>
      <c r="AK152" s="43" t="n"/>
      <c r="AL152" s="43" t="n"/>
    </row>
    <row r="153">
      <c r="A153" s="43" t="n">
        <v>11</v>
      </c>
      <c r="B153" s="43" t="inlineStr">
        <is>
          <t>Active</t>
        </is>
      </c>
      <c r="C153" s="43" t="inlineStr">
        <is>
          <t>SKBNNLMR78X60X06-CPC</t>
        </is>
      </c>
      <c r="D153" s="43" t="n"/>
      <c r="E153" s="43" t="inlineStr">
        <is>
          <t>SKBNNLMR78X60X06-CPC</t>
        </is>
      </c>
      <c r="F153" s="43" t="n"/>
      <c r="G153" s="43" t="n"/>
      <c r="H153" s="43" t="n"/>
      <c r="I153" s="43" t="n"/>
      <c r="J153" s="43" t="n"/>
      <c r="K153" s="43" t="n"/>
      <c r="L153" s="43" t="inlineStr">
        <is>
          <t>MRP</t>
        </is>
      </c>
      <c r="M153" s="43" t="n">
        <v>90</v>
      </c>
      <c r="N153" s="43" t="inlineStr">
        <is>
          <t>RML-CS-DRM-SILV-7</t>
        </is>
      </c>
      <c r="O153" s="43" t="n"/>
      <c r="P153" s="43" t="n"/>
      <c r="Q153" s="43" t="n">
        <v>4</v>
      </c>
      <c r="R153" s="43" t="inlineStr">
        <is>
          <t>NOS</t>
        </is>
      </c>
      <c r="S153" s="43" t="n"/>
      <c r="T153" s="43" t="n">
        <v>10</v>
      </c>
      <c r="U153" s="43" t="n"/>
      <c r="V153" s="43" t="inlineStr">
        <is>
          <t>CBEWIP</t>
        </is>
      </c>
      <c r="W153" s="43" t="n"/>
      <c r="X153" s="43" t="n"/>
      <c r="Y153" s="43" t="n"/>
      <c r="Z153" s="43" t="n"/>
      <c r="AA153" s="43" t="n"/>
      <c r="AB153" s="43" t="n"/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</row>
    <row r="154">
      <c r="A154" s="43" t="n">
        <v>11</v>
      </c>
      <c r="B154" s="43" t="inlineStr">
        <is>
          <t>Active</t>
        </is>
      </c>
      <c r="C154" s="43" t="inlineStr">
        <is>
          <t>SKBNNLMR78X60X06-CPC</t>
        </is>
      </c>
      <c r="D154" s="43" t="n"/>
      <c r="E154" s="43" t="inlineStr">
        <is>
          <t>SKBNNLMR78X60X06-CPC</t>
        </is>
      </c>
      <c r="F154" s="43" t="n"/>
      <c r="G154" s="43" t="n"/>
      <c r="H154" s="43" t="n"/>
      <c r="I154" s="43" t="n"/>
      <c r="J154" s="43" t="n"/>
      <c r="K154" s="43" t="n"/>
      <c r="L154" s="43" t="inlineStr">
        <is>
          <t>MRP</t>
        </is>
      </c>
      <c r="M154" s="43" t="n">
        <v>100</v>
      </c>
      <c r="N154" s="43" t="inlineStr">
        <is>
          <t>RM-PEPS-MAT-MRP-LBL</t>
        </is>
      </c>
      <c r="O154" s="43" t="n"/>
      <c r="P154" s="43" t="n"/>
      <c r="Q154" s="43" t="n">
        <v>1</v>
      </c>
      <c r="R154" s="43" t="inlineStr">
        <is>
          <t>NOS</t>
        </is>
      </c>
      <c r="S154" s="43" t="n"/>
      <c r="T154" s="43" t="n">
        <v>10</v>
      </c>
      <c r="U154" s="43" t="n"/>
      <c r="V154" s="43" t="inlineStr">
        <is>
          <t>CBEWIP</t>
        </is>
      </c>
      <c r="W154" s="43" t="n"/>
      <c r="X154" s="43" t="n"/>
      <c r="Y154" s="43" t="n"/>
      <c r="Z154" s="43" t="n"/>
      <c r="AA154" s="43" t="n"/>
      <c r="AB154" s="43" t="n"/>
      <c r="AC154" s="43" t="n"/>
      <c r="AD154" s="43" t="n"/>
      <c r="AE154" s="43" t="n"/>
      <c r="AF154" s="43" t="n"/>
      <c r="AG154" s="43" t="n"/>
      <c r="AH154" s="43" t="n"/>
      <c r="AI154" s="43" t="n"/>
      <c r="AJ154" s="43" t="n"/>
      <c r="AK154" s="43" t="n"/>
      <c r="AL154" s="43" t="n"/>
    </row>
    <row r="155">
      <c r="A155" s="43" t="n">
        <v>11</v>
      </c>
      <c r="B155" s="43" t="inlineStr">
        <is>
          <t>Active</t>
        </is>
      </c>
      <c r="C155" s="43" t="inlineStr">
        <is>
          <t>SKBNNLMR78X60X06-CPC</t>
        </is>
      </c>
      <c r="D155" s="43" t="n"/>
      <c r="E155" s="43" t="inlineStr">
        <is>
          <t>SKBNNLMR78X60X06-CPC</t>
        </is>
      </c>
      <c r="F155" s="43" t="n"/>
      <c r="G155" s="43" t="n"/>
      <c r="H155" s="43" t="n"/>
      <c r="I155" s="43" t="n"/>
      <c r="J155" s="43" t="n"/>
      <c r="K155" s="43" t="n"/>
      <c r="L155" s="43" t="inlineStr">
        <is>
          <t>MRP</t>
        </is>
      </c>
      <c r="M155" s="43" t="n">
        <v>110</v>
      </c>
      <c r="N155" s="43" t="inlineStr">
        <is>
          <t>RML-OK-ROUND-STK</t>
        </is>
      </c>
      <c r="O155" s="43" t="n"/>
      <c r="P155" s="43" t="n"/>
      <c r="Q155" s="43" t="n">
        <v>1</v>
      </c>
      <c r="R155" s="43" t="inlineStr">
        <is>
          <t>NOS</t>
        </is>
      </c>
      <c r="S155" s="43" t="n"/>
      <c r="T155" s="43" t="n">
        <v>10</v>
      </c>
      <c r="U155" s="43" t="n"/>
      <c r="V155" s="43" t="inlineStr">
        <is>
          <t>CBEWIP</t>
        </is>
      </c>
      <c r="W155" s="43" t="n"/>
      <c r="X155" s="43" t="n"/>
      <c r="Y155" s="43" t="n"/>
      <c r="Z155" s="43" t="n"/>
      <c r="AA155" s="43" t="n"/>
      <c r="AB155" s="43" t="n"/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</row>
    <row r="156">
      <c r="A156" s="43" t="n">
        <v>11</v>
      </c>
      <c r="B156" s="43" t="inlineStr">
        <is>
          <t>Active</t>
        </is>
      </c>
      <c r="C156" s="43" t="inlineStr">
        <is>
          <t>SKBNNLMR78X60X06-CPC</t>
        </is>
      </c>
      <c r="D156" s="43" t="n"/>
      <c r="E156" s="43" t="inlineStr">
        <is>
          <t>SKBNNLMR78X60X06-CPC</t>
        </is>
      </c>
      <c r="F156" s="43" t="n"/>
      <c r="G156" s="43" t="n"/>
      <c r="H156" s="43" t="n"/>
      <c r="I156" s="43" t="n"/>
      <c r="J156" s="43" t="n"/>
      <c r="K156" s="43" t="n"/>
      <c r="L156" s="43" t="inlineStr">
        <is>
          <t>MRP</t>
        </is>
      </c>
      <c r="M156" s="43" t="n">
        <v>120</v>
      </c>
      <c r="N156" s="43" t="inlineStr">
        <is>
          <t>RML-OK-STICKER</t>
        </is>
      </c>
      <c r="O156" s="43" t="n"/>
      <c r="P156" s="43" t="n"/>
      <c r="Q156" s="43" t="n">
        <v>1</v>
      </c>
      <c r="R156" s="43" t="inlineStr">
        <is>
          <t>NOS</t>
        </is>
      </c>
      <c r="S156" s="43" t="n"/>
      <c r="T156" s="43" t="n">
        <v>10</v>
      </c>
      <c r="U156" s="43" t="n"/>
      <c r="V156" s="43" t="inlineStr">
        <is>
          <t>CBEWIP</t>
        </is>
      </c>
      <c r="W156" s="43" t="n"/>
      <c r="X156" s="43" t="n"/>
      <c r="Y156" s="43" t="n"/>
      <c r="Z156" s="43" t="n"/>
      <c r="AA156" s="43" t="n"/>
      <c r="AB156" s="43" t="n"/>
      <c r="AC156" s="43" t="n"/>
      <c r="AD156" s="43" t="n"/>
      <c r="AE156" s="43" t="n"/>
      <c r="AF156" s="43" t="n"/>
      <c r="AG156" s="43" t="n"/>
      <c r="AH156" s="43" t="n"/>
      <c r="AI156" s="43" t="n"/>
      <c r="AJ156" s="43" t="n"/>
      <c r="AK156" s="43" t="n"/>
      <c r="AL156" s="43" t="n"/>
    </row>
    <row r="157">
      <c r="A157" s="43" t="n">
        <v>11</v>
      </c>
      <c r="B157" s="43" t="inlineStr">
        <is>
          <t>Active</t>
        </is>
      </c>
      <c r="C157" s="43" t="inlineStr">
        <is>
          <t>SKBNNLMR78X60X06-CPC</t>
        </is>
      </c>
      <c r="D157" s="43" t="n"/>
      <c r="E157" s="43" t="inlineStr">
        <is>
          <t>SKBNNLMR78X60X06-CPC</t>
        </is>
      </c>
      <c r="F157" s="43" t="n"/>
      <c r="G157" s="43" t="n"/>
      <c r="H157" s="43" t="n"/>
      <c r="I157" s="43" t="n"/>
      <c r="J157" s="43" t="n"/>
      <c r="K157" s="43" t="n"/>
      <c r="L157" s="43" t="inlineStr">
        <is>
          <t>MRP</t>
        </is>
      </c>
      <c r="M157" s="43" t="n">
        <v>130</v>
      </c>
      <c r="N157" s="43" t="inlineStr">
        <is>
          <t>RMI-PVC-50</t>
        </is>
      </c>
      <c r="O157" s="43" t="n"/>
      <c r="P157" s="43" t="n"/>
      <c r="Q157" s="43" t="n">
        <v>0.51</v>
      </c>
      <c r="R157" s="43" t="inlineStr">
        <is>
          <t>KGS</t>
        </is>
      </c>
      <c r="S157" s="43" t="n"/>
      <c r="T157" s="43" t="n">
        <v>10</v>
      </c>
      <c r="U157" s="43" t="n"/>
      <c r="V157" s="43" t="inlineStr">
        <is>
          <t>CBEWIP</t>
        </is>
      </c>
      <c r="W157" s="43" t="n"/>
      <c r="X157" s="43" t="n"/>
      <c r="Y157" s="43" t="n"/>
      <c r="Z157" s="43" t="n"/>
      <c r="AA157" s="43" t="n"/>
      <c r="AB157" s="43" t="n"/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</row>
    <row r="158">
      <c r="A158" s="43" t="n">
        <v>11</v>
      </c>
      <c r="B158" s="43" t="inlineStr">
        <is>
          <t>Active</t>
        </is>
      </c>
      <c r="C158" s="43" t="inlineStr">
        <is>
          <t>SKBNNLMR78X60X06-CPC</t>
        </is>
      </c>
      <c r="D158" s="43" t="n"/>
      <c r="E158" s="43" t="inlineStr">
        <is>
          <t>SKBNNLMR78X60X06-CPC</t>
        </is>
      </c>
      <c r="F158" s="43" t="n"/>
      <c r="G158" s="43" t="n"/>
      <c r="H158" s="43" t="n"/>
      <c r="I158" s="43" t="n"/>
      <c r="J158" s="43" t="n"/>
      <c r="K158" s="43" t="n"/>
      <c r="L158" s="43" t="inlineStr">
        <is>
          <t>MRP</t>
        </is>
      </c>
      <c r="M158" s="43" t="n">
        <v>140</v>
      </c>
      <c r="N158" s="43" t="inlineStr">
        <is>
          <t>17D-PU-FOAM-77.50X59.50X10MM</t>
        </is>
      </c>
      <c r="O158" s="43" t="n"/>
      <c r="P158" s="43" t="n"/>
      <c r="Q158" s="43" t="n">
        <v>1</v>
      </c>
      <c r="R158" s="43" t="inlineStr">
        <is>
          <t>NOS</t>
        </is>
      </c>
      <c r="S158" s="43" t="n"/>
      <c r="T158" s="43" t="n">
        <v>10</v>
      </c>
      <c r="U158" s="43" t="n"/>
      <c r="V158" s="43" t="inlineStr">
        <is>
          <t>CBESFG</t>
        </is>
      </c>
      <c r="W158" s="43" t="n"/>
      <c r="X158" s="43" t="n"/>
      <c r="Y158" s="43" t="n"/>
      <c r="Z158" s="43" t="n"/>
      <c r="AA158" s="43" t="n"/>
      <c r="AB158" s="43" t="n"/>
      <c r="AC158" s="43" t="n"/>
      <c r="AD158" s="43" t="n"/>
      <c r="AE158" s="43" t="n"/>
      <c r="AF158" s="43" t="n"/>
      <c r="AG158" s="43" t="n"/>
      <c r="AH158" s="43" t="n"/>
      <c r="AI158" s="43" t="n"/>
      <c r="AJ158" s="43" t="n"/>
      <c r="AK158" s="43" t="n"/>
      <c r="AL158" s="43" t="n"/>
    </row>
    <row r="159">
      <c r="A159" s="43" t="n">
        <v>12</v>
      </c>
      <c r="B159" s="43" t="inlineStr">
        <is>
          <t>Active</t>
        </is>
      </c>
      <c r="C159" s="43" t="inlineStr">
        <is>
          <t>SKBNNLMR78X72X06-CPC</t>
        </is>
      </c>
      <c r="D159" s="43" t="n"/>
      <c r="E159" s="43" t="inlineStr">
        <is>
          <t>SKBNNLMR78X72X06-CPC</t>
        </is>
      </c>
      <c r="F159" s="43" t="n"/>
      <c r="G159" s="43" t="n"/>
      <c r="H159" s="43" t="n"/>
      <c r="I159" s="43" t="n"/>
      <c r="J159" s="43" t="n"/>
      <c r="K159" s="43" t="n"/>
      <c r="L159" s="43" t="inlineStr">
        <is>
          <t>MRP</t>
        </is>
      </c>
      <c r="M159" s="43" t="n">
        <v>10</v>
      </c>
      <c r="N159" s="43" t="inlineStr">
        <is>
          <t>OEBOXBNSR77.50X71.50X120</t>
        </is>
      </c>
      <c r="O159" s="43" t="n"/>
      <c r="P159" s="43" t="n"/>
      <c r="Q159" s="43" t="n">
        <v>1</v>
      </c>
      <c r="R159" s="43" t="inlineStr">
        <is>
          <t>NOS</t>
        </is>
      </c>
      <c r="S159" s="43" t="n"/>
      <c r="T159" s="43" t="n">
        <v>10</v>
      </c>
      <c r="U159" s="43" t="n"/>
      <c r="V159" s="43" t="inlineStr">
        <is>
          <t>CBESFG</t>
        </is>
      </c>
      <c r="W159" s="43" t="n"/>
      <c r="X159" s="43" t="n"/>
      <c r="Y159" s="43" t="n"/>
      <c r="Z159" s="43" t="n"/>
      <c r="AA159" s="43" t="n"/>
      <c r="AB159" s="43" t="n"/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</row>
    <row r="160">
      <c r="A160" s="43" t="n">
        <v>12</v>
      </c>
      <c r="B160" s="43" t="inlineStr">
        <is>
          <t>Active</t>
        </is>
      </c>
      <c r="C160" s="43" t="inlineStr">
        <is>
          <t>SKBNNLMR78X72X06-CPC</t>
        </is>
      </c>
      <c r="D160" s="43" t="n"/>
      <c r="E160" s="43" t="inlineStr">
        <is>
          <t>SKBNNLMR78X72X06-CPC</t>
        </is>
      </c>
      <c r="F160" s="43" t="n"/>
      <c r="G160" s="43" t="n"/>
      <c r="H160" s="43" t="n"/>
      <c r="I160" s="43" t="n"/>
      <c r="J160" s="43" t="n"/>
      <c r="K160" s="43" t="n"/>
      <c r="L160" s="43" t="inlineStr">
        <is>
          <t>MRP</t>
        </is>
      </c>
      <c r="M160" s="43" t="n">
        <v>20</v>
      </c>
      <c r="N160" s="43" t="inlineStr">
        <is>
          <t>RML-POLY-GUM</t>
        </is>
      </c>
      <c r="O160" s="43" t="n"/>
      <c r="P160" s="43" t="n"/>
      <c r="Q160" s="43" t="n">
        <v>0.83</v>
      </c>
      <c r="R160" s="43" t="inlineStr">
        <is>
          <t>LTR</t>
        </is>
      </c>
      <c r="S160" s="43" t="n"/>
      <c r="T160" s="43" t="n">
        <v>10</v>
      </c>
      <c r="U160" s="43" t="n"/>
      <c r="V160" s="43" t="inlineStr">
        <is>
          <t>CBEWIP</t>
        </is>
      </c>
      <c r="W160" s="43" t="n"/>
      <c r="X160" s="43" t="n"/>
      <c r="Y160" s="43" t="n"/>
      <c r="Z160" s="43" t="n"/>
      <c r="AA160" s="43" t="n"/>
      <c r="AB160" s="43" t="n"/>
      <c r="AC160" s="43" t="n"/>
      <c r="AD160" s="43" t="n"/>
      <c r="AE160" s="43" t="n"/>
      <c r="AF160" s="43" t="n"/>
      <c r="AG160" s="43" t="n"/>
      <c r="AH160" s="43" t="n"/>
      <c r="AI160" s="43" t="n"/>
      <c r="AJ160" s="43" t="n"/>
      <c r="AK160" s="43" t="n"/>
      <c r="AL160" s="43" t="n"/>
    </row>
    <row r="161">
      <c r="A161" s="43" t="n">
        <v>12</v>
      </c>
      <c r="B161" s="43" t="inlineStr">
        <is>
          <t>Active</t>
        </is>
      </c>
      <c r="C161" s="43" t="inlineStr">
        <is>
          <t>SKBNNLMR78X72X06-CPC</t>
        </is>
      </c>
      <c r="D161" s="43" t="n"/>
      <c r="E161" s="43" t="inlineStr">
        <is>
          <t>SKBNNLMR78X72X06-CPC</t>
        </is>
      </c>
      <c r="F161" s="43" t="n"/>
      <c r="G161" s="43" t="n"/>
      <c r="H161" s="43" t="n"/>
      <c r="I161" s="43" t="n"/>
      <c r="J161" s="43" t="n"/>
      <c r="K161" s="43" t="n"/>
      <c r="L161" s="43" t="inlineStr">
        <is>
          <t>MRP</t>
        </is>
      </c>
      <c r="M161" s="43" t="n">
        <v>30</v>
      </c>
      <c r="N161" s="43" t="inlineStr">
        <is>
          <t>SFG-SPKMR-ONL-QUILT</t>
        </is>
      </c>
      <c r="O161" s="43" t="n"/>
      <c r="P161" s="43" t="n"/>
      <c r="Q161" s="43" t="n">
        <v>1.854</v>
      </c>
      <c r="R161" s="43" t="inlineStr">
        <is>
          <t>MTR</t>
        </is>
      </c>
      <c r="S161" s="43" t="n"/>
      <c r="T161" s="43" t="n">
        <v>10</v>
      </c>
      <c r="U161" s="43" t="n"/>
      <c r="V161" s="43" t="inlineStr">
        <is>
          <t>CBESFG</t>
        </is>
      </c>
      <c r="W161" s="43" t="n"/>
      <c r="X161" s="43" t="n"/>
      <c r="Y161" s="43" t="n"/>
      <c r="Z161" s="43" t="n"/>
      <c r="AA161" s="43" t="n"/>
      <c r="AB161" s="43" t="n"/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</row>
    <row r="162">
      <c r="A162" s="43" t="n">
        <v>12</v>
      </c>
      <c r="B162" s="43" t="inlineStr">
        <is>
          <t>Active</t>
        </is>
      </c>
      <c r="C162" s="43" t="inlineStr">
        <is>
          <t>SKBNNLMR78X72X06-CPC</t>
        </is>
      </c>
      <c r="D162" s="43" t="n"/>
      <c r="E162" s="43" t="inlineStr">
        <is>
          <t>SKBNNLMR78X72X06-CPC</t>
        </is>
      </c>
      <c r="F162" s="43" t="n"/>
      <c r="G162" s="43" t="n"/>
      <c r="H162" s="43" t="n"/>
      <c r="I162" s="43" t="n"/>
      <c r="J162" s="43" t="n"/>
      <c r="K162" s="43" t="n"/>
      <c r="L162" s="43" t="inlineStr">
        <is>
          <t>MRP</t>
        </is>
      </c>
      <c r="M162" s="43" t="n">
        <v>40</v>
      </c>
      <c r="N162" s="43" t="inlineStr">
        <is>
          <t>SFG-SPKMR-BP</t>
        </is>
      </c>
      <c r="O162" s="43" t="n"/>
      <c r="P162" s="43" t="n"/>
      <c r="Q162" s="43" t="n">
        <v>1.854</v>
      </c>
      <c r="R162" s="43" t="inlineStr">
        <is>
          <t>MTR</t>
        </is>
      </c>
      <c r="S162" s="43" t="n"/>
      <c r="T162" s="43" t="n">
        <v>10</v>
      </c>
      <c r="U162" s="43" t="n"/>
      <c r="V162" s="43" t="inlineStr">
        <is>
          <t>CBESFG</t>
        </is>
      </c>
      <c r="W162" s="43" t="n"/>
      <c r="X162" s="43" t="n"/>
      <c r="Y162" s="43" t="n"/>
      <c r="Z162" s="43" t="n"/>
      <c r="AA162" s="43" t="n"/>
      <c r="AB162" s="43" t="n"/>
      <c r="AC162" s="43" t="n"/>
      <c r="AD162" s="43" t="n"/>
      <c r="AE162" s="43" t="n"/>
      <c r="AF162" s="43" t="n"/>
      <c r="AG162" s="43" t="n"/>
      <c r="AH162" s="43" t="n"/>
      <c r="AI162" s="43" t="n"/>
      <c r="AJ162" s="43" t="n"/>
      <c r="AK162" s="43" t="n"/>
      <c r="AL162" s="43" t="n"/>
    </row>
    <row r="163">
      <c r="A163" s="43" t="n">
        <v>12</v>
      </c>
      <c r="B163" s="43" t="inlineStr">
        <is>
          <t>Active</t>
        </is>
      </c>
      <c r="C163" s="43" t="inlineStr">
        <is>
          <t>SKBNNLMR78X72X06-CPC</t>
        </is>
      </c>
      <c r="D163" s="43" t="n"/>
      <c r="E163" s="43" t="inlineStr">
        <is>
          <t>SKBNNLMR78X72X06-CPC</t>
        </is>
      </c>
      <c r="F163" s="43" t="n"/>
      <c r="G163" s="43" t="n"/>
      <c r="H163" s="43" t="n"/>
      <c r="I163" s="43" t="n"/>
      <c r="J163" s="43" t="n"/>
      <c r="K163" s="43" t="n"/>
      <c r="L163" s="43" t="inlineStr">
        <is>
          <t>MRP</t>
        </is>
      </c>
      <c r="M163" s="43" t="n">
        <v>50</v>
      </c>
      <c r="N163" s="43" t="inlineStr">
        <is>
          <t>RM-NWN-70GSMX6INCH</t>
        </is>
      </c>
      <c r="O163" s="43" t="n"/>
      <c r="P163" s="43" t="n"/>
      <c r="Q163" s="43" t="n">
        <v>0.165</v>
      </c>
      <c r="R163" s="43" t="inlineStr">
        <is>
          <t>KGS</t>
        </is>
      </c>
      <c r="S163" s="43" t="n"/>
      <c r="T163" s="43" t="n">
        <v>10</v>
      </c>
      <c r="U163" s="43" t="n"/>
      <c r="V163" s="43" t="inlineStr">
        <is>
          <t>CBEWIP</t>
        </is>
      </c>
      <c r="W163" s="43" t="n"/>
      <c r="X163" s="43" t="n"/>
      <c r="Y163" s="43" t="n"/>
      <c r="Z163" s="43" t="n"/>
      <c r="AA163" s="43" t="n"/>
      <c r="AB163" s="43" t="n"/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</row>
    <row r="164">
      <c r="A164" s="43" t="n">
        <v>12</v>
      </c>
      <c r="B164" s="43" t="inlineStr">
        <is>
          <t>Active</t>
        </is>
      </c>
      <c r="C164" s="43" t="inlineStr">
        <is>
          <t>SKBNNLMR78X72X06-CPC</t>
        </is>
      </c>
      <c r="D164" s="43" t="n"/>
      <c r="E164" s="43" t="inlineStr">
        <is>
          <t>SKBNNLMR78X72X06-CPC</t>
        </is>
      </c>
      <c r="F164" s="43" t="n"/>
      <c r="G164" s="43" t="n"/>
      <c r="H164" s="43" t="n"/>
      <c r="I164" s="43" t="n"/>
      <c r="J164" s="43" t="n"/>
      <c r="K164" s="43" t="n"/>
      <c r="L164" s="43" t="inlineStr">
        <is>
          <t>MRP</t>
        </is>
      </c>
      <c r="M164" s="43" t="n">
        <v>60</v>
      </c>
      <c r="N164" s="43" t="inlineStr">
        <is>
          <t>RM-THRD-QS-TKT40</t>
        </is>
      </c>
      <c r="O164" s="43" t="n"/>
      <c r="P164" s="43" t="n"/>
      <c r="Q164" s="43" t="n">
        <v>153.924</v>
      </c>
      <c r="R164" s="43" t="inlineStr">
        <is>
          <t>MTR</t>
        </is>
      </c>
      <c r="S164" s="43" t="n"/>
      <c r="T164" s="43" t="n">
        <v>10</v>
      </c>
      <c r="U164" s="43" t="n"/>
      <c r="V164" s="43" t="inlineStr">
        <is>
          <t>CBEWIP</t>
        </is>
      </c>
      <c r="W164" s="43" t="n"/>
      <c r="X164" s="43" t="n"/>
      <c r="Y164" s="43" t="n"/>
      <c r="Z164" s="43" t="n"/>
      <c r="AA164" s="43" t="n"/>
      <c r="AB164" s="43" t="n"/>
      <c r="AC164" s="43" t="n"/>
      <c r="AD164" s="43" t="n"/>
      <c r="AE164" s="43" t="n"/>
      <c r="AF164" s="43" t="n"/>
      <c r="AG164" s="43" t="n"/>
      <c r="AH164" s="43" t="n"/>
      <c r="AI164" s="43" t="n"/>
      <c r="AJ164" s="43" t="n"/>
      <c r="AK164" s="43" t="n"/>
      <c r="AL164" s="43" t="n"/>
    </row>
    <row r="165">
      <c r="A165" s="43" t="n">
        <v>12</v>
      </c>
      <c r="B165" s="43" t="inlineStr">
        <is>
          <t>Active</t>
        </is>
      </c>
      <c r="C165" s="43" t="inlineStr">
        <is>
          <t>SKBNNLMR78X72X06-CPC</t>
        </is>
      </c>
      <c r="D165" s="43" t="n"/>
      <c r="E165" s="43" t="inlineStr">
        <is>
          <t>SKBNNLMR78X72X06-CPC</t>
        </is>
      </c>
      <c r="F165" s="43" t="n"/>
      <c r="G165" s="43" t="n"/>
      <c r="H165" s="43" t="n"/>
      <c r="I165" s="43" t="n"/>
      <c r="J165" s="43" t="n"/>
      <c r="K165" s="43" t="n"/>
      <c r="L165" s="43" t="inlineStr">
        <is>
          <t>MRP</t>
        </is>
      </c>
      <c r="M165" s="43" t="n">
        <v>70</v>
      </c>
      <c r="N165" s="43" t="inlineStr">
        <is>
          <t>RML-EDTAPE-MER-KNIT</t>
        </is>
      </c>
      <c r="O165" s="43" t="n"/>
      <c r="P165" s="43" t="n"/>
      <c r="Q165" s="43" t="n">
        <v>15.646</v>
      </c>
      <c r="R165" s="43" t="inlineStr">
        <is>
          <t>MTR</t>
        </is>
      </c>
      <c r="S165" s="43" t="n"/>
      <c r="T165" s="43" t="n">
        <v>10</v>
      </c>
      <c r="U165" s="43" t="n"/>
      <c r="V165" s="43" t="inlineStr">
        <is>
          <t>CBEWIP</t>
        </is>
      </c>
      <c r="W165" s="43" t="n"/>
      <c r="X165" s="43" t="n"/>
      <c r="Y165" s="43" t="n"/>
      <c r="Z165" s="43" t="n"/>
      <c r="AA165" s="43" t="n"/>
      <c r="AB165" s="43" t="n"/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</row>
    <row r="166">
      <c r="A166" s="43" t="n">
        <v>12</v>
      </c>
      <c r="B166" s="43" t="inlineStr">
        <is>
          <t>Active</t>
        </is>
      </c>
      <c r="C166" s="43" t="inlineStr">
        <is>
          <t>SKBNNLMR78X72X06-CPC</t>
        </is>
      </c>
      <c r="D166" s="43" t="n"/>
      <c r="E166" s="43" t="inlineStr">
        <is>
          <t>SKBNNLMR78X72X06-CPC</t>
        </is>
      </c>
      <c r="F166" s="43" t="n"/>
      <c r="G166" s="43" t="n"/>
      <c r="H166" s="43" t="n"/>
      <c r="I166" s="43" t="n"/>
      <c r="J166" s="43" t="n"/>
      <c r="K166" s="43" t="n"/>
      <c r="L166" s="43" t="inlineStr">
        <is>
          <t>MRP</t>
        </is>
      </c>
      <c r="M166" s="43" t="n">
        <v>80</v>
      </c>
      <c r="N166" s="43" t="inlineStr">
        <is>
          <t>RML-THRD-TKT-40MER</t>
        </is>
      </c>
      <c r="O166" s="43" t="n"/>
      <c r="P166" s="43" t="n"/>
      <c r="Q166" s="43" t="n">
        <v>96.22499999999999</v>
      </c>
      <c r="R166" s="43" t="inlineStr">
        <is>
          <t>MTR</t>
        </is>
      </c>
      <c r="S166" s="43" t="n"/>
      <c r="T166" s="43" t="n">
        <v>10</v>
      </c>
      <c r="U166" s="43" t="n"/>
      <c r="V166" s="43" t="inlineStr">
        <is>
          <t>CBEWIP</t>
        </is>
      </c>
      <c r="W166" s="43" t="n"/>
      <c r="X166" s="43" t="n"/>
      <c r="Y166" s="43" t="n"/>
      <c r="Z166" s="43" t="n"/>
      <c r="AA166" s="43" t="n"/>
      <c r="AB166" s="43" t="n"/>
      <c r="AC166" s="43" t="n"/>
      <c r="AD166" s="43" t="n"/>
      <c r="AE166" s="43" t="n"/>
      <c r="AF166" s="43" t="n"/>
      <c r="AG166" s="43" t="n"/>
      <c r="AH166" s="43" t="n"/>
      <c r="AI166" s="43" t="n"/>
      <c r="AJ166" s="43" t="n"/>
      <c r="AK166" s="43" t="n"/>
      <c r="AL166" s="43" t="n"/>
    </row>
    <row r="167">
      <c r="A167" s="43" t="n">
        <v>12</v>
      </c>
      <c r="B167" s="43" t="inlineStr">
        <is>
          <t>Active</t>
        </is>
      </c>
      <c r="C167" s="43" t="inlineStr">
        <is>
          <t>SKBNNLMR78X72X06-CPC</t>
        </is>
      </c>
      <c r="D167" s="43" t="n"/>
      <c r="E167" s="43" t="inlineStr">
        <is>
          <t>SKBNNLMR78X72X06-CPC</t>
        </is>
      </c>
      <c r="F167" s="43" t="n"/>
      <c r="G167" s="43" t="n"/>
      <c r="H167" s="43" t="n"/>
      <c r="I167" s="43" t="n"/>
      <c r="J167" s="43" t="n"/>
      <c r="K167" s="43" t="n"/>
      <c r="L167" s="43" t="inlineStr">
        <is>
          <t>MRP</t>
        </is>
      </c>
      <c r="M167" s="43" t="n">
        <v>90</v>
      </c>
      <c r="N167" s="43" t="inlineStr">
        <is>
          <t>RML-CS-DRM-SILV-7</t>
        </is>
      </c>
      <c r="O167" s="43" t="n"/>
      <c r="P167" s="43" t="n"/>
      <c r="Q167" s="43" t="n">
        <v>4</v>
      </c>
      <c r="R167" s="43" t="inlineStr">
        <is>
          <t>NOS</t>
        </is>
      </c>
      <c r="S167" s="43" t="n"/>
      <c r="T167" s="43" t="n">
        <v>10</v>
      </c>
      <c r="U167" s="43" t="n"/>
      <c r="V167" s="43" t="inlineStr">
        <is>
          <t>CBEWIP</t>
        </is>
      </c>
      <c r="W167" s="43" t="n"/>
      <c r="X167" s="43" t="n"/>
      <c r="Y167" s="43" t="n"/>
      <c r="Z167" s="43" t="n"/>
      <c r="AA167" s="43" t="n"/>
      <c r="AB167" s="43" t="n"/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</row>
    <row r="168">
      <c r="A168" s="43" t="n">
        <v>12</v>
      </c>
      <c r="B168" s="43" t="inlineStr">
        <is>
          <t>Active</t>
        </is>
      </c>
      <c r="C168" s="43" t="inlineStr">
        <is>
          <t>SKBNNLMR78X72X06-CPC</t>
        </is>
      </c>
      <c r="D168" s="43" t="n"/>
      <c r="E168" s="43" t="inlineStr">
        <is>
          <t>SKBNNLMR78X72X06-CPC</t>
        </is>
      </c>
      <c r="F168" s="43" t="n"/>
      <c r="G168" s="43" t="n"/>
      <c r="H168" s="43" t="n"/>
      <c r="I168" s="43" t="n"/>
      <c r="J168" s="43" t="n"/>
      <c r="K168" s="43" t="n"/>
      <c r="L168" s="43" t="inlineStr">
        <is>
          <t>MRP</t>
        </is>
      </c>
      <c r="M168" s="43" t="n">
        <v>100</v>
      </c>
      <c r="N168" s="43" t="inlineStr">
        <is>
          <t>RM-PEPS-MAT-MRP-LBL</t>
        </is>
      </c>
      <c r="O168" s="43" t="n"/>
      <c r="P168" s="43" t="n"/>
      <c r="Q168" s="43" t="n">
        <v>1</v>
      </c>
      <c r="R168" s="43" t="inlineStr">
        <is>
          <t>NOS</t>
        </is>
      </c>
      <c r="S168" s="43" t="n"/>
      <c r="T168" s="43" t="n">
        <v>10</v>
      </c>
      <c r="U168" s="43" t="n"/>
      <c r="V168" s="43" t="inlineStr">
        <is>
          <t>CBEWIP</t>
        </is>
      </c>
      <c r="W168" s="43" t="n"/>
      <c r="X168" s="43" t="n"/>
      <c r="Y168" s="43" t="n"/>
      <c r="Z168" s="43" t="n"/>
      <c r="AA168" s="43" t="n"/>
      <c r="AB168" s="43" t="n"/>
      <c r="AC168" s="43" t="n"/>
      <c r="AD168" s="43" t="n"/>
      <c r="AE168" s="43" t="n"/>
      <c r="AF168" s="43" t="n"/>
      <c r="AG168" s="43" t="n"/>
      <c r="AH168" s="43" t="n"/>
      <c r="AI168" s="43" t="n"/>
      <c r="AJ168" s="43" t="n"/>
      <c r="AK168" s="43" t="n"/>
      <c r="AL168" s="43" t="n"/>
    </row>
    <row r="169">
      <c r="A169" s="43" t="n">
        <v>12</v>
      </c>
      <c r="B169" s="43" t="inlineStr">
        <is>
          <t>Active</t>
        </is>
      </c>
      <c r="C169" s="43" t="inlineStr">
        <is>
          <t>SKBNNLMR78X72X06-CPC</t>
        </is>
      </c>
      <c r="D169" s="43" t="n"/>
      <c r="E169" s="43" t="inlineStr">
        <is>
          <t>SKBNNLMR78X72X06-CPC</t>
        </is>
      </c>
      <c r="F169" s="43" t="n"/>
      <c r="G169" s="43" t="n"/>
      <c r="H169" s="43" t="n"/>
      <c r="I169" s="43" t="n"/>
      <c r="J169" s="43" t="n"/>
      <c r="K169" s="43" t="n"/>
      <c r="L169" s="43" t="inlineStr">
        <is>
          <t>MRP</t>
        </is>
      </c>
      <c r="M169" s="43" t="n">
        <v>110</v>
      </c>
      <c r="N169" s="43" t="inlineStr">
        <is>
          <t>RML-OK-ROUND-STK</t>
        </is>
      </c>
      <c r="O169" s="43" t="n"/>
      <c r="P169" s="43" t="n"/>
      <c r="Q169" s="43" t="n">
        <v>1</v>
      </c>
      <c r="R169" s="43" t="inlineStr">
        <is>
          <t>NOS</t>
        </is>
      </c>
      <c r="S169" s="43" t="n"/>
      <c r="T169" s="43" t="n">
        <v>10</v>
      </c>
      <c r="U169" s="43" t="n"/>
      <c r="V169" s="43" t="inlineStr">
        <is>
          <t>CBEWIP</t>
        </is>
      </c>
      <c r="W169" s="43" t="n"/>
      <c r="X169" s="43" t="n"/>
      <c r="Y169" s="43" t="n"/>
      <c r="Z169" s="43" t="n"/>
      <c r="AA169" s="43" t="n"/>
      <c r="AB169" s="43" t="n"/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</row>
    <row r="170">
      <c r="A170" s="43" t="n">
        <v>12</v>
      </c>
      <c r="B170" s="43" t="inlineStr">
        <is>
          <t>Active</t>
        </is>
      </c>
      <c r="C170" s="43" t="inlineStr">
        <is>
          <t>SKBNNLMR78X72X06-CPC</t>
        </is>
      </c>
      <c r="D170" s="43" t="n"/>
      <c r="E170" s="43" t="inlineStr">
        <is>
          <t>SKBNNLMR78X72X06-CPC</t>
        </is>
      </c>
      <c r="F170" s="43" t="n"/>
      <c r="G170" s="43" t="n"/>
      <c r="H170" s="43" t="n"/>
      <c r="I170" s="43" t="n"/>
      <c r="J170" s="43" t="n"/>
      <c r="K170" s="43" t="n"/>
      <c r="L170" s="43" t="inlineStr">
        <is>
          <t>MRP</t>
        </is>
      </c>
      <c r="M170" s="43" t="n">
        <v>120</v>
      </c>
      <c r="N170" s="43" t="inlineStr">
        <is>
          <t>RML-OK-STICKER</t>
        </is>
      </c>
      <c r="O170" s="43" t="n"/>
      <c r="P170" s="43" t="n"/>
      <c r="Q170" s="43" t="n">
        <v>1</v>
      </c>
      <c r="R170" s="43" t="inlineStr">
        <is>
          <t>NOS</t>
        </is>
      </c>
      <c r="S170" s="43" t="n"/>
      <c r="T170" s="43" t="n">
        <v>10</v>
      </c>
      <c r="U170" s="43" t="n"/>
      <c r="V170" s="43" t="inlineStr">
        <is>
          <t>CBEWIP</t>
        </is>
      </c>
      <c r="W170" s="43" t="n"/>
      <c r="X170" s="43" t="n"/>
      <c r="Y170" s="43" t="n"/>
      <c r="Z170" s="43" t="n"/>
      <c r="AA170" s="43" t="n"/>
      <c r="AB170" s="43" t="n"/>
      <c r="AC170" s="43" t="n"/>
      <c r="AD170" s="43" t="n"/>
      <c r="AE170" s="43" t="n"/>
      <c r="AF170" s="43" t="n"/>
      <c r="AG170" s="43" t="n"/>
      <c r="AH170" s="43" t="n"/>
      <c r="AI170" s="43" t="n"/>
      <c r="AJ170" s="43" t="n"/>
      <c r="AK170" s="43" t="n"/>
      <c r="AL170" s="43" t="n"/>
    </row>
    <row r="171">
      <c r="A171" s="43" t="n">
        <v>12</v>
      </c>
      <c r="B171" s="43" t="inlineStr">
        <is>
          <t>Active</t>
        </is>
      </c>
      <c r="C171" s="43" t="inlineStr">
        <is>
          <t>SKBNNLMR78X72X06-CPC</t>
        </is>
      </c>
      <c r="D171" s="43" t="n"/>
      <c r="E171" s="43" t="inlineStr">
        <is>
          <t>SKBNNLMR78X72X06-CPC</t>
        </is>
      </c>
      <c r="F171" s="43" t="n"/>
      <c r="G171" s="43" t="n"/>
      <c r="H171" s="43" t="n"/>
      <c r="I171" s="43" t="n"/>
      <c r="J171" s="43" t="n"/>
      <c r="K171" s="43" t="n"/>
      <c r="L171" s="43" t="inlineStr">
        <is>
          <t>MRP</t>
        </is>
      </c>
      <c r="M171" s="43" t="n">
        <v>130</v>
      </c>
      <c r="N171" s="43" t="inlineStr">
        <is>
          <t>RMI-PVC-50</t>
        </is>
      </c>
      <c r="O171" s="43" t="n"/>
      <c r="P171" s="43" t="n"/>
      <c r="Q171" s="43" t="n">
        <v>0.601</v>
      </c>
      <c r="R171" s="43" t="inlineStr">
        <is>
          <t>KGS</t>
        </is>
      </c>
      <c r="S171" s="43" t="n"/>
      <c r="T171" s="43" t="n">
        <v>10</v>
      </c>
      <c r="U171" s="43" t="n"/>
      <c r="V171" s="43" t="inlineStr">
        <is>
          <t>CBEWIP</t>
        </is>
      </c>
      <c r="W171" s="43" t="n"/>
      <c r="X171" s="43" t="n"/>
      <c r="Y171" s="43" t="n"/>
      <c r="Z171" s="43" t="n"/>
      <c r="AA171" s="43" t="n"/>
      <c r="AB171" s="43" t="n"/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</row>
    <row r="172">
      <c r="A172" s="43" t="n">
        <v>12</v>
      </c>
      <c r="B172" s="43" t="inlineStr">
        <is>
          <t>Active</t>
        </is>
      </c>
      <c r="C172" s="43" t="inlineStr">
        <is>
          <t>SKBNNLMR78X72X06-CPC</t>
        </is>
      </c>
      <c r="D172" s="43" t="n"/>
      <c r="E172" s="43" t="inlineStr">
        <is>
          <t>SKBNNLMR78X72X06-CPC</t>
        </is>
      </c>
      <c r="F172" s="43" t="n"/>
      <c r="G172" s="43" t="n"/>
      <c r="H172" s="43" t="n"/>
      <c r="I172" s="43" t="n"/>
      <c r="J172" s="43" t="n"/>
      <c r="K172" s="43" t="n"/>
      <c r="L172" s="43" t="inlineStr">
        <is>
          <t>MRP</t>
        </is>
      </c>
      <c r="M172" s="43" t="n">
        <v>140</v>
      </c>
      <c r="N172" s="43" t="inlineStr">
        <is>
          <t>17D-PU-FOAM-77.50X71.50X10MM</t>
        </is>
      </c>
      <c r="O172" s="43" t="n"/>
      <c r="P172" s="43" t="n"/>
      <c r="Q172" s="43" t="n">
        <v>1</v>
      </c>
      <c r="R172" s="43" t="inlineStr">
        <is>
          <t>NOS</t>
        </is>
      </c>
      <c r="S172" s="43" t="n"/>
      <c r="T172" s="43" t="n">
        <v>10</v>
      </c>
      <c r="U172" s="43" t="n"/>
      <c r="V172" s="43" t="inlineStr">
        <is>
          <t>CBESFG</t>
        </is>
      </c>
      <c r="W172" s="43" t="n"/>
      <c r="X172" s="43" t="n"/>
      <c r="Y172" s="43" t="n"/>
      <c r="Z172" s="43" t="n"/>
      <c r="AA172" s="43" t="n"/>
      <c r="AB172" s="43" t="n"/>
      <c r="AC172" s="43" t="n"/>
      <c r="AD172" s="43" t="n"/>
      <c r="AE172" s="43" t="n"/>
      <c r="AF172" s="43" t="n"/>
      <c r="AG172" s="43" t="n"/>
      <c r="AH172" s="43" t="n"/>
      <c r="AI172" s="43" t="n"/>
      <c r="AJ172" s="43" t="n"/>
      <c r="AK172" s="43" t="n"/>
      <c r="AL172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2026-07-28T08:39:34Z</dcterms:modified>
  <cp:lastModifiedBy>QUILTING</cp:lastModifiedBy>
  <cp:lastPrinted>2022-05-27T11:55:11Z</cp:lastPrinted>
</cp:coreProperties>
</file>