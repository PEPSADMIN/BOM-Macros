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Springkoil-online-Canteen\PT\"/>
    </mc:Choice>
  </mc:AlternateContent>
  <bookViews>
    <workbookView xWindow="0" yWindow="0" windowWidth="20490" windowHeight="736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DEST!$A$4:$AL$2476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5" i="13" l="1"/>
  <c r="D14" i="13"/>
  <c r="H14" i="13"/>
  <c r="E2" i="13"/>
  <c r="E3" i="13" l="1"/>
  <c r="D3" i="13" l="1"/>
  <c r="D4" i="13"/>
  <c r="D5" i="13"/>
  <c r="D6" i="13"/>
  <c r="D7" i="13"/>
  <c r="D8" i="13"/>
  <c r="D9" i="13"/>
  <c r="D10" i="13"/>
  <c r="D11" i="13"/>
  <c r="D12" i="13"/>
  <c r="D13" i="13"/>
  <c r="D15" i="13"/>
  <c r="D2" i="13"/>
  <c r="G8" i="13" l="1"/>
  <c r="E8" i="13"/>
  <c r="E7" i="13"/>
  <c r="E4" i="13"/>
  <c r="H15" i="13" l="1"/>
  <c r="G13" i="13"/>
  <c r="H13" i="13" s="1"/>
  <c r="G4" i="13"/>
  <c r="H4" i="13" s="1"/>
  <c r="G3" i="13"/>
  <c r="H12" i="13" l="1"/>
  <c r="H11" i="13"/>
  <c r="H10" i="13"/>
  <c r="H9" i="13"/>
  <c r="H8" i="13"/>
  <c r="G7" i="13"/>
  <c r="H7" i="13" s="1"/>
  <c r="G6" i="13"/>
  <c r="H6" i="13" s="1"/>
  <c r="G5" i="13"/>
  <c r="H5" i="13" s="1"/>
  <c r="H3" i="13"/>
  <c r="H2" i="13"/>
</calcChain>
</file>

<file path=xl/sharedStrings.xml><?xml version="1.0" encoding="utf-8"?>
<sst xmlns="http://schemas.openxmlformats.org/spreadsheetml/2006/main" count="2098" uniqueCount="130">
  <si>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</si>
  <si>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</si>
  <si>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</si>
  <si>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</si>
  <si>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</si>
  <si>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</si>
  <si>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</si>
  <si>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</si>
  <si>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</si>
  <si>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</si>
  <si>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</si>
  <si>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</si>
  <si>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</si>
  <si>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</si>
  <si>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</si>
  <si>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</si>
  <si>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</si>
  <si>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</si>
  <si>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</si>
  <si>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</si>
  <si>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</si>
  <si>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</si>
  <si>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</si>
  <si>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</si>
  <si>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</si>
  <si>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</si>
  <si>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</si>
  <si>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</si>
  <si>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</si>
  <si>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</si>
  <si>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</si>
  <si>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</si>
  <si>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</si>
  <si>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</si>
  <si>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</si>
  <si>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</si>
  <si>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</si>
  <si>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</si>
  <si>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</si>
  <si>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</si>
  <si>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</si>
  <si>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</si>
  <si>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</si>
  <si>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</si>
  <si>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</si>
  <si>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</si>
  <si>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</si>
  <si>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</si>
  <si>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</si>
  <si>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</si>
  <si>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</si>
  <si>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</si>
  <si>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</si>
  <si>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</si>
  <si>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</si>
  <si>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</si>
  <si>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</si>
  <si>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</si>
  <si>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</si>
  <si>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</si>
  <si>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</si>
  <si>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</si>
  <si>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</si>
  <si>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</si>
  <si>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</si>
  <si>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</si>
  <si>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</si>
  <si>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</si>
  <si>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</si>
  <si>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</si>
  <si>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</si>
  <si>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</si>
  <si>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</si>
  <si>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</si>
  <si>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</si>
  <si>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</si>
  <si>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</si>
  <si>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</si>
  <si>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</si>
  <si>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</si>
  <si>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</si>
  <si>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</si>
  <si>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</si>
  <si>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</si>
  <si>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</si>
  <si>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</si>
  <si>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</si>
  <si>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</si>
  <si>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</si>
  <si>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</si>
  <si>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</si>
  <si>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</si>
  <si>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</si>
  <si>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</si>
  <si>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MR</t>
  </si>
  <si>
    <t>RML-EDTAPE-MER-KNIT</t>
  </si>
  <si>
    <t>RML-THRD-TKT-40MER</t>
  </si>
  <si>
    <t>RML-POLY-GUM</t>
  </si>
  <si>
    <t>LTR</t>
  </si>
  <si>
    <t>06</t>
  </si>
  <si>
    <t>60</t>
  </si>
  <si>
    <t>RMI-PVC-50</t>
  </si>
  <si>
    <t>RML-CS-DRM-SILV-6</t>
  </si>
  <si>
    <t>SFG-SPKMR-BP</t>
  </si>
  <si>
    <t>36</t>
  </si>
  <si>
    <t>SKBNPTMR72X36X06-SCPC</t>
  </si>
  <si>
    <t>SKBNPTMR75X36X06-SCPC</t>
  </si>
  <si>
    <t>SKBNPTMR75X60X06-SCPC</t>
  </si>
  <si>
    <t>SKBNPTMR75X72X06-SCPC</t>
  </si>
  <si>
    <t>SKBNPTMR78X60X06-SCPC</t>
  </si>
  <si>
    <t>SKBNPTMR78X72X06-SCPC</t>
  </si>
  <si>
    <t>OEBOXBNSR71.50X35.50X120</t>
  </si>
  <si>
    <t>SFG-SPKMR-ONL-QUILT</t>
  </si>
  <si>
    <t>17D-PU-FOAM-67X31X10MM</t>
  </si>
  <si>
    <t>OEBOXBNSR74.50X35.50X120</t>
  </si>
  <si>
    <t>17D-PU-FOAM-70X31X10MM</t>
  </si>
  <si>
    <t>OEBOXBNSR74.50X59.50X120</t>
  </si>
  <si>
    <t>17D-PU-FOAM-70X55X10MM</t>
  </si>
  <si>
    <t>OEBOXBNSR74.50X71.50X120</t>
  </si>
  <si>
    <t>17D-PU-FOAM-70X67X10MM</t>
  </si>
  <si>
    <t>OEBOXBNSR77.50X59.50X120</t>
  </si>
  <si>
    <t>17D-PU-FOAM-73X55X10MM</t>
  </si>
  <si>
    <t>OEBOXBNSR77.50X71.50X120</t>
  </si>
  <si>
    <t>17D-PU-FOAM-73X67X10MM</t>
  </si>
  <si>
    <t>25D-HELIXA-FOAM-69X33X15MM</t>
  </si>
  <si>
    <t>25D-HELIXA-FOAM-72X33X15MM</t>
  </si>
  <si>
    <t>25D-HELIXA-FOAM-72X57X15MM</t>
  </si>
  <si>
    <t>25D-HELIXA-FOAM-72X69X15MM</t>
  </si>
  <si>
    <t>25D-HELIXA-FOAM-75X57X15MM</t>
  </si>
  <si>
    <t>25D-HELIXA-FOAM-75X69X15MM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</si>
</sst>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28515625" style="17" bestFit="1" customWidth="1"/>
    <col min="5" max="5" width="27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7">
        <v>1</v>
      </c>
      <c r="B2" s="7" t="s">
        <v>12</v>
      </c>
      <c r="C2" s="7" t="s">
        <v>12</v>
      </c>
      <c r="D2" s="7" t="str">
        <f>"SKBNPT"&amp;IF($N$2="BW","BW",IF($N$2="CR","CR",IF($N$2="DB","DB","MR")))&amp;$K$2&amp;"X"&amp;$L$2&amp;"X06"&amp;"-"&amp;"SCPC"</f>
        <v>SKBNPTMR78X72X06-SCPC</v>
      </c>
      <c r="E2" s="1" t="str">
        <f>"OEBOXBNSR"&amp;(K2-0.5)&amp;"0"&amp;"X"&amp;(L2-0.5)&amp;"0"&amp;"X120"</f>
        <v>OEBOXBNSR77.50X71.50X120</v>
      </c>
      <c r="F2" s="39" t="s">
        <v>11</v>
      </c>
      <c r="G2" s="37">
        <v>1</v>
      </c>
      <c r="H2" s="37">
        <f>ROUND(G2,3)</f>
        <v>1</v>
      </c>
      <c r="I2" s="21" t="s">
        <v>16</v>
      </c>
      <c r="J2" s="5"/>
      <c r="K2" s="6">
        <v>78</v>
      </c>
      <c r="L2" s="6">
        <v>72</v>
      </c>
      <c r="M2" s="36">
        <v>6</v>
      </c>
      <c r="N2" s="6" t="s">
        <v>94</v>
      </c>
      <c r="P2" s="4">
        <v>6</v>
      </c>
      <c r="R2" s="34" t="s">
        <v>91</v>
      </c>
      <c r="S2" s="34" t="s">
        <v>104</v>
      </c>
      <c r="T2" s="34" t="s">
        <v>99</v>
      </c>
      <c r="U2" s="34" t="s">
        <v>94</v>
      </c>
    </row>
    <row r="3" spans="1:21" s="19" customFormat="1" x14ac:dyDescent="0.25">
      <c r="A3" s="7">
        <v>3</v>
      </c>
      <c r="B3" s="7" t="s">
        <v>17</v>
      </c>
      <c r="C3" s="7" t="s">
        <v>17</v>
      </c>
      <c r="D3" s="7" t="str">
        <f t="shared" ref="D3:D15" si="0">"SKBNPT"&amp;IF($N$2="BW","BW",IF($N$2="CR","CR",IF($N$2="DB","DB","MR")))&amp;$K$2&amp;"X"&amp;$L$2&amp;"X06"&amp;"-"&amp;"SCPC"</f>
        <v>SKBNPTMR78X72X06-SCPC</v>
      </c>
      <c r="E3" s="20" t="str">
        <f>IF(N2="MR","SFG-SPKMR-ONL-QUILT",IF(N2="CR","SFG-SPKCR-ONL-QUILT",IF(N2="BW","SFG-SPKBW-ONL-QUILT",IF(N2="DB","SFG-SPKDB-ONL-QUILT",0))))</f>
        <v>SFG-SPKMR-ONL-QUILT</v>
      </c>
      <c r="F3" s="11" t="s">
        <v>15</v>
      </c>
      <c r="G3" s="10">
        <f>IF(K2&lt;79,(L2+1),IF(L2&lt;37,(K2+1),(K2+1)))*0.0254</f>
        <v>1.8541999999999998</v>
      </c>
      <c r="H3" s="37">
        <f t="shared" ref="H3:H4" si="1">ROUND(G3,3)</f>
        <v>1.8540000000000001</v>
      </c>
      <c r="I3" s="21" t="s">
        <v>16</v>
      </c>
      <c r="J3" s="5"/>
      <c r="K3" s="18"/>
      <c r="L3" s="18"/>
      <c r="M3" s="18"/>
      <c r="N3" s="18"/>
      <c r="O3" s="4"/>
      <c r="R3" s="34" t="s">
        <v>92</v>
      </c>
      <c r="S3" s="34" t="s">
        <v>104</v>
      </c>
      <c r="T3" s="34" t="s">
        <v>99</v>
      </c>
      <c r="U3" s="34" t="s">
        <v>94</v>
      </c>
    </row>
    <row r="4" spans="1:21" x14ac:dyDescent="0.25">
      <c r="A4" s="7">
        <v>4</v>
      </c>
      <c r="B4" s="7" t="s">
        <v>17</v>
      </c>
      <c r="C4" s="7" t="s">
        <v>17</v>
      </c>
      <c r="D4" s="7" t="str">
        <f t="shared" si="0"/>
        <v>SKBNPTMR78X72X06-SCPC</v>
      </c>
      <c r="E4" s="20" t="str">
        <f>IF(N2="MR","SFG-SPKMR-BP",IF(N2="BW","SFG-SPKBW-BP",IF(N2="CR","SFG-SPKCR-BP",IF(N2="DB","SFG-SPKDB-BP",0))))</f>
        <v>SFG-SPKMR-BP</v>
      </c>
      <c r="F4" s="11" t="s">
        <v>15</v>
      </c>
      <c r="G4" s="10">
        <f>IF(K2&lt;79,(L2+1),IF(L2&lt;37,(K2+1),(K2+1)))*0.0254</f>
        <v>1.8541999999999998</v>
      </c>
      <c r="H4" s="37">
        <f t="shared" si="1"/>
        <v>1.8540000000000001</v>
      </c>
      <c r="I4" s="21" t="s">
        <v>16</v>
      </c>
      <c r="J4" s="12"/>
      <c r="O4" s="19"/>
      <c r="R4" s="34" t="s">
        <v>92</v>
      </c>
      <c r="S4" s="34" t="s">
        <v>100</v>
      </c>
      <c r="T4" s="34" t="s">
        <v>99</v>
      </c>
      <c r="U4" s="34" t="s">
        <v>94</v>
      </c>
    </row>
    <row r="5" spans="1:21" x14ac:dyDescent="0.25">
      <c r="A5" s="7">
        <v>7</v>
      </c>
      <c r="B5" s="7" t="s">
        <v>19</v>
      </c>
      <c r="C5" s="7" t="s">
        <v>19</v>
      </c>
      <c r="D5" s="7" t="str">
        <f t="shared" si="0"/>
        <v>SKBNPTMR78X72X06-SCPC</v>
      </c>
      <c r="E5" s="9" t="s">
        <v>97</v>
      </c>
      <c r="F5" s="11" t="s">
        <v>98</v>
      </c>
      <c r="G5" s="10">
        <f>((K2-5)*(L2-5)/144)*0.00729*4</f>
        <v>0.99042750000000002</v>
      </c>
      <c r="H5" s="37">
        <f t="shared" ref="H5:H15" si="2">ROUND(G5,3)</f>
        <v>0.99</v>
      </c>
      <c r="I5" s="8" t="s">
        <v>14</v>
      </c>
      <c r="J5" s="12"/>
      <c r="O5" s="19"/>
      <c r="R5" s="34" t="s">
        <v>92</v>
      </c>
      <c r="S5" s="34" t="s">
        <v>91</v>
      </c>
      <c r="T5" s="34" t="s">
        <v>99</v>
      </c>
      <c r="U5" s="34" t="s">
        <v>94</v>
      </c>
    </row>
    <row r="6" spans="1:21" x14ac:dyDescent="0.25">
      <c r="A6" s="7">
        <v>8</v>
      </c>
      <c r="B6" s="7" t="s">
        <v>17</v>
      </c>
      <c r="C6" s="7" t="s">
        <v>17</v>
      </c>
      <c r="D6" s="7" t="str">
        <f t="shared" si="0"/>
        <v>SKBNPTMR78X72X06-SCPC</v>
      </c>
      <c r="E6" s="15" t="s">
        <v>18</v>
      </c>
      <c r="F6" s="16" t="s">
        <v>15</v>
      </c>
      <c r="G6" s="10">
        <f>(K2+L2+1.5)*4*0.0254*8</f>
        <v>123.13919999999999</v>
      </c>
      <c r="H6" s="37">
        <f t="shared" si="2"/>
        <v>123.139</v>
      </c>
      <c r="I6" s="8" t="s">
        <v>14</v>
      </c>
      <c r="J6" s="12"/>
      <c r="R6" s="34" t="s">
        <v>93</v>
      </c>
      <c r="S6" s="34" t="s">
        <v>100</v>
      </c>
      <c r="T6" s="34" t="s">
        <v>99</v>
      </c>
      <c r="U6" s="34" t="s">
        <v>94</v>
      </c>
    </row>
    <row r="7" spans="1:21" x14ac:dyDescent="0.25">
      <c r="A7" s="7">
        <v>9</v>
      </c>
      <c r="B7" s="7" t="s">
        <v>19</v>
      </c>
      <c r="C7" s="7" t="s">
        <v>19</v>
      </c>
      <c r="D7" s="7" t="str">
        <f t="shared" si="0"/>
        <v>SKBNPTMR78X72X06-SCPC</v>
      </c>
      <c r="E7" s="15" t="str">
        <f>IF(N2="BW","RML-EDTAPE-BRN",IF(N2="CR","RML-EDTAPE-BRN",IF(N2="DB","RML-EDTAPE-BLUE",IF(N2="LG","RML-EDTAPE-BLUE",IF(N2="BG","RML-EDTAPE-YEL-FDY",IF(N2="MR","RML-EDTAPE-MER-KNIT",0))))))</f>
        <v>RML-EDTAPE-MER-KNIT</v>
      </c>
      <c r="F7" s="16" t="s">
        <v>15</v>
      </c>
      <c r="G7" s="10">
        <f>(K2+L2+4)*2*0.0254*4</f>
        <v>31.2928</v>
      </c>
      <c r="H7" s="37">
        <f t="shared" si="2"/>
        <v>31.292999999999999</v>
      </c>
      <c r="I7" s="8" t="s">
        <v>14</v>
      </c>
      <c r="J7" s="12"/>
      <c r="K7" s="19"/>
      <c r="L7" s="19"/>
      <c r="M7" s="19"/>
      <c r="N7" s="19"/>
      <c r="O7" s="19"/>
      <c r="P7" s="19"/>
      <c r="Q7" s="19"/>
      <c r="R7" s="34" t="s">
        <v>93</v>
      </c>
      <c r="S7" s="34" t="s">
        <v>91</v>
      </c>
      <c r="T7" s="34" t="s">
        <v>99</v>
      </c>
      <c r="U7" s="34" t="s">
        <v>94</v>
      </c>
    </row>
    <row r="8" spans="1:21" x14ac:dyDescent="0.25">
      <c r="A8" s="7">
        <v>10</v>
      </c>
      <c r="B8" s="7" t="s">
        <v>19</v>
      </c>
      <c r="C8" s="7" t="s">
        <v>19</v>
      </c>
      <c r="D8" s="7" t="str">
        <f t="shared" si="0"/>
        <v>SKBNPTMR78X72X06-SCPC</v>
      </c>
      <c r="E8" s="15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8" s="16" t="s">
        <v>15</v>
      </c>
      <c r="G8" s="10">
        <f>(K2+L2+4)*2*0.0254*(4.73+1.42)*3</f>
        <v>144.33804000000001</v>
      </c>
      <c r="H8" s="37">
        <f t="shared" si="2"/>
        <v>144.33799999999999</v>
      </c>
      <c r="I8" s="8" t="s">
        <v>14</v>
      </c>
      <c r="J8" s="12"/>
      <c r="K8" s="19"/>
      <c r="L8" s="19"/>
      <c r="M8" s="19"/>
      <c r="N8" s="19"/>
      <c r="O8" s="19"/>
      <c r="P8" s="19"/>
      <c r="Q8" s="19"/>
      <c r="R8" s="34" t="s">
        <v>91</v>
      </c>
      <c r="S8" s="34" t="s">
        <v>104</v>
      </c>
      <c r="T8" s="34" t="s">
        <v>99</v>
      </c>
      <c r="U8" s="34" t="s">
        <v>94</v>
      </c>
    </row>
    <row r="9" spans="1:21" x14ac:dyDescent="0.25">
      <c r="A9" s="7">
        <v>11</v>
      </c>
      <c r="B9" s="7" t="s">
        <v>20</v>
      </c>
      <c r="C9" s="15" t="s">
        <v>20</v>
      </c>
      <c r="D9" s="7" t="str">
        <f t="shared" si="0"/>
        <v>SKBNPTMR78X72X06-SCPC</v>
      </c>
      <c r="E9" s="41" t="s">
        <v>102</v>
      </c>
      <c r="F9" s="16" t="s">
        <v>11</v>
      </c>
      <c r="G9" s="10">
        <v>4</v>
      </c>
      <c r="H9" s="37">
        <f t="shared" si="2"/>
        <v>4</v>
      </c>
      <c r="I9" s="8" t="s">
        <v>14</v>
      </c>
      <c r="J9" s="12"/>
      <c r="K9" s="19"/>
      <c r="L9" s="19"/>
      <c r="M9" s="19"/>
      <c r="N9" s="19"/>
      <c r="O9" s="19"/>
      <c r="P9" s="23"/>
      <c r="Q9" s="19"/>
      <c r="R9" s="34" t="s">
        <v>92</v>
      </c>
      <c r="S9" s="34" t="s">
        <v>104</v>
      </c>
      <c r="T9" s="34" t="s">
        <v>99</v>
      </c>
      <c r="U9" s="34" t="s">
        <v>94</v>
      </c>
    </row>
    <row r="10" spans="1:21" x14ac:dyDescent="0.25">
      <c r="A10" s="7">
        <v>12</v>
      </c>
      <c r="B10" s="7" t="s">
        <v>19</v>
      </c>
      <c r="C10" s="7" t="s">
        <v>19</v>
      </c>
      <c r="D10" s="7" t="str">
        <f t="shared" si="0"/>
        <v>SKBNPTMR78X72X06-SCPC</v>
      </c>
      <c r="E10" s="15" t="s">
        <v>21</v>
      </c>
      <c r="F10" s="16" t="s">
        <v>11</v>
      </c>
      <c r="G10" s="10">
        <v>1</v>
      </c>
      <c r="H10" s="37">
        <f t="shared" si="2"/>
        <v>1</v>
      </c>
      <c r="I10" s="8" t="s">
        <v>14</v>
      </c>
      <c r="J10" s="12"/>
      <c r="K10" s="19"/>
      <c r="L10" s="19"/>
      <c r="M10" s="19"/>
      <c r="N10" s="19"/>
      <c r="O10" s="19"/>
      <c r="P10" s="19"/>
      <c r="Q10" s="19"/>
      <c r="R10" s="34" t="s">
        <v>92</v>
      </c>
      <c r="S10" s="34" t="s">
        <v>100</v>
      </c>
      <c r="T10" s="34" t="s">
        <v>99</v>
      </c>
      <c r="U10" s="34" t="s">
        <v>94</v>
      </c>
    </row>
    <row r="11" spans="1:21" x14ac:dyDescent="0.25">
      <c r="A11" s="7">
        <v>13</v>
      </c>
      <c r="B11" s="7" t="s">
        <v>20</v>
      </c>
      <c r="C11" s="15" t="s">
        <v>20</v>
      </c>
      <c r="D11" s="7" t="str">
        <f t="shared" si="0"/>
        <v>SKBNPTMR78X72X06-SCPC</v>
      </c>
      <c r="E11" s="15" t="s">
        <v>22</v>
      </c>
      <c r="F11" s="16" t="s">
        <v>11</v>
      </c>
      <c r="G11" s="14">
        <v>1</v>
      </c>
      <c r="H11" s="37">
        <f t="shared" si="2"/>
        <v>1</v>
      </c>
      <c r="I11" s="8" t="s">
        <v>14</v>
      </c>
      <c r="J11" s="12"/>
      <c r="K11" s="24"/>
      <c r="L11" s="24"/>
      <c r="M11" s="19"/>
      <c r="N11" s="23"/>
      <c r="O11" s="19"/>
      <c r="P11" s="19"/>
      <c r="Q11" s="19"/>
      <c r="R11" s="34" t="s">
        <v>92</v>
      </c>
      <c r="S11" s="34" t="s">
        <v>91</v>
      </c>
      <c r="T11" s="34" t="s">
        <v>99</v>
      </c>
      <c r="U11" s="34" t="s">
        <v>94</v>
      </c>
    </row>
    <row r="12" spans="1:21" x14ac:dyDescent="0.25">
      <c r="A12" s="7">
        <v>14</v>
      </c>
      <c r="B12" s="7" t="s">
        <v>20</v>
      </c>
      <c r="C12" s="9" t="s">
        <v>20</v>
      </c>
      <c r="D12" s="7" t="str">
        <f t="shared" si="0"/>
        <v>SKBNPTMR78X72X06-SCPC</v>
      </c>
      <c r="E12" s="9" t="s">
        <v>23</v>
      </c>
      <c r="F12" s="11" t="s">
        <v>11</v>
      </c>
      <c r="G12" s="14">
        <v>1</v>
      </c>
      <c r="H12" s="37">
        <f t="shared" si="2"/>
        <v>1</v>
      </c>
      <c r="I12" s="8" t="s">
        <v>14</v>
      </c>
      <c r="J12" s="12"/>
      <c r="K12" s="19"/>
      <c r="L12" s="19"/>
      <c r="M12" s="19"/>
      <c r="N12" s="19"/>
      <c r="O12" s="19"/>
      <c r="P12" s="19"/>
      <c r="Q12" s="19"/>
      <c r="R12" s="34" t="s">
        <v>93</v>
      </c>
      <c r="S12" s="34" t="s">
        <v>100</v>
      </c>
      <c r="T12" s="34" t="s">
        <v>99</v>
      </c>
      <c r="U12" s="34" t="s">
        <v>94</v>
      </c>
    </row>
    <row r="13" spans="1:21" x14ac:dyDescent="0.25">
      <c r="A13" s="7">
        <v>15</v>
      </c>
      <c r="B13" s="7" t="s">
        <v>20</v>
      </c>
      <c r="C13" s="9" t="s">
        <v>20</v>
      </c>
      <c r="D13" s="7" t="str">
        <f t="shared" si="0"/>
        <v>SKBNPTMR78X72X06-SCPC</v>
      </c>
      <c r="E13" s="9" t="s">
        <v>101</v>
      </c>
      <c r="F13" s="11" t="s">
        <v>13</v>
      </c>
      <c r="G13" s="10">
        <f>IF(K2&lt;79,((L2*2)+(M2*2)+4),((K2*2)+(M2*2)+4))*0.0254*89.5*0.0254*0.00005*1300</f>
        <v>0.60051492800000006</v>
      </c>
      <c r="H13" s="37">
        <f t="shared" si="2"/>
        <v>0.60099999999999998</v>
      </c>
      <c r="I13" s="8" t="s">
        <v>14</v>
      </c>
      <c r="J13" s="12"/>
      <c r="K13" s="22"/>
      <c r="R13" s="34" t="s">
        <v>93</v>
      </c>
      <c r="S13" s="34" t="s">
        <v>91</v>
      </c>
      <c r="T13" s="34" t="s">
        <v>99</v>
      </c>
      <c r="U13" s="35" t="s">
        <v>94</v>
      </c>
    </row>
    <row r="14" spans="1:21" x14ac:dyDescent="0.25">
      <c r="A14" s="7">
        <v>17</v>
      </c>
      <c r="B14" s="7" t="s">
        <v>19</v>
      </c>
      <c r="C14" s="7" t="s">
        <v>19</v>
      </c>
      <c r="D14" s="7" t="str">
        <f t="shared" si="0"/>
        <v>SKBNPTMR78X72X06-SCPC</v>
      </c>
      <c r="E14" s="40" t="str">
        <f>"25D-HELIXA-FOAM-"&amp;(K2-3)&amp;"X"&amp;(L2-3)&amp;"X15MM"</f>
        <v>25D-HELIXA-FOAM-75X69X15MM</v>
      </c>
      <c r="F14" s="8" t="s">
        <v>11</v>
      </c>
      <c r="G14" s="14">
        <v>1</v>
      </c>
      <c r="H14" s="37">
        <f t="shared" si="2"/>
        <v>1</v>
      </c>
      <c r="I14" s="21" t="s">
        <v>16</v>
      </c>
      <c r="J14" s="12"/>
      <c r="M14" s="22"/>
      <c r="O14" s="22"/>
      <c r="R14" s="34"/>
      <c r="S14" s="34"/>
      <c r="T14" s="34"/>
      <c r="U14" s="35"/>
    </row>
    <row r="15" spans="1:21" x14ac:dyDescent="0.25">
      <c r="A15" s="7">
        <v>18</v>
      </c>
      <c r="B15" s="7" t="s">
        <v>19</v>
      </c>
      <c r="C15" s="7" t="s">
        <v>19</v>
      </c>
      <c r="D15" s="7" t="str">
        <f t="shared" si="0"/>
        <v>SKBNPTMR78X72X06-SCPC</v>
      </c>
      <c r="E15" s="40" t="str">
        <f>"17D-PU-FOAM-"&amp;(K2-5)&amp;"X"&amp;(L2-5)&amp;"X10MM"</f>
        <v>17D-PU-FOAM-73X67X10MM</v>
      </c>
      <c r="F15" s="8" t="s">
        <v>11</v>
      </c>
      <c r="G15" s="14">
        <v>1</v>
      </c>
      <c r="H15" s="37">
        <f t="shared" si="2"/>
        <v>1</v>
      </c>
      <c r="I15" s="21" t="s">
        <v>16</v>
      </c>
      <c r="J15" s="12"/>
      <c r="N15"/>
      <c r="O15"/>
      <c r="R15" s="34"/>
      <c r="S15" s="34"/>
      <c r="T15" s="34"/>
      <c r="U15" s="35"/>
    </row>
    <row r="16" spans="1:21" x14ac:dyDescent="0.25">
      <c r="J16" s="12"/>
      <c r="M16" s="22"/>
      <c r="N16"/>
      <c r="O16"/>
      <c r="R16" s="34"/>
      <c r="S16" s="34"/>
      <c r="T16" s="34"/>
      <c r="U16" s="35"/>
    </row>
    <row r="17" spans="5:21" x14ac:dyDescent="0.25">
      <c r="J17" s="12"/>
      <c r="N17"/>
      <c r="O17"/>
      <c r="R17" s="34"/>
      <c r="S17" s="34"/>
      <c r="T17" s="34"/>
      <c r="U17" s="35"/>
    </row>
    <row r="18" spans="5:21" x14ac:dyDescent="0.25">
      <c r="J18" s="12"/>
      <c r="N18"/>
      <c r="O18"/>
      <c r="R18" s="34"/>
      <c r="S18" s="34"/>
      <c r="T18" s="34"/>
      <c r="U18" s="35"/>
    </row>
    <row r="19" spans="5:21" x14ac:dyDescent="0.25">
      <c r="J19" s="12"/>
      <c r="N19"/>
      <c r="O19"/>
      <c r="R19" s="34"/>
      <c r="S19" s="34"/>
      <c r="T19" s="34"/>
      <c r="U19" s="35"/>
    </row>
    <row r="20" spans="5:21" x14ac:dyDescent="0.25">
      <c r="J20" s="12"/>
      <c r="N20" s="31"/>
      <c r="O20"/>
      <c r="R20" s="34"/>
      <c r="S20" s="34"/>
      <c r="T20" s="34"/>
      <c r="U20" s="35"/>
    </row>
    <row r="21" spans="5:21" x14ac:dyDescent="0.25">
      <c r="J21" s="12"/>
      <c r="N21"/>
      <c r="O21"/>
      <c r="R21" s="34"/>
      <c r="S21" s="34"/>
      <c r="T21" s="34"/>
      <c r="U21" s="35"/>
    </row>
    <row r="22" spans="5:21" x14ac:dyDescent="0.25">
      <c r="J22" s="12"/>
      <c r="N22"/>
      <c r="O22"/>
      <c r="R22" s="34"/>
      <c r="S22" s="34"/>
      <c r="T22" s="34"/>
      <c r="U22" s="35"/>
    </row>
    <row r="23" spans="5:21" x14ac:dyDescent="0.25">
      <c r="J23" s="13"/>
      <c r="K23" s="19"/>
      <c r="L23" s="19"/>
      <c r="M23" s="19"/>
      <c r="N23"/>
      <c r="O23"/>
      <c r="P23" s="19"/>
      <c r="Q23" s="19"/>
      <c r="R23" s="34"/>
      <c r="S23" s="34"/>
      <c r="T23" s="34"/>
      <c r="U23" s="35"/>
    </row>
    <row r="24" spans="5:21" x14ac:dyDescent="0.25">
      <c r="J24" s="13"/>
      <c r="K24" s="19"/>
      <c r="L24" s="19"/>
      <c r="M24" s="19"/>
      <c r="N24" s="31"/>
      <c r="O24"/>
      <c r="P24" s="19"/>
      <c r="Q24" s="19"/>
      <c r="R24" s="34"/>
      <c r="S24" s="34"/>
      <c r="T24" s="34"/>
      <c r="U24" s="35"/>
    </row>
    <row r="25" spans="5:21" x14ac:dyDescent="0.25">
      <c r="G25" s="22"/>
      <c r="H25" s="32"/>
      <c r="I25" s="33"/>
      <c r="N25"/>
      <c r="O25"/>
      <c r="R25" s="34"/>
      <c r="S25" s="34"/>
      <c r="T25" s="34"/>
      <c r="U25" s="35"/>
    </row>
    <row r="26" spans="5:21" x14ac:dyDescent="0.25">
      <c r="G26" s="22"/>
      <c r="N26"/>
      <c r="O26"/>
      <c r="R26" s="34"/>
      <c r="S26" s="34"/>
      <c r="T26" s="34"/>
      <c r="U26" s="35"/>
    </row>
    <row r="27" spans="5:21" x14ac:dyDescent="0.25">
      <c r="G27" s="22"/>
      <c r="I27" s="22"/>
      <c r="N27"/>
      <c r="O27"/>
      <c r="R27" s="34"/>
      <c r="S27" s="34"/>
      <c r="T27" s="34"/>
      <c r="U27" s="35"/>
    </row>
    <row r="28" spans="5:21" x14ac:dyDescent="0.25">
      <c r="E28" s="22"/>
      <c r="I28" s="22"/>
      <c r="M28" s="22"/>
      <c r="N28"/>
      <c r="O28"/>
      <c r="R28" s="34"/>
      <c r="S28" s="34"/>
      <c r="T28" s="34"/>
      <c r="U28" s="35"/>
    </row>
    <row r="29" spans="5:21" x14ac:dyDescent="0.25">
      <c r="E29" s="22"/>
      <c r="N29"/>
      <c r="O29"/>
      <c r="R29" s="34"/>
      <c r="S29" s="34"/>
      <c r="T29" s="34"/>
      <c r="U29" s="35"/>
    </row>
    <row r="30" spans="5:21" x14ac:dyDescent="0.25">
      <c r="H30" s="22"/>
      <c r="N30"/>
      <c r="O30"/>
      <c r="R30" s="34"/>
      <c r="S30" s="34"/>
      <c r="T30" s="34"/>
      <c r="U30" s="35"/>
    </row>
    <row r="31" spans="5:21" x14ac:dyDescent="0.25">
      <c r="N31"/>
      <c r="O31"/>
      <c r="R31" s="34"/>
      <c r="S31" s="34"/>
      <c r="T31" s="34"/>
      <c r="U31" s="35"/>
    </row>
    <row r="32" spans="5:21" x14ac:dyDescent="0.25">
      <c r="N32"/>
      <c r="O32"/>
      <c r="R32" s="34"/>
      <c r="S32" s="34"/>
      <c r="T32" s="34"/>
      <c r="U32" s="35"/>
    </row>
    <row r="33" spans="14:21" x14ac:dyDescent="0.25">
      <c r="N33"/>
      <c r="O33"/>
      <c r="R33" s="34"/>
      <c r="S33" s="34"/>
      <c r="T33" s="34"/>
      <c r="U33" s="35"/>
    </row>
    <row r="34" spans="14:21" x14ac:dyDescent="0.25">
      <c r="N34"/>
      <c r="O34"/>
      <c r="R34" s="34"/>
      <c r="S34" s="34"/>
      <c r="T34" s="34"/>
      <c r="U34" s="35"/>
    </row>
    <row r="35" spans="14:21" x14ac:dyDescent="0.25">
      <c r="N35"/>
      <c r="O35"/>
      <c r="R35" s="34"/>
      <c r="S35" s="34"/>
      <c r="T35" s="34"/>
      <c r="U35" s="35"/>
    </row>
    <row r="36" spans="14:21" x14ac:dyDescent="0.25">
      <c r="N36"/>
      <c r="O36"/>
      <c r="R36" s="34"/>
      <c r="S36" s="34"/>
      <c r="T36" s="34"/>
      <c r="U36" s="35"/>
    </row>
    <row r="37" spans="14:21" x14ac:dyDescent="0.25">
      <c r="N37"/>
      <c r="O37"/>
      <c r="R37" s="34"/>
      <c r="S37" s="34"/>
      <c r="T37" s="34"/>
      <c r="U37" s="35"/>
    </row>
    <row r="38" spans="14:21" x14ac:dyDescent="0.25">
      <c r="N38"/>
      <c r="O38"/>
      <c r="R38" s="34"/>
      <c r="S38" s="34"/>
      <c r="T38" s="34"/>
      <c r="U38" s="35"/>
    </row>
    <row r="39" spans="14:21" x14ac:dyDescent="0.25">
      <c r="N39"/>
      <c r="O39"/>
      <c r="R39" s="34"/>
      <c r="S39" s="34"/>
      <c r="T39" s="34"/>
      <c r="U39" s="35"/>
    </row>
    <row r="40" spans="14:21" x14ac:dyDescent="0.25">
      <c r="N40"/>
      <c r="O40"/>
      <c r="R40" s="34"/>
      <c r="S40" s="34"/>
      <c r="T40" s="34"/>
      <c r="U40" s="35"/>
    </row>
    <row r="41" spans="14:21" x14ac:dyDescent="0.25">
      <c r="N41"/>
      <c r="O41"/>
      <c r="R41" s="34"/>
      <c r="S41" s="34"/>
      <c r="T41" s="34"/>
      <c r="U41" s="35"/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4"/>
      <c r="U112" s="35"/>
    </row>
    <row r="113" spans="18:21" x14ac:dyDescent="0.25">
      <c r="R113" s="34"/>
      <c r="S113" s="34"/>
      <c r="T113" s="34"/>
      <c r="U113" s="35"/>
    </row>
    <row r="114" spans="18:21" x14ac:dyDescent="0.25">
      <c r="R114" s="34"/>
      <c r="S114" s="34"/>
      <c r="T114" s="34"/>
      <c r="U114" s="35"/>
    </row>
    <row r="115" spans="18:21" x14ac:dyDescent="0.25">
      <c r="R115" s="34"/>
      <c r="S115" s="34"/>
      <c r="T115" s="34"/>
      <c r="U115" s="35"/>
    </row>
    <row r="116" spans="18:21" x14ac:dyDescent="0.25">
      <c r="R116" s="34"/>
      <c r="S116" s="34"/>
      <c r="T116" s="34"/>
      <c r="U116" s="35"/>
    </row>
    <row r="117" spans="18:21" x14ac:dyDescent="0.25">
      <c r="R117" s="34"/>
      <c r="S117" s="34"/>
      <c r="T117" s="34"/>
      <c r="U117" s="35"/>
    </row>
    <row r="118" spans="18:21" x14ac:dyDescent="0.25">
      <c r="R118" s="34"/>
      <c r="S118" s="34"/>
      <c r="T118" s="34"/>
      <c r="U118" s="35"/>
    </row>
    <row r="119" spans="18:21" x14ac:dyDescent="0.25">
      <c r="R119" s="34"/>
      <c r="S119" s="34"/>
      <c r="T119" s="34"/>
      <c r="U119" s="35"/>
    </row>
    <row r="120" spans="18:21" x14ac:dyDescent="0.25">
      <c r="R120" s="34"/>
      <c r="S120" s="34"/>
      <c r="T120" s="34"/>
      <c r="U120" s="35"/>
    </row>
    <row r="121" spans="18:21" x14ac:dyDescent="0.25">
      <c r="R121" s="34"/>
      <c r="S121" s="34"/>
      <c r="T121" s="34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9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80</v>
      </c>
      <c r="B1" s="29" t="s">
        <v>81</v>
      </c>
      <c r="C1" s="30" t="s">
        <v>82</v>
      </c>
      <c r="D1" s="29" t="s">
        <v>83</v>
      </c>
      <c r="E1" s="29" t="s">
        <v>4</v>
      </c>
      <c r="F1" s="29" t="s">
        <v>84</v>
      </c>
      <c r="G1" s="30" t="s">
        <v>85</v>
      </c>
    </row>
    <row r="2" spans="1:7" x14ac:dyDescent="0.25">
      <c r="A2">
        <v>1</v>
      </c>
      <c r="B2" t="s">
        <v>105</v>
      </c>
      <c r="C2">
        <v>10</v>
      </c>
      <c r="D2" t="s">
        <v>111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105</v>
      </c>
      <c r="C3">
        <v>20</v>
      </c>
      <c r="D3" t="s">
        <v>112</v>
      </c>
      <c r="E3" t="s">
        <v>15</v>
      </c>
      <c r="F3">
        <v>0.94</v>
      </c>
      <c r="G3" t="s">
        <v>16</v>
      </c>
    </row>
    <row r="4" spans="1:7" x14ac:dyDescent="0.25">
      <c r="A4">
        <v>1</v>
      </c>
      <c r="B4" t="s">
        <v>105</v>
      </c>
      <c r="C4">
        <v>30</v>
      </c>
      <c r="D4" t="s">
        <v>103</v>
      </c>
      <c r="E4" t="s">
        <v>15</v>
      </c>
      <c r="F4">
        <v>0.94</v>
      </c>
      <c r="G4" t="s">
        <v>16</v>
      </c>
    </row>
    <row r="5" spans="1:7" x14ac:dyDescent="0.25">
      <c r="A5">
        <v>1</v>
      </c>
      <c r="B5" t="s">
        <v>105</v>
      </c>
      <c r="C5">
        <v>40</v>
      </c>
      <c r="D5" t="s">
        <v>97</v>
      </c>
      <c r="E5" t="s">
        <v>98</v>
      </c>
      <c r="F5">
        <v>0.42099999999999999</v>
      </c>
      <c r="G5" t="s">
        <v>14</v>
      </c>
    </row>
    <row r="6" spans="1:7" x14ac:dyDescent="0.25">
      <c r="A6">
        <v>1</v>
      </c>
      <c r="B6" t="s">
        <v>105</v>
      </c>
      <c r="C6">
        <v>50</v>
      </c>
      <c r="D6" t="s">
        <v>18</v>
      </c>
      <c r="E6" t="s">
        <v>15</v>
      </c>
      <c r="F6">
        <v>89.001999999999995</v>
      </c>
      <c r="G6" t="s">
        <v>14</v>
      </c>
    </row>
    <row r="7" spans="1:7" x14ac:dyDescent="0.25">
      <c r="A7">
        <v>1</v>
      </c>
      <c r="B7" t="s">
        <v>105</v>
      </c>
      <c r="C7">
        <v>60</v>
      </c>
      <c r="D7" t="s">
        <v>95</v>
      </c>
      <c r="E7" t="s">
        <v>15</v>
      </c>
      <c r="F7">
        <v>22.757999999999999</v>
      </c>
      <c r="G7" t="s">
        <v>14</v>
      </c>
    </row>
    <row r="8" spans="1:7" x14ac:dyDescent="0.25">
      <c r="A8">
        <v>1</v>
      </c>
      <c r="B8" t="s">
        <v>105</v>
      </c>
      <c r="C8">
        <v>70</v>
      </c>
      <c r="D8" t="s">
        <v>96</v>
      </c>
      <c r="E8" t="s">
        <v>15</v>
      </c>
      <c r="F8">
        <v>104.973</v>
      </c>
      <c r="G8" t="s">
        <v>14</v>
      </c>
    </row>
    <row r="9" spans="1:7" x14ac:dyDescent="0.25">
      <c r="A9">
        <v>1</v>
      </c>
      <c r="B9" t="s">
        <v>105</v>
      </c>
      <c r="C9">
        <v>80</v>
      </c>
      <c r="D9" t="s">
        <v>102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105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105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105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105</v>
      </c>
      <c r="C13">
        <v>120</v>
      </c>
      <c r="D13" t="s">
        <v>101</v>
      </c>
      <c r="E13" t="s">
        <v>13</v>
      </c>
      <c r="F13">
        <v>0.33</v>
      </c>
      <c r="G13" t="s">
        <v>14</v>
      </c>
    </row>
    <row r="14" spans="1:7" x14ac:dyDescent="0.25">
      <c r="A14">
        <v>1</v>
      </c>
      <c r="B14" t="s">
        <v>105</v>
      </c>
      <c r="C14">
        <v>130</v>
      </c>
      <c r="D14" t="s">
        <v>124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105</v>
      </c>
      <c r="C15">
        <v>140</v>
      </c>
      <c r="D15" t="s">
        <v>113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106</v>
      </c>
      <c r="C16">
        <v>10</v>
      </c>
      <c r="D16" t="s">
        <v>114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106</v>
      </c>
      <c r="C17">
        <v>20</v>
      </c>
      <c r="D17" t="s">
        <v>112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106</v>
      </c>
      <c r="C18">
        <v>30</v>
      </c>
      <c r="D18" t="s">
        <v>103</v>
      </c>
      <c r="E18" t="s">
        <v>15</v>
      </c>
      <c r="F18">
        <v>0.94</v>
      </c>
      <c r="G18" t="s">
        <v>16</v>
      </c>
    </row>
    <row r="19" spans="1:7" x14ac:dyDescent="0.25">
      <c r="A19">
        <v>2</v>
      </c>
      <c r="B19" t="s">
        <v>106</v>
      </c>
      <c r="C19">
        <v>40</v>
      </c>
      <c r="D19" t="s">
        <v>97</v>
      </c>
      <c r="E19" t="s">
        <v>98</v>
      </c>
      <c r="F19">
        <v>0.439</v>
      </c>
      <c r="G19" t="s">
        <v>14</v>
      </c>
    </row>
    <row r="20" spans="1:7" x14ac:dyDescent="0.25">
      <c r="A20">
        <v>2</v>
      </c>
      <c r="B20" t="s">
        <v>106</v>
      </c>
      <c r="C20">
        <v>50</v>
      </c>
      <c r="D20" t="s">
        <v>18</v>
      </c>
      <c r="E20" t="s">
        <v>15</v>
      </c>
      <c r="F20">
        <v>91.44</v>
      </c>
      <c r="G20" t="s">
        <v>14</v>
      </c>
    </row>
    <row r="21" spans="1:7" x14ac:dyDescent="0.25">
      <c r="A21">
        <v>2</v>
      </c>
      <c r="B21" t="s">
        <v>106</v>
      </c>
      <c r="C21">
        <v>60</v>
      </c>
      <c r="D21" t="s">
        <v>95</v>
      </c>
      <c r="E21" t="s">
        <v>15</v>
      </c>
      <c r="F21">
        <v>23.367999999999999</v>
      </c>
      <c r="G21" t="s">
        <v>14</v>
      </c>
    </row>
    <row r="22" spans="1:7" x14ac:dyDescent="0.25">
      <c r="A22">
        <v>2</v>
      </c>
      <c r="B22" t="s">
        <v>106</v>
      </c>
      <c r="C22">
        <v>70</v>
      </c>
      <c r="D22" t="s">
        <v>96</v>
      </c>
      <c r="E22" t="s">
        <v>15</v>
      </c>
      <c r="F22">
        <v>107.785</v>
      </c>
      <c r="G22" t="s">
        <v>14</v>
      </c>
    </row>
    <row r="23" spans="1:7" x14ac:dyDescent="0.25">
      <c r="A23">
        <v>2</v>
      </c>
      <c r="B23" t="s">
        <v>106</v>
      </c>
      <c r="C23">
        <v>80</v>
      </c>
      <c r="D23" t="s">
        <v>102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106</v>
      </c>
      <c r="C24">
        <v>90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106</v>
      </c>
      <c r="C25">
        <v>100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106</v>
      </c>
      <c r="C26">
        <v>110</v>
      </c>
      <c r="D26" t="s">
        <v>23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106</v>
      </c>
      <c r="C27">
        <v>120</v>
      </c>
      <c r="D27" t="s">
        <v>101</v>
      </c>
      <c r="E27" t="s">
        <v>13</v>
      </c>
      <c r="F27">
        <v>0.33</v>
      </c>
      <c r="G27" t="s">
        <v>14</v>
      </c>
    </row>
    <row r="28" spans="1:7" x14ac:dyDescent="0.25">
      <c r="A28">
        <v>2</v>
      </c>
      <c r="B28" t="s">
        <v>106</v>
      </c>
      <c r="C28">
        <v>130</v>
      </c>
      <c r="D28" t="s">
        <v>125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106</v>
      </c>
      <c r="C29">
        <v>140</v>
      </c>
      <c r="D29" t="s">
        <v>115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107</v>
      </c>
      <c r="C30">
        <v>10</v>
      </c>
      <c r="D30" t="s">
        <v>116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107</v>
      </c>
      <c r="C31">
        <v>20</v>
      </c>
      <c r="D31" t="s">
        <v>112</v>
      </c>
      <c r="E31" t="s">
        <v>15</v>
      </c>
      <c r="F31">
        <v>1.5489999999999999</v>
      </c>
      <c r="G31" t="s">
        <v>16</v>
      </c>
    </row>
    <row r="32" spans="1:7" x14ac:dyDescent="0.25">
      <c r="A32">
        <v>3</v>
      </c>
      <c r="B32" t="s">
        <v>107</v>
      </c>
      <c r="C32">
        <v>30</v>
      </c>
      <c r="D32" t="s">
        <v>103</v>
      </c>
      <c r="E32" t="s">
        <v>15</v>
      </c>
      <c r="F32">
        <v>1.5489999999999999</v>
      </c>
      <c r="G32" t="s">
        <v>16</v>
      </c>
    </row>
    <row r="33" spans="1:7" x14ac:dyDescent="0.25">
      <c r="A33">
        <v>3</v>
      </c>
      <c r="B33" t="s">
        <v>107</v>
      </c>
      <c r="C33">
        <v>40</v>
      </c>
      <c r="D33" t="s">
        <v>97</v>
      </c>
      <c r="E33" t="s">
        <v>98</v>
      </c>
      <c r="F33">
        <v>0.78</v>
      </c>
      <c r="G33" t="s">
        <v>14</v>
      </c>
    </row>
    <row r="34" spans="1:7" x14ac:dyDescent="0.25">
      <c r="A34">
        <v>3</v>
      </c>
      <c r="B34" t="s">
        <v>107</v>
      </c>
      <c r="C34">
        <v>50</v>
      </c>
      <c r="D34" t="s">
        <v>18</v>
      </c>
      <c r="E34" t="s">
        <v>15</v>
      </c>
      <c r="F34">
        <v>110.947</v>
      </c>
      <c r="G34" t="s">
        <v>14</v>
      </c>
    </row>
    <row r="35" spans="1:7" x14ac:dyDescent="0.25">
      <c r="A35">
        <v>3</v>
      </c>
      <c r="B35" t="s">
        <v>107</v>
      </c>
      <c r="C35">
        <v>60</v>
      </c>
      <c r="D35" t="s">
        <v>95</v>
      </c>
      <c r="E35" t="s">
        <v>15</v>
      </c>
      <c r="F35">
        <v>28.245000000000001</v>
      </c>
      <c r="G35" t="s">
        <v>14</v>
      </c>
    </row>
    <row r="36" spans="1:7" x14ac:dyDescent="0.25">
      <c r="A36">
        <v>3</v>
      </c>
      <c r="B36" t="s">
        <v>107</v>
      </c>
      <c r="C36">
        <v>70</v>
      </c>
      <c r="D36" t="s">
        <v>96</v>
      </c>
      <c r="E36" t="s">
        <v>15</v>
      </c>
      <c r="F36">
        <v>130.279</v>
      </c>
      <c r="G36" t="s">
        <v>14</v>
      </c>
    </row>
    <row r="37" spans="1:7" x14ac:dyDescent="0.25">
      <c r="A37">
        <v>3</v>
      </c>
      <c r="B37" t="s">
        <v>107</v>
      </c>
      <c r="C37">
        <v>80</v>
      </c>
      <c r="D37" t="s">
        <v>102</v>
      </c>
      <c r="E37" t="s">
        <v>11</v>
      </c>
      <c r="F37">
        <v>4</v>
      </c>
      <c r="G37" t="s">
        <v>14</v>
      </c>
    </row>
    <row r="38" spans="1:7" x14ac:dyDescent="0.25">
      <c r="A38">
        <v>3</v>
      </c>
      <c r="B38" t="s">
        <v>107</v>
      </c>
      <c r="C38">
        <v>90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107</v>
      </c>
      <c r="C39">
        <v>100</v>
      </c>
      <c r="D39" t="s">
        <v>22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107</v>
      </c>
      <c r="C40">
        <v>110</v>
      </c>
      <c r="D40" t="s">
        <v>23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107</v>
      </c>
      <c r="C41">
        <v>120</v>
      </c>
      <c r="D41" t="s">
        <v>101</v>
      </c>
      <c r="E41" t="s">
        <v>13</v>
      </c>
      <c r="F41">
        <v>0.51</v>
      </c>
      <c r="G41" t="s">
        <v>14</v>
      </c>
    </row>
    <row r="42" spans="1:7" x14ac:dyDescent="0.25">
      <c r="A42">
        <v>3</v>
      </c>
      <c r="B42" t="s">
        <v>107</v>
      </c>
      <c r="C42">
        <v>130</v>
      </c>
      <c r="D42" t="s">
        <v>126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107</v>
      </c>
      <c r="C43">
        <v>140</v>
      </c>
      <c r="D43" t="s">
        <v>117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108</v>
      </c>
      <c r="C44">
        <v>10</v>
      </c>
      <c r="D44" t="s">
        <v>118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108</v>
      </c>
      <c r="C45">
        <v>20</v>
      </c>
      <c r="D45" t="s">
        <v>112</v>
      </c>
      <c r="E45" t="s">
        <v>15</v>
      </c>
      <c r="F45">
        <v>1.8540000000000001</v>
      </c>
      <c r="G45" t="s">
        <v>16</v>
      </c>
    </row>
    <row r="46" spans="1:7" x14ac:dyDescent="0.25">
      <c r="A46">
        <v>4</v>
      </c>
      <c r="B46" t="s">
        <v>108</v>
      </c>
      <c r="C46">
        <v>30</v>
      </c>
      <c r="D46" t="s">
        <v>103</v>
      </c>
      <c r="E46" t="s">
        <v>15</v>
      </c>
      <c r="F46">
        <v>1.8540000000000001</v>
      </c>
      <c r="G46" t="s">
        <v>16</v>
      </c>
    </row>
    <row r="47" spans="1:7" x14ac:dyDescent="0.25">
      <c r="A47">
        <v>4</v>
      </c>
      <c r="B47" t="s">
        <v>108</v>
      </c>
      <c r="C47">
        <v>40</v>
      </c>
      <c r="D47" t="s">
        <v>97</v>
      </c>
      <c r="E47" t="s">
        <v>98</v>
      </c>
      <c r="F47">
        <v>0.95</v>
      </c>
      <c r="G47" t="s">
        <v>14</v>
      </c>
    </row>
    <row r="48" spans="1:7" x14ac:dyDescent="0.25">
      <c r="A48">
        <v>4</v>
      </c>
      <c r="B48" t="s">
        <v>108</v>
      </c>
      <c r="C48">
        <v>50</v>
      </c>
      <c r="D48" t="s">
        <v>18</v>
      </c>
      <c r="E48" t="s">
        <v>15</v>
      </c>
      <c r="F48">
        <v>120.70099999999999</v>
      </c>
      <c r="G48" t="s">
        <v>14</v>
      </c>
    </row>
    <row r="49" spans="1:7" x14ac:dyDescent="0.25">
      <c r="A49">
        <v>4</v>
      </c>
      <c r="B49" t="s">
        <v>108</v>
      </c>
      <c r="C49">
        <v>60</v>
      </c>
      <c r="D49" t="s">
        <v>95</v>
      </c>
      <c r="E49" t="s">
        <v>15</v>
      </c>
      <c r="F49">
        <v>30.683</v>
      </c>
      <c r="G49" t="s">
        <v>14</v>
      </c>
    </row>
    <row r="50" spans="1:7" x14ac:dyDescent="0.25">
      <c r="A50">
        <v>4</v>
      </c>
      <c r="B50" t="s">
        <v>108</v>
      </c>
      <c r="C50">
        <v>70</v>
      </c>
      <c r="D50" t="s">
        <v>96</v>
      </c>
      <c r="E50" t="s">
        <v>15</v>
      </c>
      <c r="F50">
        <v>141.52600000000001</v>
      </c>
      <c r="G50" t="s">
        <v>14</v>
      </c>
    </row>
    <row r="51" spans="1:7" x14ac:dyDescent="0.25">
      <c r="A51">
        <v>4</v>
      </c>
      <c r="B51" t="s">
        <v>108</v>
      </c>
      <c r="C51">
        <v>80</v>
      </c>
      <c r="D51" t="s">
        <v>102</v>
      </c>
      <c r="E51" t="s">
        <v>11</v>
      </c>
      <c r="F51">
        <v>4</v>
      </c>
      <c r="G51" t="s">
        <v>14</v>
      </c>
    </row>
    <row r="52" spans="1:7" x14ac:dyDescent="0.25">
      <c r="A52">
        <v>4</v>
      </c>
      <c r="B52" t="s">
        <v>108</v>
      </c>
      <c r="C52">
        <v>90</v>
      </c>
      <c r="D52" t="s">
        <v>21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108</v>
      </c>
      <c r="C53">
        <v>100</v>
      </c>
      <c r="D53" t="s">
        <v>22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108</v>
      </c>
      <c r="C54">
        <v>110</v>
      </c>
      <c r="D54" t="s">
        <v>23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108</v>
      </c>
      <c r="C55">
        <v>120</v>
      </c>
      <c r="D55" t="s">
        <v>101</v>
      </c>
      <c r="E55" t="s">
        <v>13</v>
      </c>
      <c r="F55">
        <v>0.60099999999999998</v>
      </c>
      <c r="G55" t="s">
        <v>14</v>
      </c>
    </row>
    <row r="56" spans="1:7" x14ac:dyDescent="0.25">
      <c r="A56">
        <v>4</v>
      </c>
      <c r="B56" t="s">
        <v>108</v>
      </c>
      <c r="C56">
        <v>130</v>
      </c>
      <c r="D56" t="s">
        <v>127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108</v>
      </c>
      <c r="C57">
        <v>140</v>
      </c>
      <c r="D57" t="s">
        <v>119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109</v>
      </c>
      <c r="C58">
        <v>10</v>
      </c>
      <c r="D58" t="s">
        <v>120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109</v>
      </c>
      <c r="C59">
        <v>20</v>
      </c>
      <c r="D59" t="s">
        <v>112</v>
      </c>
      <c r="E59" t="s">
        <v>15</v>
      </c>
      <c r="F59">
        <v>1.5489999999999999</v>
      </c>
      <c r="G59" t="s">
        <v>16</v>
      </c>
    </row>
    <row r="60" spans="1:7" x14ac:dyDescent="0.25">
      <c r="A60">
        <v>5</v>
      </c>
      <c r="B60" t="s">
        <v>109</v>
      </c>
      <c r="C60">
        <v>30</v>
      </c>
      <c r="D60" t="s">
        <v>103</v>
      </c>
      <c r="E60" t="s">
        <v>15</v>
      </c>
      <c r="F60">
        <v>1.5489999999999999</v>
      </c>
      <c r="G60" t="s">
        <v>16</v>
      </c>
    </row>
    <row r="61" spans="1:7" x14ac:dyDescent="0.25">
      <c r="A61">
        <v>5</v>
      </c>
      <c r="B61" t="s">
        <v>109</v>
      </c>
      <c r="C61">
        <v>40</v>
      </c>
      <c r="D61" t="s">
        <v>97</v>
      </c>
      <c r="E61" t="s">
        <v>98</v>
      </c>
      <c r="F61">
        <v>0.81299999999999994</v>
      </c>
      <c r="G61" t="s">
        <v>14</v>
      </c>
    </row>
    <row r="62" spans="1:7" x14ac:dyDescent="0.25">
      <c r="A62">
        <v>5</v>
      </c>
      <c r="B62" t="s">
        <v>109</v>
      </c>
      <c r="C62">
        <v>50</v>
      </c>
      <c r="D62" t="s">
        <v>18</v>
      </c>
      <c r="E62" t="s">
        <v>15</v>
      </c>
      <c r="F62">
        <v>113.386</v>
      </c>
      <c r="G62" t="s">
        <v>14</v>
      </c>
    </row>
    <row r="63" spans="1:7" x14ac:dyDescent="0.25">
      <c r="A63">
        <v>5</v>
      </c>
      <c r="B63" t="s">
        <v>109</v>
      </c>
      <c r="C63">
        <v>60</v>
      </c>
      <c r="D63" t="s">
        <v>95</v>
      </c>
      <c r="E63" t="s">
        <v>15</v>
      </c>
      <c r="F63">
        <v>28.853999999999999</v>
      </c>
      <c r="G63" t="s">
        <v>14</v>
      </c>
    </row>
    <row r="64" spans="1:7" x14ac:dyDescent="0.25">
      <c r="A64">
        <v>5</v>
      </c>
      <c r="B64" t="s">
        <v>109</v>
      </c>
      <c r="C64">
        <v>70</v>
      </c>
      <c r="D64" t="s">
        <v>96</v>
      </c>
      <c r="E64" t="s">
        <v>15</v>
      </c>
      <c r="F64">
        <v>133.09100000000001</v>
      </c>
      <c r="G64" t="s">
        <v>14</v>
      </c>
    </row>
    <row r="65" spans="1:7" x14ac:dyDescent="0.25">
      <c r="A65">
        <v>5</v>
      </c>
      <c r="B65" t="s">
        <v>109</v>
      </c>
      <c r="C65">
        <v>80</v>
      </c>
      <c r="D65" t="s">
        <v>102</v>
      </c>
      <c r="E65" t="s">
        <v>11</v>
      </c>
      <c r="F65">
        <v>4</v>
      </c>
      <c r="G65" t="s">
        <v>14</v>
      </c>
    </row>
    <row r="66" spans="1:7" x14ac:dyDescent="0.25">
      <c r="A66">
        <v>5</v>
      </c>
      <c r="B66" t="s">
        <v>109</v>
      </c>
      <c r="C66">
        <v>90</v>
      </c>
      <c r="D66" t="s">
        <v>21</v>
      </c>
      <c r="E66" t="s">
        <v>11</v>
      </c>
      <c r="F66">
        <v>1</v>
      </c>
      <c r="G66" t="s">
        <v>14</v>
      </c>
    </row>
    <row r="67" spans="1:7" x14ac:dyDescent="0.25">
      <c r="A67">
        <v>5</v>
      </c>
      <c r="B67" t="s">
        <v>109</v>
      </c>
      <c r="C67">
        <v>100</v>
      </c>
      <c r="D67" t="s">
        <v>22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109</v>
      </c>
      <c r="C68">
        <v>110</v>
      </c>
      <c r="D68" t="s">
        <v>23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109</v>
      </c>
      <c r="C69">
        <v>120</v>
      </c>
      <c r="D69" t="s">
        <v>101</v>
      </c>
      <c r="E69" t="s">
        <v>13</v>
      </c>
      <c r="F69">
        <v>0.51</v>
      </c>
      <c r="G69" t="s">
        <v>14</v>
      </c>
    </row>
    <row r="70" spans="1:7" x14ac:dyDescent="0.25">
      <c r="A70">
        <v>5</v>
      </c>
      <c r="B70" t="s">
        <v>109</v>
      </c>
      <c r="C70">
        <v>130</v>
      </c>
      <c r="D70" t="s">
        <v>128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109</v>
      </c>
      <c r="C71">
        <v>140</v>
      </c>
      <c r="D71" t="s">
        <v>121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110</v>
      </c>
      <c r="C72">
        <v>10</v>
      </c>
      <c r="D72" t="s">
        <v>122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110</v>
      </c>
      <c r="C73">
        <v>20</v>
      </c>
      <c r="D73" t="s">
        <v>112</v>
      </c>
      <c r="E73" t="s">
        <v>15</v>
      </c>
      <c r="F73">
        <v>1.8540000000000001</v>
      </c>
      <c r="G73" t="s">
        <v>16</v>
      </c>
    </row>
    <row r="74" spans="1:7" x14ac:dyDescent="0.25">
      <c r="A74">
        <v>6</v>
      </c>
      <c r="B74" t="s">
        <v>110</v>
      </c>
      <c r="C74">
        <v>30</v>
      </c>
      <c r="D74" t="s">
        <v>103</v>
      </c>
      <c r="E74" t="s">
        <v>15</v>
      </c>
      <c r="F74">
        <v>1.8540000000000001</v>
      </c>
      <c r="G74" t="s">
        <v>16</v>
      </c>
    </row>
    <row r="75" spans="1:7" x14ac:dyDescent="0.25">
      <c r="A75">
        <v>6</v>
      </c>
      <c r="B75" t="s">
        <v>110</v>
      </c>
      <c r="C75">
        <v>40</v>
      </c>
      <c r="D75" t="s">
        <v>97</v>
      </c>
      <c r="E75" t="s">
        <v>98</v>
      </c>
      <c r="F75">
        <v>0.99</v>
      </c>
      <c r="G75" t="s">
        <v>14</v>
      </c>
    </row>
    <row r="76" spans="1:7" x14ac:dyDescent="0.25">
      <c r="A76">
        <v>6</v>
      </c>
      <c r="B76" t="s">
        <v>110</v>
      </c>
      <c r="C76">
        <v>50</v>
      </c>
      <c r="D76" t="s">
        <v>18</v>
      </c>
      <c r="E76" t="s">
        <v>15</v>
      </c>
      <c r="F76">
        <v>123.139</v>
      </c>
      <c r="G76" t="s">
        <v>14</v>
      </c>
    </row>
    <row r="77" spans="1:7" x14ac:dyDescent="0.25">
      <c r="A77">
        <v>6</v>
      </c>
      <c r="B77" t="s">
        <v>110</v>
      </c>
      <c r="C77">
        <v>60</v>
      </c>
      <c r="D77" t="s">
        <v>95</v>
      </c>
      <c r="E77" t="s">
        <v>15</v>
      </c>
      <c r="F77">
        <v>31.292999999999999</v>
      </c>
      <c r="G77" t="s">
        <v>14</v>
      </c>
    </row>
    <row r="78" spans="1:7" x14ac:dyDescent="0.25">
      <c r="A78">
        <v>6</v>
      </c>
      <c r="B78" t="s">
        <v>110</v>
      </c>
      <c r="C78">
        <v>70</v>
      </c>
      <c r="D78" t="s">
        <v>96</v>
      </c>
      <c r="E78" t="s">
        <v>15</v>
      </c>
      <c r="F78">
        <v>144.33799999999999</v>
      </c>
      <c r="G78" t="s">
        <v>14</v>
      </c>
    </row>
    <row r="79" spans="1:7" x14ac:dyDescent="0.25">
      <c r="A79">
        <v>6</v>
      </c>
      <c r="B79" t="s">
        <v>110</v>
      </c>
      <c r="C79">
        <v>80</v>
      </c>
      <c r="D79" t="s">
        <v>102</v>
      </c>
      <c r="E79" t="s">
        <v>11</v>
      </c>
      <c r="F79">
        <v>4</v>
      </c>
      <c r="G79" t="s">
        <v>14</v>
      </c>
    </row>
    <row r="80" spans="1:7" x14ac:dyDescent="0.25">
      <c r="A80">
        <v>6</v>
      </c>
      <c r="B80" t="s">
        <v>110</v>
      </c>
      <c r="C80">
        <v>90</v>
      </c>
      <c r="D80" t="s">
        <v>21</v>
      </c>
      <c r="E80" t="s">
        <v>11</v>
      </c>
      <c r="F80">
        <v>1</v>
      </c>
      <c r="G80" t="s">
        <v>14</v>
      </c>
    </row>
    <row r="81" spans="1:7" x14ac:dyDescent="0.25">
      <c r="A81">
        <v>6</v>
      </c>
      <c r="B81" t="s">
        <v>110</v>
      </c>
      <c r="C81">
        <v>100</v>
      </c>
      <c r="D81" t="s">
        <v>22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110</v>
      </c>
      <c r="C82">
        <v>110</v>
      </c>
      <c r="D82" t="s">
        <v>23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110</v>
      </c>
      <c r="C83">
        <v>120</v>
      </c>
      <c r="D83" t="s">
        <v>101</v>
      </c>
      <c r="E83" t="s">
        <v>13</v>
      </c>
      <c r="F83">
        <v>0.60099999999999998</v>
      </c>
      <c r="G83" t="s">
        <v>14</v>
      </c>
    </row>
    <row r="84" spans="1:7" x14ac:dyDescent="0.25">
      <c r="A84">
        <v>6</v>
      </c>
      <c r="B84" t="s">
        <v>110</v>
      </c>
      <c r="C84">
        <v>130</v>
      </c>
      <c r="D84" t="s">
        <v>129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110</v>
      </c>
      <c r="C85">
        <v>140</v>
      </c>
      <c r="D85" t="s">
        <v>123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105</v>
      </c>
      <c r="C86">
        <v>10</v>
      </c>
      <c r="D86" t="s">
        <v>111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105</v>
      </c>
      <c r="C87">
        <v>20</v>
      </c>
      <c r="D87" t="s">
        <v>112</v>
      </c>
      <c r="E87" t="s">
        <v>15</v>
      </c>
      <c r="F87">
        <v>0.94</v>
      </c>
      <c r="G87" t="s">
        <v>16</v>
      </c>
    </row>
    <row r="88" spans="1:7" x14ac:dyDescent="0.25">
      <c r="A88">
        <v>7</v>
      </c>
      <c r="B88" t="s">
        <v>105</v>
      </c>
      <c r="C88">
        <v>30</v>
      </c>
      <c r="D88" t="s">
        <v>103</v>
      </c>
      <c r="E88" t="s">
        <v>15</v>
      </c>
      <c r="F88">
        <v>0.94</v>
      </c>
      <c r="G88" t="s">
        <v>16</v>
      </c>
    </row>
    <row r="89" spans="1:7" x14ac:dyDescent="0.25">
      <c r="A89">
        <v>7</v>
      </c>
      <c r="B89" t="s">
        <v>105</v>
      </c>
      <c r="C89">
        <v>40</v>
      </c>
      <c r="D89" t="s">
        <v>97</v>
      </c>
      <c r="E89" t="s">
        <v>98</v>
      </c>
      <c r="F89">
        <v>0.42099999999999999</v>
      </c>
      <c r="G89" t="s">
        <v>14</v>
      </c>
    </row>
    <row r="90" spans="1:7" x14ac:dyDescent="0.25">
      <c r="A90">
        <v>7</v>
      </c>
      <c r="B90" t="s">
        <v>105</v>
      </c>
      <c r="C90">
        <v>50</v>
      </c>
      <c r="D90" t="s">
        <v>18</v>
      </c>
      <c r="E90" t="s">
        <v>15</v>
      </c>
      <c r="F90">
        <v>89.001999999999995</v>
      </c>
      <c r="G90" t="s">
        <v>14</v>
      </c>
    </row>
    <row r="91" spans="1:7" x14ac:dyDescent="0.25">
      <c r="A91">
        <v>7</v>
      </c>
      <c r="B91" t="s">
        <v>105</v>
      </c>
      <c r="C91">
        <v>60</v>
      </c>
      <c r="D91" t="s">
        <v>95</v>
      </c>
      <c r="E91" t="s">
        <v>15</v>
      </c>
      <c r="F91">
        <v>22.757999999999999</v>
      </c>
      <c r="G91" t="s">
        <v>14</v>
      </c>
    </row>
    <row r="92" spans="1:7" x14ac:dyDescent="0.25">
      <c r="A92">
        <v>7</v>
      </c>
      <c r="B92" t="s">
        <v>105</v>
      </c>
      <c r="C92">
        <v>70</v>
      </c>
      <c r="D92" t="s">
        <v>96</v>
      </c>
      <c r="E92" t="s">
        <v>15</v>
      </c>
      <c r="F92">
        <v>104.973</v>
      </c>
      <c r="G92" t="s">
        <v>14</v>
      </c>
    </row>
    <row r="93" spans="1:7" x14ac:dyDescent="0.25">
      <c r="A93">
        <v>7</v>
      </c>
      <c r="B93" t="s">
        <v>105</v>
      </c>
      <c r="C93">
        <v>80</v>
      </c>
      <c r="D93" t="s">
        <v>102</v>
      </c>
      <c r="E93" t="s">
        <v>11</v>
      </c>
      <c r="F93">
        <v>4</v>
      </c>
      <c r="G93" t="s">
        <v>14</v>
      </c>
    </row>
    <row r="94" spans="1:7" x14ac:dyDescent="0.25">
      <c r="A94">
        <v>7</v>
      </c>
      <c r="B94" t="s">
        <v>105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7</v>
      </c>
      <c r="B95" t="s">
        <v>105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105</v>
      </c>
      <c r="C96">
        <v>110</v>
      </c>
      <c r="D96" t="s">
        <v>23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105</v>
      </c>
      <c r="C97">
        <v>120</v>
      </c>
      <c r="D97" t="s">
        <v>101</v>
      </c>
      <c r="E97" t="s">
        <v>13</v>
      </c>
      <c r="F97">
        <v>0.33</v>
      </c>
      <c r="G97" t="s">
        <v>14</v>
      </c>
    </row>
    <row r="98" spans="1:7" x14ac:dyDescent="0.25">
      <c r="A98">
        <v>7</v>
      </c>
      <c r="B98" t="s">
        <v>105</v>
      </c>
      <c r="C98">
        <v>130</v>
      </c>
      <c r="D98" t="s">
        <v>124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105</v>
      </c>
      <c r="C99">
        <v>140</v>
      </c>
      <c r="D99" t="s">
        <v>113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106</v>
      </c>
      <c r="C100">
        <v>10</v>
      </c>
      <c r="D100" t="s">
        <v>114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106</v>
      </c>
      <c r="C101">
        <v>20</v>
      </c>
      <c r="D101" t="s">
        <v>112</v>
      </c>
      <c r="E101" t="s">
        <v>15</v>
      </c>
      <c r="F101">
        <v>0.94</v>
      </c>
      <c r="G101" t="s">
        <v>16</v>
      </c>
    </row>
    <row r="102" spans="1:7" x14ac:dyDescent="0.25">
      <c r="A102">
        <v>8</v>
      </c>
      <c r="B102" t="s">
        <v>106</v>
      </c>
      <c r="C102">
        <v>30</v>
      </c>
      <c r="D102" t="s">
        <v>103</v>
      </c>
      <c r="E102" t="s">
        <v>15</v>
      </c>
      <c r="F102">
        <v>0.94</v>
      </c>
      <c r="G102" t="s">
        <v>16</v>
      </c>
    </row>
    <row r="103" spans="1:7" x14ac:dyDescent="0.25">
      <c r="A103">
        <v>8</v>
      </c>
      <c r="B103" t="s">
        <v>106</v>
      </c>
      <c r="C103">
        <v>40</v>
      </c>
      <c r="D103" t="s">
        <v>97</v>
      </c>
      <c r="E103" t="s">
        <v>98</v>
      </c>
      <c r="F103">
        <v>0.439</v>
      </c>
      <c r="G103" t="s">
        <v>14</v>
      </c>
    </row>
    <row r="104" spans="1:7" x14ac:dyDescent="0.25">
      <c r="A104">
        <v>8</v>
      </c>
      <c r="B104" t="s">
        <v>106</v>
      </c>
      <c r="C104">
        <v>50</v>
      </c>
      <c r="D104" t="s">
        <v>18</v>
      </c>
      <c r="E104" t="s">
        <v>15</v>
      </c>
      <c r="F104">
        <v>91.44</v>
      </c>
      <c r="G104" t="s">
        <v>14</v>
      </c>
    </row>
    <row r="105" spans="1:7" x14ac:dyDescent="0.25">
      <c r="A105">
        <v>8</v>
      </c>
      <c r="B105" t="s">
        <v>106</v>
      </c>
      <c r="C105">
        <v>60</v>
      </c>
      <c r="D105" t="s">
        <v>95</v>
      </c>
      <c r="E105" t="s">
        <v>15</v>
      </c>
      <c r="F105">
        <v>23.367999999999999</v>
      </c>
      <c r="G105" t="s">
        <v>14</v>
      </c>
    </row>
    <row r="106" spans="1:7" x14ac:dyDescent="0.25">
      <c r="A106">
        <v>8</v>
      </c>
      <c r="B106" t="s">
        <v>106</v>
      </c>
      <c r="C106">
        <v>70</v>
      </c>
      <c r="D106" t="s">
        <v>96</v>
      </c>
      <c r="E106" t="s">
        <v>15</v>
      </c>
      <c r="F106">
        <v>107.785</v>
      </c>
      <c r="G106" t="s">
        <v>14</v>
      </c>
    </row>
    <row r="107" spans="1:7" x14ac:dyDescent="0.25">
      <c r="A107">
        <v>8</v>
      </c>
      <c r="B107" t="s">
        <v>106</v>
      </c>
      <c r="C107">
        <v>80</v>
      </c>
      <c r="D107" t="s">
        <v>102</v>
      </c>
      <c r="E107" t="s">
        <v>11</v>
      </c>
      <c r="F107">
        <v>4</v>
      </c>
      <c r="G107" t="s">
        <v>14</v>
      </c>
    </row>
    <row r="108" spans="1:7" x14ac:dyDescent="0.25">
      <c r="A108">
        <v>8</v>
      </c>
      <c r="B108" t="s">
        <v>106</v>
      </c>
      <c r="C108">
        <v>90</v>
      </c>
      <c r="D108" t="s">
        <v>21</v>
      </c>
      <c r="E108" t="s">
        <v>11</v>
      </c>
      <c r="F108">
        <v>1</v>
      </c>
      <c r="G108" t="s">
        <v>14</v>
      </c>
    </row>
    <row r="109" spans="1:7" x14ac:dyDescent="0.25">
      <c r="A109">
        <v>8</v>
      </c>
      <c r="B109" t="s">
        <v>106</v>
      </c>
      <c r="C109">
        <v>100</v>
      </c>
      <c r="D109" t="s">
        <v>22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106</v>
      </c>
      <c r="C110">
        <v>110</v>
      </c>
      <c r="D110" t="s">
        <v>23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106</v>
      </c>
      <c r="C111">
        <v>120</v>
      </c>
      <c r="D111" t="s">
        <v>101</v>
      </c>
      <c r="E111" t="s">
        <v>13</v>
      </c>
      <c r="F111">
        <v>0.33</v>
      </c>
      <c r="G111" t="s">
        <v>14</v>
      </c>
    </row>
    <row r="112" spans="1:7" x14ac:dyDescent="0.25">
      <c r="A112">
        <v>8</v>
      </c>
      <c r="B112" t="s">
        <v>106</v>
      </c>
      <c r="C112">
        <v>130</v>
      </c>
      <c r="D112" t="s">
        <v>125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106</v>
      </c>
      <c r="C113">
        <v>140</v>
      </c>
      <c r="D113" t="s">
        <v>115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107</v>
      </c>
      <c r="C114">
        <v>10</v>
      </c>
      <c r="D114" t="s">
        <v>116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107</v>
      </c>
      <c r="C115">
        <v>20</v>
      </c>
      <c r="D115" t="s">
        <v>112</v>
      </c>
      <c r="E115" t="s">
        <v>15</v>
      </c>
      <c r="F115">
        <v>1.5489999999999999</v>
      </c>
      <c r="G115" t="s">
        <v>16</v>
      </c>
    </row>
    <row r="116" spans="1:7" x14ac:dyDescent="0.25">
      <c r="A116">
        <v>9</v>
      </c>
      <c r="B116" t="s">
        <v>107</v>
      </c>
      <c r="C116">
        <v>30</v>
      </c>
      <c r="D116" t="s">
        <v>103</v>
      </c>
      <c r="E116" t="s">
        <v>15</v>
      </c>
      <c r="F116">
        <v>1.5489999999999999</v>
      </c>
      <c r="G116" t="s">
        <v>16</v>
      </c>
    </row>
    <row r="117" spans="1:7" x14ac:dyDescent="0.25">
      <c r="A117">
        <v>9</v>
      </c>
      <c r="B117" t="s">
        <v>107</v>
      </c>
      <c r="C117">
        <v>40</v>
      </c>
      <c r="D117" t="s">
        <v>97</v>
      </c>
      <c r="E117" t="s">
        <v>98</v>
      </c>
      <c r="F117">
        <v>0.78</v>
      </c>
      <c r="G117" t="s">
        <v>14</v>
      </c>
    </row>
    <row r="118" spans="1:7" x14ac:dyDescent="0.25">
      <c r="A118">
        <v>9</v>
      </c>
      <c r="B118" t="s">
        <v>107</v>
      </c>
      <c r="C118">
        <v>50</v>
      </c>
      <c r="D118" t="s">
        <v>18</v>
      </c>
      <c r="E118" t="s">
        <v>15</v>
      </c>
      <c r="F118">
        <v>110.947</v>
      </c>
      <c r="G118" t="s">
        <v>14</v>
      </c>
    </row>
    <row r="119" spans="1:7" x14ac:dyDescent="0.25">
      <c r="A119">
        <v>9</v>
      </c>
      <c r="B119" t="s">
        <v>107</v>
      </c>
      <c r="C119">
        <v>60</v>
      </c>
      <c r="D119" t="s">
        <v>95</v>
      </c>
      <c r="E119" t="s">
        <v>15</v>
      </c>
      <c r="F119">
        <v>28.245000000000001</v>
      </c>
      <c r="G119" t="s">
        <v>14</v>
      </c>
    </row>
    <row r="120" spans="1:7" x14ac:dyDescent="0.25">
      <c r="A120">
        <v>9</v>
      </c>
      <c r="B120" t="s">
        <v>107</v>
      </c>
      <c r="C120">
        <v>70</v>
      </c>
      <c r="D120" t="s">
        <v>96</v>
      </c>
      <c r="E120" t="s">
        <v>15</v>
      </c>
      <c r="F120">
        <v>130.279</v>
      </c>
      <c r="G120" t="s">
        <v>14</v>
      </c>
    </row>
    <row r="121" spans="1:7" x14ac:dyDescent="0.25">
      <c r="A121">
        <v>9</v>
      </c>
      <c r="B121" t="s">
        <v>107</v>
      </c>
      <c r="C121">
        <v>80</v>
      </c>
      <c r="D121" t="s">
        <v>102</v>
      </c>
      <c r="E121" t="s">
        <v>11</v>
      </c>
      <c r="F121">
        <v>4</v>
      </c>
      <c r="G121" t="s">
        <v>14</v>
      </c>
    </row>
    <row r="122" spans="1:7" x14ac:dyDescent="0.25">
      <c r="A122">
        <v>9</v>
      </c>
      <c r="B122" t="s">
        <v>107</v>
      </c>
      <c r="C122">
        <v>90</v>
      </c>
      <c r="D122" t="s">
        <v>21</v>
      </c>
      <c r="E122" t="s">
        <v>11</v>
      </c>
      <c r="F122">
        <v>1</v>
      </c>
      <c r="G122" t="s">
        <v>14</v>
      </c>
    </row>
    <row r="123" spans="1:7" x14ac:dyDescent="0.25">
      <c r="A123">
        <v>9</v>
      </c>
      <c r="B123" t="s">
        <v>107</v>
      </c>
      <c r="C123">
        <v>100</v>
      </c>
      <c r="D123" t="s">
        <v>22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107</v>
      </c>
      <c r="C124">
        <v>110</v>
      </c>
      <c r="D124" t="s">
        <v>23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107</v>
      </c>
      <c r="C125">
        <v>120</v>
      </c>
      <c r="D125" t="s">
        <v>101</v>
      </c>
      <c r="E125" t="s">
        <v>13</v>
      </c>
      <c r="F125">
        <v>0.51</v>
      </c>
      <c r="G125" t="s">
        <v>14</v>
      </c>
    </row>
    <row r="126" spans="1:7" x14ac:dyDescent="0.25">
      <c r="A126">
        <v>9</v>
      </c>
      <c r="B126" t="s">
        <v>107</v>
      </c>
      <c r="C126">
        <v>130</v>
      </c>
      <c r="D126" t="s">
        <v>126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107</v>
      </c>
      <c r="C127">
        <v>140</v>
      </c>
      <c r="D127" t="s">
        <v>117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108</v>
      </c>
      <c r="C128">
        <v>10</v>
      </c>
      <c r="D128" t="s">
        <v>118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108</v>
      </c>
      <c r="C129">
        <v>20</v>
      </c>
      <c r="D129" t="s">
        <v>112</v>
      </c>
      <c r="E129" t="s">
        <v>15</v>
      </c>
      <c r="F129">
        <v>1.8540000000000001</v>
      </c>
      <c r="G129" t="s">
        <v>16</v>
      </c>
    </row>
    <row r="130" spans="1:7" x14ac:dyDescent="0.25">
      <c r="A130">
        <v>10</v>
      </c>
      <c r="B130" t="s">
        <v>108</v>
      </c>
      <c r="C130">
        <v>30</v>
      </c>
      <c r="D130" t="s">
        <v>103</v>
      </c>
      <c r="E130" t="s">
        <v>15</v>
      </c>
      <c r="F130">
        <v>1.8540000000000001</v>
      </c>
      <c r="G130" t="s">
        <v>16</v>
      </c>
    </row>
    <row r="131" spans="1:7" x14ac:dyDescent="0.25">
      <c r="A131">
        <v>10</v>
      </c>
      <c r="B131" t="s">
        <v>108</v>
      </c>
      <c r="C131">
        <v>40</v>
      </c>
      <c r="D131" t="s">
        <v>97</v>
      </c>
      <c r="E131" t="s">
        <v>98</v>
      </c>
      <c r="F131">
        <v>0.95</v>
      </c>
      <c r="G131" t="s">
        <v>14</v>
      </c>
    </row>
    <row r="132" spans="1:7" x14ac:dyDescent="0.25">
      <c r="A132">
        <v>10</v>
      </c>
      <c r="B132" t="s">
        <v>108</v>
      </c>
      <c r="C132">
        <v>50</v>
      </c>
      <c r="D132" t="s">
        <v>18</v>
      </c>
      <c r="E132" t="s">
        <v>15</v>
      </c>
      <c r="F132">
        <v>120.70099999999999</v>
      </c>
      <c r="G132" t="s">
        <v>14</v>
      </c>
    </row>
    <row r="133" spans="1:7" x14ac:dyDescent="0.25">
      <c r="A133">
        <v>10</v>
      </c>
      <c r="B133" t="s">
        <v>108</v>
      </c>
      <c r="C133">
        <v>60</v>
      </c>
      <c r="D133" t="s">
        <v>95</v>
      </c>
      <c r="E133" t="s">
        <v>15</v>
      </c>
      <c r="F133">
        <v>30.683</v>
      </c>
      <c r="G133" t="s">
        <v>14</v>
      </c>
    </row>
    <row r="134" spans="1:7" x14ac:dyDescent="0.25">
      <c r="A134">
        <v>10</v>
      </c>
      <c r="B134" t="s">
        <v>108</v>
      </c>
      <c r="C134">
        <v>70</v>
      </c>
      <c r="D134" t="s">
        <v>96</v>
      </c>
      <c r="E134" t="s">
        <v>15</v>
      </c>
      <c r="F134">
        <v>141.52600000000001</v>
      </c>
      <c r="G134" t="s">
        <v>14</v>
      </c>
    </row>
    <row r="135" spans="1:7" x14ac:dyDescent="0.25">
      <c r="A135">
        <v>10</v>
      </c>
      <c r="B135" t="s">
        <v>108</v>
      </c>
      <c r="C135">
        <v>80</v>
      </c>
      <c r="D135" t="s">
        <v>102</v>
      </c>
      <c r="E135" t="s">
        <v>11</v>
      </c>
      <c r="F135">
        <v>4</v>
      </c>
      <c r="G135" t="s">
        <v>14</v>
      </c>
    </row>
    <row r="136" spans="1:7" x14ac:dyDescent="0.25">
      <c r="A136">
        <v>10</v>
      </c>
      <c r="B136" t="s">
        <v>108</v>
      </c>
      <c r="C136">
        <v>90</v>
      </c>
      <c r="D136" t="s">
        <v>21</v>
      </c>
      <c r="E136" t="s">
        <v>11</v>
      </c>
      <c r="F136">
        <v>1</v>
      </c>
      <c r="G136" t="s">
        <v>14</v>
      </c>
    </row>
    <row r="137" spans="1:7" x14ac:dyDescent="0.25">
      <c r="A137">
        <v>10</v>
      </c>
      <c r="B137" t="s">
        <v>108</v>
      </c>
      <c r="C137">
        <v>100</v>
      </c>
      <c r="D137" t="s">
        <v>22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108</v>
      </c>
      <c r="C138">
        <v>110</v>
      </c>
      <c r="D138" t="s">
        <v>23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108</v>
      </c>
      <c r="C139">
        <v>120</v>
      </c>
      <c r="D139" t="s">
        <v>101</v>
      </c>
      <c r="E139" t="s">
        <v>13</v>
      </c>
      <c r="F139">
        <v>0.60099999999999998</v>
      </c>
      <c r="G139" t="s">
        <v>14</v>
      </c>
    </row>
    <row r="140" spans="1:7" x14ac:dyDescent="0.25">
      <c r="A140">
        <v>10</v>
      </c>
      <c r="B140" t="s">
        <v>108</v>
      </c>
      <c r="C140">
        <v>130</v>
      </c>
      <c r="D140" t="s">
        <v>127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108</v>
      </c>
      <c r="C141">
        <v>140</v>
      </c>
      <c r="D141" t="s">
        <v>119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109</v>
      </c>
      <c r="C142">
        <v>10</v>
      </c>
      <c r="D142" t="s">
        <v>120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109</v>
      </c>
      <c r="C143">
        <v>20</v>
      </c>
      <c r="D143" t="s">
        <v>112</v>
      </c>
      <c r="E143" t="s">
        <v>15</v>
      </c>
      <c r="F143">
        <v>1.5489999999999999</v>
      </c>
      <c r="G143" t="s">
        <v>16</v>
      </c>
    </row>
    <row r="144" spans="1:7" x14ac:dyDescent="0.25">
      <c r="A144">
        <v>11</v>
      </c>
      <c r="B144" t="s">
        <v>109</v>
      </c>
      <c r="C144">
        <v>30</v>
      </c>
      <c r="D144" t="s">
        <v>103</v>
      </c>
      <c r="E144" t="s">
        <v>15</v>
      </c>
      <c r="F144">
        <v>1.5489999999999999</v>
      </c>
      <c r="G144" t="s">
        <v>16</v>
      </c>
    </row>
    <row r="145" spans="1:7" x14ac:dyDescent="0.25">
      <c r="A145">
        <v>11</v>
      </c>
      <c r="B145" t="s">
        <v>109</v>
      </c>
      <c r="C145">
        <v>40</v>
      </c>
      <c r="D145" t="s">
        <v>97</v>
      </c>
      <c r="E145" t="s">
        <v>98</v>
      </c>
      <c r="F145">
        <v>0.81299999999999994</v>
      </c>
      <c r="G145" t="s">
        <v>14</v>
      </c>
    </row>
    <row r="146" spans="1:7" x14ac:dyDescent="0.25">
      <c r="A146">
        <v>11</v>
      </c>
      <c r="B146" t="s">
        <v>109</v>
      </c>
      <c r="C146">
        <v>50</v>
      </c>
      <c r="D146" t="s">
        <v>18</v>
      </c>
      <c r="E146" t="s">
        <v>15</v>
      </c>
      <c r="F146">
        <v>113.386</v>
      </c>
      <c r="G146" t="s">
        <v>14</v>
      </c>
    </row>
    <row r="147" spans="1:7" x14ac:dyDescent="0.25">
      <c r="A147">
        <v>11</v>
      </c>
      <c r="B147" t="s">
        <v>109</v>
      </c>
      <c r="C147">
        <v>60</v>
      </c>
      <c r="D147" t="s">
        <v>95</v>
      </c>
      <c r="E147" t="s">
        <v>15</v>
      </c>
      <c r="F147">
        <v>28.853999999999999</v>
      </c>
      <c r="G147" t="s">
        <v>14</v>
      </c>
    </row>
    <row r="148" spans="1:7" x14ac:dyDescent="0.25">
      <c r="A148">
        <v>11</v>
      </c>
      <c r="B148" t="s">
        <v>109</v>
      </c>
      <c r="C148">
        <v>70</v>
      </c>
      <c r="D148" t="s">
        <v>96</v>
      </c>
      <c r="E148" t="s">
        <v>15</v>
      </c>
      <c r="F148">
        <v>133.09100000000001</v>
      </c>
      <c r="G148" t="s">
        <v>14</v>
      </c>
    </row>
    <row r="149" spans="1:7" x14ac:dyDescent="0.25">
      <c r="A149">
        <v>11</v>
      </c>
      <c r="B149" t="s">
        <v>109</v>
      </c>
      <c r="C149">
        <v>80</v>
      </c>
      <c r="D149" t="s">
        <v>102</v>
      </c>
      <c r="E149" t="s">
        <v>11</v>
      </c>
      <c r="F149">
        <v>4</v>
      </c>
      <c r="G149" t="s">
        <v>14</v>
      </c>
    </row>
    <row r="150" spans="1:7" x14ac:dyDescent="0.25">
      <c r="A150">
        <v>11</v>
      </c>
      <c r="B150" t="s">
        <v>109</v>
      </c>
      <c r="C150">
        <v>90</v>
      </c>
      <c r="D150" t="s">
        <v>21</v>
      </c>
      <c r="E150" t="s">
        <v>11</v>
      </c>
      <c r="F150">
        <v>1</v>
      </c>
      <c r="G150" t="s">
        <v>14</v>
      </c>
    </row>
    <row r="151" spans="1:7" x14ac:dyDescent="0.25">
      <c r="A151">
        <v>11</v>
      </c>
      <c r="B151" t="s">
        <v>109</v>
      </c>
      <c r="C151">
        <v>100</v>
      </c>
      <c r="D151" t="s">
        <v>22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109</v>
      </c>
      <c r="C152">
        <v>110</v>
      </c>
      <c r="D152" t="s">
        <v>23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109</v>
      </c>
      <c r="C153">
        <v>120</v>
      </c>
      <c r="D153" t="s">
        <v>101</v>
      </c>
      <c r="E153" t="s">
        <v>13</v>
      </c>
      <c r="F153">
        <v>0.51</v>
      </c>
      <c r="G153" t="s">
        <v>14</v>
      </c>
    </row>
    <row r="154" spans="1:7" x14ac:dyDescent="0.25">
      <c r="A154">
        <v>11</v>
      </c>
      <c r="B154" t="s">
        <v>109</v>
      </c>
      <c r="C154">
        <v>130</v>
      </c>
      <c r="D154" t="s">
        <v>128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109</v>
      </c>
      <c r="C155">
        <v>140</v>
      </c>
      <c r="D155" t="s">
        <v>121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110</v>
      </c>
      <c r="C156">
        <v>10</v>
      </c>
      <c r="D156" t="s">
        <v>122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110</v>
      </c>
      <c r="C157">
        <v>20</v>
      </c>
      <c r="D157" t="s">
        <v>112</v>
      </c>
      <c r="E157" t="s">
        <v>15</v>
      </c>
      <c r="F157">
        <v>1.8540000000000001</v>
      </c>
      <c r="G157" t="s">
        <v>16</v>
      </c>
    </row>
    <row r="158" spans="1:7" x14ac:dyDescent="0.25">
      <c r="A158">
        <v>12</v>
      </c>
      <c r="B158" t="s">
        <v>110</v>
      </c>
      <c r="C158">
        <v>30</v>
      </c>
      <c r="D158" t="s">
        <v>103</v>
      </c>
      <c r="E158" t="s">
        <v>15</v>
      </c>
      <c r="F158">
        <v>1.8540000000000001</v>
      </c>
      <c r="G158" t="s">
        <v>16</v>
      </c>
    </row>
    <row r="159" spans="1:7" x14ac:dyDescent="0.25">
      <c r="A159">
        <v>12</v>
      </c>
      <c r="B159" t="s">
        <v>110</v>
      </c>
      <c r="C159">
        <v>40</v>
      </c>
      <c r="D159" t="s">
        <v>97</v>
      </c>
      <c r="E159" t="s">
        <v>98</v>
      </c>
      <c r="F159">
        <v>0.99</v>
      </c>
      <c r="G159" t="s">
        <v>14</v>
      </c>
    </row>
    <row r="160" spans="1:7" x14ac:dyDescent="0.25">
      <c r="A160">
        <v>12</v>
      </c>
      <c r="B160" t="s">
        <v>110</v>
      </c>
      <c r="C160">
        <v>50</v>
      </c>
      <c r="D160" t="s">
        <v>18</v>
      </c>
      <c r="E160" t="s">
        <v>15</v>
      </c>
      <c r="F160">
        <v>123.139</v>
      </c>
      <c r="G160" t="s">
        <v>14</v>
      </c>
    </row>
    <row r="161" spans="1:7" x14ac:dyDescent="0.25">
      <c r="A161">
        <v>12</v>
      </c>
      <c r="B161" t="s">
        <v>110</v>
      </c>
      <c r="C161">
        <v>60</v>
      </c>
      <c r="D161" t="s">
        <v>95</v>
      </c>
      <c r="E161" t="s">
        <v>15</v>
      </c>
      <c r="F161">
        <v>31.292999999999999</v>
      </c>
      <c r="G161" t="s">
        <v>14</v>
      </c>
    </row>
    <row r="162" spans="1:7" x14ac:dyDescent="0.25">
      <c r="A162">
        <v>12</v>
      </c>
      <c r="B162" t="s">
        <v>110</v>
      </c>
      <c r="C162">
        <v>70</v>
      </c>
      <c r="D162" t="s">
        <v>96</v>
      </c>
      <c r="E162" t="s">
        <v>15</v>
      </c>
      <c r="F162">
        <v>144.33799999999999</v>
      </c>
      <c r="G162" t="s">
        <v>14</v>
      </c>
    </row>
    <row r="163" spans="1:7" x14ac:dyDescent="0.25">
      <c r="A163">
        <v>12</v>
      </c>
      <c r="B163" t="s">
        <v>110</v>
      </c>
      <c r="C163">
        <v>80</v>
      </c>
      <c r="D163" t="s">
        <v>102</v>
      </c>
      <c r="E163" t="s">
        <v>11</v>
      </c>
      <c r="F163">
        <v>4</v>
      </c>
      <c r="G163" t="s">
        <v>14</v>
      </c>
    </row>
    <row r="164" spans="1:7" x14ac:dyDescent="0.25">
      <c r="A164">
        <v>12</v>
      </c>
      <c r="B164" t="s">
        <v>110</v>
      </c>
      <c r="C164">
        <v>90</v>
      </c>
      <c r="D164" t="s">
        <v>21</v>
      </c>
      <c r="E164" t="s">
        <v>11</v>
      </c>
      <c r="F164">
        <v>1</v>
      </c>
      <c r="G164" t="s">
        <v>14</v>
      </c>
    </row>
    <row r="165" spans="1:7" x14ac:dyDescent="0.25">
      <c r="A165">
        <v>12</v>
      </c>
      <c r="B165" t="s">
        <v>110</v>
      </c>
      <c r="C165">
        <v>100</v>
      </c>
      <c r="D165" t="s">
        <v>22</v>
      </c>
      <c r="E165" t="s">
        <v>11</v>
      </c>
      <c r="F165">
        <v>1</v>
      </c>
      <c r="G165" t="s">
        <v>14</v>
      </c>
    </row>
    <row r="166" spans="1:7" x14ac:dyDescent="0.25">
      <c r="A166">
        <v>12</v>
      </c>
      <c r="B166" t="s">
        <v>110</v>
      </c>
      <c r="C166">
        <v>110</v>
      </c>
      <c r="D166" t="s">
        <v>23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110</v>
      </c>
      <c r="C167">
        <v>120</v>
      </c>
      <c r="D167" t="s">
        <v>101</v>
      </c>
      <c r="E167" t="s">
        <v>13</v>
      </c>
      <c r="F167">
        <v>0.60099999999999998</v>
      </c>
      <c r="G167" t="s">
        <v>14</v>
      </c>
    </row>
    <row r="168" spans="1:7" x14ac:dyDescent="0.25">
      <c r="A168">
        <v>12</v>
      </c>
      <c r="B168" t="s">
        <v>110</v>
      </c>
      <c r="C168">
        <v>130</v>
      </c>
      <c r="D168" t="s">
        <v>129</v>
      </c>
      <c r="E168" t="s">
        <v>11</v>
      </c>
      <c r="F168">
        <v>1</v>
      </c>
      <c r="G168" t="s">
        <v>16</v>
      </c>
    </row>
    <row r="169" spans="1:7" x14ac:dyDescent="0.25">
      <c r="A169">
        <v>12</v>
      </c>
      <c r="B169" t="s">
        <v>110</v>
      </c>
      <c r="C169">
        <v>140</v>
      </c>
      <c r="D169" t="s">
        <v>123</v>
      </c>
      <c r="E169" t="s">
        <v>11</v>
      </c>
      <c r="F169">
        <v>1</v>
      </c>
      <c r="G169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72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5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5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6" t="s">
        <v>49</v>
      </c>
      <c r="C4" s="26" t="s">
        <v>50</v>
      </c>
      <c r="D4" s="42" t="s">
        <v>51</v>
      </c>
      <c r="E4" s="26" t="s">
        <v>3</v>
      </c>
      <c r="F4" s="42" t="s">
        <v>52</v>
      </c>
      <c r="G4" s="26" t="s">
        <v>53</v>
      </c>
      <c r="H4" s="26" t="s">
        <v>6</v>
      </c>
      <c r="I4" s="26" t="s">
        <v>54</v>
      </c>
      <c r="J4" s="42" t="s">
        <v>55</v>
      </c>
      <c r="K4" s="42" t="s">
        <v>56</v>
      </c>
      <c r="L4" s="42" t="s">
        <v>57</v>
      </c>
      <c r="M4" s="27" t="s">
        <v>58</v>
      </c>
      <c r="N4" s="28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105</v>
      </c>
      <c r="D5" s="3"/>
      <c r="E5" s="3" t="s">
        <v>105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111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105</v>
      </c>
      <c r="D6" s="3"/>
      <c r="E6" s="3" t="s">
        <v>105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112</v>
      </c>
      <c r="O6" s="3"/>
      <c r="P6" s="3"/>
      <c r="Q6" s="3">
        <v>0.94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105</v>
      </c>
      <c r="D7" s="3"/>
      <c r="E7" s="3" t="s">
        <v>105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103</v>
      </c>
      <c r="O7" s="3"/>
      <c r="P7" s="3"/>
      <c r="Q7" s="3">
        <v>0.94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105</v>
      </c>
      <c r="D8" s="3"/>
      <c r="E8" s="3" t="s">
        <v>105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97</v>
      </c>
      <c r="O8" s="3"/>
      <c r="P8" s="3"/>
      <c r="Q8" s="3">
        <v>0.42099999999999999</v>
      </c>
      <c r="R8" s="3" t="s">
        <v>98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105</v>
      </c>
      <c r="D9" s="3"/>
      <c r="E9" s="3" t="s">
        <v>105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89.001999999999995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105</v>
      </c>
      <c r="D10" s="3"/>
      <c r="E10" s="3" t="s">
        <v>105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95</v>
      </c>
      <c r="O10" s="3"/>
      <c r="P10" s="3"/>
      <c r="Q10" s="3">
        <v>22.757999999999999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105</v>
      </c>
      <c r="D11" s="3"/>
      <c r="E11" s="3" t="s">
        <v>105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96</v>
      </c>
      <c r="O11" s="3"/>
      <c r="P11" s="3"/>
      <c r="Q11" s="3">
        <v>104.973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105</v>
      </c>
      <c r="D12" s="3"/>
      <c r="E12" s="3" t="s">
        <v>105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102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105</v>
      </c>
      <c r="D13" s="3"/>
      <c r="E13" s="3" t="s">
        <v>105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105</v>
      </c>
      <c r="D14" s="3"/>
      <c r="E14" s="3" t="s">
        <v>105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105</v>
      </c>
      <c r="D15" s="3"/>
      <c r="E15" s="3" t="s">
        <v>105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105</v>
      </c>
      <c r="D16" s="3"/>
      <c r="E16" s="3" t="s">
        <v>105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101</v>
      </c>
      <c r="O16" s="3"/>
      <c r="P16" s="3"/>
      <c r="Q16" s="3">
        <v>0.33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105</v>
      </c>
      <c r="D17" s="3"/>
      <c r="E17" s="3" t="s">
        <v>105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124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105</v>
      </c>
      <c r="D18" s="3"/>
      <c r="E18" s="3" t="s">
        <v>105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113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106</v>
      </c>
      <c r="D19" s="3"/>
      <c r="E19" s="3" t="s">
        <v>106</v>
      </c>
      <c r="F19" s="3"/>
      <c r="G19" s="3"/>
      <c r="H19" s="3"/>
      <c r="I19" s="3"/>
      <c r="J19" s="3"/>
      <c r="K19" s="3"/>
      <c r="L19" s="3" t="s">
        <v>90</v>
      </c>
      <c r="M19" s="3">
        <v>10</v>
      </c>
      <c r="N19" s="3" t="s">
        <v>114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106</v>
      </c>
      <c r="D20" s="3"/>
      <c r="E20" s="3" t="s">
        <v>106</v>
      </c>
      <c r="F20" s="3"/>
      <c r="G20" s="3"/>
      <c r="H20" s="3"/>
      <c r="I20" s="3"/>
      <c r="J20" s="3"/>
      <c r="K20" s="3"/>
      <c r="L20" s="3" t="s">
        <v>90</v>
      </c>
      <c r="M20" s="3">
        <v>20</v>
      </c>
      <c r="N20" s="3" t="s">
        <v>112</v>
      </c>
      <c r="O20" s="3"/>
      <c r="P20" s="3"/>
      <c r="Q20" s="3">
        <v>0.94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106</v>
      </c>
      <c r="D21" s="3"/>
      <c r="E21" s="3" t="s">
        <v>106</v>
      </c>
      <c r="F21" s="3"/>
      <c r="G21" s="3"/>
      <c r="H21" s="3"/>
      <c r="I21" s="3"/>
      <c r="J21" s="3"/>
      <c r="K21" s="3"/>
      <c r="L21" s="3" t="s">
        <v>90</v>
      </c>
      <c r="M21" s="3">
        <v>30</v>
      </c>
      <c r="N21" s="3" t="s">
        <v>103</v>
      </c>
      <c r="O21" s="3"/>
      <c r="P21" s="3"/>
      <c r="Q21" s="3">
        <v>0.94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106</v>
      </c>
      <c r="D22" s="3"/>
      <c r="E22" s="3" t="s">
        <v>106</v>
      </c>
      <c r="F22" s="3"/>
      <c r="G22" s="3"/>
      <c r="H22" s="3"/>
      <c r="I22" s="3"/>
      <c r="J22" s="3"/>
      <c r="K22" s="3"/>
      <c r="L22" s="3" t="s">
        <v>90</v>
      </c>
      <c r="M22" s="3">
        <v>40</v>
      </c>
      <c r="N22" s="3" t="s">
        <v>97</v>
      </c>
      <c r="O22" s="3"/>
      <c r="P22" s="3"/>
      <c r="Q22" s="3">
        <v>0.439</v>
      </c>
      <c r="R22" s="3" t="s">
        <v>98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106</v>
      </c>
      <c r="D23" s="3"/>
      <c r="E23" s="3" t="s">
        <v>106</v>
      </c>
      <c r="F23" s="3"/>
      <c r="G23" s="3"/>
      <c r="H23" s="3"/>
      <c r="I23" s="3"/>
      <c r="J23" s="3"/>
      <c r="K23" s="3"/>
      <c r="L23" s="3" t="s">
        <v>90</v>
      </c>
      <c r="M23" s="3">
        <v>50</v>
      </c>
      <c r="N23" s="3" t="s">
        <v>18</v>
      </c>
      <c r="O23" s="3"/>
      <c r="P23" s="3"/>
      <c r="Q23" s="3">
        <v>91.44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106</v>
      </c>
      <c r="D24" s="3"/>
      <c r="E24" s="3" t="s">
        <v>106</v>
      </c>
      <c r="F24" s="3"/>
      <c r="G24" s="3"/>
      <c r="H24" s="3"/>
      <c r="I24" s="3"/>
      <c r="J24" s="3"/>
      <c r="K24" s="3"/>
      <c r="L24" s="3" t="s">
        <v>90</v>
      </c>
      <c r="M24" s="3">
        <v>60</v>
      </c>
      <c r="N24" s="3" t="s">
        <v>95</v>
      </c>
      <c r="O24" s="3"/>
      <c r="P24" s="3"/>
      <c r="Q24" s="3">
        <v>23.367999999999999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106</v>
      </c>
      <c r="D25" s="3"/>
      <c r="E25" s="3" t="s">
        <v>106</v>
      </c>
      <c r="F25" s="3"/>
      <c r="G25" s="3"/>
      <c r="H25" s="3"/>
      <c r="I25" s="3"/>
      <c r="J25" s="3"/>
      <c r="K25" s="3"/>
      <c r="L25" s="3" t="s">
        <v>90</v>
      </c>
      <c r="M25" s="3">
        <v>70</v>
      </c>
      <c r="N25" s="3" t="s">
        <v>96</v>
      </c>
      <c r="O25" s="3"/>
      <c r="P25" s="3"/>
      <c r="Q25" s="3">
        <v>107.785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106</v>
      </c>
      <c r="D26" s="3"/>
      <c r="E26" s="3" t="s">
        <v>106</v>
      </c>
      <c r="F26" s="3"/>
      <c r="G26" s="3"/>
      <c r="H26" s="3"/>
      <c r="I26" s="3"/>
      <c r="J26" s="3"/>
      <c r="K26" s="3"/>
      <c r="L26" s="3" t="s">
        <v>90</v>
      </c>
      <c r="M26" s="3">
        <v>80</v>
      </c>
      <c r="N26" s="3" t="s">
        <v>102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106</v>
      </c>
      <c r="D27" s="3"/>
      <c r="E27" s="3" t="s">
        <v>106</v>
      </c>
      <c r="F27" s="3"/>
      <c r="G27" s="3"/>
      <c r="H27" s="3"/>
      <c r="I27" s="3"/>
      <c r="J27" s="3"/>
      <c r="K27" s="3"/>
      <c r="L27" s="3" t="s">
        <v>90</v>
      </c>
      <c r="M27" s="3">
        <v>90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106</v>
      </c>
      <c r="D28" s="3"/>
      <c r="E28" s="3" t="s">
        <v>106</v>
      </c>
      <c r="F28" s="3"/>
      <c r="G28" s="3"/>
      <c r="H28" s="3"/>
      <c r="I28" s="3"/>
      <c r="J28" s="3"/>
      <c r="K28" s="3"/>
      <c r="L28" s="3" t="s">
        <v>90</v>
      </c>
      <c r="M28" s="3">
        <v>100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106</v>
      </c>
      <c r="D29" s="3"/>
      <c r="E29" s="3" t="s">
        <v>106</v>
      </c>
      <c r="F29" s="3"/>
      <c r="G29" s="3"/>
      <c r="H29" s="3"/>
      <c r="I29" s="3"/>
      <c r="J29" s="3"/>
      <c r="K29" s="3"/>
      <c r="L29" s="3" t="s">
        <v>90</v>
      </c>
      <c r="M29" s="3">
        <v>110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106</v>
      </c>
      <c r="D30" s="3"/>
      <c r="E30" s="3" t="s">
        <v>106</v>
      </c>
      <c r="F30" s="3"/>
      <c r="G30" s="3"/>
      <c r="H30" s="3"/>
      <c r="I30" s="3"/>
      <c r="J30" s="3"/>
      <c r="K30" s="3"/>
      <c r="L30" s="3" t="s">
        <v>90</v>
      </c>
      <c r="M30" s="3">
        <v>120</v>
      </c>
      <c r="N30" s="3" t="s">
        <v>101</v>
      </c>
      <c r="O30" s="3"/>
      <c r="P30" s="3"/>
      <c r="Q30" s="3">
        <v>0.33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106</v>
      </c>
      <c r="D31" s="3"/>
      <c r="E31" s="3" t="s">
        <v>106</v>
      </c>
      <c r="F31" s="3"/>
      <c r="G31" s="3"/>
      <c r="H31" s="3"/>
      <c r="I31" s="3"/>
      <c r="J31" s="3"/>
      <c r="K31" s="3"/>
      <c r="L31" s="3" t="s">
        <v>90</v>
      </c>
      <c r="M31" s="3">
        <v>130</v>
      </c>
      <c r="N31" s="3" t="s">
        <v>125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106</v>
      </c>
      <c r="D32" s="3"/>
      <c r="E32" s="3" t="s">
        <v>106</v>
      </c>
      <c r="F32" s="3"/>
      <c r="G32" s="3"/>
      <c r="H32" s="3"/>
      <c r="I32" s="3"/>
      <c r="J32" s="3"/>
      <c r="K32" s="3"/>
      <c r="L32" s="3" t="s">
        <v>90</v>
      </c>
      <c r="M32" s="3">
        <v>140</v>
      </c>
      <c r="N32" s="3" t="s">
        <v>115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107</v>
      </c>
      <c r="D33" s="3"/>
      <c r="E33" s="3" t="s">
        <v>107</v>
      </c>
      <c r="F33" s="3"/>
      <c r="G33" s="3"/>
      <c r="H33" s="3"/>
      <c r="I33" s="3"/>
      <c r="J33" s="3"/>
      <c r="K33" s="3"/>
      <c r="L33" s="3" t="s">
        <v>90</v>
      </c>
      <c r="M33" s="3">
        <v>10</v>
      </c>
      <c r="N33" s="3" t="s">
        <v>116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107</v>
      </c>
      <c r="D34" s="3"/>
      <c r="E34" s="3" t="s">
        <v>107</v>
      </c>
      <c r="F34" s="3"/>
      <c r="G34" s="3"/>
      <c r="H34" s="3"/>
      <c r="I34" s="3"/>
      <c r="J34" s="3"/>
      <c r="K34" s="3"/>
      <c r="L34" s="3" t="s">
        <v>90</v>
      </c>
      <c r="M34" s="3">
        <v>20</v>
      </c>
      <c r="N34" s="3" t="s">
        <v>112</v>
      </c>
      <c r="O34" s="3"/>
      <c r="P34" s="3"/>
      <c r="Q34" s="3">
        <v>1.5489999999999999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107</v>
      </c>
      <c r="D35" s="3"/>
      <c r="E35" s="3" t="s">
        <v>107</v>
      </c>
      <c r="F35" s="3"/>
      <c r="G35" s="3"/>
      <c r="H35" s="3"/>
      <c r="I35" s="3"/>
      <c r="J35" s="3"/>
      <c r="K35" s="3"/>
      <c r="L35" s="3" t="s">
        <v>90</v>
      </c>
      <c r="M35" s="3">
        <v>30</v>
      </c>
      <c r="N35" s="3" t="s">
        <v>103</v>
      </c>
      <c r="O35" s="3"/>
      <c r="P35" s="3"/>
      <c r="Q35" s="3">
        <v>1.5489999999999999</v>
      </c>
      <c r="R35" s="3" t="s">
        <v>15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107</v>
      </c>
      <c r="D36" s="3"/>
      <c r="E36" s="3" t="s">
        <v>107</v>
      </c>
      <c r="F36" s="3"/>
      <c r="G36" s="3"/>
      <c r="H36" s="3"/>
      <c r="I36" s="3"/>
      <c r="J36" s="3"/>
      <c r="K36" s="3"/>
      <c r="L36" s="3" t="s">
        <v>90</v>
      </c>
      <c r="M36" s="3">
        <v>40</v>
      </c>
      <c r="N36" s="3" t="s">
        <v>97</v>
      </c>
      <c r="O36" s="3"/>
      <c r="P36" s="3"/>
      <c r="Q36" s="3">
        <v>0.78</v>
      </c>
      <c r="R36" s="3" t="s">
        <v>98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107</v>
      </c>
      <c r="D37" s="3"/>
      <c r="E37" s="3" t="s">
        <v>107</v>
      </c>
      <c r="F37" s="3"/>
      <c r="G37" s="3"/>
      <c r="H37" s="3"/>
      <c r="I37" s="3"/>
      <c r="J37" s="3"/>
      <c r="K37" s="3"/>
      <c r="L37" s="3" t="s">
        <v>90</v>
      </c>
      <c r="M37" s="3">
        <v>50</v>
      </c>
      <c r="N37" s="3" t="s">
        <v>18</v>
      </c>
      <c r="O37" s="3"/>
      <c r="P37" s="3"/>
      <c r="Q37" s="3">
        <v>110.947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107</v>
      </c>
      <c r="D38" s="3"/>
      <c r="E38" s="3" t="s">
        <v>107</v>
      </c>
      <c r="F38" s="3"/>
      <c r="G38" s="3"/>
      <c r="H38" s="3"/>
      <c r="I38" s="3"/>
      <c r="J38" s="3"/>
      <c r="K38" s="3"/>
      <c r="L38" s="3" t="s">
        <v>90</v>
      </c>
      <c r="M38" s="3">
        <v>60</v>
      </c>
      <c r="N38" s="3" t="s">
        <v>95</v>
      </c>
      <c r="O38" s="3"/>
      <c r="P38" s="3"/>
      <c r="Q38" s="3">
        <v>28.245000000000001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107</v>
      </c>
      <c r="D39" s="3"/>
      <c r="E39" s="3" t="s">
        <v>107</v>
      </c>
      <c r="F39" s="3"/>
      <c r="G39" s="3"/>
      <c r="H39" s="3"/>
      <c r="I39" s="3"/>
      <c r="J39" s="3"/>
      <c r="K39" s="3"/>
      <c r="L39" s="3" t="s">
        <v>90</v>
      </c>
      <c r="M39" s="3">
        <v>70</v>
      </c>
      <c r="N39" s="3" t="s">
        <v>96</v>
      </c>
      <c r="O39" s="3"/>
      <c r="P39" s="3"/>
      <c r="Q39" s="3">
        <v>130.279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107</v>
      </c>
      <c r="D40" s="3"/>
      <c r="E40" s="3" t="s">
        <v>107</v>
      </c>
      <c r="F40" s="3"/>
      <c r="G40" s="3"/>
      <c r="H40" s="3"/>
      <c r="I40" s="3"/>
      <c r="J40" s="3"/>
      <c r="K40" s="3"/>
      <c r="L40" s="3" t="s">
        <v>90</v>
      </c>
      <c r="M40" s="3">
        <v>80</v>
      </c>
      <c r="N40" s="3" t="s">
        <v>102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107</v>
      </c>
      <c r="D41" s="3"/>
      <c r="E41" s="3" t="s">
        <v>107</v>
      </c>
      <c r="F41" s="3"/>
      <c r="G41" s="3"/>
      <c r="H41" s="3"/>
      <c r="I41" s="3"/>
      <c r="J41" s="3"/>
      <c r="K41" s="3"/>
      <c r="L41" s="3" t="s">
        <v>90</v>
      </c>
      <c r="M41" s="3">
        <v>90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107</v>
      </c>
      <c r="D42" s="3"/>
      <c r="E42" s="3" t="s">
        <v>107</v>
      </c>
      <c r="F42" s="3"/>
      <c r="G42" s="3"/>
      <c r="H42" s="3"/>
      <c r="I42" s="3"/>
      <c r="J42" s="3"/>
      <c r="K42" s="3"/>
      <c r="L42" s="3" t="s">
        <v>90</v>
      </c>
      <c r="M42" s="3">
        <v>100</v>
      </c>
      <c r="N42" s="3" t="s">
        <v>22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107</v>
      </c>
      <c r="D43" s="3"/>
      <c r="E43" s="3" t="s">
        <v>107</v>
      </c>
      <c r="F43" s="3"/>
      <c r="G43" s="3"/>
      <c r="H43" s="3"/>
      <c r="I43" s="3"/>
      <c r="J43" s="3"/>
      <c r="K43" s="3"/>
      <c r="L43" s="3" t="s">
        <v>90</v>
      </c>
      <c r="M43" s="3">
        <v>110</v>
      </c>
      <c r="N43" s="3" t="s">
        <v>23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107</v>
      </c>
      <c r="D44" s="3"/>
      <c r="E44" s="3" t="s">
        <v>107</v>
      </c>
      <c r="F44" s="3"/>
      <c r="G44" s="3"/>
      <c r="H44" s="3"/>
      <c r="I44" s="3"/>
      <c r="J44" s="3"/>
      <c r="K44" s="3"/>
      <c r="L44" s="3" t="s">
        <v>90</v>
      </c>
      <c r="M44" s="3">
        <v>120</v>
      </c>
      <c r="N44" s="3" t="s">
        <v>101</v>
      </c>
      <c r="O44" s="3"/>
      <c r="P44" s="3"/>
      <c r="Q44" s="3">
        <v>0.51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107</v>
      </c>
      <c r="D45" s="3"/>
      <c r="E45" s="3" t="s">
        <v>107</v>
      </c>
      <c r="F45" s="3"/>
      <c r="G45" s="3"/>
      <c r="H45" s="3"/>
      <c r="I45" s="3"/>
      <c r="J45" s="3"/>
      <c r="K45" s="3"/>
      <c r="L45" s="3" t="s">
        <v>90</v>
      </c>
      <c r="M45" s="3">
        <v>130</v>
      </c>
      <c r="N45" s="3" t="s">
        <v>126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107</v>
      </c>
      <c r="D46" s="3"/>
      <c r="E46" s="3" t="s">
        <v>107</v>
      </c>
      <c r="F46" s="3"/>
      <c r="G46" s="3"/>
      <c r="H46" s="3"/>
      <c r="I46" s="3"/>
      <c r="J46" s="3"/>
      <c r="K46" s="3"/>
      <c r="L46" s="3" t="s">
        <v>90</v>
      </c>
      <c r="M46" s="3">
        <v>140</v>
      </c>
      <c r="N46" s="3" t="s">
        <v>117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108</v>
      </c>
      <c r="D47" s="3"/>
      <c r="E47" s="3" t="s">
        <v>108</v>
      </c>
      <c r="F47" s="3"/>
      <c r="G47" s="3"/>
      <c r="H47" s="3"/>
      <c r="I47" s="3"/>
      <c r="J47" s="3"/>
      <c r="K47" s="3"/>
      <c r="L47" s="3" t="s">
        <v>90</v>
      </c>
      <c r="M47" s="3">
        <v>10</v>
      </c>
      <c r="N47" s="3" t="s">
        <v>118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108</v>
      </c>
      <c r="D48" s="3"/>
      <c r="E48" s="3" t="s">
        <v>108</v>
      </c>
      <c r="F48" s="3"/>
      <c r="G48" s="3"/>
      <c r="H48" s="3"/>
      <c r="I48" s="3"/>
      <c r="J48" s="3"/>
      <c r="K48" s="3"/>
      <c r="L48" s="3" t="s">
        <v>90</v>
      </c>
      <c r="M48" s="3">
        <v>20</v>
      </c>
      <c r="N48" s="3" t="s">
        <v>112</v>
      </c>
      <c r="O48" s="3"/>
      <c r="P48" s="3"/>
      <c r="Q48" s="3">
        <v>1.8540000000000001</v>
      </c>
      <c r="R48" s="3" t="s">
        <v>15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108</v>
      </c>
      <c r="D49" s="3"/>
      <c r="E49" s="3" t="s">
        <v>108</v>
      </c>
      <c r="F49" s="3"/>
      <c r="G49" s="3"/>
      <c r="H49" s="3"/>
      <c r="I49" s="3"/>
      <c r="J49" s="3"/>
      <c r="K49" s="3"/>
      <c r="L49" s="3" t="s">
        <v>90</v>
      </c>
      <c r="M49" s="3">
        <v>30</v>
      </c>
      <c r="N49" s="3" t="s">
        <v>103</v>
      </c>
      <c r="O49" s="3"/>
      <c r="P49" s="3"/>
      <c r="Q49" s="3">
        <v>1.8540000000000001</v>
      </c>
      <c r="R49" s="3" t="s">
        <v>15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108</v>
      </c>
      <c r="D50" s="3"/>
      <c r="E50" s="3" t="s">
        <v>108</v>
      </c>
      <c r="F50" s="3"/>
      <c r="G50" s="3"/>
      <c r="H50" s="3"/>
      <c r="I50" s="3"/>
      <c r="J50" s="3"/>
      <c r="K50" s="3"/>
      <c r="L50" s="3" t="s">
        <v>90</v>
      </c>
      <c r="M50" s="3">
        <v>40</v>
      </c>
      <c r="N50" s="3" t="s">
        <v>97</v>
      </c>
      <c r="O50" s="3"/>
      <c r="P50" s="3"/>
      <c r="Q50" s="3">
        <v>0.95</v>
      </c>
      <c r="R50" s="3" t="s">
        <v>98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108</v>
      </c>
      <c r="D51" s="3"/>
      <c r="E51" s="3" t="s">
        <v>108</v>
      </c>
      <c r="F51" s="3"/>
      <c r="G51" s="3"/>
      <c r="H51" s="3"/>
      <c r="I51" s="3"/>
      <c r="J51" s="3"/>
      <c r="K51" s="3"/>
      <c r="L51" s="3" t="s">
        <v>90</v>
      </c>
      <c r="M51" s="3">
        <v>50</v>
      </c>
      <c r="N51" s="3" t="s">
        <v>18</v>
      </c>
      <c r="O51" s="3"/>
      <c r="P51" s="3"/>
      <c r="Q51" s="3">
        <v>120.70099999999999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108</v>
      </c>
      <c r="D52" s="3"/>
      <c r="E52" s="3" t="s">
        <v>108</v>
      </c>
      <c r="F52" s="3"/>
      <c r="G52" s="3"/>
      <c r="H52" s="3"/>
      <c r="I52" s="3"/>
      <c r="J52" s="3"/>
      <c r="K52" s="3"/>
      <c r="L52" s="3" t="s">
        <v>90</v>
      </c>
      <c r="M52" s="3">
        <v>60</v>
      </c>
      <c r="N52" s="3" t="s">
        <v>95</v>
      </c>
      <c r="O52" s="3"/>
      <c r="P52" s="3"/>
      <c r="Q52" s="3">
        <v>30.683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108</v>
      </c>
      <c r="D53" s="3"/>
      <c r="E53" s="3" t="s">
        <v>108</v>
      </c>
      <c r="F53" s="3"/>
      <c r="G53" s="3"/>
      <c r="H53" s="3"/>
      <c r="I53" s="3"/>
      <c r="J53" s="3"/>
      <c r="K53" s="3"/>
      <c r="L53" s="3" t="s">
        <v>90</v>
      </c>
      <c r="M53" s="3">
        <v>70</v>
      </c>
      <c r="N53" s="3" t="s">
        <v>96</v>
      </c>
      <c r="O53" s="3"/>
      <c r="P53" s="3"/>
      <c r="Q53" s="3">
        <v>141.52600000000001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108</v>
      </c>
      <c r="D54" s="3"/>
      <c r="E54" s="3" t="s">
        <v>108</v>
      </c>
      <c r="F54" s="3"/>
      <c r="G54" s="3"/>
      <c r="H54" s="3"/>
      <c r="I54" s="3"/>
      <c r="J54" s="3"/>
      <c r="K54" s="3"/>
      <c r="L54" s="3" t="s">
        <v>90</v>
      </c>
      <c r="M54" s="3">
        <v>80</v>
      </c>
      <c r="N54" s="3" t="s">
        <v>102</v>
      </c>
      <c r="O54" s="3"/>
      <c r="P54" s="3"/>
      <c r="Q54" s="3">
        <v>4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108</v>
      </c>
      <c r="D55" s="3"/>
      <c r="E55" s="3" t="s">
        <v>108</v>
      </c>
      <c r="F55" s="3"/>
      <c r="G55" s="3"/>
      <c r="H55" s="3"/>
      <c r="I55" s="3"/>
      <c r="J55" s="3"/>
      <c r="K55" s="3"/>
      <c r="L55" s="3" t="s">
        <v>90</v>
      </c>
      <c r="M55" s="3">
        <v>90</v>
      </c>
      <c r="N55" s="3" t="s">
        <v>21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108</v>
      </c>
      <c r="D56" s="3"/>
      <c r="E56" s="3" t="s">
        <v>108</v>
      </c>
      <c r="F56" s="3"/>
      <c r="G56" s="3"/>
      <c r="H56" s="3"/>
      <c r="I56" s="3"/>
      <c r="J56" s="3"/>
      <c r="K56" s="3"/>
      <c r="L56" s="3" t="s">
        <v>90</v>
      </c>
      <c r="M56" s="3">
        <v>100</v>
      </c>
      <c r="N56" s="3" t="s">
        <v>22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108</v>
      </c>
      <c r="D57" s="3"/>
      <c r="E57" s="3" t="s">
        <v>108</v>
      </c>
      <c r="F57" s="3"/>
      <c r="G57" s="3"/>
      <c r="H57" s="3"/>
      <c r="I57" s="3"/>
      <c r="J57" s="3"/>
      <c r="K57" s="3"/>
      <c r="L57" s="3" t="s">
        <v>90</v>
      </c>
      <c r="M57" s="3">
        <v>110</v>
      </c>
      <c r="N57" s="3" t="s">
        <v>23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108</v>
      </c>
      <c r="D58" s="3"/>
      <c r="E58" s="3" t="s">
        <v>108</v>
      </c>
      <c r="F58" s="3"/>
      <c r="G58" s="3"/>
      <c r="H58" s="3"/>
      <c r="I58" s="3"/>
      <c r="J58" s="3"/>
      <c r="K58" s="3"/>
      <c r="L58" s="3" t="s">
        <v>90</v>
      </c>
      <c r="M58" s="3">
        <v>120</v>
      </c>
      <c r="N58" s="3" t="s">
        <v>101</v>
      </c>
      <c r="O58" s="3"/>
      <c r="P58" s="3"/>
      <c r="Q58" s="3">
        <v>0.60099999999999998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108</v>
      </c>
      <c r="D59" s="3"/>
      <c r="E59" s="3" t="s">
        <v>108</v>
      </c>
      <c r="F59" s="3"/>
      <c r="G59" s="3"/>
      <c r="H59" s="3"/>
      <c r="I59" s="3"/>
      <c r="J59" s="3"/>
      <c r="K59" s="3"/>
      <c r="L59" s="3" t="s">
        <v>90</v>
      </c>
      <c r="M59" s="3">
        <v>130</v>
      </c>
      <c r="N59" s="3" t="s">
        <v>127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108</v>
      </c>
      <c r="D60" s="3"/>
      <c r="E60" s="3" t="s">
        <v>108</v>
      </c>
      <c r="F60" s="3"/>
      <c r="G60" s="3"/>
      <c r="H60" s="3"/>
      <c r="I60" s="3"/>
      <c r="J60" s="3"/>
      <c r="K60" s="3"/>
      <c r="L60" s="3" t="s">
        <v>90</v>
      </c>
      <c r="M60" s="3">
        <v>140</v>
      </c>
      <c r="N60" s="3" t="s">
        <v>119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109</v>
      </c>
      <c r="D61" s="3"/>
      <c r="E61" s="3" t="s">
        <v>109</v>
      </c>
      <c r="F61" s="3"/>
      <c r="G61" s="3"/>
      <c r="H61" s="3"/>
      <c r="I61" s="3"/>
      <c r="J61" s="3"/>
      <c r="K61" s="3"/>
      <c r="L61" s="3" t="s">
        <v>90</v>
      </c>
      <c r="M61" s="3">
        <v>10</v>
      </c>
      <c r="N61" s="3" t="s">
        <v>120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109</v>
      </c>
      <c r="D62" s="3"/>
      <c r="E62" s="3" t="s">
        <v>109</v>
      </c>
      <c r="F62" s="3"/>
      <c r="G62" s="3"/>
      <c r="H62" s="3"/>
      <c r="I62" s="3"/>
      <c r="J62" s="3"/>
      <c r="K62" s="3"/>
      <c r="L62" s="3" t="s">
        <v>90</v>
      </c>
      <c r="M62" s="3">
        <v>20</v>
      </c>
      <c r="N62" s="3" t="s">
        <v>112</v>
      </c>
      <c r="O62" s="3"/>
      <c r="P62" s="3"/>
      <c r="Q62" s="3">
        <v>1.5489999999999999</v>
      </c>
      <c r="R62" s="3" t="s">
        <v>15</v>
      </c>
      <c r="S62" s="3"/>
      <c r="T62" s="3">
        <v>10</v>
      </c>
      <c r="U62" s="3"/>
      <c r="V62" s="3" t="s">
        <v>16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109</v>
      </c>
      <c r="D63" s="3"/>
      <c r="E63" s="3" t="s">
        <v>109</v>
      </c>
      <c r="F63" s="3"/>
      <c r="G63" s="3"/>
      <c r="H63" s="3"/>
      <c r="I63" s="3"/>
      <c r="J63" s="3"/>
      <c r="K63" s="3"/>
      <c r="L63" s="3" t="s">
        <v>90</v>
      </c>
      <c r="M63" s="3">
        <v>30</v>
      </c>
      <c r="N63" s="3" t="s">
        <v>103</v>
      </c>
      <c r="O63" s="3"/>
      <c r="P63" s="3"/>
      <c r="Q63" s="3">
        <v>1.5489999999999999</v>
      </c>
      <c r="R63" s="3" t="s">
        <v>15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109</v>
      </c>
      <c r="D64" s="3"/>
      <c r="E64" s="3" t="s">
        <v>109</v>
      </c>
      <c r="F64" s="3"/>
      <c r="G64" s="3"/>
      <c r="H64" s="3"/>
      <c r="I64" s="3"/>
      <c r="J64" s="3"/>
      <c r="K64" s="3"/>
      <c r="L64" s="3" t="s">
        <v>90</v>
      </c>
      <c r="M64" s="3">
        <v>40</v>
      </c>
      <c r="N64" s="3" t="s">
        <v>97</v>
      </c>
      <c r="O64" s="3"/>
      <c r="P64" s="3"/>
      <c r="Q64" s="3">
        <v>0.81299999999999994</v>
      </c>
      <c r="R64" s="3" t="s">
        <v>98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109</v>
      </c>
      <c r="D65" s="3"/>
      <c r="E65" s="3" t="s">
        <v>109</v>
      </c>
      <c r="F65" s="3"/>
      <c r="G65" s="3"/>
      <c r="H65" s="3"/>
      <c r="I65" s="3"/>
      <c r="J65" s="3"/>
      <c r="K65" s="3"/>
      <c r="L65" s="3" t="s">
        <v>90</v>
      </c>
      <c r="M65" s="3">
        <v>50</v>
      </c>
      <c r="N65" s="3" t="s">
        <v>18</v>
      </c>
      <c r="O65" s="3"/>
      <c r="P65" s="3"/>
      <c r="Q65" s="3">
        <v>113.386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109</v>
      </c>
      <c r="D66" s="3"/>
      <c r="E66" s="3" t="s">
        <v>109</v>
      </c>
      <c r="F66" s="3"/>
      <c r="G66" s="3"/>
      <c r="H66" s="3"/>
      <c r="I66" s="3"/>
      <c r="J66" s="3"/>
      <c r="K66" s="3"/>
      <c r="L66" s="3" t="s">
        <v>90</v>
      </c>
      <c r="M66" s="3">
        <v>60</v>
      </c>
      <c r="N66" s="3" t="s">
        <v>95</v>
      </c>
      <c r="O66" s="3"/>
      <c r="P66" s="3"/>
      <c r="Q66" s="3">
        <v>28.853999999999999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109</v>
      </c>
      <c r="D67" s="3"/>
      <c r="E67" s="3" t="s">
        <v>109</v>
      </c>
      <c r="F67" s="3"/>
      <c r="G67" s="3"/>
      <c r="H67" s="3"/>
      <c r="I67" s="3"/>
      <c r="J67" s="3"/>
      <c r="K67" s="3"/>
      <c r="L67" s="3" t="s">
        <v>90</v>
      </c>
      <c r="M67" s="3">
        <v>70</v>
      </c>
      <c r="N67" s="3" t="s">
        <v>96</v>
      </c>
      <c r="O67" s="3"/>
      <c r="P67" s="3"/>
      <c r="Q67" s="3">
        <v>133.09100000000001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109</v>
      </c>
      <c r="D68" s="3"/>
      <c r="E68" s="3" t="s">
        <v>109</v>
      </c>
      <c r="F68" s="3"/>
      <c r="G68" s="3"/>
      <c r="H68" s="3"/>
      <c r="I68" s="3"/>
      <c r="J68" s="3"/>
      <c r="K68" s="3"/>
      <c r="L68" s="3" t="s">
        <v>90</v>
      </c>
      <c r="M68" s="3">
        <v>80</v>
      </c>
      <c r="N68" s="3" t="s">
        <v>102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109</v>
      </c>
      <c r="D69" s="3"/>
      <c r="E69" s="3" t="s">
        <v>109</v>
      </c>
      <c r="F69" s="3"/>
      <c r="G69" s="3"/>
      <c r="H69" s="3"/>
      <c r="I69" s="3"/>
      <c r="J69" s="3"/>
      <c r="K69" s="3"/>
      <c r="L69" s="3" t="s">
        <v>90</v>
      </c>
      <c r="M69" s="3">
        <v>90</v>
      </c>
      <c r="N69" s="3" t="s">
        <v>21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109</v>
      </c>
      <c r="D70" s="3"/>
      <c r="E70" s="3" t="s">
        <v>109</v>
      </c>
      <c r="F70" s="3"/>
      <c r="G70" s="3"/>
      <c r="H70" s="3"/>
      <c r="I70" s="3"/>
      <c r="J70" s="3"/>
      <c r="K70" s="3"/>
      <c r="L70" s="3" t="s">
        <v>90</v>
      </c>
      <c r="M70" s="3">
        <v>100</v>
      </c>
      <c r="N70" s="3" t="s">
        <v>22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109</v>
      </c>
      <c r="D71" s="3"/>
      <c r="E71" s="3" t="s">
        <v>109</v>
      </c>
      <c r="F71" s="3"/>
      <c r="G71" s="3"/>
      <c r="H71" s="3"/>
      <c r="I71" s="3"/>
      <c r="J71" s="3"/>
      <c r="K71" s="3"/>
      <c r="L71" s="3" t="s">
        <v>90</v>
      </c>
      <c r="M71" s="3">
        <v>110</v>
      </c>
      <c r="N71" s="3" t="s">
        <v>23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109</v>
      </c>
      <c r="D72" s="3"/>
      <c r="E72" s="3" t="s">
        <v>109</v>
      </c>
      <c r="F72" s="3"/>
      <c r="G72" s="3"/>
      <c r="H72" s="3"/>
      <c r="I72" s="3"/>
      <c r="J72" s="3"/>
      <c r="K72" s="3"/>
      <c r="L72" s="3" t="s">
        <v>90</v>
      </c>
      <c r="M72" s="3">
        <v>120</v>
      </c>
      <c r="N72" s="3" t="s">
        <v>101</v>
      </c>
      <c r="O72" s="3"/>
      <c r="P72" s="3"/>
      <c r="Q72" s="3">
        <v>0.51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109</v>
      </c>
      <c r="D73" s="3"/>
      <c r="E73" s="3" t="s">
        <v>109</v>
      </c>
      <c r="F73" s="3"/>
      <c r="G73" s="3"/>
      <c r="H73" s="3"/>
      <c r="I73" s="3"/>
      <c r="J73" s="3"/>
      <c r="K73" s="3"/>
      <c r="L73" s="3" t="s">
        <v>90</v>
      </c>
      <c r="M73" s="3">
        <v>130</v>
      </c>
      <c r="N73" s="3" t="s">
        <v>128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109</v>
      </c>
      <c r="D74" s="3"/>
      <c r="E74" s="3" t="s">
        <v>109</v>
      </c>
      <c r="F74" s="3"/>
      <c r="G74" s="3"/>
      <c r="H74" s="3"/>
      <c r="I74" s="3"/>
      <c r="J74" s="3"/>
      <c r="K74" s="3"/>
      <c r="L74" s="3" t="s">
        <v>90</v>
      </c>
      <c r="M74" s="3">
        <v>140</v>
      </c>
      <c r="N74" s="3" t="s">
        <v>121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110</v>
      </c>
      <c r="D75" s="3"/>
      <c r="E75" s="3" t="s">
        <v>110</v>
      </c>
      <c r="F75" s="3"/>
      <c r="G75" s="3"/>
      <c r="H75" s="3"/>
      <c r="I75" s="3"/>
      <c r="J75" s="3"/>
      <c r="K75" s="3"/>
      <c r="L75" s="3" t="s">
        <v>90</v>
      </c>
      <c r="M75" s="3">
        <v>10</v>
      </c>
      <c r="N75" s="3" t="s">
        <v>122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110</v>
      </c>
      <c r="D76" s="3"/>
      <c r="E76" s="3" t="s">
        <v>110</v>
      </c>
      <c r="F76" s="3"/>
      <c r="G76" s="3"/>
      <c r="H76" s="3"/>
      <c r="I76" s="3"/>
      <c r="J76" s="3"/>
      <c r="K76" s="3"/>
      <c r="L76" s="3" t="s">
        <v>90</v>
      </c>
      <c r="M76" s="3">
        <v>20</v>
      </c>
      <c r="N76" s="3" t="s">
        <v>112</v>
      </c>
      <c r="O76" s="3"/>
      <c r="P76" s="3"/>
      <c r="Q76" s="3">
        <v>1.8540000000000001</v>
      </c>
      <c r="R76" s="3" t="s">
        <v>15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110</v>
      </c>
      <c r="D77" s="3"/>
      <c r="E77" s="3" t="s">
        <v>110</v>
      </c>
      <c r="F77" s="3"/>
      <c r="G77" s="3"/>
      <c r="H77" s="3"/>
      <c r="I77" s="3"/>
      <c r="J77" s="3"/>
      <c r="K77" s="3"/>
      <c r="L77" s="3" t="s">
        <v>90</v>
      </c>
      <c r="M77" s="3">
        <v>30</v>
      </c>
      <c r="N77" s="3" t="s">
        <v>103</v>
      </c>
      <c r="O77" s="3"/>
      <c r="P77" s="3"/>
      <c r="Q77" s="3">
        <v>1.8540000000000001</v>
      </c>
      <c r="R77" s="3" t="s">
        <v>15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110</v>
      </c>
      <c r="D78" s="3"/>
      <c r="E78" s="3" t="s">
        <v>110</v>
      </c>
      <c r="F78" s="3"/>
      <c r="G78" s="3"/>
      <c r="H78" s="3"/>
      <c r="I78" s="3"/>
      <c r="J78" s="3"/>
      <c r="K78" s="3"/>
      <c r="L78" s="3" t="s">
        <v>90</v>
      </c>
      <c r="M78" s="3">
        <v>40</v>
      </c>
      <c r="N78" s="3" t="s">
        <v>97</v>
      </c>
      <c r="O78" s="3"/>
      <c r="P78" s="3"/>
      <c r="Q78" s="3">
        <v>0.99</v>
      </c>
      <c r="R78" s="3" t="s">
        <v>98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110</v>
      </c>
      <c r="D79" s="3"/>
      <c r="E79" s="3" t="s">
        <v>110</v>
      </c>
      <c r="F79" s="3"/>
      <c r="G79" s="3"/>
      <c r="H79" s="3"/>
      <c r="I79" s="3"/>
      <c r="J79" s="3"/>
      <c r="K79" s="3"/>
      <c r="L79" s="3" t="s">
        <v>90</v>
      </c>
      <c r="M79" s="3">
        <v>50</v>
      </c>
      <c r="N79" s="3" t="s">
        <v>18</v>
      </c>
      <c r="O79" s="3"/>
      <c r="P79" s="3"/>
      <c r="Q79" s="3">
        <v>123.139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110</v>
      </c>
      <c r="D80" s="3"/>
      <c r="E80" s="3" t="s">
        <v>110</v>
      </c>
      <c r="F80" s="3"/>
      <c r="G80" s="3"/>
      <c r="H80" s="3"/>
      <c r="I80" s="3"/>
      <c r="J80" s="3"/>
      <c r="K80" s="3"/>
      <c r="L80" s="3" t="s">
        <v>90</v>
      </c>
      <c r="M80" s="3">
        <v>60</v>
      </c>
      <c r="N80" s="3" t="s">
        <v>95</v>
      </c>
      <c r="O80" s="3"/>
      <c r="P80" s="3"/>
      <c r="Q80" s="3">
        <v>31.292999999999999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110</v>
      </c>
      <c r="D81" s="3"/>
      <c r="E81" s="3" t="s">
        <v>110</v>
      </c>
      <c r="F81" s="3"/>
      <c r="G81" s="3"/>
      <c r="H81" s="3"/>
      <c r="I81" s="3"/>
      <c r="J81" s="3"/>
      <c r="K81" s="3"/>
      <c r="L81" s="3" t="s">
        <v>90</v>
      </c>
      <c r="M81" s="3">
        <v>70</v>
      </c>
      <c r="N81" s="3" t="s">
        <v>96</v>
      </c>
      <c r="O81" s="3"/>
      <c r="P81" s="3"/>
      <c r="Q81" s="3">
        <v>144.33799999999999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110</v>
      </c>
      <c r="D82" s="3"/>
      <c r="E82" s="3" t="s">
        <v>110</v>
      </c>
      <c r="F82" s="3"/>
      <c r="G82" s="3"/>
      <c r="H82" s="3"/>
      <c r="I82" s="3"/>
      <c r="J82" s="3"/>
      <c r="K82" s="3"/>
      <c r="L82" s="3" t="s">
        <v>90</v>
      </c>
      <c r="M82" s="3">
        <v>80</v>
      </c>
      <c r="N82" s="3" t="s">
        <v>102</v>
      </c>
      <c r="O82" s="3"/>
      <c r="P82" s="3"/>
      <c r="Q82" s="3">
        <v>4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110</v>
      </c>
      <c r="D83" s="3"/>
      <c r="E83" s="3" t="s">
        <v>110</v>
      </c>
      <c r="F83" s="3"/>
      <c r="G83" s="3"/>
      <c r="H83" s="3"/>
      <c r="I83" s="3"/>
      <c r="J83" s="3"/>
      <c r="K83" s="3"/>
      <c r="L83" s="3" t="s">
        <v>90</v>
      </c>
      <c r="M83" s="3">
        <v>90</v>
      </c>
      <c r="N83" s="3" t="s">
        <v>21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110</v>
      </c>
      <c r="D84" s="3"/>
      <c r="E84" s="3" t="s">
        <v>110</v>
      </c>
      <c r="F84" s="3"/>
      <c r="G84" s="3"/>
      <c r="H84" s="3"/>
      <c r="I84" s="3"/>
      <c r="J84" s="3"/>
      <c r="K84" s="3"/>
      <c r="L84" s="3" t="s">
        <v>90</v>
      </c>
      <c r="M84" s="3">
        <v>100</v>
      </c>
      <c r="N84" s="3" t="s">
        <v>22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110</v>
      </c>
      <c r="D85" s="3"/>
      <c r="E85" s="3" t="s">
        <v>110</v>
      </c>
      <c r="F85" s="3"/>
      <c r="G85" s="3"/>
      <c r="H85" s="3"/>
      <c r="I85" s="3"/>
      <c r="J85" s="3"/>
      <c r="K85" s="3"/>
      <c r="L85" s="3" t="s">
        <v>90</v>
      </c>
      <c r="M85" s="3">
        <v>110</v>
      </c>
      <c r="N85" s="3" t="s">
        <v>23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110</v>
      </c>
      <c r="D86" s="3"/>
      <c r="E86" s="3" t="s">
        <v>110</v>
      </c>
      <c r="F86" s="3"/>
      <c r="G86" s="3"/>
      <c r="H86" s="3"/>
      <c r="I86" s="3"/>
      <c r="J86" s="3"/>
      <c r="K86" s="3"/>
      <c r="L86" s="3" t="s">
        <v>90</v>
      </c>
      <c r="M86" s="3">
        <v>120</v>
      </c>
      <c r="N86" s="3" t="s">
        <v>101</v>
      </c>
      <c r="O86" s="3"/>
      <c r="P86" s="3"/>
      <c r="Q86" s="3">
        <v>0.60099999999999998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110</v>
      </c>
      <c r="D87" s="3"/>
      <c r="E87" s="3" t="s">
        <v>110</v>
      </c>
      <c r="F87" s="3"/>
      <c r="G87" s="3"/>
      <c r="H87" s="3"/>
      <c r="I87" s="3"/>
      <c r="J87" s="3"/>
      <c r="K87" s="3"/>
      <c r="L87" s="3" t="s">
        <v>90</v>
      </c>
      <c r="M87" s="3">
        <v>130</v>
      </c>
      <c r="N87" s="3" t="s">
        <v>129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110</v>
      </c>
      <c r="D88" s="3"/>
      <c r="E88" s="3" t="s">
        <v>110</v>
      </c>
      <c r="F88" s="3"/>
      <c r="G88" s="3"/>
      <c r="H88" s="3"/>
      <c r="I88" s="3"/>
      <c r="J88" s="3"/>
      <c r="K88" s="3"/>
      <c r="L88" s="3" t="s">
        <v>90</v>
      </c>
      <c r="M88" s="3">
        <v>140</v>
      </c>
      <c r="N88" s="3" t="s">
        <v>123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105</v>
      </c>
      <c r="D89" s="3"/>
      <c r="E89" s="3" t="s">
        <v>105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111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105</v>
      </c>
      <c r="D90" s="3"/>
      <c r="E90" s="3" t="s">
        <v>105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112</v>
      </c>
      <c r="O90" s="3"/>
      <c r="P90" s="3"/>
      <c r="Q90" s="3">
        <v>0.94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105</v>
      </c>
      <c r="D91" s="3"/>
      <c r="E91" s="3" t="s">
        <v>105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103</v>
      </c>
      <c r="O91" s="3"/>
      <c r="P91" s="3"/>
      <c r="Q91" s="3">
        <v>0.94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105</v>
      </c>
      <c r="D92" s="3"/>
      <c r="E92" s="3" t="s">
        <v>105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97</v>
      </c>
      <c r="O92" s="3"/>
      <c r="P92" s="3"/>
      <c r="Q92" s="3">
        <v>0.42099999999999999</v>
      </c>
      <c r="R92" s="3" t="s">
        <v>98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105</v>
      </c>
      <c r="D93" s="3"/>
      <c r="E93" s="3" t="s">
        <v>105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18</v>
      </c>
      <c r="O93" s="3"/>
      <c r="P93" s="3"/>
      <c r="Q93" s="3">
        <v>89.001999999999995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105</v>
      </c>
      <c r="D94" s="3"/>
      <c r="E94" s="3" t="s">
        <v>105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95</v>
      </c>
      <c r="O94" s="3"/>
      <c r="P94" s="3"/>
      <c r="Q94" s="3">
        <v>22.757999999999999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105</v>
      </c>
      <c r="D95" s="3"/>
      <c r="E95" s="3" t="s">
        <v>105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96</v>
      </c>
      <c r="O95" s="3"/>
      <c r="P95" s="3"/>
      <c r="Q95" s="3">
        <v>104.973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105</v>
      </c>
      <c r="D96" s="3"/>
      <c r="E96" s="3" t="s">
        <v>105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102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105</v>
      </c>
      <c r="D97" s="3"/>
      <c r="E97" s="3" t="s">
        <v>105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105</v>
      </c>
      <c r="D98" s="3"/>
      <c r="E98" s="3" t="s">
        <v>105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105</v>
      </c>
      <c r="D99" s="3"/>
      <c r="E99" s="3" t="s">
        <v>105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23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105</v>
      </c>
      <c r="D100" s="3"/>
      <c r="E100" s="3" t="s">
        <v>105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101</v>
      </c>
      <c r="O100" s="3"/>
      <c r="P100" s="3"/>
      <c r="Q100" s="3">
        <v>0.33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105</v>
      </c>
      <c r="D101" s="3"/>
      <c r="E101" s="3" t="s">
        <v>105</v>
      </c>
      <c r="F101" s="3"/>
      <c r="G101" s="3"/>
      <c r="H101" s="3"/>
      <c r="I101" s="3"/>
      <c r="J101" s="3"/>
      <c r="K101" s="3"/>
      <c r="L101" s="3" t="s">
        <v>90</v>
      </c>
      <c r="M101" s="3">
        <v>130</v>
      </c>
      <c r="N101" s="3" t="s">
        <v>124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105</v>
      </c>
      <c r="D102" s="3"/>
      <c r="E102" s="3" t="s">
        <v>105</v>
      </c>
      <c r="F102" s="3"/>
      <c r="G102" s="3"/>
      <c r="H102" s="3"/>
      <c r="I102" s="3"/>
      <c r="J102" s="3"/>
      <c r="K102" s="3"/>
      <c r="L102" s="3" t="s">
        <v>90</v>
      </c>
      <c r="M102" s="3">
        <v>140</v>
      </c>
      <c r="N102" s="3" t="s">
        <v>113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106</v>
      </c>
      <c r="D103" s="3"/>
      <c r="E103" s="3" t="s">
        <v>106</v>
      </c>
      <c r="F103" s="3"/>
      <c r="G103" s="3"/>
      <c r="H103" s="3"/>
      <c r="I103" s="3"/>
      <c r="J103" s="3"/>
      <c r="K103" s="3"/>
      <c r="L103" s="3" t="s">
        <v>90</v>
      </c>
      <c r="M103" s="3">
        <v>10</v>
      </c>
      <c r="N103" s="3" t="s">
        <v>114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106</v>
      </c>
      <c r="D104" s="3"/>
      <c r="E104" s="3" t="s">
        <v>106</v>
      </c>
      <c r="F104" s="3"/>
      <c r="G104" s="3"/>
      <c r="H104" s="3"/>
      <c r="I104" s="3"/>
      <c r="J104" s="3"/>
      <c r="K104" s="3"/>
      <c r="L104" s="3" t="s">
        <v>90</v>
      </c>
      <c r="M104" s="3">
        <v>20</v>
      </c>
      <c r="N104" s="3" t="s">
        <v>112</v>
      </c>
      <c r="O104" s="3"/>
      <c r="P104" s="3"/>
      <c r="Q104" s="3">
        <v>0.94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106</v>
      </c>
      <c r="D105" s="3"/>
      <c r="E105" s="3" t="s">
        <v>106</v>
      </c>
      <c r="F105" s="3"/>
      <c r="G105" s="3"/>
      <c r="H105" s="3"/>
      <c r="I105" s="3"/>
      <c r="J105" s="3"/>
      <c r="K105" s="3"/>
      <c r="L105" s="3" t="s">
        <v>90</v>
      </c>
      <c r="M105" s="3">
        <v>30</v>
      </c>
      <c r="N105" s="3" t="s">
        <v>103</v>
      </c>
      <c r="O105" s="3"/>
      <c r="P105" s="3"/>
      <c r="Q105" s="3">
        <v>0.94</v>
      </c>
      <c r="R105" s="3" t="s">
        <v>15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106</v>
      </c>
      <c r="D106" s="3"/>
      <c r="E106" s="3" t="s">
        <v>106</v>
      </c>
      <c r="F106" s="3"/>
      <c r="G106" s="3"/>
      <c r="H106" s="3"/>
      <c r="I106" s="3"/>
      <c r="J106" s="3"/>
      <c r="K106" s="3"/>
      <c r="L106" s="3" t="s">
        <v>90</v>
      </c>
      <c r="M106" s="3">
        <v>40</v>
      </c>
      <c r="N106" s="3" t="s">
        <v>97</v>
      </c>
      <c r="O106" s="3"/>
      <c r="P106" s="3"/>
      <c r="Q106" s="3">
        <v>0.439</v>
      </c>
      <c r="R106" s="3" t="s">
        <v>98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106</v>
      </c>
      <c r="D107" s="3"/>
      <c r="E107" s="3" t="s">
        <v>106</v>
      </c>
      <c r="F107" s="3"/>
      <c r="G107" s="3"/>
      <c r="H107" s="3"/>
      <c r="I107" s="3"/>
      <c r="J107" s="3"/>
      <c r="K107" s="3"/>
      <c r="L107" s="3" t="s">
        <v>90</v>
      </c>
      <c r="M107" s="3">
        <v>50</v>
      </c>
      <c r="N107" s="3" t="s">
        <v>18</v>
      </c>
      <c r="O107" s="3"/>
      <c r="P107" s="3"/>
      <c r="Q107" s="3">
        <v>91.44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106</v>
      </c>
      <c r="D108" s="3"/>
      <c r="E108" s="3" t="s">
        <v>106</v>
      </c>
      <c r="F108" s="3"/>
      <c r="G108" s="3"/>
      <c r="H108" s="3"/>
      <c r="I108" s="3"/>
      <c r="J108" s="3"/>
      <c r="K108" s="3"/>
      <c r="L108" s="3" t="s">
        <v>90</v>
      </c>
      <c r="M108" s="3">
        <v>60</v>
      </c>
      <c r="N108" s="3" t="s">
        <v>95</v>
      </c>
      <c r="O108" s="3"/>
      <c r="P108" s="3"/>
      <c r="Q108" s="3">
        <v>23.367999999999999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89</v>
      </c>
      <c r="C109" s="3" t="s">
        <v>106</v>
      </c>
      <c r="D109" s="3"/>
      <c r="E109" s="3" t="s">
        <v>106</v>
      </c>
      <c r="F109" s="3"/>
      <c r="G109" s="3"/>
      <c r="H109" s="3"/>
      <c r="I109" s="3"/>
      <c r="J109" s="3"/>
      <c r="K109" s="3"/>
      <c r="L109" s="3" t="s">
        <v>90</v>
      </c>
      <c r="M109" s="3">
        <v>70</v>
      </c>
      <c r="N109" s="3" t="s">
        <v>96</v>
      </c>
      <c r="O109" s="3"/>
      <c r="P109" s="3"/>
      <c r="Q109" s="3">
        <v>107.785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89</v>
      </c>
      <c r="C110" s="3" t="s">
        <v>106</v>
      </c>
      <c r="D110" s="3"/>
      <c r="E110" s="3" t="s">
        <v>106</v>
      </c>
      <c r="F110" s="3"/>
      <c r="G110" s="3"/>
      <c r="H110" s="3"/>
      <c r="I110" s="3"/>
      <c r="J110" s="3"/>
      <c r="K110" s="3"/>
      <c r="L110" s="3" t="s">
        <v>90</v>
      </c>
      <c r="M110" s="3">
        <v>80</v>
      </c>
      <c r="N110" s="3" t="s">
        <v>102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89</v>
      </c>
      <c r="C111" s="3" t="s">
        <v>106</v>
      </c>
      <c r="D111" s="3"/>
      <c r="E111" s="3" t="s">
        <v>106</v>
      </c>
      <c r="F111" s="3"/>
      <c r="G111" s="3"/>
      <c r="H111" s="3"/>
      <c r="I111" s="3"/>
      <c r="J111" s="3"/>
      <c r="K111" s="3"/>
      <c r="L111" s="3" t="s">
        <v>90</v>
      </c>
      <c r="M111" s="3">
        <v>90</v>
      </c>
      <c r="N111" s="3" t="s">
        <v>21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89</v>
      </c>
      <c r="C112" s="3" t="s">
        <v>106</v>
      </c>
      <c r="D112" s="3"/>
      <c r="E112" s="3" t="s">
        <v>106</v>
      </c>
      <c r="F112" s="3"/>
      <c r="G112" s="3"/>
      <c r="H112" s="3"/>
      <c r="I112" s="3"/>
      <c r="J112" s="3"/>
      <c r="K112" s="3"/>
      <c r="L112" s="3" t="s">
        <v>90</v>
      </c>
      <c r="M112" s="3">
        <v>100</v>
      </c>
      <c r="N112" s="3" t="s">
        <v>22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89</v>
      </c>
      <c r="C113" s="3" t="s">
        <v>106</v>
      </c>
      <c r="D113" s="3"/>
      <c r="E113" s="3" t="s">
        <v>106</v>
      </c>
      <c r="F113" s="3"/>
      <c r="G113" s="3"/>
      <c r="H113" s="3"/>
      <c r="I113" s="3"/>
      <c r="J113" s="3"/>
      <c r="K113" s="3"/>
      <c r="L113" s="3" t="s">
        <v>90</v>
      </c>
      <c r="M113" s="3">
        <v>110</v>
      </c>
      <c r="N113" s="3" t="s">
        <v>23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89</v>
      </c>
      <c r="C114" s="3" t="s">
        <v>106</v>
      </c>
      <c r="D114" s="3"/>
      <c r="E114" s="3" t="s">
        <v>106</v>
      </c>
      <c r="F114" s="3"/>
      <c r="G114" s="3"/>
      <c r="H114" s="3"/>
      <c r="I114" s="3"/>
      <c r="J114" s="3"/>
      <c r="K114" s="3"/>
      <c r="L114" s="3" t="s">
        <v>90</v>
      </c>
      <c r="M114" s="3">
        <v>120</v>
      </c>
      <c r="N114" s="3" t="s">
        <v>101</v>
      </c>
      <c r="O114" s="3"/>
      <c r="P114" s="3"/>
      <c r="Q114" s="3">
        <v>0.33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89</v>
      </c>
      <c r="C115" s="3" t="s">
        <v>106</v>
      </c>
      <c r="D115" s="3"/>
      <c r="E115" s="3" t="s">
        <v>106</v>
      </c>
      <c r="F115" s="3"/>
      <c r="G115" s="3"/>
      <c r="H115" s="3"/>
      <c r="I115" s="3"/>
      <c r="J115" s="3"/>
      <c r="K115" s="3"/>
      <c r="L115" s="3" t="s">
        <v>90</v>
      </c>
      <c r="M115" s="3">
        <v>130</v>
      </c>
      <c r="N115" s="3" t="s">
        <v>125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89</v>
      </c>
      <c r="C116" s="3" t="s">
        <v>106</v>
      </c>
      <c r="D116" s="3"/>
      <c r="E116" s="3" t="s">
        <v>106</v>
      </c>
      <c r="F116" s="3"/>
      <c r="G116" s="3"/>
      <c r="H116" s="3"/>
      <c r="I116" s="3"/>
      <c r="J116" s="3"/>
      <c r="K116" s="3"/>
      <c r="L116" s="3" t="s">
        <v>90</v>
      </c>
      <c r="M116" s="3">
        <v>140</v>
      </c>
      <c r="N116" s="3" t="s">
        <v>115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107</v>
      </c>
      <c r="D117" s="3"/>
      <c r="E117" s="3" t="s">
        <v>107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116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107</v>
      </c>
      <c r="D118" s="3"/>
      <c r="E118" s="3" t="s">
        <v>107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112</v>
      </c>
      <c r="O118" s="3"/>
      <c r="P118" s="3"/>
      <c r="Q118" s="3">
        <v>1.5489999999999999</v>
      </c>
      <c r="R118" s="3" t="s">
        <v>15</v>
      </c>
      <c r="S118" s="3"/>
      <c r="T118" s="3">
        <v>10</v>
      </c>
      <c r="U118" s="3"/>
      <c r="V118" s="3" t="s">
        <v>16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107</v>
      </c>
      <c r="D119" s="3"/>
      <c r="E119" s="3" t="s">
        <v>107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103</v>
      </c>
      <c r="O119" s="3"/>
      <c r="P119" s="3"/>
      <c r="Q119" s="3">
        <v>1.5489999999999999</v>
      </c>
      <c r="R119" s="3" t="s">
        <v>15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107</v>
      </c>
      <c r="D120" s="3"/>
      <c r="E120" s="3" t="s">
        <v>107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97</v>
      </c>
      <c r="O120" s="3"/>
      <c r="P120" s="3"/>
      <c r="Q120" s="3">
        <v>0.78</v>
      </c>
      <c r="R120" s="3" t="s">
        <v>98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107</v>
      </c>
      <c r="D121" s="3"/>
      <c r="E121" s="3" t="s">
        <v>107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18</v>
      </c>
      <c r="O121" s="3"/>
      <c r="P121" s="3"/>
      <c r="Q121" s="3">
        <v>110.947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89</v>
      </c>
      <c r="C122" s="3" t="s">
        <v>107</v>
      </c>
      <c r="D122" s="3"/>
      <c r="E122" s="3" t="s">
        <v>107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95</v>
      </c>
      <c r="O122" s="3"/>
      <c r="P122" s="3"/>
      <c r="Q122" s="3">
        <v>28.245000000000001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89</v>
      </c>
      <c r="C123" s="3" t="s">
        <v>107</v>
      </c>
      <c r="D123" s="3"/>
      <c r="E123" s="3" t="s">
        <v>107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96</v>
      </c>
      <c r="O123" s="3"/>
      <c r="P123" s="3"/>
      <c r="Q123" s="3">
        <v>130.279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89</v>
      </c>
      <c r="C124" s="3" t="s">
        <v>107</v>
      </c>
      <c r="D124" s="3"/>
      <c r="E124" s="3" t="s">
        <v>107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102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89</v>
      </c>
      <c r="C125" s="3" t="s">
        <v>107</v>
      </c>
      <c r="D125" s="3"/>
      <c r="E125" s="3" t="s">
        <v>107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21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89</v>
      </c>
      <c r="C126" s="3" t="s">
        <v>107</v>
      </c>
      <c r="D126" s="3"/>
      <c r="E126" s="3" t="s">
        <v>107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22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89</v>
      </c>
      <c r="C127" s="3" t="s">
        <v>107</v>
      </c>
      <c r="D127" s="3"/>
      <c r="E127" s="3" t="s">
        <v>107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23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89</v>
      </c>
      <c r="C128" s="3" t="s">
        <v>107</v>
      </c>
      <c r="D128" s="3"/>
      <c r="E128" s="3" t="s">
        <v>107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101</v>
      </c>
      <c r="O128" s="3"/>
      <c r="P128" s="3"/>
      <c r="Q128" s="3">
        <v>0.51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89</v>
      </c>
      <c r="C129" s="3" t="s">
        <v>107</v>
      </c>
      <c r="D129" s="3"/>
      <c r="E129" s="3" t="s">
        <v>107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126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89</v>
      </c>
      <c r="C130" s="3" t="s">
        <v>107</v>
      </c>
      <c r="D130" s="3"/>
      <c r="E130" s="3" t="s">
        <v>107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117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108</v>
      </c>
      <c r="D131" s="3"/>
      <c r="E131" s="3" t="s">
        <v>108</v>
      </c>
      <c r="F131" s="3"/>
      <c r="G131" s="3"/>
      <c r="H131" s="3"/>
      <c r="I131" s="3"/>
      <c r="J131" s="3"/>
      <c r="K131" s="3"/>
      <c r="L131" s="3" t="s">
        <v>90</v>
      </c>
      <c r="M131" s="3">
        <v>10</v>
      </c>
      <c r="N131" s="3" t="s">
        <v>118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108</v>
      </c>
      <c r="D132" s="3"/>
      <c r="E132" s="3" t="s">
        <v>108</v>
      </c>
      <c r="F132" s="3"/>
      <c r="G132" s="3"/>
      <c r="H132" s="3"/>
      <c r="I132" s="3"/>
      <c r="J132" s="3"/>
      <c r="K132" s="3"/>
      <c r="L132" s="3" t="s">
        <v>90</v>
      </c>
      <c r="M132" s="3">
        <v>20</v>
      </c>
      <c r="N132" s="3" t="s">
        <v>112</v>
      </c>
      <c r="O132" s="3"/>
      <c r="P132" s="3"/>
      <c r="Q132" s="3">
        <v>1.8540000000000001</v>
      </c>
      <c r="R132" s="3" t="s">
        <v>15</v>
      </c>
      <c r="S132" s="3"/>
      <c r="T132" s="3">
        <v>10</v>
      </c>
      <c r="U132" s="3"/>
      <c r="V132" s="3" t="s">
        <v>16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108</v>
      </c>
      <c r="D133" s="3"/>
      <c r="E133" s="3" t="s">
        <v>108</v>
      </c>
      <c r="F133" s="3"/>
      <c r="G133" s="3"/>
      <c r="H133" s="3"/>
      <c r="I133" s="3"/>
      <c r="J133" s="3"/>
      <c r="K133" s="3"/>
      <c r="L133" s="3" t="s">
        <v>90</v>
      </c>
      <c r="M133" s="3">
        <v>30</v>
      </c>
      <c r="N133" s="3" t="s">
        <v>103</v>
      </c>
      <c r="O133" s="3"/>
      <c r="P133" s="3"/>
      <c r="Q133" s="3">
        <v>1.8540000000000001</v>
      </c>
      <c r="R133" s="3" t="s">
        <v>15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108</v>
      </c>
      <c r="D134" s="3"/>
      <c r="E134" s="3" t="s">
        <v>108</v>
      </c>
      <c r="F134" s="3"/>
      <c r="G134" s="3"/>
      <c r="H134" s="3"/>
      <c r="I134" s="3"/>
      <c r="J134" s="3"/>
      <c r="K134" s="3"/>
      <c r="L134" s="3" t="s">
        <v>90</v>
      </c>
      <c r="M134" s="3">
        <v>40</v>
      </c>
      <c r="N134" s="3" t="s">
        <v>97</v>
      </c>
      <c r="O134" s="3"/>
      <c r="P134" s="3"/>
      <c r="Q134" s="3">
        <v>0.95</v>
      </c>
      <c r="R134" s="3" t="s">
        <v>98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89</v>
      </c>
      <c r="C135" s="3" t="s">
        <v>108</v>
      </c>
      <c r="D135" s="3"/>
      <c r="E135" s="3" t="s">
        <v>108</v>
      </c>
      <c r="F135" s="3"/>
      <c r="G135" s="3"/>
      <c r="H135" s="3"/>
      <c r="I135" s="3"/>
      <c r="J135" s="3"/>
      <c r="K135" s="3"/>
      <c r="L135" s="3" t="s">
        <v>90</v>
      </c>
      <c r="M135" s="3">
        <v>50</v>
      </c>
      <c r="N135" s="3" t="s">
        <v>18</v>
      </c>
      <c r="O135" s="3"/>
      <c r="P135" s="3"/>
      <c r="Q135" s="3">
        <v>120.70099999999999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89</v>
      </c>
      <c r="C136" s="3" t="s">
        <v>108</v>
      </c>
      <c r="D136" s="3"/>
      <c r="E136" s="3" t="s">
        <v>108</v>
      </c>
      <c r="F136" s="3"/>
      <c r="G136" s="3"/>
      <c r="H136" s="3"/>
      <c r="I136" s="3"/>
      <c r="J136" s="3"/>
      <c r="K136" s="3"/>
      <c r="L136" s="3" t="s">
        <v>90</v>
      </c>
      <c r="M136" s="3">
        <v>60</v>
      </c>
      <c r="N136" s="3" t="s">
        <v>95</v>
      </c>
      <c r="O136" s="3"/>
      <c r="P136" s="3"/>
      <c r="Q136" s="3">
        <v>30.683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89</v>
      </c>
      <c r="C137" s="3" t="s">
        <v>108</v>
      </c>
      <c r="D137" s="3"/>
      <c r="E137" s="3" t="s">
        <v>108</v>
      </c>
      <c r="F137" s="3"/>
      <c r="G137" s="3"/>
      <c r="H137" s="3"/>
      <c r="I137" s="3"/>
      <c r="J137" s="3"/>
      <c r="K137" s="3"/>
      <c r="L137" s="3" t="s">
        <v>90</v>
      </c>
      <c r="M137" s="3">
        <v>70</v>
      </c>
      <c r="N137" s="3" t="s">
        <v>96</v>
      </c>
      <c r="O137" s="3"/>
      <c r="P137" s="3"/>
      <c r="Q137" s="3">
        <v>141.52600000000001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89</v>
      </c>
      <c r="C138" s="3" t="s">
        <v>108</v>
      </c>
      <c r="D138" s="3"/>
      <c r="E138" s="3" t="s">
        <v>108</v>
      </c>
      <c r="F138" s="3"/>
      <c r="G138" s="3"/>
      <c r="H138" s="3"/>
      <c r="I138" s="3"/>
      <c r="J138" s="3"/>
      <c r="K138" s="3"/>
      <c r="L138" s="3" t="s">
        <v>90</v>
      </c>
      <c r="M138" s="3">
        <v>80</v>
      </c>
      <c r="N138" s="3" t="s">
        <v>102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89</v>
      </c>
      <c r="C139" s="3" t="s">
        <v>108</v>
      </c>
      <c r="D139" s="3"/>
      <c r="E139" s="3" t="s">
        <v>108</v>
      </c>
      <c r="F139" s="3"/>
      <c r="G139" s="3"/>
      <c r="H139" s="3"/>
      <c r="I139" s="3"/>
      <c r="J139" s="3"/>
      <c r="K139" s="3"/>
      <c r="L139" s="3" t="s">
        <v>90</v>
      </c>
      <c r="M139" s="3">
        <v>90</v>
      </c>
      <c r="N139" s="3" t="s">
        <v>21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89</v>
      </c>
      <c r="C140" s="3" t="s">
        <v>108</v>
      </c>
      <c r="D140" s="3"/>
      <c r="E140" s="3" t="s">
        <v>108</v>
      </c>
      <c r="F140" s="3"/>
      <c r="G140" s="3"/>
      <c r="H140" s="3"/>
      <c r="I140" s="3"/>
      <c r="J140" s="3"/>
      <c r="K140" s="3"/>
      <c r="L140" s="3" t="s">
        <v>90</v>
      </c>
      <c r="M140" s="3">
        <v>100</v>
      </c>
      <c r="N140" s="3" t="s">
        <v>22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89</v>
      </c>
      <c r="C141" s="3" t="s">
        <v>108</v>
      </c>
      <c r="D141" s="3"/>
      <c r="E141" s="3" t="s">
        <v>108</v>
      </c>
      <c r="F141" s="3"/>
      <c r="G141" s="3"/>
      <c r="H141" s="3"/>
      <c r="I141" s="3"/>
      <c r="J141" s="3"/>
      <c r="K141" s="3"/>
      <c r="L141" s="3" t="s">
        <v>90</v>
      </c>
      <c r="M141" s="3">
        <v>110</v>
      </c>
      <c r="N141" s="3" t="s">
        <v>23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89</v>
      </c>
      <c r="C142" s="3" t="s">
        <v>108</v>
      </c>
      <c r="D142" s="3"/>
      <c r="E142" s="3" t="s">
        <v>108</v>
      </c>
      <c r="F142" s="3"/>
      <c r="G142" s="3"/>
      <c r="H142" s="3"/>
      <c r="I142" s="3"/>
      <c r="J142" s="3"/>
      <c r="K142" s="3"/>
      <c r="L142" s="3" t="s">
        <v>90</v>
      </c>
      <c r="M142" s="3">
        <v>120</v>
      </c>
      <c r="N142" s="3" t="s">
        <v>101</v>
      </c>
      <c r="O142" s="3"/>
      <c r="P142" s="3"/>
      <c r="Q142" s="3">
        <v>0.60099999999999998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89</v>
      </c>
      <c r="C143" s="3" t="s">
        <v>108</v>
      </c>
      <c r="D143" s="3"/>
      <c r="E143" s="3" t="s">
        <v>108</v>
      </c>
      <c r="F143" s="3"/>
      <c r="G143" s="3"/>
      <c r="H143" s="3"/>
      <c r="I143" s="3"/>
      <c r="J143" s="3"/>
      <c r="K143" s="3"/>
      <c r="L143" s="3" t="s">
        <v>90</v>
      </c>
      <c r="M143" s="3">
        <v>130</v>
      </c>
      <c r="N143" s="3" t="s">
        <v>127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89</v>
      </c>
      <c r="C144" s="3" t="s">
        <v>108</v>
      </c>
      <c r="D144" s="3"/>
      <c r="E144" s="3" t="s">
        <v>108</v>
      </c>
      <c r="F144" s="3"/>
      <c r="G144" s="3"/>
      <c r="H144" s="3"/>
      <c r="I144" s="3"/>
      <c r="J144" s="3"/>
      <c r="K144" s="3"/>
      <c r="L144" s="3" t="s">
        <v>90</v>
      </c>
      <c r="M144" s="3">
        <v>140</v>
      </c>
      <c r="N144" s="3" t="s">
        <v>119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109</v>
      </c>
      <c r="D145" s="3"/>
      <c r="E145" s="3" t="s">
        <v>109</v>
      </c>
      <c r="F145" s="3"/>
      <c r="G145" s="3"/>
      <c r="H145" s="3"/>
      <c r="I145" s="3"/>
      <c r="J145" s="3"/>
      <c r="K145" s="3"/>
      <c r="L145" s="3" t="s">
        <v>90</v>
      </c>
      <c r="M145" s="3">
        <v>10</v>
      </c>
      <c r="N145" s="3" t="s">
        <v>120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109</v>
      </c>
      <c r="D146" s="3"/>
      <c r="E146" s="3" t="s">
        <v>109</v>
      </c>
      <c r="F146" s="3"/>
      <c r="G146" s="3"/>
      <c r="H146" s="3"/>
      <c r="I146" s="3"/>
      <c r="J146" s="3"/>
      <c r="K146" s="3"/>
      <c r="L146" s="3" t="s">
        <v>90</v>
      </c>
      <c r="M146" s="3">
        <v>20</v>
      </c>
      <c r="N146" s="3" t="s">
        <v>112</v>
      </c>
      <c r="O146" s="3"/>
      <c r="P146" s="3"/>
      <c r="Q146" s="3">
        <v>1.5489999999999999</v>
      </c>
      <c r="R146" s="3" t="s">
        <v>15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109</v>
      </c>
      <c r="D147" s="3"/>
      <c r="E147" s="3" t="s">
        <v>109</v>
      </c>
      <c r="F147" s="3"/>
      <c r="G147" s="3"/>
      <c r="H147" s="3"/>
      <c r="I147" s="3"/>
      <c r="J147" s="3"/>
      <c r="K147" s="3"/>
      <c r="L147" s="3" t="s">
        <v>90</v>
      </c>
      <c r="M147" s="3">
        <v>30</v>
      </c>
      <c r="N147" s="3" t="s">
        <v>103</v>
      </c>
      <c r="O147" s="3"/>
      <c r="P147" s="3"/>
      <c r="Q147" s="3">
        <v>1.5489999999999999</v>
      </c>
      <c r="R147" s="3" t="s">
        <v>15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89</v>
      </c>
      <c r="C148" s="3" t="s">
        <v>109</v>
      </c>
      <c r="D148" s="3"/>
      <c r="E148" s="3" t="s">
        <v>109</v>
      </c>
      <c r="F148" s="3"/>
      <c r="G148" s="3"/>
      <c r="H148" s="3"/>
      <c r="I148" s="3"/>
      <c r="J148" s="3"/>
      <c r="K148" s="3"/>
      <c r="L148" s="3" t="s">
        <v>90</v>
      </c>
      <c r="M148" s="3">
        <v>40</v>
      </c>
      <c r="N148" s="3" t="s">
        <v>97</v>
      </c>
      <c r="O148" s="3"/>
      <c r="P148" s="3"/>
      <c r="Q148" s="3">
        <v>0.81299999999999994</v>
      </c>
      <c r="R148" s="3" t="s">
        <v>98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89</v>
      </c>
      <c r="C149" s="3" t="s">
        <v>109</v>
      </c>
      <c r="D149" s="3"/>
      <c r="E149" s="3" t="s">
        <v>109</v>
      </c>
      <c r="F149" s="3"/>
      <c r="G149" s="3"/>
      <c r="H149" s="3"/>
      <c r="I149" s="3"/>
      <c r="J149" s="3"/>
      <c r="K149" s="3"/>
      <c r="L149" s="3" t="s">
        <v>90</v>
      </c>
      <c r="M149" s="3">
        <v>50</v>
      </c>
      <c r="N149" s="3" t="s">
        <v>18</v>
      </c>
      <c r="O149" s="3"/>
      <c r="P149" s="3"/>
      <c r="Q149" s="3">
        <v>113.386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89</v>
      </c>
      <c r="C150" s="3" t="s">
        <v>109</v>
      </c>
      <c r="D150" s="3"/>
      <c r="E150" s="3" t="s">
        <v>109</v>
      </c>
      <c r="F150" s="3"/>
      <c r="G150" s="3"/>
      <c r="H150" s="3"/>
      <c r="I150" s="3"/>
      <c r="J150" s="3"/>
      <c r="K150" s="3"/>
      <c r="L150" s="3" t="s">
        <v>90</v>
      </c>
      <c r="M150" s="3">
        <v>60</v>
      </c>
      <c r="N150" s="3" t="s">
        <v>95</v>
      </c>
      <c r="O150" s="3"/>
      <c r="P150" s="3"/>
      <c r="Q150" s="3">
        <v>28.853999999999999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89</v>
      </c>
      <c r="C151" s="3" t="s">
        <v>109</v>
      </c>
      <c r="D151" s="3"/>
      <c r="E151" s="3" t="s">
        <v>109</v>
      </c>
      <c r="F151" s="3"/>
      <c r="G151" s="3"/>
      <c r="H151" s="3"/>
      <c r="I151" s="3"/>
      <c r="J151" s="3"/>
      <c r="K151" s="3"/>
      <c r="L151" s="3" t="s">
        <v>90</v>
      </c>
      <c r="M151" s="3">
        <v>70</v>
      </c>
      <c r="N151" s="3" t="s">
        <v>96</v>
      </c>
      <c r="O151" s="3"/>
      <c r="P151" s="3"/>
      <c r="Q151" s="3">
        <v>133.09100000000001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89</v>
      </c>
      <c r="C152" s="3" t="s">
        <v>109</v>
      </c>
      <c r="D152" s="3"/>
      <c r="E152" s="3" t="s">
        <v>109</v>
      </c>
      <c r="F152" s="3"/>
      <c r="G152" s="3"/>
      <c r="H152" s="3"/>
      <c r="I152" s="3"/>
      <c r="J152" s="3"/>
      <c r="K152" s="3"/>
      <c r="L152" s="3" t="s">
        <v>90</v>
      </c>
      <c r="M152" s="3">
        <v>80</v>
      </c>
      <c r="N152" s="3" t="s">
        <v>102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89</v>
      </c>
      <c r="C153" s="3" t="s">
        <v>109</v>
      </c>
      <c r="D153" s="3"/>
      <c r="E153" s="3" t="s">
        <v>109</v>
      </c>
      <c r="F153" s="3"/>
      <c r="G153" s="3"/>
      <c r="H153" s="3"/>
      <c r="I153" s="3"/>
      <c r="J153" s="3"/>
      <c r="K153" s="3"/>
      <c r="L153" s="3" t="s">
        <v>90</v>
      </c>
      <c r="M153" s="3">
        <v>90</v>
      </c>
      <c r="N153" s="3" t="s">
        <v>21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89</v>
      </c>
      <c r="C154" s="3" t="s">
        <v>109</v>
      </c>
      <c r="D154" s="3"/>
      <c r="E154" s="3" t="s">
        <v>109</v>
      </c>
      <c r="F154" s="3"/>
      <c r="G154" s="3"/>
      <c r="H154" s="3"/>
      <c r="I154" s="3"/>
      <c r="J154" s="3"/>
      <c r="K154" s="3"/>
      <c r="L154" s="3" t="s">
        <v>90</v>
      </c>
      <c r="M154" s="3">
        <v>100</v>
      </c>
      <c r="N154" s="3" t="s">
        <v>22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89</v>
      </c>
      <c r="C155" s="3" t="s">
        <v>109</v>
      </c>
      <c r="D155" s="3"/>
      <c r="E155" s="3" t="s">
        <v>109</v>
      </c>
      <c r="F155" s="3"/>
      <c r="G155" s="3"/>
      <c r="H155" s="3"/>
      <c r="I155" s="3"/>
      <c r="J155" s="3"/>
      <c r="K155" s="3"/>
      <c r="L155" s="3" t="s">
        <v>90</v>
      </c>
      <c r="M155" s="3">
        <v>110</v>
      </c>
      <c r="N155" s="3" t="s">
        <v>23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89</v>
      </c>
      <c r="C156" s="3" t="s">
        <v>109</v>
      </c>
      <c r="D156" s="3"/>
      <c r="E156" s="3" t="s">
        <v>109</v>
      </c>
      <c r="F156" s="3"/>
      <c r="G156" s="3"/>
      <c r="H156" s="3"/>
      <c r="I156" s="3"/>
      <c r="J156" s="3"/>
      <c r="K156" s="3"/>
      <c r="L156" s="3" t="s">
        <v>90</v>
      </c>
      <c r="M156" s="3">
        <v>120</v>
      </c>
      <c r="N156" s="3" t="s">
        <v>101</v>
      </c>
      <c r="O156" s="3"/>
      <c r="P156" s="3"/>
      <c r="Q156" s="3">
        <v>0.51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89</v>
      </c>
      <c r="C157" s="3" t="s">
        <v>109</v>
      </c>
      <c r="D157" s="3"/>
      <c r="E157" s="3" t="s">
        <v>109</v>
      </c>
      <c r="F157" s="3"/>
      <c r="G157" s="3"/>
      <c r="H157" s="3"/>
      <c r="I157" s="3"/>
      <c r="J157" s="3"/>
      <c r="K157" s="3"/>
      <c r="L157" s="3" t="s">
        <v>90</v>
      </c>
      <c r="M157" s="3">
        <v>130</v>
      </c>
      <c r="N157" s="3" t="s">
        <v>128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89</v>
      </c>
      <c r="C158" s="3" t="s">
        <v>109</v>
      </c>
      <c r="D158" s="3"/>
      <c r="E158" s="3" t="s">
        <v>109</v>
      </c>
      <c r="F158" s="3"/>
      <c r="G158" s="3"/>
      <c r="H158" s="3"/>
      <c r="I158" s="3"/>
      <c r="J158" s="3"/>
      <c r="K158" s="3"/>
      <c r="L158" s="3" t="s">
        <v>90</v>
      </c>
      <c r="M158" s="3">
        <v>140</v>
      </c>
      <c r="N158" s="3" t="s">
        <v>121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110</v>
      </c>
      <c r="D159" s="3"/>
      <c r="E159" s="3" t="s">
        <v>110</v>
      </c>
      <c r="F159" s="3"/>
      <c r="G159" s="3"/>
      <c r="H159" s="3"/>
      <c r="I159" s="3"/>
      <c r="J159" s="3"/>
      <c r="K159" s="3"/>
      <c r="L159" s="3" t="s">
        <v>90</v>
      </c>
      <c r="M159" s="3">
        <v>10</v>
      </c>
      <c r="N159" s="3" t="s">
        <v>122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110</v>
      </c>
      <c r="D160" s="3"/>
      <c r="E160" s="3" t="s">
        <v>110</v>
      </c>
      <c r="F160" s="3"/>
      <c r="G160" s="3"/>
      <c r="H160" s="3"/>
      <c r="I160" s="3"/>
      <c r="J160" s="3"/>
      <c r="K160" s="3"/>
      <c r="L160" s="3" t="s">
        <v>90</v>
      </c>
      <c r="M160" s="3">
        <v>20</v>
      </c>
      <c r="N160" s="3" t="s">
        <v>112</v>
      </c>
      <c r="O160" s="3"/>
      <c r="P160" s="3"/>
      <c r="Q160" s="3">
        <v>1.8540000000000001</v>
      </c>
      <c r="R160" s="3" t="s">
        <v>15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89</v>
      </c>
      <c r="C161" s="3" t="s">
        <v>110</v>
      </c>
      <c r="D161" s="3"/>
      <c r="E161" s="3" t="s">
        <v>110</v>
      </c>
      <c r="F161" s="3"/>
      <c r="G161" s="3"/>
      <c r="H161" s="3"/>
      <c r="I161" s="3"/>
      <c r="J161" s="3"/>
      <c r="K161" s="3"/>
      <c r="L161" s="3" t="s">
        <v>90</v>
      </c>
      <c r="M161" s="3">
        <v>30</v>
      </c>
      <c r="N161" s="3" t="s">
        <v>103</v>
      </c>
      <c r="O161" s="3"/>
      <c r="P161" s="3"/>
      <c r="Q161" s="3">
        <v>1.8540000000000001</v>
      </c>
      <c r="R161" s="3" t="s">
        <v>15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89</v>
      </c>
      <c r="C162" s="3" t="s">
        <v>110</v>
      </c>
      <c r="D162" s="3"/>
      <c r="E162" s="3" t="s">
        <v>110</v>
      </c>
      <c r="F162" s="3"/>
      <c r="G162" s="3"/>
      <c r="H162" s="3"/>
      <c r="I162" s="3"/>
      <c r="J162" s="3"/>
      <c r="K162" s="3"/>
      <c r="L162" s="3" t="s">
        <v>90</v>
      </c>
      <c r="M162" s="3">
        <v>40</v>
      </c>
      <c r="N162" s="3" t="s">
        <v>97</v>
      </c>
      <c r="O162" s="3"/>
      <c r="P162" s="3"/>
      <c r="Q162" s="3">
        <v>0.99</v>
      </c>
      <c r="R162" s="3" t="s">
        <v>98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89</v>
      </c>
      <c r="C163" s="3" t="s">
        <v>110</v>
      </c>
      <c r="D163" s="3"/>
      <c r="E163" s="3" t="s">
        <v>110</v>
      </c>
      <c r="F163" s="3"/>
      <c r="G163" s="3"/>
      <c r="H163" s="3"/>
      <c r="I163" s="3"/>
      <c r="J163" s="3"/>
      <c r="K163" s="3"/>
      <c r="L163" s="3" t="s">
        <v>90</v>
      </c>
      <c r="M163" s="3">
        <v>50</v>
      </c>
      <c r="N163" s="3" t="s">
        <v>18</v>
      </c>
      <c r="O163" s="3"/>
      <c r="P163" s="3"/>
      <c r="Q163" s="3">
        <v>123.139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89</v>
      </c>
      <c r="C164" s="3" t="s">
        <v>110</v>
      </c>
      <c r="D164" s="3"/>
      <c r="E164" s="3" t="s">
        <v>110</v>
      </c>
      <c r="F164" s="3"/>
      <c r="G164" s="3"/>
      <c r="H164" s="3"/>
      <c r="I164" s="3"/>
      <c r="J164" s="3"/>
      <c r="K164" s="3"/>
      <c r="L164" s="3" t="s">
        <v>90</v>
      </c>
      <c r="M164" s="3">
        <v>60</v>
      </c>
      <c r="N164" s="3" t="s">
        <v>95</v>
      </c>
      <c r="O164" s="3"/>
      <c r="P164" s="3"/>
      <c r="Q164" s="3">
        <v>31.292999999999999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89</v>
      </c>
      <c r="C165" s="3" t="s">
        <v>110</v>
      </c>
      <c r="D165" s="3"/>
      <c r="E165" s="3" t="s">
        <v>110</v>
      </c>
      <c r="F165" s="3"/>
      <c r="G165" s="3"/>
      <c r="H165" s="3"/>
      <c r="I165" s="3"/>
      <c r="J165" s="3"/>
      <c r="K165" s="3"/>
      <c r="L165" s="3" t="s">
        <v>90</v>
      </c>
      <c r="M165" s="3">
        <v>70</v>
      </c>
      <c r="N165" s="3" t="s">
        <v>96</v>
      </c>
      <c r="O165" s="3"/>
      <c r="P165" s="3"/>
      <c r="Q165" s="3">
        <v>144.33799999999999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89</v>
      </c>
      <c r="C166" s="3" t="s">
        <v>110</v>
      </c>
      <c r="D166" s="3"/>
      <c r="E166" s="3" t="s">
        <v>110</v>
      </c>
      <c r="F166" s="3"/>
      <c r="G166" s="3"/>
      <c r="H166" s="3"/>
      <c r="I166" s="3"/>
      <c r="J166" s="3"/>
      <c r="K166" s="3"/>
      <c r="L166" s="3" t="s">
        <v>90</v>
      </c>
      <c r="M166" s="3">
        <v>80</v>
      </c>
      <c r="N166" s="3" t="s">
        <v>102</v>
      </c>
      <c r="O166" s="3"/>
      <c r="P166" s="3"/>
      <c r="Q166" s="3">
        <v>4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89</v>
      </c>
      <c r="C167" s="3" t="s">
        <v>110</v>
      </c>
      <c r="D167" s="3"/>
      <c r="E167" s="3" t="s">
        <v>110</v>
      </c>
      <c r="F167" s="3"/>
      <c r="G167" s="3"/>
      <c r="H167" s="3"/>
      <c r="I167" s="3"/>
      <c r="J167" s="3"/>
      <c r="K167" s="3"/>
      <c r="L167" s="3" t="s">
        <v>90</v>
      </c>
      <c r="M167" s="3">
        <v>90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89</v>
      </c>
      <c r="C168" s="3" t="s">
        <v>110</v>
      </c>
      <c r="D168" s="3"/>
      <c r="E168" s="3" t="s">
        <v>110</v>
      </c>
      <c r="F168" s="3"/>
      <c r="G168" s="3"/>
      <c r="H168" s="3"/>
      <c r="I168" s="3"/>
      <c r="J168" s="3"/>
      <c r="K168" s="3"/>
      <c r="L168" s="3" t="s">
        <v>90</v>
      </c>
      <c r="M168" s="3">
        <v>100</v>
      </c>
      <c r="N168" s="3" t="s">
        <v>22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89</v>
      </c>
      <c r="C169" s="3" t="s">
        <v>110</v>
      </c>
      <c r="D169" s="3"/>
      <c r="E169" s="3" t="s">
        <v>110</v>
      </c>
      <c r="F169" s="3"/>
      <c r="G169" s="3"/>
      <c r="H169" s="3"/>
      <c r="I169" s="3"/>
      <c r="J169" s="3"/>
      <c r="K169" s="3"/>
      <c r="L169" s="3" t="s">
        <v>90</v>
      </c>
      <c r="M169" s="3">
        <v>110</v>
      </c>
      <c r="N169" s="3" t="s">
        <v>23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89</v>
      </c>
      <c r="C170" s="3" t="s">
        <v>110</v>
      </c>
      <c r="D170" s="3"/>
      <c r="E170" s="3" t="s">
        <v>110</v>
      </c>
      <c r="F170" s="3"/>
      <c r="G170" s="3"/>
      <c r="H170" s="3"/>
      <c r="I170" s="3"/>
      <c r="J170" s="3"/>
      <c r="K170" s="3"/>
      <c r="L170" s="3" t="s">
        <v>90</v>
      </c>
      <c r="M170" s="3">
        <v>120</v>
      </c>
      <c r="N170" s="3" t="s">
        <v>101</v>
      </c>
      <c r="O170" s="3"/>
      <c r="P170" s="3"/>
      <c r="Q170" s="3">
        <v>0.60099999999999998</v>
      </c>
      <c r="R170" s="3" t="s">
        <v>13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89</v>
      </c>
      <c r="C171" s="3" t="s">
        <v>110</v>
      </c>
      <c r="D171" s="3"/>
      <c r="E171" s="3" t="s">
        <v>110</v>
      </c>
      <c r="F171" s="3"/>
      <c r="G171" s="3"/>
      <c r="H171" s="3"/>
      <c r="I171" s="3"/>
      <c r="J171" s="3"/>
      <c r="K171" s="3"/>
      <c r="L171" s="3" t="s">
        <v>90</v>
      </c>
      <c r="M171" s="3">
        <v>130</v>
      </c>
      <c r="N171" s="3" t="s">
        <v>129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89</v>
      </c>
      <c r="C172" s="3" t="s">
        <v>110</v>
      </c>
      <c r="D172" s="3"/>
      <c r="E172" s="3" t="s">
        <v>110</v>
      </c>
      <c r="F172" s="3"/>
      <c r="G172" s="3"/>
      <c r="H172" s="3"/>
      <c r="I172" s="3"/>
      <c r="J172" s="3"/>
      <c r="K172" s="3"/>
      <c r="L172" s="3" t="s">
        <v>90</v>
      </c>
      <c r="M172" s="3">
        <v>140</v>
      </c>
      <c r="N172" s="3" t="s">
        <v>123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2026-05-29T03:56:32Z</dcterms:modified>
</cp:coreProperties>
</file>