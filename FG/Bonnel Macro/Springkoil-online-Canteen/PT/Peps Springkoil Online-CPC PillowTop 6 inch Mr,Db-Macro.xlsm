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koil-online-Canteen\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E2" i="13"/>
  <c r="E3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8" i="13" l="1"/>
  <c r="E8" i="13"/>
  <c r="E7" i="13"/>
  <c r="E4" i="13"/>
  <c r="H15" i="13" l="1"/>
  <c r="G13" i="13"/>
  <c r="H13" i="13" s="1"/>
  <c r="G4" i="13"/>
  <c r="H4" i="13" s="1"/>
  <c r="G3" i="13"/>
  <c r="H14" i="13" l="1"/>
  <c r="H12" i="13"/>
  <c r="H11" i="13"/>
  <c r="H10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<sst xmlns="http://schemas.openxmlformats.org/spreadsheetml/2006/main" count="1308" uniqueCount="133">
  <si>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</si>
  <si>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</si>
  <si>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</si>
  <si>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</si>
  <si>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</si>
  <si>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</si>
  <si>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</si>
  <si>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</si>
  <si>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</si>
  <si>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</si>
  <si>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</si>
  <si>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</si>
  <si>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</si>
  <si>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</si>
  <si>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</si>
  <si>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</si>
  <si>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</si>
  <si>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</si>
  <si>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</si>
  <si>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</si>
  <si>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</si>
  <si>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</si>
  <si>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</si>
  <si>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</si>
  <si>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</si>
  <si>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</si>
  <si>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</si>
  <si>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</si>
  <si>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</si>
  <si>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</si>
  <si>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</si>
  <si>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</si>
  <si>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</si>
  <si>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</si>
  <si>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</si>
  <si>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</si>
  <si>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</si>
  <si>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</si>
  <si>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</si>
  <si>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</si>
  <si>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</si>
  <si>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</si>
  <si>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</si>
  <si>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</si>
  <si>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</si>
  <si>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</si>
  <si>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</si>
  <si>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</si>
  <si>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</si>
  <si>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</si>
  <si>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</si>
  <si>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</si>
  <si>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</si>
  <si>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</si>
  <si>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</si>
  <si>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</si>
  <si>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</si>
  <si>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</si>
  <si>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</si>
  <si>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</si>
  <si>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</si>
  <si>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</si>
  <si>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</si>
  <si>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</si>
  <si>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</si>
  <si>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</si>
  <si>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</si>
  <si>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</si>
  <si>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</si>
  <si>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</si>
  <si>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</si>
  <si>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</si>
  <si>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</si>
  <si>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</si>
  <si>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</si>
  <si>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</si>
  <si>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</si>
  <si>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</si>
  <si>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</si>
  <si>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</si>
  <si>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</si>
  <si>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</si>
  <si>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</si>
  <si>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</si>
  <si>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</si>
  <si>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</si>
  <si>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</si>
  <si>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</si>
  <si>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</si>
  <si>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</si>
  <si>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</si>
  <si>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</si>
  <si>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</si>
  <si>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</si>
  <si>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MR</t>
  </si>
  <si>
    <t>RML-EDTAPE-MER-KNIT</t>
  </si>
  <si>
    <t>RML-THRD-TKT-40MER</t>
  </si>
  <si>
    <t>RML-POLY-GUM</t>
  </si>
  <si>
    <t>LTR</t>
  </si>
  <si>
    <t>06</t>
  </si>
  <si>
    <t>60</t>
  </si>
  <si>
    <t>RMI-PVC-50</t>
  </si>
  <si>
    <t>DB</t>
  </si>
  <si>
    <t>RML-CS-DRM-SILV-6</t>
  </si>
  <si>
    <t>RM-THRD-TKT40-BLACK</t>
  </si>
  <si>
    <t>SFG-SPKDB-BP</t>
  </si>
  <si>
    <t>RML-EDTAPE-BLUE</t>
  </si>
  <si>
    <t>SFG-SPKMR-BP</t>
  </si>
  <si>
    <t>36</t>
  </si>
  <si>
    <t>SKBNPTDB75X36X06-CPC</t>
  </si>
  <si>
    <t>SKBNPTDB78X60X06-CPC</t>
  </si>
  <si>
    <t>SKBNPTMR75X36X06-CPC</t>
  </si>
  <si>
    <t>SKBNPTMR75X60X06-CPC</t>
  </si>
  <si>
    <t>SKBNPTMR75X72X06-CPC</t>
  </si>
  <si>
    <t>SKBNPTMR78X60X06-CPC</t>
  </si>
  <si>
    <t>SKBNPTMR78X72X06-CPC</t>
  </si>
  <si>
    <t>SFG-SPKDB-ONL-QUILT</t>
  </si>
  <si>
    <t>SFG-SPKMR-ONL-QUILT</t>
  </si>
  <si>
    <t>OEBOXBNSR74.50X35.50X120</t>
  </si>
  <si>
    <t>17D-PU-FOAM-70X31X10MM</t>
  </si>
  <si>
    <t>OEBOXBNSR77.50X59.50X120</t>
  </si>
  <si>
    <t>17D-PU-FOAM-73X55X10MM</t>
  </si>
  <si>
    <t>OEBOXBNSR74.50X59.50X120</t>
  </si>
  <si>
    <t>17D-PU-FOAM-70X55X10MM</t>
  </si>
  <si>
    <t>OEBOXBNSR74.50X71.50X120</t>
  </si>
  <si>
    <t>17D-PU-FOAM-70X67X10MM</t>
  </si>
  <si>
    <t>OEBOXBNSR77.50X71.50X120</t>
  </si>
  <si>
    <t>17D-PU-FOAM-73X67X10MM</t>
  </si>
  <si>
    <t>25D-HELIXA-FOAM-72X33X15MM</t>
  </si>
  <si>
    <t>25D-HELIXA-FOAM-75X57X15MM</t>
  </si>
  <si>
    <t>25D-HELIXA-FOAM-72X57X15MM</t>
  </si>
  <si>
    <t>25D-HELIXA-FOAM-72X69X15MM</t>
  </si>
  <si>
    <t>25D-HELIXA-FOAM-75X69X15MM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</si>
</sst>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"SKBNPT"&amp;IF($N$2="BW","BW",IF($N$2="CR","CR",IF($N$2="DB","DB","MR")))&amp;$K$2&amp;"X"&amp;$L$2&amp;"X06"&amp;"-"&amp;"CPC"</f>
        <v>SKBNPTMR75X36X06-CPC</v>
      </c>
      <c r="E2" s="1" t="str">
        <f>"OEBOXBNSR"&amp;(K2-0.5)&amp;"0"&amp;"X"&amp;(L2-0.5)&amp;"0"&amp;"X120"</f>
        <v>OEBOXBNSR74.50X35.50X120</v>
      </c>
      <c r="F2" s="39" t="s">
        <v>11</v>
      </c>
      <c r="G2" s="37">
        <v>1</v>
      </c>
      <c r="H2" s="37">
        <f>ROUND(G2,3)</f>
        <v>1</v>
      </c>
      <c r="I2" s="21" t="s">
        <v>16</v>
      </c>
      <c r="J2" s="5"/>
      <c r="K2" s="6">
        <v>75</v>
      </c>
      <c r="L2" s="6">
        <v>36</v>
      </c>
      <c r="M2" s="36">
        <v>6</v>
      </c>
      <c r="N2" s="6" t="s">
        <v>94</v>
      </c>
      <c r="P2" s="4">
        <v>6</v>
      </c>
      <c r="R2" s="34" t="s">
        <v>92</v>
      </c>
      <c r="S2" s="34" t="s">
        <v>108</v>
      </c>
      <c r="T2" s="34" t="s">
        <v>99</v>
      </c>
      <c r="U2" s="34" t="s">
        <v>102</v>
      </c>
    </row>
    <row r="3" spans="1:21" s="19" customFormat="1" x14ac:dyDescent="0.25">
      <c r="A3" s="7">
        <v>3</v>
      </c>
      <c r="B3" s="7" t="s">
        <v>17</v>
      </c>
      <c r="C3" s="7" t="s">
        <v>17</v>
      </c>
      <c r="D3" s="7" t="str">
        <f t="shared" ref="D3:D15" si="0">"SKBNPT"&amp;IF($N$2="BW","BW",IF($N$2="CR","CR",IF($N$2="DB","DB","MR")))&amp;$K$2&amp;"X"&amp;$L$2&amp;"X06"&amp;"-"&amp;"CPC"</f>
        <v>SKBNPTMR75X36X06-CPC</v>
      </c>
      <c r="E3" s="20" t="str">
        <f>IF(N2="MR","SFG-SPKMR-ONL-QUILT",IF(N2="CR","SFG-SPKCR-ONL-QUILT",IF(N2="BW","SFG-SPKBW-ONL-QUILT",IF(N2="DB","SFG-SPKDB-ONL-QUILT",0))))</f>
        <v>SFG-SPKMR-ONL-QUILT</v>
      </c>
      <c r="F3" s="11" t="s">
        <v>15</v>
      </c>
      <c r="G3" s="10">
        <f>IF(K2&lt;79,(L2+1),IF(L2&lt;37,(K2+1),(K2+1)))*0.0254</f>
        <v>0.93979999999999997</v>
      </c>
      <c r="H3" s="37">
        <f t="shared" ref="H3:H4" si="1">ROUND(G3,3)</f>
        <v>0.94</v>
      </c>
      <c r="I3" s="21" t="s">
        <v>16</v>
      </c>
      <c r="J3" s="5"/>
      <c r="K3" s="18"/>
      <c r="L3" s="18"/>
      <c r="M3" s="18"/>
      <c r="N3" s="18"/>
      <c r="O3" s="4"/>
      <c r="R3" s="34" t="s">
        <v>93</v>
      </c>
      <c r="S3" s="34" t="s">
        <v>100</v>
      </c>
      <c r="T3" s="34" t="s">
        <v>99</v>
      </c>
      <c r="U3" s="34" t="s">
        <v>102</v>
      </c>
    </row>
    <row r="4" spans="1:21" x14ac:dyDescent="0.25">
      <c r="A4" s="7">
        <v>4</v>
      </c>
      <c r="B4" s="7" t="s">
        <v>17</v>
      </c>
      <c r="C4" s="7" t="s">
        <v>17</v>
      </c>
      <c r="D4" s="7" t="str">
        <f t="shared" si="0"/>
        <v>SKBNPTMR75X36X06-CPC</v>
      </c>
      <c r="E4" s="20" t="str">
        <f>IF(N2="MR","SFG-SPKMR-BP",IF(N2="BW","SFG-SPKBW-BP",IF(N2="CR","SFG-SPKCR-BP",IF(N2="DB","SFG-SPKDB-BP",0))))</f>
        <v>SFG-SPKMR-BP</v>
      </c>
      <c r="F4" s="11" t="s">
        <v>15</v>
      </c>
      <c r="G4" s="10">
        <f>IF(K2&lt;79,(L2+1),IF(L2&lt;37,(K2+1),(K2+1)))*0.0254</f>
        <v>0.93979999999999997</v>
      </c>
      <c r="H4" s="37">
        <f t="shared" si="1"/>
        <v>0.94</v>
      </c>
      <c r="I4" s="21" t="s">
        <v>16</v>
      </c>
      <c r="J4" s="12"/>
      <c r="O4" s="19"/>
      <c r="R4" s="34" t="s">
        <v>92</v>
      </c>
      <c r="S4" s="34" t="s">
        <v>108</v>
      </c>
      <c r="T4" s="34" t="s">
        <v>99</v>
      </c>
      <c r="U4" s="34" t="s">
        <v>94</v>
      </c>
    </row>
    <row r="5" spans="1:21" x14ac:dyDescent="0.25">
      <c r="A5" s="7">
        <v>7</v>
      </c>
      <c r="B5" s="7" t="s">
        <v>19</v>
      </c>
      <c r="C5" s="7" t="s">
        <v>19</v>
      </c>
      <c r="D5" s="7" t="str">
        <f t="shared" si="0"/>
        <v>SKBNPTMR75X36X06-CPC</v>
      </c>
      <c r="E5" s="9" t="s">
        <v>97</v>
      </c>
      <c r="F5" s="11" t="s">
        <v>98</v>
      </c>
      <c r="G5" s="10">
        <f>((K2-5)*(L2-5)/144)*0.00729*4</f>
        <v>0.43942499999999995</v>
      </c>
      <c r="H5" s="37">
        <f t="shared" ref="H5:H15" si="2">ROUND(G5,3)</f>
        <v>0.439</v>
      </c>
      <c r="I5" s="8" t="s">
        <v>14</v>
      </c>
      <c r="J5" s="12"/>
      <c r="O5" s="19"/>
      <c r="R5" s="34" t="s">
        <v>92</v>
      </c>
      <c r="S5" s="34" t="s">
        <v>100</v>
      </c>
      <c r="T5" s="34" t="s">
        <v>99</v>
      </c>
      <c r="U5" s="34" t="s">
        <v>94</v>
      </c>
    </row>
    <row r="6" spans="1:21" x14ac:dyDescent="0.25">
      <c r="A6" s="7">
        <v>8</v>
      </c>
      <c r="B6" s="7" t="s">
        <v>17</v>
      </c>
      <c r="C6" s="7" t="s">
        <v>17</v>
      </c>
      <c r="D6" s="7" t="str">
        <f t="shared" si="0"/>
        <v>SKBNPTMR75X36X06-CPC</v>
      </c>
      <c r="E6" s="15" t="s">
        <v>18</v>
      </c>
      <c r="F6" s="16" t="s">
        <v>15</v>
      </c>
      <c r="G6" s="10">
        <f>(K2+L2+1.5)*4*0.0254*8</f>
        <v>91.44</v>
      </c>
      <c r="H6" s="37">
        <f t="shared" si="2"/>
        <v>91.44</v>
      </c>
      <c r="I6" s="8" t="s">
        <v>14</v>
      </c>
      <c r="J6" s="12"/>
      <c r="R6" s="34" t="s">
        <v>92</v>
      </c>
      <c r="S6" s="34" t="s">
        <v>91</v>
      </c>
      <c r="T6" s="34" t="s">
        <v>99</v>
      </c>
      <c r="U6" s="34" t="s">
        <v>94</v>
      </c>
    </row>
    <row r="7" spans="1:21" x14ac:dyDescent="0.25">
      <c r="A7" s="7">
        <v>9</v>
      </c>
      <c r="B7" s="7" t="s">
        <v>19</v>
      </c>
      <c r="C7" s="7" t="s">
        <v>19</v>
      </c>
      <c r="D7" s="7" t="str">
        <f t="shared" si="0"/>
        <v>SKBNPTMR75X36X06-CPC</v>
      </c>
      <c r="E7" s="15" t="str">
        <f>IF(N2="BW","RML-EDTAPE-BRN",IF(N2="CR","RML-EDTAPE-BRN",IF(N2="DB","RML-EDTAPE-BLUE",IF(N2="LG","RML-EDTAPE-BLUE",IF(N2="BG","RML-EDTAPE-YEL-FDY",IF(N2="MR","RML-EDTAPE-MER-KNIT",0))))))</f>
        <v>RML-EDTAPE-MER-KNIT</v>
      </c>
      <c r="F7" s="16" t="s">
        <v>15</v>
      </c>
      <c r="G7" s="10">
        <f>(K2+L2+4)*2*0.0254*4</f>
        <v>23.367999999999999</v>
      </c>
      <c r="H7" s="37">
        <f t="shared" si="2"/>
        <v>23.367999999999999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93</v>
      </c>
      <c r="S7" s="34" t="s">
        <v>100</v>
      </c>
      <c r="T7" s="34" t="s">
        <v>99</v>
      </c>
      <c r="U7" s="34" t="s">
        <v>94</v>
      </c>
    </row>
    <row r="8" spans="1:21" x14ac:dyDescent="0.25">
      <c r="A8" s="7">
        <v>10</v>
      </c>
      <c r="B8" s="7" t="s">
        <v>19</v>
      </c>
      <c r="C8" s="7" t="s">
        <v>19</v>
      </c>
      <c r="D8" s="7" t="str">
        <f t="shared" si="0"/>
        <v>SKBNPTMR75X36X06-CPC</v>
      </c>
      <c r="E8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8" s="16" t="s">
        <v>15</v>
      </c>
      <c r="G8" s="10">
        <f>(K2+L2+4)*2*0.0254*(4.73+1.42)*3</f>
        <v>107.78489999999999</v>
      </c>
      <c r="H8" s="37">
        <f t="shared" si="2"/>
        <v>107.785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93</v>
      </c>
      <c r="S8" s="34" t="s">
        <v>91</v>
      </c>
      <c r="T8" s="34" t="s">
        <v>99</v>
      </c>
      <c r="U8" s="34" t="s">
        <v>94</v>
      </c>
    </row>
    <row r="9" spans="1:21" x14ac:dyDescent="0.25">
      <c r="A9" s="7">
        <v>11</v>
      </c>
      <c r="B9" s="7" t="s">
        <v>20</v>
      </c>
      <c r="C9" s="15" t="s">
        <v>20</v>
      </c>
      <c r="D9" s="7" t="str">
        <f t="shared" si="0"/>
        <v>SKBNPTMR75X36X06-CPC</v>
      </c>
      <c r="E9" s="41" t="s">
        <v>103</v>
      </c>
      <c r="F9" s="16" t="s">
        <v>11</v>
      </c>
      <c r="G9" s="10">
        <v>4</v>
      </c>
      <c r="H9" s="37">
        <f t="shared" si="2"/>
        <v>4</v>
      </c>
      <c r="I9" s="8" t="s">
        <v>14</v>
      </c>
      <c r="J9" s="12"/>
      <c r="K9" s="19"/>
      <c r="L9" s="19"/>
      <c r="M9" s="19"/>
      <c r="N9" s="19"/>
      <c r="O9" s="19"/>
      <c r="P9" s="23"/>
      <c r="Q9" s="19"/>
      <c r="R9" s="34"/>
      <c r="S9" s="34"/>
      <c r="T9" s="34"/>
      <c r="U9" s="34"/>
    </row>
    <row r="10" spans="1:21" x14ac:dyDescent="0.25">
      <c r="A10" s="7">
        <v>12</v>
      </c>
      <c r="B10" s="7" t="s">
        <v>19</v>
      </c>
      <c r="C10" s="7" t="s">
        <v>19</v>
      </c>
      <c r="D10" s="7" t="str">
        <f t="shared" si="0"/>
        <v>SKBNPTMR75X36X06-CPC</v>
      </c>
      <c r="E10" s="15" t="s">
        <v>21</v>
      </c>
      <c r="F10" s="16" t="s">
        <v>11</v>
      </c>
      <c r="G10" s="10">
        <v>1</v>
      </c>
      <c r="H10" s="37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/>
      <c r="S10" s="34"/>
      <c r="T10" s="34"/>
      <c r="U10" s="34"/>
    </row>
    <row r="11" spans="1:21" x14ac:dyDescent="0.25">
      <c r="A11" s="7">
        <v>13</v>
      </c>
      <c r="B11" s="7" t="s">
        <v>20</v>
      </c>
      <c r="C11" s="15" t="s">
        <v>20</v>
      </c>
      <c r="D11" s="7" t="str">
        <f t="shared" si="0"/>
        <v>SKBNPTMR75X36X06-CPC</v>
      </c>
      <c r="E11" s="15" t="s">
        <v>22</v>
      </c>
      <c r="F11" s="16" t="s">
        <v>11</v>
      </c>
      <c r="G11" s="14">
        <v>1</v>
      </c>
      <c r="H11" s="37">
        <f t="shared" si="2"/>
        <v>1</v>
      </c>
      <c r="I11" s="8" t="s">
        <v>14</v>
      </c>
      <c r="J11" s="12"/>
      <c r="K11" s="24"/>
      <c r="L11" s="24"/>
      <c r="M11" s="19"/>
      <c r="N11" s="23"/>
      <c r="O11" s="19"/>
      <c r="P11" s="19"/>
      <c r="Q11" s="19"/>
      <c r="R11" s="34"/>
      <c r="S11" s="34"/>
      <c r="T11" s="34"/>
      <c r="U11" s="34"/>
    </row>
    <row r="12" spans="1:21" x14ac:dyDescent="0.25">
      <c r="A12" s="7">
        <v>14</v>
      </c>
      <c r="B12" s="7" t="s">
        <v>20</v>
      </c>
      <c r="C12" s="9" t="s">
        <v>20</v>
      </c>
      <c r="D12" s="7" t="str">
        <f t="shared" si="0"/>
        <v>SKBNPTMR75X36X06-CPC</v>
      </c>
      <c r="E12" s="9" t="s">
        <v>23</v>
      </c>
      <c r="F12" s="11" t="s">
        <v>11</v>
      </c>
      <c r="G12" s="14">
        <v>1</v>
      </c>
      <c r="H12" s="37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/>
      <c r="S12" s="34"/>
      <c r="T12" s="34"/>
      <c r="U12" s="34"/>
    </row>
    <row r="13" spans="1:21" x14ac:dyDescent="0.25">
      <c r="A13" s="7">
        <v>15</v>
      </c>
      <c r="B13" s="7" t="s">
        <v>20</v>
      </c>
      <c r="C13" s="9" t="s">
        <v>20</v>
      </c>
      <c r="D13" s="7" t="str">
        <f t="shared" si="0"/>
        <v>SKBNPTMR75X36X06-CPC</v>
      </c>
      <c r="E13" s="9" t="s">
        <v>101</v>
      </c>
      <c r="F13" s="11" t="s">
        <v>13</v>
      </c>
      <c r="G13" s="10">
        <f>IF(K2&lt;79,((L2*2)+(M2*2)+4),((K2*2)+(M2*2)+4))*0.0254*89.5*0.0254*0.00005*1300</f>
        <v>0.33028321039999997</v>
      </c>
      <c r="H13" s="37">
        <f t="shared" si="2"/>
        <v>0.33</v>
      </c>
      <c r="I13" s="8" t="s">
        <v>14</v>
      </c>
      <c r="J13" s="12"/>
      <c r="K13" s="22"/>
      <c r="R13" s="34"/>
      <c r="S13" s="34"/>
      <c r="T13" s="34"/>
      <c r="U13" s="35"/>
    </row>
    <row r="14" spans="1:21" x14ac:dyDescent="0.25">
      <c r="A14" s="7">
        <v>17</v>
      </c>
      <c r="B14" s="7" t="s">
        <v>19</v>
      </c>
      <c r="C14" s="7" t="s">
        <v>19</v>
      </c>
      <c r="D14" s="7" t="str">
        <f t="shared" si="0"/>
        <v>SKBNPTMR75X36X06-CPC</v>
      </c>
      <c r="E14" s="40" t="str">
        <f>"25D-HELIXA-FOAM-"&amp;(K2-3)&amp;"X"&amp;(L2-3)&amp;"X15MM"</f>
        <v>25D-HELIXA-FOAM-72X33X15MM</v>
      </c>
      <c r="F14" s="8" t="s">
        <v>11</v>
      </c>
      <c r="G14" s="14">
        <v>1</v>
      </c>
      <c r="H14" s="37">
        <f t="shared" si="2"/>
        <v>1</v>
      </c>
      <c r="I14" s="21" t="s">
        <v>16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18</v>
      </c>
      <c r="B15" s="7" t="s">
        <v>19</v>
      </c>
      <c r="C15" s="7" t="s">
        <v>19</v>
      </c>
      <c r="D15" s="7" t="str">
        <f t="shared" si="0"/>
        <v>SKBNPTMR75X36X06-CPC</v>
      </c>
      <c r="E15" s="40" t="str">
        <f>"17D-PU-FOAM-"&amp;(K2-5)&amp;"X"&amp;(L2-5)&amp;"X10MM"</f>
        <v>17D-PU-FOAM-70X31X10MM</v>
      </c>
      <c r="F15" s="8" t="s">
        <v>11</v>
      </c>
      <c r="G15" s="14">
        <v>1</v>
      </c>
      <c r="H15" s="37">
        <f t="shared" si="2"/>
        <v>1</v>
      </c>
      <c r="I15" s="21" t="s">
        <v>16</v>
      </c>
      <c r="J15" s="12"/>
      <c r="N15"/>
      <c r="O15"/>
      <c r="R15" s="34"/>
      <c r="S15" s="34"/>
      <c r="T15" s="34"/>
      <c r="U15" s="35"/>
    </row>
    <row r="16" spans="1:21" x14ac:dyDescent="0.25">
      <c r="J16" s="12"/>
      <c r="M16" s="22"/>
      <c r="N16"/>
      <c r="O16"/>
      <c r="R16" s="34"/>
      <c r="S16" s="34"/>
      <c r="T16" s="34"/>
      <c r="U16" s="35"/>
    </row>
    <row r="17" spans="5:21" x14ac:dyDescent="0.25">
      <c r="J17" s="12"/>
      <c r="N17"/>
      <c r="O17"/>
      <c r="R17" s="34"/>
      <c r="S17" s="34"/>
      <c r="T17" s="34"/>
      <c r="U17" s="35"/>
    </row>
    <row r="18" spans="5:21" x14ac:dyDescent="0.25">
      <c r="J18" s="12"/>
      <c r="N18"/>
      <c r="O18"/>
      <c r="R18" s="34"/>
      <c r="S18" s="34"/>
      <c r="T18" s="34"/>
      <c r="U18" s="35"/>
    </row>
    <row r="19" spans="5:21" x14ac:dyDescent="0.25">
      <c r="J19" s="12"/>
      <c r="N19"/>
      <c r="O19"/>
      <c r="R19" s="34"/>
      <c r="S19" s="34"/>
      <c r="T19" s="34"/>
      <c r="U19" s="35"/>
    </row>
    <row r="20" spans="5:21" x14ac:dyDescent="0.25">
      <c r="J20" s="12"/>
      <c r="N20" s="31"/>
      <c r="O20"/>
      <c r="R20" s="34"/>
      <c r="S20" s="34"/>
      <c r="T20" s="34"/>
      <c r="U20" s="35"/>
    </row>
    <row r="21" spans="5:21" x14ac:dyDescent="0.25">
      <c r="J21" s="12"/>
      <c r="N21"/>
      <c r="O21"/>
      <c r="R21" s="34"/>
      <c r="S21" s="34"/>
      <c r="T21" s="34"/>
      <c r="U21" s="35"/>
    </row>
    <row r="22" spans="5:21" x14ac:dyDescent="0.25">
      <c r="J22" s="12"/>
      <c r="N22"/>
      <c r="O22"/>
      <c r="R22" s="34"/>
      <c r="S22" s="34"/>
      <c r="T22" s="34"/>
      <c r="U22" s="35"/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5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5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5:21" x14ac:dyDescent="0.25">
      <c r="G26" s="22"/>
      <c r="N26"/>
      <c r="O26"/>
      <c r="R26" s="34"/>
      <c r="S26" s="34"/>
      <c r="T26" s="34"/>
      <c r="U26" s="35"/>
    </row>
    <row r="27" spans="5:21" x14ac:dyDescent="0.25">
      <c r="G27" s="22"/>
      <c r="I27" s="22"/>
      <c r="N27"/>
      <c r="O27"/>
      <c r="R27" s="34"/>
      <c r="S27" s="34"/>
      <c r="T27" s="34"/>
      <c r="U27" s="35"/>
    </row>
    <row r="28" spans="5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5:21" x14ac:dyDescent="0.25">
      <c r="E29" s="22"/>
      <c r="N29"/>
      <c r="O29"/>
      <c r="R29" s="34"/>
      <c r="S29" s="34"/>
      <c r="T29" s="34"/>
      <c r="U29" s="35"/>
    </row>
    <row r="30" spans="5:21" x14ac:dyDescent="0.25">
      <c r="H30" s="22"/>
      <c r="N30"/>
      <c r="O30"/>
      <c r="R30" s="34"/>
      <c r="S30" s="34"/>
      <c r="T30" s="34"/>
      <c r="U30" s="35"/>
    </row>
    <row r="31" spans="5:21" x14ac:dyDescent="0.25">
      <c r="N31"/>
      <c r="O31"/>
      <c r="R31" s="34"/>
      <c r="S31" s="34"/>
      <c r="T31" s="34"/>
      <c r="U31" s="35"/>
    </row>
    <row r="32" spans="5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9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80</v>
      </c>
      <c r="B1" s="29" t="s">
        <v>81</v>
      </c>
      <c r="C1" s="30" t="s">
        <v>82</v>
      </c>
      <c r="D1" s="29" t="s">
        <v>83</v>
      </c>
      <c r="E1" s="29" t="s">
        <v>4</v>
      </c>
      <c r="F1" s="29" t="s">
        <v>84</v>
      </c>
      <c r="G1" s="30" t="s">
        <v>85</v>
      </c>
    </row>
    <row r="2" spans="1:7" x14ac:dyDescent="0.25">
      <c r="A2">
        <v>1</v>
      </c>
      <c r="B2" t="s">
        <v>109</v>
      </c>
      <c r="C2">
        <v>10</v>
      </c>
      <c r="D2" t="s">
        <v>118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109</v>
      </c>
      <c r="C3">
        <v>20</v>
      </c>
      <c r="D3" t="s">
        <v>116</v>
      </c>
      <c r="E3" t="s">
        <v>15</v>
      </c>
      <c r="F3">
        <v>0.94</v>
      </c>
      <c r="G3" t="s">
        <v>16</v>
      </c>
    </row>
    <row r="4" spans="1:7" x14ac:dyDescent="0.25">
      <c r="A4">
        <v>1</v>
      </c>
      <c r="B4" t="s">
        <v>109</v>
      </c>
      <c r="C4">
        <v>30</v>
      </c>
      <c r="D4" t="s">
        <v>105</v>
      </c>
      <c r="E4" t="s">
        <v>15</v>
      </c>
      <c r="F4">
        <v>0.94</v>
      </c>
      <c r="G4" t="s">
        <v>16</v>
      </c>
    </row>
    <row r="5" spans="1:7" x14ac:dyDescent="0.25">
      <c r="A5">
        <v>1</v>
      </c>
      <c r="B5" t="s">
        <v>109</v>
      </c>
      <c r="C5">
        <v>40</v>
      </c>
      <c r="D5" t="s">
        <v>97</v>
      </c>
      <c r="E5" t="s">
        <v>98</v>
      </c>
      <c r="F5">
        <v>0.439</v>
      </c>
      <c r="G5" t="s">
        <v>14</v>
      </c>
    </row>
    <row r="6" spans="1:7" x14ac:dyDescent="0.25">
      <c r="A6">
        <v>1</v>
      </c>
      <c r="B6" t="s">
        <v>109</v>
      </c>
      <c r="C6">
        <v>50</v>
      </c>
      <c r="D6" t="s">
        <v>18</v>
      </c>
      <c r="E6" t="s">
        <v>15</v>
      </c>
      <c r="F6">
        <v>91.44</v>
      </c>
      <c r="G6" t="s">
        <v>14</v>
      </c>
    </row>
    <row r="7" spans="1:7" x14ac:dyDescent="0.25">
      <c r="A7">
        <v>1</v>
      </c>
      <c r="B7" t="s">
        <v>109</v>
      </c>
      <c r="C7">
        <v>60</v>
      </c>
      <c r="D7" t="s">
        <v>106</v>
      </c>
      <c r="E7" t="s">
        <v>15</v>
      </c>
      <c r="F7">
        <v>23.367999999999999</v>
      </c>
      <c r="G7" t="s">
        <v>14</v>
      </c>
    </row>
    <row r="8" spans="1:7" x14ac:dyDescent="0.25">
      <c r="A8">
        <v>1</v>
      </c>
      <c r="B8" t="s">
        <v>109</v>
      </c>
      <c r="C8">
        <v>70</v>
      </c>
      <c r="D8" t="s">
        <v>104</v>
      </c>
      <c r="E8" t="s">
        <v>15</v>
      </c>
      <c r="F8">
        <v>107.785</v>
      </c>
      <c r="G8" t="s">
        <v>14</v>
      </c>
    </row>
    <row r="9" spans="1:7" x14ac:dyDescent="0.25">
      <c r="A9">
        <v>1</v>
      </c>
      <c r="B9" t="s">
        <v>109</v>
      </c>
      <c r="C9">
        <v>80</v>
      </c>
      <c r="D9" t="s">
        <v>103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109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109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109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109</v>
      </c>
      <c r="C13">
        <v>120</v>
      </c>
      <c r="D13" t="s">
        <v>101</v>
      </c>
      <c r="E13" t="s">
        <v>13</v>
      </c>
      <c r="F13">
        <v>0.33</v>
      </c>
      <c r="G13" t="s">
        <v>14</v>
      </c>
    </row>
    <row r="14" spans="1:7" x14ac:dyDescent="0.25">
      <c r="A14">
        <v>1</v>
      </c>
      <c r="B14" t="s">
        <v>109</v>
      </c>
      <c r="C14">
        <v>130</v>
      </c>
      <c r="D14" t="s">
        <v>128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109</v>
      </c>
      <c r="C15">
        <v>140</v>
      </c>
      <c r="D15" t="s">
        <v>119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110</v>
      </c>
      <c r="C16">
        <v>10</v>
      </c>
      <c r="D16" t="s">
        <v>120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110</v>
      </c>
      <c r="C17">
        <v>20</v>
      </c>
      <c r="D17" t="s">
        <v>116</v>
      </c>
      <c r="E17" t="s">
        <v>15</v>
      </c>
      <c r="F17">
        <v>1.5489999999999999</v>
      </c>
      <c r="G17" t="s">
        <v>16</v>
      </c>
    </row>
    <row r="18" spans="1:7" x14ac:dyDescent="0.25">
      <c r="A18">
        <v>2</v>
      </c>
      <c r="B18" t="s">
        <v>110</v>
      </c>
      <c r="C18">
        <v>30</v>
      </c>
      <c r="D18" t="s">
        <v>105</v>
      </c>
      <c r="E18" t="s">
        <v>15</v>
      </c>
      <c r="F18">
        <v>1.5489999999999999</v>
      </c>
      <c r="G18" t="s">
        <v>16</v>
      </c>
    </row>
    <row r="19" spans="1:7" x14ac:dyDescent="0.25">
      <c r="A19">
        <v>2</v>
      </c>
      <c r="B19" t="s">
        <v>110</v>
      </c>
      <c r="C19">
        <v>40</v>
      </c>
      <c r="D19" t="s">
        <v>97</v>
      </c>
      <c r="E19" t="s">
        <v>98</v>
      </c>
      <c r="F19">
        <v>0.81299999999999994</v>
      </c>
      <c r="G19" t="s">
        <v>14</v>
      </c>
    </row>
    <row r="20" spans="1:7" x14ac:dyDescent="0.25">
      <c r="A20">
        <v>2</v>
      </c>
      <c r="B20" t="s">
        <v>110</v>
      </c>
      <c r="C20">
        <v>50</v>
      </c>
      <c r="D20" t="s">
        <v>18</v>
      </c>
      <c r="E20" t="s">
        <v>15</v>
      </c>
      <c r="F20">
        <v>113.386</v>
      </c>
      <c r="G20" t="s">
        <v>14</v>
      </c>
    </row>
    <row r="21" spans="1:7" x14ac:dyDescent="0.25">
      <c r="A21">
        <v>2</v>
      </c>
      <c r="B21" t="s">
        <v>110</v>
      </c>
      <c r="C21">
        <v>60</v>
      </c>
      <c r="D21" t="s">
        <v>106</v>
      </c>
      <c r="E21" t="s">
        <v>15</v>
      </c>
      <c r="F21">
        <v>28.853999999999999</v>
      </c>
      <c r="G21" t="s">
        <v>14</v>
      </c>
    </row>
    <row r="22" spans="1:7" x14ac:dyDescent="0.25">
      <c r="A22">
        <v>2</v>
      </c>
      <c r="B22" t="s">
        <v>110</v>
      </c>
      <c r="C22">
        <v>70</v>
      </c>
      <c r="D22" t="s">
        <v>104</v>
      </c>
      <c r="E22" t="s">
        <v>15</v>
      </c>
      <c r="F22">
        <v>133.09100000000001</v>
      </c>
      <c r="G22" t="s">
        <v>14</v>
      </c>
    </row>
    <row r="23" spans="1:7" x14ac:dyDescent="0.25">
      <c r="A23">
        <v>2</v>
      </c>
      <c r="B23" t="s">
        <v>110</v>
      </c>
      <c r="C23">
        <v>80</v>
      </c>
      <c r="D23" t="s">
        <v>103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110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110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110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110</v>
      </c>
      <c r="C27">
        <v>120</v>
      </c>
      <c r="D27" t="s">
        <v>101</v>
      </c>
      <c r="E27" t="s">
        <v>13</v>
      </c>
      <c r="F27">
        <v>0.51</v>
      </c>
      <c r="G27" t="s">
        <v>14</v>
      </c>
    </row>
    <row r="28" spans="1:7" x14ac:dyDescent="0.25">
      <c r="A28">
        <v>2</v>
      </c>
      <c r="B28" t="s">
        <v>110</v>
      </c>
      <c r="C28">
        <v>130</v>
      </c>
      <c r="D28" t="s">
        <v>129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110</v>
      </c>
      <c r="C29">
        <v>140</v>
      </c>
      <c r="D29" t="s">
        <v>121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111</v>
      </c>
      <c r="C30">
        <v>10</v>
      </c>
      <c r="D30" t="s">
        <v>118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111</v>
      </c>
      <c r="C31">
        <v>20</v>
      </c>
      <c r="D31" t="s">
        <v>117</v>
      </c>
      <c r="E31" t="s">
        <v>15</v>
      </c>
      <c r="F31">
        <v>0.94</v>
      </c>
      <c r="G31" t="s">
        <v>16</v>
      </c>
    </row>
    <row r="32" spans="1:7" x14ac:dyDescent="0.25">
      <c r="A32">
        <v>3</v>
      </c>
      <c r="B32" t="s">
        <v>111</v>
      </c>
      <c r="C32">
        <v>30</v>
      </c>
      <c r="D32" t="s">
        <v>107</v>
      </c>
      <c r="E32" t="s">
        <v>15</v>
      </c>
      <c r="F32">
        <v>0.94</v>
      </c>
      <c r="G32" t="s">
        <v>16</v>
      </c>
    </row>
    <row r="33" spans="1:7" x14ac:dyDescent="0.25">
      <c r="A33">
        <v>3</v>
      </c>
      <c r="B33" t="s">
        <v>111</v>
      </c>
      <c r="C33">
        <v>40</v>
      </c>
      <c r="D33" t="s">
        <v>97</v>
      </c>
      <c r="E33" t="s">
        <v>98</v>
      </c>
      <c r="F33">
        <v>0.439</v>
      </c>
      <c r="G33" t="s">
        <v>14</v>
      </c>
    </row>
    <row r="34" spans="1:7" x14ac:dyDescent="0.25">
      <c r="A34">
        <v>3</v>
      </c>
      <c r="B34" t="s">
        <v>111</v>
      </c>
      <c r="C34">
        <v>50</v>
      </c>
      <c r="D34" t="s">
        <v>18</v>
      </c>
      <c r="E34" t="s">
        <v>15</v>
      </c>
      <c r="F34">
        <v>91.44</v>
      </c>
      <c r="G34" t="s">
        <v>14</v>
      </c>
    </row>
    <row r="35" spans="1:7" x14ac:dyDescent="0.25">
      <c r="A35">
        <v>3</v>
      </c>
      <c r="B35" t="s">
        <v>111</v>
      </c>
      <c r="C35">
        <v>60</v>
      </c>
      <c r="D35" t="s">
        <v>95</v>
      </c>
      <c r="E35" t="s">
        <v>15</v>
      </c>
      <c r="F35">
        <v>23.367999999999999</v>
      </c>
      <c r="G35" t="s">
        <v>14</v>
      </c>
    </row>
    <row r="36" spans="1:7" x14ac:dyDescent="0.25">
      <c r="A36">
        <v>3</v>
      </c>
      <c r="B36" t="s">
        <v>111</v>
      </c>
      <c r="C36">
        <v>70</v>
      </c>
      <c r="D36" t="s">
        <v>96</v>
      </c>
      <c r="E36" t="s">
        <v>15</v>
      </c>
      <c r="F36">
        <v>107.785</v>
      </c>
      <c r="G36" t="s">
        <v>14</v>
      </c>
    </row>
    <row r="37" spans="1:7" x14ac:dyDescent="0.25">
      <c r="A37">
        <v>3</v>
      </c>
      <c r="B37" t="s">
        <v>111</v>
      </c>
      <c r="C37">
        <v>80</v>
      </c>
      <c r="D37" t="s">
        <v>103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111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111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111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111</v>
      </c>
      <c r="C41">
        <v>120</v>
      </c>
      <c r="D41" t="s">
        <v>101</v>
      </c>
      <c r="E41" t="s">
        <v>13</v>
      </c>
      <c r="F41">
        <v>0.33</v>
      </c>
      <c r="G41" t="s">
        <v>14</v>
      </c>
    </row>
    <row r="42" spans="1:7" x14ac:dyDescent="0.25">
      <c r="A42">
        <v>3</v>
      </c>
      <c r="B42" t="s">
        <v>111</v>
      </c>
      <c r="C42">
        <v>130</v>
      </c>
      <c r="D42" t="s">
        <v>128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111</v>
      </c>
      <c r="C43">
        <v>140</v>
      </c>
      <c r="D43" t="s">
        <v>119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112</v>
      </c>
      <c r="C44">
        <v>10</v>
      </c>
      <c r="D44" t="s">
        <v>122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112</v>
      </c>
      <c r="C45">
        <v>20</v>
      </c>
      <c r="D45" t="s">
        <v>117</v>
      </c>
      <c r="E45" t="s">
        <v>15</v>
      </c>
      <c r="F45">
        <v>1.5489999999999999</v>
      </c>
      <c r="G45" t="s">
        <v>16</v>
      </c>
    </row>
    <row r="46" spans="1:7" x14ac:dyDescent="0.25">
      <c r="A46">
        <v>4</v>
      </c>
      <c r="B46" t="s">
        <v>112</v>
      </c>
      <c r="C46">
        <v>30</v>
      </c>
      <c r="D46" t="s">
        <v>107</v>
      </c>
      <c r="E46" t="s">
        <v>15</v>
      </c>
      <c r="F46">
        <v>1.5489999999999999</v>
      </c>
      <c r="G46" t="s">
        <v>16</v>
      </c>
    </row>
    <row r="47" spans="1:7" x14ac:dyDescent="0.25">
      <c r="A47">
        <v>4</v>
      </c>
      <c r="B47" t="s">
        <v>112</v>
      </c>
      <c r="C47">
        <v>40</v>
      </c>
      <c r="D47" t="s">
        <v>97</v>
      </c>
      <c r="E47" t="s">
        <v>98</v>
      </c>
      <c r="F47">
        <v>0.78</v>
      </c>
      <c r="G47" t="s">
        <v>14</v>
      </c>
    </row>
    <row r="48" spans="1:7" x14ac:dyDescent="0.25">
      <c r="A48">
        <v>4</v>
      </c>
      <c r="B48" t="s">
        <v>112</v>
      </c>
      <c r="C48">
        <v>50</v>
      </c>
      <c r="D48" t="s">
        <v>18</v>
      </c>
      <c r="E48" t="s">
        <v>15</v>
      </c>
      <c r="F48">
        <v>110.947</v>
      </c>
      <c r="G48" t="s">
        <v>14</v>
      </c>
    </row>
    <row r="49" spans="1:7" x14ac:dyDescent="0.25">
      <c r="A49">
        <v>4</v>
      </c>
      <c r="B49" t="s">
        <v>112</v>
      </c>
      <c r="C49">
        <v>60</v>
      </c>
      <c r="D49" t="s">
        <v>95</v>
      </c>
      <c r="E49" t="s">
        <v>15</v>
      </c>
      <c r="F49">
        <v>28.245000000000001</v>
      </c>
      <c r="G49" t="s">
        <v>14</v>
      </c>
    </row>
    <row r="50" spans="1:7" x14ac:dyDescent="0.25">
      <c r="A50">
        <v>4</v>
      </c>
      <c r="B50" t="s">
        <v>112</v>
      </c>
      <c r="C50">
        <v>70</v>
      </c>
      <c r="D50" t="s">
        <v>96</v>
      </c>
      <c r="E50" t="s">
        <v>15</v>
      </c>
      <c r="F50">
        <v>130.279</v>
      </c>
      <c r="G50" t="s">
        <v>14</v>
      </c>
    </row>
    <row r="51" spans="1:7" x14ac:dyDescent="0.25">
      <c r="A51">
        <v>4</v>
      </c>
      <c r="B51" t="s">
        <v>112</v>
      </c>
      <c r="C51">
        <v>80</v>
      </c>
      <c r="D51" t="s">
        <v>103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112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112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112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112</v>
      </c>
      <c r="C55">
        <v>120</v>
      </c>
      <c r="D55" t="s">
        <v>101</v>
      </c>
      <c r="E55" t="s">
        <v>13</v>
      </c>
      <c r="F55">
        <v>0.51</v>
      </c>
      <c r="G55" t="s">
        <v>14</v>
      </c>
    </row>
    <row r="56" spans="1:7" x14ac:dyDescent="0.25">
      <c r="A56">
        <v>4</v>
      </c>
      <c r="B56" t="s">
        <v>112</v>
      </c>
      <c r="C56">
        <v>130</v>
      </c>
      <c r="D56" t="s">
        <v>130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112</v>
      </c>
      <c r="C57">
        <v>140</v>
      </c>
      <c r="D57" t="s">
        <v>123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113</v>
      </c>
      <c r="C58">
        <v>10</v>
      </c>
      <c r="D58" t="s">
        <v>124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113</v>
      </c>
      <c r="C59">
        <v>20</v>
      </c>
      <c r="D59" t="s">
        <v>117</v>
      </c>
      <c r="E59" t="s">
        <v>15</v>
      </c>
      <c r="F59">
        <v>1.8540000000000001</v>
      </c>
      <c r="G59" t="s">
        <v>16</v>
      </c>
    </row>
    <row r="60" spans="1:7" x14ac:dyDescent="0.25">
      <c r="A60">
        <v>5</v>
      </c>
      <c r="B60" t="s">
        <v>113</v>
      </c>
      <c r="C60">
        <v>30</v>
      </c>
      <c r="D60" t="s">
        <v>107</v>
      </c>
      <c r="E60" t="s">
        <v>15</v>
      </c>
      <c r="F60">
        <v>1.8540000000000001</v>
      </c>
      <c r="G60" t="s">
        <v>16</v>
      </c>
    </row>
    <row r="61" spans="1:7" x14ac:dyDescent="0.25">
      <c r="A61">
        <v>5</v>
      </c>
      <c r="B61" t="s">
        <v>113</v>
      </c>
      <c r="C61">
        <v>40</v>
      </c>
      <c r="D61" t="s">
        <v>97</v>
      </c>
      <c r="E61" t="s">
        <v>98</v>
      </c>
      <c r="F61">
        <v>0.95</v>
      </c>
      <c r="G61" t="s">
        <v>14</v>
      </c>
    </row>
    <row r="62" spans="1:7" x14ac:dyDescent="0.25">
      <c r="A62">
        <v>5</v>
      </c>
      <c r="B62" t="s">
        <v>113</v>
      </c>
      <c r="C62">
        <v>50</v>
      </c>
      <c r="D62" t="s">
        <v>18</v>
      </c>
      <c r="E62" t="s">
        <v>15</v>
      </c>
      <c r="F62">
        <v>120.70099999999999</v>
      </c>
      <c r="G62" t="s">
        <v>14</v>
      </c>
    </row>
    <row r="63" spans="1:7" x14ac:dyDescent="0.25">
      <c r="A63">
        <v>5</v>
      </c>
      <c r="B63" t="s">
        <v>113</v>
      </c>
      <c r="C63">
        <v>60</v>
      </c>
      <c r="D63" t="s">
        <v>95</v>
      </c>
      <c r="E63" t="s">
        <v>15</v>
      </c>
      <c r="F63">
        <v>30.683</v>
      </c>
      <c r="G63" t="s">
        <v>14</v>
      </c>
    </row>
    <row r="64" spans="1:7" x14ac:dyDescent="0.25">
      <c r="A64">
        <v>5</v>
      </c>
      <c r="B64" t="s">
        <v>113</v>
      </c>
      <c r="C64">
        <v>70</v>
      </c>
      <c r="D64" t="s">
        <v>96</v>
      </c>
      <c r="E64" t="s">
        <v>15</v>
      </c>
      <c r="F64">
        <v>141.52600000000001</v>
      </c>
      <c r="G64" t="s">
        <v>14</v>
      </c>
    </row>
    <row r="65" spans="1:7" x14ac:dyDescent="0.25">
      <c r="A65">
        <v>5</v>
      </c>
      <c r="B65" t="s">
        <v>113</v>
      </c>
      <c r="C65">
        <v>80</v>
      </c>
      <c r="D65" t="s">
        <v>103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113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113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113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113</v>
      </c>
      <c r="C69">
        <v>120</v>
      </c>
      <c r="D69" t="s">
        <v>101</v>
      </c>
      <c r="E69" t="s">
        <v>13</v>
      </c>
      <c r="F69">
        <v>0.60099999999999998</v>
      </c>
      <c r="G69" t="s">
        <v>14</v>
      </c>
    </row>
    <row r="70" spans="1:7" x14ac:dyDescent="0.25">
      <c r="A70">
        <v>5</v>
      </c>
      <c r="B70" t="s">
        <v>113</v>
      </c>
      <c r="C70">
        <v>130</v>
      </c>
      <c r="D70" t="s">
        <v>131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113</v>
      </c>
      <c r="C71">
        <v>140</v>
      </c>
      <c r="D71" t="s">
        <v>125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114</v>
      </c>
      <c r="C72">
        <v>10</v>
      </c>
      <c r="D72" t="s">
        <v>120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114</v>
      </c>
      <c r="C73">
        <v>20</v>
      </c>
      <c r="D73" t="s">
        <v>117</v>
      </c>
      <c r="E73" t="s">
        <v>15</v>
      </c>
      <c r="F73">
        <v>1.5489999999999999</v>
      </c>
      <c r="G73" t="s">
        <v>16</v>
      </c>
    </row>
    <row r="74" spans="1:7" x14ac:dyDescent="0.25">
      <c r="A74">
        <v>6</v>
      </c>
      <c r="B74" t="s">
        <v>114</v>
      </c>
      <c r="C74">
        <v>30</v>
      </c>
      <c r="D74" t="s">
        <v>107</v>
      </c>
      <c r="E74" t="s">
        <v>15</v>
      </c>
      <c r="F74">
        <v>1.5489999999999999</v>
      </c>
      <c r="G74" t="s">
        <v>16</v>
      </c>
    </row>
    <row r="75" spans="1:7" x14ac:dyDescent="0.25">
      <c r="A75">
        <v>6</v>
      </c>
      <c r="B75" t="s">
        <v>114</v>
      </c>
      <c r="C75">
        <v>40</v>
      </c>
      <c r="D75" t="s">
        <v>97</v>
      </c>
      <c r="E75" t="s">
        <v>98</v>
      </c>
      <c r="F75">
        <v>0.81299999999999994</v>
      </c>
      <c r="G75" t="s">
        <v>14</v>
      </c>
    </row>
    <row r="76" spans="1:7" x14ac:dyDescent="0.25">
      <c r="A76">
        <v>6</v>
      </c>
      <c r="B76" t="s">
        <v>114</v>
      </c>
      <c r="C76">
        <v>50</v>
      </c>
      <c r="D76" t="s">
        <v>18</v>
      </c>
      <c r="E76" t="s">
        <v>15</v>
      </c>
      <c r="F76">
        <v>113.386</v>
      </c>
      <c r="G76" t="s">
        <v>14</v>
      </c>
    </row>
    <row r="77" spans="1:7" x14ac:dyDescent="0.25">
      <c r="A77">
        <v>6</v>
      </c>
      <c r="B77" t="s">
        <v>114</v>
      </c>
      <c r="C77">
        <v>60</v>
      </c>
      <c r="D77" t="s">
        <v>95</v>
      </c>
      <c r="E77" t="s">
        <v>15</v>
      </c>
      <c r="F77">
        <v>28.853999999999999</v>
      </c>
      <c r="G77" t="s">
        <v>14</v>
      </c>
    </row>
    <row r="78" spans="1:7" x14ac:dyDescent="0.25">
      <c r="A78">
        <v>6</v>
      </c>
      <c r="B78" t="s">
        <v>114</v>
      </c>
      <c r="C78">
        <v>70</v>
      </c>
      <c r="D78" t="s">
        <v>96</v>
      </c>
      <c r="E78" t="s">
        <v>15</v>
      </c>
      <c r="F78">
        <v>133.09100000000001</v>
      </c>
      <c r="G78" t="s">
        <v>14</v>
      </c>
    </row>
    <row r="79" spans="1:7" x14ac:dyDescent="0.25">
      <c r="A79">
        <v>6</v>
      </c>
      <c r="B79" t="s">
        <v>114</v>
      </c>
      <c r="C79">
        <v>80</v>
      </c>
      <c r="D79" t="s">
        <v>103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114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114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114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114</v>
      </c>
      <c r="C83">
        <v>120</v>
      </c>
      <c r="D83" t="s">
        <v>101</v>
      </c>
      <c r="E83" t="s">
        <v>13</v>
      </c>
      <c r="F83">
        <v>0.51</v>
      </c>
      <c r="G83" t="s">
        <v>14</v>
      </c>
    </row>
    <row r="84" spans="1:7" x14ac:dyDescent="0.25">
      <c r="A84">
        <v>6</v>
      </c>
      <c r="B84" t="s">
        <v>114</v>
      </c>
      <c r="C84">
        <v>130</v>
      </c>
      <c r="D84" t="s">
        <v>129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114</v>
      </c>
      <c r="C85">
        <v>140</v>
      </c>
      <c r="D85" t="s">
        <v>121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115</v>
      </c>
      <c r="C86">
        <v>10</v>
      </c>
      <c r="D86" t="s">
        <v>126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115</v>
      </c>
      <c r="C87">
        <v>20</v>
      </c>
      <c r="D87" t="s">
        <v>117</v>
      </c>
      <c r="E87" t="s">
        <v>15</v>
      </c>
      <c r="F87">
        <v>1.8540000000000001</v>
      </c>
      <c r="G87" t="s">
        <v>16</v>
      </c>
    </row>
    <row r="88" spans="1:7" x14ac:dyDescent="0.25">
      <c r="A88">
        <v>7</v>
      </c>
      <c r="B88" t="s">
        <v>115</v>
      </c>
      <c r="C88">
        <v>30</v>
      </c>
      <c r="D88" t="s">
        <v>107</v>
      </c>
      <c r="E88" t="s">
        <v>15</v>
      </c>
      <c r="F88">
        <v>1.8540000000000001</v>
      </c>
      <c r="G88" t="s">
        <v>16</v>
      </c>
    </row>
    <row r="89" spans="1:7" x14ac:dyDescent="0.25">
      <c r="A89">
        <v>7</v>
      </c>
      <c r="B89" t="s">
        <v>115</v>
      </c>
      <c r="C89">
        <v>40</v>
      </c>
      <c r="D89" t="s">
        <v>97</v>
      </c>
      <c r="E89" t="s">
        <v>98</v>
      </c>
      <c r="F89">
        <v>0.99</v>
      </c>
      <c r="G89" t="s">
        <v>14</v>
      </c>
    </row>
    <row r="90" spans="1:7" x14ac:dyDescent="0.25">
      <c r="A90">
        <v>7</v>
      </c>
      <c r="B90" t="s">
        <v>115</v>
      </c>
      <c r="C90">
        <v>50</v>
      </c>
      <c r="D90" t="s">
        <v>18</v>
      </c>
      <c r="E90" t="s">
        <v>15</v>
      </c>
      <c r="F90">
        <v>123.139</v>
      </c>
      <c r="G90" t="s">
        <v>14</v>
      </c>
    </row>
    <row r="91" spans="1:7" x14ac:dyDescent="0.25">
      <c r="A91">
        <v>7</v>
      </c>
      <c r="B91" t="s">
        <v>115</v>
      </c>
      <c r="C91">
        <v>60</v>
      </c>
      <c r="D91" t="s">
        <v>95</v>
      </c>
      <c r="E91" t="s">
        <v>15</v>
      </c>
      <c r="F91">
        <v>31.292999999999999</v>
      </c>
      <c r="G91" t="s">
        <v>14</v>
      </c>
    </row>
    <row r="92" spans="1:7" x14ac:dyDescent="0.25">
      <c r="A92">
        <v>7</v>
      </c>
      <c r="B92" t="s">
        <v>115</v>
      </c>
      <c r="C92">
        <v>70</v>
      </c>
      <c r="D92" t="s">
        <v>96</v>
      </c>
      <c r="E92" t="s">
        <v>15</v>
      </c>
      <c r="F92">
        <v>144.33799999999999</v>
      </c>
      <c r="G92" t="s">
        <v>14</v>
      </c>
    </row>
    <row r="93" spans="1:7" x14ac:dyDescent="0.25">
      <c r="A93">
        <v>7</v>
      </c>
      <c r="B93" t="s">
        <v>115</v>
      </c>
      <c r="C93">
        <v>80</v>
      </c>
      <c r="D93" t="s">
        <v>103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115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115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115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115</v>
      </c>
      <c r="C97">
        <v>120</v>
      </c>
      <c r="D97" t="s">
        <v>101</v>
      </c>
      <c r="E97" t="s">
        <v>13</v>
      </c>
      <c r="F97">
        <v>0.60099999999999998</v>
      </c>
      <c r="G97" t="s">
        <v>14</v>
      </c>
    </row>
    <row r="98" spans="1:7" x14ac:dyDescent="0.25">
      <c r="A98">
        <v>7</v>
      </c>
      <c r="B98" t="s">
        <v>115</v>
      </c>
      <c r="C98">
        <v>130</v>
      </c>
      <c r="D98" t="s">
        <v>132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115</v>
      </c>
      <c r="C99">
        <v>140</v>
      </c>
      <c r="D99" t="s">
        <v>127</v>
      </c>
      <c r="E99" t="s">
        <v>11</v>
      </c>
      <c r="F99">
        <v>1</v>
      </c>
      <c r="G9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5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5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6" t="s">
        <v>49</v>
      </c>
      <c r="C4" s="26" t="s">
        <v>50</v>
      </c>
      <c r="D4" s="42" t="s">
        <v>51</v>
      </c>
      <c r="E4" s="26" t="s">
        <v>3</v>
      </c>
      <c r="F4" s="42" t="s">
        <v>52</v>
      </c>
      <c r="G4" s="26" t="s">
        <v>53</v>
      </c>
      <c r="H4" s="26" t="s">
        <v>6</v>
      </c>
      <c r="I4" s="26" t="s">
        <v>54</v>
      </c>
      <c r="J4" s="42" t="s">
        <v>55</v>
      </c>
      <c r="K4" s="42" t="s">
        <v>56</v>
      </c>
      <c r="L4" s="42" t="s">
        <v>57</v>
      </c>
      <c r="M4" s="27" t="s">
        <v>58</v>
      </c>
      <c r="N4" s="28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109</v>
      </c>
      <c r="D5" s="3"/>
      <c r="E5" s="3" t="s">
        <v>109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109</v>
      </c>
      <c r="D6" s="3"/>
      <c r="E6" s="3" t="s">
        <v>109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116</v>
      </c>
      <c r="O6" s="3"/>
      <c r="P6" s="3"/>
      <c r="Q6" s="3">
        <v>0.94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109</v>
      </c>
      <c r="D7" s="3"/>
      <c r="E7" s="3" t="s">
        <v>109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0.94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109</v>
      </c>
      <c r="D8" s="3"/>
      <c r="E8" s="3" t="s">
        <v>109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97</v>
      </c>
      <c r="O8" s="3"/>
      <c r="P8" s="3"/>
      <c r="Q8" s="3">
        <v>0.439</v>
      </c>
      <c r="R8" s="3" t="s">
        <v>98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109</v>
      </c>
      <c r="D9" s="3"/>
      <c r="E9" s="3" t="s">
        <v>109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91.44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109</v>
      </c>
      <c r="D10" s="3"/>
      <c r="E10" s="3" t="s">
        <v>109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106</v>
      </c>
      <c r="O10" s="3"/>
      <c r="P10" s="3"/>
      <c r="Q10" s="3">
        <v>23.367999999999999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109</v>
      </c>
      <c r="D11" s="3"/>
      <c r="E11" s="3" t="s">
        <v>109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104</v>
      </c>
      <c r="O11" s="3"/>
      <c r="P11" s="3"/>
      <c r="Q11" s="3">
        <v>107.785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109</v>
      </c>
      <c r="D12" s="3"/>
      <c r="E12" s="3" t="s">
        <v>109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103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109</v>
      </c>
      <c r="D13" s="3"/>
      <c r="E13" s="3" t="s">
        <v>109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109</v>
      </c>
      <c r="D14" s="3"/>
      <c r="E14" s="3" t="s">
        <v>109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109</v>
      </c>
      <c r="D15" s="3"/>
      <c r="E15" s="3" t="s">
        <v>109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109</v>
      </c>
      <c r="D16" s="3"/>
      <c r="E16" s="3" t="s">
        <v>109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101</v>
      </c>
      <c r="O16" s="3"/>
      <c r="P16" s="3"/>
      <c r="Q16" s="3">
        <v>0.33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120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116</v>
      </c>
      <c r="O20" s="3"/>
      <c r="P20" s="3"/>
      <c r="Q20" s="3">
        <v>1.5489999999999999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105</v>
      </c>
      <c r="O21" s="3"/>
      <c r="P21" s="3"/>
      <c r="Q21" s="3">
        <v>1.5489999999999999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97</v>
      </c>
      <c r="O22" s="3"/>
      <c r="P22" s="3"/>
      <c r="Q22" s="3">
        <v>0.81299999999999994</v>
      </c>
      <c r="R22" s="3" t="s">
        <v>98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113.386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106</v>
      </c>
      <c r="O24" s="3"/>
      <c r="P24" s="3"/>
      <c r="Q24" s="3">
        <v>28.853999999999999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104</v>
      </c>
      <c r="O25" s="3"/>
      <c r="P25" s="3"/>
      <c r="Q25" s="3">
        <v>133.09100000000001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103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110</v>
      </c>
      <c r="D29" s="3"/>
      <c r="E29" s="3" t="s">
        <v>110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110</v>
      </c>
      <c r="D30" s="3"/>
      <c r="E30" s="3" t="s">
        <v>110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101</v>
      </c>
      <c r="O30" s="3"/>
      <c r="P30" s="3"/>
      <c r="Q30" s="3">
        <v>0.51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110</v>
      </c>
      <c r="D31" s="3"/>
      <c r="E31" s="3" t="s">
        <v>110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129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110</v>
      </c>
      <c r="D32" s="3"/>
      <c r="E32" s="3" t="s">
        <v>110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121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118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117</v>
      </c>
      <c r="O34" s="3"/>
      <c r="P34" s="3"/>
      <c r="Q34" s="3">
        <v>0.94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107</v>
      </c>
      <c r="O35" s="3"/>
      <c r="P35" s="3"/>
      <c r="Q35" s="3">
        <v>0.94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97</v>
      </c>
      <c r="O36" s="3"/>
      <c r="P36" s="3"/>
      <c r="Q36" s="3">
        <v>0.439</v>
      </c>
      <c r="R36" s="3" t="s">
        <v>98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91.44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95</v>
      </c>
      <c r="O38" s="3"/>
      <c r="P38" s="3"/>
      <c r="Q38" s="3">
        <v>23.367999999999999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96</v>
      </c>
      <c r="O39" s="3"/>
      <c r="P39" s="3"/>
      <c r="Q39" s="3">
        <v>107.785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103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101</v>
      </c>
      <c r="O44" s="3"/>
      <c r="P44" s="3"/>
      <c r="Q44" s="3">
        <v>0.33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128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119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122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117</v>
      </c>
      <c r="O48" s="3"/>
      <c r="P48" s="3"/>
      <c r="Q48" s="3">
        <v>1.5489999999999999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107</v>
      </c>
      <c r="O49" s="3"/>
      <c r="P49" s="3"/>
      <c r="Q49" s="3">
        <v>1.5489999999999999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97</v>
      </c>
      <c r="O50" s="3"/>
      <c r="P50" s="3"/>
      <c r="Q50" s="3">
        <v>0.78</v>
      </c>
      <c r="R50" s="3" t="s">
        <v>98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110.947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95</v>
      </c>
      <c r="O52" s="3"/>
      <c r="P52" s="3"/>
      <c r="Q52" s="3">
        <v>28.245000000000001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96</v>
      </c>
      <c r="O53" s="3"/>
      <c r="P53" s="3"/>
      <c r="Q53" s="3">
        <v>130.279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103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101</v>
      </c>
      <c r="O58" s="3"/>
      <c r="P58" s="3"/>
      <c r="Q58" s="3">
        <v>0.51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130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123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117</v>
      </c>
      <c r="O62" s="3"/>
      <c r="P62" s="3"/>
      <c r="Q62" s="3">
        <v>1.8540000000000001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107</v>
      </c>
      <c r="O63" s="3"/>
      <c r="P63" s="3"/>
      <c r="Q63" s="3">
        <v>1.8540000000000001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97</v>
      </c>
      <c r="O64" s="3"/>
      <c r="P64" s="3"/>
      <c r="Q64" s="3">
        <v>0.95</v>
      </c>
      <c r="R64" s="3" t="s">
        <v>98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120.70099999999999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95</v>
      </c>
      <c r="O66" s="3"/>
      <c r="P66" s="3"/>
      <c r="Q66" s="3">
        <v>30.683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96</v>
      </c>
      <c r="O67" s="3"/>
      <c r="P67" s="3"/>
      <c r="Q67" s="3">
        <v>141.52600000000001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103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101</v>
      </c>
      <c r="O72" s="3"/>
      <c r="P72" s="3"/>
      <c r="Q72" s="3">
        <v>0.60099999999999998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131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125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120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117</v>
      </c>
      <c r="O76" s="3"/>
      <c r="P76" s="3"/>
      <c r="Q76" s="3">
        <v>1.5489999999999999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107</v>
      </c>
      <c r="O77" s="3"/>
      <c r="P77" s="3"/>
      <c r="Q77" s="3">
        <v>1.5489999999999999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97</v>
      </c>
      <c r="O78" s="3"/>
      <c r="P78" s="3"/>
      <c r="Q78" s="3">
        <v>0.81299999999999994</v>
      </c>
      <c r="R78" s="3" t="s">
        <v>98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113.386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95</v>
      </c>
      <c r="O80" s="3"/>
      <c r="P80" s="3"/>
      <c r="Q80" s="3">
        <v>28.853999999999999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96</v>
      </c>
      <c r="O81" s="3"/>
      <c r="P81" s="3"/>
      <c r="Q81" s="3">
        <v>133.09100000000001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114</v>
      </c>
      <c r="D82" s="3"/>
      <c r="E82" s="3" t="s">
        <v>114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103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114</v>
      </c>
      <c r="D83" s="3"/>
      <c r="E83" s="3" t="s">
        <v>114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114</v>
      </c>
      <c r="D84" s="3"/>
      <c r="E84" s="3" t="s">
        <v>114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114</v>
      </c>
      <c r="D85" s="3"/>
      <c r="E85" s="3" t="s">
        <v>114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114</v>
      </c>
      <c r="D86" s="3"/>
      <c r="E86" s="3" t="s">
        <v>114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101</v>
      </c>
      <c r="O86" s="3"/>
      <c r="P86" s="3"/>
      <c r="Q86" s="3">
        <v>0.51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114</v>
      </c>
      <c r="D87" s="3"/>
      <c r="E87" s="3" t="s">
        <v>114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129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114</v>
      </c>
      <c r="D88" s="3"/>
      <c r="E88" s="3" t="s">
        <v>114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126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117</v>
      </c>
      <c r="O90" s="3"/>
      <c r="P90" s="3"/>
      <c r="Q90" s="3">
        <v>1.8540000000000001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107</v>
      </c>
      <c r="O91" s="3"/>
      <c r="P91" s="3"/>
      <c r="Q91" s="3">
        <v>1.8540000000000001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97</v>
      </c>
      <c r="O92" s="3"/>
      <c r="P92" s="3"/>
      <c r="Q92" s="3">
        <v>0.99</v>
      </c>
      <c r="R92" s="3" t="s">
        <v>98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123.139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95</v>
      </c>
      <c r="O94" s="3"/>
      <c r="P94" s="3"/>
      <c r="Q94" s="3">
        <v>31.292999999999999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96</v>
      </c>
      <c r="O95" s="3"/>
      <c r="P95" s="3"/>
      <c r="Q95" s="3">
        <v>144.33799999999999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103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101</v>
      </c>
      <c r="O100" s="3"/>
      <c r="P100" s="3"/>
      <c r="Q100" s="3">
        <v>0.60099999999999998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115</v>
      </c>
      <c r="D101" s="3"/>
      <c r="E101" s="3" t="s">
        <v>115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132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115</v>
      </c>
      <c r="D102" s="3"/>
      <c r="E102" s="3" t="s">
        <v>115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127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2026-06-02T03:32:18Z</dcterms:modified>
</cp:coreProperties>
</file>