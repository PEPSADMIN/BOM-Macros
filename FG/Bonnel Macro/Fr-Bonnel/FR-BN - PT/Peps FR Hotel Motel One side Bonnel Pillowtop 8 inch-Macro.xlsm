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5" i="13" l="1"/>
  <c r="G4" i="13"/>
  <c r="H4" i="13" s="1"/>
  <c r="G3" i="13"/>
  <c r="G13" i="13" l="1"/>
  <c r="H14" i="13" l="1"/>
  <c r="H13" i="13"/>
  <c r="H12" i="13"/>
  <c r="H11" i="13"/>
  <c r="H10" i="13"/>
  <c r="H9" i="13"/>
  <c r="G8" i="13"/>
  <c r="H8" i="13" s="1"/>
  <c r="G7" i="13"/>
  <c r="H7" i="13" s="1"/>
  <c r="G6" i="13"/>
  <c r="H6" i="13" s="1"/>
  <c r="H5" i="13"/>
  <c r="H3" i="13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<sst xmlns="http://schemas.openxmlformats.org/spreadsheetml/2006/main" count="11047" uniqueCount="338">
  <si>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</si>
  <si>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</si>
  <si>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</si>
  <si>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</si>
  <si>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</si>
  <si>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</si>
  <si>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</si>
  <si>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</si>
  <si>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</si>
  <si>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</si>
  <si>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</si>
  <si>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</si>
  <si>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</si>
  <si>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</si>
  <si>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</si>
  <si>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</si>
  <si>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</si>
  <si>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</si>
  <si>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</si>
  <si>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</si>
  <si>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</si>
  <si>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</si>
  <si>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</si>
  <si>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</si>
  <si>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</si>
  <si>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</si>
  <si>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</si>
  <si>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</si>
  <si>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</si>
  <si>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</si>
  <si>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</si>
  <si>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</si>
  <si>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</si>
  <si>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</si>
  <si>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</si>
  <si>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</si>
  <si>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</si>
  <si>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</si>
  <si>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</si>
  <si>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</si>
  <si>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</si>
  <si>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</si>
  <si>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</si>
  <si>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</si>
  <si>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</si>
  <si>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</si>
  <si>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</si>
  <si>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</si>
  <si>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</si>
  <si>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</si>
  <si>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</si>
  <si>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</si>
  <si>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</si>
  <si>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</si>
  <si>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</si>
  <si>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</si>
  <si>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</si>
  <si>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</si>
  <si>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</si>
  <si>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</si>
  <si>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</si>
  <si>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</si>
  <si>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</si>
  <si>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</si>
  <si>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</si>
  <si>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</si>
  <si>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</si>
  <si>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</si>
  <si>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</si>
  <si>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</si>
  <si>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</si>
  <si>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</si>
  <si>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</si>
  <si>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</si>
  <si>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</si>
  <si>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</si>
  <si>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</si>
  <si>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</si>
  <si>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</si>
  <si>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</si>
  <si>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</si>
  <si>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</si>
  <si>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</si>
  <si>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</si>
  <si>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</si>
  <si>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</si>
  <si>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</si>
  <si>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</si>
  <si>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</si>
  <si>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</si>
  <si>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</si>
  <si>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</si>
  <si>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</si>
  <si>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</si>
  <si>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</si>
  <si>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</si>
  <si>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</si>
  <si>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</si>
  <si>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</si>
  <si>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</si>
  <si>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</si>
  <si>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</si>
  <si>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</si>
  <si>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</si>
  <si>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</si>
  <si>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</si>
  <si>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</si>
  <si>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</si>
  <si>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</si>
  <si>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</si>
  <si>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RML-CS-PL-8.5</t>
  </si>
  <si>
    <t>SFG-RTHTMTRG-BONPOC-QUILT</t>
  </si>
  <si>
    <t>SFG-RTHTMTRG-BONPOC-BP</t>
  </si>
  <si>
    <t>RTHTMTBNOPT72X33X08</t>
  </si>
  <si>
    <t>RTHTMTBNOPT72X39X08</t>
  </si>
  <si>
    <t>RTHTMTBNOPT72X45X08</t>
  </si>
  <si>
    <t>RTHTMTBNOPT72X51X08</t>
  </si>
  <si>
    <t>RTHTMTBNOPT72X54X08</t>
  </si>
  <si>
    <t>RTHTMTBNOPT72X57X08</t>
  </si>
  <si>
    <t>RTHTMTBNOPT72X63X08</t>
  </si>
  <si>
    <t>RTHTMTBNOPT72X69X08</t>
  </si>
  <si>
    <t>RTHTMTBNOPT75X33X08</t>
  </si>
  <si>
    <t>RTHTMTBNOPT75X39X08</t>
  </si>
  <si>
    <t>RTHTMTBNOPT75X45X08</t>
  </si>
  <si>
    <t>RTHTMTBNOPT75X51X08</t>
  </si>
  <si>
    <t>RTHTMTBNOPT75X54X08</t>
  </si>
  <si>
    <t>RTHTMTBNOPT75X57X08</t>
  </si>
  <si>
    <t>RTHTMTBNOPT75X63X08</t>
  </si>
  <si>
    <t>RTHTMTBNOPT75X69X08</t>
  </si>
  <si>
    <t>RTHTMTBNOPT78X33X08</t>
  </si>
  <si>
    <t>RTHTMTBNOPT78X39X08</t>
  </si>
  <si>
    <t>RTHTMTBNOPT78X45X08</t>
  </si>
  <si>
    <t>RTHTMTBNOPT78X51X08</t>
  </si>
  <si>
    <t>RTHTMTBNOPT78X54X08</t>
  </si>
  <si>
    <t>RTHTMTBNOPT78X57X08</t>
  </si>
  <si>
    <t>RTHTMTBNOPT78X63X08</t>
  </si>
  <si>
    <t>RTHTMTBNOPT78X69X08</t>
  </si>
  <si>
    <t>RTHTMTBNOPT80X33X08</t>
  </si>
  <si>
    <t>RTHTMTBNOPT80X39X08</t>
  </si>
  <si>
    <t>RTHTMTBNOPT80X45X08</t>
  </si>
  <si>
    <t>RTHTMTBNOPT80X51X08</t>
  </si>
  <si>
    <t>RTHTMTBNOPT80X54X08</t>
  </si>
  <si>
    <t>RTHTMTBNOPT80X57X08</t>
  </si>
  <si>
    <t>RTHTMTBNOPT80X63X08</t>
  </si>
  <si>
    <t>RTHTMTBNOPT80X69X08</t>
  </si>
  <si>
    <t>RTHTMTBNOPT84X33X08</t>
  </si>
  <si>
    <t>RTHTMTBNOPT84X39X08</t>
  </si>
  <si>
    <t>RTHTMTBNOPT84X45X08</t>
  </si>
  <si>
    <t>RTHTMTBNOPT84X51X08</t>
  </si>
  <si>
    <t>RTHTMTBNOPT84X54X08</t>
  </si>
  <si>
    <t>RTHTMTBNOPT84X57X08</t>
  </si>
  <si>
    <t>RTHTMTBNOPT84X63X08</t>
  </si>
  <si>
    <t>RTHTMTBNOPT84X69X08</t>
  </si>
  <si>
    <t>RTHTMTBNOPT72X30X08</t>
  </si>
  <si>
    <t>RTHTMTBNOPT72X36X08</t>
  </si>
  <si>
    <t>RTHTMTBNOPT72X42X08</t>
  </si>
  <si>
    <t>RTHTMTBNOPT72X48X08</t>
  </si>
  <si>
    <t>RTHTMTBNOPT72X60X08</t>
  </si>
  <si>
    <t>RTHTMTBNOPT72X66X08</t>
  </si>
  <si>
    <t>RTHTMTBNOPT72X72X08</t>
  </si>
  <si>
    <t>RTHTMTBNOPT75X30X08</t>
  </si>
  <si>
    <t>RTHTMTBNOPT75X36X08</t>
  </si>
  <si>
    <t>RTHTMTBNOPT75X42X08</t>
  </si>
  <si>
    <t>RTHTMTBNOPT75X48X08</t>
  </si>
  <si>
    <t>RTHTMTBNOPT75X60X08</t>
  </si>
  <si>
    <t>RTHTMTBNOPT75X66X08</t>
  </si>
  <si>
    <t>RTHTMTBNOPT75X72X08</t>
  </si>
  <si>
    <t>RTHTMTBNOPT78X30X08</t>
  </si>
  <si>
    <t>RTHTMTBNOPT78X36X08</t>
  </si>
  <si>
    <t>RTHTMTBNOPT78X42X08</t>
  </si>
  <si>
    <t>RTHTMTBNOPT78X48X08</t>
  </si>
  <si>
    <t>RTHTMTBNOPT78X60X08</t>
  </si>
  <si>
    <t>RTHTMTBNOPT78X66X08</t>
  </si>
  <si>
    <t>RTHTMTBNOPT78X72X08</t>
  </si>
  <si>
    <t>RTHTMTBNOPT80X30X08</t>
  </si>
  <si>
    <t>RTHTMTBNOPT80X36X08</t>
  </si>
  <si>
    <t>RTHTMTBNOPT80X42X08</t>
  </si>
  <si>
    <t>RTHTMTBNOPT80X48X08</t>
  </si>
  <si>
    <t>RTHTMTBNOPT80X60X08</t>
  </si>
  <si>
    <t>RTHTMTBNOPT80X66X08</t>
  </si>
  <si>
    <t>RTHTMTBNOPT80X72X08</t>
  </si>
  <si>
    <t>RTHTMTBNOPT84X30X08</t>
  </si>
  <si>
    <t>RTHTMTBNOPT84X36X08</t>
  </si>
  <si>
    <t>RTHTMTBNOPT84X42X08</t>
  </si>
  <si>
    <t>RTHTMTBNOPT84X48X08</t>
  </si>
  <si>
    <t>RTHTMTBNOPT84X60X08</t>
  </si>
  <si>
    <t>RTHTMTBNOPT84X66X08</t>
  </si>
  <si>
    <t>RTHTMTBNOPT84X72X08</t>
  </si>
  <si>
    <t>60D-RB-MAT-FOAM-67X28X15MM</t>
  </si>
  <si>
    <t>60D-RB-MAT-FOAM-67X34X15MM</t>
  </si>
  <si>
    <t>60D-RB-MAT-FOAM-67X40X15MM</t>
  </si>
  <si>
    <t>60D-RB-MAT-FOAM-67X46X15MM</t>
  </si>
  <si>
    <t>60D-RB-MAT-FOAM-67X49X15MM</t>
  </si>
  <si>
    <t>60D-RB-MAT-FOAM-67X52X15MM</t>
  </si>
  <si>
    <t>60D-RB-MAT-FOAM-67X58X15MM</t>
  </si>
  <si>
    <t>60D-RB-MAT-FOAM-67X64X15MM</t>
  </si>
  <si>
    <t>60D-RB-MAT-FOAM-70X28X15MM</t>
  </si>
  <si>
    <t>60D-RB-MAT-FOAM-70X34X15MM</t>
  </si>
  <si>
    <t>60D-RB-MAT-FOAM-70X40X15MM</t>
  </si>
  <si>
    <t>60D-RB-MAT-FOAM-70X46X15MM</t>
  </si>
  <si>
    <t>60D-RB-MAT-FOAM-70X49X15MM</t>
  </si>
  <si>
    <t>60D-RB-MAT-FOAM-70X52X15MM</t>
  </si>
  <si>
    <t>60D-RB-MAT-FOAM-70X58X15MM</t>
  </si>
  <si>
    <t>60D-RB-MAT-FOAM-70X64X15MM</t>
  </si>
  <si>
    <t>60D-RB-MAT-FOAM-73X28X15MM</t>
  </si>
  <si>
    <t>60D-RB-MAT-FOAM-73X34X15MM</t>
  </si>
  <si>
    <t>60D-RB-MAT-FOAM-73X40X15MM</t>
  </si>
  <si>
    <t>60D-RB-MAT-FOAM-73X46X15MM</t>
  </si>
  <si>
    <t>60D-RB-MAT-FOAM-73X49X15MM</t>
  </si>
  <si>
    <t>60D-RB-MAT-FOAM-73X52X15MM</t>
  </si>
  <si>
    <t>60D-RB-MAT-FOAM-73X58X15MM</t>
  </si>
  <si>
    <t>60D-RB-MAT-FOAM-73X64X15MM</t>
  </si>
  <si>
    <t>60D-RB-MAT-FOAM-75X28X15MM</t>
  </si>
  <si>
    <t>60D-RB-MAT-FOAM-75X34X15MM</t>
  </si>
  <si>
    <t>60D-RB-MAT-FOAM-75X40X15MM</t>
  </si>
  <si>
    <t>60D-RB-MAT-FOAM-75X46X15MM</t>
  </si>
  <si>
    <t>60D-RB-MAT-FOAM-75X49X15MM</t>
  </si>
  <si>
    <t>60D-RB-MAT-FOAM-75X52X15MM</t>
  </si>
  <si>
    <t>60D-RB-MAT-FOAM-75X58X15MM</t>
  </si>
  <si>
    <t>60D-RB-MAT-FOAM-75X64X15MM</t>
  </si>
  <si>
    <t>60D-RB-MAT-FOAM-79X28X15MM</t>
  </si>
  <si>
    <t>60D-RB-MAT-FOAM-79X34X15MM</t>
  </si>
  <si>
    <t>60D-RB-MAT-FOAM-79X40X15MM</t>
  </si>
  <si>
    <t>60D-RB-MAT-FOAM-79X46X15MM</t>
  </si>
  <si>
    <t>60D-RB-MAT-FOAM-79X49X15MM</t>
  </si>
  <si>
    <t>60D-RB-MAT-FOAM-79X52X15MM</t>
  </si>
  <si>
    <t>60D-RB-MAT-FOAM-79X58X15MM</t>
  </si>
  <si>
    <t>60D-RB-MAT-FOAM-79X64X15MM</t>
  </si>
  <si>
    <t>60D-RB-MAT-FOAM-67X25X15MM</t>
  </si>
  <si>
    <t>60D-RB-MAT-FOAM-67X31X15MM</t>
  </si>
  <si>
    <t>60D-RB-MAT-FOAM-67X37X15MM</t>
  </si>
  <si>
    <t>60D-RB-MAT-FOAM-67X43X15MM</t>
  </si>
  <si>
    <t>60D-RB-MAT-FOAM-67X55X15MM</t>
  </si>
  <si>
    <t>60D-RB-MAT-FOAM-67X61X15MM</t>
  </si>
  <si>
    <t>60D-RB-MAT-FOAM-67X67X15MM</t>
  </si>
  <si>
    <t>60D-RB-MAT-FOAM-70X25X15MM</t>
  </si>
  <si>
    <t>60D-RB-MAT-FOAM-70X31X15MM</t>
  </si>
  <si>
    <t>60D-RB-MAT-FOAM-70X37X15MM</t>
  </si>
  <si>
    <t>60D-RB-MAT-FOAM-70X43X15MM</t>
  </si>
  <si>
    <t>60D-RB-MAT-FOAM-70X55X15MM</t>
  </si>
  <si>
    <t>60D-RB-MAT-FOAM-70X61X15MM</t>
  </si>
  <si>
    <t>60D-RB-MAT-FOAM-70X67X15MM</t>
  </si>
  <si>
    <t>60D-RB-MAT-FOAM-73X25X15MM</t>
  </si>
  <si>
    <t>60D-RB-MAT-FOAM-73X31X15MM</t>
  </si>
  <si>
    <t>60D-RB-MAT-FOAM-73X37X15MM</t>
  </si>
  <si>
    <t>60D-RB-MAT-FOAM-73X43X15MM</t>
  </si>
  <si>
    <t>60D-RB-MAT-FOAM-73X55X15MM</t>
  </si>
  <si>
    <t>60D-RB-MAT-FOAM-73X61X15MM</t>
  </si>
  <si>
    <t>60D-RB-MAT-FOAM-73X67X15MM</t>
  </si>
  <si>
    <t>60D-RB-MAT-FOAM-75X25X15MM</t>
  </si>
  <si>
    <t>60D-RB-MAT-FOAM-75X31X15MM</t>
  </si>
  <si>
    <t>60D-RB-MAT-FOAM-75X37X15MM</t>
  </si>
  <si>
    <t>60D-RB-MAT-FOAM-75X43X15MM</t>
  </si>
  <si>
    <t>60D-RB-MAT-FOAM-75X55X15MM</t>
  </si>
  <si>
    <t>60D-RB-MAT-FOAM-75X61X15MM</t>
  </si>
  <si>
    <t>60D-RB-MAT-FOAM-75X67X15MM</t>
  </si>
  <si>
    <t>60D-RB-MAT-FOAM-79X25X15MM</t>
  </si>
  <si>
    <t>60D-RB-MAT-FOAM-79X31X15MM</t>
  </si>
  <si>
    <t>60D-RB-MAT-FOAM-79X37X15MM</t>
  </si>
  <si>
    <t>60D-RB-MAT-FOAM-79X43X15MM</t>
  </si>
  <si>
    <t>60D-RB-MAT-FOAM-79X55X15MM</t>
  </si>
  <si>
    <t>60D-RB-MAT-FOAM-79X61X15MM</t>
  </si>
  <si>
    <t>60D-RB-MAT-FOAM-79X67X15MM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</si>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</sst>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88525</xdr:colOff>
      <xdr:row>4</xdr:row>
      <xdr:rowOff>156881</xdr:rowOff>
    </xdr:from>
    <xdr:to>
      <xdr:col>15</xdr:col>
      <xdr:colOff>401169</xdr:colOff>
      <xdr:row>8</xdr:row>
      <xdr:rowOff>90206</xdr:rowOff>
    </xdr:to>
    <xdr:sp macro="[0]!Macro1" textlink="">
      <xdr:nvSpPr>
        <xdr:cNvPr id="4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22172" y="918881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19" sqref="F1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3" style="15" bestFit="1" customWidth="1"/>
    <col min="5" max="5" width="30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"RTHTMTBNOPT"&amp;$K$2&amp;"X"&amp;$L$2&amp;"X"&amp;IF($M$2=10,$M$2,"0"&amp;$M$2)</f>
        <v>RTHTMTBNOPT75X36X08</v>
      </c>
      <c r="E2" s="1" t="str">
        <f>"OEBOXBNSR"&amp;(K2-0.5)&amp;"0"&amp;"X"&amp;(L2-0.5)&amp;"0"&amp;"X"&amp;IF(M2=6,"100",IF(M2=8,"180",IF(M2=10,"180",0)))</f>
        <v>OEBOXBNSR74.50X35.50X180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8</v>
      </c>
      <c r="N2" s="6"/>
      <c r="P2" s="4" t="s">
        <v>91</v>
      </c>
      <c r="R2" s="29" t="s">
        <v>92</v>
      </c>
      <c r="S2" s="29" t="s">
        <v>93</v>
      </c>
      <c r="T2" s="29">
        <v>8</v>
      </c>
      <c r="U2" s="30" t="s">
        <v>108</v>
      </c>
    </row>
    <row r="3" spans="1:21" s="17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"RTHTMTBNOPT"&amp;$K$2&amp;"X"&amp;$L$2&amp;"X"&amp;IF($M$2=10,$M$2,"0"&amp;$M$2)</f>
        <v>RTHTMTBNOPT75X36X08</v>
      </c>
      <c r="E3" s="37" t="s">
        <v>111</v>
      </c>
      <c r="F3" s="11" t="s">
        <v>15</v>
      </c>
      <c r="G3" s="10">
        <f>IF(K2&lt;79,(L2+1),IF(L2&lt;37,(K2+1),(K2+1)))*0.0254</f>
        <v>0.93979999999999997</v>
      </c>
      <c r="H3" s="10">
        <f t="shared" ref="H3:H4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8</v>
      </c>
      <c r="U3" s="30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RTHTMTBNOPT75X36X08</v>
      </c>
      <c r="E4" s="38" t="s">
        <v>112</v>
      </c>
      <c r="F4" s="11" t="s">
        <v>15</v>
      </c>
      <c r="G4" s="19">
        <f>IF(K2&lt;79,(L2+1),IF(L2&lt;37,(K2+1),(K2+1)))*0.0254</f>
        <v>0.93979999999999997</v>
      </c>
      <c r="H4" s="10">
        <f t="shared" si="2"/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8</v>
      </c>
      <c r="U4" s="30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RTHTMTBNOPT75X36X08</v>
      </c>
      <c r="E5" s="33" t="s">
        <v>105</v>
      </c>
      <c r="F5" s="8" t="s">
        <v>106</v>
      </c>
      <c r="G5" s="10">
        <f>((K2-5)*(L2-5)/144)*0.00729*3</f>
        <v>0.32956874999999997</v>
      </c>
      <c r="H5" s="10">
        <f t="shared" ref="H5:H14" si="3">ROUND(G5,3)</f>
        <v>0.33</v>
      </c>
      <c r="I5" s="8" t="s">
        <v>14</v>
      </c>
      <c r="J5" s="12"/>
      <c r="O5" s="17"/>
      <c r="R5" s="29" t="s">
        <v>92</v>
      </c>
      <c r="S5" s="29" t="s">
        <v>96</v>
      </c>
      <c r="T5" s="29">
        <v>8</v>
      </c>
      <c r="U5" s="30" t="s">
        <v>108</v>
      </c>
    </row>
    <row r="6" spans="1:21" x14ac:dyDescent="0.25">
      <c r="A6" s="36">
        <v>5</v>
      </c>
      <c r="B6" s="7" t="s">
        <v>17</v>
      </c>
      <c r="C6" s="7" t="s">
        <v>17</v>
      </c>
      <c r="D6" s="7" t="str">
        <f t="shared" si="1"/>
        <v>RTHTMTBNOPT75X36X08</v>
      </c>
      <c r="E6" s="34" t="s">
        <v>18</v>
      </c>
      <c r="F6" s="11" t="s">
        <v>15</v>
      </c>
      <c r="G6" s="10">
        <f>(K2+L2+1.5)*4*0.0254*8</f>
        <v>91.44</v>
      </c>
      <c r="H6" s="10">
        <f t="shared" si="3"/>
        <v>91.44</v>
      </c>
      <c r="I6" s="8" t="s">
        <v>14</v>
      </c>
      <c r="J6" s="12"/>
      <c r="R6" s="29" t="s">
        <v>92</v>
      </c>
      <c r="S6" s="29" t="s">
        <v>97</v>
      </c>
      <c r="T6" s="29">
        <v>8</v>
      </c>
      <c r="U6" s="30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RTHTMTBNOPT75X36X08</v>
      </c>
      <c r="E7" s="34" t="s">
        <v>107</v>
      </c>
      <c r="F7" s="11" t="s">
        <v>15</v>
      </c>
      <c r="G7" s="10">
        <f>(K2+L2+4)*2*0.0254*4</f>
        <v>23.367999999999999</v>
      </c>
      <c r="H7" s="10">
        <f t="shared" si="3"/>
        <v>23.367999999999999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8</v>
      </c>
      <c r="U7" s="30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1"/>
        <v>RTHTMTBNOPT75X36X08</v>
      </c>
      <c r="E8" s="34" t="s">
        <v>18</v>
      </c>
      <c r="F8" s="11" t="s">
        <v>15</v>
      </c>
      <c r="G8" s="10">
        <f>(K2+L2+4)*2*0.0254*(4.73+1.42)*4</f>
        <v>143.7132</v>
      </c>
      <c r="H8" s="10">
        <f t="shared" si="3"/>
        <v>143.71299999999999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8</v>
      </c>
      <c r="U8" s="30" t="s">
        <v>108</v>
      </c>
    </row>
    <row r="9" spans="1:21" x14ac:dyDescent="0.25">
      <c r="A9" s="36">
        <v>8</v>
      </c>
      <c r="B9" s="7" t="s">
        <v>20</v>
      </c>
      <c r="C9" s="34" t="s">
        <v>20</v>
      </c>
      <c r="D9" s="7" t="str">
        <f t="shared" si="1"/>
        <v>RTHTMTBNOPT75X36X08</v>
      </c>
      <c r="E9" s="34" t="s">
        <v>110</v>
      </c>
      <c r="F9" s="11" t="s">
        <v>11</v>
      </c>
      <c r="G9" s="10">
        <v>4</v>
      </c>
      <c r="H9" s="10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8</v>
      </c>
      <c r="U9" s="30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1"/>
        <v>RTHTMTBNOPT75X36X08</v>
      </c>
      <c r="E10" s="34" t="s">
        <v>21</v>
      </c>
      <c r="F10" s="11" t="s">
        <v>11</v>
      </c>
      <c r="G10" s="10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8</v>
      </c>
      <c r="U10" s="30" t="s">
        <v>108</v>
      </c>
    </row>
    <row r="11" spans="1:21" x14ac:dyDescent="0.25">
      <c r="A11" s="36">
        <v>10</v>
      </c>
      <c r="B11" s="7" t="s">
        <v>20</v>
      </c>
      <c r="C11" s="34" t="s">
        <v>20</v>
      </c>
      <c r="D11" s="7" t="str">
        <f t="shared" si="1"/>
        <v>RTHTMTBNOPT75X36X08</v>
      </c>
      <c r="E11" s="34" t="s">
        <v>22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8</v>
      </c>
      <c r="U11" s="30" t="s">
        <v>108</v>
      </c>
    </row>
    <row r="12" spans="1:21" x14ac:dyDescent="0.25">
      <c r="A12" s="36">
        <v>11</v>
      </c>
      <c r="B12" s="7" t="s">
        <v>20</v>
      </c>
      <c r="C12" s="34" t="s">
        <v>20</v>
      </c>
      <c r="D12" s="7" t="str">
        <f t="shared" si="1"/>
        <v>RTHTMTBNOPT75X36X08</v>
      </c>
      <c r="E12" s="34" t="s">
        <v>23</v>
      </c>
      <c r="F12" s="11" t="s">
        <v>11</v>
      </c>
      <c r="G12" s="14">
        <v>1</v>
      </c>
      <c r="H12" s="10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8</v>
      </c>
      <c r="U12" s="30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1"/>
        <v>RTHTMTBNOPT75X36X08</v>
      </c>
      <c r="E13" s="9" t="s">
        <v>109</v>
      </c>
      <c r="F13" s="11" t="s">
        <v>13</v>
      </c>
      <c r="G13" s="10">
        <f>IF(K2&lt;79,((L2*2)+(M2*2)+4),((K2*2)+(M2*2)+4))*0.0254*89.5*0.0254*0.00005*1300</f>
        <v>0.34529608359999991</v>
      </c>
      <c r="H13" s="10">
        <f t="shared" si="3"/>
        <v>0.34499999999999997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8</v>
      </c>
      <c r="U13" s="30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RTHTMTBNOPT75X36X08</v>
      </c>
      <c r="E14" s="35" t="str">
        <f>"60D-RB-MAT-FOAM-"&amp;(K2-5)&amp;"X"&amp;(L2-5)&amp;"X15MM"</f>
        <v>60D-RB-MAT-FOAM-70X31X15MM</v>
      </c>
      <c r="F14" s="8" t="s">
        <v>11</v>
      </c>
      <c r="G14" s="14">
        <v>1</v>
      </c>
      <c r="H14" s="10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8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8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8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8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8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8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8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8</v>
      </c>
      <c r="U21" s="30" t="s">
        <v>108</v>
      </c>
    </row>
    <row r="22" spans="5:21" x14ac:dyDescent="0.25">
      <c r="G22" s="19"/>
      <c r="J22" s="12"/>
      <c r="N22"/>
      <c r="O22"/>
      <c r="R22" s="29" t="s">
        <v>102</v>
      </c>
      <c r="S22" s="29" t="s">
        <v>97</v>
      </c>
      <c r="T22" s="29">
        <v>8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8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8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8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8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8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8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8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8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8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8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8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8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8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8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8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8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8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8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8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/>
    </row>
    <row r="50" spans="14:21" x14ac:dyDescent="0.25">
      <c r="R50" s="29">
        <v>75</v>
      </c>
      <c r="S50" s="29">
        <v>36</v>
      </c>
      <c r="T50" s="29">
        <v>8</v>
      </c>
      <c r="U50" s="30"/>
    </row>
    <row r="51" spans="14:21" x14ac:dyDescent="0.25">
      <c r="R51" s="29">
        <v>75</v>
      </c>
      <c r="S51" s="29">
        <v>42</v>
      </c>
      <c r="T51" s="29">
        <v>8</v>
      </c>
      <c r="U51" s="30"/>
    </row>
    <row r="52" spans="14:21" x14ac:dyDescent="0.25">
      <c r="R52" s="29">
        <v>75</v>
      </c>
      <c r="S52" s="29">
        <v>48</v>
      </c>
      <c r="T52" s="29">
        <v>8</v>
      </c>
      <c r="U52" s="30"/>
    </row>
    <row r="53" spans="14:21" x14ac:dyDescent="0.25">
      <c r="R53" s="29">
        <v>75</v>
      </c>
      <c r="S53" s="29">
        <v>60</v>
      </c>
      <c r="T53" s="29">
        <v>8</v>
      </c>
      <c r="U53" s="30"/>
    </row>
    <row r="54" spans="14:21" x14ac:dyDescent="0.25">
      <c r="R54" s="29">
        <v>75</v>
      </c>
      <c r="S54" s="29">
        <v>66</v>
      </c>
      <c r="T54" s="29">
        <v>8</v>
      </c>
      <c r="U54" s="30"/>
    </row>
    <row r="55" spans="14:21" x14ac:dyDescent="0.25">
      <c r="R55" s="29">
        <v>75</v>
      </c>
      <c r="S55" s="29">
        <v>72</v>
      </c>
      <c r="T55" s="29">
        <v>8</v>
      </c>
      <c r="U55" s="30"/>
    </row>
    <row r="56" spans="14:21" x14ac:dyDescent="0.25">
      <c r="R56" s="29">
        <v>78</v>
      </c>
      <c r="S56" s="29">
        <v>30</v>
      </c>
      <c r="T56" s="29">
        <v>8</v>
      </c>
      <c r="U56" s="30"/>
    </row>
    <row r="57" spans="14:21" x14ac:dyDescent="0.25">
      <c r="R57" s="29">
        <v>78</v>
      </c>
      <c r="S57" s="29">
        <v>36</v>
      </c>
      <c r="T57" s="29">
        <v>8</v>
      </c>
      <c r="U57" s="30"/>
    </row>
    <row r="58" spans="14:21" x14ac:dyDescent="0.25">
      <c r="R58" s="29">
        <v>78</v>
      </c>
      <c r="S58" s="29">
        <v>42</v>
      </c>
      <c r="T58" s="29">
        <v>8</v>
      </c>
      <c r="U58" s="30"/>
    </row>
    <row r="59" spans="14:21" x14ac:dyDescent="0.25">
      <c r="R59" s="29">
        <v>78</v>
      </c>
      <c r="S59" s="29">
        <v>48</v>
      </c>
      <c r="T59" s="29">
        <v>8</v>
      </c>
      <c r="U59" s="30"/>
    </row>
    <row r="60" spans="14:21" x14ac:dyDescent="0.25">
      <c r="R60" s="29">
        <v>78</v>
      </c>
      <c r="S60" s="29">
        <v>60</v>
      </c>
      <c r="T60" s="29">
        <v>8</v>
      </c>
      <c r="U60" s="30"/>
    </row>
    <row r="61" spans="14:21" x14ac:dyDescent="0.25">
      <c r="R61" s="29">
        <v>78</v>
      </c>
      <c r="S61" s="29">
        <v>66</v>
      </c>
      <c r="T61" s="29">
        <v>8</v>
      </c>
      <c r="U61" s="30"/>
    </row>
    <row r="62" spans="14:21" x14ac:dyDescent="0.25">
      <c r="R62" s="29">
        <v>78</v>
      </c>
      <c r="S62" s="29">
        <v>72</v>
      </c>
      <c r="T62" s="29">
        <v>8</v>
      </c>
      <c r="U62" s="30"/>
    </row>
    <row r="63" spans="14:21" x14ac:dyDescent="0.25">
      <c r="R63" s="29">
        <v>80</v>
      </c>
      <c r="S63" s="29">
        <v>30</v>
      </c>
      <c r="T63" s="29">
        <v>8</v>
      </c>
      <c r="U63" s="30"/>
    </row>
    <row r="64" spans="14:21" x14ac:dyDescent="0.25">
      <c r="R64" s="29">
        <v>80</v>
      </c>
      <c r="S64" s="29">
        <v>36</v>
      </c>
      <c r="T64" s="29">
        <v>8</v>
      </c>
      <c r="U64" s="30"/>
    </row>
    <row r="65" spans="18:21" x14ac:dyDescent="0.25">
      <c r="R65" s="29">
        <v>80</v>
      </c>
      <c r="S65" s="29">
        <v>42</v>
      </c>
      <c r="T65" s="29">
        <v>8</v>
      </c>
      <c r="U65" s="30"/>
    </row>
    <row r="66" spans="18:21" x14ac:dyDescent="0.25">
      <c r="R66" s="29">
        <v>80</v>
      </c>
      <c r="S66" s="29">
        <v>48</v>
      </c>
      <c r="T66" s="29">
        <v>8</v>
      </c>
      <c r="U66" s="30"/>
    </row>
    <row r="67" spans="18:21" x14ac:dyDescent="0.25">
      <c r="R67" s="29">
        <v>80</v>
      </c>
      <c r="S67" s="29">
        <v>60</v>
      </c>
      <c r="T67" s="29">
        <v>8</v>
      </c>
      <c r="U67" s="30"/>
    </row>
    <row r="68" spans="18:21" x14ac:dyDescent="0.25">
      <c r="R68" s="29">
        <v>80</v>
      </c>
      <c r="S68" s="29">
        <v>66</v>
      </c>
      <c r="T68" s="29">
        <v>8</v>
      </c>
      <c r="U68" s="30"/>
    </row>
    <row r="69" spans="18:21" x14ac:dyDescent="0.25">
      <c r="R69" s="29">
        <v>80</v>
      </c>
      <c r="S69" s="29">
        <v>72</v>
      </c>
      <c r="T69" s="29">
        <v>8</v>
      </c>
      <c r="U69" s="30"/>
    </row>
    <row r="70" spans="18:21" x14ac:dyDescent="0.25">
      <c r="R70" s="29">
        <v>84</v>
      </c>
      <c r="S70" s="29">
        <v>30</v>
      </c>
      <c r="T70" s="29">
        <v>8</v>
      </c>
      <c r="U70" s="30"/>
    </row>
    <row r="71" spans="18:21" x14ac:dyDescent="0.25">
      <c r="R71" s="29">
        <v>84</v>
      </c>
      <c r="S71" s="29">
        <v>36</v>
      </c>
      <c r="T71" s="29">
        <v>8</v>
      </c>
      <c r="U71" s="30"/>
    </row>
    <row r="72" spans="18:21" x14ac:dyDescent="0.25">
      <c r="R72" s="29">
        <v>84</v>
      </c>
      <c r="S72" s="29">
        <v>42</v>
      </c>
      <c r="T72" s="29">
        <v>8</v>
      </c>
      <c r="U72" s="30"/>
    </row>
    <row r="73" spans="18:21" x14ac:dyDescent="0.25">
      <c r="R73" s="29">
        <v>84</v>
      </c>
      <c r="S73" s="29">
        <v>48</v>
      </c>
      <c r="T73" s="29">
        <v>8</v>
      </c>
      <c r="U73" s="30"/>
    </row>
    <row r="74" spans="18:21" x14ac:dyDescent="0.25">
      <c r="R74" s="29">
        <v>84</v>
      </c>
      <c r="S74" s="29">
        <v>60</v>
      </c>
      <c r="T74" s="29">
        <v>8</v>
      </c>
      <c r="U74" s="30"/>
    </row>
    <row r="75" spans="18:21" x14ac:dyDescent="0.25">
      <c r="R75" s="29">
        <v>84</v>
      </c>
      <c r="S75" s="29">
        <v>66</v>
      </c>
      <c r="T75" s="29">
        <v>8</v>
      </c>
      <c r="U75" s="30"/>
    </row>
    <row r="76" spans="18:21" x14ac:dyDescent="0.25">
      <c r="R76" s="29">
        <v>84</v>
      </c>
      <c r="S76" s="29">
        <v>72</v>
      </c>
      <c r="T76" s="29">
        <v>8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0.28499999999999998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0.32300000000000001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0.34599999999999997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23.367999999999999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143.71299999999999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0.36799999999999999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0.40699999999999997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24.587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151.21100000000001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109</v>
      </c>
      <c r="E39" t="s">
        <v>13</v>
      </c>
      <c r="F39">
        <v>0.41299999999999998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0.46800000000000003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25.806000000000001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158.709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109</v>
      </c>
      <c r="E52" t="s">
        <v>13</v>
      </c>
      <c r="F52">
        <v>0.45800000000000002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0.499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26.416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162.458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109</v>
      </c>
      <c r="E65" t="s">
        <v>13</v>
      </c>
      <c r="F65">
        <v>0.48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0.52900000000000003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27.026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166.20699999999999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109</v>
      </c>
      <c r="E78" t="s">
        <v>13</v>
      </c>
      <c r="F78">
        <v>0.503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0.59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28.245000000000001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173.70599999999999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109</v>
      </c>
      <c r="E91" t="s">
        <v>13</v>
      </c>
      <c r="F91">
        <v>0.54800000000000004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0.65100000000000002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29.463999999999999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181.20400000000001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109</v>
      </c>
      <c r="E104" t="s">
        <v>13</v>
      </c>
      <c r="F104">
        <v>0.59299999999999997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0.29799999999999999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22.757999999999999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139.964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109</v>
      </c>
      <c r="E117" t="s">
        <v>13</v>
      </c>
      <c r="F117">
        <v>0.32300000000000001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0.36099999999999999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23.978000000000002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147.46199999999999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109</v>
      </c>
      <c r="E130" t="s">
        <v>13</v>
      </c>
      <c r="F130">
        <v>0.36799999999999999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0.42499999999999999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25.196999999999999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154.96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109</v>
      </c>
      <c r="E143" t="s">
        <v>13</v>
      </c>
      <c r="F143">
        <v>0.41299999999999998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0.48899999999999999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26.416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162.458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109</v>
      </c>
      <c r="E156" t="s">
        <v>13</v>
      </c>
      <c r="F156">
        <v>0.45800000000000002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0.52100000000000002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27.026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166.20699999999999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109</v>
      </c>
      <c r="E169" t="s">
        <v>13</v>
      </c>
      <c r="F169">
        <v>0.48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0.55300000000000005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27.635000000000002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169.95599999999999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109</v>
      </c>
      <c r="E182" t="s">
        <v>13</v>
      </c>
      <c r="F182">
        <v>0.503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0.61699999999999999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28.853999999999999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177.45500000000001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109</v>
      </c>
      <c r="E195" t="s">
        <v>13</v>
      </c>
      <c r="F195">
        <v>0.54800000000000004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0.68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30.074000000000002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184.953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109</v>
      </c>
      <c r="E208" t="s">
        <v>13</v>
      </c>
      <c r="F208">
        <v>0.59299999999999997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0.31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23.367999999999999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143.71299999999999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109</v>
      </c>
      <c r="E221" t="s">
        <v>13</v>
      </c>
      <c r="F221">
        <v>0.32300000000000001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0.377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24.587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151.21100000000001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109</v>
      </c>
      <c r="E234" t="s">
        <v>13</v>
      </c>
      <c r="F234">
        <v>0.36799999999999999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0.443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25.806000000000001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158.709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109</v>
      </c>
      <c r="E247" t="s">
        <v>13</v>
      </c>
      <c r="F247">
        <v>0.41299999999999998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0.51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27.026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166.20699999999999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109</v>
      </c>
      <c r="E260" t="s">
        <v>13</v>
      </c>
      <c r="F260">
        <v>0.45800000000000002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0.54300000000000004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27.635000000000002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169.95599999999999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109</v>
      </c>
      <c r="E273" t="s">
        <v>13</v>
      </c>
      <c r="F273">
        <v>0.48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0.57699999999999996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28.245000000000001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173.70599999999999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109</v>
      </c>
      <c r="E286" t="s">
        <v>13</v>
      </c>
      <c r="F286">
        <v>0.503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0.64300000000000002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29.463999999999999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181.20400000000001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109</v>
      </c>
      <c r="E299" t="s">
        <v>13</v>
      </c>
      <c r="F299">
        <v>0.54800000000000004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0.71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30.683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188.702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109</v>
      </c>
      <c r="E312" t="s">
        <v>13</v>
      </c>
      <c r="F312">
        <v>0.59299999999999997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0.31900000000000001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23.774000000000001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146.21299999999999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109</v>
      </c>
      <c r="E325" t="s">
        <v>13</v>
      </c>
      <c r="F325">
        <v>0.67600000000000005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0.38700000000000001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24.994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153.71100000000001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109</v>
      </c>
      <c r="E338" t="s">
        <v>13</v>
      </c>
      <c r="F338">
        <v>0.67600000000000005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0.45600000000000002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26.213000000000001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161.209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109</v>
      </c>
      <c r="E351" t="s">
        <v>13</v>
      </c>
      <c r="F351">
        <v>0.67600000000000005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0.52400000000000002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27.431999999999999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168.70699999999999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109</v>
      </c>
      <c r="E364" t="s">
        <v>13</v>
      </c>
      <c r="F364">
        <v>0.67600000000000005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0.55800000000000005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28.042000000000002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172.45599999999999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109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0.59199999999999997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28.651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176.20500000000001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109</v>
      </c>
      <c r="E390" t="s">
        <v>13</v>
      </c>
      <c r="F390">
        <v>0.67600000000000005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0.66100000000000003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29.87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183.703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109</v>
      </c>
      <c r="E403" t="s">
        <v>13</v>
      </c>
      <c r="F403">
        <v>0.67600000000000005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0.72899999999999998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31.09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191.20099999999999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109</v>
      </c>
      <c r="E416" t="s">
        <v>13</v>
      </c>
      <c r="F416">
        <v>0.67600000000000005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0.33600000000000002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24.587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151.21100000000001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109</v>
      </c>
      <c r="E429" t="s">
        <v>13</v>
      </c>
      <c r="F429">
        <v>0.70599999999999996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0.40799999999999997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25.806000000000001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158.709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109</v>
      </c>
      <c r="E442" t="s">
        <v>13</v>
      </c>
      <c r="F442">
        <v>0.70599999999999996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0.48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27.026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166.20699999999999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109</v>
      </c>
      <c r="E455" t="s">
        <v>13</v>
      </c>
      <c r="F455">
        <v>0.70599999999999996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0.55200000000000005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28.245000000000001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173.70599999999999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109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0.58799999999999997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28.853999999999999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177.45500000000001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109</v>
      </c>
      <c r="E481" t="s">
        <v>13</v>
      </c>
      <c r="F481">
        <v>0.70599999999999996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0.624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29.463999999999999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181.20400000000001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109</v>
      </c>
      <c r="E494" t="s">
        <v>13</v>
      </c>
      <c r="F494">
        <v>0.70599999999999996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0.69599999999999995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30.683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188.702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109</v>
      </c>
      <c r="E507" t="s">
        <v>13</v>
      </c>
      <c r="F507">
        <v>0.70599999999999996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0.76800000000000002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31.902000000000001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196.2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109</v>
      </c>
      <c r="E520" t="s">
        <v>13</v>
      </c>
      <c r="F520">
        <v>0.70599999999999996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0.254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21.539000000000001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132.46600000000001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109</v>
      </c>
      <c r="E533" t="s">
        <v>13</v>
      </c>
      <c r="F533">
        <v>0.3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0.315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22.757999999999999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139.964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109</v>
      </c>
      <c r="E546" t="s">
        <v>13</v>
      </c>
      <c r="F546">
        <v>0.34499999999999997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0.376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23.978000000000002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147.46199999999999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109</v>
      </c>
      <c r="E559" t="s">
        <v>13</v>
      </c>
      <c r="F559">
        <v>0.39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0.438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25.196999999999999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154.96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109</v>
      </c>
      <c r="E572" t="s">
        <v>13</v>
      </c>
      <c r="F572">
        <v>0.435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0.56000000000000005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27.635000000000002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169.95599999999999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109</v>
      </c>
      <c r="E585" t="s">
        <v>13</v>
      </c>
      <c r="F585">
        <v>0.52500000000000002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0.621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28.853999999999999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177.45500000000001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109</v>
      </c>
      <c r="E598" t="s">
        <v>13</v>
      </c>
      <c r="F598">
        <v>0.56999999999999995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0.68200000000000005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30.074000000000002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184.953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109</v>
      </c>
      <c r="E611" t="s">
        <v>13</v>
      </c>
      <c r="F611">
        <v>0.61599999999999999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0.26600000000000001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22.149000000000001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136.215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109</v>
      </c>
      <c r="E624" t="s">
        <v>13</v>
      </c>
      <c r="F624">
        <v>0.3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0.33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23.367999999999999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143.71299999999999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109</v>
      </c>
      <c r="E637" t="s">
        <v>13</v>
      </c>
      <c r="F637">
        <v>0.34499999999999997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0.39300000000000002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24.587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151.21100000000001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109</v>
      </c>
      <c r="E650" t="s">
        <v>13</v>
      </c>
      <c r="F650">
        <v>0.39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0.45700000000000002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25.806000000000001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158.709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109</v>
      </c>
      <c r="E663" t="s">
        <v>13</v>
      </c>
      <c r="F663">
        <v>0.435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0.58499999999999996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28.245000000000001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173.70599999999999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109</v>
      </c>
      <c r="E676" t="s">
        <v>13</v>
      </c>
      <c r="F676">
        <v>0.52500000000000002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0.64900000000000002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29.463999999999999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181.20400000000001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109</v>
      </c>
      <c r="E689" t="s">
        <v>13</v>
      </c>
      <c r="F689">
        <v>0.56999999999999995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0.71199999999999997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30.683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188.702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109</v>
      </c>
      <c r="E702" t="s">
        <v>13</v>
      </c>
      <c r="F702">
        <v>0.61599999999999999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0.27700000000000002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22.757999999999999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139.964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109</v>
      </c>
      <c r="E715" t="s">
        <v>13</v>
      </c>
      <c r="F715">
        <v>0.3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0.34399999999999997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23.978000000000002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109</v>
      </c>
      <c r="E728" t="s">
        <v>13</v>
      </c>
      <c r="F728">
        <v>0.34499999999999997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0.41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25.196999999999999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154.96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109</v>
      </c>
      <c r="E741" t="s">
        <v>13</v>
      </c>
      <c r="F741">
        <v>0.39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0.47699999999999998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26.416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162.458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109</v>
      </c>
      <c r="E754" t="s">
        <v>13</v>
      </c>
      <c r="F754">
        <v>0.435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0.61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28.853999999999999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177.45500000000001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109</v>
      </c>
      <c r="E767" t="s">
        <v>13</v>
      </c>
      <c r="F767">
        <v>0.52500000000000002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0.67600000000000005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30.074000000000002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184.953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109</v>
      </c>
      <c r="E780" t="s">
        <v>13</v>
      </c>
      <c r="F780">
        <v>0.56999999999999995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0.74299999999999999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31.292999999999999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192.45099999999999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109</v>
      </c>
      <c r="E793" t="s">
        <v>13</v>
      </c>
      <c r="F793">
        <v>0.61599999999999999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0.28499999999999998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23.164999999999999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142.464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109</v>
      </c>
      <c r="E806" t="s">
        <v>13</v>
      </c>
      <c r="F806">
        <v>0.67600000000000005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0.35299999999999998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24.384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149.96199999999999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109</v>
      </c>
      <c r="E819" t="s">
        <v>13</v>
      </c>
      <c r="F819">
        <v>0.67600000000000005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0.42099999999999999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25.603000000000002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157.46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109</v>
      </c>
      <c r="E832" t="s">
        <v>13</v>
      </c>
      <c r="F832">
        <v>0.67600000000000005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0.49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26.821999999999999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164.958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109</v>
      </c>
      <c r="E845" t="s">
        <v>13</v>
      </c>
      <c r="F845">
        <v>0.67600000000000005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0.626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29.260999999999999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179.95400000000001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109</v>
      </c>
      <c r="E858" t="s">
        <v>13</v>
      </c>
      <c r="F858">
        <v>0.67600000000000005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0.69499999999999995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30.48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187.452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109</v>
      </c>
      <c r="E871" t="s">
        <v>13</v>
      </c>
      <c r="F871">
        <v>0.67600000000000005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0.76300000000000001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31.699000000000002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194.95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109</v>
      </c>
      <c r="E884" t="s">
        <v>13</v>
      </c>
      <c r="F884">
        <v>0.67600000000000005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0.3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23.978000000000002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147.46199999999999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109</v>
      </c>
      <c r="E897" t="s">
        <v>13</v>
      </c>
      <c r="F897">
        <v>0.70599999999999996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0.372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25.196999999999999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154.96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109</v>
      </c>
      <c r="E910" t="s">
        <v>13</v>
      </c>
      <c r="F910">
        <v>0.70599999999999996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0.44400000000000001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26.416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109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0.51600000000000001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27.635000000000002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169.95599999999999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109</v>
      </c>
      <c r="E936" t="s">
        <v>13</v>
      </c>
      <c r="F936">
        <v>0.70599999999999996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0.66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30.074000000000002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184.953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109</v>
      </c>
      <c r="E949" t="s">
        <v>13</v>
      </c>
      <c r="F949">
        <v>0.70599999999999996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0.73199999999999998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31.292999999999999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192.45099999999999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109</v>
      </c>
      <c r="E962" t="s">
        <v>13</v>
      </c>
      <c r="F962">
        <v>0.70599999999999996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0.80400000000000005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32.512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199.94900000000001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109</v>
      </c>
      <c r="E975" t="s">
        <v>13</v>
      </c>
      <c r="F975">
        <v>0.70599999999999996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26</v>
      </c>
      <c r="B1" s="42" t="s">
        <v>27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28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29</v>
      </c>
      <c r="C2" s="39" t="s">
        <v>30</v>
      </c>
      <c r="D2" s="39" t="s">
        <v>31</v>
      </c>
      <c r="E2" s="39" t="s">
        <v>30</v>
      </c>
      <c r="F2" s="39" t="s">
        <v>31</v>
      </c>
      <c r="G2" s="39" t="s">
        <v>29</v>
      </c>
      <c r="H2" s="39" t="s">
        <v>31</v>
      </c>
      <c r="I2" s="39" t="s">
        <v>31</v>
      </c>
      <c r="J2" s="39" t="s">
        <v>31</v>
      </c>
      <c r="K2" s="39" t="s">
        <v>31</v>
      </c>
      <c r="L2" s="39" t="s">
        <v>29</v>
      </c>
      <c r="M2" s="40" t="s">
        <v>32</v>
      </c>
      <c r="N2" s="22" t="s">
        <v>32</v>
      </c>
      <c r="O2" s="40" t="s">
        <v>32</v>
      </c>
      <c r="P2" s="40" t="s">
        <v>33</v>
      </c>
      <c r="Q2" s="40" t="s">
        <v>32</v>
      </c>
      <c r="R2" s="40" t="s">
        <v>33</v>
      </c>
      <c r="S2" s="40" t="s">
        <v>32</v>
      </c>
      <c r="T2" s="40" t="s">
        <v>32</v>
      </c>
      <c r="U2" s="40" t="s">
        <v>33</v>
      </c>
      <c r="V2" s="40" t="s">
        <v>32</v>
      </c>
      <c r="W2" s="40" t="s">
        <v>32</v>
      </c>
      <c r="X2" s="40" t="s">
        <v>32</v>
      </c>
      <c r="Y2" s="40" t="s">
        <v>33</v>
      </c>
      <c r="Z2" s="40" t="s">
        <v>34</v>
      </c>
      <c r="AA2" s="40" t="s">
        <v>32</v>
      </c>
      <c r="AB2" s="40" t="s">
        <v>32</v>
      </c>
      <c r="AC2" s="40" t="s">
        <v>32</v>
      </c>
      <c r="AD2" s="40" t="s">
        <v>32</v>
      </c>
      <c r="AE2" s="40" t="s">
        <v>32</v>
      </c>
      <c r="AF2" s="40" t="s">
        <v>32</v>
      </c>
      <c r="AG2" s="40" t="s">
        <v>34</v>
      </c>
      <c r="AH2" s="40" t="s">
        <v>34</v>
      </c>
      <c r="AI2" s="40" t="s">
        <v>34</v>
      </c>
      <c r="AJ2" s="40" t="s">
        <v>32</v>
      </c>
      <c r="AK2" s="40" t="s">
        <v>32</v>
      </c>
      <c r="AL2" s="40" t="s">
        <v>32</v>
      </c>
    </row>
    <row r="3" spans="1:38" x14ac:dyDescent="0.25">
      <c r="A3" s="41"/>
      <c r="B3" s="39" t="s">
        <v>35</v>
      </c>
      <c r="C3" s="39" t="s">
        <v>36</v>
      </c>
      <c r="D3" s="39" t="s">
        <v>37</v>
      </c>
      <c r="E3" s="39" t="s">
        <v>36</v>
      </c>
      <c r="F3" s="39" t="s">
        <v>38</v>
      </c>
      <c r="G3" s="39" t="s">
        <v>39</v>
      </c>
      <c r="H3" s="39" t="s">
        <v>40</v>
      </c>
      <c r="I3" s="39" t="s">
        <v>41</v>
      </c>
      <c r="J3" s="39" t="s">
        <v>36</v>
      </c>
      <c r="K3" s="39" t="s">
        <v>36</v>
      </c>
      <c r="L3" s="39" t="s">
        <v>42</v>
      </c>
      <c r="M3" s="40" t="s">
        <v>43</v>
      </c>
      <c r="N3" s="22" t="s">
        <v>36</v>
      </c>
      <c r="O3" s="40" t="s">
        <v>38</v>
      </c>
      <c r="P3" s="40" t="s">
        <v>44</v>
      </c>
      <c r="Q3" s="40" t="s">
        <v>41</v>
      </c>
      <c r="R3" s="40" t="s">
        <v>40</v>
      </c>
      <c r="S3" s="40" t="s">
        <v>45</v>
      </c>
      <c r="T3" s="40" t="s">
        <v>43</v>
      </c>
      <c r="U3" s="40" t="s">
        <v>46</v>
      </c>
      <c r="V3" s="40" t="s">
        <v>40</v>
      </c>
      <c r="W3" s="40" t="s">
        <v>41</v>
      </c>
      <c r="X3" s="40" t="s">
        <v>41</v>
      </c>
      <c r="Y3" s="40" t="s">
        <v>35</v>
      </c>
      <c r="Z3" s="40" t="s">
        <v>42</v>
      </c>
      <c r="AA3" s="40" t="s">
        <v>47</v>
      </c>
      <c r="AB3" s="40" t="s">
        <v>47</v>
      </c>
      <c r="AC3" s="40" t="s">
        <v>41</v>
      </c>
      <c r="AD3" s="40" t="s">
        <v>41</v>
      </c>
      <c r="AE3" s="40" t="s">
        <v>46</v>
      </c>
      <c r="AF3" s="40" t="s">
        <v>45</v>
      </c>
      <c r="AG3" s="40" t="s">
        <v>35</v>
      </c>
      <c r="AH3" s="40" t="s">
        <v>42</v>
      </c>
      <c r="AI3" s="40" t="s">
        <v>42</v>
      </c>
      <c r="AJ3" s="40" t="s">
        <v>36</v>
      </c>
      <c r="AK3" s="40" t="s">
        <v>38</v>
      </c>
      <c r="AL3" s="40" t="s">
        <v>48</v>
      </c>
    </row>
    <row r="4" spans="1:38" x14ac:dyDescent="0.25">
      <c r="A4" s="41"/>
      <c r="B4" s="23" t="s">
        <v>49</v>
      </c>
      <c r="C4" s="23" t="s">
        <v>50</v>
      </c>
      <c r="D4" s="39" t="s">
        <v>51</v>
      </c>
      <c r="E4" s="23" t="s">
        <v>3</v>
      </c>
      <c r="F4" s="39" t="s">
        <v>52</v>
      </c>
      <c r="G4" s="23" t="s">
        <v>53</v>
      </c>
      <c r="H4" s="23" t="s">
        <v>6</v>
      </c>
      <c r="I4" s="23" t="s">
        <v>54</v>
      </c>
      <c r="J4" s="39" t="s">
        <v>55</v>
      </c>
      <c r="K4" s="39" t="s">
        <v>56</v>
      </c>
      <c r="L4" s="39" t="s">
        <v>57</v>
      </c>
      <c r="M4" s="24" t="s">
        <v>58</v>
      </c>
      <c r="N4" s="25" t="s">
        <v>3</v>
      </c>
      <c r="O4" s="40" t="s">
        <v>52</v>
      </c>
      <c r="P4" s="40" t="s">
        <v>59</v>
      </c>
      <c r="Q4" s="40" t="s">
        <v>60</v>
      </c>
      <c r="R4" s="40" t="s">
        <v>4</v>
      </c>
      <c r="S4" s="40" t="s">
        <v>61</v>
      </c>
      <c r="T4" s="40" t="s">
        <v>62</v>
      </c>
      <c r="U4" s="40" t="s">
        <v>63</v>
      </c>
      <c r="V4" s="40" t="s">
        <v>6</v>
      </c>
      <c r="W4" s="40" t="s">
        <v>64</v>
      </c>
      <c r="X4" s="40" t="s">
        <v>65</v>
      </c>
      <c r="Y4" s="40" t="s">
        <v>66</v>
      </c>
      <c r="Z4" s="40" t="s">
        <v>67</v>
      </c>
      <c r="AA4" s="40" t="s">
        <v>68</v>
      </c>
      <c r="AB4" s="40" t="s">
        <v>69</v>
      </c>
      <c r="AC4" s="40" t="s">
        <v>70</v>
      </c>
      <c r="AD4" s="40" t="s">
        <v>71</v>
      </c>
      <c r="AE4" s="40" t="s">
        <v>72</v>
      </c>
      <c r="AF4" s="40" t="s">
        <v>73</v>
      </c>
      <c r="AG4" s="40" t="s">
        <v>74</v>
      </c>
      <c r="AH4" s="40" t="s">
        <v>75</v>
      </c>
      <c r="AI4" s="40" t="s">
        <v>76</v>
      </c>
      <c r="AJ4" s="40" t="s">
        <v>77</v>
      </c>
      <c r="AK4" s="40" t="s">
        <v>78</v>
      </c>
      <c r="AL4" s="40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0.28499999999999998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0.32300000000000001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0.34599999999999997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23.367999999999999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143.71299999999999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0.36799999999999999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0.40699999999999997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24.587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151.21100000000001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0.41299999999999998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0.46800000000000003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25.806000000000001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158.709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0.45800000000000002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0.499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26.416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162.458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0.48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0.52900000000000003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27.026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166.20699999999999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0.503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0.59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28.245000000000001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173.70599999999999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0.54800000000000004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0.65100000000000002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29.463999999999999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181.20400000000001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0.59299999999999997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0.29799999999999999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22.757999999999999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139.964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0.32300000000000001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0.36099999999999999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23.978000000000002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147.46199999999999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0.36799999999999999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0.42499999999999999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25.196999999999999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154.96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0.41299999999999998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0.48899999999999999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26.416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162.458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0.45800000000000002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0.52100000000000002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27.026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166.20699999999999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0.48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0.55300000000000005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27.635000000000002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169.95599999999999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0.503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0.61699999999999999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28.853999999999999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177.45500000000001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0.54800000000000004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0.68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30.074000000000002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184.953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0.59299999999999997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0.31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23.367999999999999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143.71299999999999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0.32300000000000001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0.377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24.587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151.21100000000001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0.36799999999999999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0.443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25.806000000000001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158.709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0.41299999999999998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0.51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27.026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166.20699999999999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0.45800000000000002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0.54300000000000004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27.635000000000002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169.95599999999999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0.48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0.57699999999999996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28.245000000000001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173.70599999999999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0.503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0.64300000000000002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29.463999999999999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181.20400000000001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0.54800000000000004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0.71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30.683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188.702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0.59299999999999997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0.31900000000000001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23.774000000000001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146.21299999999999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0.67600000000000005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0.38700000000000001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24.994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153.71100000000001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0.67600000000000005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0.45600000000000002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26.213000000000001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161.209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0.67600000000000005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0.52400000000000002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27.431999999999999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168.70699999999999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0.67600000000000005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0.55800000000000005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28.042000000000002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172.45599999999999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0.67600000000000005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0.59199999999999997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28.651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176.20500000000001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0.67600000000000005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0.66100000000000003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29.87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183.703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0.67600000000000005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0.72899999999999998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31.09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191.20099999999999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0.67600000000000005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0.33600000000000002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24.587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151.21100000000001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0.70599999999999996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0.40799999999999997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25.806000000000001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158.709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0.70599999999999996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0.48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27.026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166.20699999999999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0.70599999999999996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0.55200000000000005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28.245000000000001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173.70599999999999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0.58799999999999997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28.853999999999999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177.45500000000001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0.70599999999999996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0.624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29.463999999999999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181.20400000000001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0.70599999999999996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0.69599999999999995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30.683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188.702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0.70599999999999996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0.76800000000000002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31.902000000000001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196.2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0.70599999999999996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0.254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21.539000000000001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132.46600000000001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0.3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0.315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22.757999999999999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139.964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0.34499999999999997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0.376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23.978000000000002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147.46199999999999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0.39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0.438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25.196999999999999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154.96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0.435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0.56000000000000005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27.635000000000002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169.95599999999999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0.52500000000000002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0.621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28.853999999999999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177.45500000000001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0.56999999999999995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0.68200000000000005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30.074000000000002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184.953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0.61599999999999999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0.26600000000000001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22.149000000000001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136.215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0.3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0.33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23.367999999999999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143.71299999999999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0.34499999999999997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0.39300000000000002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24.587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151.21100000000001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0.39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0.45700000000000002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25.806000000000001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158.709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0.435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0.58499999999999996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28.245000000000001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173.70599999999999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0.52500000000000002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0.64900000000000002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29.463999999999999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181.20400000000001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0.56999999999999995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0.71199999999999997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30.683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188.702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0.61599999999999999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0.27700000000000002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22.757999999999999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139.964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0.3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0.34399999999999997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23.978000000000002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0.34499999999999997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0.41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25.196999999999999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154.96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0.39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0.47699999999999998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26.416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162.458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0.435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0.61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28.853999999999999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177.45500000000001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0.52500000000000002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0.67600000000000005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30.074000000000002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184.953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0.56999999999999995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0.74299999999999999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31.292999999999999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192.45099999999999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0.61599999999999999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0.28499999999999998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23.164999999999999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142.464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0.67600000000000005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0.35299999999999998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24.384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149.96199999999999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0.67600000000000005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0.42099999999999999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25.603000000000002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157.46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0.67600000000000005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0.49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26.821999999999999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164.958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0.67600000000000005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0.626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29.260999999999999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179.95400000000001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0.67600000000000005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0.69499999999999995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30.48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187.452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0.67600000000000005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0.76300000000000001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31.699000000000002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194.95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0.67600000000000005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0.3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23.978000000000002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147.46199999999999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0.70599999999999996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0.372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25.196999999999999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154.96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0.70599999999999996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0.44400000000000001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0.70599999999999996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0.51600000000000001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27.635000000000002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169.95599999999999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0.70599999999999996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0.66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30.074000000000002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184.953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0.70599999999999996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0.73199999999999998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31.292999999999999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192.45099999999999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0.70599999999999996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0.80400000000000005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32.512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199.94900000000001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0.70599999999999996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2026-06-02T12:18:29Z</dcterms:modified>
</cp:coreProperties>
</file>