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DEST!$A$2:$AL$646</definedName>
  </definedNames>
  <calcPr calcId="152511"/>
</workbook>
</file>

<file path=xl/calcChain.xml><?xml version="1.0" encoding="utf-8"?>
<calcChain xmlns="http://schemas.openxmlformats.org/spreadsheetml/2006/main">
  <c r="E2" i="13" l="1"/>
  <c r="D2" i="13" l="1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G4" i="13" l="1"/>
  <c r="H4" i="13" s="1"/>
  <c r="G3" i="13"/>
  <c r="G5" i="13" l="1"/>
  <c r="G6" i="13" l="1"/>
  <c r="H5" i="13" l="1"/>
  <c r="G13" i="13" l="1"/>
  <c r="H14" i="13" l="1"/>
  <c r="H13" i="13"/>
  <c r="H12" i="13"/>
  <c r="H11" i="13"/>
  <c r="H10" i="13"/>
  <c r="H9" i="13"/>
  <c r="E9" i="13"/>
  <c r="G8" i="13"/>
  <c r="H8" i="13" s="1"/>
  <c r="G7" i="13"/>
  <c r="H7" i="13" s="1"/>
  <c r="H6" i="13"/>
  <c r="H3" i="13"/>
  <c r="H2" i="13"/>
</calcChain>
</file>

<file path=xl/sharedStrings.xml><?xml version="1.0" encoding="utf-8"?>
<sst xmlns="http://schemas.openxmlformats.org/spreadsheetml/2006/main" count="11082" uniqueCount="338">
  <si>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</si>
  <si>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</si>
  <si>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</si>
  <si>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</si>
  <si>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</si>
  <si>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</si>
  <si>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</si>
  <si>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</si>
  <si>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</si>
  <si>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</si>
  <si>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</si>
  <si>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</si>
  <si>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</si>
  <si>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</si>
  <si>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</si>
  <si>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</si>
  <si>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</si>
  <si>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</si>
  <si>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</si>
  <si>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</si>
  <si>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</si>
  <si>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</si>
  <si>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</si>
  <si>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</si>
  <si>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</si>
  <si>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</si>
  <si>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</si>
  <si>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</si>
  <si>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</si>
  <si>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</si>
  <si>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</si>
  <si>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</si>
  <si>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</si>
  <si>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</si>
  <si>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</si>
  <si>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</si>
  <si>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</si>
  <si>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</si>
  <si>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</si>
  <si>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</si>
  <si>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</si>
  <si>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</si>
  <si>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</si>
  <si>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</si>
  <si>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</si>
  <si>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</si>
  <si>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</si>
  <si>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</si>
  <si>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</si>
  <si>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</si>
  <si>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</si>
  <si>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</si>
  <si>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</si>
  <si>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</si>
  <si>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</si>
  <si>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</si>
  <si>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</si>
  <si>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</si>
  <si>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</si>
  <si>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</si>
  <si>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</si>
  <si>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</si>
  <si>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</si>
  <si>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</si>
  <si>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</si>
  <si>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</si>
  <si>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</si>
  <si>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</si>
  <si>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</si>
  <si>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</si>
  <si>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</si>
  <si>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</si>
  <si>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</si>
  <si>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</si>
  <si>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</si>
  <si>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</si>
  <si>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</si>
  <si>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</si>
  <si>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</si>
  <si>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</si>
  <si>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</si>
  <si>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</si>
  <si>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</si>
  <si>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</si>
  <si>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</si>
  <si>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</si>
  <si>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</si>
  <si>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</si>
  <si>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</si>
  <si>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</si>
  <si>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</si>
  <si>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</si>
  <si>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</si>
  <si>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</si>
  <si>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</si>
  <si>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</si>
  <si>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</si>
  <si>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</si>
  <si>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</si>
  <si>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</si>
  <si>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</si>
  <si>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</si>
  <si>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</si>
  <si>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</si>
  <si>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</si>
  <si>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</si>
  <si>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</si>
  <si>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</si>
  <si>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</si>
  <si>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</si>
  <si>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RML-CS-PL-6.5"</t>
  </si>
  <si>
    <t>SFG-RTHTMTRG-BONPOC-QUILT</t>
  </si>
  <si>
    <t>SFG-RTHTMTRG-BONPOC-BP</t>
  </si>
  <si>
    <t>RTHTMTBNORG72X33X06</t>
  </si>
  <si>
    <t>RTHTMTBNORG72X39X06</t>
  </si>
  <si>
    <t>RTHTMTBNORG72X45X06</t>
  </si>
  <si>
    <t>RTHTMTBNORG72X51X06</t>
  </si>
  <si>
    <t>RTHTMTBNORG72X54X06</t>
  </si>
  <si>
    <t>RTHTMTBNORG72X57X06</t>
  </si>
  <si>
    <t>RTHTMTBNORG72X63X06</t>
  </si>
  <si>
    <t>RTHTMTBNORG72X69X06</t>
  </si>
  <si>
    <t>RTHTMTBNORG75X33X06</t>
  </si>
  <si>
    <t>RTHTMTBNORG75X39X06</t>
  </si>
  <si>
    <t>RTHTMTBNORG75X45X06</t>
  </si>
  <si>
    <t>RTHTMTBNORG75X51X06</t>
  </si>
  <si>
    <t>RTHTMTBNORG75X54X06</t>
  </si>
  <si>
    <t>RTHTMTBNORG75X57X06</t>
  </si>
  <si>
    <t>RTHTMTBNORG75X63X06</t>
  </si>
  <si>
    <t>RTHTMTBNORG75X69X06</t>
  </si>
  <si>
    <t>RTHTMTBNORG78X33X06</t>
  </si>
  <si>
    <t>RTHTMTBNORG78X39X06</t>
  </si>
  <si>
    <t>RTHTMTBNORG78X45X06</t>
  </si>
  <si>
    <t>RTHTMTBNORG78X51X06</t>
  </si>
  <si>
    <t>RTHTMTBNORG78X54X06</t>
  </si>
  <si>
    <t>RTHTMTBNORG78X57X06</t>
  </si>
  <si>
    <t>RTHTMTBNORG78X63X06</t>
  </si>
  <si>
    <t>RTHTMTBNORG78X69X06</t>
  </si>
  <si>
    <t>RTHTMTBNORG80X33X06</t>
  </si>
  <si>
    <t>RTHTMTBNORG80X39X06</t>
  </si>
  <si>
    <t>RTHTMTBNORG80X45X06</t>
  </si>
  <si>
    <t>RTHTMTBNORG80X51X06</t>
  </si>
  <si>
    <t>RTHTMTBNORG80X54X06</t>
  </si>
  <si>
    <t>RTHTMTBNORG80X57X06</t>
  </si>
  <si>
    <t>RTHTMTBNORG80X63X06</t>
  </si>
  <si>
    <t>RTHTMTBNORG80X69X06</t>
  </si>
  <si>
    <t>RTHTMTBNORG84X33X06</t>
  </si>
  <si>
    <t>RTHTMTBNORG84X39X06</t>
  </si>
  <si>
    <t>RTHTMTBNORG84X45X06</t>
  </si>
  <si>
    <t>RTHTMTBNORG84X51X06</t>
  </si>
  <si>
    <t>RTHTMTBNORG84X54X06</t>
  </si>
  <si>
    <t>RTHTMTBNORG84X57X06</t>
  </si>
  <si>
    <t>RTHTMTBNORG84X63X06</t>
  </si>
  <si>
    <t>RTHTMTBNORG84X69X06</t>
  </si>
  <si>
    <t>RTHTMTBNORG72X30X06</t>
  </si>
  <si>
    <t>RTHTMTBNORG72X36X06</t>
  </si>
  <si>
    <t>RTHTMTBNORG72X42X06</t>
  </si>
  <si>
    <t>RTHTMTBNORG72X48X06</t>
  </si>
  <si>
    <t>RTHTMTBNORG72X60X06</t>
  </si>
  <si>
    <t>RTHTMTBNORG72X66X06</t>
  </si>
  <si>
    <t>RTHTMTBNORG72X72X06</t>
  </si>
  <si>
    <t>RTHTMTBNORG75X30X06</t>
  </si>
  <si>
    <t>RTHTMTBNORG75X36X06</t>
  </si>
  <si>
    <t>RTHTMTBNORG75X42X06</t>
  </si>
  <si>
    <t>RTHTMTBNORG75X48X06</t>
  </si>
  <si>
    <t>RTHTMTBNORG75X60X06</t>
  </si>
  <si>
    <t>RTHTMTBNORG75X66X06</t>
  </si>
  <si>
    <t>RTHTMTBNORG75X72X06</t>
  </si>
  <si>
    <t>RTHTMTBNORG78X30X06</t>
  </si>
  <si>
    <t>RTHTMTBNORG78X36X06</t>
  </si>
  <si>
    <t>RTHTMTBNORG78X42X06</t>
  </si>
  <si>
    <t>RTHTMTBNORG78X48X06</t>
  </si>
  <si>
    <t>RTHTMTBNORG78X60X06</t>
  </si>
  <si>
    <t>RTHTMTBNORG78X66X06</t>
  </si>
  <si>
    <t>RTHTMTBNORG78X72X06</t>
  </si>
  <si>
    <t>RTHTMTBNORG80X30X06</t>
  </si>
  <si>
    <t>RTHTMTBNORG80X36X06</t>
  </si>
  <si>
    <t>RTHTMTBNORG80X42X06</t>
  </si>
  <si>
    <t>RTHTMTBNORG80X48X06</t>
  </si>
  <si>
    <t>RTHTMTBNORG80X60X06</t>
  </si>
  <si>
    <t>RTHTMTBNORG80X66X06</t>
  </si>
  <si>
    <t>RTHTMTBNORG80X72X06</t>
  </si>
  <si>
    <t>RTHTMTBNORG84X30X06</t>
  </si>
  <si>
    <t>RTHTMTBNORG84X36X06</t>
  </si>
  <si>
    <t>RTHTMTBNORG84X42X06</t>
  </si>
  <si>
    <t>RTHTMTBNORG84X48X06</t>
  </si>
  <si>
    <t>RTHTMTBNORG84X60X06</t>
  </si>
  <si>
    <t>RTHTMTBNORG84X66X06</t>
  </si>
  <si>
    <t>RTHTMTBNORG84X72X06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</si>
  <si>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</si>
  <si>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</si>
  <si>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</si>
  <si>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</si>
  <si>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</si>
  <si>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</si>
  <si>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</si>
  <si>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</si>
  <si>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</si>
  <si>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</si>
  <si>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</si>
  <si>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</si>
  <si>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</si>
  <si>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</si>
  <si>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</si>
  <si>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</si>
  <si>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</si>
  <si>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</si>
  <si>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</si>
  <si>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</si>
  <si>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</si>
  <si>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</si>
  <si>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</si>
  <si>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</si>
  <si>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</si>
  <si>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</si>
  <si>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</si>
  <si>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</si>
  <si>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</si>
  <si>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</si>
  <si>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</si>
  <si>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</si>
  <si>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</si>
  <si>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</si>
  <si>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</si>
  <si>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</si>
  <si>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</si>
  <si>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</si>
  <si>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</si>
  <si>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</si>
  <si>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</si>
  <si>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</si>
  <si>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</si>
  <si>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</si>
  <si>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</si>
  <si>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</si>
  <si>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</si>
  <si>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</si>
  <si>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</si>
  <si>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</si>
  <si>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</si>
  <si>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</si>
  <si>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</si>
  <si>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</si>
  <si>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</si>
  <si>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</si>
  <si>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</si>
  <si>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</si>
  <si>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</si>
  <si>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</si>
  <si>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</si>
  <si>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</si>
  <si>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</si>
  <si>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</si>
  <si>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</si>
  <si>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</si>
  <si>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</si>
  <si>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</si>
  <si>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</si>
  <si>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</si>
  <si>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</si>
  <si>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</si>
  <si>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</si>
  <si>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</si>
  <si>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</si>
  <si>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OEBOXBNSR71.50X32.50X120</t>
  </si>
  <si>
    <t>OEBOXBNSR71.50X38.50X120</t>
  </si>
  <si>
    <t>OEBOXBNSR71.50X44.50X120</t>
  </si>
  <si>
    <t>OEBOXBNSR71.50X50.50X120</t>
  </si>
  <si>
    <t>OEBOXBNSR71.50X53.50X120</t>
  </si>
  <si>
    <t>OEBOXBNSR71.50X56.50X120</t>
  </si>
  <si>
    <t>OEBOXBNSR71.50X62.50X120</t>
  </si>
  <si>
    <t>OEBOXBNSR71.50X68.50X120</t>
  </si>
  <si>
    <t>OEBOXBNSR74.50X32.50X120</t>
  </si>
  <si>
    <t>OEBOXBNSR74.50X38.50X120</t>
  </si>
  <si>
    <t>OEBOXBNSR74.50X44.50X120</t>
  </si>
  <si>
    <t>OEBOXBNSR74.50X50.50X120</t>
  </si>
  <si>
    <t>OEBOXBNSR74.50X53.50X120</t>
  </si>
  <si>
    <t>OEBOXBNSR74.50X56.50X120</t>
  </si>
  <si>
    <t>OEBOXBNSR74.50X62.50X120</t>
  </si>
  <si>
    <t>OEBOXBNSR74.50X68.50X120</t>
  </si>
  <si>
    <t>OEBOXBNSR77.50X32.50X120</t>
  </si>
  <si>
    <t>OEBOXBNSR77.50X38.50X120</t>
  </si>
  <si>
    <t>OEBOXBNSR77.50X44.50X120</t>
  </si>
  <si>
    <t>OEBOXBNSR77.50X50.50X120</t>
  </si>
  <si>
    <t>OEBOXBNSR77.50X53.50X120</t>
  </si>
  <si>
    <t>OEBOXBNSR77.50X56.50X120</t>
  </si>
  <si>
    <t>OEBOXBNSR77.50X62.50X120</t>
  </si>
  <si>
    <t>OEBOXBNSR77.50X68.50X120</t>
  </si>
  <si>
    <t>OEBOXBNSR79.50X32.50X120</t>
  </si>
  <si>
    <t>OEBOXBNSR79.50X38.50X120</t>
  </si>
  <si>
    <t>OEBOXBNSR79.50X44.50X120</t>
  </si>
  <si>
    <t>OEBOXBNSR79.50X50.50X120</t>
  </si>
  <si>
    <t>OEBOXBNSR79.50X53.50X120</t>
  </si>
  <si>
    <t>OEBOXBNSR79.50X56.50X120</t>
  </si>
  <si>
    <t>OEBOXBNSR79.50X62.50X120</t>
  </si>
  <si>
    <t>OEBOXBNSR79.50X68.50X120</t>
  </si>
  <si>
    <t>OEBOXBNSR83.50X32.50X120</t>
  </si>
  <si>
    <t>OEBOXBNSR83.50X38.50X120</t>
  </si>
  <si>
    <t>OEBOXBNSR83.50X44.50X120</t>
  </si>
  <si>
    <t>OEBOXBNSR83.50X50.50X120</t>
  </si>
  <si>
    <t>OEBOXBNSR83.50X53.50X120</t>
  </si>
  <si>
    <t>OEBOXBNSR83.50X56.50X120</t>
  </si>
  <si>
    <t>OEBOXBNSR83.50X62.50X120</t>
  </si>
  <si>
    <t>OEBOXBNSR83.50X68.50X120</t>
  </si>
  <si>
    <t>OEBOXBNSR71.50X29.50X120</t>
  </si>
  <si>
    <t>OEBOXBNSR71.50X35.50X120</t>
  </si>
  <si>
    <t>OEBOXBNSR71.50X41.50X120</t>
  </si>
  <si>
    <t>OEBOXBNSR71.50X47.50X120</t>
  </si>
  <si>
    <t>OEBOXBNSR71.50X59.50X120</t>
  </si>
  <si>
    <t>OEBOXBNSR71.50X65.50X120</t>
  </si>
  <si>
    <t>OEBOXBNSR71.50X71.50X120</t>
  </si>
  <si>
    <t>OEBOXBNSR74.50X29.50X120</t>
  </si>
  <si>
    <t>OEBOXBNSR74.50X35.50X120</t>
  </si>
  <si>
    <t>OEBOXBNSR74.50X41.50X120</t>
  </si>
  <si>
    <t>OEBOXBNSR74.50X47.50X120</t>
  </si>
  <si>
    <t>OEBOXBNSR74.50X59.50X120</t>
  </si>
  <si>
    <t>OEBOXBNSR74.50X65.50X120</t>
  </si>
  <si>
    <t>OEBOXBNSR74.50X71.50X120</t>
  </si>
  <si>
    <t>OEBOXBNSR77.50X29.50X120</t>
  </si>
  <si>
    <t>OEBOXBNSR77.50X35.50X120</t>
  </si>
  <si>
    <t>OEBOXBNSR77.50X41.50X120</t>
  </si>
  <si>
    <t>OEBOXBNSR77.50X47.50X120</t>
  </si>
  <si>
    <t>OEBOXBNSR77.50X59.50X120</t>
  </si>
  <si>
    <t>OEBOXBNSR77.50X65.50X120</t>
  </si>
  <si>
    <t>OEBOXBNSR77.50X71.50X120</t>
  </si>
  <si>
    <t>OEBOXBNSR79.50X29.50X120</t>
  </si>
  <si>
    <t>OEBOXBNSR79.50X35.50X120</t>
  </si>
  <si>
    <t>OEBOXBNSR79.50X41.50X120</t>
  </si>
  <si>
    <t>OEBOXBNSR79.50X47.50X120</t>
  </si>
  <si>
    <t>OEBOXBNSR79.50X59.50X120</t>
  </si>
  <si>
    <t>OEBOXBNSR79.50X65.50X120</t>
  </si>
  <si>
    <t>OEBOXBNSR79.50X71.50X120</t>
  </si>
  <si>
    <t>OEBOXBNSR83.50X29.50X120</t>
  </si>
  <si>
    <t>OEBOXBNSR83.50X35.50X120</t>
  </si>
  <si>
    <t>OEBOXBNSR83.50X41.50X120</t>
  </si>
  <si>
    <t>OEBOXBNSR83.50X47.50X120</t>
  </si>
  <si>
    <t>OEBOXBNSR83.50X59.50X120</t>
  </si>
  <si>
    <t>OEBOXBNSR83.50X65.50X120</t>
  </si>
  <si>
    <t>OEBOXBNSR83.50X71.50X120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</si>
</sst>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0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8" sqref="E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.28515625" style="16" bestFit="1" customWidth="1"/>
    <col min="5" max="5" width="37.1406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7" t="s">
        <v>86</v>
      </c>
      <c r="S1" s="37" t="s">
        <v>87</v>
      </c>
      <c r="T1" s="37" t="s">
        <v>88</v>
      </c>
      <c r="U1" s="37" t="s">
        <v>10</v>
      </c>
    </row>
    <row r="2" spans="1:21" x14ac:dyDescent="0.25">
      <c r="A2" s="35">
        <v>1</v>
      </c>
      <c r="B2" s="7" t="s">
        <v>12</v>
      </c>
      <c r="C2" s="7" t="s">
        <v>12</v>
      </c>
      <c r="D2" s="7" t="str">
        <f>"RTHTMTBNORG"&amp;$K$2&amp;"X"&amp;$L$2&amp;"X"&amp;IF($M$2&gt;9,$M$2,"0"&amp;$M$2)</f>
        <v>RTHTMTBNORG75X36X06</v>
      </c>
      <c r="E2" s="1" t="str">
        <f>"OEBOXBNSR"&amp;(K2-0.5)&amp;"0"&amp;"X"&amp;(L2-0.5)&amp;"0"&amp;"X"&amp;IF(M2=6,"120",IF(M2=8,"160",IF(M2&gt;9,"180",0)))</f>
        <v>OEBOXBNSR74.50X35.50X120</v>
      </c>
      <c r="F2" s="11" t="s">
        <v>11</v>
      </c>
      <c r="G2" s="10">
        <v>1</v>
      </c>
      <c r="H2" s="10">
        <f t="shared" ref="H2" si="0">ROUND(G2,3)</f>
        <v>1</v>
      </c>
      <c r="I2" s="19" t="s">
        <v>16</v>
      </c>
      <c r="J2" s="5"/>
      <c r="K2" s="6">
        <v>75</v>
      </c>
      <c r="L2" s="6">
        <v>36</v>
      </c>
      <c r="M2" s="36">
        <v>6</v>
      </c>
      <c r="N2" s="6" t="s">
        <v>108</v>
      </c>
      <c r="P2" s="4" t="s">
        <v>91</v>
      </c>
      <c r="R2" s="33" t="s">
        <v>92</v>
      </c>
      <c r="S2" s="33" t="s">
        <v>93</v>
      </c>
      <c r="T2" s="33">
        <v>6</v>
      </c>
      <c r="U2" s="34" t="s">
        <v>108</v>
      </c>
    </row>
    <row r="3" spans="1:21" s="18" customFormat="1" x14ac:dyDescent="0.25">
      <c r="A3" s="35">
        <v>2</v>
      </c>
      <c r="B3" s="7" t="s">
        <v>17</v>
      </c>
      <c r="C3" s="7" t="s">
        <v>17</v>
      </c>
      <c r="D3" s="7" t="str">
        <f t="shared" ref="D3:D14" si="1">"RTHTMTBNORG"&amp;$K$2&amp;"X"&amp;$L$2&amp;"X"&amp;IF($M$2&gt;9,$M$2,"0"&amp;$M$2)</f>
        <v>RTHTMTBNORG75X36X06</v>
      </c>
      <c r="E3" s="39" t="s">
        <v>111</v>
      </c>
      <c r="F3" s="11" t="s">
        <v>15</v>
      </c>
      <c r="G3" s="25">
        <f>IF(K2&lt;79,(L2+1),IF(L2&lt;37,(K2+1),(K2+1)))*0.0254</f>
        <v>0.93979999999999997</v>
      </c>
      <c r="H3" s="10">
        <f>ROUND(G3,3)</f>
        <v>0.94</v>
      </c>
      <c r="I3" s="19" t="s">
        <v>16</v>
      </c>
      <c r="J3" s="5"/>
      <c r="K3" s="17"/>
      <c r="L3" s="17"/>
      <c r="M3" s="17"/>
      <c r="N3" s="17"/>
      <c r="O3" s="4"/>
      <c r="R3" s="33" t="s">
        <v>92</v>
      </c>
      <c r="S3" s="33" t="s">
        <v>94</v>
      </c>
      <c r="T3" s="33">
        <v>6</v>
      </c>
      <c r="U3" s="34" t="s">
        <v>108</v>
      </c>
    </row>
    <row r="4" spans="1:21" x14ac:dyDescent="0.25">
      <c r="A4" s="35">
        <v>3</v>
      </c>
      <c r="B4" s="7" t="s">
        <v>17</v>
      </c>
      <c r="C4" s="7" t="s">
        <v>17</v>
      </c>
      <c r="D4" s="7" t="str">
        <f t="shared" si="1"/>
        <v>RTHTMTBNORG75X36X06</v>
      </c>
      <c r="E4" s="42" t="s">
        <v>112</v>
      </c>
      <c r="F4" s="11" t="s">
        <v>15</v>
      </c>
      <c r="G4" s="25">
        <f>IF(K2&lt;79,(L2+1),IF(L2&lt;37,(K2+1),(K2+1)))*0.0254</f>
        <v>0.93979999999999997</v>
      </c>
      <c r="H4" s="10">
        <f>ROUND(G4,3)</f>
        <v>0.94</v>
      </c>
      <c r="I4" s="19" t="s">
        <v>16</v>
      </c>
      <c r="J4" s="12"/>
      <c r="O4" s="18"/>
      <c r="R4" s="33" t="s">
        <v>92</v>
      </c>
      <c r="S4" s="33" t="s">
        <v>95</v>
      </c>
      <c r="T4" s="33">
        <v>6</v>
      </c>
      <c r="U4" s="34" t="s">
        <v>108</v>
      </c>
    </row>
    <row r="5" spans="1:21" x14ac:dyDescent="0.25">
      <c r="A5" s="35">
        <v>4</v>
      </c>
      <c r="B5" s="7" t="s">
        <v>17</v>
      </c>
      <c r="C5" s="7" t="s">
        <v>17</v>
      </c>
      <c r="D5" s="7" t="str">
        <f t="shared" si="1"/>
        <v>RTHTMTBNORG75X36X06</v>
      </c>
      <c r="E5" s="40" t="s">
        <v>18</v>
      </c>
      <c r="F5" s="41" t="s">
        <v>15</v>
      </c>
      <c r="G5" s="16">
        <f>(K2+L2+1.5)*4*0.0254*8</f>
        <v>91.44</v>
      </c>
      <c r="H5" s="10">
        <f>ROUND(G5,3)</f>
        <v>91.44</v>
      </c>
      <c r="I5" s="8" t="s">
        <v>14</v>
      </c>
      <c r="J5" s="12"/>
      <c r="O5" s="18"/>
      <c r="R5" s="33" t="s">
        <v>92</v>
      </c>
      <c r="S5" s="33" t="s">
        <v>96</v>
      </c>
      <c r="T5" s="33">
        <v>6</v>
      </c>
      <c r="U5" s="34" t="s">
        <v>108</v>
      </c>
    </row>
    <row r="6" spans="1:21" x14ac:dyDescent="0.25">
      <c r="A6" s="35">
        <v>5</v>
      </c>
      <c r="B6" s="7" t="s">
        <v>19</v>
      </c>
      <c r="C6" s="7" t="s">
        <v>19</v>
      </c>
      <c r="D6" s="7" t="str">
        <f t="shared" si="1"/>
        <v>RTHTMTBNORG75X36X06</v>
      </c>
      <c r="E6" s="20" t="s">
        <v>105</v>
      </c>
      <c r="F6" s="15" t="s">
        <v>106</v>
      </c>
      <c r="G6" s="22">
        <f>((K2-1)*(L2-1)/144)*0.00729*4</f>
        <v>0.52447499999999991</v>
      </c>
      <c r="H6" s="10">
        <f>ROUND(G6,3)</f>
        <v>0.52400000000000002</v>
      </c>
      <c r="I6" s="8" t="s">
        <v>14</v>
      </c>
      <c r="J6" s="12"/>
      <c r="R6" s="33" t="s">
        <v>92</v>
      </c>
      <c r="S6" s="33" t="s">
        <v>97</v>
      </c>
      <c r="T6" s="33">
        <v>6</v>
      </c>
      <c r="U6" s="34" t="s">
        <v>108</v>
      </c>
    </row>
    <row r="7" spans="1:21" x14ac:dyDescent="0.25">
      <c r="A7" s="35">
        <v>6</v>
      </c>
      <c r="B7" s="7" t="s">
        <v>19</v>
      </c>
      <c r="C7" s="7" t="s">
        <v>19</v>
      </c>
      <c r="D7" s="7" t="str">
        <f t="shared" si="1"/>
        <v>RTHTMTBNORG75X36X06</v>
      </c>
      <c r="E7" s="20" t="s">
        <v>107</v>
      </c>
      <c r="F7" s="11" t="s">
        <v>15</v>
      </c>
      <c r="G7" s="10">
        <f>(K2+L2+4)*2*0.0254*2</f>
        <v>11.683999999999999</v>
      </c>
      <c r="H7" s="10">
        <f t="shared" ref="H7:H14" si="2">ROUND(G7,3)</f>
        <v>11.683999999999999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3" t="s">
        <v>92</v>
      </c>
      <c r="S7" s="33" t="s">
        <v>98</v>
      </c>
      <c r="T7" s="33">
        <v>6</v>
      </c>
      <c r="U7" s="34" t="s">
        <v>108</v>
      </c>
    </row>
    <row r="8" spans="1:21" x14ac:dyDescent="0.25">
      <c r="A8" s="35">
        <v>7</v>
      </c>
      <c r="B8" s="7" t="s">
        <v>19</v>
      </c>
      <c r="C8" s="7" t="s">
        <v>19</v>
      </c>
      <c r="D8" s="7" t="str">
        <f t="shared" si="1"/>
        <v>RTHTMTBNORG75X36X06</v>
      </c>
      <c r="E8" s="20" t="s">
        <v>18</v>
      </c>
      <c r="F8" s="11" t="s">
        <v>15</v>
      </c>
      <c r="G8" s="10">
        <f>(K2+L2+4)*2*0.0254*(4.73+1.42)*2</f>
        <v>71.8566</v>
      </c>
      <c r="H8" s="10">
        <f t="shared" si="2"/>
        <v>71.856999999999999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3" t="s">
        <v>92</v>
      </c>
      <c r="S8" s="33" t="s">
        <v>99</v>
      </c>
      <c r="T8" s="33">
        <v>6</v>
      </c>
      <c r="U8" s="34" t="s">
        <v>108</v>
      </c>
    </row>
    <row r="9" spans="1:21" x14ac:dyDescent="0.25">
      <c r="A9" s="35">
        <v>8</v>
      </c>
      <c r="B9" s="7" t="s">
        <v>20</v>
      </c>
      <c r="C9" s="9" t="s">
        <v>20</v>
      </c>
      <c r="D9" s="7" t="str">
        <f t="shared" si="1"/>
        <v>RTHTMTBNORG75X36X06</v>
      </c>
      <c r="E9" s="20" t="str">
        <f>IF(M2=6,"RML-CS-PL-6.5""",IF(M2=8,"RML-CS-PL-8.5",IF(M2=10,"RML-CS-PL-10.5",IF(M2=12,"RML-CS-PL-12.25"))))</f>
        <v>RML-CS-PL-6.5"</v>
      </c>
      <c r="F9" s="11" t="s">
        <v>11</v>
      </c>
      <c r="G9" s="10">
        <v>4</v>
      </c>
      <c r="H9" s="10">
        <f t="shared" si="2"/>
        <v>4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3" t="s">
        <v>92</v>
      </c>
      <c r="S9" s="33" t="s">
        <v>100</v>
      </c>
      <c r="T9" s="33">
        <v>6</v>
      </c>
      <c r="U9" s="34" t="s">
        <v>108</v>
      </c>
    </row>
    <row r="10" spans="1:21" x14ac:dyDescent="0.25">
      <c r="A10" s="35">
        <v>9</v>
      </c>
      <c r="B10" s="7" t="s">
        <v>19</v>
      </c>
      <c r="C10" s="7" t="s">
        <v>19</v>
      </c>
      <c r="D10" s="7" t="str">
        <f t="shared" si="1"/>
        <v>RTHTMTBNORG75X36X06</v>
      </c>
      <c r="E10" s="20" t="s">
        <v>21</v>
      </c>
      <c r="F10" s="11" t="s">
        <v>11</v>
      </c>
      <c r="G10" s="10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3" t="s">
        <v>101</v>
      </c>
      <c r="S10" s="33" t="s">
        <v>93</v>
      </c>
      <c r="T10" s="33">
        <v>6</v>
      </c>
      <c r="U10" s="34" t="s">
        <v>108</v>
      </c>
    </row>
    <row r="11" spans="1:21" x14ac:dyDescent="0.25">
      <c r="A11" s="35">
        <v>10</v>
      </c>
      <c r="B11" s="7" t="s">
        <v>20</v>
      </c>
      <c r="C11" s="9" t="s">
        <v>20</v>
      </c>
      <c r="D11" s="7" t="str">
        <f t="shared" si="1"/>
        <v>RTHTMTBNORG75X36X06</v>
      </c>
      <c r="E11" s="20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3" t="s">
        <v>101</v>
      </c>
      <c r="S11" s="33" t="s">
        <v>94</v>
      </c>
      <c r="T11" s="33">
        <v>6</v>
      </c>
      <c r="U11" s="34" t="s">
        <v>108</v>
      </c>
    </row>
    <row r="12" spans="1:21" x14ac:dyDescent="0.25">
      <c r="A12" s="35">
        <v>11</v>
      </c>
      <c r="B12" s="7" t="s">
        <v>20</v>
      </c>
      <c r="C12" s="9" t="s">
        <v>20</v>
      </c>
      <c r="D12" s="7" t="str">
        <f t="shared" si="1"/>
        <v>RTHTMTBNORG75X36X06</v>
      </c>
      <c r="E12" s="20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3" t="s">
        <v>101</v>
      </c>
      <c r="S12" s="33" t="s">
        <v>95</v>
      </c>
      <c r="T12" s="33">
        <v>6</v>
      </c>
      <c r="U12" s="34" t="s">
        <v>108</v>
      </c>
    </row>
    <row r="13" spans="1:21" x14ac:dyDescent="0.25">
      <c r="A13" s="35">
        <v>12</v>
      </c>
      <c r="B13" s="7" t="s">
        <v>20</v>
      </c>
      <c r="C13" s="9" t="s">
        <v>20</v>
      </c>
      <c r="D13" s="7" t="str">
        <f t="shared" si="1"/>
        <v>RTHTMTBNORG75X36X06</v>
      </c>
      <c r="E13" s="18" t="s">
        <v>109</v>
      </c>
      <c r="F13" s="11" t="s">
        <v>13</v>
      </c>
      <c r="G13" s="23">
        <f>IF(K2&lt;79,((L2*2)+(M2*2)+4),((K2*2)+(M2*2)+4))*0.0254*89.5*0.0254*0.00005*1300</f>
        <v>0.33028321039999997</v>
      </c>
      <c r="H13" s="10">
        <f t="shared" si="2"/>
        <v>0.33</v>
      </c>
      <c r="I13" s="8" t="s">
        <v>14</v>
      </c>
      <c r="J13" s="12"/>
      <c r="K13" s="21"/>
      <c r="R13" s="33" t="s">
        <v>101</v>
      </c>
      <c r="S13" s="33" t="s">
        <v>96</v>
      </c>
      <c r="T13" s="33">
        <v>6</v>
      </c>
      <c r="U13" s="34" t="s">
        <v>108</v>
      </c>
    </row>
    <row r="14" spans="1:21" x14ac:dyDescent="0.25">
      <c r="A14" s="35">
        <v>13</v>
      </c>
      <c r="B14" s="7" t="s">
        <v>19</v>
      </c>
      <c r="C14" s="7" t="s">
        <v>19</v>
      </c>
      <c r="D14" s="7" t="str">
        <f t="shared" si="1"/>
        <v>RTHTMTBNORG75X36X06</v>
      </c>
      <c r="E14" s="38" t="str">
        <f>IF(M2&lt;=8,"60D-RB-MAT-FOAM-"&amp;(K2-0.5)&amp;"0"&amp;"X"&amp;(L2-0.5)&amp;"0"&amp;"X15MM","23D-CONV-FOAM-"&amp;(K2-1)&amp;"X"&amp;(L2-1)&amp;IF(M2=10,"X20MM",IF(M2=12,"15MM",0)))</f>
        <v>60D-RB-MAT-FOAM-74.50X35.50X15MM</v>
      </c>
      <c r="F14" s="8" t="s">
        <v>11</v>
      </c>
      <c r="G14" s="14">
        <v>1</v>
      </c>
      <c r="H14" s="10">
        <f t="shared" si="2"/>
        <v>1</v>
      </c>
      <c r="I14" s="19" t="s">
        <v>16</v>
      </c>
      <c r="J14" s="12"/>
      <c r="M14" s="21"/>
      <c r="O14" s="21"/>
      <c r="R14" s="33" t="s">
        <v>101</v>
      </c>
      <c r="S14" s="33" t="s">
        <v>97</v>
      </c>
      <c r="T14" s="33">
        <v>6</v>
      </c>
      <c r="U14" s="34" t="s">
        <v>108</v>
      </c>
    </row>
    <row r="15" spans="1:21" x14ac:dyDescent="0.25">
      <c r="J15" s="12"/>
      <c r="N15"/>
      <c r="O15"/>
      <c r="R15" s="33" t="s">
        <v>101</v>
      </c>
      <c r="S15" s="33" t="s">
        <v>98</v>
      </c>
      <c r="T15" s="33">
        <v>6</v>
      </c>
      <c r="U15" s="34" t="s">
        <v>108</v>
      </c>
    </row>
    <row r="16" spans="1:21" x14ac:dyDescent="0.25">
      <c r="J16" s="12"/>
      <c r="K16" s="21"/>
      <c r="M16" s="21"/>
      <c r="N16"/>
      <c r="O16"/>
      <c r="R16" s="33" t="s">
        <v>101</v>
      </c>
      <c r="S16" s="33" t="s">
        <v>99</v>
      </c>
      <c r="T16" s="33">
        <v>6</v>
      </c>
      <c r="U16" s="34" t="s">
        <v>108</v>
      </c>
    </row>
    <row r="17" spans="5:21" x14ac:dyDescent="0.25">
      <c r="J17" s="12"/>
      <c r="N17"/>
      <c r="O17"/>
      <c r="R17" s="33" t="s">
        <v>101</v>
      </c>
      <c r="S17" s="33" t="s">
        <v>100</v>
      </c>
      <c r="T17" s="33">
        <v>6</v>
      </c>
      <c r="U17" s="34" t="s">
        <v>108</v>
      </c>
    </row>
    <row r="18" spans="5:21" x14ac:dyDescent="0.25">
      <c r="J18" s="12"/>
      <c r="N18"/>
      <c r="O18"/>
      <c r="R18" s="33" t="s">
        <v>102</v>
      </c>
      <c r="S18" s="33" t="s">
        <v>93</v>
      </c>
      <c r="T18" s="33">
        <v>6</v>
      </c>
      <c r="U18" s="34" t="s">
        <v>108</v>
      </c>
    </row>
    <row r="19" spans="5:21" x14ac:dyDescent="0.25">
      <c r="J19" s="12"/>
      <c r="N19"/>
      <c r="O19"/>
      <c r="R19" s="33" t="s">
        <v>102</v>
      </c>
      <c r="S19" s="33" t="s">
        <v>94</v>
      </c>
      <c r="T19" s="33">
        <v>6</v>
      </c>
      <c r="U19" s="34" t="s">
        <v>108</v>
      </c>
    </row>
    <row r="20" spans="5:21" x14ac:dyDescent="0.25">
      <c r="J20" s="12"/>
      <c r="N20" s="32"/>
      <c r="O20"/>
      <c r="R20" s="33" t="s">
        <v>102</v>
      </c>
      <c r="S20" s="33" t="s">
        <v>95</v>
      </c>
      <c r="T20" s="33">
        <v>6</v>
      </c>
      <c r="U20" s="34" t="s">
        <v>108</v>
      </c>
    </row>
    <row r="21" spans="5:21" x14ac:dyDescent="0.25">
      <c r="J21" s="12"/>
      <c r="N21"/>
      <c r="O21"/>
      <c r="R21" s="33" t="s">
        <v>102</v>
      </c>
      <c r="S21" s="33" t="s">
        <v>96</v>
      </c>
      <c r="T21" s="33">
        <v>6</v>
      </c>
      <c r="U21" s="34" t="s">
        <v>108</v>
      </c>
    </row>
    <row r="22" spans="5:21" x14ac:dyDescent="0.25">
      <c r="J22" s="12"/>
      <c r="N22"/>
      <c r="O22"/>
      <c r="R22" s="33" t="s">
        <v>102</v>
      </c>
      <c r="S22" s="33" t="s">
        <v>97</v>
      </c>
      <c r="T22" s="33">
        <v>6</v>
      </c>
      <c r="U22" s="34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3" t="s">
        <v>102</v>
      </c>
      <c r="S23" s="33" t="s">
        <v>98</v>
      </c>
      <c r="T23" s="33">
        <v>6</v>
      </c>
      <c r="U23" s="34" t="s">
        <v>108</v>
      </c>
    </row>
    <row r="24" spans="5:21" x14ac:dyDescent="0.25">
      <c r="J24" s="13"/>
      <c r="K24" s="18"/>
      <c r="L24" s="18"/>
      <c r="M24" s="18"/>
      <c r="N24" s="32"/>
      <c r="O24"/>
      <c r="P24" s="18"/>
      <c r="Q24" s="18"/>
      <c r="R24" s="33" t="s">
        <v>102</v>
      </c>
      <c r="S24" s="33" t="s">
        <v>99</v>
      </c>
      <c r="T24" s="33">
        <v>6</v>
      </c>
      <c r="U24" s="34" t="s">
        <v>108</v>
      </c>
    </row>
    <row r="25" spans="5:21" x14ac:dyDescent="0.25">
      <c r="N25"/>
      <c r="O25"/>
      <c r="R25" s="33" t="s">
        <v>102</v>
      </c>
      <c r="S25" s="33" t="s">
        <v>100</v>
      </c>
      <c r="T25" s="33">
        <v>6</v>
      </c>
      <c r="U25" s="34" t="s">
        <v>108</v>
      </c>
    </row>
    <row r="26" spans="5:21" x14ac:dyDescent="0.25">
      <c r="N26"/>
      <c r="O26"/>
      <c r="R26" s="33" t="s">
        <v>103</v>
      </c>
      <c r="S26" s="33" t="s">
        <v>93</v>
      </c>
      <c r="T26" s="33">
        <v>6</v>
      </c>
      <c r="U26" s="34" t="s">
        <v>108</v>
      </c>
    </row>
    <row r="27" spans="5:21" x14ac:dyDescent="0.25">
      <c r="N27"/>
      <c r="O27"/>
      <c r="R27" s="33" t="s">
        <v>103</v>
      </c>
      <c r="S27" s="33" t="s">
        <v>94</v>
      </c>
      <c r="T27" s="33">
        <v>6</v>
      </c>
      <c r="U27" s="34" t="s">
        <v>108</v>
      </c>
    </row>
    <row r="28" spans="5:21" x14ac:dyDescent="0.25">
      <c r="E28" s="21"/>
      <c r="I28" s="21"/>
      <c r="M28" s="21"/>
      <c r="N28"/>
      <c r="O28"/>
      <c r="R28" s="33" t="s">
        <v>103</v>
      </c>
      <c r="S28" s="33" t="s">
        <v>95</v>
      </c>
      <c r="T28" s="33">
        <v>6</v>
      </c>
      <c r="U28" s="34" t="s">
        <v>108</v>
      </c>
    </row>
    <row r="29" spans="5:21" x14ac:dyDescent="0.25">
      <c r="E29" s="21"/>
      <c r="N29"/>
      <c r="O29"/>
      <c r="R29" s="33" t="s">
        <v>103</v>
      </c>
      <c r="S29" s="33" t="s">
        <v>96</v>
      </c>
      <c r="T29" s="33">
        <v>6</v>
      </c>
      <c r="U29" s="34" t="s">
        <v>108</v>
      </c>
    </row>
    <row r="30" spans="5:21" x14ac:dyDescent="0.25">
      <c r="H30" s="21"/>
      <c r="N30"/>
      <c r="O30"/>
      <c r="R30" s="33" t="s">
        <v>103</v>
      </c>
      <c r="S30" s="33" t="s">
        <v>97</v>
      </c>
      <c r="T30" s="33">
        <v>6</v>
      </c>
      <c r="U30" s="34" t="s">
        <v>108</v>
      </c>
    </row>
    <row r="31" spans="5:21" x14ac:dyDescent="0.25">
      <c r="N31"/>
      <c r="O31"/>
      <c r="R31" s="33" t="s">
        <v>103</v>
      </c>
      <c r="S31" s="33" t="s">
        <v>98</v>
      </c>
      <c r="T31" s="33">
        <v>6</v>
      </c>
      <c r="U31" s="34" t="s">
        <v>108</v>
      </c>
    </row>
    <row r="32" spans="5:21" x14ac:dyDescent="0.25">
      <c r="N32"/>
      <c r="O32"/>
      <c r="R32" s="33" t="s">
        <v>103</v>
      </c>
      <c r="S32" s="33" t="s">
        <v>99</v>
      </c>
      <c r="T32" s="33">
        <v>6</v>
      </c>
      <c r="U32" s="34" t="s">
        <v>108</v>
      </c>
    </row>
    <row r="33" spans="14:21" x14ac:dyDescent="0.25">
      <c r="N33"/>
      <c r="O33"/>
      <c r="R33" s="33" t="s">
        <v>103</v>
      </c>
      <c r="S33" s="33" t="s">
        <v>100</v>
      </c>
      <c r="T33" s="33">
        <v>6</v>
      </c>
      <c r="U33" s="34" t="s">
        <v>108</v>
      </c>
    </row>
    <row r="34" spans="14:21" x14ac:dyDescent="0.25">
      <c r="N34"/>
      <c r="O34"/>
      <c r="R34" s="33" t="s">
        <v>104</v>
      </c>
      <c r="S34" s="33" t="s">
        <v>93</v>
      </c>
      <c r="T34" s="33">
        <v>6</v>
      </c>
      <c r="U34" s="34" t="s">
        <v>108</v>
      </c>
    </row>
    <row r="35" spans="14:21" x14ac:dyDescent="0.25">
      <c r="N35"/>
      <c r="O35"/>
      <c r="R35" s="33" t="s">
        <v>104</v>
      </c>
      <c r="S35" s="33" t="s">
        <v>94</v>
      </c>
      <c r="T35" s="33">
        <v>6</v>
      </c>
      <c r="U35" s="34" t="s">
        <v>108</v>
      </c>
    </row>
    <row r="36" spans="14:21" x14ac:dyDescent="0.25">
      <c r="N36"/>
      <c r="O36"/>
      <c r="R36" s="33" t="s">
        <v>104</v>
      </c>
      <c r="S36" s="33" t="s">
        <v>95</v>
      </c>
      <c r="T36" s="33">
        <v>6</v>
      </c>
      <c r="U36" s="34" t="s">
        <v>108</v>
      </c>
    </row>
    <row r="37" spans="14:21" x14ac:dyDescent="0.25">
      <c r="N37"/>
      <c r="O37"/>
      <c r="R37" s="33" t="s">
        <v>104</v>
      </c>
      <c r="S37" s="33" t="s">
        <v>96</v>
      </c>
      <c r="T37" s="33">
        <v>6</v>
      </c>
      <c r="U37" s="34" t="s">
        <v>108</v>
      </c>
    </row>
    <row r="38" spans="14:21" x14ac:dyDescent="0.25">
      <c r="N38"/>
      <c r="O38"/>
      <c r="R38" s="33" t="s">
        <v>104</v>
      </c>
      <c r="S38" s="33" t="s">
        <v>97</v>
      </c>
      <c r="T38" s="33">
        <v>6</v>
      </c>
      <c r="U38" s="34" t="s">
        <v>108</v>
      </c>
    </row>
    <row r="39" spans="14:21" x14ac:dyDescent="0.25">
      <c r="N39"/>
      <c r="O39"/>
      <c r="R39" s="33" t="s">
        <v>104</v>
      </c>
      <c r="S39" s="33" t="s">
        <v>98</v>
      </c>
      <c r="T39" s="33">
        <v>6</v>
      </c>
      <c r="U39" s="34" t="s">
        <v>108</v>
      </c>
    </row>
    <row r="40" spans="14:21" x14ac:dyDescent="0.25">
      <c r="N40"/>
      <c r="O40"/>
      <c r="R40" s="33" t="s">
        <v>104</v>
      </c>
      <c r="S40" s="33" t="s">
        <v>99</v>
      </c>
      <c r="T40" s="33">
        <v>6</v>
      </c>
      <c r="U40" s="34" t="s">
        <v>108</v>
      </c>
    </row>
    <row r="41" spans="14:21" x14ac:dyDescent="0.25">
      <c r="N41"/>
      <c r="O41"/>
      <c r="R41" s="33" t="s">
        <v>104</v>
      </c>
      <c r="S41" s="33" t="s">
        <v>100</v>
      </c>
      <c r="T41" s="33">
        <v>6</v>
      </c>
      <c r="U41" s="34" t="s">
        <v>108</v>
      </c>
    </row>
    <row r="42" spans="14:21" x14ac:dyDescent="0.25">
      <c r="N42"/>
      <c r="O42"/>
      <c r="R42" s="33">
        <v>72</v>
      </c>
      <c r="S42" s="33">
        <v>30</v>
      </c>
      <c r="T42" s="33">
        <v>6</v>
      </c>
      <c r="U42" s="34" t="s">
        <v>108</v>
      </c>
    </row>
    <row r="43" spans="14:21" x14ac:dyDescent="0.25">
      <c r="N43"/>
      <c r="O43"/>
      <c r="R43" s="33">
        <v>72</v>
      </c>
      <c r="S43" s="33">
        <v>36</v>
      </c>
      <c r="T43" s="33">
        <v>6</v>
      </c>
      <c r="U43" s="34" t="s">
        <v>108</v>
      </c>
    </row>
    <row r="44" spans="14:21" x14ac:dyDescent="0.25">
      <c r="N44"/>
      <c r="O44"/>
      <c r="R44" s="33">
        <v>72</v>
      </c>
      <c r="S44" s="33">
        <v>42</v>
      </c>
      <c r="T44" s="33">
        <v>6</v>
      </c>
      <c r="U44" s="34" t="s">
        <v>108</v>
      </c>
    </row>
    <row r="45" spans="14:21" x14ac:dyDescent="0.25">
      <c r="N45"/>
      <c r="O45"/>
      <c r="R45" s="33">
        <v>72</v>
      </c>
      <c r="S45" s="33">
        <v>48</v>
      </c>
      <c r="T45" s="33">
        <v>6</v>
      </c>
      <c r="U45" s="34" t="s">
        <v>108</v>
      </c>
    </row>
    <row r="46" spans="14:21" x14ac:dyDescent="0.25">
      <c r="N46"/>
      <c r="O46"/>
      <c r="R46" s="33">
        <v>72</v>
      </c>
      <c r="S46" s="33">
        <v>60</v>
      </c>
      <c r="T46" s="33">
        <v>6</v>
      </c>
      <c r="U46" s="34" t="s">
        <v>108</v>
      </c>
    </row>
    <row r="47" spans="14:21" x14ac:dyDescent="0.25">
      <c r="N47"/>
      <c r="O47"/>
      <c r="R47" s="33">
        <v>72</v>
      </c>
      <c r="S47" s="33">
        <v>66</v>
      </c>
      <c r="T47" s="33">
        <v>6</v>
      </c>
      <c r="U47" s="34" t="s">
        <v>108</v>
      </c>
    </row>
    <row r="48" spans="14:21" x14ac:dyDescent="0.25">
      <c r="N48"/>
      <c r="O48"/>
      <c r="R48" s="33">
        <v>72</v>
      </c>
      <c r="S48" s="33">
        <v>72</v>
      </c>
      <c r="T48" s="33">
        <v>6</v>
      </c>
      <c r="U48" s="34" t="s">
        <v>108</v>
      </c>
    </row>
    <row r="49" spans="14:21" x14ac:dyDescent="0.25">
      <c r="N49"/>
      <c r="O49"/>
      <c r="R49" s="33">
        <v>75</v>
      </c>
      <c r="S49" s="33">
        <v>30</v>
      </c>
      <c r="T49" s="33">
        <v>6</v>
      </c>
      <c r="U49" s="34" t="s">
        <v>108</v>
      </c>
    </row>
    <row r="50" spans="14:21" x14ac:dyDescent="0.25">
      <c r="R50" s="33">
        <v>75</v>
      </c>
      <c r="S50" s="33">
        <v>36</v>
      </c>
      <c r="T50" s="33">
        <v>6</v>
      </c>
      <c r="U50" s="34" t="s">
        <v>108</v>
      </c>
    </row>
    <row r="51" spans="14:21" x14ac:dyDescent="0.25">
      <c r="R51" s="33">
        <v>75</v>
      </c>
      <c r="S51" s="33">
        <v>42</v>
      </c>
      <c r="T51" s="33">
        <v>6</v>
      </c>
      <c r="U51" s="34" t="s">
        <v>108</v>
      </c>
    </row>
    <row r="52" spans="14:21" x14ac:dyDescent="0.25">
      <c r="R52" s="33">
        <v>75</v>
      </c>
      <c r="S52" s="33">
        <v>48</v>
      </c>
      <c r="T52" s="33">
        <v>6</v>
      </c>
      <c r="U52" s="34" t="s">
        <v>108</v>
      </c>
    </row>
    <row r="53" spans="14:21" x14ac:dyDescent="0.25">
      <c r="R53" s="33">
        <v>75</v>
      </c>
      <c r="S53" s="33">
        <v>60</v>
      </c>
      <c r="T53" s="33">
        <v>6</v>
      </c>
      <c r="U53" s="34" t="s">
        <v>108</v>
      </c>
    </row>
    <row r="54" spans="14:21" x14ac:dyDescent="0.25">
      <c r="R54" s="33">
        <v>75</v>
      </c>
      <c r="S54" s="33">
        <v>66</v>
      </c>
      <c r="T54" s="33">
        <v>6</v>
      </c>
      <c r="U54" s="34" t="s">
        <v>108</v>
      </c>
    </row>
    <row r="55" spans="14:21" x14ac:dyDescent="0.25">
      <c r="R55" s="33">
        <v>75</v>
      </c>
      <c r="S55" s="33">
        <v>72</v>
      </c>
      <c r="T55" s="33">
        <v>6</v>
      </c>
      <c r="U55" s="34" t="s">
        <v>108</v>
      </c>
    </row>
    <row r="56" spans="14:21" x14ac:dyDescent="0.25">
      <c r="R56" s="33">
        <v>78</v>
      </c>
      <c r="S56" s="33">
        <v>30</v>
      </c>
      <c r="T56" s="33">
        <v>6</v>
      </c>
      <c r="U56" s="34" t="s">
        <v>108</v>
      </c>
    </row>
    <row r="57" spans="14:21" x14ac:dyDescent="0.25">
      <c r="R57" s="33">
        <v>78</v>
      </c>
      <c r="S57" s="33">
        <v>36</v>
      </c>
      <c r="T57" s="33">
        <v>6</v>
      </c>
      <c r="U57" s="34" t="s">
        <v>108</v>
      </c>
    </row>
    <row r="58" spans="14:21" x14ac:dyDescent="0.25">
      <c r="R58" s="33">
        <v>78</v>
      </c>
      <c r="S58" s="33">
        <v>42</v>
      </c>
      <c r="T58" s="33">
        <v>6</v>
      </c>
      <c r="U58" s="34" t="s">
        <v>108</v>
      </c>
    </row>
    <row r="59" spans="14:21" x14ac:dyDescent="0.25">
      <c r="R59" s="33">
        <v>78</v>
      </c>
      <c r="S59" s="33">
        <v>48</v>
      </c>
      <c r="T59" s="33">
        <v>6</v>
      </c>
      <c r="U59" s="34" t="s">
        <v>108</v>
      </c>
    </row>
    <row r="60" spans="14:21" x14ac:dyDescent="0.25">
      <c r="R60" s="33">
        <v>78</v>
      </c>
      <c r="S60" s="33">
        <v>60</v>
      </c>
      <c r="T60" s="33">
        <v>6</v>
      </c>
      <c r="U60" s="34" t="s">
        <v>108</v>
      </c>
    </row>
    <row r="61" spans="14:21" x14ac:dyDescent="0.25">
      <c r="R61" s="33">
        <v>78</v>
      </c>
      <c r="S61" s="33">
        <v>66</v>
      </c>
      <c r="T61" s="33">
        <v>6</v>
      </c>
      <c r="U61" s="34" t="s">
        <v>108</v>
      </c>
    </row>
    <row r="62" spans="14:21" x14ac:dyDescent="0.25">
      <c r="R62" s="33">
        <v>78</v>
      </c>
      <c r="S62" s="33">
        <v>72</v>
      </c>
      <c r="T62" s="33">
        <v>6</v>
      </c>
      <c r="U62" s="34" t="s">
        <v>108</v>
      </c>
    </row>
    <row r="63" spans="14:21" x14ac:dyDescent="0.25">
      <c r="R63" s="33">
        <v>80</v>
      </c>
      <c r="S63" s="33">
        <v>30</v>
      </c>
      <c r="T63" s="33">
        <v>6</v>
      </c>
      <c r="U63" s="34" t="s">
        <v>108</v>
      </c>
    </row>
    <row r="64" spans="14:21" x14ac:dyDescent="0.25">
      <c r="R64" s="33">
        <v>80</v>
      </c>
      <c r="S64" s="33">
        <v>36</v>
      </c>
      <c r="T64" s="33">
        <v>6</v>
      </c>
      <c r="U64" s="34" t="s">
        <v>108</v>
      </c>
    </row>
    <row r="65" spans="18:21" x14ac:dyDescent="0.25">
      <c r="R65" s="33">
        <v>80</v>
      </c>
      <c r="S65" s="33">
        <v>42</v>
      </c>
      <c r="T65" s="33">
        <v>6</v>
      </c>
      <c r="U65" s="34" t="s">
        <v>108</v>
      </c>
    </row>
    <row r="66" spans="18:21" x14ac:dyDescent="0.25">
      <c r="R66" s="33">
        <v>80</v>
      </c>
      <c r="S66" s="33">
        <v>48</v>
      </c>
      <c r="T66" s="33">
        <v>6</v>
      </c>
      <c r="U66" s="34" t="s">
        <v>108</v>
      </c>
    </row>
    <row r="67" spans="18:21" x14ac:dyDescent="0.25">
      <c r="R67" s="33">
        <v>80</v>
      </c>
      <c r="S67" s="33">
        <v>60</v>
      </c>
      <c r="T67" s="33">
        <v>6</v>
      </c>
      <c r="U67" s="34" t="s">
        <v>108</v>
      </c>
    </row>
    <row r="68" spans="18:21" x14ac:dyDescent="0.25">
      <c r="R68" s="33">
        <v>80</v>
      </c>
      <c r="S68" s="33">
        <v>66</v>
      </c>
      <c r="T68" s="33">
        <v>6</v>
      </c>
      <c r="U68" s="34" t="s">
        <v>108</v>
      </c>
    </row>
    <row r="69" spans="18:21" x14ac:dyDescent="0.25">
      <c r="R69" s="33">
        <v>80</v>
      </c>
      <c r="S69" s="33">
        <v>72</v>
      </c>
      <c r="T69" s="33">
        <v>6</v>
      </c>
      <c r="U69" s="34" t="s">
        <v>108</v>
      </c>
    </row>
    <row r="70" spans="18:21" x14ac:dyDescent="0.25">
      <c r="R70" s="33">
        <v>84</v>
      </c>
      <c r="S70" s="33">
        <v>30</v>
      </c>
      <c r="T70" s="33">
        <v>6</v>
      </c>
      <c r="U70" s="34" t="s">
        <v>108</v>
      </c>
    </row>
    <row r="71" spans="18:21" x14ac:dyDescent="0.25">
      <c r="R71" s="33">
        <v>84</v>
      </c>
      <c r="S71" s="33">
        <v>36</v>
      </c>
      <c r="T71" s="33">
        <v>6</v>
      </c>
      <c r="U71" s="34" t="s">
        <v>108</v>
      </c>
    </row>
    <row r="72" spans="18:21" x14ac:dyDescent="0.25">
      <c r="R72" s="33">
        <v>84</v>
      </c>
      <c r="S72" s="33">
        <v>42</v>
      </c>
      <c r="T72" s="33">
        <v>6</v>
      </c>
      <c r="U72" s="34" t="s">
        <v>108</v>
      </c>
    </row>
    <row r="73" spans="18:21" x14ac:dyDescent="0.25">
      <c r="R73" s="33">
        <v>84</v>
      </c>
      <c r="S73" s="33">
        <v>48</v>
      </c>
      <c r="T73" s="33">
        <v>6</v>
      </c>
      <c r="U73" s="34" t="s">
        <v>108</v>
      </c>
    </row>
    <row r="74" spans="18:21" x14ac:dyDescent="0.25">
      <c r="R74" s="33">
        <v>84</v>
      </c>
      <c r="S74" s="33">
        <v>60</v>
      </c>
      <c r="T74" s="33">
        <v>6</v>
      </c>
      <c r="U74" s="34" t="s">
        <v>108</v>
      </c>
    </row>
    <row r="75" spans="18:21" x14ac:dyDescent="0.25">
      <c r="R75" s="33">
        <v>84</v>
      </c>
      <c r="S75" s="33">
        <v>66</v>
      </c>
      <c r="T75" s="33">
        <v>6</v>
      </c>
      <c r="U75" s="34" t="s">
        <v>108</v>
      </c>
    </row>
    <row r="76" spans="18:21" x14ac:dyDescent="0.25">
      <c r="R76" s="33">
        <v>84</v>
      </c>
      <c r="S76" s="33">
        <v>72</v>
      </c>
      <c r="T76" s="33">
        <v>6</v>
      </c>
      <c r="U76" s="34" t="s">
        <v>108</v>
      </c>
    </row>
    <row r="77" spans="18:21" x14ac:dyDescent="0.25">
      <c r="R77" s="33"/>
      <c r="S77" s="33"/>
      <c r="T77" s="33"/>
      <c r="U77" s="34"/>
    </row>
    <row r="78" spans="18:21" x14ac:dyDescent="0.25">
      <c r="R78" s="33"/>
      <c r="S78" s="33"/>
      <c r="T78" s="33"/>
      <c r="U78" s="34"/>
    </row>
    <row r="79" spans="18:21" x14ac:dyDescent="0.25">
      <c r="R79" s="33"/>
      <c r="S79" s="33"/>
      <c r="T79" s="33"/>
      <c r="U79" s="34"/>
    </row>
    <row r="80" spans="18:21" x14ac:dyDescent="0.25">
      <c r="R80" s="33"/>
      <c r="S80" s="33"/>
      <c r="T80" s="33"/>
      <c r="U80" s="34"/>
    </row>
    <row r="81" spans="18:21" x14ac:dyDescent="0.25">
      <c r="R81" s="33"/>
      <c r="S81" s="33"/>
      <c r="T81" s="33"/>
      <c r="U81" s="34"/>
    </row>
    <row r="82" spans="18:21" x14ac:dyDescent="0.25">
      <c r="R82" s="33"/>
      <c r="S82" s="33"/>
      <c r="T82" s="33"/>
      <c r="U82" s="34"/>
    </row>
    <row r="83" spans="18:21" x14ac:dyDescent="0.25">
      <c r="R83" s="33"/>
      <c r="S83" s="33"/>
      <c r="T83" s="33"/>
      <c r="U83" s="34"/>
    </row>
    <row r="84" spans="18:21" x14ac:dyDescent="0.25">
      <c r="R84" s="33"/>
      <c r="S84" s="33"/>
      <c r="T84" s="33"/>
      <c r="U84" s="34"/>
    </row>
    <row r="85" spans="18:21" x14ac:dyDescent="0.25">
      <c r="R85" s="33"/>
      <c r="S85" s="33"/>
      <c r="T85" s="33"/>
      <c r="U85" s="34"/>
    </row>
    <row r="86" spans="18:21" x14ac:dyDescent="0.25">
      <c r="R86" s="33"/>
      <c r="S86" s="33"/>
      <c r="T86" s="33"/>
      <c r="U86" s="34"/>
    </row>
    <row r="87" spans="18:21" x14ac:dyDescent="0.25">
      <c r="R87" s="33"/>
      <c r="S87" s="33"/>
      <c r="T87" s="33"/>
      <c r="U87" s="34"/>
    </row>
    <row r="88" spans="18:21" x14ac:dyDescent="0.25">
      <c r="R88" s="33"/>
      <c r="S88" s="33"/>
      <c r="T88" s="33"/>
      <c r="U88" s="34"/>
    </row>
    <row r="89" spans="18:21" x14ac:dyDescent="0.25">
      <c r="R89" s="33"/>
      <c r="S89" s="33"/>
      <c r="T89" s="33"/>
      <c r="U89" s="34"/>
    </row>
    <row r="90" spans="18:21" x14ac:dyDescent="0.25">
      <c r="R90" s="33"/>
      <c r="S90" s="33"/>
      <c r="T90" s="33"/>
      <c r="U90" s="34"/>
    </row>
    <row r="91" spans="18:21" x14ac:dyDescent="0.25">
      <c r="R91" s="33"/>
      <c r="S91" s="33"/>
      <c r="T91" s="33"/>
      <c r="U91" s="34"/>
    </row>
    <row r="92" spans="18:21" x14ac:dyDescent="0.25">
      <c r="R92" s="33"/>
      <c r="S92" s="33"/>
      <c r="T92" s="33"/>
      <c r="U92" s="34"/>
    </row>
    <row r="93" spans="18:21" x14ac:dyDescent="0.25">
      <c r="R93" s="33"/>
      <c r="S93" s="33"/>
      <c r="T93" s="33"/>
      <c r="U93" s="34"/>
    </row>
    <row r="94" spans="18:21" x14ac:dyDescent="0.25">
      <c r="R94" s="33"/>
      <c r="S94" s="33"/>
      <c r="T94" s="33"/>
      <c r="U94" s="34"/>
    </row>
    <row r="95" spans="18:21" x14ac:dyDescent="0.25">
      <c r="R95" s="33"/>
      <c r="S95" s="33"/>
      <c r="T95" s="33"/>
      <c r="U95" s="34"/>
    </row>
    <row r="96" spans="18:21" x14ac:dyDescent="0.25">
      <c r="R96" s="33"/>
      <c r="S96" s="33"/>
      <c r="T96" s="33"/>
      <c r="U96" s="34"/>
    </row>
    <row r="97" spans="18:21" x14ac:dyDescent="0.25">
      <c r="R97" s="33"/>
      <c r="S97" s="33"/>
      <c r="T97" s="33"/>
      <c r="U97" s="34"/>
    </row>
    <row r="98" spans="18:21" x14ac:dyDescent="0.25">
      <c r="R98" s="33"/>
      <c r="S98" s="33"/>
      <c r="T98" s="33"/>
      <c r="U98" s="34"/>
    </row>
    <row r="99" spans="18:21" x14ac:dyDescent="0.25">
      <c r="R99" s="33"/>
      <c r="S99" s="33"/>
      <c r="T99" s="33"/>
      <c r="U99" s="34"/>
    </row>
    <row r="100" spans="18:21" x14ac:dyDescent="0.25">
      <c r="R100" s="33"/>
      <c r="S100" s="33"/>
      <c r="T100" s="33"/>
      <c r="U100" s="34"/>
    </row>
    <row r="101" spans="18:21" x14ac:dyDescent="0.25">
      <c r="R101" s="33"/>
      <c r="S101" s="33"/>
      <c r="T101" s="33"/>
      <c r="U101" s="34"/>
    </row>
    <row r="102" spans="18:21" x14ac:dyDescent="0.25">
      <c r="R102" s="33"/>
      <c r="S102" s="33"/>
      <c r="T102" s="33"/>
      <c r="U102" s="34"/>
    </row>
    <row r="103" spans="18:21" x14ac:dyDescent="0.25">
      <c r="R103" s="33"/>
      <c r="S103" s="33"/>
      <c r="T103" s="33"/>
      <c r="U103" s="34"/>
    </row>
    <row r="104" spans="18:21" x14ac:dyDescent="0.25">
      <c r="R104" s="33"/>
      <c r="S104" s="33"/>
      <c r="T104" s="33"/>
      <c r="U104" s="34"/>
    </row>
    <row r="105" spans="18:21" x14ac:dyDescent="0.25">
      <c r="R105" s="33"/>
      <c r="S105" s="33"/>
      <c r="T105" s="33"/>
      <c r="U105" s="34"/>
    </row>
    <row r="106" spans="18:21" x14ac:dyDescent="0.25">
      <c r="R106" s="33"/>
      <c r="S106" s="33"/>
      <c r="T106" s="33"/>
      <c r="U106" s="34"/>
    </row>
    <row r="107" spans="18:21" x14ac:dyDescent="0.25">
      <c r="R107" s="33"/>
      <c r="S107" s="33"/>
      <c r="T107" s="33"/>
      <c r="U107" s="34"/>
    </row>
    <row r="108" spans="18:21" x14ac:dyDescent="0.25">
      <c r="R108" s="33"/>
      <c r="S108" s="33"/>
      <c r="T108" s="33"/>
      <c r="U108" s="34"/>
    </row>
    <row r="109" spans="18:21" x14ac:dyDescent="0.25">
      <c r="R109" s="33"/>
      <c r="S109" s="33"/>
      <c r="T109" s="33"/>
      <c r="U109" s="34"/>
    </row>
    <row r="110" spans="18:21" x14ac:dyDescent="0.25">
      <c r="R110" s="33"/>
      <c r="S110" s="33"/>
      <c r="T110" s="33"/>
      <c r="U110" s="34"/>
    </row>
    <row r="111" spans="18:21" x14ac:dyDescent="0.25">
      <c r="R111" s="33"/>
      <c r="S111" s="33"/>
      <c r="T111" s="33"/>
      <c r="U111" s="34"/>
    </row>
    <row r="112" spans="18:21" x14ac:dyDescent="0.25">
      <c r="R112" s="33"/>
      <c r="S112" s="33"/>
      <c r="T112" s="34"/>
      <c r="U112" s="34"/>
    </row>
    <row r="113" spans="18:21" x14ac:dyDescent="0.25">
      <c r="R113" s="33"/>
      <c r="S113" s="33"/>
      <c r="T113" s="34"/>
      <c r="U113" s="34"/>
    </row>
    <row r="114" spans="18:21" x14ac:dyDescent="0.25">
      <c r="R114" s="33"/>
      <c r="S114" s="33"/>
      <c r="T114" s="34"/>
      <c r="U114" s="34"/>
    </row>
    <row r="115" spans="18:21" x14ac:dyDescent="0.25">
      <c r="R115" s="33"/>
      <c r="S115" s="33"/>
      <c r="T115" s="34"/>
      <c r="U115" s="34"/>
    </row>
    <row r="116" spans="18:21" x14ac:dyDescent="0.25">
      <c r="R116" s="33"/>
      <c r="S116" s="33"/>
      <c r="T116" s="34"/>
      <c r="U116" s="34"/>
    </row>
    <row r="117" spans="18:21" x14ac:dyDescent="0.25">
      <c r="R117" s="33"/>
      <c r="S117" s="33"/>
      <c r="T117" s="34"/>
      <c r="U117" s="34"/>
    </row>
    <row r="118" spans="18:21" x14ac:dyDescent="0.25">
      <c r="R118" s="33"/>
      <c r="S118" s="33"/>
      <c r="T118" s="34"/>
      <c r="U118" s="34"/>
    </row>
    <row r="119" spans="18:21" x14ac:dyDescent="0.25">
      <c r="R119" s="33"/>
      <c r="S119" s="33"/>
      <c r="T119" s="34"/>
      <c r="U119" s="34"/>
    </row>
    <row r="120" spans="18:21" x14ac:dyDescent="0.25">
      <c r="R120" s="33"/>
      <c r="S120" s="33"/>
      <c r="T120" s="34"/>
      <c r="U120" s="34"/>
    </row>
    <row r="121" spans="18:21" x14ac:dyDescent="0.25">
      <c r="R121" s="33"/>
      <c r="S121" s="33"/>
      <c r="T121" s="34"/>
      <c r="U121" s="34"/>
    </row>
    <row r="122" spans="18:21" x14ac:dyDescent="0.25">
      <c r="R122" s="33"/>
      <c r="S122" s="33"/>
      <c r="T122" s="33"/>
      <c r="U122" s="34"/>
    </row>
    <row r="123" spans="18:21" x14ac:dyDescent="0.25">
      <c r="R123" s="33"/>
      <c r="S123" s="33"/>
      <c r="T123" s="33"/>
      <c r="U123" s="34"/>
    </row>
    <row r="124" spans="18:21" x14ac:dyDescent="0.25">
      <c r="R124" s="33"/>
      <c r="S124" s="33"/>
      <c r="T124" s="33"/>
      <c r="U124" s="34"/>
    </row>
    <row r="125" spans="18:21" x14ac:dyDescent="0.25">
      <c r="R125" s="33"/>
      <c r="S125" s="33"/>
      <c r="T125" s="33"/>
      <c r="U125" s="34"/>
    </row>
    <row r="126" spans="18:21" x14ac:dyDescent="0.25">
      <c r="R126" s="33"/>
      <c r="S126" s="33"/>
      <c r="T126" s="33"/>
      <c r="U126" s="34"/>
    </row>
    <row r="127" spans="18:21" x14ac:dyDescent="0.25">
      <c r="R127" s="33"/>
      <c r="S127" s="33"/>
      <c r="T127" s="33"/>
      <c r="U127" s="34"/>
    </row>
    <row r="128" spans="18:21" x14ac:dyDescent="0.25">
      <c r="R128" s="33"/>
      <c r="S128" s="33"/>
      <c r="T128" s="33"/>
      <c r="U128" s="34"/>
    </row>
    <row r="129" spans="18:21" x14ac:dyDescent="0.25">
      <c r="R129" s="33"/>
      <c r="S129" s="33"/>
      <c r="T129" s="33"/>
      <c r="U129" s="34"/>
    </row>
    <row r="130" spans="18:21" x14ac:dyDescent="0.25">
      <c r="R130" s="33"/>
      <c r="S130" s="33"/>
      <c r="T130" s="33"/>
      <c r="U130" s="34"/>
    </row>
    <row r="131" spans="18:21" x14ac:dyDescent="0.25">
      <c r="R131" s="33"/>
      <c r="S131" s="33"/>
      <c r="T131" s="33"/>
      <c r="U131" s="34"/>
    </row>
    <row r="132" spans="18:21" x14ac:dyDescent="0.25">
      <c r="R132" s="33"/>
      <c r="S132" s="33"/>
      <c r="T132" s="34"/>
      <c r="U132" s="34"/>
    </row>
    <row r="133" spans="18:21" x14ac:dyDescent="0.25">
      <c r="R133" s="33"/>
      <c r="S133" s="33"/>
      <c r="T133" s="34"/>
      <c r="U133" s="34"/>
    </row>
    <row r="134" spans="18:21" x14ac:dyDescent="0.25">
      <c r="R134" s="33"/>
      <c r="S134" s="33"/>
      <c r="T134" s="34"/>
      <c r="U134" s="34"/>
    </row>
    <row r="135" spans="18:21" x14ac:dyDescent="0.25">
      <c r="R135" s="33"/>
      <c r="S135" s="33"/>
      <c r="T135" s="34"/>
      <c r="U135" s="34"/>
    </row>
    <row r="136" spans="18:21" x14ac:dyDescent="0.25">
      <c r="R136" s="33"/>
      <c r="S136" s="33"/>
      <c r="T136" s="34"/>
      <c r="U136" s="34"/>
    </row>
    <row r="137" spans="18:21" x14ac:dyDescent="0.25">
      <c r="R137" s="33"/>
      <c r="S137" s="33"/>
      <c r="T137" s="34"/>
      <c r="U137" s="34"/>
    </row>
    <row r="138" spans="18:21" x14ac:dyDescent="0.25">
      <c r="R138" s="33"/>
      <c r="S138" s="33"/>
      <c r="T138" s="34"/>
      <c r="U138" s="34"/>
    </row>
    <row r="139" spans="18:21" x14ac:dyDescent="0.25">
      <c r="R139" s="33"/>
      <c r="S139" s="33"/>
      <c r="T139" s="34"/>
      <c r="U139" s="34"/>
    </row>
    <row r="140" spans="18:21" x14ac:dyDescent="0.25">
      <c r="R140" s="33"/>
      <c r="S140" s="33"/>
      <c r="T140" s="34"/>
      <c r="U140" s="34"/>
    </row>
    <row r="141" spans="18:21" x14ac:dyDescent="0.25">
      <c r="R141" s="33"/>
      <c r="S141" s="33"/>
      <c r="T141" s="34"/>
      <c r="U141" s="34"/>
    </row>
    <row r="142" spans="18:21" x14ac:dyDescent="0.25">
      <c r="R142" s="33"/>
      <c r="S142" s="33"/>
      <c r="T142" s="34"/>
      <c r="U142" s="34"/>
    </row>
    <row r="143" spans="18:21" x14ac:dyDescent="0.25">
      <c r="R143" s="33"/>
      <c r="S143" s="33"/>
      <c r="T143" s="34"/>
      <c r="U143" s="34"/>
    </row>
    <row r="144" spans="18:21" x14ac:dyDescent="0.25">
      <c r="R144" s="33"/>
      <c r="S144" s="33"/>
      <c r="T144" s="34"/>
      <c r="U144" s="34"/>
    </row>
    <row r="145" spans="18:21" x14ac:dyDescent="0.25">
      <c r="R145" s="33"/>
      <c r="S145" s="33"/>
      <c r="T145" s="34"/>
      <c r="U145" s="34"/>
    </row>
    <row r="146" spans="18:21" x14ac:dyDescent="0.25">
      <c r="R146" s="33"/>
      <c r="S146" s="33"/>
      <c r="T146" s="34"/>
      <c r="U146" s="34"/>
    </row>
    <row r="147" spans="18:21" x14ac:dyDescent="0.25">
      <c r="R147" s="33"/>
      <c r="S147" s="33"/>
      <c r="T147" s="34"/>
      <c r="U147" s="34"/>
    </row>
    <row r="148" spans="18:21" x14ac:dyDescent="0.25">
      <c r="R148" s="33"/>
      <c r="S148" s="33"/>
      <c r="T148" s="34"/>
      <c r="U148" s="34"/>
    </row>
    <row r="149" spans="18:21" x14ac:dyDescent="0.25">
      <c r="R149" s="33"/>
      <c r="S149" s="33"/>
      <c r="T149" s="34"/>
      <c r="U149" s="34"/>
    </row>
    <row r="150" spans="18:21" x14ac:dyDescent="0.25">
      <c r="R150" s="33"/>
      <c r="S150" s="33"/>
      <c r="T150" s="34"/>
      <c r="U150" s="34"/>
    </row>
    <row r="151" spans="18:21" x14ac:dyDescent="0.25">
      <c r="R151" s="33"/>
      <c r="S151" s="33"/>
      <c r="T151" s="34"/>
      <c r="U151" s="34"/>
    </row>
    <row r="152" spans="18:21" x14ac:dyDescent="0.25">
      <c r="R152" s="33"/>
      <c r="S152" s="33"/>
      <c r="T152" s="34"/>
      <c r="U152" s="34"/>
    </row>
    <row r="153" spans="18:21" x14ac:dyDescent="0.25">
      <c r="R153" s="33"/>
      <c r="S153" s="33"/>
      <c r="T153" s="34"/>
      <c r="U153" s="34"/>
    </row>
    <row r="154" spans="18:21" x14ac:dyDescent="0.25">
      <c r="R154" s="33"/>
      <c r="S154" s="33"/>
      <c r="T154" s="34"/>
      <c r="U154" s="34"/>
    </row>
    <row r="155" spans="18:21" x14ac:dyDescent="0.25">
      <c r="R155" s="33"/>
      <c r="S155" s="33"/>
      <c r="T155" s="34"/>
      <c r="U155" s="34"/>
    </row>
    <row r="156" spans="18:21" x14ac:dyDescent="0.25">
      <c r="R156" s="33"/>
      <c r="S156" s="33"/>
      <c r="T156" s="34"/>
      <c r="U156" s="34"/>
    </row>
    <row r="157" spans="18:21" x14ac:dyDescent="0.25">
      <c r="R157" s="33"/>
      <c r="S157" s="33"/>
      <c r="T157" s="34"/>
      <c r="U157" s="34"/>
    </row>
    <row r="158" spans="18:21" x14ac:dyDescent="0.25">
      <c r="R158" s="33"/>
      <c r="S158" s="33"/>
      <c r="T158" s="34"/>
      <c r="U158" s="34"/>
    </row>
    <row r="159" spans="18:21" x14ac:dyDescent="0.25">
      <c r="R159" s="33"/>
      <c r="S159" s="33"/>
      <c r="T159" s="34"/>
      <c r="U159" s="34"/>
    </row>
    <row r="160" spans="18:21" x14ac:dyDescent="0.25">
      <c r="R160" s="33"/>
      <c r="S160" s="33"/>
      <c r="T160" s="34"/>
      <c r="U160" s="34"/>
    </row>
    <row r="161" spans="18:21" x14ac:dyDescent="0.25">
      <c r="R161" s="33"/>
      <c r="S161" s="33"/>
      <c r="T161" s="34"/>
      <c r="U161" s="34"/>
    </row>
    <row r="162" spans="18:21" x14ac:dyDescent="0.25">
      <c r="R162" s="34"/>
      <c r="S162" s="34"/>
      <c r="T162" s="34"/>
      <c r="U162" s="34"/>
    </row>
    <row r="163" spans="18:21" x14ac:dyDescent="0.25">
      <c r="R163" s="34"/>
      <c r="S163" s="34"/>
      <c r="T163" s="34"/>
      <c r="U163" s="34"/>
    </row>
    <row r="164" spans="18:21" x14ac:dyDescent="0.25">
      <c r="R164" s="34"/>
      <c r="S164" s="34"/>
      <c r="T164" s="34"/>
      <c r="U164" s="34"/>
    </row>
    <row r="165" spans="18:21" x14ac:dyDescent="0.25">
      <c r="R165" s="34"/>
      <c r="S165" s="34"/>
      <c r="T165" s="34"/>
      <c r="U165" s="34"/>
    </row>
    <row r="166" spans="18:21" x14ac:dyDescent="0.25">
      <c r="R166" s="34"/>
      <c r="S166" s="34"/>
      <c r="T166" s="34"/>
      <c r="U166" s="34"/>
    </row>
    <row r="167" spans="18:21" x14ac:dyDescent="0.25">
      <c r="R167" s="34"/>
      <c r="S167" s="34"/>
      <c r="T167" s="34"/>
      <c r="U167" s="34"/>
    </row>
    <row r="168" spans="18:21" x14ac:dyDescent="0.25">
      <c r="R168" s="34"/>
      <c r="S168" s="34"/>
      <c r="T168" s="34"/>
      <c r="U168" s="34"/>
    </row>
    <row r="169" spans="18:21" x14ac:dyDescent="0.25">
      <c r="R169" s="34"/>
      <c r="S169" s="34"/>
      <c r="T169" s="34"/>
      <c r="U169" s="34"/>
    </row>
    <row r="170" spans="18:21" x14ac:dyDescent="0.25">
      <c r="R170" s="34"/>
      <c r="S170" s="34"/>
      <c r="T170" s="34"/>
      <c r="U170" s="34"/>
    </row>
    <row r="171" spans="18:21" x14ac:dyDescent="0.25">
      <c r="R171" s="34"/>
      <c r="S171" s="34"/>
      <c r="T171" s="34"/>
      <c r="U171" s="34"/>
    </row>
    <row r="172" spans="18:21" x14ac:dyDescent="0.25">
      <c r="R172" s="34"/>
      <c r="S172" s="34"/>
      <c r="T172" s="34"/>
      <c r="U172" s="34"/>
    </row>
    <row r="173" spans="18:21" x14ac:dyDescent="0.25">
      <c r="R173" s="34"/>
      <c r="S173" s="34"/>
      <c r="T173" s="34"/>
      <c r="U173" s="34"/>
    </row>
    <row r="174" spans="18:21" x14ac:dyDescent="0.25">
      <c r="R174" s="34"/>
      <c r="S174" s="34"/>
      <c r="T174" s="34"/>
      <c r="U174" s="34"/>
    </row>
    <row r="175" spans="18:21" x14ac:dyDescent="0.25">
      <c r="R175" s="34"/>
      <c r="S175" s="34"/>
      <c r="T175" s="34"/>
      <c r="U175" s="34"/>
    </row>
    <row r="176" spans="18:21" x14ac:dyDescent="0.25">
      <c r="R176" s="34"/>
      <c r="S176" s="34"/>
      <c r="T176" s="34"/>
      <c r="U176" s="34"/>
    </row>
    <row r="177" spans="18:21" x14ac:dyDescent="0.25">
      <c r="R177" s="34"/>
      <c r="S177" s="34"/>
      <c r="T177" s="34"/>
      <c r="U177" s="34"/>
    </row>
    <row r="178" spans="18:21" x14ac:dyDescent="0.25">
      <c r="R178" s="34"/>
      <c r="S178" s="34"/>
      <c r="T178" s="34"/>
      <c r="U178" s="34"/>
    </row>
    <row r="179" spans="18:21" x14ac:dyDescent="0.25">
      <c r="R179" s="34"/>
      <c r="S179" s="34"/>
      <c r="T179" s="34"/>
      <c r="U179" s="34"/>
    </row>
    <row r="180" spans="18:21" x14ac:dyDescent="0.25">
      <c r="R180" s="34"/>
      <c r="S180" s="34"/>
      <c r="T180" s="34"/>
      <c r="U180" s="34"/>
    </row>
    <row r="181" spans="18:21" x14ac:dyDescent="0.25">
      <c r="R181" s="34"/>
      <c r="S181" s="34"/>
      <c r="T181" s="34"/>
      <c r="U181" s="34"/>
    </row>
    <row r="182" spans="18:21" x14ac:dyDescent="0.25">
      <c r="R182" s="34"/>
      <c r="S182" s="34"/>
      <c r="T182" s="34"/>
      <c r="U182" s="34"/>
    </row>
    <row r="183" spans="18:21" x14ac:dyDescent="0.25">
      <c r="R183" s="34"/>
      <c r="S183" s="34"/>
      <c r="T183" s="34"/>
      <c r="U183" s="34"/>
    </row>
    <row r="184" spans="18:21" x14ac:dyDescent="0.25">
      <c r="R184" s="34"/>
      <c r="S184" s="34"/>
      <c r="T184" s="34"/>
      <c r="U184" s="34"/>
    </row>
    <row r="185" spans="18:21" x14ac:dyDescent="0.25">
      <c r="R185" s="34"/>
      <c r="S185" s="34"/>
      <c r="T185" s="34"/>
      <c r="U185" s="34"/>
    </row>
    <row r="186" spans="18:21" x14ac:dyDescent="0.25">
      <c r="R186" s="34"/>
      <c r="S186" s="34"/>
      <c r="T186" s="34"/>
      <c r="U186" s="34"/>
    </row>
    <row r="187" spans="18:21" x14ac:dyDescent="0.25">
      <c r="R187" s="34"/>
      <c r="S187" s="34"/>
      <c r="T187" s="34"/>
      <c r="U187" s="34"/>
    </row>
    <row r="188" spans="18:21" x14ac:dyDescent="0.25">
      <c r="R188" s="34"/>
      <c r="S188" s="34"/>
      <c r="T188" s="34"/>
      <c r="U188" s="34"/>
    </row>
    <row r="189" spans="18:21" x14ac:dyDescent="0.25">
      <c r="R189" s="34"/>
      <c r="S189" s="34"/>
      <c r="T189" s="34"/>
      <c r="U189" s="34"/>
    </row>
    <row r="190" spans="18:21" x14ac:dyDescent="0.25">
      <c r="R190" s="34"/>
      <c r="S190" s="34"/>
      <c r="T190" s="34"/>
      <c r="U190" s="34"/>
    </row>
    <row r="191" spans="18:21" x14ac:dyDescent="0.25">
      <c r="R191" s="34"/>
      <c r="S191" s="34"/>
      <c r="T191" s="34"/>
      <c r="U191" s="34"/>
    </row>
    <row r="192" spans="18:21" x14ac:dyDescent="0.25">
      <c r="R192" s="34"/>
      <c r="S192" s="34"/>
      <c r="T192" s="34"/>
      <c r="U192" s="34"/>
    </row>
    <row r="193" spans="18:21" x14ac:dyDescent="0.25">
      <c r="R193" s="34"/>
      <c r="S193" s="34"/>
      <c r="T193" s="34"/>
      <c r="U193" s="34"/>
    </row>
    <row r="194" spans="18:21" x14ac:dyDescent="0.25">
      <c r="R194" s="34"/>
      <c r="S194" s="34"/>
      <c r="T194" s="34"/>
      <c r="U194" s="34"/>
    </row>
    <row r="195" spans="18:21" x14ac:dyDescent="0.25">
      <c r="R195" s="34"/>
      <c r="S195" s="34"/>
      <c r="T195" s="34"/>
      <c r="U195" s="34"/>
    </row>
    <row r="196" spans="18:21" x14ac:dyDescent="0.25">
      <c r="R196" s="34"/>
      <c r="S196" s="34"/>
      <c r="T196" s="34"/>
      <c r="U196" s="34"/>
    </row>
    <row r="197" spans="18:21" x14ac:dyDescent="0.25">
      <c r="R197" s="34"/>
      <c r="S197" s="34"/>
      <c r="T197" s="34"/>
      <c r="U197" s="34"/>
    </row>
    <row r="198" spans="18:21" x14ac:dyDescent="0.25">
      <c r="R198" s="34"/>
      <c r="S198" s="34"/>
      <c r="T198" s="34"/>
      <c r="U198" s="34"/>
    </row>
    <row r="199" spans="18:21" x14ac:dyDescent="0.25">
      <c r="R199" s="34"/>
      <c r="S199" s="34"/>
      <c r="T199" s="34"/>
      <c r="U199" s="34"/>
    </row>
    <row r="200" spans="18:21" x14ac:dyDescent="0.25">
      <c r="R200" s="34"/>
      <c r="S200" s="34"/>
      <c r="T200" s="34"/>
      <c r="U200" s="34"/>
    </row>
    <row r="201" spans="18:21" x14ac:dyDescent="0.25">
      <c r="R201" s="34"/>
      <c r="S201" s="34"/>
      <c r="T201" s="34"/>
      <c r="U201" s="34"/>
    </row>
    <row r="202" spans="18:21" x14ac:dyDescent="0.25">
      <c r="R202" s="34"/>
      <c r="S202" s="34"/>
      <c r="T202" s="34"/>
      <c r="U202" s="34"/>
    </row>
    <row r="203" spans="18:21" x14ac:dyDescent="0.25">
      <c r="R203" s="34"/>
      <c r="S203" s="34"/>
      <c r="T203" s="34"/>
      <c r="U203" s="34"/>
    </row>
    <row r="204" spans="18:21" x14ac:dyDescent="0.25">
      <c r="R204" s="34"/>
      <c r="S204" s="34"/>
      <c r="T204" s="34"/>
      <c r="U204" s="34"/>
    </row>
    <row r="205" spans="18:21" x14ac:dyDescent="0.25">
      <c r="R205" s="34"/>
      <c r="S205" s="34"/>
      <c r="T205" s="34"/>
      <c r="U205" s="34"/>
    </row>
    <row r="206" spans="18:21" x14ac:dyDescent="0.25">
      <c r="R206" s="34"/>
      <c r="S206" s="34"/>
      <c r="T206" s="34"/>
      <c r="U206" s="34"/>
    </row>
    <row r="207" spans="18:21" x14ac:dyDescent="0.25">
      <c r="R207" s="34"/>
      <c r="S207" s="34"/>
      <c r="T207" s="34"/>
      <c r="U207" s="34"/>
    </row>
    <row r="208" spans="18:21" x14ac:dyDescent="0.25">
      <c r="R208" s="34"/>
      <c r="S208" s="34"/>
      <c r="T208" s="34"/>
      <c r="U208" s="34"/>
    </row>
    <row r="209" spans="18:21" x14ac:dyDescent="0.25">
      <c r="R209" s="34"/>
      <c r="S209" s="34"/>
      <c r="T209" s="34"/>
      <c r="U209" s="34"/>
    </row>
    <row r="210" spans="18:21" x14ac:dyDescent="0.25">
      <c r="R210" s="34"/>
      <c r="S210" s="34"/>
      <c r="T210" s="34"/>
      <c r="U210" s="34"/>
    </row>
    <row r="211" spans="18:21" x14ac:dyDescent="0.25">
      <c r="R211" s="34"/>
      <c r="S211" s="34"/>
      <c r="T211" s="34"/>
      <c r="U211" s="34"/>
    </row>
    <row r="212" spans="18:21" x14ac:dyDescent="0.25">
      <c r="R212" s="34"/>
      <c r="S212" s="34"/>
      <c r="T212" s="34"/>
      <c r="U212" s="34"/>
    </row>
    <row r="213" spans="18:21" x14ac:dyDescent="0.25">
      <c r="R213" s="34"/>
      <c r="S213" s="34"/>
      <c r="T213" s="34"/>
      <c r="U213" s="34"/>
    </row>
    <row r="214" spans="18:21" x14ac:dyDescent="0.25">
      <c r="R214" s="34"/>
      <c r="S214" s="34"/>
      <c r="T214" s="34"/>
      <c r="U214" s="34"/>
    </row>
    <row r="215" spans="18:21" x14ac:dyDescent="0.25">
      <c r="R215" s="34"/>
      <c r="S215" s="34"/>
      <c r="T215" s="34"/>
      <c r="U215" s="34"/>
    </row>
    <row r="216" spans="18:21" x14ac:dyDescent="0.25">
      <c r="R216" s="34"/>
      <c r="S216" s="34"/>
      <c r="T216" s="34"/>
      <c r="U216" s="34"/>
    </row>
    <row r="217" spans="18:21" x14ac:dyDescent="0.25">
      <c r="R217" s="34"/>
      <c r="S217" s="34"/>
      <c r="T217" s="34"/>
      <c r="U217" s="34"/>
    </row>
    <row r="218" spans="18:21" x14ac:dyDescent="0.25">
      <c r="R218" s="34"/>
      <c r="S218" s="34"/>
      <c r="T218" s="34"/>
      <c r="U218" s="34"/>
    </row>
    <row r="219" spans="18:21" x14ac:dyDescent="0.25">
      <c r="R219" s="34"/>
      <c r="S219" s="34"/>
      <c r="T219" s="34"/>
      <c r="U219" s="34"/>
    </row>
    <row r="220" spans="18:21" x14ac:dyDescent="0.25">
      <c r="R220" s="34"/>
      <c r="S220" s="34"/>
      <c r="T220" s="34"/>
      <c r="U220" s="34"/>
    </row>
    <row r="221" spans="18:21" x14ac:dyDescent="0.25">
      <c r="R221" s="34"/>
      <c r="S221" s="34"/>
      <c r="T221" s="34"/>
      <c r="U221" s="34"/>
    </row>
    <row r="222" spans="18:21" x14ac:dyDescent="0.25">
      <c r="R222" s="34"/>
      <c r="S222" s="34"/>
      <c r="T222" s="34"/>
      <c r="U222" s="34"/>
    </row>
    <row r="223" spans="18:21" x14ac:dyDescent="0.25">
      <c r="R223" s="34"/>
      <c r="S223" s="34"/>
      <c r="T223" s="34"/>
      <c r="U223" s="34"/>
    </row>
    <row r="224" spans="18:21" x14ac:dyDescent="0.25">
      <c r="R224" s="34"/>
      <c r="S224" s="34"/>
      <c r="T224" s="34"/>
      <c r="U224" s="34"/>
    </row>
    <row r="225" spans="18:21" x14ac:dyDescent="0.25">
      <c r="R225" s="34"/>
      <c r="S225" s="34"/>
      <c r="T225" s="34"/>
      <c r="U225" s="34"/>
    </row>
    <row r="226" spans="18:21" x14ac:dyDescent="0.25">
      <c r="R226" s="34"/>
      <c r="S226" s="34"/>
      <c r="T226" s="34"/>
      <c r="U226" s="34"/>
    </row>
    <row r="227" spans="18:21" x14ac:dyDescent="0.25">
      <c r="R227" s="34"/>
      <c r="S227" s="34"/>
      <c r="T227" s="34"/>
      <c r="U227" s="34"/>
    </row>
    <row r="228" spans="18:21" x14ac:dyDescent="0.25">
      <c r="R228" s="34"/>
      <c r="S228" s="34"/>
      <c r="T228" s="34"/>
      <c r="U228" s="34"/>
    </row>
    <row r="229" spans="18:21" x14ac:dyDescent="0.25">
      <c r="R229" s="34"/>
      <c r="S229" s="34"/>
      <c r="T229" s="34"/>
      <c r="U229" s="34"/>
    </row>
    <row r="230" spans="18:21" x14ac:dyDescent="0.25">
      <c r="R230" s="34"/>
      <c r="S230" s="34"/>
      <c r="T230" s="34"/>
      <c r="U230" s="34"/>
    </row>
    <row r="231" spans="18:21" x14ac:dyDescent="0.25">
      <c r="R231" s="34"/>
      <c r="S231" s="34"/>
      <c r="T231" s="34"/>
      <c r="U231" s="34"/>
    </row>
    <row r="232" spans="18:21" x14ac:dyDescent="0.25">
      <c r="R232" s="34"/>
      <c r="S232" s="34"/>
      <c r="T232" s="34"/>
      <c r="U232" s="34"/>
    </row>
    <row r="233" spans="18:21" x14ac:dyDescent="0.25">
      <c r="R233" s="34"/>
      <c r="S233" s="34"/>
      <c r="T233" s="34"/>
      <c r="U233" s="34"/>
    </row>
    <row r="234" spans="18:21" x14ac:dyDescent="0.25">
      <c r="R234" s="34"/>
      <c r="S234" s="34"/>
      <c r="T234" s="34"/>
      <c r="U234" s="34"/>
    </row>
    <row r="235" spans="18:21" x14ac:dyDescent="0.25">
      <c r="R235" s="34"/>
      <c r="S235" s="34"/>
      <c r="T235" s="34"/>
      <c r="U235" s="34"/>
    </row>
    <row r="236" spans="18:21" x14ac:dyDescent="0.25">
      <c r="R236" s="34"/>
      <c r="S236" s="34"/>
      <c r="T236" s="34"/>
      <c r="U236" s="34"/>
    </row>
    <row r="237" spans="18:21" x14ac:dyDescent="0.25">
      <c r="R237" s="34"/>
      <c r="S237" s="34"/>
      <c r="T237" s="34"/>
      <c r="U237" s="34"/>
    </row>
    <row r="238" spans="18:21" x14ac:dyDescent="0.25">
      <c r="R238" s="34"/>
      <c r="S238" s="34"/>
      <c r="T238" s="34"/>
      <c r="U238" s="34"/>
    </row>
    <row r="239" spans="18:21" x14ac:dyDescent="0.25">
      <c r="R239" s="34"/>
      <c r="S239" s="34"/>
      <c r="T239" s="34"/>
      <c r="U239" s="34"/>
    </row>
    <row r="240" spans="18:21" x14ac:dyDescent="0.25">
      <c r="R240" s="34"/>
      <c r="S240" s="34"/>
      <c r="T240" s="34"/>
      <c r="U240" s="34"/>
    </row>
    <row r="241" spans="18:21" x14ac:dyDescent="0.25">
      <c r="R241" s="34"/>
      <c r="S241" s="34"/>
      <c r="T241" s="34"/>
      <c r="U241" s="34"/>
    </row>
    <row r="602" spans="18:21" x14ac:dyDescent="0.25">
      <c r="R602" s="34"/>
      <c r="S602" s="34"/>
      <c r="T602" s="34"/>
      <c r="U602" s="34"/>
    </row>
    <row r="603" spans="18:21" x14ac:dyDescent="0.25">
      <c r="R603" s="34"/>
      <c r="S603" s="34"/>
      <c r="T603" s="34"/>
      <c r="U603" s="34"/>
    </row>
    <row r="604" spans="18:21" x14ac:dyDescent="0.25">
      <c r="R604" s="34"/>
      <c r="S604" s="34"/>
      <c r="T604" s="34"/>
      <c r="U604" s="34"/>
    </row>
    <row r="605" spans="18:21" x14ac:dyDescent="0.25">
      <c r="R605" s="34"/>
      <c r="S605" s="34"/>
      <c r="T605" s="34"/>
      <c r="U605" s="34"/>
    </row>
    <row r="606" spans="18:21" x14ac:dyDescent="0.25">
      <c r="R606" s="34"/>
      <c r="S606" s="34"/>
      <c r="T606" s="34"/>
      <c r="U606" s="34"/>
    </row>
    <row r="607" spans="18:21" x14ac:dyDescent="0.25">
      <c r="R607" s="34"/>
      <c r="S607" s="34"/>
      <c r="T607" s="34"/>
      <c r="U607" s="34"/>
    </row>
    <row r="608" spans="18:21" x14ac:dyDescent="0.25">
      <c r="R608" s="34"/>
      <c r="S608" s="34"/>
      <c r="T608" s="34"/>
      <c r="U608" s="34"/>
    </row>
    <row r="609" spans="18:21" x14ac:dyDescent="0.25">
      <c r="R609" s="34"/>
      <c r="S609" s="34"/>
      <c r="T609" s="34"/>
      <c r="U609" s="34"/>
    </row>
    <row r="610" spans="18:21" x14ac:dyDescent="0.25">
      <c r="R610" s="34"/>
      <c r="S610" s="34"/>
      <c r="T610" s="34"/>
      <c r="U610" s="34"/>
    </row>
    <row r="611" spans="18:21" x14ac:dyDescent="0.25">
      <c r="R611" s="34"/>
      <c r="S611" s="34"/>
      <c r="T611" s="34"/>
      <c r="U611" s="34"/>
    </row>
    <row r="612" spans="18:21" x14ac:dyDescent="0.25">
      <c r="R612" s="34"/>
      <c r="S612" s="34"/>
      <c r="T612" s="34"/>
      <c r="U612" s="34"/>
    </row>
    <row r="613" spans="18:21" x14ac:dyDescent="0.25">
      <c r="R613" s="34"/>
      <c r="S613" s="34"/>
      <c r="T613" s="34"/>
      <c r="U613" s="34"/>
    </row>
    <row r="614" spans="18:21" x14ac:dyDescent="0.25">
      <c r="R614" s="34"/>
      <c r="S614" s="34"/>
      <c r="T614" s="34"/>
      <c r="U614" s="34"/>
    </row>
    <row r="615" spans="18:21" x14ac:dyDescent="0.25">
      <c r="R615" s="34"/>
      <c r="S615" s="34"/>
      <c r="T615" s="34"/>
      <c r="U615" s="34"/>
    </row>
    <row r="616" spans="18:21" x14ac:dyDescent="0.25">
      <c r="R616" s="34"/>
      <c r="S616" s="34"/>
      <c r="T616" s="34"/>
      <c r="U616" s="34"/>
    </row>
    <row r="617" spans="18:21" x14ac:dyDescent="0.25">
      <c r="R617" s="34"/>
      <c r="S617" s="34"/>
      <c r="T617" s="34"/>
      <c r="U617" s="34"/>
    </row>
    <row r="618" spans="18:21" x14ac:dyDescent="0.25">
      <c r="R618" s="34"/>
      <c r="S618" s="34"/>
      <c r="T618" s="34"/>
      <c r="U618" s="34"/>
    </row>
    <row r="619" spans="18:21" x14ac:dyDescent="0.25">
      <c r="R619" s="34"/>
      <c r="S619" s="34"/>
      <c r="T619" s="34"/>
      <c r="U619" s="34"/>
    </row>
    <row r="620" spans="18:21" x14ac:dyDescent="0.25">
      <c r="R620" s="34"/>
      <c r="S620" s="34"/>
      <c r="T620" s="34"/>
      <c r="U620" s="34"/>
    </row>
    <row r="621" spans="18:21" x14ac:dyDescent="0.25">
      <c r="R621" s="34"/>
      <c r="S621" s="34"/>
      <c r="T621" s="34"/>
      <c r="U621" s="34"/>
    </row>
    <row r="622" spans="18:21" x14ac:dyDescent="0.25">
      <c r="R622" s="34"/>
      <c r="S622" s="34"/>
      <c r="T622" s="34"/>
      <c r="U622" s="34"/>
    </row>
    <row r="623" spans="18:21" x14ac:dyDescent="0.25">
      <c r="R623" s="34"/>
      <c r="S623" s="34"/>
      <c r="T623" s="34"/>
      <c r="U623" s="34"/>
    </row>
    <row r="624" spans="18:21" x14ac:dyDescent="0.25">
      <c r="R624" s="34"/>
      <c r="S624" s="34"/>
      <c r="T624" s="34"/>
      <c r="U624" s="34"/>
    </row>
    <row r="625" spans="18:21" x14ac:dyDescent="0.25">
      <c r="R625" s="34"/>
      <c r="S625" s="34"/>
      <c r="T625" s="34"/>
      <c r="U625" s="34"/>
    </row>
    <row r="626" spans="18:21" x14ac:dyDescent="0.25">
      <c r="R626" s="34"/>
      <c r="S626" s="34"/>
      <c r="T626" s="34"/>
      <c r="U626" s="34"/>
    </row>
    <row r="627" spans="18:21" x14ac:dyDescent="0.25">
      <c r="R627" s="34"/>
      <c r="S627" s="34"/>
      <c r="T627" s="34"/>
      <c r="U627" s="34"/>
    </row>
    <row r="628" spans="18:21" x14ac:dyDescent="0.25">
      <c r="R628" s="34"/>
      <c r="S628" s="34"/>
      <c r="T628" s="34"/>
      <c r="U628" s="34"/>
    </row>
    <row r="629" spans="18:21" x14ac:dyDescent="0.25">
      <c r="R629" s="34"/>
      <c r="S629" s="34"/>
      <c r="T629" s="34"/>
      <c r="U629" s="34"/>
    </row>
    <row r="630" spans="18:21" x14ac:dyDescent="0.25">
      <c r="R630" s="34"/>
      <c r="S630" s="34"/>
      <c r="T630" s="34"/>
      <c r="U630" s="34"/>
    </row>
    <row r="631" spans="18:21" x14ac:dyDescent="0.25">
      <c r="R631" s="34"/>
      <c r="S631" s="34"/>
      <c r="T631" s="34"/>
      <c r="U631" s="34"/>
    </row>
    <row r="632" spans="18:21" x14ac:dyDescent="0.25">
      <c r="R632" s="34"/>
      <c r="S632" s="34"/>
      <c r="T632" s="34"/>
      <c r="U632" s="34"/>
    </row>
    <row r="633" spans="18:21" x14ac:dyDescent="0.25">
      <c r="R633" s="34"/>
      <c r="S633" s="34"/>
      <c r="T633" s="34"/>
      <c r="U633" s="34"/>
    </row>
    <row r="634" spans="18:21" x14ac:dyDescent="0.25">
      <c r="R634" s="34"/>
      <c r="S634" s="34"/>
      <c r="T634" s="34"/>
      <c r="U634" s="34"/>
    </row>
    <row r="635" spans="18:21" x14ac:dyDescent="0.25">
      <c r="R635" s="34"/>
      <c r="S635" s="34"/>
      <c r="T635" s="34"/>
      <c r="U635" s="34"/>
    </row>
    <row r="636" spans="18:21" x14ac:dyDescent="0.25">
      <c r="R636" s="34"/>
      <c r="S636" s="34"/>
      <c r="T636" s="34"/>
      <c r="U636" s="34"/>
    </row>
    <row r="637" spans="18:21" x14ac:dyDescent="0.25">
      <c r="R637" s="34"/>
      <c r="S637" s="34"/>
      <c r="T637" s="34"/>
      <c r="U637" s="34"/>
    </row>
    <row r="638" spans="18:21" x14ac:dyDescent="0.25">
      <c r="R638" s="34"/>
      <c r="S638" s="34"/>
      <c r="T638" s="34"/>
      <c r="U638" s="34"/>
    </row>
    <row r="639" spans="18:21" x14ac:dyDescent="0.25">
      <c r="R639" s="34"/>
      <c r="S639" s="34"/>
      <c r="T639" s="34"/>
      <c r="U639" s="34"/>
    </row>
    <row r="640" spans="18:21" x14ac:dyDescent="0.25">
      <c r="R640" s="34"/>
      <c r="S640" s="34"/>
      <c r="T640" s="34"/>
      <c r="U640" s="34"/>
    </row>
    <row r="641" spans="18:21" x14ac:dyDescent="0.25">
      <c r="R641" s="34"/>
      <c r="S641" s="34"/>
      <c r="T641" s="34"/>
      <c r="U641" s="34"/>
    </row>
    <row r="722" spans="18:21" x14ac:dyDescent="0.25">
      <c r="R722" s="34"/>
      <c r="S722" s="34"/>
      <c r="T722" s="34"/>
      <c r="U722" s="34"/>
    </row>
    <row r="723" spans="18:21" x14ac:dyDescent="0.25">
      <c r="R723" s="34"/>
      <c r="S723" s="34"/>
      <c r="T723" s="34"/>
      <c r="U723" s="34"/>
    </row>
    <row r="724" spans="18:21" x14ac:dyDescent="0.25">
      <c r="R724" s="34"/>
      <c r="S724" s="34"/>
      <c r="T724" s="34"/>
      <c r="U724" s="34"/>
    </row>
    <row r="725" spans="18:21" x14ac:dyDescent="0.25">
      <c r="R725" s="34"/>
      <c r="S725" s="34"/>
      <c r="T725" s="34"/>
      <c r="U725" s="34"/>
    </row>
    <row r="726" spans="18:21" x14ac:dyDescent="0.25">
      <c r="R726" s="34"/>
      <c r="S726" s="34"/>
      <c r="T726" s="34"/>
      <c r="U726" s="34"/>
    </row>
    <row r="727" spans="18:21" x14ac:dyDescent="0.25">
      <c r="R727" s="34"/>
      <c r="S727" s="34"/>
      <c r="T727" s="34"/>
      <c r="U727" s="34"/>
    </row>
    <row r="728" spans="18:21" x14ac:dyDescent="0.25">
      <c r="R728" s="34"/>
      <c r="S728" s="34"/>
      <c r="T728" s="34"/>
      <c r="U728" s="34"/>
    </row>
    <row r="729" spans="18:21" x14ac:dyDescent="0.25">
      <c r="R729" s="34"/>
      <c r="S729" s="34"/>
      <c r="T729" s="34"/>
      <c r="U729" s="34"/>
    </row>
    <row r="730" spans="18:21" x14ac:dyDescent="0.25">
      <c r="R730" s="34"/>
      <c r="S730" s="34"/>
      <c r="T730" s="34"/>
      <c r="U730" s="34"/>
    </row>
    <row r="731" spans="18:21" x14ac:dyDescent="0.25">
      <c r="R731" s="34"/>
      <c r="S731" s="34"/>
      <c r="T731" s="34"/>
      <c r="U731" s="34"/>
    </row>
    <row r="732" spans="18:21" x14ac:dyDescent="0.25">
      <c r="R732" s="34"/>
      <c r="S732" s="34"/>
      <c r="T732" s="34"/>
      <c r="U732" s="34"/>
    </row>
    <row r="733" spans="18:21" x14ac:dyDescent="0.25">
      <c r="R733" s="34"/>
      <c r="S733" s="34"/>
      <c r="T733" s="34"/>
      <c r="U733" s="34"/>
    </row>
    <row r="734" spans="18:21" x14ac:dyDescent="0.25">
      <c r="R734" s="34"/>
      <c r="S734" s="34"/>
      <c r="T734" s="34"/>
      <c r="U734" s="34"/>
    </row>
    <row r="735" spans="18:21" x14ac:dyDescent="0.25">
      <c r="R735" s="34"/>
      <c r="S735" s="34"/>
      <c r="T735" s="34"/>
      <c r="U735" s="34"/>
    </row>
    <row r="736" spans="18:21" x14ac:dyDescent="0.25">
      <c r="R736" s="34"/>
      <c r="S736" s="34"/>
      <c r="T736" s="34"/>
      <c r="U736" s="34"/>
    </row>
    <row r="737" spans="18:21" x14ac:dyDescent="0.25">
      <c r="R737" s="34"/>
      <c r="S737" s="34"/>
      <c r="T737" s="34"/>
      <c r="U737" s="34"/>
    </row>
    <row r="738" spans="18:21" x14ac:dyDescent="0.25">
      <c r="R738" s="34"/>
      <c r="S738" s="34"/>
      <c r="T738" s="34"/>
      <c r="U738" s="34"/>
    </row>
    <row r="739" spans="18:21" x14ac:dyDescent="0.25">
      <c r="R739" s="34"/>
      <c r="S739" s="34"/>
      <c r="T739" s="34"/>
      <c r="U739" s="34"/>
    </row>
    <row r="740" spans="18:21" x14ac:dyDescent="0.25">
      <c r="R740" s="34"/>
      <c r="S740" s="34"/>
      <c r="T740" s="34"/>
      <c r="U740" s="34"/>
    </row>
    <row r="741" spans="18:21" x14ac:dyDescent="0.25">
      <c r="R741" s="34"/>
      <c r="S741" s="34"/>
      <c r="T741" s="34"/>
      <c r="U741" s="34"/>
    </row>
    <row r="742" spans="18:21" x14ac:dyDescent="0.25">
      <c r="R742" s="34"/>
      <c r="S742" s="34"/>
      <c r="T742" s="34"/>
      <c r="U742" s="34"/>
    </row>
    <row r="743" spans="18:21" x14ac:dyDescent="0.25">
      <c r="R743" s="34"/>
      <c r="S743" s="34"/>
      <c r="T743" s="34"/>
      <c r="U743" s="34"/>
    </row>
    <row r="744" spans="18:21" x14ac:dyDescent="0.25">
      <c r="R744" s="34"/>
      <c r="S744" s="34"/>
      <c r="T744" s="34"/>
      <c r="U744" s="34"/>
    </row>
    <row r="745" spans="18:21" x14ac:dyDescent="0.25">
      <c r="R745" s="34"/>
      <c r="S745" s="34"/>
      <c r="T745" s="34"/>
      <c r="U745" s="34"/>
    </row>
    <row r="746" spans="18:21" x14ac:dyDescent="0.25">
      <c r="R746" s="34"/>
      <c r="S746" s="34"/>
      <c r="T746" s="34"/>
      <c r="U746" s="34"/>
    </row>
    <row r="747" spans="18:21" x14ac:dyDescent="0.25">
      <c r="R747" s="34"/>
      <c r="S747" s="34"/>
      <c r="T747" s="34"/>
      <c r="U747" s="34"/>
    </row>
    <row r="748" spans="18:21" x14ac:dyDescent="0.25">
      <c r="R748" s="34"/>
      <c r="S748" s="34"/>
      <c r="T748" s="34"/>
      <c r="U748" s="34"/>
    </row>
    <row r="749" spans="18:21" x14ac:dyDescent="0.25">
      <c r="R749" s="34"/>
      <c r="S749" s="34"/>
      <c r="T749" s="34"/>
      <c r="U749" s="34"/>
    </row>
    <row r="750" spans="18:21" x14ac:dyDescent="0.25">
      <c r="R750" s="34"/>
      <c r="S750" s="34"/>
      <c r="T750" s="34"/>
      <c r="U750" s="34"/>
    </row>
    <row r="751" spans="18:21" x14ac:dyDescent="0.25">
      <c r="R751" s="34"/>
      <c r="S751" s="34"/>
      <c r="T751" s="34"/>
      <c r="U751" s="34"/>
    </row>
    <row r="752" spans="18:21" x14ac:dyDescent="0.25">
      <c r="R752" s="34"/>
      <c r="S752" s="34"/>
      <c r="T752" s="34"/>
      <c r="U752" s="34"/>
    </row>
    <row r="753" spans="18:21" x14ac:dyDescent="0.25">
      <c r="R753" s="34"/>
      <c r="S753" s="34"/>
      <c r="T753" s="34"/>
      <c r="U753" s="34"/>
    </row>
    <row r="754" spans="18:21" x14ac:dyDescent="0.25">
      <c r="R754" s="34"/>
      <c r="S754" s="34"/>
      <c r="T754" s="34"/>
      <c r="U754" s="34"/>
    </row>
    <row r="755" spans="18:21" x14ac:dyDescent="0.25">
      <c r="R755" s="34"/>
      <c r="S755" s="34"/>
      <c r="T755" s="34"/>
      <c r="U755" s="34"/>
    </row>
    <row r="756" spans="18:21" x14ac:dyDescent="0.25">
      <c r="R756" s="34"/>
      <c r="S756" s="34"/>
      <c r="T756" s="34"/>
      <c r="U756" s="34"/>
    </row>
    <row r="757" spans="18:21" x14ac:dyDescent="0.25">
      <c r="R757" s="34"/>
      <c r="S757" s="34"/>
      <c r="T757" s="34"/>
      <c r="U757" s="34"/>
    </row>
    <row r="758" spans="18:21" x14ac:dyDescent="0.25">
      <c r="R758" s="34"/>
      <c r="S758" s="34"/>
      <c r="T758" s="34"/>
      <c r="U758" s="34"/>
    </row>
    <row r="759" spans="18:21" x14ac:dyDescent="0.25">
      <c r="R759" s="34"/>
      <c r="S759" s="34"/>
      <c r="T759" s="34"/>
      <c r="U759" s="34"/>
    </row>
    <row r="760" spans="18:21" x14ac:dyDescent="0.25">
      <c r="R760" s="34"/>
      <c r="S760" s="34"/>
      <c r="T760" s="34"/>
      <c r="U760" s="34"/>
    </row>
    <row r="761" spans="18:21" x14ac:dyDescent="0.25">
      <c r="R761" s="34"/>
      <c r="S761" s="34"/>
      <c r="T761" s="34"/>
      <c r="U761" s="34"/>
    </row>
    <row r="762" spans="18:21" x14ac:dyDescent="0.25">
      <c r="R762" s="34"/>
      <c r="S762" s="34"/>
      <c r="T762" s="34"/>
      <c r="U762" s="34"/>
    </row>
    <row r="763" spans="18:21" x14ac:dyDescent="0.25">
      <c r="R763" s="34"/>
      <c r="S763" s="34"/>
      <c r="T763" s="34"/>
      <c r="U763" s="34"/>
    </row>
    <row r="764" spans="18:21" x14ac:dyDescent="0.25">
      <c r="R764" s="34"/>
      <c r="S764" s="34"/>
      <c r="T764" s="34"/>
      <c r="U764" s="34"/>
    </row>
    <row r="765" spans="18:21" x14ac:dyDescent="0.25">
      <c r="R765" s="34"/>
      <c r="S765" s="34"/>
      <c r="T765" s="34"/>
      <c r="U765" s="34"/>
    </row>
    <row r="766" spans="18:21" x14ac:dyDescent="0.25">
      <c r="R766" s="34"/>
      <c r="S766" s="34"/>
      <c r="T766" s="34"/>
      <c r="U766" s="34"/>
    </row>
    <row r="767" spans="18:21" x14ac:dyDescent="0.25">
      <c r="R767" s="34"/>
      <c r="S767" s="34"/>
      <c r="T767" s="34"/>
      <c r="U767" s="34"/>
    </row>
    <row r="768" spans="18:21" x14ac:dyDescent="0.25">
      <c r="R768" s="34"/>
      <c r="S768" s="34"/>
      <c r="T768" s="34"/>
      <c r="U768" s="34"/>
    </row>
    <row r="769" spans="18:21" x14ac:dyDescent="0.25">
      <c r="R769" s="34"/>
      <c r="S769" s="34"/>
      <c r="T769" s="34"/>
      <c r="U769" s="34"/>
    </row>
    <row r="770" spans="18:21" x14ac:dyDescent="0.25">
      <c r="R770" s="34"/>
      <c r="S770" s="34"/>
      <c r="T770" s="34"/>
      <c r="U770" s="34"/>
    </row>
    <row r="771" spans="18:21" x14ac:dyDescent="0.25">
      <c r="R771" s="34"/>
      <c r="S771" s="34"/>
      <c r="T771" s="34"/>
      <c r="U771" s="34"/>
    </row>
    <row r="772" spans="18:21" x14ac:dyDescent="0.25">
      <c r="R772" s="34"/>
      <c r="S772" s="34"/>
      <c r="T772" s="34"/>
      <c r="U772" s="34"/>
    </row>
    <row r="773" spans="18:21" x14ac:dyDescent="0.25">
      <c r="R773" s="34"/>
      <c r="S773" s="34"/>
      <c r="T773" s="34"/>
      <c r="U773" s="34"/>
    </row>
    <row r="774" spans="18:21" x14ac:dyDescent="0.25">
      <c r="R774" s="34"/>
      <c r="S774" s="34"/>
      <c r="T774" s="34"/>
      <c r="U774" s="34"/>
    </row>
    <row r="775" spans="18:21" x14ac:dyDescent="0.25">
      <c r="R775" s="34"/>
      <c r="S775" s="34"/>
      <c r="T775" s="34"/>
      <c r="U775" s="34"/>
    </row>
    <row r="776" spans="18:21" x14ac:dyDescent="0.25">
      <c r="R776" s="34"/>
      <c r="S776" s="34"/>
      <c r="T776" s="34"/>
      <c r="U776" s="34"/>
    </row>
    <row r="777" spans="18:21" x14ac:dyDescent="0.25">
      <c r="R777" s="34"/>
      <c r="S777" s="34"/>
      <c r="T777" s="34"/>
      <c r="U777" s="34"/>
    </row>
    <row r="778" spans="18:21" x14ac:dyDescent="0.25">
      <c r="R778" s="34"/>
      <c r="S778" s="34"/>
      <c r="T778" s="34"/>
      <c r="U778" s="34"/>
    </row>
    <row r="779" spans="18:21" x14ac:dyDescent="0.25">
      <c r="R779" s="34"/>
      <c r="S779" s="34"/>
      <c r="T779" s="34"/>
      <c r="U779" s="34"/>
    </row>
    <row r="780" spans="18:21" x14ac:dyDescent="0.25">
      <c r="R780" s="34"/>
      <c r="S780" s="34"/>
      <c r="T780" s="34"/>
      <c r="U780" s="34"/>
    </row>
    <row r="781" spans="18:21" x14ac:dyDescent="0.25">
      <c r="R781" s="34"/>
      <c r="S781" s="34"/>
      <c r="T781" s="34"/>
      <c r="U781" s="34"/>
    </row>
    <row r="782" spans="18:21" x14ac:dyDescent="0.25">
      <c r="R782" s="34"/>
      <c r="S782" s="34"/>
      <c r="T782" s="34"/>
      <c r="U782" s="34"/>
    </row>
    <row r="783" spans="18:21" x14ac:dyDescent="0.25">
      <c r="R783" s="34"/>
      <c r="S783" s="34"/>
      <c r="T783" s="34"/>
      <c r="U783" s="34"/>
    </row>
    <row r="784" spans="18:21" x14ac:dyDescent="0.25">
      <c r="R784" s="34"/>
      <c r="S784" s="34"/>
      <c r="T784" s="34"/>
      <c r="U784" s="34"/>
    </row>
    <row r="785" spans="18:21" x14ac:dyDescent="0.25">
      <c r="R785" s="34"/>
      <c r="S785" s="34"/>
      <c r="T785" s="34"/>
      <c r="U785" s="34"/>
    </row>
    <row r="786" spans="18:21" x14ac:dyDescent="0.25">
      <c r="R786" s="34"/>
      <c r="S786" s="34"/>
      <c r="T786" s="34"/>
      <c r="U786" s="34"/>
    </row>
    <row r="787" spans="18:21" x14ac:dyDescent="0.25">
      <c r="R787" s="34"/>
      <c r="S787" s="34"/>
      <c r="T787" s="34"/>
      <c r="U787" s="34"/>
    </row>
    <row r="788" spans="18:21" x14ac:dyDescent="0.25">
      <c r="R788" s="34"/>
      <c r="S788" s="34"/>
      <c r="T788" s="34"/>
      <c r="U788" s="34"/>
    </row>
    <row r="789" spans="18:21" x14ac:dyDescent="0.25">
      <c r="R789" s="34"/>
      <c r="S789" s="34"/>
      <c r="T789" s="34"/>
      <c r="U789" s="34"/>
    </row>
    <row r="790" spans="18:21" x14ac:dyDescent="0.25">
      <c r="R790" s="34"/>
      <c r="S790" s="34"/>
      <c r="T790" s="34"/>
      <c r="U790" s="34"/>
    </row>
    <row r="791" spans="18:21" x14ac:dyDescent="0.25">
      <c r="R791" s="34"/>
      <c r="S791" s="34"/>
      <c r="T791" s="34"/>
      <c r="U791" s="34"/>
    </row>
    <row r="792" spans="18:21" x14ac:dyDescent="0.25">
      <c r="R792" s="34"/>
      <c r="S792" s="34"/>
      <c r="T792" s="34"/>
      <c r="U792" s="34"/>
    </row>
    <row r="793" spans="18:21" x14ac:dyDescent="0.25">
      <c r="R793" s="34"/>
      <c r="S793" s="34"/>
      <c r="T793" s="34"/>
      <c r="U793" s="34"/>
    </row>
    <row r="794" spans="18:21" x14ac:dyDescent="0.25">
      <c r="R794" s="34"/>
      <c r="S794" s="34"/>
      <c r="T794" s="34"/>
      <c r="U794" s="34"/>
    </row>
    <row r="795" spans="18:21" x14ac:dyDescent="0.25">
      <c r="R795" s="34"/>
      <c r="S795" s="34"/>
      <c r="T795" s="34"/>
      <c r="U795" s="34"/>
    </row>
    <row r="796" spans="18:21" x14ac:dyDescent="0.25">
      <c r="R796" s="34"/>
      <c r="S796" s="34"/>
      <c r="T796" s="34"/>
      <c r="U796" s="34"/>
    </row>
    <row r="797" spans="18:21" x14ac:dyDescent="0.25">
      <c r="R797" s="34"/>
      <c r="S797" s="34"/>
      <c r="T797" s="34"/>
      <c r="U797" s="34"/>
    </row>
    <row r="798" spans="18:21" x14ac:dyDescent="0.25">
      <c r="R798" s="34"/>
      <c r="S798" s="34"/>
      <c r="T798" s="34"/>
      <c r="U798" s="34"/>
    </row>
    <row r="799" spans="18:21" x14ac:dyDescent="0.25">
      <c r="R799" s="34"/>
      <c r="S799" s="34"/>
      <c r="T799" s="34"/>
      <c r="U799" s="34"/>
    </row>
    <row r="800" spans="18:21" x14ac:dyDescent="0.25">
      <c r="R800" s="34"/>
      <c r="S800" s="34"/>
      <c r="T800" s="34"/>
      <c r="U800" s="34"/>
    </row>
    <row r="801" spans="18:21" x14ac:dyDescent="0.25">
      <c r="R801" s="34"/>
      <c r="S801" s="34"/>
      <c r="T801" s="34"/>
      <c r="U801" s="34"/>
    </row>
    <row r="842" spans="18:21" x14ac:dyDescent="0.25">
      <c r="R842" s="34"/>
      <c r="S842" s="34"/>
      <c r="T842" s="34"/>
      <c r="U842" s="34"/>
    </row>
    <row r="843" spans="18:21" x14ac:dyDescent="0.25">
      <c r="R843" s="34"/>
      <c r="S843" s="34"/>
      <c r="T843" s="34"/>
      <c r="U843" s="34"/>
    </row>
    <row r="844" spans="18:21" x14ac:dyDescent="0.25">
      <c r="R844" s="34"/>
      <c r="S844" s="34"/>
      <c r="T844" s="34"/>
      <c r="U844" s="34"/>
    </row>
    <row r="845" spans="18:21" x14ac:dyDescent="0.25">
      <c r="R845" s="34"/>
      <c r="S845" s="34"/>
      <c r="T845" s="34"/>
      <c r="U845" s="34"/>
    </row>
    <row r="846" spans="18:21" x14ac:dyDescent="0.25">
      <c r="R846" s="34"/>
      <c r="S846" s="34"/>
      <c r="T846" s="34"/>
      <c r="U846" s="34"/>
    </row>
    <row r="847" spans="18:21" x14ac:dyDescent="0.25">
      <c r="R847" s="34"/>
      <c r="S847" s="34"/>
      <c r="T847" s="34"/>
      <c r="U847" s="34"/>
    </row>
    <row r="848" spans="18:21" x14ac:dyDescent="0.25">
      <c r="R848" s="34"/>
      <c r="S848" s="34"/>
      <c r="T848" s="34"/>
      <c r="U848" s="34"/>
    </row>
    <row r="849" spans="18:21" x14ac:dyDescent="0.25">
      <c r="R849" s="34"/>
      <c r="S849" s="34"/>
      <c r="T849" s="34"/>
      <c r="U849" s="34"/>
    </row>
    <row r="850" spans="18:21" x14ac:dyDescent="0.25">
      <c r="R850" s="34"/>
      <c r="S850" s="34"/>
      <c r="T850" s="34"/>
      <c r="U850" s="34"/>
    </row>
    <row r="851" spans="18:21" x14ac:dyDescent="0.25">
      <c r="R851" s="34"/>
      <c r="S851" s="34"/>
      <c r="T851" s="34"/>
      <c r="U851" s="34"/>
    </row>
    <row r="852" spans="18:21" x14ac:dyDescent="0.25">
      <c r="R852" s="34"/>
      <c r="S852" s="34"/>
      <c r="T852" s="34"/>
      <c r="U852" s="34"/>
    </row>
    <row r="853" spans="18:21" x14ac:dyDescent="0.25">
      <c r="R853" s="34"/>
      <c r="S853" s="34"/>
      <c r="T853" s="34"/>
      <c r="U853" s="34"/>
    </row>
    <row r="854" spans="18:21" x14ac:dyDescent="0.25">
      <c r="R854" s="34"/>
      <c r="S854" s="34"/>
      <c r="T854" s="34"/>
      <c r="U854" s="34"/>
    </row>
    <row r="855" spans="18:21" x14ac:dyDescent="0.25">
      <c r="R855" s="34"/>
      <c r="S855" s="34"/>
      <c r="T855" s="34"/>
      <c r="U855" s="34"/>
    </row>
    <row r="856" spans="18:21" x14ac:dyDescent="0.25">
      <c r="R856" s="34"/>
      <c r="S856" s="34"/>
      <c r="T856" s="34"/>
      <c r="U856" s="34"/>
    </row>
    <row r="857" spans="18:21" x14ac:dyDescent="0.25">
      <c r="R857" s="34"/>
      <c r="S857" s="34"/>
      <c r="T857" s="34"/>
      <c r="U857" s="34"/>
    </row>
    <row r="858" spans="18:21" x14ac:dyDescent="0.25">
      <c r="R858" s="34"/>
      <c r="S858" s="34"/>
      <c r="T858" s="34"/>
      <c r="U858" s="34"/>
    </row>
    <row r="859" spans="18:21" x14ac:dyDescent="0.25">
      <c r="R859" s="34"/>
      <c r="S859" s="34"/>
      <c r="T859" s="34"/>
      <c r="U859" s="34"/>
    </row>
    <row r="860" spans="18:21" x14ac:dyDescent="0.25">
      <c r="R860" s="34"/>
      <c r="S860" s="34"/>
      <c r="T860" s="34"/>
      <c r="U860" s="34"/>
    </row>
    <row r="861" spans="18:21" x14ac:dyDescent="0.25">
      <c r="R861" s="34"/>
      <c r="S861" s="34"/>
      <c r="T861" s="34"/>
      <c r="U861" s="34"/>
    </row>
    <row r="862" spans="18:21" x14ac:dyDescent="0.25">
      <c r="R862" s="34"/>
      <c r="S862" s="34"/>
      <c r="T862" s="34"/>
      <c r="U862" s="34"/>
    </row>
    <row r="863" spans="18:21" x14ac:dyDescent="0.25">
      <c r="R863" s="34"/>
      <c r="S863" s="34"/>
      <c r="T863" s="34"/>
      <c r="U863" s="34"/>
    </row>
    <row r="864" spans="18:21" x14ac:dyDescent="0.25">
      <c r="R864" s="34"/>
      <c r="S864" s="34"/>
      <c r="T864" s="34"/>
      <c r="U864" s="34"/>
    </row>
    <row r="865" spans="18:21" x14ac:dyDescent="0.25">
      <c r="R865" s="34"/>
      <c r="S865" s="34"/>
      <c r="T865" s="34"/>
      <c r="U865" s="34"/>
    </row>
    <row r="866" spans="18:21" x14ac:dyDescent="0.25">
      <c r="R866" s="34"/>
      <c r="S866" s="34"/>
      <c r="T866" s="34"/>
      <c r="U866" s="34"/>
    </row>
    <row r="867" spans="18:21" x14ac:dyDescent="0.25">
      <c r="R867" s="34"/>
      <c r="S867" s="34"/>
      <c r="T867" s="34"/>
      <c r="U867" s="34"/>
    </row>
    <row r="868" spans="18:21" x14ac:dyDescent="0.25">
      <c r="R868" s="34"/>
      <c r="S868" s="34"/>
      <c r="T868" s="34"/>
      <c r="U868" s="34"/>
    </row>
    <row r="869" spans="18:21" x14ac:dyDescent="0.25">
      <c r="R869" s="34"/>
      <c r="S869" s="34"/>
      <c r="T869" s="34"/>
      <c r="U869" s="34"/>
    </row>
    <row r="870" spans="18:21" x14ac:dyDescent="0.25">
      <c r="R870" s="34"/>
      <c r="S870" s="34"/>
      <c r="T870" s="34"/>
      <c r="U870" s="34"/>
    </row>
    <row r="871" spans="18:21" x14ac:dyDescent="0.25">
      <c r="R871" s="34"/>
      <c r="S871" s="34"/>
      <c r="T871" s="34"/>
      <c r="U871" s="34"/>
    </row>
    <row r="872" spans="18:21" x14ac:dyDescent="0.25">
      <c r="R872" s="34"/>
      <c r="S872" s="34"/>
      <c r="T872" s="34"/>
      <c r="U872" s="34"/>
    </row>
    <row r="873" spans="18:21" x14ac:dyDescent="0.25">
      <c r="R873" s="34"/>
      <c r="S873" s="34"/>
      <c r="T873" s="34"/>
      <c r="U873" s="34"/>
    </row>
    <row r="874" spans="18:21" x14ac:dyDescent="0.25">
      <c r="R874" s="34"/>
      <c r="S874" s="34"/>
      <c r="T874" s="34"/>
      <c r="U874" s="34"/>
    </row>
    <row r="875" spans="18:21" x14ac:dyDescent="0.25">
      <c r="R875" s="34"/>
      <c r="S875" s="34"/>
      <c r="T875" s="34"/>
      <c r="U875" s="34"/>
    </row>
    <row r="876" spans="18:21" x14ac:dyDescent="0.25">
      <c r="R876" s="34"/>
      <c r="S876" s="34"/>
      <c r="T876" s="34"/>
      <c r="U876" s="34"/>
    </row>
    <row r="877" spans="18:21" x14ac:dyDescent="0.25">
      <c r="R877" s="34"/>
      <c r="S877" s="34"/>
      <c r="T877" s="34"/>
      <c r="U877" s="34"/>
    </row>
    <row r="878" spans="18:21" x14ac:dyDescent="0.25">
      <c r="R878" s="34"/>
      <c r="S878" s="34"/>
      <c r="T878" s="34"/>
      <c r="U878" s="34"/>
    </row>
    <row r="879" spans="18:21" x14ac:dyDescent="0.25">
      <c r="R879" s="34"/>
      <c r="S879" s="34"/>
      <c r="T879" s="34"/>
      <c r="U879" s="34"/>
    </row>
    <row r="880" spans="18:21" x14ac:dyDescent="0.25">
      <c r="R880" s="34"/>
      <c r="S880" s="34"/>
      <c r="T880" s="34"/>
      <c r="U880" s="34"/>
    </row>
    <row r="881" spans="18:21" x14ac:dyDescent="0.25">
      <c r="R881" s="34"/>
      <c r="S881" s="34"/>
      <c r="T881" s="34"/>
      <c r="U881" s="34"/>
    </row>
    <row r="882" spans="18:21" x14ac:dyDescent="0.25">
      <c r="R882" s="34"/>
      <c r="S882" s="34"/>
      <c r="T882" s="34"/>
      <c r="U882" s="34"/>
    </row>
    <row r="883" spans="18:21" x14ac:dyDescent="0.25">
      <c r="R883" s="34"/>
      <c r="S883" s="34"/>
      <c r="T883" s="34"/>
      <c r="U883" s="34"/>
    </row>
    <row r="884" spans="18:21" x14ac:dyDescent="0.25">
      <c r="R884" s="34"/>
      <c r="S884" s="34"/>
      <c r="T884" s="34"/>
      <c r="U884" s="34"/>
    </row>
    <row r="885" spans="18:21" x14ac:dyDescent="0.25">
      <c r="R885" s="34"/>
      <c r="S885" s="34"/>
      <c r="T885" s="34"/>
      <c r="U885" s="34"/>
    </row>
    <row r="886" spans="18:21" x14ac:dyDescent="0.25">
      <c r="R886" s="34"/>
      <c r="S886" s="34"/>
      <c r="T886" s="34"/>
      <c r="U886" s="34"/>
    </row>
    <row r="887" spans="18:21" x14ac:dyDescent="0.25">
      <c r="R887" s="34"/>
      <c r="S887" s="34"/>
      <c r="T887" s="34"/>
      <c r="U887" s="34"/>
    </row>
    <row r="888" spans="18:21" x14ac:dyDescent="0.25">
      <c r="R888" s="34"/>
      <c r="S888" s="34"/>
      <c r="T888" s="34"/>
      <c r="U888" s="34"/>
    </row>
    <row r="889" spans="18:21" x14ac:dyDescent="0.25">
      <c r="R889" s="34"/>
      <c r="S889" s="34"/>
      <c r="T889" s="34"/>
      <c r="U889" s="34"/>
    </row>
    <row r="890" spans="18:21" x14ac:dyDescent="0.25">
      <c r="R890" s="34"/>
      <c r="S890" s="34"/>
      <c r="T890" s="34"/>
      <c r="U890" s="34"/>
    </row>
    <row r="891" spans="18:21" x14ac:dyDescent="0.25">
      <c r="R891" s="34"/>
      <c r="S891" s="34"/>
      <c r="T891" s="34"/>
      <c r="U891" s="34"/>
    </row>
    <row r="892" spans="18:21" x14ac:dyDescent="0.25">
      <c r="R892" s="34"/>
      <c r="S892" s="34"/>
      <c r="T892" s="34"/>
      <c r="U892" s="34"/>
    </row>
    <row r="893" spans="18:21" x14ac:dyDescent="0.25">
      <c r="R893" s="34"/>
      <c r="S893" s="34"/>
      <c r="T893" s="34"/>
      <c r="U893" s="34"/>
    </row>
    <row r="894" spans="18:21" x14ac:dyDescent="0.25">
      <c r="R894" s="34"/>
      <c r="S894" s="34"/>
      <c r="T894" s="34"/>
      <c r="U894" s="34"/>
    </row>
    <row r="895" spans="18:21" x14ac:dyDescent="0.25">
      <c r="R895" s="34"/>
      <c r="S895" s="34"/>
      <c r="T895" s="34"/>
      <c r="U895" s="34"/>
    </row>
    <row r="896" spans="18:21" x14ac:dyDescent="0.25">
      <c r="R896" s="34"/>
      <c r="S896" s="34"/>
      <c r="T896" s="34"/>
      <c r="U896" s="34"/>
    </row>
    <row r="897" spans="18:21" x14ac:dyDescent="0.25">
      <c r="R897" s="34"/>
      <c r="S897" s="34"/>
      <c r="T897" s="34"/>
      <c r="U897" s="34"/>
    </row>
    <row r="898" spans="18:21" x14ac:dyDescent="0.25">
      <c r="R898" s="34"/>
      <c r="S898" s="34"/>
      <c r="T898" s="34"/>
      <c r="U898" s="34"/>
    </row>
    <row r="899" spans="18:21" x14ac:dyDescent="0.25">
      <c r="R899" s="34"/>
      <c r="S899" s="34"/>
      <c r="T899" s="34"/>
      <c r="U899" s="34"/>
    </row>
    <row r="900" spans="18:21" x14ac:dyDescent="0.25">
      <c r="R900" s="34"/>
      <c r="S900" s="34"/>
      <c r="T900" s="34"/>
      <c r="U900" s="34"/>
    </row>
    <row r="901" spans="18:21" x14ac:dyDescent="0.25">
      <c r="R901" s="34"/>
      <c r="S901" s="34"/>
      <c r="T901" s="34"/>
      <c r="U901" s="34"/>
    </row>
    <row r="902" spans="18:21" x14ac:dyDescent="0.25">
      <c r="R902" s="34"/>
      <c r="S902" s="34"/>
      <c r="T902" s="34"/>
      <c r="U902" s="34"/>
    </row>
    <row r="903" spans="18:21" x14ac:dyDescent="0.25">
      <c r="R903" s="34"/>
      <c r="S903" s="34"/>
      <c r="T903" s="34"/>
      <c r="U903" s="34"/>
    </row>
    <row r="904" spans="18:21" x14ac:dyDescent="0.25">
      <c r="R904" s="34"/>
      <c r="S904" s="34"/>
      <c r="T904" s="34"/>
      <c r="U904" s="34"/>
    </row>
    <row r="905" spans="18:21" x14ac:dyDescent="0.25">
      <c r="R905" s="34"/>
      <c r="S905" s="34"/>
      <c r="T905" s="34"/>
      <c r="U905" s="34"/>
    </row>
    <row r="906" spans="18:21" x14ac:dyDescent="0.25">
      <c r="R906" s="34"/>
      <c r="S906" s="34"/>
      <c r="T906" s="34"/>
      <c r="U906" s="34"/>
    </row>
    <row r="907" spans="18:21" x14ac:dyDescent="0.25">
      <c r="R907" s="34"/>
      <c r="S907" s="34"/>
      <c r="T907" s="34"/>
      <c r="U907" s="34"/>
    </row>
    <row r="908" spans="18:21" x14ac:dyDescent="0.25">
      <c r="R908" s="34"/>
      <c r="S908" s="34"/>
      <c r="T908" s="34"/>
      <c r="U908" s="34"/>
    </row>
    <row r="909" spans="18:21" x14ac:dyDescent="0.25">
      <c r="R909" s="34"/>
      <c r="S909" s="34"/>
      <c r="T909" s="34"/>
      <c r="U909" s="34"/>
    </row>
    <row r="910" spans="18:21" x14ac:dyDescent="0.25">
      <c r="R910" s="34"/>
      <c r="S910" s="34"/>
      <c r="T910" s="34"/>
      <c r="U910" s="34"/>
    </row>
    <row r="911" spans="18:21" x14ac:dyDescent="0.25">
      <c r="R911" s="34"/>
      <c r="S911" s="34"/>
      <c r="T911" s="34"/>
      <c r="U911" s="34"/>
    </row>
    <row r="912" spans="18:21" x14ac:dyDescent="0.25">
      <c r="R912" s="34"/>
      <c r="S912" s="34"/>
      <c r="T912" s="34"/>
      <c r="U912" s="34"/>
    </row>
    <row r="913" spans="18:21" x14ac:dyDescent="0.25">
      <c r="R913" s="34"/>
      <c r="S913" s="34"/>
      <c r="T913" s="34"/>
      <c r="U913" s="34"/>
    </row>
    <row r="914" spans="18:21" x14ac:dyDescent="0.25">
      <c r="R914" s="34"/>
      <c r="S914" s="34"/>
      <c r="T914" s="34"/>
      <c r="U914" s="34"/>
    </row>
    <row r="915" spans="18:21" x14ac:dyDescent="0.25">
      <c r="R915" s="34"/>
      <c r="S915" s="34"/>
      <c r="T915" s="34"/>
      <c r="U915" s="34"/>
    </row>
    <row r="916" spans="18:21" x14ac:dyDescent="0.25">
      <c r="R916" s="34"/>
      <c r="S916" s="34"/>
      <c r="T916" s="34"/>
      <c r="U916" s="34"/>
    </row>
    <row r="917" spans="18:21" x14ac:dyDescent="0.25">
      <c r="R917" s="34"/>
      <c r="S917" s="34"/>
      <c r="T917" s="34"/>
      <c r="U917" s="34"/>
    </row>
    <row r="918" spans="18:21" x14ac:dyDescent="0.25">
      <c r="R918" s="34"/>
      <c r="S918" s="34"/>
      <c r="T918" s="34"/>
      <c r="U918" s="34"/>
    </row>
    <row r="919" spans="18:21" x14ac:dyDescent="0.25">
      <c r="R919" s="34"/>
      <c r="S919" s="34"/>
      <c r="T919" s="34"/>
      <c r="U919" s="34"/>
    </row>
    <row r="920" spans="18:21" x14ac:dyDescent="0.25">
      <c r="R920" s="34"/>
      <c r="S920" s="34"/>
      <c r="T920" s="34"/>
      <c r="U920" s="34"/>
    </row>
    <row r="921" spans="18:21" x14ac:dyDescent="0.25">
      <c r="R921" s="34"/>
      <c r="S921" s="34"/>
      <c r="T921" s="34"/>
      <c r="U921" s="34"/>
    </row>
    <row r="922" spans="18:21" x14ac:dyDescent="0.25">
      <c r="R922" s="34"/>
      <c r="S922" s="34"/>
      <c r="T922" s="34"/>
      <c r="U922" s="34"/>
    </row>
    <row r="923" spans="18:21" x14ac:dyDescent="0.25">
      <c r="R923" s="34"/>
      <c r="S923" s="34"/>
      <c r="T923" s="34"/>
      <c r="U923" s="34"/>
    </row>
    <row r="924" spans="18:21" x14ac:dyDescent="0.25">
      <c r="R924" s="34"/>
      <c r="S924" s="34"/>
      <c r="T924" s="34"/>
      <c r="U924" s="34"/>
    </row>
    <row r="925" spans="18:21" x14ac:dyDescent="0.25">
      <c r="R925" s="34"/>
      <c r="S925" s="34"/>
      <c r="T925" s="34"/>
      <c r="U925" s="34"/>
    </row>
    <row r="926" spans="18:21" x14ac:dyDescent="0.25">
      <c r="R926" s="34"/>
      <c r="S926" s="34"/>
      <c r="T926" s="34"/>
      <c r="U926" s="34"/>
    </row>
    <row r="927" spans="18:21" x14ac:dyDescent="0.25">
      <c r="R927" s="34"/>
      <c r="S927" s="34"/>
      <c r="T927" s="34"/>
      <c r="U927" s="34"/>
    </row>
    <row r="928" spans="18:21" x14ac:dyDescent="0.25">
      <c r="R928" s="34"/>
      <c r="S928" s="34"/>
      <c r="T928" s="34"/>
      <c r="U928" s="34"/>
    </row>
    <row r="929" spans="18:21" x14ac:dyDescent="0.25">
      <c r="R929" s="34"/>
      <c r="S929" s="34"/>
      <c r="T929" s="34"/>
      <c r="U929" s="34"/>
    </row>
    <row r="930" spans="18:21" x14ac:dyDescent="0.25">
      <c r="R930" s="34"/>
      <c r="S930" s="34"/>
      <c r="T930" s="34"/>
      <c r="U930" s="34"/>
    </row>
    <row r="931" spans="18:21" x14ac:dyDescent="0.25">
      <c r="R931" s="34"/>
      <c r="S931" s="34"/>
      <c r="T931" s="34"/>
      <c r="U931" s="34"/>
    </row>
    <row r="932" spans="18:21" x14ac:dyDescent="0.25">
      <c r="R932" s="34"/>
      <c r="S932" s="34"/>
      <c r="T932" s="34"/>
      <c r="U932" s="34"/>
    </row>
    <row r="933" spans="18:21" x14ac:dyDescent="0.25">
      <c r="R933" s="34"/>
      <c r="S933" s="34"/>
      <c r="T933" s="34"/>
      <c r="U933" s="34"/>
    </row>
    <row r="934" spans="18:21" x14ac:dyDescent="0.25">
      <c r="R934" s="34"/>
      <c r="S934" s="34"/>
      <c r="T934" s="34"/>
      <c r="U934" s="34"/>
    </row>
    <row r="935" spans="18:21" x14ac:dyDescent="0.25">
      <c r="R935" s="34"/>
      <c r="S935" s="34"/>
      <c r="T935" s="34"/>
      <c r="U935" s="34"/>
    </row>
    <row r="936" spans="18:21" x14ac:dyDescent="0.25">
      <c r="R936" s="34"/>
      <c r="S936" s="34"/>
      <c r="T936" s="34"/>
      <c r="U936" s="34"/>
    </row>
    <row r="937" spans="18:21" x14ac:dyDescent="0.25">
      <c r="R937" s="34"/>
      <c r="S937" s="34"/>
      <c r="T937" s="34"/>
      <c r="U937" s="34"/>
    </row>
    <row r="938" spans="18:21" x14ac:dyDescent="0.25">
      <c r="R938" s="34"/>
      <c r="S938" s="34"/>
      <c r="T938" s="34"/>
      <c r="U938" s="34"/>
    </row>
    <row r="939" spans="18:21" x14ac:dyDescent="0.25">
      <c r="R939" s="34"/>
      <c r="S939" s="34"/>
      <c r="T939" s="34"/>
      <c r="U939" s="34"/>
    </row>
    <row r="940" spans="18:21" x14ac:dyDescent="0.25">
      <c r="R940" s="34"/>
      <c r="S940" s="34"/>
      <c r="T940" s="34"/>
      <c r="U940" s="34"/>
    </row>
    <row r="941" spans="18:21" x14ac:dyDescent="0.25">
      <c r="R941" s="34"/>
      <c r="S941" s="34"/>
      <c r="T941" s="34"/>
      <c r="U941" s="34"/>
    </row>
    <row r="942" spans="18:21" x14ac:dyDescent="0.25">
      <c r="R942" s="34"/>
      <c r="S942" s="34"/>
      <c r="T942" s="34"/>
      <c r="U942" s="34"/>
    </row>
    <row r="943" spans="18:21" x14ac:dyDescent="0.25">
      <c r="R943" s="34"/>
      <c r="S943" s="34"/>
      <c r="T943" s="34"/>
      <c r="U943" s="34"/>
    </row>
    <row r="944" spans="18:21" x14ac:dyDescent="0.25">
      <c r="R944" s="34"/>
      <c r="S944" s="34"/>
      <c r="T944" s="34"/>
      <c r="U944" s="34"/>
    </row>
    <row r="945" spans="18:21" x14ac:dyDescent="0.25">
      <c r="R945" s="34"/>
      <c r="S945" s="34"/>
      <c r="T945" s="34"/>
      <c r="U945" s="34"/>
    </row>
    <row r="946" spans="18:21" x14ac:dyDescent="0.25">
      <c r="R946" s="34"/>
      <c r="S946" s="34"/>
      <c r="T946" s="34"/>
      <c r="U946" s="34"/>
    </row>
    <row r="947" spans="18:21" x14ac:dyDescent="0.25">
      <c r="R947" s="34"/>
      <c r="S947" s="34"/>
      <c r="T947" s="34"/>
      <c r="U947" s="34"/>
    </row>
    <row r="948" spans="18:21" x14ac:dyDescent="0.25">
      <c r="R948" s="34"/>
      <c r="S948" s="34"/>
      <c r="T948" s="34"/>
      <c r="U948" s="34"/>
    </row>
    <row r="949" spans="18:21" x14ac:dyDescent="0.25">
      <c r="R949" s="34"/>
      <c r="S949" s="34"/>
      <c r="T949" s="34"/>
      <c r="U949" s="34"/>
    </row>
    <row r="950" spans="18:21" x14ac:dyDescent="0.25">
      <c r="R950" s="34"/>
      <c r="S950" s="34"/>
      <c r="T950" s="34"/>
      <c r="U950" s="34"/>
    </row>
    <row r="951" spans="18:21" x14ac:dyDescent="0.25">
      <c r="R951" s="34"/>
      <c r="S951" s="34"/>
      <c r="T951" s="34"/>
      <c r="U951" s="34"/>
    </row>
    <row r="952" spans="18:21" x14ac:dyDescent="0.25">
      <c r="R952" s="34"/>
      <c r="S952" s="34"/>
      <c r="T952" s="34"/>
      <c r="U952" s="34"/>
    </row>
    <row r="953" spans="18:21" x14ac:dyDescent="0.25">
      <c r="R953" s="34"/>
      <c r="S953" s="34"/>
      <c r="T953" s="34"/>
      <c r="U953" s="34"/>
    </row>
    <row r="954" spans="18:21" x14ac:dyDescent="0.25">
      <c r="R954" s="34"/>
      <c r="S954" s="34"/>
      <c r="T954" s="34"/>
      <c r="U954" s="34"/>
    </row>
    <row r="955" spans="18:21" x14ac:dyDescent="0.25">
      <c r="R955" s="34"/>
      <c r="S955" s="34"/>
      <c r="T955" s="34"/>
      <c r="U955" s="34"/>
    </row>
    <row r="956" spans="18:21" x14ac:dyDescent="0.25">
      <c r="R956" s="34"/>
      <c r="S956" s="34"/>
      <c r="T956" s="34"/>
      <c r="U956" s="34"/>
    </row>
    <row r="957" spans="18:21" x14ac:dyDescent="0.25">
      <c r="R957" s="34"/>
      <c r="S957" s="34"/>
      <c r="T957" s="34"/>
      <c r="U957" s="34"/>
    </row>
    <row r="958" spans="18:21" x14ac:dyDescent="0.25">
      <c r="R958" s="34"/>
      <c r="S958" s="34"/>
      <c r="T958" s="34"/>
      <c r="U958" s="34"/>
    </row>
    <row r="959" spans="18:21" x14ac:dyDescent="0.25">
      <c r="R959" s="34"/>
      <c r="S959" s="34"/>
      <c r="T959" s="34"/>
      <c r="U959" s="34"/>
    </row>
    <row r="960" spans="18:21" x14ac:dyDescent="0.25">
      <c r="R960" s="34"/>
      <c r="S960" s="34"/>
      <c r="T960" s="34"/>
      <c r="U960" s="34"/>
    </row>
    <row r="961" spans="18:21" x14ac:dyDescent="0.25">
      <c r="R961" s="34"/>
      <c r="S961" s="34"/>
      <c r="T961" s="34"/>
      <c r="U961" s="34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0" t="s">
        <v>80</v>
      </c>
      <c r="B1" s="30" t="s">
        <v>81</v>
      </c>
      <c r="C1" s="31" t="s">
        <v>82</v>
      </c>
      <c r="D1" s="30" t="s">
        <v>83</v>
      </c>
      <c r="E1" s="30" t="s">
        <v>4</v>
      </c>
      <c r="F1" s="30" t="s">
        <v>84</v>
      </c>
      <c r="G1" s="31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111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105</v>
      </c>
      <c r="E6" t="s">
        <v>106</v>
      </c>
      <c r="F6">
        <v>0.46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11.074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68.108000000000004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110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109</v>
      </c>
      <c r="E13" t="s">
        <v>13</v>
      </c>
      <c r="F13">
        <v>0.308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188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111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18</v>
      </c>
      <c r="E18" t="s">
        <v>15</v>
      </c>
      <c r="F18">
        <v>91.44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105</v>
      </c>
      <c r="E19" t="s">
        <v>106</v>
      </c>
      <c r="F19">
        <v>0.54600000000000004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11.683999999999999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71.856999999999999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110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109</v>
      </c>
      <c r="E26" t="s">
        <v>13</v>
      </c>
      <c r="F26">
        <v>0.35299999999999998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189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111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18</v>
      </c>
      <c r="E31" t="s">
        <v>15</v>
      </c>
      <c r="F31">
        <v>96.316999999999993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105</v>
      </c>
      <c r="E32" t="s">
        <v>106</v>
      </c>
      <c r="F32">
        <v>0.63300000000000001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12.294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75.605999999999995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110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109</v>
      </c>
      <c r="E39" t="s">
        <v>13</v>
      </c>
      <c r="F39">
        <v>0.39800000000000002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190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111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18</v>
      </c>
      <c r="E44" t="s">
        <v>15</v>
      </c>
      <c r="F44">
        <v>101.194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105</v>
      </c>
      <c r="E45" t="s">
        <v>106</v>
      </c>
      <c r="F45">
        <v>0.71899999999999997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12.903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79.355000000000004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110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109</v>
      </c>
      <c r="E52" t="s">
        <v>13</v>
      </c>
      <c r="F52">
        <v>0.443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191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111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18</v>
      </c>
      <c r="E57" t="s">
        <v>15</v>
      </c>
      <c r="F57">
        <v>103.63200000000001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105</v>
      </c>
      <c r="E58" t="s">
        <v>106</v>
      </c>
      <c r="F58">
        <v>0.76200000000000001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13.208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81.228999999999999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110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109</v>
      </c>
      <c r="E65" t="s">
        <v>13</v>
      </c>
      <c r="F65">
        <v>0.46500000000000002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192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111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18</v>
      </c>
      <c r="E70" t="s">
        <v>15</v>
      </c>
      <c r="F70">
        <v>106.07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105</v>
      </c>
      <c r="E71" t="s">
        <v>106</v>
      </c>
      <c r="F71">
        <v>0.80500000000000005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13.513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83.103999999999999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110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109</v>
      </c>
      <c r="E78" t="s">
        <v>13</v>
      </c>
      <c r="F78">
        <v>0.48799999999999999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193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111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18</v>
      </c>
      <c r="E83" t="s">
        <v>15</v>
      </c>
      <c r="F83">
        <v>110.947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105</v>
      </c>
      <c r="E84" t="s">
        <v>106</v>
      </c>
      <c r="F84">
        <v>0.89100000000000001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14.122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86.852999999999994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110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109</v>
      </c>
      <c r="E91" t="s">
        <v>13</v>
      </c>
      <c r="F91">
        <v>0.53300000000000003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194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111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18</v>
      </c>
      <c r="E96" t="s">
        <v>15</v>
      </c>
      <c r="F96">
        <v>115.824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105</v>
      </c>
      <c r="E97" t="s">
        <v>106</v>
      </c>
      <c r="F97">
        <v>0.97799999999999998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14.731999999999999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90.602000000000004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110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109</v>
      </c>
      <c r="E104" t="s">
        <v>13</v>
      </c>
      <c r="F104">
        <v>0.57799999999999996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195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111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18</v>
      </c>
      <c r="E109" t="s">
        <v>15</v>
      </c>
      <c r="F109">
        <v>89.001999999999995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105</v>
      </c>
      <c r="E110" t="s">
        <v>106</v>
      </c>
      <c r="F110">
        <v>0.48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11.379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69.981999999999999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110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109</v>
      </c>
      <c r="E117" t="s">
        <v>13</v>
      </c>
      <c r="F117">
        <v>0.308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196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111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18</v>
      </c>
      <c r="E122" t="s">
        <v>15</v>
      </c>
      <c r="F122">
        <v>93.878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105</v>
      </c>
      <c r="E123" t="s">
        <v>106</v>
      </c>
      <c r="F123">
        <v>0.56899999999999995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11.989000000000001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73.730999999999995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110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109</v>
      </c>
      <c r="E130" t="s">
        <v>13</v>
      </c>
      <c r="F130">
        <v>0.35299999999999998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197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111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18</v>
      </c>
      <c r="E135" t="s">
        <v>15</v>
      </c>
      <c r="F135">
        <v>98.754999999999995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105</v>
      </c>
      <c r="E136" t="s">
        <v>106</v>
      </c>
      <c r="F136">
        <v>0.65900000000000003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12.598000000000001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77.48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110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109</v>
      </c>
      <c r="E143" t="s">
        <v>13</v>
      </c>
      <c r="F143">
        <v>0.39800000000000002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198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111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18</v>
      </c>
      <c r="E148" t="s">
        <v>15</v>
      </c>
      <c r="F148">
        <v>103.63200000000001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105</v>
      </c>
      <c r="E149" t="s">
        <v>106</v>
      </c>
      <c r="F149">
        <v>0.749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13.208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81.228999999999999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110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109</v>
      </c>
      <c r="E156" t="s">
        <v>13</v>
      </c>
      <c r="F156">
        <v>0.443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199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111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18</v>
      </c>
      <c r="E161" t="s">
        <v>15</v>
      </c>
      <c r="F161">
        <v>106.07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105</v>
      </c>
      <c r="E162" t="s">
        <v>106</v>
      </c>
      <c r="F162">
        <v>0.79400000000000004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13.513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83.103999999999999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110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109</v>
      </c>
      <c r="E169" t="s">
        <v>13</v>
      </c>
      <c r="F169">
        <v>0.46500000000000002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200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111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18</v>
      </c>
      <c r="E174" t="s">
        <v>15</v>
      </c>
      <c r="F174">
        <v>108.509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105</v>
      </c>
      <c r="E175" t="s">
        <v>106</v>
      </c>
      <c r="F175">
        <v>0.83899999999999997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13.818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84.977999999999994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110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109</v>
      </c>
      <c r="E182" t="s">
        <v>13</v>
      </c>
      <c r="F182">
        <v>0.48799999999999999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201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111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18</v>
      </c>
      <c r="E187" t="s">
        <v>15</v>
      </c>
      <c r="F187">
        <v>113.386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105</v>
      </c>
      <c r="E188" t="s">
        <v>106</v>
      </c>
      <c r="F188">
        <v>0.92900000000000005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14.427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88.727000000000004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110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109</v>
      </c>
      <c r="E195" t="s">
        <v>13</v>
      </c>
      <c r="F195">
        <v>0.53300000000000003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202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111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18</v>
      </c>
      <c r="E200" t="s">
        <v>15</v>
      </c>
      <c r="F200">
        <v>118.262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105</v>
      </c>
      <c r="E201" t="s">
        <v>106</v>
      </c>
      <c r="F201">
        <v>1.0189999999999999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15.037000000000001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92.475999999999999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110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109</v>
      </c>
      <c r="E208" t="s">
        <v>13</v>
      </c>
      <c r="F208">
        <v>0.57799999999999996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203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111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18</v>
      </c>
      <c r="E213" t="s">
        <v>15</v>
      </c>
      <c r="F213">
        <v>91.44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105</v>
      </c>
      <c r="E214" t="s">
        <v>106</v>
      </c>
      <c r="F214">
        <v>0.499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11.683999999999999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71.856999999999999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110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109</v>
      </c>
      <c r="E221" t="s">
        <v>13</v>
      </c>
      <c r="F221">
        <v>0.308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204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111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18</v>
      </c>
      <c r="E226" t="s">
        <v>15</v>
      </c>
      <c r="F226">
        <v>96.316999999999993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105</v>
      </c>
      <c r="E227" t="s">
        <v>106</v>
      </c>
      <c r="F227">
        <v>0.59299999999999997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12.294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75.605999999999995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110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109</v>
      </c>
      <c r="E234" t="s">
        <v>13</v>
      </c>
      <c r="F234">
        <v>0.35299999999999998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205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111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18</v>
      </c>
      <c r="E239" t="s">
        <v>15</v>
      </c>
      <c r="F239">
        <v>101.194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105</v>
      </c>
      <c r="E240" t="s">
        <v>106</v>
      </c>
      <c r="F240">
        <v>0.68600000000000005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12.903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79.355000000000004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110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109</v>
      </c>
      <c r="E247" t="s">
        <v>13</v>
      </c>
      <c r="F247">
        <v>0.39800000000000002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206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111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18</v>
      </c>
      <c r="E252" t="s">
        <v>15</v>
      </c>
      <c r="F252">
        <v>106.07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105</v>
      </c>
      <c r="E253" t="s">
        <v>106</v>
      </c>
      <c r="F253">
        <v>0.78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13.513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83.103999999999999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110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109</v>
      </c>
      <c r="E260" t="s">
        <v>13</v>
      </c>
      <c r="F260">
        <v>0.443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207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111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18</v>
      </c>
      <c r="E265" t="s">
        <v>15</v>
      </c>
      <c r="F265">
        <v>108.509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105</v>
      </c>
      <c r="E266" t="s">
        <v>106</v>
      </c>
      <c r="F266">
        <v>0.82599999999999996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13.818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84.977999999999994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110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109</v>
      </c>
      <c r="E273" t="s">
        <v>13</v>
      </c>
      <c r="F273">
        <v>0.46500000000000002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208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111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18</v>
      </c>
      <c r="E278" t="s">
        <v>15</v>
      </c>
      <c r="F278">
        <v>110.947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105</v>
      </c>
      <c r="E279" t="s">
        <v>106</v>
      </c>
      <c r="F279">
        <v>0.873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14.122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86.852999999999994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110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109</v>
      </c>
      <c r="E286" t="s">
        <v>13</v>
      </c>
      <c r="F286">
        <v>0.48799999999999999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209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111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18</v>
      </c>
      <c r="E291" t="s">
        <v>15</v>
      </c>
      <c r="F291">
        <v>115.824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105</v>
      </c>
      <c r="E292" t="s">
        <v>106</v>
      </c>
      <c r="F292">
        <v>0.96699999999999997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14.731999999999999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90.602000000000004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110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109</v>
      </c>
      <c r="E299" t="s">
        <v>13</v>
      </c>
      <c r="F299">
        <v>0.53300000000000003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210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111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18</v>
      </c>
      <c r="E304" t="s">
        <v>15</v>
      </c>
      <c r="F304">
        <v>120.70099999999999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105</v>
      </c>
      <c r="E305" t="s">
        <v>106</v>
      </c>
      <c r="F305">
        <v>1.06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15.342000000000001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94.350999999999999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110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109</v>
      </c>
      <c r="E312" t="s">
        <v>13</v>
      </c>
      <c r="F312">
        <v>0.57799999999999996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211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111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18</v>
      </c>
      <c r="E317" t="s">
        <v>15</v>
      </c>
      <c r="F317">
        <v>93.066000000000003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105</v>
      </c>
      <c r="E318" t="s">
        <v>106</v>
      </c>
      <c r="F318">
        <v>0.51200000000000001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11.887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73.105999999999995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110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109</v>
      </c>
      <c r="E325" t="s">
        <v>13</v>
      </c>
      <c r="F325">
        <v>0.66100000000000003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212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111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18</v>
      </c>
      <c r="E330" t="s">
        <v>15</v>
      </c>
      <c r="F330">
        <v>97.941999999999993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105</v>
      </c>
      <c r="E331" t="s">
        <v>106</v>
      </c>
      <c r="F331">
        <v>0.60799999999999998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12.497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76.855000000000004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110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109</v>
      </c>
      <c r="E338" t="s">
        <v>13</v>
      </c>
      <c r="F338">
        <v>0.66100000000000003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213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111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18</v>
      </c>
      <c r="E343" t="s">
        <v>15</v>
      </c>
      <c r="F343">
        <v>102.819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105</v>
      </c>
      <c r="E344" t="s">
        <v>106</v>
      </c>
      <c r="F344">
        <v>0.70399999999999996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13.106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80.603999999999999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110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109</v>
      </c>
      <c r="E351" t="s">
        <v>13</v>
      </c>
      <c r="F351">
        <v>0.66100000000000003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214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111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18</v>
      </c>
      <c r="E356" t="s">
        <v>15</v>
      </c>
      <c r="F356">
        <v>107.696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105</v>
      </c>
      <c r="E357" t="s">
        <v>106</v>
      </c>
      <c r="F357">
        <v>0.8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13.715999999999999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84.352999999999994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110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109</v>
      </c>
      <c r="E364" t="s">
        <v>13</v>
      </c>
      <c r="F364">
        <v>0.66100000000000003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215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18</v>
      </c>
      <c r="E369" t="s">
        <v>15</v>
      </c>
      <c r="F369">
        <v>110.134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105</v>
      </c>
      <c r="E370" t="s">
        <v>106</v>
      </c>
      <c r="F370">
        <v>0.84799999999999998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14.021000000000001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86.227999999999994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110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109</v>
      </c>
      <c r="E377" t="s">
        <v>13</v>
      </c>
      <c r="F377">
        <v>0.66100000000000003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216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111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18</v>
      </c>
      <c r="E382" t="s">
        <v>15</v>
      </c>
      <c r="F382">
        <v>112.57299999999999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105</v>
      </c>
      <c r="E383" t="s">
        <v>106</v>
      </c>
      <c r="F383">
        <v>0.89600000000000002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14.326000000000001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88.102000000000004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110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109</v>
      </c>
      <c r="E390" t="s">
        <v>13</v>
      </c>
      <c r="F390">
        <v>0.66100000000000003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217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111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18</v>
      </c>
      <c r="E395" t="s">
        <v>15</v>
      </c>
      <c r="F395">
        <v>117.45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105</v>
      </c>
      <c r="E396" t="s">
        <v>106</v>
      </c>
      <c r="F396">
        <v>0.99199999999999999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14.935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91.850999999999999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110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109</v>
      </c>
      <c r="E403" t="s">
        <v>13</v>
      </c>
      <c r="F403">
        <v>0.66100000000000003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218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111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18</v>
      </c>
      <c r="E408" t="s">
        <v>15</v>
      </c>
      <c r="F408">
        <v>122.32599999999999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105</v>
      </c>
      <c r="E409" t="s">
        <v>106</v>
      </c>
      <c r="F409">
        <v>1.0880000000000001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15.545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95.600999999999999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110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109</v>
      </c>
      <c r="E416" t="s">
        <v>13</v>
      </c>
      <c r="F416">
        <v>0.66100000000000003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219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111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18</v>
      </c>
      <c r="E421" t="s">
        <v>15</v>
      </c>
      <c r="F421">
        <v>96.316999999999993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105</v>
      </c>
      <c r="E422" t="s">
        <v>106</v>
      </c>
      <c r="F422">
        <v>0.53800000000000003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12.294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75.605999999999995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110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109</v>
      </c>
      <c r="E429" t="s">
        <v>13</v>
      </c>
      <c r="F429">
        <v>0.69099999999999995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220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111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18</v>
      </c>
      <c r="E434" t="s">
        <v>15</v>
      </c>
      <c r="F434">
        <v>101.194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105</v>
      </c>
      <c r="E435" t="s">
        <v>106</v>
      </c>
      <c r="F435">
        <v>0.63900000000000001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12.903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79.355000000000004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110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109</v>
      </c>
      <c r="E442" t="s">
        <v>13</v>
      </c>
      <c r="F442">
        <v>0.69099999999999995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221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111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18</v>
      </c>
      <c r="E447" t="s">
        <v>15</v>
      </c>
      <c r="F447">
        <v>106.07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105</v>
      </c>
      <c r="E448" t="s">
        <v>106</v>
      </c>
      <c r="F448">
        <v>0.74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13.513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83.103999999999999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110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109</v>
      </c>
      <c r="E455" t="s">
        <v>13</v>
      </c>
      <c r="F455">
        <v>0.69099999999999995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222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111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18</v>
      </c>
      <c r="E460" t="s">
        <v>15</v>
      </c>
      <c r="F460">
        <v>110.947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105</v>
      </c>
      <c r="E461" t="s">
        <v>106</v>
      </c>
      <c r="F461">
        <v>0.84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14.122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86.852999999999994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110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109</v>
      </c>
      <c r="E468" t="s">
        <v>13</v>
      </c>
      <c r="F468">
        <v>0.69099999999999995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223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111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18</v>
      </c>
      <c r="E473" t="s">
        <v>15</v>
      </c>
      <c r="F473">
        <v>113.386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105</v>
      </c>
      <c r="E474" t="s">
        <v>106</v>
      </c>
      <c r="F474">
        <v>0.89100000000000001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14.427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88.727000000000004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110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109</v>
      </c>
      <c r="E481" t="s">
        <v>13</v>
      </c>
      <c r="F481">
        <v>0.69099999999999995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224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111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18</v>
      </c>
      <c r="E486" t="s">
        <v>15</v>
      </c>
      <c r="F486">
        <v>115.824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105</v>
      </c>
      <c r="E487" t="s">
        <v>106</v>
      </c>
      <c r="F487">
        <v>0.94099999999999995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14.731999999999999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90.602000000000004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110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109</v>
      </c>
      <c r="E494" t="s">
        <v>13</v>
      </c>
      <c r="F494">
        <v>0.69099999999999995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225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111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18</v>
      </c>
      <c r="E499" t="s">
        <v>15</v>
      </c>
      <c r="F499">
        <v>120.70099999999999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105</v>
      </c>
      <c r="E500" t="s">
        <v>106</v>
      </c>
      <c r="F500">
        <v>1.042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15.342000000000001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94.350999999999999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110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109</v>
      </c>
      <c r="E507" t="s">
        <v>13</v>
      </c>
      <c r="F507">
        <v>0.69099999999999995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226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111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18</v>
      </c>
      <c r="E512" t="s">
        <v>15</v>
      </c>
      <c r="F512">
        <v>125.578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105</v>
      </c>
      <c r="E513" t="s">
        <v>106</v>
      </c>
      <c r="F513">
        <v>1.143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15.951000000000001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98.1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110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109</v>
      </c>
      <c r="E520" t="s">
        <v>13</v>
      </c>
      <c r="F520">
        <v>0.69099999999999995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227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111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18</v>
      </c>
      <c r="E525" t="s">
        <v>15</v>
      </c>
      <c r="F525">
        <v>84.125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105</v>
      </c>
      <c r="E526" t="s">
        <v>106</v>
      </c>
      <c r="F526">
        <v>0.41699999999999998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10.77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66.233000000000004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110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109</v>
      </c>
      <c r="E533" t="s">
        <v>13</v>
      </c>
      <c r="F533">
        <v>0.28499999999999998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228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111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18</v>
      </c>
      <c r="E538" t="s">
        <v>15</v>
      </c>
      <c r="F538">
        <v>89.001999999999995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105</v>
      </c>
      <c r="E539" t="s">
        <v>106</v>
      </c>
      <c r="F539">
        <v>0.503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11.379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69.981999999999999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110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109</v>
      </c>
      <c r="E546" t="s">
        <v>13</v>
      </c>
      <c r="F546">
        <v>0.33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229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111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18</v>
      </c>
      <c r="E551" t="s">
        <v>15</v>
      </c>
      <c r="F551">
        <v>93.878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105</v>
      </c>
      <c r="E552" t="s">
        <v>106</v>
      </c>
      <c r="F552">
        <v>0.58899999999999997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11.989000000000001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73.730999999999995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110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109</v>
      </c>
      <c r="E559" t="s">
        <v>13</v>
      </c>
      <c r="F559">
        <v>0.375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230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111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18</v>
      </c>
      <c r="E564" t="s">
        <v>15</v>
      </c>
      <c r="F564">
        <v>98.754999999999995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105</v>
      </c>
      <c r="E565" t="s">
        <v>106</v>
      </c>
      <c r="F565">
        <v>0.67600000000000005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12.598000000000001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77.48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110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109</v>
      </c>
      <c r="E572" t="s">
        <v>13</v>
      </c>
      <c r="F572">
        <v>0.42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231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111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18</v>
      </c>
      <c r="E577" t="s">
        <v>15</v>
      </c>
      <c r="F577">
        <v>108.509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105</v>
      </c>
      <c r="E578" t="s">
        <v>106</v>
      </c>
      <c r="F578">
        <v>0.84799999999999998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13.818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84.977999999999994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110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109</v>
      </c>
      <c r="E585" t="s">
        <v>13</v>
      </c>
      <c r="F585">
        <v>0.51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232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111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18</v>
      </c>
      <c r="E590" t="s">
        <v>15</v>
      </c>
      <c r="F590">
        <v>113.386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105</v>
      </c>
      <c r="E591" t="s">
        <v>106</v>
      </c>
      <c r="F591">
        <v>0.93500000000000005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14.427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88.727000000000004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110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109</v>
      </c>
      <c r="E598" t="s">
        <v>13</v>
      </c>
      <c r="F598">
        <v>0.55500000000000005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233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111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18</v>
      </c>
      <c r="E603" t="s">
        <v>15</v>
      </c>
      <c r="F603">
        <v>118.262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105</v>
      </c>
      <c r="E604" t="s">
        <v>106</v>
      </c>
      <c r="F604">
        <v>1.0209999999999999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15.037000000000001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92.475999999999999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110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109</v>
      </c>
      <c r="E611" t="s">
        <v>13</v>
      </c>
      <c r="F611">
        <v>0.60099999999999998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234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111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18</v>
      </c>
      <c r="E616" t="s">
        <v>15</v>
      </c>
      <c r="F616">
        <v>86.563000000000002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105</v>
      </c>
      <c r="E617" t="s">
        <v>106</v>
      </c>
      <c r="F617">
        <v>0.435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11.074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68.108000000000004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110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109</v>
      </c>
      <c r="E624" t="s">
        <v>13</v>
      </c>
      <c r="F624">
        <v>0.28499999999999998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235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111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18</v>
      </c>
      <c r="E629" t="s">
        <v>15</v>
      </c>
      <c r="F629">
        <v>91.44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105</v>
      </c>
      <c r="E630" t="s">
        <v>106</v>
      </c>
      <c r="F630">
        <v>0.52400000000000002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11.683999999999999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71.856999999999999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110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109</v>
      </c>
      <c r="E637" t="s">
        <v>13</v>
      </c>
      <c r="F637">
        <v>0.33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236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111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18</v>
      </c>
      <c r="E642" t="s">
        <v>15</v>
      </c>
      <c r="F642">
        <v>96.316999999999993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105</v>
      </c>
      <c r="E643" t="s">
        <v>106</v>
      </c>
      <c r="F643">
        <v>0.61399999999999999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12.294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75.605999999999995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110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109</v>
      </c>
      <c r="E650" t="s">
        <v>13</v>
      </c>
      <c r="F650">
        <v>0.375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237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111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18</v>
      </c>
      <c r="E655" t="s">
        <v>15</v>
      </c>
      <c r="F655">
        <v>101.194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105</v>
      </c>
      <c r="E656" t="s">
        <v>106</v>
      </c>
      <c r="F656">
        <v>0.70399999999999996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12.903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79.355000000000004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110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109</v>
      </c>
      <c r="E663" t="s">
        <v>13</v>
      </c>
      <c r="F663">
        <v>0.42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238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111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18</v>
      </c>
      <c r="E668" t="s">
        <v>15</v>
      </c>
      <c r="F668">
        <v>110.947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105</v>
      </c>
      <c r="E669" t="s">
        <v>106</v>
      </c>
      <c r="F669">
        <v>0.88400000000000001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14.122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86.852999999999994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110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109</v>
      </c>
      <c r="E676" t="s">
        <v>13</v>
      </c>
      <c r="F676">
        <v>0.51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239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111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18</v>
      </c>
      <c r="E681" t="s">
        <v>15</v>
      </c>
      <c r="F681">
        <v>115.824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105</v>
      </c>
      <c r="E682" t="s">
        <v>106</v>
      </c>
      <c r="F682">
        <v>0.97399999999999998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14.731999999999999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90.602000000000004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110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109</v>
      </c>
      <c r="E689" t="s">
        <v>13</v>
      </c>
      <c r="F689">
        <v>0.55500000000000005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240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111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18</v>
      </c>
      <c r="E694" t="s">
        <v>15</v>
      </c>
      <c r="F694">
        <v>120.70099999999999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105</v>
      </c>
      <c r="E695" t="s">
        <v>106</v>
      </c>
      <c r="F695">
        <v>1.0640000000000001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15.342000000000001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94.350999999999999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110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109</v>
      </c>
      <c r="E702" t="s">
        <v>13</v>
      </c>
      <c r="F702">
        <v>0.60099999999999998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241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111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18</v>
      </c>
      <c r="E707" t="s">
        <v>15</v>
      </c>
      <c r="F707">
        <v>89.001999999999995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105</v>
      </c>
      <c r="E708" t="s">
        <v>106</v>
      </c>
      <c r="F708">
        <v>0.45200000000000001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11.379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69.981999999999999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110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109</v>
      </c>
      <c r="E715" t="s">
        <v>13</v>
      </c>
      <c r="F715">
        <v>0.28499999999999998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242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111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18</v>
      </c>
      <c r="E720" t="s">
        <v>15</v>
      </c>
      <c r="F720">
        <v>93.878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105</v>
      </c>
      <c r="E721" t="s">
        <v>106</v>
      </c>
      <c r="F721">
        <v>0.54600000000000004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11.989000000000001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73.730999999999995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110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109</v>
      </c>
      <c r="E728" t="s">
        <v>13</v>
      </c>
      <c r="F728">
        <v>0.33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243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111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18</v>
      </c>
      <c r="E733" t="s">
        <v>15</v>
      </c>
      <c r="F733">
        <v>98.754999999999995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105</v>
      </c>
      <c r="E734" t="s">
        <v>106</v>
      </c>
      <c r="F734">
        <v>0.63900000000000001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12.598000000000001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77.48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110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109</v>
      </c>
      <c r="E741" t="s">
        <v>13</v>
      </c>
      <c r="F741">
        <v>0.375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244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111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18</v>
      </c>
      <c r="E746" t="s">
        <v>15</v>
      </c>
      <c r="F746">
        <v>103.63200000000001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105</v>
      </c>
      <c r="E747" t="s">
        <v>106</v>
      </c>
      <c r="F747">
        <v>0.73299999999999998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13.208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81.228999999999999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110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109</v>
      </c>
      <c r="E754" t="s">
        <v>13</v>
      </c>
      <c r="F754">
        <v>0.42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245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111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18</v>
      </c>
      <c r="E759" t="s">
        <v>15</v>
      </c>
      <c r="F759">
        <v>113.386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105</v>
      </c>
      <c r="E760" t="s">
        <v>106</v>
      </c>
      <c r="F760">
        <v>0.92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14.427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88.727000000000004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110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109</v>
      </c>
      <c r="E767" t="s">
        <v>13</v>
      </c>
      <c r="F767">
        <v>0.51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246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111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18</v>
      </c>
      <c r="E772" t="s">
        <v>15</v>
      </c>
      <c r="F772">
        <v>118.262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105</v>
      </c>
      <c r="E773" t="s">
        <v>106</v>
      </c>
      <c r="F773">
        <v>1.014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15.037000000000001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92.475999999999999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110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109</v>
      </c>
      <c r="E780" t="s">
        <v>13</v>
      </c>
      <c r="F780">
        <v>0.55500000000000005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247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111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18</v>
      </c>
      <c r="E785" t="s">
        <v>15</v>
      </c>
      <c r="F785">
        <v>123.139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105</v>
      </c>
      <c r="E786" t="s">
        <v>106</v>
      </c>
      <c r="F786">
        <v>1.107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15.646000000000001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96.224999999999994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110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109</v>
      </c>
      <c r="E793" t="s">
        <v>13</v>
      </c>
      <c r="F793">
        <v>0.60099999999999998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248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111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18</v>
      </c>
      <c r="E798" t="s">
        <v>15</v>
      </c>
      <c r="F798">
        <v>90.626999999999995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105</v>
      </c>
      <c r="E799" t="s">
        <v>106</v>
      </c>
      <c r="F799">
        <v>0.46400000000000002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11.582000000000001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71.231999999999999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110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109</v>
      </c>
      <c r="E806" t="s">
        <v>13</v>
      </c>
      <c r="F806">
        <v>0.66100000000000003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249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111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18</v>
      </c>
      <c r="E811" t="s">
        <v>15</v>
      </c>
      <c r="F811">
        <v>95.504000000000005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105</v>
      </c>
      <c r="E812" t="s">
        <v>106</v>
      </c>
      <c r="F812">
        <v>0.56000000000000005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12.192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74.980999999999995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110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109</v>
      </c>
      <c r="E819" t="s">
        <v>13</v>
      </c>
      <c r="F819">
        <v>0.66100000000000003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250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111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18</v>
      </c>
      <c r="E824" t="s">
        <v>15</v>
      </c>
      <c r="F824">
        <v>100.381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105</v>
      </c>
      <c r="E825" t="s">
        <v>106</v>
      </c>
      <c r="F825">
        <v>0.65600000000000003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12.802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78.73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110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109</v>
      </c>
      <c r="E832" t="s">
        <v>13</v>
      </c>
      <c r="F832">
        <v>0.66100000000000003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251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111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18</v>
      </c>
      <c r="E837" t="s">
        <v>15</v>
      </c>
      <c r="F837">
        <v>105.258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105</v>
      </c>
      <c r="E838" t="s">
        <v>106</v>
      </c>
      <c r="F838">
        <v>0.752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13.411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82.478999999999999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110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109</v>
      </c>
      <c r="E845" t="s">
        <v>13</v>
      </c>
      <c r="F845">
        <v>0.66100000000000003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252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111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18</v>
      </c>
      <c r="E850" t="s">
        <v>15</v>
      </c>
      <c r="F850">
        <v>115.011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105</v>
      </c>
      <c r="E851" t="s">
        <v>106</v>
      </c>
      <c r="F851">
        <v>0.94399999999999995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14.63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89.977000000000004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110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109</v>
      </c>
      <c r="E858" t="s">
        <v>13</v>
      </c>
      <c r="F858">
        <v>0.66100000000000003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253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111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18</v>
      </c>
      <c r="E863" t="s">
        <v>15</v>
      </c>
      <c r="F863">
        <v>119.88800000000001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105</v>
      </c>
      <c r="E864" t="s">
        <v>106</v>
      </c>
      <c r="F864">
        <v>1.04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15.24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93.725999999999999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110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109</v>
      </c>
      <c r="E871" t="s">
        <v>13</v>
      </c>
      <c r="F871">
        <v>0.66100000000000003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254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111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18</v>
      </c>
      <c r="E876" t="s">
        <v>15</v>
      </c>
      <c r="F876">
        <v>124.765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105</v>
      </c>
      <c r="E877" t="s">
        <v>106</v>
      </c>
      <c r="F877">
        <v>1.1359999999999999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15.85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97.474999999999994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110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109</v>
      </c>
      <c r="E884" t="s">
        <v>13</v>
      </c>
      <c r="F884">
        <v>0.66100000000000003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255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18</v>
      </c>
      <c r="E889" t="s">
        <v>15</v>
      </c>
      <c r="F889">
        <v>93.878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105</v>
      </c>
      <c r="E890" t="s">
        <v>106</v>
      </c>
      <c r="F890">
        <v>0.48699999999999999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11.989000000000001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73.730999999999995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110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109</v>
      </c>
      <c r="E897" t="s">
        <v>13</v>
      </c>
      <c r="F897">
        <v>0.69099999999999995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256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111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105</v>
      </c>
      <c r="E903" t="s">
        <v>106</v>
      </c>
      <c r="F903">
        <v>0.58799999999999997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12.598000000000001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77.48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110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109</v>
      </c>
      <c r="E910" t="s">
        <v>13</v>
      </c>
      <c r="F910">
        <v>0.69099999999999995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257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111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18</v>
      </c>
      <c r="E915" t="s">
        <v>15</v>
      </c>
      <c r="F915">
        <v>103.63200000000001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105</v>
      </c>
      <c r="E916" t="s">
        <v>106</v>
      </c>
      <c r="F916">
        <v>0.68899999999999995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13.208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81.228999999999999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110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109</v>
      </c>
      <c r="E923" t="s">
        <v>13</v>
      </c>
      <c r="F923">
        <v>0.69099999999999995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258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111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18</v>
      </c>
      <c r="E928" t="s">
        <v>15</v>
      </c>
      <c r="F928">
        <v>108.509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105</v>
      </c>
      <c r="E929" t="s">
        <v>106</v>
      </c>
      <c r="F929">
        <v>0.79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13.818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84.977999999999994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110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109</v>
      </c>
      <c r="E936" t="s">
        <v>13</v>
      </c>
      <c r="F936">
        <v>0.69099999999999995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259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111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18</v>
      </c>
      <c r="E941" t="s">
        <v>15</v>
      </c>
      <c r="F941">
        <v>118.262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105</v>
      </c>
      <c r="E942" t="s">
        <v>106</v>
      </c>
      <c r="F942">
        <v>0.99199999999999999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15.037000000000001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92.475999999999999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110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109</v>
      </c>
      <c r="E949" t="s">
        <v>13</v>
      </c>
      <c r="F949">
        <v>0.69099999999999995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260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111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18</v>
      </c>
      <c r="E954" t="s">
        <v>15</v>
      </c>
      <c r="F954">
        <v>123.139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105</v>
      </c>
      <c r="E955" t="s">
        <v>106</v>
      </c>
      <c r="F955">
        <v>1.0920000000000001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15.646000000000001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96.224999999999994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110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109</v>
      </c>
      <c r="E962" t="s">
        <v>13</v>
      </c>
      <c r="F962">
        <v>0.69099999999999995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261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111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18</v>
      </c>
      <c r="E967" t="s">
        <v>15</v>
      </c>
      <c r="F967">
        <v>128.01599999999999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105</v>
      </c>
      <c r="E968" t="s">
        <v>106</v>
      </c>
      <c r="F968">
        <v>1.1930000000000001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16.256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99.974000000000004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110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109</v>
      </c>
      <c r="E975" t="s">
        <v>13</v>
      </c>
      <c r="F975">
        <v>0.69099999999999995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Q18" sqref="Q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26</v>
      </c>
      <c r="B1" s="46" t="s">
        <v>27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28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29</v>
      </c>
      <c r="C2" s="43" t="s">
        <v>30</v>
      </c>
      <c r="D2" s="43" t="s">
        <v>31</v>
      </c>
      <c r="E2" s="43" t="s">
        <v>30</v>
      </c>
      <c r="F2" s="43" t="s">
        <v>31</v>
      </c>
      <c r="G2" s="43" t="s">
        <v>29</v>
      </c>
      <c r="H2" s="43" t="s">
        <v>31</v>
      </c>
      <c r="I2" s="43" t="s">
        <v>31</v>
      </c>
      <c r="J2" s="43" t="s">
        <v>31</v>
      </c>
      <c r="K2" s="43" t="s">
        <v>31</v>
      </c>
      <c r="L2" s="43" t="s">
        <v>29</v>
      </c>
      <c r="M2" s="44" t="s">
        <v>32</v>
      </c>
      <c r="N2" s="26" t="s">
        <v>32</v>
      </c>
      <c r="O2" s="44" t="s">
        <v>32</v>
      </c>
      <c r="P2" s="44" t="s">
        <v>33</v>
      </c>
      <c r="Q2" s="44" t="s">
        <v>32</v>
      </c>
      <c r="R2" s="44" t="s">
        <v>33</v>
      </c>
      <c r="S2" s="44" t="s">
        <v>32</v>
      </c>
      <c r="T2" s="44" t="s">
        <v>32</v>
      </c>
      <c r="U2" s="44" t="s">
        <v>33</v>
      </c>
      <c r="V2" s="44" t="s">
        <v>32</v>
      </c>
      <c r="W2" s="44" t="s">
        <v>32</v>
      </c>
      <c r="X2" s="44" t="s">
        <v>32</v>
      </c>
      <c r="Y2" s="44" t="s">
        <v>33</v>
      </c>
      <c r="Z2" s="44" t="s">
        <v>34</v>
      </c>
      <c r="AA2" s="44" t="s">
        <v>32</v>
      </c>
      <c r="AB2" s="44" t="s">
        <v>32</v>
      </c>
      <c r="AC2" s="44" t="s">
        <v>32</v>
      </c>
      <c r="AD2" s="44" t="s">
        <v>32</v>
      </c>
      <c r="AE2" s="44" t="s">
        <v>32</v>
      </c>
      <c r="AF2" s="44" t="s">
        <v>32</v>
      </c>
      <c r="AG2" s="44" t="s">
        <v>34</v>
      </c>
      <c r="AH2" s="44" t="s">
        <v>34</v>
      </c>
      <c r="AI2" s="44" t="s">
        <v>34</v>
      </c>
      <c r="AJ2" s="44" t="s">
        <v>32</v>
      </c>
      <c r="AK2" s="44" t="s">
        <v>32</v>
      </c>
      <c r="AL2" s="44" t="s">
        <v>32</v>
      </c>
    </row>
    <row r="3" spans="1:38" x14ac:dyDescent="0.25">
      <c r="A3" s="45"/>
      <c r="B3" s="43" t="s">
        <v>35</v>
      </c>
      <c r="C3" s="43" t="s">
        <v>36</v>
      </c>
      <c r="D3" s="43" t="s">
        <v>37</v>
      </c>
      <c r="E3" s="43" t="s">
        <v>36</v>
      </c>
      <c r="F3" s="43" t="s">
        <v>38</v>
      </c>
      <c r="G3" s="43" t="s">
        <v>39</v>
      </c>
      <c r="H3" s="43" t="s">
        <v>40</v>
      </c>
      <c r="I3" s="43" t="s">
        <v>41</v>
      </c>
      <c r="J3" s="43" t="s">
        <v>36</v>
      </c>
      <c r="K3" s="43" t="s">
        <v>36</v>
      </c>
      <c r="L3" s="43" t="s">
        <v>42</v>
      </c>
      <c r="M3" s="44" t="s">
        <v>43</v>
      </c>
      <c r="N3" s="26" t="s">
        <v>36</v>
      </c>
      <c r="O3" s="44" t="s">
        <v>38</v>
      </c>
      <c r="P3" s="44" t="s">
        <v>44</v>
      </c>
      <c r="Q3" s="44" t="s">
        <v>41</v>
      </c>
      <c r="R3" s="44" t="s">
        <v>40</v>
      </c>
      <c r="S3" s="44" t="s">
        <v>45</v>
      </c>
      <c r="T3" s="44" t="s">
        <v>43</v>
      </c>
      <c r="U3" s="44" t="s">
        <v>46</v>
      </c>
      <c r="V3" s="44" t="s">
        <v>40</v>
      </c>
      <c r="W3" s="44" t="s">
        <v>41</v>
      </c>
      <c r="X3" s="44" t="s">
        <v>41</v>
      </c>
      <c r="Y3" s="44" t="s">
        <v>35</v>
      </c>
      <c r="Z3" s="44" t="s">
        <v>42</v>
      </c>
      <c r="AA3" s="44" t="s">
        <v>47</v>
      </c>
      <c r="AB3" s="44" t="s">
        <v>47</v>
      </c>
      <c r="AC3" s="44" t="s">
        <v>41</v>
      </c>
      <c r="AD3" s="44" t="s">
        <v>41</v>
      </c>
      <c r="AE3" s="44" t="s">
        <v>46</v>
      </c>
      <c r="AF3" s="44" t="s">
        <v>45</v>
      </c>
      <c r="AG3" s="44" t="s">
        <v>35</v>
      </c>
      <c r="AH3" s="44" t="s">
        <v>42</v>
      </c>
      <c r="AI3" s="44" t="s">
        <v>42</v>
      </c>
      <c r="AJ3" s="44" t="s">
        <v>36</v>
      </c>
      <c r="AK3" s="44" t="s">
        <v>38</v>
      </c>
      <c r="AL3" s="44" t="s">
        <v>48</v>
      </c>
    </row>
    <row r="4" spans="1:38" x14ac:dyDescent="0.25">
      <c r="A4" s="45"/>
      <c r="B4" s="27" t="s">
        <v>49</v>
      </c>
      <c r="C4" s="27" t="s">
        <v>50</v>
      </c>
      <c r="D4" s="43" t="s">
        <v>51</v>
      </c>
      <c r="E4" s="27" t="s">
        <v>3</v>
      </c>
      <c r="F4" s="43" t="s">
        <v>52</v>
      </c>
      <c r="G4" s="27" t="s">
        <v>53</v>
      </c>
      <c r="H4" s="27" t="s">
        <v>6</v>
      </c>
      <c r="I4" s="27" t="s">
        <v>54</v>
      </c>
      <c r="J4" s="43" t="s">
        <v>55</v>
      </c>
      <c r="K4" s="43" t="s">
        <v>56</v>
      </c>
      <c r="L4" s="43" t="s">
        <v>57</v>
      </c>
      <c r="M4" s="28" t="s">
        <v>58</v>
      </c>
      <c r="N4" s="29" t="s">
        <v>3</v>
      </c>
      <c r="O4" s="44" t="s">
        <v>52</v>
      </c>
      <c r="P4" s="44" t="s">
        <v>59</v>
      </c>
      <c r="Q4" s="44" t="s">
        <v>60</v>
      </c>
      <c r="R4" s="44" t="s">
        <v>4</v>
      </c>
      <c r="S4" s="44" t="s">
        <v>61</v>
      </c>
      <c r="T4" s="44" t="s">
        <v>62</v>
      </c>
      <c r="U4" s="44" t="s">
        <v>63</v>
      </c>
      <c r="V4" s="44" t="s">
        <v>6</v>
      </c>
      <c r="W4" s="44" t="s">
        <v>64</v>
      </c>
      <c r="X4" s="44" t="s">
        <v>65</v>
      </c>
      <c r="Y4" s="44" t="s">
        <v>66</v>
      </c>
      <c r="Z4" s="44" t="s">
        <v>67</v>
      </c>
      <c r="AA4" s="44" t="s">
        <v>68</v>
      </c>
      <c r="AB4" s="44" t="s">
        <v>69</v>
      </c>
      <c r="AC4" s="44" t="s">
        <v>70</v>
      </c>
      <c r="AD4" s="44" t="s">
        <v>71</v>
      </c>
      <c r="AE4" s="44" t="s">
        <v>72</v>
      </c>
      <c r="AF4" s="44" t="s">
        <v>73</v>
      </c>
      <c r="AG4" s="44" t="s">
        <v>74</v>
      </c>
      <c r="AH4" s="44" t="s">
        <v>75</v>
      </c>
      <c r="AI4" s="44" t="s">
        <v>76</v>
      </c>
      <c r="AJ4" s="44" t="s">
        <v>77</v>
      </c>
      <c r="AK4" s="44" t="s">
        <v>78</v>
      </c>
      <c r="AL4" s="44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111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105</v>
      </c>
      <c r="O9" s="3"/>
      <c r="P9" s="3"/>
      <c r="Q9" s="3">
        <v>0.46</v>
      </c>
      <c r="R9" s="3" t="s">
        <v>106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11.074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68.108000000000004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0.308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188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111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91.44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105</v>
      </c>
      <c r="O22" s="3"/>
      <c r="P22" s="3"/>
      <c r="Q22" s="3">
        <v>0.54600000000000004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11.683999999999999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71.856999999999999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110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0.35299999999999998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189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111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96.316999999999993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105</v>
      </c>
      <c r="O35" s="3"/>
      <c r="P35" s="3"/>
      <c r="Q35" s="3">
        <v>0.63300000000000001</v>
      </c>
      <c r="R35" s="3" t="s">
        <v>106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12.294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75.605999999999995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110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0.39800000000000002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190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111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101.194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105</v>
      </c>
      <c r="O48" s="3"/>
      <c r="P48" s="3"/>
      <c r="Q48" s="3">
        <v>0.71899999999999997</v>
      </c>
      <c r="R48" s="3" t="s">
        <v>106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12.903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79.355000000000004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0.443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191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111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103.63200000000001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105</v>
      </c>
      <c r="O61" s="3"/>
      <c r="P61" s="3"/>
      <c r="Q61" s="3">
        <v>0.76200000000000001</v>
      </c>
      <c r="R61" s="3" t="s">
        <v>106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13.208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81.228999999999999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110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0.46500000000000002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192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111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106.07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105</v>
      </c>
      <c r="O74" s="3"/>
      <c r="P74" s="3"/>
      <c r="Q74" s="3">
        <v>0.80500000000000005</v>
      </c>
      <c r="R74" s="3" t="s">
        <v>106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13.513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83.103999999999999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110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0.48799999999999999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111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110.947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105</v>
      </c>
      <c r="O87" s="3"/>
      <c r="P87" s="3"/>
      <c r="Q87" s="3">
        <v>0.89100000000000001</v>
      </c>
      <c r="R87" s="3" t="s">
        <v>106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14.122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86.852999999999994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0.53300000000000003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194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111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115.824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105</v>
      </c>
      <c r="O100" s="3"/>
      <c r="P100" s="3"/>
      <c r="Q100" s="3">
        <v>0.97799999999999998</v>
      </c>
      <c r="R100" s="3" t="s">
        <v>106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14.731999999999999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90.602000000000004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110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0.57799999999999996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195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111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89.001999999999995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105</v>
      </c>
      <c r="O113" s="3"/>
      <c r="P113" s="3"/>
      <c r="Q113" s="3">
        <v>0.48</v>
      </c>
      <c r="R113" s="3" t="s">
        <v>106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11.379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69.981999999999999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0.308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196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111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93.878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105</v>
      </c>
      <c r="O126" s="3"/>
      <c r="P126" s="3"/>
      <c r="Q126" s="3">
        <v>0.56899999999999995</v>
      </c>
      <c r="R126" s="3" t="s">
        <v>106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11.989000000000001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73.730999999999995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110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0.35299999999999998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197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111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98.754999999999995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105</v>
      </c>
      <c r="O139" s="3"/>
      <c r="P139" s="3"/>
      <c r="Q139" s="3">
        <v>0.65900000000000003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12.598000000000001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77.48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110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0.39800000000000002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198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111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103.63200000000001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105</v>
      </c>
      <c r="O152" s="3"/>
      <c r="P152" s="3"/>
      <c r="Q152" s="3">
        <v>0.749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13.208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81.228999999999999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0.443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199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111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106.07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105</v>
      </c>
      <c r="O165" s="3"/>
      <c r="P165" s="3"/>
      <c r="Q165" s="3">
        <v>0.79400000000000004</v>
      </c>
      <c r="R165" s="3" t="s">
        <v>106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13.513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83.103999999999999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0.46500000000000002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200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111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108.509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105</v>
      </c>
      <c r="O178" s="3"/>
      <c r="P178" s="3"/>
      <c r="Q178" s="3">
        <v>0.83899999999999997</v>
      </c>
      <c r="R178" s="3" t="s">
        <v>106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13.818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84.977999999999994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110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0.48799999999999999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111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113.386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105</v>
      </c>
      <c r="O191" s="3"/>
      <c r="P191" s="3"/>
      <c r="Q191" s="3">
        <v>0.92900000000000005</v>
      </c>
      <c r="R191" s="3" t="s">
        <v>106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14.427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88.727000000000004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0.53300000000000003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202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111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118.262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105</v>
      </c>
      <c r="O204" s="3"/>
      <c r="P204" s="3"/>
      <c r="Q204" s="3">
        <v>1.0189999999999999</v>
      </c>
      <c r="R204" s="3" t="s">
        <v>106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15.037000000000001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92.475999999999999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0.57799999999999996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203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111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91.44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105</v>
      </c>
      <c r="O217" s="3"/>
      <c r="P217" s="3"/>
      <c r="Q217" s="3">
        <v>0.499</v>
      </c>
      <c r="R217" s="3" t="s">
        <v>106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11.683999999999999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71.856999999999999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0.308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111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96.316999999999993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105</v>
      </c>
      <c r="O230" s="3"/>
      <c r="P230" s="3"/>
      <c r="Q230" s="3">
        <v>0.59299999999999997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12.294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75.605999999999995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110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0.35299999999999998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111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101.194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105</v>
      </c>
      <c r="O243" s="3"/>
      <c r="P243" s="3"/>
      <c r="Q243" s="3">
        <v>0.68600000000000005</v>
      </c>
      <c r="R243" s="3" t="s">
        <v>106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12.903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79.355000000000004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0.39800000000000002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111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106.07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105</v>
      </c>
      <c r="O256" s="3"/>
      <c r="P256" s="3"/>
      <c r="Q256" s="3">
        <v>0.78</v>
      </c>
      <c r="R256" s="3" t="s">
        <v>106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13.513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83.103999999999999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110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0.443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207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111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108.509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105</v>
      </c>
      <c r="O269" s="3"/>
      <c r="P269" s="3"/>
      <c r="Q269" s="3">
        <v>0.82599999999999996</v>
      </c>
      <c r="R269" s="3" t="s">
        <v>106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13.818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84.977999999999994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110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0.46500000000000002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111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110.947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105</v>
      </c>
      <c r="O282" s="3"/>
      <c r="P282" s="3"/>
      <c r="Q282" s="3">
        <v>0.873</v>
      </c>
      <c r="R282" s="3" t="s">
        <v>106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14.122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86.852999999999994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0.48799999999999999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111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115.824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105</v>
      </c>
      <c r="O295" s="3"/>
      <c r="P295" s="3"/>
      <c r="Q295" s="3">
        <v>0.96699999999999997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14.731999999999999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90.602000000000004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110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0.53300000000000003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111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120.70099999999999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105</v>
      </c>
      <c r="O308" s="3"/>
      <c r="P308" s="3"/>
      <c r="Q308" s="3">
        <v>1.06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15.342000000000001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94.350999999999999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0.57799999999999996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111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93.066000000000003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105</v>
      </c>
      <c r="O321" s="3"/>
      <c r="P321" s="3"/>
      <c r="Q321" s="3">
        <v>0.51200000000000001</v>
      </c>
      <c r="R321" s="3" t="s">
        <v>106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11.887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73.105999999999995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0.66100000000000003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212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111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97.941999999999993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105</v>
      </c>
      <c r="O334" s="3"/>
      <c r="P334" s="3"/>
      <c r="Q334" s="3">
        <v>0.60799999999999998</v>
      </c>
      <c r="R334" s="3" t="s">
        <v>106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12.497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76.855000000000004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110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0.66100000000000003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111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102.819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105</v>
      </c>
      <c r="O347" s="3"/>
      <c r="P347" s="3"/>
      <c r="Q347" s="3">
        <v>0.70399999999999996</v>
      </c>
      <c r="R347" s="3" t="s">
        <v>106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13.106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80.603999999999999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0.66100000000000003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111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107.696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105</v>
      </c>
      <c r="O360" s="3"/>
      <c r="P360" s="3"/>
      <c r="Q360" s="3">
        <v>0.8</v>
      </c>
      <c r="R360" s="3" t="s">
        <v>106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13.715999999999999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84.352999999999994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110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0.66100000000000003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215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110.134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105</v>
      </c>
      <c r="O373" s="3"/>
      <c r="P373" s="3"/>
      <c r="Q373" s="3">
        <v>0.84799999999999998</v>
      </c>
      <c r="R373" s="3" t="s">
        <v>106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14.021000000000001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86.227999999999994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110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0.66100000000000003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216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111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112.57299999999999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105</v>
      </c>
      <c r="O386" s="3"/>
      <c r="P386" s="3"/>
      <c r="Q386" s="3">
        <v>0.89600000000000002</v>
      </c>
      <c r="R386" s="3" t="s">
        <v>106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14.326000000000001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88.102000000000004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0.66100000000000003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217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111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117.45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105</v>
      </c>
      <c r="O399" s="3"/>
      <c r="P399" s="3"/>
      <c r="Q399" s="3">
        <v>0.99199999999999999</v>
      </c>
      <c r="R399" s="3" t="s">
        <v>106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14.935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91.850999999999999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110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0.66100000000000003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218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111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122.32599999999999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105</v>
      </c>
      <c r="O412" s="3"/>
      <c r="P412" s="3"/>
      <c r="Q412" s="3">
        <v>1.0880000000000001</v>
      </c>
      <c r="R412" s="3" t="s">
        <v>106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15.545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95.600999999999999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0.66100000000000003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111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96.316999999999993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105</v>
      </c>
      <c r="O425" s="3"/>
      <c r="P425" s="3"/>
      <c r="Q425" s="3">
        <v>0.53800000000000003</v>
      </c>
      <c r="R425" s="3" t="s">
        <v>106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12.294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75.605999999999995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110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0.69099999999999995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111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101.194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105</v>
      </c>
      <c r="O438" s="3"/>
      <c r="P438" s="3"/>
      <c r="Q438" s="3">
        <v>0.63900000000000001</v>
      </c>
      <c r="R438" s="3" t="s">
        <v>106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12.903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79.355000000000004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0.69099999999999995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111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106.07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105</v>
      </c>
      <c r="O451" s="3"/>
      <c r="P451" s="3"/>
      <c r="Q451" s="3">
        <v>0.74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13.513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83.103999999999999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110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0.69099999999999995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111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110.947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105</v>
      </c>
      <c r="O464" s="3"/>
      <c r="P464" s="3"/>
      <c r="Q464" s="3">
        <v>0.84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14.122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86.852999999999994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0.69099999999999995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223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111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113.386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105</v>
      </c>
      <c r="O477" s="3"/>
      <c r="P477" s="3"/>
      <c r="Q477" s="3">
        <v>0.89100000000000001</v>
      </c>
      <c r="R477" s="3" t="s">
        <v>106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14.427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88.727000000000004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0.69099999999999995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224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111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115.824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105</v>
      </c>
      <c r="O490" s="3"/>
      <c r="P490" s="3"/>
      <c r="Q490" s="3">
        <v>0.94099999999999995</v>
      </c>
      <c r="R490" s="3" t="s">
        <v>106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14.731999999999999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90.602000000000004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0.69099999999999995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111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120.70099999999999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105</v>
      </c>
      <c r="O503" s="3"/>
      <c r="P503" s="3"/>
      <c r="Q503" s="3">
        <v>1.042</v>
      </c>
      <c r="R503" s="3" t="s">
        <v>106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15.342000000000001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94.350999999999999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0.69099999999999995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111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125.578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105</v>
      </c>
      <c r="O516" s="3"/>
      <c r="P516" s="3"/>
      <c r="Q516" s="3">
        <v>1.143</v>
      </c>
      <c r="R516" s="3" t="s">
        <v>106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15.951000000000001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98.1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110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0.69099999999999995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227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111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84.125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105</v>
      </c>
      <c r="O529" s="3"/>
      <c r="P529" s="3"/>
      <c r="Q529" s="3">
        <v>0.41699999999999998</v>
      </c>
      <c r="R529" s="3" t="s">
        <v>106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10.77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66.233000000000004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0.28499999999999998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228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111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89.001999999999995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105</v>
      </c>
      <c r="O542" s="3"/>
      <c r="P542" s="3"/>
      <c r="Q542" s="3">
        <v>0.503</v>
      </c>
      <c r="R542" s="3" t="s">
        <v>106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11.379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69.981999999999999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110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0.33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229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111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93.878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105</v>
      </c>
      <c r="O555" s="3"/>
      <c r="P555" s="3"/>
      <c r="Q555" s="3">
        <v>0.58899999999999997</v>
      </c>
      <c r="R555" s="3" t="s">
        <v>106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11.989000000000001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73.730999999999995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110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0.375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230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111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98.754999999999995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105</v>
      </c>
      <c r="O568" s="3"/>
      <c r="P568" s="3"/>
      <c r="Q568" s="3">
        <v>0.67600000000000005</v>
      </c>
      <c r="R568" s="3" t="s">
        <v>106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12.598000000000001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77.48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110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0.42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231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111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108.509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105</v>
      </c>
      <c r="O581" s="3"/>
      <c r="P581" s="3"/>
      <c r="Q581" s="3">
        <v>0.84799999999999998</v>
      </c>
      <c r="R581" s="3" t="s">
        <v>106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13.818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84.977999999999994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0.51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232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111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113.386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105</v>
      </c>
      <c r="O594" s="3"/>
      <c r="P594" s="3"/>
      <c r="Q594" s="3">
        <v>0.93500000000000005</v>
      </c>
      <c r="R594" s="3" t="s">
        <v>106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14.427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88.727000000000004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110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0.55500000000000005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111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118.262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105</v>
      </c>
      <c r="O607" s="3"/>
      <c r="P607" s="3"/>
      <c r="Q607" s="3">
        <v>1.0209999999999999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15.037000000000001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92.475999999999999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0.60099999999999998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234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111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86.563000000000002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105</v>
      </c>
      <c r="O620" s="3"/>
      <c r="P620" s="3"/>
      <c r="Q620" s="3">
        <v>0.435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11.074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68.108000000000004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0.28499999999999998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235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111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91.44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105</v>
      </c>
      <c r="O633" s="3"/>
      <c r="P633" s="3"/>
      <c r="Q633" s="3">
        <v>0.52400000000000002</v>
      </c>
      <c r="R633" s="3" t="s">
        <v>106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11.683999999999999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71.856999999999999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0.33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111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96.316999999999993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105</v>
      </c>
      <c r="O646" s="3"/>
      <c r="P646" s="3"/>
      <c r="Q646" s="3">
        <v>0.61399999999999999</v>
      </c>
      <c r="R646" s="3" t="s">
        <v>106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12.294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75.605999999999995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110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0.375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237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111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101.194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105</v>
      </c>
      <c r="O659" s="3"/>
      <c r="P659" s="3"/>
      <c r="Q659" s="3">
        <v>0.70399999999999996</v>
      </c>
      <c r="R659" s="3" t="s">
        <v>106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12.903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79.355000000000004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0.42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238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111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110.947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105</v>
      </c>
      <c r="O672" s="3"/>
      <c r="P672" s="3"/>
      <c r="Q672" s="3">
        <v>0.88400000000000001</v>
      </c>
      <c r="R672" s="3" t="s">
        <v>106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14.122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86.852999999999994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0.51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111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115.824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105</v>
      </c>
      <c r="O685" s="3"/>
      <c r="P685" s="3"/>
      <c r="Q685" s="3">
        <v>0.97399999999999998</v>
      </c>
      <c r="R685" s="3" t="s">
        <v>106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14.731999999999999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90.602000000000004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110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0.55500000000000005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111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120.70099999999999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105</v>
      </c>
      <c r="O698" s="3"/>
      <c r="P698" s="3"/>
      <c r="Q698" s="3">
        <v>1.0640000000000001</v>
      </c>
      <c r="R698" s="3" t="s">
        <v>106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15.342000000000001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94.350999999999999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110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0.60099999999999998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241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111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89.001999999999995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105</v>
      </c>
      <c r="O711" s="3"/>
      <c r="P711" s="3"/>
      <c r="Q711" s="3">
        <v>0.45200000000000001</v>
      </c>
      <c r="R711" s="3" t="s">
        <v>106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11.379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69.981999999999999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0.28499999999999998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242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111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93.878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105</v>
      </c>
      <c r="O724" s="3"/>
      <c r="P724" s="3"/>
      <c r="Q724" s="3">
        <v>0.54600000000000004</v>
      </c>
      <c r="R724" s="3" t="s">
        <v>106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11.989000000000001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73.730999999999995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110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0.33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243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111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98.754999999999995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105</v>
      </c>
      <c r="O737" s="3"/>
      <c r="P737" s="3"/>
      <c r="Q737" s="3">
        <v>0.63900000000000001</v>
      </c>
      <c r="R737" s="3" t="s">
        <v>106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12.598000000000001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77.48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0.375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244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111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103.63200000000001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105</v>
      </c>
      <c r="O750" s="3"/>
      <c r="P750" s="3"/>
      <c r="Q750" s="3">
        <v>0.73299999999999998</v>
      </c>
      <c r="R750" s="3" t="s">
        <v>106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13.208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81.228999999999999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110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0.42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245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111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113.386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105</v>
      </c>
      <c r="O763" s="3"/>
      <c r="P763" s="3"/>
      <c r="Q763" s="3">
        <v>0.92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14.427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88.727000000000004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110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0.51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246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111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118.262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105</v>
      </c>
      <c r="O776" s="3"/>
      <c r="P776" s="3"/>
      <c r="Q776" s="3">
        <v>1.014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15.037000000000001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92.475999999999999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0.55500000000000005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111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123.139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105</v>
      </c>
      <c r="O789" s="3"/>
      <c r="P789" s="3"/>
      <c r="Q789" s="3">
        <v>1.107</v>
      </c>
      <c r="R789" s="3" t="s">
        <v>106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15.646000000000001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96.224999999999994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0.60099999999999998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248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111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90.626999999999995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105</v>
      </c>
      <c r="O802" s="3"/>
      <c r="P802" s="3"/>
      <c r="Q802" s="3">
        <v>0.46400000000000002</v>
      </c>
      <c r="R802" s="3" t="s">
        <v>106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11.582000000000001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71.231999999999999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110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0.66100000000000003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249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111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95.504000000000005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105</v>
      </c>
      <c r="O815" s="3"/>
      <c r="P815" s="3"/>
      <c r="Q815" s="3">
        <v>0.56000000000000005</v>
      </c>
      <c r="R815" s="3" t="s">
        <v>106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12.192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74.980999999999995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110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0.66100000000000003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250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111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100.381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105</v>
      </c>
      <c r="O828" s="3"/>
      <c r="P828" s="3"/>
      <c r="Q828" s="3">
        <v>0.65600000000000003</v>
      </c>
      <c r="R828" s="3" t="s">
        <v>106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12.802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78.73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0.66100000000000003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251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111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105.258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105</v>
      </c>
      <c r="O841" s="3"/>
      <c r="P841" s="3"/>
      <c r="Q841" s="3">
        <v>0.752</v>
      </c>
      <c r="R841" s="3" t="s">
        <v>106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13.411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82.478999999999999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110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0.66100000000000003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252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111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115.011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105</v>
      </c>
      <c r="O854" s="3"/>
      <c r="P854" s="3"/>
      <c r="Q854" s="3">
        <v>0.94399999999999995</v>
      </c>
      <c r="R854" s="3" t="s">
        <v>106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14.63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89.977000000000004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110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0.66100000000000003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253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111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119.88800000000001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105</v>
      </c>
      <c r="O867" s="3"/>
      <c r="P867" s="3"/>
      <c r="Q867" s="3">
        <v>1.04</v>
      </c>
      <c r="R867" s="3" t="s">
        <v>106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15.24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93.725999999999999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0.66100000000000003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254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111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124.765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105</v>
      </c>
      <c r="O880" s="3"/>
      <c r="P880" s="3"/>
      <c r="Q880" s="3">
        <v>1.1359999999999999</v>
      </c>
      <c r="R880" s="3" t="s">
        <v>106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15.85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97.474999999999994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0.66100000000000003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93.878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105</v>
      </c>
      <c r="O893" s="3"/>
      <c r="P893" s="3"/>
      <c r="Q893" s="3">
        <v>0.48699999999999999</v>
      </c>
      <c r="R893" s="3" t="s">
        <v>106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11.989000000000001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73.730999999999995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0.69099999999999995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111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105</v>
      </c>
      <c r="O906" s="3"/>
      <c r="P906" s="3"/>
      <c r="Q906" s="3">
        <v>0.58799999999999997</v>
      </c>
      <c r="R906" s="3" t="s">
        <v>106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12.598000000000001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77.48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110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0.69099999999999995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111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103.63200000000001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105</v>
      </c>
      <c r="O919" s="3"/>
      <c r="P919" s="3"/>
      <c r="Q919" s="3">
        <v>0.68899999999999995</v>
      </c>
      <c r="R919" s="3" t="s">
        <v>106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13.208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81.228999999999999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110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0.69099999999999995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111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108.509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105</v>
      </c>
      <c r="O932" s="3"/>
      <c r="P932" s="3"/>
      <c r="Q932" s="3">
        <v>0.79</v>
      </c>
      <c r="R932" s="3" t="s">
        <v>106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13.818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84.977999999999994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0.69099999999999995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111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118.262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105</v>
      </c>
      <c r="O945" s="3"/>
      <c r="P945" s="3"/>
      <c r="Q945" s="3">
        <v>0.99199999999999999</v>
      </c>
      <c r="R945" s="3" t="s">
        <v>106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15.037000000000001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92.475999999999999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110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0.69099999999999995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260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111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123.139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105</v>
      </c>
      <c r="O958" s="3"/>
      <c r="P958" s="3"/>
      <c r="Q958" s="3">
        <v>1.0920000000000001</v>
      </c>
      <c r="R958" s="3" t="s">
        <v>106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15.646000000000001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96.224999999999994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110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0.69099999999999995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111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128.01599999999999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105</v>
      </c>
      <c r="O971" s="3"/>
      <c r="P971" s="3"/>
      <c r="Q971" s="3">
        <v>1.1930000000000001</v>
      </c>
      <c r="R971" s="3" t="s">
        <v>106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16.256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99.974000000000004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0.69099999999999995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2026-06-02T12:26:45Z</dcterms:modified>
</cp:coreProperties>
</file>