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3" l="1"/>
  <c r="H5" i="13" s="1"/>
  <c r="D5" i="13"/>
  <c r="E2" i="13" l="1"/>
  <c r="E14" i="13" l="1"/>
  <c r="D3" i="13" l="1"/>
  <c r="D4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G13" i="13" l="1"/>
  <c r="H14" i="13" l="1"/>
  <c r="H13" i="13"/>
  <c r="H12" i="13"/>
  <c r="H11" i="13"/>
  <c r="H10" i="13"/>
  <c r="H9" i="13"/>
  <c r="E9" i="13"/>
  <c r="G8" i="13"/>
  <c r="H8" i="13" s="1"/>
  <c r="G7" i="13"/>
  <c r="H7" i="13" s="1"/>
  <c r="G6" i="13"/>
  <c r="H6" i="13" s="1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<sst xmlns="http://schemas.openxmlformats.org/spreadsheetml/2006/main" count="11046" uniqueCount="338">
  <si>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</si>
  <si>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</si>
  <si>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</si>
  <si>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</si>
  <si>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</si>
  <si>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</si>
  <si>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</si>
  <si>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</si>
  <si>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</si>
  <si>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</si>
  <si>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</si>
  <si>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</si>
  <si>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</si>
  <si>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</si>
  <si>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</si>
  <si>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</si>
  <si>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</si>
  <si>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</si>
  <si>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</si>
  <si>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</si>
  <si>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</si>
  <si>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</si>
  <si>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</si>
  <si>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</si>
  <si>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</si>
  <si>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</si>
  <si>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</si>
  <si>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</si>
  <si>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</si>
  <si>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</si>
  <si>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</si>
  <si>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</si>
  <si>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</si>
  <si>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</si>
  <si>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</si>
  <si>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</si>
  <si>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</si>
  <si>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</si>
  <si>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</si>
  <si>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</si>
  <si>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</si>
  <si>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</si>
  <si>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</si>
  <si>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</si>
  <si>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</si>
  <si>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</si>
  <si>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</si>
  <si>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</si>
  <si>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</si>
  <si>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</si>
  <si>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</si>
  <si>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</si>
  <si>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</si>
  <si>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</si>
  <si>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</si>
  <si>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</si>
  <si>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</si>
  <si>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</si>
  <si>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</si>
  <si>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</si>
  <si>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</si>
  <si>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</si>
  <si>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</si>
  <si>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</si>
  <si>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</si>
  <si>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</si>
  <si>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</si>
  <si>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</si>
  <si>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</si>
  <si>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</si>
  <si>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</si>
  <si>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</si>
  <si>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</si>
  <si>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</si>
  <si>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</si>
  <si>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</si>
  <si>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</si>
  <si>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</si>
  <si>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</si>
  <si>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</si>
  <si>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</si>
  <si>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</si>
  <si>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</si>
  <si>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</si>
  <si>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</si>
  <si>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</si>
  <si>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</si>
  <si>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</si>
  <si>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</si>
  <si>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</si>
  <si>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</si>
  <si>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</si>
  <si>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</si>
  <si>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</si>
  <si>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</si>
  <si>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</si>
  <si>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</si>
  <si>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</si>
  <si>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</si>
  <si>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</si>
  <si>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</si>
  <si>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</si>
  <si>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</si>
  <si>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</si>
  <si>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</si>
  <si>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</si>
  <si>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</si>
  <si>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</si>
  <si>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</si>
  <si>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</si>
  <si>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SFG-RTHTMTRG-BONPOC-QUILT</t>
  </si>
  <si>
    <t>RML-CS-PL-8.5</t>
  </si>
  <si>
    <t>SFG-RTHTMTRG-BONPOC-BP</t>
  </si>
  <si>
    <t>RTHTMTBNORG72X33X08</t>
  </si>
  <si>
    <t>RTHTMTBNORG72X39X08</t>
  </si>
  <si>
    <t>RTHTMTBNORG72X45X08</t>
  </si>
  <si>
    <t>RTHTMTBNORG72X51X08</t>
  </si>
  <si>
    <t>RTHTMTBNORG72X54X08</t>
  </si>
  <si>
    <t>RTHTMTBNORG72X57X08</t>
  </si>
  <si>
    <t>RTHTMTBNORG72X63X08</t>
  </si>
  <si>
    <t>RTHTMTBNORG72X69X08</t>
  </si>
  <si>
    <t>RTHTMTBNORG75X33X08</t>
  </si>
  <si>
    <t>RTHTMTBNORG75X39X08</t>
  </si>
  <si>
    <t>RTHTMTBNORG75X45X08</t>
  </si>
  <si>
    <t>RTHTMTBNORG75X51X08</t>
  </si>
  <si>
    <t>RTHTMTBNORG75X54X08</t>
  </si>
  <si>
    <t>RTHTMTBNORG75X57X08</t>
  </si>
  <si>
    <t>RTHTMTBNORG75X63X08</t>
  </si>
  <si>
    <t>RTHTMTBNORG75X69X08</t>
  </si>
  <si>
    <t>RTHTMTBNORG78X33X08</t>
  </si>
  <si>
    <t>RTHTMTBNORG78X39X08</t>
  </si>
  <si>
    <t>RTHTMTBNORG78X45X08</t>
  </si>
  <si>
    <t>RTHTMTBNORG78X51X08</t>
  </si>
  <si>
    <t>RTHTMTBNORG78X54X08</t>
  </si>
  <si>
    <t>RTHTMTBNORG78X57X08</t>
  </si>
  <si>
    <t>RTHTMTBNORG78X63X08</t>
  </si>
  <si>
    <t>RTHTMTBNORG78X69X08</t>
  </si>
  <si>
    <t>RTHTMTBNORG80X33X08</t>
  </si>
  <si>
    <t>RTHTMTBNORG80X39X08</t>
  </si>
  <si>
    <t>RTHTMTBNORG80X45X08</t>
  </si>
  <si>
    <t>RTHTMTBNORG80X51X08</t>
  </si>
  <si>
    <t>RTHTMTBNORG80X54X08</t>
  </si>
  <si>
    <t>RTHTMTBNORG80X57X08</t>
  </si>
  <si>
    <t>RTHTMTBNORG80X63X08</t>
  </si>
  <si>
    <t>RTHTMTBNORG80X69X08</t>
  </si>
  <si>
    <t>RTHTMTBNORG84X33X08</t>
  </si>
  <si>
    <t>RTHTMTBNORG84X39X08</t>
  </si>
  <si>
    <t>RTHTMTBNORG84X45X08</t>
  </si>
  <si>
    <t>RTHTMTBNORG84X51X08</t>
  </si>
  <si>
    <t>RTHTMTBNORG84X54X08</t>
  </si>
  <si>
    <t>RTHTMTBNORG84X57X08</t>
  </si>
  <si>
    <t>RTHTMTBNORG84X63X08</t>
  </si>
  <si>
    <t>RTHTMTBNORG84X69X08</t>
  </si>
  <si>
    <t>RTHTMTBNORG72X30X08</t>
  </si>
  <si>
    <t>RTHTMTBNORG72X36X08</t>
  </si>
  <si>
    <t>RTHTMTBNORG72X42X08</t>
  </si>
  <si>
    <t>RTHTMTBNORG72X48X08</t>
  </si>
  <si>
    <t>RTHTMTBNORG72X60X08</t>
  </si>
  <si>
    <t>RTHTMTBNORG72X66X08</t>
  </si>
  <si>
    <t>RTHTMTBNORG72X72X08</t>
  </si>
  <si>
    <t>RTHTMTBNORG75X30X08</t>
  </si>
  <si>
    <t>RTHTMTBNORG75X36X08</t>
  </si>
  <si>
    <t>RTHTMTBNORG75X42X08</t>
  </si>
  <si>
    <t>RTHTMTBNORG75X48X08</t>
  </si>
  <si>
    <t>RTHTMTBNORG75X60X08</t>
  </si>
  <si>
    <t>RTHTMTBNORG75X66X08</t>
  </si>
  <si>
    <t>RTHTMTBNORG75X72X08</t>
  </si>
  <si>
    <t>RTHTMTBNORG78X30X08</t>
  </si>
  <si>
    <t>RTHTMTBNORG78X36X08</t>
  </si>
  <si>
    <t>RTHTMTBNORG78X42X08</t>
  </si>
  <si>
    <t>RTHTMTBNORG78X48X08</t>
  </si>
  <si>
    <t>RTHTMTBNORG78X60X08</t>
  </si>
  <si>
    <t>RTHTMTBNORG78X66X08</t>
  </si>
  <si>
    <t>RTHTMTBNORG78X72X08</t>
  </si>
  <si>
    <t>RTHTMTBNORG80X30X08</t>
  </si>
  <si>
    <t>RTHTMTBNORG80X36X08</t>
  </si>
  <si>
    <t>RTHTMTBNORG80X42X08</t>
  </si>
  <si>
    <t>RTHTMTBNORG80X48X08</t>
  </si>
  <si>
    <t>RTHTMTBNORG80X60X08</t>
  </si>
  <si>
    <t>RTHTMTBNORG80X66X08</t>
  </si>
  <si>
    <t>RTHTMTBNORG80X72X08</t>
  </si>
  <si>
    <t>RTHTMTBNORG84X30X08</t>
  </si>
  <si>
    <t>RTHTMTBNORG84X36X08</t>
  </si>
  <si>
    <t>RTHTMTBNORG84X42X08</t>
  </si>
  <si>
    <t>RTHTMTBNORG84X48X08</t>
  </si>
  <si>
    <t>RTHTMTBNORG84X60X08</t>
  </si>
  <si>
    <t>RTHTMTBNORG84X66X08</t>
  </si>
  <si>
    <t>RTHTMTBNORG84X72X08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</si>
  <si>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</si>
  <si>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</si>
  <si>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</si>
  <si>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</si>
  <si>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</si>
  <si>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</si>
  <si>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</si>
  <si>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</si>
  <si>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</si>
  <si>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</si>
  <si>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</si>
  <si>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</si>
  <si>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</si>
  <si>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</si>
  <si>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</si>
  <si>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</si>
  <si>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</si>
  <si>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</si>
  <si>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</si>
  <si>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</si>
  <si>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</si>
  <si>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</si>
  <si>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</si>
  <si>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</si>
  <si>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</si>
  <si>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</si>
  <si>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</si>
  <si>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</si>
  <si>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</si>
  <si>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</si>
  <si>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</si>
  <si>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</si>
  <si>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</si>
  <si>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</si>
  <si>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</si>
  <si>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</si>
  <si>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</si>
  <si>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</si>
  <si>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</si>
  <si>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</si>
  <si>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</si>
  <si>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</si>
  <si>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</si>
  <si>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</si>
  <si>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</si>
  <si>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</si>
  <si>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</si>
  <si>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</si>
  <si>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</si>
  <si>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</si>
  <si>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</si>
  <si>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</si>
  <si>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</si>
  <si>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</si>
  <si>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</si>
  <si>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</si>
  <si>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</si>
  <si>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</si>
  <si>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</si>
  <si>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</si>
  <si>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</si>
  <si>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</si>
  <si>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</si>
  <si>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</si>
  <si>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</si>
  <si>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</si>
  <si>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</si>
  <si>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</si>
  <si>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</si>
  <si>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</si>
  <si>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</si>
  <si>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</si>
  <si>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</si>
  <si>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</si>
  <si>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</si>
  <si>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OEBOXBNSR71.5X32.5X180</t>
  </si>
  <si>
    <t>OEBOXBNSR71.5X38.5X180</t>
  </si>
  <si>
    <t>OEBOXBNSR71.5X44.5X180</t>
  </si>
  <si>
    <t>OEBOXBNSR71.5X50.5X180</t>
  </si>
  <si>
    <t>OEBOXBNSR71.5X53.5X180</t>
  </si>
  <si>
    <t>OEBOXBNSR71.5X56.5X180</t>
  </si>
  <si>
    <t>OEBOXBNSR71.5X62.5X180</t>
  </si>
  <si>
    <t>OEBOXBNSR71.5X68.5X180</t>
  </si>
  <si>
    <t>OEBOXBNSR74.5X32.5X180</t>
  </si>
  <si>
    <t>OEBOXBNSR74.5X38.5X180</t>
  </si>
  <si>
    <t>OEBOXBNSR74.5X44.5X180</t>
  </si>
  <si>
    <t>OEBOXBNSR74.5X50.5X180</t>
  </si>
  <si>
    <t>OEBOXBNSR74.5X53.5X180</t>
  </si>
  <si>
    <t>OEBOXBNSR74.5X56.5X180</t>
  </si>
  <si>
    <t>OEBOXBNSR74.5X62.5X180</t>
  </si>
  <si>
    <t>OEBOXBNSR74.5X68.5X180</t>
  </si>
  <si>
    <t>OEBOXBNSR77.5X32.5X180</t>
  </si>
  <si>
    <t>OEBOXBNSR77.5X38.5X180</t>
  </si>
  <si>
    <t>OEBOXBNSR77.5X44.5X180</t>
  </si>
  <si>
    <t>OEBOXBNSR77.5X50.5X180</t>
  </si>
  <si>
    <t>OEBOXBNSR77.5X53.5X180</t>
  </si>
  <si>
    <t>OEBOXBNSR77.5X56.5X180</t>
  </si>
  <si>
    <t>OEBOXBNSR77.5X62.5X180</t>
  </si>
  <si>
    <t>OEBOXBNSR77.5X68.5X180</t>
  </si>
  <si>
    <t>OEBOXBNSR79.5X32.5X180</t>
  </si>
  <si>
    <t>OEBOXBNSR79.5X38.5X180</t>
  </si>
  <si>
    <t>OEBOXBNSR79.5X44.5X180</t>
  </si>
  <si>
    <t>OEBOXBNSR79.5X50.5X180</t>
  </si>
  <si>
    <t>OEBOXBNSR79.5X53.5X180</t>
  </si>
  <si>
    <t>OEBOXBNSR79.5X56.5X180</t>
  </si>
  <si>
    <t>OEBOXBNSR79.5X62.5X180</t>
  </si>
  <si>
    <t>OEBOXBNSR79.5X68.5X180</t>
  </si>
  <si>
    <t>OEBOXBNSR83.5X32.5X180</t>
  </si>
  <si>
    <t>OEBOXBNSR83.5X38.5X180</t>
  </si>
  <si>
    <t>OEBOXBNSR83.5X44.5X180</t>
  </si>
  <si>
    <t>OEBOXBNSR83.5X50.5X180</t>
  </si>
  <si>
    <t>OEBOXBNSR83.5X53.5X180</t>
  </si>
  <si>
    <t>OEBOXBNSR83.5X56.5X180</t>
  </si>
  <si>
    <t>OEBOXBNSR83.5X62.5X180</t>
  </si>
  <si>
    <t>OEBOXBNSR83.5X68.5X180</t>
  </si>
  <si>
    <t>OEBOXBNSR71.5X29.5X180</t>
  </si>
  <si>
    <t>OEBOXBNSR71.5X35.5X180</t>
  </si>
  <si>
    <t>OEBOXBNSR71.5X41.5X180</t>
  </si>
  <si>
    <t>OEBOXBNSR71.5X47.5X180</t>
  </si>
  <si>
    <t>OEBOXBNSR71.5X59.5X180</t>
  </si>
  <si>
    <t>OEBOXBNSR71.5X65.5X180</t>
  </si>
  <si>
    <t>OEBOXBNSR71.5X71.5X180</t>
  </si>
  <si>
    <t>OEBOXBNSR74.5X29.5X180</t>
  </si>
  <si>
    <t>OEBOXBNSR74.5X35.5X180</t>
  </si>
  <si>
    <t>OEBOXBNSR74.5X41.5X180</t>
  </si>
  <si>
    <t>OEBOXBNSR74.5X47.5X180</t>
  </si>
  <si>
    <t>OEBOXBNSR74.5X59.5X180</t>
  </si>
  <si>
    <t>OEBOXBNSR74.5X65.5X180</t>
  </si>
  <si>
    <t>OEBOXBNSR74.5X71.5X180</t>
  </si>
  <si>
    <t>OEBOXBNSR77.5X29.5X180</t>
  </si>
  <si>
    <t>OEBOXBNSR77.5X35.5X180</t>
  </si>
  <si>
    <t>OEBOXBNSR77.5X41.5X180</t>
  </si>
  <si>
    <t>OEBOXBNSR77.5X47.5X180</t>
  </si>
  <si>
    <t>OEBOXBNSR77.5X59.5X180</t>
  </si>
  <si>
    <t>OEBOXBNSR77.5X65.5X180</t>
  </si>
  <si>
    <t>OEBOXBNSR77.5X71.5X180</t>
  </si>
  <si>
    <t>OEBOXBNSR79.5X29.5X180</t>
  </si>
  <si>
    <t>OEBOXBNSR79.5X35.5X180</t>
  </si>
  <si>
    <t>OEBOXBNSR79.5X41.5X180</t>
  </si>
  <si>
    <t>OEBOXBNSR79.5X47.5X180</t>
  </si>
  <si>
    <t>OEBOXBNSR79.5X59.5X180</t>
  </si>
  <si>
    <t>OEBOXBNSR79.5X65.5X180</t>
  </si>
  <si>
    <t>OEBOXBNSR79.5X71.5X180</t>
  </si>
  <si>
    <t>OEBOXBNSR83.5X29.5X180</t>
  </si>
  <si>
    <t>OEBOXBNSR83.5X35.5X180</t>
  </si>
  <si>
    <t>OEBOXBNSR83.5X41.5X180</t>
  </si>
  <si>
    <t>OEBOXBNSR83.5X47.5X180</t>
  </si>
  <si>
    <t>OEBOXBNSR83.5X59.5X180</t>
  </si>
  <si>
    <t>OEBOXBNSR83.5X65.5X180</t>
  </si>
  <si>
    <t>OEBOXBNSR83.5X71.5X180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</si>
</sst>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0" sqref="E1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"RTHTMTBNORG"&amp;$K$2&amp;"X"&amp;$L$2&amp;"X"&amp;IF($M$2&gt;9,$M$2,"0"&amp;$M$2)</f>
        <v>RTHTMTBNORG75X36X08</v>
      </c>
      <c r="E2" s="1" t="str">
        <f>"OEBOXBNSR"&amp;(K2-0.5)&amp;"X"&amp;(L2-0.5)&amp;"X"&amp;IF(M2=6,"130",IF(M2=8,"180",IF(M2&gt;9,"180",0)))</f>
        <v>OEBOXBNSR74.5X35.5X180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8</v>
      </c>
      <c r="N2" s="6"/>
      <c r="P2" s="4" t="s">
        <v>91</v>
      </c>
      <c r="R2" s="34" t="s">
        <v>92</v>
      </c>
      <c r="S2" s="34" t="s">
        <v>93</v>
      </c>
      <c r="T2" s="34">
        <v>8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"RTHTMTBNORG"&amp;$K$2&amp;"X"&amp;$L$2&amp;"X"&amp;IF($M$2&gt;9,$M$2,"0"&amp;$M$2)</f>
        <v>RTHTMTBNORG75X36X08</v>
      </c>
      <c r="E3" s="19" t="s">
        <v>110</v>
      </c>
      <c r="F3" s="11" t="s">
        <v>15</v>
      </c>
      <c r="G3" s="26">
        <f>IF(K2&lt;79,(L2+1),IF(L2&lt;37,(K2+1),(K2+1)))*0.0254</f>
        <v>0.93979999999999997</v>
      </c>
      <c r="H3" s="10">
        <f t="shared" ref="H3:H4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8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RTHTMTBNORG75X36X08</v>
      </c>
      <c r="E4" s="40" t="s">
        <v>112</v>
      </c>
      <c r="F4" s="11" t="s">
        <v>15</v>
      </c>
      <c r="G4" s="16">
        <f>IF(K2&lt;79,(L2+1),IF(L2&lt;37,(K2+1),(K2+1)))*0.0254</f>
        <v>0.93979999999999997</v>
      </c>
      <c r="H4" s="10">
        <f t="shared" si="2"/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8</v>
      </c>
      <c r="U4" s="35" t="s">
        <v>108</v>
      </c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1"/>
        <v>RTHTMTBNORG75X36X08</v>
      </c>
      <c r="E5" s="43" t="s">
        <v>18</v>
      </c>
      <c r="F5" s="44" t="s">
        <v>15</v>
      </c>
      <c r="G5" s="10">
        <f>(K2+L2+1.5)*2*0.0254*8</f>
        <v>45.72</v>
      </c>
      <c r="H5" s="10">
        <f t="shared" ref="H5:H14" si="3">ROUND(G5,3)</f>
        <v>45.72</v>
      </c>
      <c r="I5" s="44" t="s">
        <v>14</v>
      </c>
      <c r="J5" s="12"/>
      <c r="O5" s="18"/>
      <c r="R5" s="34" t="s">
        <v>92</v>
      </c>
      <c r="S5" s="34" t="s">
        <v>96</v>
      </c>
      <c r="T5" s="34">
        <v>8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RTHTMTBNORG75X36X08</v>
      </c>
      <c r="E6" s="21" t="s">
        <v>105</v>
      </c>
      <c r="F6" s="15" t="s">
        <v>106</v>
      </c>
      <c r="G6" s="23">
        <f>((K2-1)*(L2-1)/144)*0.00729*4</f>
        <v>0.52447499999999991</v>
      </c>
      <c r="H6" s="10">
        <f t="shared" si="3"/>
        <v>0.52400000000000002</v>
      </c>
      <c r="I6" s="8" t="s">
        <v>14</v>
      </c>
      <c r="J6" s="12"/>
      <c r="R6" s="34" t="s">
        <v>92</v>
      </c>
      <c r="S6" s="34" t="s">
        <v>97</v>
      </c>
      <c r="T6" s="34">
        <v>8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RTHTMTBNORG75X36X08</v>
      </c>
      <c r="E7" s="21" t="s">
        <v>107</v>
      </c>
      <c r="F7" s="11" t="s">
        <v>15</v>
      </c>
      <c r="G7" s="10">
        <f>(K2+L2+4)*2*0.0254*2</f>
        <v>11.683999999999999</v>
      </c>
      <c r="H7" s="10">
        <f t="shared" si="3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8</v>
      </c>
      <c r="U7" s="35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RTHTMTBNORG75X36X08</v>
      </c>
      <c r="E8" s="21" t="s">
        <v>18</v>
      </c>
      <c r="F8" s="11" t="s">
        <v>15</v>
      </c>
      <c r="G8" s="10">
        <f>(K2+L2+4)*2*0.0254*(4.73+1.42)*2</f>
        <v>71.8566</v>
      </c>
      <c r="H8" s="10">
        <f t="shared" si="3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8</v>
      </c>
      <c r="U8" s="35" t="s">
        <v>108</v>
      </c>
    </row>
    <row r="9" spans="1:21" x14ac:dyDescent="0.25">
      <c r="A9" s="36">
        <v>8</v>
      </c>
      <c r="B9" s="7" t="s">
        <v>20</v>
      </c>
      <c r="C9" s="9" t="s">
        <v>20</v>
      </c>
      <c r="D9" s="7" t="str">
        <f t="shared" si="1"/>
        <v>RTHTMTBNORG75X36X08</v>
      </c>
      <c r="E9" s="21" t="str">
        <f>IF(M2=6,"RML-CS-PL-6.5""",IF(M2=8,"RML-CS-PL-8.5",IF(M2=10,"RML-CS-PL-10.5",IF(M2=12,"RML-CS-PL-12.25"))))</f>
        <v>RML-CS-PL-8.5</v>
      </c>
      <c r="F9" s="11" t="s">
        <v>11</v>
      </c>
      <c r="G9" s="10">
        <v>4</v>
      </c>
      <c r="H9" s="10">
        <f t="shared" si="3"/>
        <v>4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8</v>
      </c>
      <c r="U9" s="35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RTHTMTBNORG75X36X08</v>
      </c>
      <c r="E10" s="21" t="s">
        <v>21</v>
      </c>
      <c r="F10" s="11" t="s">
        <v>11</v>
      </c>
      <c r="G10" s="10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8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RTHTMTBNORG75X36X08</v>
      </c>
      <c r="E11" s="21" t="s">
        <v>22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8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RTHTMTBNORG75X36X08</v>
      </c>
      <c r="E12" s="21" t="s">
        <v>23</v>
      </c>
      <c r="F12" s="11" t="s">
        <v>11</v>
      </c>
      <c r="G12" s="14">
        <v>1</v>
      </c>
      <c r="H12" s="10">
        <f t="shared" si="3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8</v>
      </c>
      <c r="U12" s="35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RTHTMTBNORG75X36X08</v>
      </c>
      <c r="E13" s="18" t="s">
        <v>109</v>
      </c>
      <c r="F13" s="11" t="s">
        <v>13</v>
      </c>
      <c r="G13" s="24">
        <f>IF(K2&lt;79,((L2*2)+(M2*2)+4),((K2*2)+(M2*2)+4))*0.0254*89.5*0.0254*0.00005*1300</f>
        <v>0.34529608359999991</v>
      </c>
      <c r="H13" s="10">
        <f t="shared" si="3"/>
        <v>0.34499999999999997</v>
      </c>
      <c r="I13" s="8" t="s">
        <v>14</v>
      </c>
      <c r="J13" s="12"/>
      <c r="K13" s="22"/>
      <c r="R13" s="34" t="s">
        <v>101</v>
      </c>
      <c r="S13" s="34" t="s">
        <v>96</v>
      </c>
      <c r="T13" s="34">
        <v>8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RTHTMTBNORG75X36X08</v>
      </c>
      <c r="E14" s="39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10">
        <f t="shared" si="3"/>
        <v>1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8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8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8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8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8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8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8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8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8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8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8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8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8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8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8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8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8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8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8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8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8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8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8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8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8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8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8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8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/>
    </row>
    <row r="50" spans="14:21" x14ac:dyDescent="0.25">
      <c r="R50" s="34">
        <v>75</v>
      </c>
      <c r="S50" s="34">
        <v>36</v>
      </c>
      <c r="T50" s="34">
        <v>8</v>
      </c>
      <c r="U50" s="35"/>
    </row>
    <row r="51" spans="14:21" x14ac:dyDescent="0.25">
      <c r="R51" s="34">
        <v>75</v>
      </c>
      <c r="S51" s="34">
        <v>42</v>
      </c>
      <c r="T51" s="34">
        <v>8</v>
      </c>
      <c r="U51" s="35"/>
    </row>
    <row r="52" spans="14:21" x14ac:dyDescent="0.25">
      <c r="R52" s="34">
        <v>75</v>
      </c>
      <c r="S52" s="34">
        <v>48</v>
      </c>
      <c r="T52" s="34">
        <v>8</v>
      </c>
      <c r="U52" s="35"/>
    </row>
    <row r="53" spans="14:21" x14ac:dyDescent="0.25">
      <c r="R53" s="34">
        <v>75</v>
      </c>
      <c r="S53" s="34">
        <v>60</v>
      </c>
      <c r="T53" s="34">
        <v>8</v>
      </c>
      <c r="U53" s="35"/>
    </row>
    <row r="54" spans="14:21" x14ac:dyDescent="0.25">
      <c r="R54" s="34">
        <v>75</v>
      </c>
      <c r="S54" s="34">
        <v>66</v>
      </c>
      <c r="T54" s="34">
        <v>8</v>
      </c>
      <c r="U54" s="35"/>
    </row>
    <row r="55" spans="14:21" x14ac:dyDescent="0.25">
      <c r="R55" s="34">
        <v>75</v>
      </c>
      <c r="S55" s="34">
        <v>72</v>
      </c>
      <c r="T55" s="34">
        <v>8</v>
      </c>
      <c r="U55" s="35"/>
    </row>
    <row r="56" spans="14:21" x14ac:dyDescent="0.25">
      <c r="R56" s="34">
        <v>78</v>
      </c>
      <c r="S56" s="34">
        <v>30</v>
      </c>
      <c r="T56" s="34">
        <v>8</v>
      </c>
      <c r="U56" s="35"/>
    </row>
    <row r="57" spans="14:21" x14ac:dyDescent="0.25">
      <c r="R57" s="34">
        <v>78</v>
      </c>
      <c r="S57" s="34">
        <v>36</v>
      </c>
      <c r="T57" s="34">
        <v>8</v>
      </c>
      <c r="U57" s="35"/>
    </row>
    <row r="58" spans="14:21" x14ac:dyDescent="0.25">
      <c r="R58" s="34">
        <v>78</v>
      </c>
      <c r="S58" s="34">
        <v>42</v>
      </c>
      <c r="T58" s="34">
        <v>8</v>
      </c>
      <c r="U58" s="35"/>
    </row>
    <row r="59" spans="14:21" x14ac:dyDescent="0.25">
      <c r="R59" s="34">
        <v>78</v>
      </c>
      <c r="S59" s="34">
        <v>48</v>
      </c>
      <c r="T59" s="34">
        <v>8</v>
      </c>
      <c r="U59" s="35"/>
    </row>
    <row r="60" spans="14:21" x14ac:dyDescent="0.25">
      <c r="R60" s="34">
        <v>78</v>
      </c>
      <c r="S60" s="34">
        <v>60</v>
      </c>
      <c r="T60" s="34">
        <v>8</v>
      </c>
      <c r="U60" s="35"/>
    </row>
    <row r="61" spans="14:21" x14ac:dyDescent="0.25">
      <c r="R61" s="34">
        <v>78</v>
      </c>
      <c r="S61" s="34">
        <v>66</v>
      </c>
      <c r="T61" s="34">
        <v>8</v>
      </c>
      <c r="U61" s="35"/>
    </row>
    <row r="62" spans="14:21" x14ac:dyDescent="0.25">
      <c r="R62" s="34">
        <v>78</v>
      </c>
      <c r="S62" s="34">
        <v>72</v>
      </c>
      <c r="T62" s="34">
        <v>8</v>
      </c>
      <c r="U62" s="35"/>
    </row>
    <row r="63" spans="14:21" x14ac:dyDescent="0.25">
      <c r="R63" s="34">
        <v>80</v>
      </c>
      <c r="S63" s="34">
        <v>30</v>
      </c>
      <c r="T63" s="34">
        <v>8</v>
      </c>
      <c r="U63" s="35"/>
    </row>
    <row r="64" spans="14:21" x14ac:dyDescent="0.25">
      <c r="R64" s="34">
        <v>80</v>
      </c>
      <c r="S64" s="34">
        <v>36</v>
      </c>
      <c r="T64" s="34">
        <v>8</v>
      </c>
      <c r="U64" s="35"/>
    </row>
    <row r="65" spans="18:21" x14ac:dyDescent="0.25">
      <c r="R65" s="34">
        <v>80</v>
      </c>
      <c r="S65" s="34">
        <v>42</v>
      </c>
      <c r="T65" s="34">
        <v>8</v>
      </c>
      <c r="U65" s="35"/>
    </row>
    <row r="66" spans="18:21" x14ac:dyDescent="0.25">
      <c r="R66" s="34">
        <v>80</v>
      </c>
      <c r="S66" s="34">
        <v>48</v>
      </c>
      <c r="T66" s="34">
        <v>8</v>
      </c>
      <c r="U66" s="35"/>
    </row>
    <row r="67" spans="18:21" x14ac:dyDescent="0.25">
      <c r="R67" s="34">
        <v>80</v>
      </c>
      <c r="S67" s="34">
        <v>60</v>
      </c>
      <c r="T67" s="34">
        <v>8</v>
      </c>
      <c r="U67" s="35"/>
    </row>
    <row r="68" spans="18:21" x14ac:dyDescent="0.25">
      <c r="R68" s="34">
        <v>80</v>
      </c>
      <c r="S68" s="34">
        <v>66</v>
      </c>
      <c r="T68" s="34">
        <v>8</v>
      </c>
      <c r="U68" s="35"/>
    </row>
    <row r="69" spans="18:21" x14ac:dyDescent="0.25">
      <c r="R69" s="34">
        <v>80</v>
      </c>
      <c r="S69" s="34">
        <v>72</v>
      </c>
      <c r="T69" s="34">
        <v>8</v>
      </c>
      <c r="U69" s="35"/>
    </row>
    <row r="70" spans="18:21" x14ac:dyDescent="0.25">
      <c r="R70" s="34">
        <v>84</v>
      </c>
      <c r="S70" s="34">
        <v>30</v>
      </c>
      <c r="T70" s="34">
        <v>8</v>
      </c>
      <c r="U70" s="35"/>
    </row>
    <row r="71" spans="18:21" x14ac:dyDescent="0.25">
      <c r="R71" s="34">
        <v>84</v>
      </c>
      <c r="S71" s="34">
        <v>36</v>
      </c>
      <c r="T71" s="34">
        <v>8</v>
      </c>
      <c r="U71" s="35"/>
    </row>
    <row r="72" spans="18:21" x14ac:dyDescent="0.25">
      <c r="R72" s="34">
        <v>84</v>
      </c>
      <c r="S72" s="34">
        <v>42</v>
      </c>
      <c r="T72" s="34">
        <v>8</v>
      </c>
      <c r="U72" s="35"/>
    </row>
    <row r="73" spans="18:21" x14ac:dyDescent="0.25">
      <c r="R73" s="34">
        <v>84</v>
      </c>
      <c r="S73" s="34">
        <v>48</v>
      </c>
      <c r="T73" s="34">
        <v>8</v>
      </c>
      <c r="U73" s="35"/>
    </row>
    <row r="74" spans="18:21" x14ac:dyDescent="0.25">
      <c r="R74" s="34">
        <v>84</v>
      </c>
      <c r="S74" s="34">
        <v>60</v>
      </c>
      <c r="T74" s="34">
        <v>8</v>
      </c>
      <c r="U74" s="35"/>
    </row>
    <row r="75" spans="18:21" x14ac:dyDescent="0.25">
      <c r="R75" s="34">
        <v>84</v>
      </c>
      <c r="S75" s="34">
        <v>66</v>
      </c>
      <c r="T75" s="34">
        <v>8</v>
      </c>
      <c r="U75" s="35"/>
    </row>
    <row r="76" spans="18:21" x14ac:dyDescent="0.25">
      <c r="R76" s="34">
        <v>84</v>
      </c>
      <c r="S76" s="34">
        <v>72</v>
      </c>
      <c r="T76" s="34">
        <v>8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110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43.281999999999996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0.46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0.32300000000000001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45.72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105</v>
      </c>
      <c r="E19" t="s">
        <v>106</v>
      </c>
      <c r="F19">
        <v>0.54600000000000004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109</v>
      </c>
      <c r="E26" t="s">
        <v>13</v>
      </c>
      <c r="F26">
        <v>0.36799999999999999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110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18</v>
      </c>
      <c r="E31" t="s">
        <v>15</v>
      </c>
      <c r="F31">
        <v>48.158000000000001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105</v>
      </c>
      <c r="E32" t="s">
        <v>106</v>
      </c>
      <c r="F32">
        <v>0.63300000000000001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109</v>
      </c>
      <c r="E39" t="s">
        <v>13</v>
      </c>
      <c r="F39">
        <v>0.41299999999999998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110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18</v>
      </c>
      <c r="E44" t="s">
        <v>15</v>
      </c>
      <c r="F44">
        <v>50.597000000000001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105</v>
      </c>
      <c r="E45" t="s">
        <v>106</v>
      </c>
      <c r="F45">
        <v>0.71899999999999997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109</v>
      </c>
      <c r="E52" t="s">
        <v>13</v>
      </c>
      <c r="F52">
        <v>0.45800000000000002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110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18</v>
      </c>
      <c r="E57" t="s">
        <v>15</v>
      </c>
      <c r="F57">
        <v>51.816000000000003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105</v>
      </c>
      <c r="E58" t="s">
        <v>106</v>
      </c>
      <c r="F58">
        <v>0.76200000000000001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109</v>
      </c>
      <c r="E65" t="s">
        <v>13</v>
      </c>
      <c r="F65">
        <v>0.48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110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18</v>
      </c>
      <c r="E70" t="s">
        <v>15</v>
      </c>
      <c r="F70">
        <v>53.034999999999997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105</v>
      </c>
      <c r="E71" t="s">
        <v>106</v>
      </c>
      <c r="F71">
        <v>0.80500000000000005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109</v>
      </c>
      <c r="E78" t="s">
        <v>13</v>
      </c>
      <c r="F78">
        <v>0.503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110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18</v>
      </c>
      <c r="E83" t="s">
        <v>15</v>
      </c>
      <c r="F83">
        <v>55.473999999999997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105</v>
      </c>
      <c r="E84" t="s">
        <v>106</v>
      </c>
      <c r="F84">
        <v>0.89100000000000001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109</v>
      </c>
      <c r="E91" t="s">
        <v>13</v>
      </c>
      <c r="F91">
        <v>0.54800000000000004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110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18</v>
      </c>
      <c r="E96" t="s">
        <v>15</v>
      </c>
      <c r="F96">
        <v>57.911999999999999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105</v>
      </c>
      <c r="E97" t="s">
        <v>106</v>
      </c>
      <c r="F97">
        <v>0.97799999999999998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109</v>
      </c>
      <c r="E104" t="s">
        <v>13</v>
      </c>
      <c r="F104">
        <v>0.59299999999999997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110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18</v>
      </c>
      <c r="E109" t="s">
        <v>15</v>
      </c>
      <c r="F109">
        <v>44.500999999999998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105</v>
      </c>
      <c r="E110" t="s">
        <v>106</v>
      </c>
      <c r="F110">
        <v>0.48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109</v>
      </c>
      <c r="E117" t="s">
        <v>13</v>
      </c>
      <c r="F117">
        <v>0.32300000000000001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110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18</v>
      </c>
      <c r="E122" t="s">
        <v>15</v>
      </c>
      <c r="F122">
        <v>46.939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105</v>
      </c>
      <c r="E123" t="s">
        <v>106</v>
      </c>
      <c r="F123">
        <v>0.56899999999999995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109</v>
      </c>
      <c r="E130" t="s">
        <v>13</v>
      </c>
      <c r="F130">
        <v>0.36799999999999999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110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18</v>
      </c>
      <c r="E135" t="s">
        <v>15</v>
      </c>
      <c r="F135">
        <v>49.378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105</v>
      </c>
      <c r="E136" t="s">
        <v>106</v>
      </c>
      <c r="F136">
        <v>0.65900000000000003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109</v>
      </c>
      <c r="E143" t="s">
        <v>13</v>
      </c>
      <c r="F143">
        <v>0.41299999999999998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110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18</v>
      </c>
      <c r="E148" t="s">
        <v>15</v>
      </c>
      <c r="F148">
        <v>51.816000000000003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105</v>
      </c>
      <c r="E149" t="s">
        <v>106</v>
      </c>
      <c r="F149">
        <v>0.749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109</v>
      </c>
      <c r="E156" t="s">
        <v>13</v>
      </c>
      <c r="F156">
        <v>0.45800000000000002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110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18</v>
      </c>
      <c r="E161" t="s">
        <v>15</v>
      </c>
      <c r="F161">
        <v>53.034999999999997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105</v>
      </c>
      <c r="E162" t="s">
        <v>106</v>
      </c>
      <c r="F162">
        <v>0.79400000000000004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109</v>
      </c>
      <c r="E169" t="s">
        <v>13</v>
      </c>
      <c r="F169">
        <v>0.48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110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18</v>
      </c>
      <c r="E174" t="s">
        <v>15</v>
      </c>
      <c r="F174">
        <v>54.253999999999998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105</v>
      </c>
      <c r="E175" t="s">
        <v>106</v>
      </c>
      <c r="F175">
        <v>0.83899999999999997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109</v>
      </c>
      <c r="E182" t="s">
        <v>13</v>
      </c>
      <c r="F182">
        <v>0.503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110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18</v>
      </c>
      <c r="E187" t="s">
        <v>15</v>
      </c>
      <c r="F187">
        <v>56.692999999999998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105</v>
      </c>
      <c r="E188" t="s">
        <v>106</v>
      </c>
      <c r="F188">
        <v>0.92900000000000005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109</v>
      </c>
      <c r="E195" t="s">
        <v>13</v>
      </c>
      <c r="F195">
        <v>0.54800000000000004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110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18</v>
      </c>
      <c r="E200" t="s">
        <v>15</v>
      </c>
      <c r="F200">
        <v>59.131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105</v>
      </c>
      <c r="E201" t="s">
        <v>106</v>
      </c>
      <c r="F201">
        <v>1.0189999999999999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109</v>
      </c>
      <c r="E208" t="s">
        <v>13</v>
      </c>
      <c r="F208">
        <v>0.59299999999999997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110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18</v>
      </c>
      <c r="E213" t="s">
        <v>15</v>
      </c>
      <c r="F213">
        <v>45.72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105</v>
      </c>
      <c r="E214" t="s">
        <v>106</v>
      </c>
      <c r="F214">
        <v>0.499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109</v>
      </c>
      <c r="E221" t="s">
        <v>13</v>
      </c>
      <c r="F221">
        <v>0.32300000000000001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110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18</v>
      </c>
      <c r="E226" t="s">
        <v>15</v>
      </c>
      <c r="F226">
        <v>48.158000000000001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105</v>
      </c>
      <c r="E227" t="s">
        <v>106</v>
      </c>
      <c r="F227">
        <v>0.59299999999999997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109</v>
      </c>
      <c r="E234" t="s">
        <v>13</v>
      </c>
      <c r="F234">
        <v>0.36799999999999999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110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18</v>
      </c>
      <c r="E239" t="s">
        <v>15</v>
      </c>
      <c r="F239">
        <v>50.597000000000001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105</v>
      </c>
      <c r="E240" t="s">
        <v>106</v>
      </c>
      <c r="F240">
        <v>0.68600000000000005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109</v>
      </c>
      <c r="E247" t="s">
        <v>13</v>
      </c>
      <c r="F247">
        <v>0.41299999999999998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110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18</v>
      </c>
      <c r="E252" t="s">
        <v>15</v>
      </c>
      <c r="F252">
        <v>53.034999999999997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105</v>
      </c>
      <c r="E253" t="s">
        <v>106</v>
      </c>
      <c r="F253">
        <v>0.78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109</v>
      </c>
      <c r="E260" t="s">
        <v>13</v>
      </c>
      <c r="F260">
        <v>0.45800000000000002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110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18</v>
      </c>
      <c r="E265" t="s">
        <v>15</v>
      </c>
      <c r="F265">
        <v>54.253999999999998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105</v>
      </c>
      <c r="E266" t="s">
        <v>106</v>
      </c>
      <c r="F266">
        <v>0.82599999999999996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109</v>
      </c>
      <c r="E273" t="s">
        <v>13</v>
      </c>
      <c r="F273">
        <v>0.48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110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18</v>
      </c>
      <c r="E278" t="s">
        <v>15</v>
      </c>
      <c r="F278">
        <v>55.473999999999997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105</v>
      </c>
      <c r="E279" t="s">
        <v>106</v>
      </c>
      <c r="F279">
        <v>0.873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109</v>
      </c>
      <c r="E286" t="s">
        <v>13</v>
      </c>
      <c r="F286">
        <v>0.503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110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18</v>
      </c>
      <c r="E291" t="s">
        <v>15</v>
      </c>
      <c r="F291">
        <v>57.911999999999999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105</v>
      </c>
      <c r="E292" t="s">
        <v>106</v>
      </c>
      <c r="F292">
        <v>0.96699999999999997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109</v>
      </c>
      <c r="E299" t="s">
        <v>13</v>
      </c>
      <c r="F299">
        <v>0.54800000000000004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110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18</v>
      </c>
      <c r="E304" t="s">
        <v>15</v>
      </c>
      <c r="F304">
        <v>60.35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105</v>
      </c>
      <c r="E305" t="s">
        <v>106</v>
      </c>
      <c r="F305">
        <v>1.06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109</v>
      </c>
      <c r="E312" t="s">
        <v>13</v>
      </c>
      <c r="F312">
        <v>0.59299999999999997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110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18</v>
      </c>
      <c r="E317" t="s">
        <v>15</v>
      </c>
      <c r="F317">
        <v>46.533000000000001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105</v>
      </c>
      <c r="E318" t="s">
        <v>106</v>
      </c>
      <c r="F318">
        <v>0.51200000000000001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109</v>
      </c>
      <c r="E325" t="s">
        <v>13</v>
      </c>
      <c r="F325">
        <v>0.67600000000000005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18</v>
      </c>
      <c r="E330" t="s">
        <v>15</v>
      </c>
      <c r="F330">
        <v>48.970999999999997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105</v>
      </c>
      <c r="E331" t="s">
        <v>106</v>
      </c>
      <c r="F331">
        <v>0.60799999999999998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109</v>
      </c>
      <c r="E338" t="s">
        <v>13</v>
      </c>
      <c r="F338">
        <v>0.67600000000000005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110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18</v>
      </c>
      <c r="E343" t="s">
        <v>15</v>
      </c>
      <c r="F343">
        <v>51.41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105</v>
      </c>
      <c r="E344" t="s">
        <v>106</v>
      </c>
      <c r="F344">
        <v>0.70399999999999996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109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110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18</v>
      </c>
      <c r="E356" t="s">
        <v>15</v>
      </c>
      <c r="F356">
        <v>53.847999999999999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105</v>
      </c>
      <c r="E357" t="s">
        <v>106</v>
      </c>
      <c r="F357">
        <v>0.8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109</v>
      </c>
      <c r="E364" t="s">
        <v>13</v>
      </c>
      <c r="F364">
        <v>0.67600000000000005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110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18</v>
      </c>
      <c r="E369" t="s">
        <v>15</v>
      </c>
      <c r="F369">
        <v>55.067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105</v>
      </c>
      <c r="E370" t="s">
        <v>106</v>
      </c>
      <c r="F370">
        <v>0.84799999999999998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109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110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18</v>
      </c>
      <c r="E382" t="s">
        <v>15</v>
      </c>
      <c r="F382">
        <v>56.286000000000001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105</v>
      </c>
      <c r="E383" t="s">
        <v>106</v>
      </c>
      <c r="F383">
        <v>0.89600000000000002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109</v>
      </c>
      <c r="E390" t="s">
        <v>13</v>
      </c>
      <c r="F390">
        <v>0.67600000000000005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110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18</v>
      </c>
      <c r="E395" t="s">
        <v>15</v>
      </c>
      <c r="F395">
        <v>58.725000000000001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105</v>
      </c>
      <c r="E396" t="s">
        <v>106</v>
      </c>
      <c r="F396">
        <v>0.99199999999999999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109</v>
      </c>
      <c r="E403" t="s">
        <v>13</v>
      </c>
      <c r="F403">
        <v>0.67600000000000005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110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18</v>
      </c>
      <c r="E408" t="s">
        <v>15</v>
      </c>
      <c r="F408">
        <v>61.162999999999997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105</v>
      </c>
      <c r="E409" t="s">
        <v>106</v>
      </c>
      <c r="F409">
        <v>1.0880000000000001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109</v>
      </c>
      <c r="E416" t="s">
        <v>13</v>
      </c>
      <c r="F416">
        <v>0.67600000000000005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110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18</v>
      </c>
      <c r="E421" t="s">
        <v>15</v>
      </c>
      <c r="F421">
        <v>48.158000000000001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105</v>
      </c>
      <c r="E422" t="s">
        <v>106</v>
      </c>
      <c r="F422">
        <v>0.53800000000000003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109</v>
      </c>
      <c r="E429" t="s">
        <v>13</v>
      </c>
      <c r="F429">
        <v>0.70599999999999996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110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18</v>
      </c>
      <c r="E434" t="s">
        <v>15</v>
      </c>
      <c r="F434">
        <v>50.597000000000001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105</v>
      </c>
      <c r="E435" t="s">
        <v>106</v>
      </c>
      <c r="F435">
        <v>0.63900000000000001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109</v>
      </c>
      <c r="E442" t="s">
        <v>13</v>
      </c>
      <c r="F442">
        <v>0.70599999999999996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110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18</v>
      </c>
      <c r="E447" t="s">
        <v>15</v>
      </c>
      <c r="F447">
        <v>53.034999999999997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105</v>
      </c>
      <c r="E448" t="s">
        <v>106</v>
      </c>
      <c r="F448">
        <v>0.74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109</v>
      </c>
      <c r="E455" t="s">
        <v>13</v>
      </c>
      <c r="F455">
        <v>0.70599999999999996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110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18</v>
      </c>
      <c r="E460" t="s">
        <v>15</v>
      </c>
      <c r="F460">
        <v>55.473999999999997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105</v>
      </c>
      <c r="E461" t="s">
        <v>106</v>
      </c>
      <c r="F461">
        <v>0.84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109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110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18</v>
      </c>
      <c r="E473" t="s">
        <v>15</v>
      </c>
      <c r="F473">
        <v>56.692999999999998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105</v>
      </c>
      <c r="E474" t="s">
        <v>106</v>
      </c>
      <c r="F474">
        <v>0.89100000000000001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109</v>
      </c>
      <c r="E481" t="s">
        <v>13</v>
      </c>
      <c r="F481">
        <v>0.70599999999999996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110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18</v>
      </c>
      <c r="E486" t="s">
        <v>15</v>
      </c>
      <c r="F486">
        <v>57.911999999999999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105</v>
      </c>
      <c r="E487" t="s">
        <v>106</v>
      </c>
      <c r="F487">
        <v>0.94099999999999995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109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110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18</v>
      </c>
      <c r="E499" t="s">
        <v>15</v>
      </c>
      <c r="F499">
        <v>60.35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105</v>
      </c>
      <c r="E500" t="s">
        <v>106</v>
      </c>
      <c r="F500">
        <v>1.042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109</v>
      </c>
      <c r="E507" t="s">
        <v>13</v>
      </c>
      <c r="F507">
        <v>0.70599999999999996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110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18</v>
      </c>
      <c r="E512" t="s">
        <v>15</v>
      </c>
      <c r="F512">
        <v>62.789000000000001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105</v>
      </c>
      <c r="E513" t="s">
        <v>106</v>
      </c>
      <c r="F513">
        <v>1.143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109</v>
      </c>
      <c r="E520" t="s">
        <v>13</v>
      </c>
      <c r="F520">
        <v>0.70599999999999996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110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18</v>
      </c>
      <c r="E525" t="s">
        <v>15</v>
      </c>
      <c r="F525">
        <v>42.061999999999998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105</v>
      </c>
      <c r="E526" t="s">
        <v>106</v>
      </c>
      <c r="F526">
        <v>0.41699999999999998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109</v>
      </c>
      <c r="E533" t="s">
        <v>13</v>
      </c>
      <c r="F533">
        <v>0.3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110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18</v>
      </c>
      <c r="E538" t="s">
        <v>15</v>
      </c>
      <c r="F538">
        <v>44.500999999999998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105</v>
      </c>
      <c r="E539" t="s">
        <v>106</v>
      </c>
      <c r="F539">
        <v>0.503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109</v>
      </c>
      <c r="E546" t="s">
        <v>13</v>
      </c>
      <c r="F546">
        <v>0.34499999999999997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110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18</v>
      </c>
      <c r="E551" t="s">
        <v>15</v>
      </c>
      <c r="F551">
        <v>46.939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105</v>
      </c>
      <c r="E552" t="s">
        <v>106</v>
      </c>
      <c r="F552">
        <v>0.58899999999999997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109</v>
      </c>
      <c r="E559" t="s">
        <v>13</v>
      </c>
      <c r="F559">
        <v>0.39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110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18</v>
      </c>
      <c r="E564" t="s">
        <v>15</v>
      </c>
      <c r="F564">
        <v>49.378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105</v>
      </c>
      <c r="E565" t="s">
        <v>106</v>
      </c>
      <c r="F565">
        <v>0.67600000000000005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109</v>
      </c>
      <c r="E572" t="s">
        <v>13</v>
      </c>
      <c r="F572">
        <v>0.435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110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18</v>
      </c>
      <c r="E577" t="s">
        <v>15</v>
      </c>
      <c r="F577">
        <v>54.253999999999998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105</v>
      </c>
      <c r="E578" t="s">
        <v>106</v>
      </c>
      <c r="F578">
        <v>0.84799999999999998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109</v>
      </c>
      <c r="E585" t="s">
        <v>13</v>
      </c>
      <c r="F585">
        <v>0.52500000000000002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110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18</v>
      </c>
      <c r="E590" t="s">
        <v>15</v>
      </c>
      <c r="F590">
        <v>56.692999999999998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105</v>
      </c>
      <c r="E591" t="s">
        <v>106</v>
      </c>
      <c r="F591">
        <v>0.93500000000000005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109</v>
      </c>
      <c r="E598" t="s">
        <v>13</v>
      </c>
      <c r="F598">
        <v>0.56999999999999995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110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18</v>
      </c>
      <c r="E603" t="s">
        <v>15</v>
      </c>
      <c r="F603">
        <v>59.131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105</v>
      </c>
      <c r="E604" t="s">
        <v>106</v>
      </c>
      <c r="F604">
        <v>1.0209999999999999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109</v>
      </c>
      <c r="E611" t="s">
        <v>13</v>
      </c>
      <c r="F611">
        <v>0.61599999999999999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110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18</v>
      </c>
      <c r="E616" t="s">
        <v>15</v>
      </c>
      <c r="F616">
        <v>43.281999999999996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105</v>
      </c>
      <c r="E617" t="s">
        <v>106</v>
      </c>
      <c r="F617">
        <v>0.435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109</v>
      </c>
      <c r="E624" t="s">
        <v>13</v>
      </c>
      <c r="F624">
        <v>0.3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110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18</v>
      </c>
      <c r="E629" t="s">
        <v>15</v>
      </c>
      <c r="F629">
        <v>45.72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105</v>
      </c>
      <c r="E630" t="s">
        <v>106</v>
      </c>
      <c r="F630">
        <v>0.52400000000000002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109</v>
      </c>
      <c r="E637" t="s">
        <v>13</v>
      </c>
      <c r="F637">
        <v>0.34499999999999997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110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18</v>
      </c>
      <c r="E642" t="s">
        <v>15</v>
      </c>
      <c r="F642">
        <v>48.158000000000001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105</v>
      </c>
      <c r="E643" t="s">
        <v>106</v>
      </c>
      <c r="F643">
        <v>0.61399999999999999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109</v>
      </c>
      <c r="E650" t="s">
        <v>13</v>
      </c>
      <c r="F650">
        <v>0.39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110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18</v>
      </c>
      <c r="E655" t="s">
        <v>15</v>
      </c>
      <c r="F655">
        <v>50.597000000000001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105</v>
      </c>
      <c r="E656" t="s">
        <v>106</v>
      </c>
      <c r="F656">
        <v>0.70399999999999996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109</v>
      </c>
      <c r="E663" t="s">
        <v>13</v>
      </c>
      <c r="F663">
        <v>0.435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110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18</v>
      </c>
      <c r="E668" t="s">
        <v>15</v>
      </c>
      <c r="F668">
        <v>55.473999999999997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105</v>
      </c>
      <c r="E669" t="s">
        <v>106</v>
      </c>
      <c r="F669">
        <v>0.88400000000000001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109</v>
      </c>
      <c r="E676" t="s">
        <v>13</v>
      </c>
      <c r="F676">
        <v>0.52500000000000002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110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18</v>
      </c>
      <c r="E681" t="s">
        <v>15</v>
      </c>
      <c r="F681">
        <v>57.911999999999999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105</v>
      </c>
      <c r="E682" t="s">
        <v>106</v>
      </c>
      <c r="F682">
        <v>0.97399999999999998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109</v>
      </c>
      <c r="E689" t="s">
        <v>13</v>
      </c>
      <c r="F689">
        <v>0.56999999999999995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110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18</v>
      </c>
      <c r="E694" t="s">
        <v>15</v>
      </c>
      <c r="F694">
        <v>60.35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105</v>
      </c>
      <c r="E695" t="s">
        <v>106</v>
      </c>
      <c r="F695">
        <v>1.0640000000000001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109</v>
      </c>
      <c r="E702" t="s">
        <v>13</v>
      </c>
      <c r="F702">
        <v>0.61599999999999999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110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18</v>
      </c>
      <c r="E707" t="s">
        <v>15</v>
      </c>
      <c r="F707">
        <v>44.500999999999998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105</v>
      </c>
      <c r="E708" t="s">
        <v>106</v>
      </c>
      <c r="F708">
        <v>0.45200000000000001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109</v>
      </c>
      <c r="E715" t="s">
        <v>13</v>
      </c>
      <c r="F715">
        <v>0.3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110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18</v>
      </c>
      <c r="E720" t="s">
        <v>15</v>
      </c>
      <c r="F720">
        <v>46.939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105</v>
      </c>
      <c r="E721" t="s">
        <v>106</v>
      </c>
      <c r="F721">
        <v>0.54600000000000004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109</v>
      </c>
      <c r="E728" t="s">
        <v>13</v>
      </c>
      <c r="F728">
        <v>0.34499999999999997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110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18</v>
      </c>
      <c r="E733" t="s">
        <v>15</v>
      </c>
      <c r="F733">
        <v>49.378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105</v>
      </c>
      <c r="E734" t="s">
        <v>106</v>
      </c>
      <c r="F734">
        <v>0.63900000000000001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109</v>
      </c>
      <c r="E741" t="s">
        <v>13</v>
      </c>
      <c r="F741">
        <v>0.39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110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18</v>
      </c>
      <c r="E746" t="s">
        <v>15</v>
      </c>
      <c r="F746">
        <v>51.816000000000003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105</v>
      </c>
      <c r="E747" t="s">
        <v>106</v>
      </c>
      <c r="F747">
        <v>0.73299999999999998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109</v>
      </c>
      <c r="E754" t="s">
        <v>13</v>
      </c>
      <c r="F754">
        <v>0.435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110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18</v>
      </c>
      <c r="E759" t="s">
        <v>15</v>
      </c>
      <c r="F759">
        <v>56.692999999999998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105</v>
      </c>
      <c r="E760" t="s">
        <v>106</v>
      </c>
      <c r="F760">
        <v>0.92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109</v>
      </c>
      <c r="E767" t="s">
        <v>13</v>
      </c>
      <c r="F767">
        <v>0.52500000000000002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110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18</v>
      </c>
      <c r="E772" t="s">
        <v>15</v>
      </c>
      <c r="F772">
        <v>59.131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105</v>
      </c>
      <c r="E773" t="s">
        <v>106</v>
      </c>
      <c r="F773">
        <v>1.014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109</v>
      </c>
      <c r="E780" t="s">
        <v>13</v>
      </c>
      <c r="F780">
        <v>0.56999999999999995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110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18</v>
      </c>
      <c r="E785" t="s">
        <v>15</v>
      </c>
      <c r="F785">
        <v>61.57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105</v>
      </c>
      <c r="E786" t="s">
        <v>106</v>
      </c>
      <c r="F786">
        <v>1.107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109</v>
      </c>
      <c r="E793" t="s">
        <v>13</v>
      </c>
      <c r="F793">
        <v>0.61599999999999999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18</v>
      </c>
      <c r="E798" t="s">
        <v>15</v>
      </c>
      <c r="F798">
        <v>45.314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105</v>
      </c>
      <c r="E799" t="s">
        <v>106</v>
      </c>
      <c r="F799">
        <v>0.46400000000000002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109</v>
      </c>
      <c r="E806" t="s">
        <v>13</v>
      </c>
      <c r="F806">
        <v>0.67600000000000005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110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18</v>
      </c>
      <c r="E811" t="s">
        <v>15</v>
      </c>
      <c r="F811">
        <v>47.752000000000002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105</v>
      </c>
      <c r="E812" t="s">
        <v>106</v>
      </c>
      <c r="F812">
        <v>0.56000000000000005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109</v>
      </c>
      <c r="E819" t="s">
        <v>13</v>
      </c>
      <c r="F819">
        <v>0.67600000000000005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110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18</v>
      </c>
      <c r="E824" t="s">
        <v>15</v>
      </c>
      <c r="F824">
        <v>50.19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105</v>
      </c>
      <c r="E825" t="s">
        <v>106</v>
      </c>
      <c r="F825">
        <v>0.65600000000000003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109</v>
      </c>
      <c r="E832" t="s">
        <v>13</v>
      </c>
      <c r="F832">
        <v>0.67600000000000005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110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18</v>
      </c>
      <c r="E837" t="s">
        <v>15</v>
      </c>
      <c r="F837">
        <v>52.628999999999998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105</v>
      </c>
      <c r="E838" t="s">
        <v>106</v>
      </c>
      <c r="F838">
        <v>0.752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109</v>
      </c>
      <c r="E845" t="s">
        <v>13</v>
      </c>
      <c r="F845">
        <v>0.67600000000000005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110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18</v>
      </c>
      <c r="E850" t="s">
        <v>15</v>
      </c>
      <c r="F850">
        <v>57.506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105</v>
      </c>
      <c r="E851" t="s">
        <v>106</v>
      </c>
      <c r="F851">
        <v>0.94399999999999995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109</v>
      </c>
      <c r="E858" t="s">
        <v>13</v>
      </c>
      <c r="F858">
        <v>0.67600000000000005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110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18</v>
      </c>
      <c r="E863" t="s">
        <v>15</v>
      </c>
      <c r="F863">
        <v>59.944000000000003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105</v>
      </c>
      <c r="E864" t="s">
        <v>106</v>
      </c>
      <c r="F864">
        <v>1.04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109</v>
      </c>
      <c r="E871" t="s">
        <v>13</v>
      </c>
      <c r="F871">
        <v>0.67600000000000005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110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18</v>
      </c>
      <c r="E876" t="s">
        <v>15</v>
      </c>
      <c r="F876">
        <v>62.381999999999998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105</v>
      </c>
      <c r="E877" t="s">
        <v>106</v>
      </c>
      <c r="F877">
        <v>1.1359999999999999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109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110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18</v>
      </c>
      <c r="E889" t="s">
        <v>15</v>
      </c>
      <c r="F889">
        <v>46.939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105</v>
      </c>
      <c r="E890" t="s">
        <v>106</v>
      </c>
      <c r="F890">
        <v>0.48699999999999999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109</v>
      </c>
      <c r="E897" t="s">
        <v>13</v>
      </c>
      <c r="F897">
        <v>0.70599999999999996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110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18</v>
      </c>
      <c r="E902" t="s">
        <v>15</v>
      </c>
      <c r="F902">
        <v>49.378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105</v>
      </c>
      <c r="E903" t="s">
        <v>106</v>
      </c>
      <c r="F903">
        <v>0.58799999999999997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109</v>
      </c>
      <c r="E910" t="s">
        <v>13</v>
      </c>
      <c r="F910">
        <v>0.70599999999999996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110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18</v>
      </c>
      <c r="E915" t="s">
        <v>15</v>
      </c>
      <c r="F915">
        <v>51.816000000000003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105</v>
      </c>
      <c r="E916" t="s">
        <v>106</v>
      </c>
      <c r="F916">
        <v>0.68899999999999995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109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110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18</v>
      </c>
      <c r="E928" t="s">
        <v>15</v>
      </c>
      <c r="F928">
        <v>54.253999999999998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105</v>
      </c>
      <c r="E929" t="s">
        <v>106</v>
      </c>
      <c r="F929">
        <v>0.79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109</v>
      </c>
      <c r="E936" t="s">
        <v>13</v>
      </c>
      <c r="F936">
        <v>0.70599999999999996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110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18</v>
      </c>
      <c r="E941" t="s">
        <v>15</v>
      </c>
      <c r="F941">
        <v>59.131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105</v>
      </c>
      <c r="E942" t="s">
        <v>106</v>
      </c>
      <c r="F942">
        <v>0.99199999999999999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109</v>
      </c>
      <c r="E949" t="s">
        <v>13</v>
      </c>
      <c r="F949">
        <v>0.70599999999999996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110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18</v>
      </c>
      <c r="E954" t="s">
        <v>15</v>
      </c>
      <c r="F954">
        <v>61.57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105</v>
      </c>
      <c r="E955" t="s">
        <v>106</v>
      </c>
      <c r="F955">
        <v>1.0920000000000001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109</v>
      </c>
      <c r="E962" t="s">
        <v>13</v>
      </c>
      <c r="F962">
        <v>0.70599999999999996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110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18</v>
      </c>
      <c r="E967" t="s">
        <v>15</v>
      </c>
      <c r="F967">
        <v>64.007999999999996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105</v>
      </c>
      <c r="E968" t="s">
        <v>106</v>
      </c>
      <c r="F968">
        <v>1.1930000000000001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109</v>
      </c>
      <c r="E975" t="s">
        <v>13</v>
      </c>
      <c r="F975">
        <v>0.70599999999999996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26</v>
      </c>
      <c r="B1" s="46" t="s">
        <v>27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28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5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5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110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43.281999999999996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0.46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0.32300000000000001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45.72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0.54600000000000004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0.36799999999999999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110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48.158000000000001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0.63300000000000001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0.41299999999999998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110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50.597000000000001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0.71899999999999997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0.45800000000000002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110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51.816000000000003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0.76200000000000001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0.48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110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53.034999999999997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0.80500000000000005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0.503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110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55.473999999999997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0.89100000000000001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0.54800000000000004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110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57.911999999999999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0.97799999999999998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0.59299999999999997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110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44.500999999999998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0.48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0.32300000000000001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110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46.939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0.56899999999999995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0.36799999999999999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110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49.378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0.65900000000000003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0.41299999999999998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110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51.816000000000003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0.749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0.45800000000000002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110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53.034999999999997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0.79400000000000004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0.48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110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54.253999999999998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0.83899999999999997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0.503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110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56.692999999999998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0.92900000000000005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0.54800000000000004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110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59.131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1.0189999999999999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0.59299999999999997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110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45.72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0.499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0.32300000000000001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110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48.158000000000001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0.59299999999999997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0.36799999999999999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110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50.597000000000001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0.68600000000000005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0.41299999999999998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110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53.034999999999997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0.78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0.45800000000000002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110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54.253999999999998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0.82599999999999996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0.48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110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55.473999999999997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0.873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0.503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110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57.911999999999999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0.96699999999999997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0.54800000000000004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110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60.35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1.06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0.59299999999999997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110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46.533000000000001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0.51200000000000001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0.67600000000000005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48.970999999999997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0.60799999999999998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0.67600000000000005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110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51.41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0.70399999999999996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110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53.847999999999999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0.8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0.67600000000000005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110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55.067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0.84799999999999998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110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56.286000000000001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0.89600000000000002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0.67600000000000005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110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58.725000000000001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0.99199999999999999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0.67600000000000005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110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61.162999999999997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1.0880000000000001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0.67600000000000005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110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48.158000000000001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0.53800000000000003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0.70599999999999996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110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50.597000000000001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0.63900000000000001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0.70599999999999996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110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53.034999999999997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0.74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0.70599999999999996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110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55.473999999999997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0.84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110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56.692999999999998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0.89100000000000001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0.70599999999999996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110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57.911999999999999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0.94099999999999995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110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60.35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1.042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0.70599999999999996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110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62.789000000000001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1.143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0.70599999999999996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110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42.061999999999998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0.41699999999999998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0.3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110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44.500999999999998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0.503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0.34499999999999997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110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46.939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0.58899999999999997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110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49.378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0.67600000000000005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0.435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110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54.253999999999998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0.84799999999999998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0.52500000000000002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110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56.692999999999998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0.93500000000000005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0.56999999999999995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110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59.131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1.0209999999999999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0.61599999999999999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110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43.281999999999996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0.435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0.3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110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45.72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0.52400000000000002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0.34499999999999997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110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48.158000000000001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0.61399999999999999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0.39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110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50.597000000000001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0.70399999999999996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0.435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110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55.473999999999997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0.88400000000000001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0.52500000000000002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110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57.911999999999999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0.97399999999999998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0.56999999999999995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110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60.35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1.0640000000000001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0.61599999999999999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110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44.500999999999998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0.45200000000000001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0.3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110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46.939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0.54600000000000004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0.34499999999999997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110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49.378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0.63900000000000001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110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51.816000000000003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0.73299999999999998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0.435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110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56.692999999999998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0.92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0.52500000000000002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110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59.131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1.014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0.56999999999999995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110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61.57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1.107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0.61599999999999999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45.314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0.46400000000000002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0.67600000000000005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110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47.752000000000002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0.56000000000000005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0.67600000000000005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110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50.19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0.65600000000000003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0.67600000000000005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110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52.628999999999998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0.752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0.67600000000000005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110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57.506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0.94399999999999995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0.67600000000000005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110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59.944000000000003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1.04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0.67600000000000005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110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62.381999999999998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1.1359999999999999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110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46.939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0.48699999999999999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0.70599999999999996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110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49.378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0.58799999999999997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0.70599999999999996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110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51.816000000000003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0.68899999999999995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110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54.253999999999998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0.79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0.70599999999999996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110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59.131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0.99199999999999999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0.70599999999999996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110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61.57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1.0920000000000001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0.70599999999999996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110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64.007999999999996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1.1930000000000001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0.70599999999999996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2026-06-02T12:27:16Z</dcterms:modified>
</cp:coreProperties>
</file>