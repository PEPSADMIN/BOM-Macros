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G13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3" i="13"/>
  <c r="H4" i="13" l="1"/>
  <c r="G5" i="13" l="1"/>
  <c r="H5" i="13" s="1"/>
  <c r="H14" i="13"/>
  <c r="H13" i="13"/>
  <c r="H12" i="13"/>
  <c r="H11" i="13"/>
  <c r="H10" i="13"/>
  <c r="H9" i="13"/>
  <c r="E9" i="13"/>
  <c r="G8" i="13"/>
  <c r="H8" i="13" s="1"/>
  <c r="G7" i="13"/>
  <c r="H7" i="13" s="1"/>
  <c r="G6" i="13" l="1"/>
  <c r="H6" i="13" l="1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<sst xmlns="http://schemas.openxmlformats.org/spreadsheetml/2006/main" count="11046" uniqueCount="338">
  <si>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</si>
  <si>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</si>
  <si>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</si>
  <si>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</si>
  <si>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</si>
  <si>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</si>
  <si>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</si>
  <si>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</si>
  <si>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</si>
  <si>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</si>
  <si>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</si>
  <si>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</si>
  <si>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</si>
  <si>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</si>
  <si>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</si>
  <si>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</si>
  <si>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</si>
  <si>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</si>
  <si>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</si>
  <si>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</si>
  <si>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</si>
  <si>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</si>
  <si>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</si>
  <si>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</si>
  <si>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</si>
  <si>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</si>
  <si>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</si>
  <si>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</si>
  <si>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</si>
  <si>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</si>
  <si>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</si>
  <si>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</si>
  <si>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</si>
  <si>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</si>
  <si>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</si>
  <si>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</si>
  <si>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</si>
  <si>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</si>
  <si>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</si>
  <si>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</si>
  <si>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</si>
  <si>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</si>
  <si>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</si>
  <si>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</si>
  <si>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</si>
  <si>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</si>
  <si>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</si>
  <si>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</si>
  <si>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</si>
  <si>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</si>
  <si>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</si>
  <si>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</si>
  <si>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</si>
  <si>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</si>
  <si>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</si>
  <si>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</si>
  <si>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</si>
  <si>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</si>
  <si>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</si>
  <si>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</si>
  <si>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</si>
  <si>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</si>
  <si>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</si>
  <si>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</si>
  <si>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</si>
  <si>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</si>
  <si>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</si>
  <si>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</si>
  <si>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</si>
  <si>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</si>
  <si>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</si>
  <si>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</si>
  <si>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</si>
  <si>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</si>
  <si>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</si>
  <si>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</si>
  <si>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</si>
  <si>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</si>
  <si>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</si>
  <si>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</si>
  <si>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</si>
  <si>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</si>
  <si>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</si>
  <si>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</si>
  <si>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</si>
  <si>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</si>
  <si>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</si>
  <si>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</si>
  <si>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</si>
  <si>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</si>
  <si>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</si>
  <si>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</si>
  <si>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</si>
  <si>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</si>
  <si>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</si>
  <si>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</si>
  <si>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</si>
  <si>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</si>
  <si>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</si>
  <si>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</si>
  <si>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</si>
  <si>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</si>
  <si>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</si>
  <si>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</si>
  <si>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</si>
  <si>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</si>
  <si>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</si>
  <si>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</si>
  <si>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</si>
  <si>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</si>
  <si>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RMI-PVC-90</t>
  </si>
  <si>
    <t>RML-CS-PL-12.25</t>
  </si>
  <si>
    <t>SFG-RTHTMTRG-BONPOC-BP</t>
  </si>
  <si>
    <t>RTHTMTBNORG72X33X12</t>
  </si>
  <si>
    <t>60D-RB-MAT-FOAM-71.50X32.50X60MM</t>
  </si>
  <si>
    <t>RTHTMTBNORG72X39X12</t>
  </si>
  <si>
    <t>60D-RB-MAT-FOAM-71.50X38.50X60MM</t>
  </si>
  <si>
    <t>RTHTMTBNORG72X45X12</t>
  </si>
  <si>
    <t>60D-RB-MAT-FOAM-71.50X44.50X60MM</t>
  </si>
  <si>
    <t>RTHTMTBNORG72X51X12</t>
  </si>
  <si>
    <t>60D-RB-MAT-FOAM-71.50X50.50X60MM</t>
  </si>
  <si>
    <t>RTHTMTBNORG72X54X12</t>
  </si>
  <si>
    <t>60D-RB-MAT-FOAM-71.50X53.50X60MM</t>
  </si>
  <si>
    <t>RTHTMTBNORG72X57X12</t>
  </si>
  <si>
    <t>60D-RB-MAT-FOAM-71.50X56.50X60MM</t>
  </si>
  <si>
    <t>RTHTMTBNORG72X63X12</t>
  </si>
  <si>
    <t>60D-RB-MAT-FOAM-71.50X62.50X60MM</t>
  </si>
  <si>
    <t>RTHTMTBNORG72X69X12</t>
  </si>
  <si>
    <t>60D-RB-MAT-FOAM-71.50X68.50X60MM</t>
  </si>
  <si>
    <t>RTHTMTBNORG75X33X12</t>
  </si>
  <si>
    <t>60D-RB-MAT-FOAM-74.50X32.50X60MM</t>
  </si>
  <si>
    <t>RTHTMTBNORG75X39X12</t>
  </si>
  <si>
    <t>60D-RB-MAT-FOAM-74.50X38.50X60MM</t>
  </si>
  <si>
    <t>RTHTMTBNORG75X45X12</t>
  </si>
  <si>
    <t>60D-RB-MAT-FOAM-74.50X44.50X60MM</t>
  </si>
  <si>
    <t>RTHTMTBNORG75X51X12</t>
  </si>
  <si>
    <t>60D-RB-MAT-FOAM-74.50X50.50X60MM</t>
  </si>
  <si>
    <t>RTHTMTBNORG75X54X12</t>
  </si>
  <si>
    <t>60D-RB-MAT-FOAM-74.50X53.50X60MM</t>
  </si>
  <si>
    <t>RTHTMTBNORG75X57X12</t>
  </si>
  <si>
    <t>60D-RB-MAT-FOAM-74.50X56.50X60MM</t>
  </si>
  <si>
    <t>RTHTMTBNORG75X63X12</t>
  </si>
  <si>
    <t>60D-RB-MAT-FOAM-74.50X62.50X60MM</t>
  </si>
  <si>
    <t>RTHTMTBNORG75X69X12</t>
  </si>
  <si>
    <t>60D-RB-MAT-FOAM-74.50X68.50X60MM</t>
  </si>
  <si>
    <t>RTHTMTBNORG78X33X12</t>
  </si>
  <si>
    <t>60D-RB-MAT-FOAM-77.50X32.50X60MM</t>
  </si>
  <si>
    <t>RTHTMTBNORG78X39X12</t>
  </si>
  <si>
    <t>60D-RB-MAT-FOAM-77.50X38.50X60MM</t>
  </si>
  <si>
    <t>RTHTMTBNORG78X45X12</t>
  </si>
  <si>
    <t>60D-RB-MAT-FOAM-77.50X44.50X60MM</t>
  </si>
  <si>
    <t>RTHTMTBNORG78X51X12</t>
  </si>
  <si>
    <t>60D-RB-MAT-FOAM-77.50X50.50X60MM</t>
  </si>
  <si>
    <t>RTHTMTBNORG78X54X12</t>
  </si>
  <si>
    <t>60D-RB-MAT-FOAM-77.50X53.50X60MM</t>
  </si>
  <si>
    <t>RTHTMTBNORG78X57X12</t>
  </si>
  <si>
    <t>60D-RB-MAT-FOAM-77.50X56.50X60MM</t>
  </si>
  <si>
    <t>RTHTMTBNORG78X63X12</t>
  </si>
  <si>
    <t>60D-RB-MAT-FOAM-77.50X62.50X60MM</t>
  </si>
  <si>
    <t>RTHTMTBNORG78X69X12</t>
  </si>
  <si>
    <t>60D-RB-MAT-FOAM-77.50X68.50X60MM</t>
  </si>
  <si>
    <t>RTHTMTBNORG80X33X12</t>
  </si>
  <si>
    <t>60D-RB-MAT-FOAM-79.50X32.50X60MM</t>
  </si>
  <si>
    <t>RTHTMTBNORG80X39X12</t>
  </si>
  <si>
    <t>60D-RB-MAT-FOAM-79.50X38.50X60MM</t>
  </si>
  <si>
    <t>RTHTMTBNORG80X45X12</t>
  </si>
  <si>
    <t>60D-RB-MAT-FOAM-79.50X44.50X60MM</t>
  </si>
  <si>
    <t>RTHTMTBNORG80X51X12</t>
  </si>
  <si>
    <t>60D-RB-MAT-FOAM-79.50X50.50X60MM</t>
  </si>
  <si>
    <t>RTHTMTBNORG80X54X12</t>
  </si>
  <si>
    <t>60D-RB-MAT-FOAM-79.50X53.50X60MM</t>
  </si>
  <si>
    <t>RTHTMTBNORG80X57X12</t>
  </si>
  <si>
    <t>60D-RB-MAT-FOAM-79.50X56.50X60MM</t>
  </si>
  <si>
    <t>RTHTMTBNORG80X63X12</t>
  </si>
  <si>
    <t>60D-RB-MAT-FOAM-79.50X62.50X60MM</t>
  </si>
  <si>
    <t>RTHTMTBNORG80X69X12</t>
  </si>
  <si>
    <t>60D-RB-MAT-FOAM-79.50X68.50X60MM</t>
  </si>
  <si>
    <t>RTHTMTBNORG84X33X12</t>
  </si>
  <si>
    <t>60D-RB-MAT-FOAM-83.50X32.50X60MM</t>
  </si>
  <si>
    <t>RTHTMTBNORG84X39X12</t>
  </si>
  <si>
    <t>60D-RB-MAT-FOAM-83.50X38.50X60MM</t>
  </si>
  <si>
    <t>RTHTMTBNORG84X45X12</t>
  </si>
  <si>
    <t>60D-RB-MAT-FOAM-83.50X44.50X60MM</t>
  </si>
  <si>
    <t>RTHTMTBNORG84X51X12</t>
  </si>
  <si>
    <t>60D-RB-MAT-FOAM-83.50X50.50X60MM</t>
  </si>
  <si>
    <t>RTHTMTBNORG84X54X12</t>
  </si>
  <si>
    <t>60D-RB-MAT-FOAM-83.50X53.50X60MM</t>
  </si>
  <si>
    <t>RTHTMTBNORG84X57X12</t>
  </si>
  <si>
    <t>60D-RB-MAT-FOAM-83.50X56.50X60MM</t>
  </si>
  <si>
    <t>RTHTMTBNORG84X63X12</t>
  </si>
  <si>
    <t>60D-RB-MAT-FOAM-83.50X62.50X60MM</t>
  </si>
  <si>
    <t>RTHTMTBNORG84X69X12</t>
  </si>
  <si>
    <t>60D-RB-MAT-FOAM-83.50X68.50X60MM</t>
  </si>
  <si>
    <t>RTHTMTBNORG72X30X12</t>
  </si>
  <si>
    <t>60D-RB-MAT-FOAM-71.50X29.50X60MM</t>
  </si>
  <si>
    <t>RTHTMTBNORG72X36X12</t>
  </si>
  <si>
    <t>60D-RB-MAT-FOAM-71.50X35.50X60MM</t>
  </si>
  <si>
    <t>RTHTMTBNORG72X42X12</t>
  </si>
  <si>
    <t>60D-RB-MAT-FOAM-71.50X41.50X60MM</t>
  </si>
  <si>
    <t>RTHTMTBNORG72X48X12</t>
  </si>
  <si>
    <t>60D-RB-MAT-FOAM-71.50X47.50X60MM</t>
  </si>
  <si>
    <t>RTHTMTBNORG72X60X12</t>
  </si>
  <si>
    <t>60D-RB-MAT-FOAM-71.50X59.50X60MM</t>
  </si>
  <si>
    <t>RTHTMTBNORG72X66X12</t>
  </si>
  <si>
    <t>60D-RB-MAT-FOAM-71.50X65.50X60MM</t>
  </si>
  <si>
    <t>RTHTMTBNORG72X72X12</t>
  </si>
  <si>
    <t>60D-RB-MAT-FOAM-71.50X71.50X60MM</t>
  </si>
  <si>
    <t>RTHTMTBNORG75X30X12</t>
  </si>
  <si>
    <t>60D-RB-MAT-FOAM-74.50X29.50X60MM</t>
  </si>
  <si>
    <t>RTHTMTBNORG75X36X12</t>
  </si>
  <si>
    <t>60D-RB-MAT-FOAM-74.50X35.50X60MM</t>
  </si>
  <si>
    <t>RTHTMTBNORG75X42X12</t>
  </si>
  <si>
    <t>60D-RB-MAT-FOAM-74.50X41.50X60MM</t>
  </si>
  <si>
    <t>RTHTMTBNORG75X48X12</t>
  </si>
  <si>
    <t>60D-RB-MAT-FOAM-74.50X47.50X60MM</t>
  </si>
  <si>
    <t>RTHTMTBNORG75X60X12</t>
  </si>
  <si>
    <t>60D-RB-MAT-FOAM-74.50X59.50X60MM</t>
  </si>
  <si>
    <t>RTHTMTBNORG75X66X12</t>
  </si>
  <si>
    <t>60D-RB-MAT-FOAM-74.50X65.50X60MM</t>
  </si>
  <si>
    <t>RTHTMTBNORG75X72X12</t>
  </si>
  <si>
    <t>60D-RB-MAT-FOAM-74.50X71.50X60MM</t>
  </si>
  <si>
    <t>RTHTMTBNORG78X30X12</t>
  </si>
  <si>
    <t>60D-RB-MAT-FOAM-77.50X29.50X60MM</t>
  </si>
  <si>
    <t>RTHTMTBNORG78X36X12</t>
  </si>
  <si>
    <t>60D-RB-MAT-FOAM-77.50X35.50X60MM</t>
  </si>
  <si>
    <t>RTHTMTBNORG78X42X12</t>
  </si>
  <si>
    <t>60D-RB-MAT-FOAM-77.50X41.50X60MM</t>
  </si>
  <si>
    <t>RTHTMTBNORG78X48X12</t>
  </si>
  <si>
    <t>60D-RB-MAT-FOAM-77.50X47.50X60MM</t>
  </si>
  <si>
    <t>RTHTMTBNORG78X60X12</t>
  </si>
  <si>
    <t>60D-RB-MAT-FOAM-77.50X59.50X60MM</t>
  </si>
  <si>
    <t>RTHTMTBNORG78X66X12</t>
  </si>
  <si>
    <t>60D-RB-MAT-FOAM-77.50X65.50X60MM</t>
  </si>
  <si>
    <t>RTHTMTBNORG78X72X12</t>
  </si>
  <si>
    <t>60D-RB-MAT-FOAM-77.50X71.50X60MM</t>
  </si>
  <si>
    <t>RTHTMTBNORG80X30X12</t>
  </si>
  <si>
    <t>60D-RB-MAT-FOAM-79.50X29.50X60MM</t>
  </si>
  <si>
    <t>RTHTMTBNORG80X36X12</t>
  </si>
  <si>
    <t>60D-RB-MAT-FOAM-79.50X35.50X60MM</t>
  </si>
  <si>
    <t>RTHTMTBNORG80X42X12</t>
  </si>
  <si>
    <t>60D-RB-MAT-FOAM-79.50X41.50X60MM</t>
  </si>
  <si>
    <t>RTHTMTBNORG80X48X12</t>
  </si>
  <si>
    <t>60D-RB-MAT-FOAM-79.50X47.50X60MM</t>
  </si>
  <si>
    <t>RTHTMTBNORG80X60X12</t>
  </si>
  <si>
    <t>60D-RB-MAT-FOAM-79.50X59.50X60MM</t>
  </si>
  <si>
    <t>RTHTMTBNORG80X66X12</t>
  </si>
  <si>
    <t>60D-RB-MAT-FOAM-79.50X65.50X60MM</t>
  </si>
  <si>
    <t>RTHTMTBNORG80X72X12</t>
  </si>
  <si>
    <t>60D-RB-MAT-FOAM-79.50X71.50X60MM</t>
  </si>
  <si>
    <t>RTHTMTBNORG84X30X12</t>
  </si>
  <si>
    <t>60D-RB-MAT-FOAM-83.50X29.50X60MM</t>
  </si>
  <si>
    <t>RTHTMTBNORG84X36X12</t>
  </si>
  <si>
    <t>60D-RB-MAT-FOAM-83.50X35.50X60MM</t>
  </si>
  <si>
    <t>RTHTMTBNORG84X42X12</t>
  </si>
  <si>
    <t>60D-RB-MAT-FOAM-83.50X41.50X60MM</t>
  </si>
  <si>
    <t>RTHTMTBNORG84X48X12</t>
  </si>
  <si>
    <t>60D-RB-MAT-FOAM-83.50X47.50X60MM</t>
  </si>
  <si>
    <t>RTHTMTBNORG84X60X12</t>
  </si>
  <si>
    <t>60D-RB-MAT-FOAM-83.50X59.50X60MM</t>
  </si>
  <si>
    <t>RTHTMTBNORG84X66X12</t>
  </si>
  <si>
    <t>60D-RB-MAT-FOAM-83.50X65.50X60MM</t>
  </si>
  <si>
    <t>RTHTMTBNORG84X72X12</t>
  </si>
  <si>
    <t>60D-RB-MAT-FOAM-83.50X71.50X60MM</t>
  </si>
  <si>
    <t>OEBOXBNSR71.50X32.50X220</t>
  </si>
  <si>
    <t>OEBOXBNSR71.50X38.50X220</t>
  </si>
  <si>
    <t>OEBOXBNSR71.50X44.50X220</t>
  </si>
  <si>
    <t>OEBOXBNSR71.50X50.50X220</t>
  </si>
  <si>
    <t>OEBOXBNSR71.50X53.50X220</t>
  </si>
  <si>
    <t>OEBOXBNSR71.50X56.50X220</t>
  </si>
  <si>
    <t>OEBOXBNSR71.50X62.50X220</t>
  </si>
  <si>
    <t>OEBOXBNSR71.50X68.50X220</t>
  </si>
  <si>
    <t>OEBOXBNSR74.50X32.50X220</t>
  </si>
  <si>
    <t>OEBOXBNSR74.50X38.50X220</t>
  </si>
  <si>
    <t>OEBOXBNSR74.50X44.50X220</t>
  </si>
  <si>
    <t>OEBOXBNSR74.50X50.50X220</t>
  </si>
  <si>
    <t>OEBOXBNSR74.50X53.50X220</t>
  </si>
  <si>
    <t>OEBOXBNSR74.50X56.50X220</t>
  </si>
  <si>
    <t>OEBOXBNSR74.50X62.50X220</t>
  </si>
  <si>
    <t>OEBOXBNSR74.50X68.50X220</t>
  </si>
  <si>
    <t>OEBOXBNSR77.50X32.50X220</t>
  </si>
  <si>
    <t>OEBOXBNSR77.50X38.50X220</t>
  </si>
  <si>
    <t>OEBOXBNSR77.50X44.50X220</t>
  </si>
  <si>
    <t>OEBOXBNSR77.50X50.50X220</t>
  </si>
  <si>
    <t>OEBOXBNSR77.50X53.50X220</t>
  </si>
  <si>
    <t>OEBOXBNSR77.50X56.50X220</t>
  </si>
  <si>
    <t>OEBOXBNSR77.50X62.50X220</t>
  </si>
  <si>
    <t>OEBOXBNSR77.50X68.50X220</t>
  </si>
  <si>
    <t>OEBOXBNSR79.50X32.50X220</t>
  </si>
  <si>
    <t>OEBOXBNSR79.50X38.50X220</t>
  </si>
  <si>
    <t>OEBOXBNSR79.50X44.50X220</t>
  </si>
  <si>
    <t>OEBOXBNSR79.50X50.50X220</t>
  </si>
  <si>
    <t>OEBOXBNSR79.50X53.50X220</t>
  </si>
  <si>
    <t>OEBOXBNSR79.50X56.50X220</t>
  </si>
  <si>
    <t>OEBOXBNSR79.50X62.50X220</t>
  </si>
  <si>
    <t>OEBOXBNSR79.50X68.50X220</t>
  </si>
  <si>
    <t>OEBOXBNSR83.50X32.50X220</t>
  </si>
  <si>
    <t>OEBOXBNSR83.50X38.50X220</t>
  </si>
  <si>
    <t>OEBOXBNSR83.50X44.50X220</t>
  </si>
  <si>
    <t>OEBOXBNSR83.50X50.50X220</t>
  </si>
  <si>
    <t>OEBOXBNSR83.50X53.50X220</t>
  </si>
  <si>
    <t>OEBOXBNSR83.50X56.50X220</t>
  </si>
  <si>
    <t>OEBOXBNSR83.50X62.50X220</t>
  </si>
  <si>
    <t>OEBOXBNSR83.50X68.50X220</t>
  </si>
  <si>
    <t>OEBOXBNSR71.50X29.50X220</t>
  </si>
  <si>
    <t>OEBOXBNSR71.50X35.50X220</t>
  </si>
  <si>
    <t>OEBOXBNSR71.50X41.50X220</t>
  </si>
  <si>
    <t>OEBOXBNSR71.50X47.50X220</t>
  </si>
  <si>
    <t>OEBOXBNSR71.50X59.50X220</t>
  </si>
  <si>
    <t>OEBOXBNSR71.50X65.50X220</t>
  </si>
  <si>
    <t>OEBOXBNSR71.50X71.50X220</t>
  </si>
  <si>
    <t>OEBOXBNSR74.50X29.50X220</t>
  </si>
  <si>
    <t>OEBOXBNSR74.50X35.50X220</t>
  </si>
  <si>
    <t>OEBOXBNSR74.50X41.50X220</t>
  </si>
  <si>
    <t>OEBOXBNSR74.50X47.50X220</t>
  </si>
  <si>
    <t>OEBOXBNSR74.50X59.50X220</t>
  </si>
  <si>
    <t>OEBOXBNSR74.50X65.50X220</t>
  </si>
  <si>
    <t>OEBOXBNSR74.50X71.50X220</t>
  </si>
  <si>
    <t>OEBOXBNSR77.50X29.50X220</t>
  </si>
  <si>
    <t>OEBOXBNSR77.50X35.50X220</t>
  </si>
  <si>
    <t>OEBOXBNSR77.50X41.50X220</t>
  </si>
  <si>
    <t>OEBOXBNSR77.50X47.50X220</t>
  </si>
  <si>
    <t>OEBOXBNSR77.50X59.50X220</t>
  </si>
  <si>
    <t>OEBOXBNSR77.50X65.50X220</t>
  </si>
  <si>
    <t>OEBOXBNSR77.50X71.50X220</t>
  </si>
  <si>
    <t>OEBOXBNSR79.50X29.50X220</t>
  </si>
  <si>
    <t>OEBOXBNSR79.50X35.50X220</t>
  </si>
  <si>
    <t>OEBOXBNSR79.50X41.50X220</t>
  </si>
  <si>
    <t>OEBOXBNSR79.50X47.50X220</t>
  </si>
  <si>
    <t>OEBOXBNSR79.50X59.50X220</t>
  </si>
  <si>
    <t>OEBOXBNSR79.50X65.50X220</t>
  </si>
  <si>
    <t>OEBOXBNSR79.50X71.50X220</t>
  </si>
  <si>
    <t>OEBOXBNSR83.50X29.50X220</t>
  </si>
  <si>
    <t>OEBOXBNSR83.50X35.50X220</t>
  </si>
  <si>
    <t>OEBOXBNSR83.50X41.50X220</t>
  </si>
  <si>
    <t>OEBOXBNSR83.50X47.50X220</t>
  </si>
  <si>
    <t>OEBOXBNSR83.50X59.50X220</t>
  </si>
  <si>
    <t>OEBOXBNSR83.50X65.50X220</t>
  </si>
  <si>
    <t>OEBOXBNSR83.50X71.50X220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</si>
</sst>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5" fillId="6" borderId="3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"RTHTMTBNORG"&amp;$K$2&amp;"X"&amp;$L$2&amp;"X"&amp;IF($M$2&gt;9,$M$2,"0"&amp;$M$2)</f>
        <v>RTHTMTBNORG75X36X12</v>
      </c>
      <c r="E2" s="1" t="str">
        <f>"OEBOXBNSR"&amp;(K2-0.5)&amp;"0"&amp;"X"&amp;(L2-0.5)&amp;"0"&amp;"X"&amp;IF(M2=6,"130",IF(M2=8,"160",IF(M2=12,"220",0)))</f>
        <v>OEBOXBNSR74.50X35.50X220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37">
        <v>12</v>
      </c>
      <c r="N2" s="6"/>
      <c r="P2" s="4" t="s">
        <v>91</v>
      </c>
      <c r="R2" s="34" t="s">
        <v>92</v>
      </c>
      <c r="S2" s="34" t="s">
        <v>93</v>
      </c>
      <c r="T2" s="34">
        <v>12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0">"RTHTMTBNORG"&amp;$K$2&amp;"X"&amp;$L$2&amp;"X"&amp;IF($M$2&gt;9,$M$2,"0"&amp;$M$2)</f>
        <v>RTHTMTBNORG75X36X12</v>
      </c>
      <c r="E3" s="19" t="s">
        <v>109</v>
      </c>
      <c r="F3" s="11" t="s">
        <v>15</v>
      </c>
      <c r="G3" s="26">
        <f>IF(K2&lt;79,(L2+1),IF(L2&lt;37,(K2+1),(K2+1)))*0.0254</f>
        <v>0.93979999999999997</v>
      </c>
      <c r="H3" s="10">
        <f t="shared" ref="H3:H4" si="1"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12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0"/>
        <v>RTHTMTBNORG75X36X12</v>
      </c>
      <c r="E4" s="42" t="s">
        <v>112</v>
      </c>
      <c r="F4" s="11" t="s">
        <v>15</v>
      </c>
      <c r="G4" s="26">
        <f>IF(K2&lt;79,(L2+1),IF(L2&lt;37,(K2+1),(K2+1)))*0.0254</f>
        <v>0.93979999999999997</v>
      </c>
      <c r="H4" s="10">
        <f t="shared" si="1"/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12</v>
      </c>
      <c r="U4" s="35" t="s">
        <v>108</v>
      </c>
    </row>
    <row r="5" spans="1:21" x14ac:dyDescent="0.25">
      <c r="A5" s="36">
        <v>4</v>
      </c>
      <c r="B5" s="7" t="s">
        <v>17</v>
      </c>
      <c r="C5" s="7" t="s">
        <v>17</v>
      </c>
      <c r="D5" s="7" t="str">
        <f t="shared" si="0"/>
        <v>RTHTMTBNORG75X36X12</v>
      </c>
      <c r="E5" s="41" t="s">
        <v>18</v>
      </c>
      <c r="F5" s="40" t="s">
        <v>15</v>
      </c>
      <c r="G5" s="16">
        <f>(K2+L2+1.5)*4*0.0254*8</f>
        <v>91.44</v>
      </c>
      <c r="H5" s="10">
        <f>ROUND(G5,3)</f>
        <v>91.44</v>
      </c>
      <c r="I5" s="8" t="s">
        <v>14</v>
      </c>
      <c r="J5" s="12"/>
      <c r="O5" s="18"/>
      <c r="R5" s="34" t="s">
        <v>92</v>
      </c>
      <c r="S5" s="34" t="s">
        <v>96</v>
      </c>
      <c r="T5" s="34">
        <v>12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0"/>
        <v>RTHTMTBNORG75X36X12</v>
      </c>
      <c r="E6" s="21" t="s">
        <v>105</v>
      </c>
      <c r="F6" s="15" t="s">
        <v>106</v>
      </c>
      <c r="G6" s="23">
        <f>((K2-1)*(L2-1)/144)*0.00729*8</f>
        <v>1.0489499999999998</v>
      </c>
      <c r="H6" s="10">
        <f t="shared" ref="H6:H13" si="2">ROUND(G6,3)</f>
        <v>1.0489999999999999</v>
      </c>
      <c r="I6" s="8" t="s">
        <v>14</v>
      </c>
      <c r="J6" s="12"/>
      <c r="R6" s="34" t="s">
        <v>92</v>
      </c>
      <c r="S6" s="34" t="s">
        <v>97</v>
      </c>
      <c r="T6" s="34">
        <v>12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0"/>
        <v>RTHTMTBNORG75X36X12</v>
      </c>
      <c r="E7" s="21" t="s">
        <v>107</v>
      </c>
      <c r="F7" s="11" t="s">
        <v>15</v>
      </c>
      <c r="G7" s="10">
        <f>(K2+L2+4)*2*0.0254*2</f>
        <v>11.683999999999999</v>
      </c>
      <c r="H7" s="10">
        <f t="shared" si="2"/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12</v>
      </c>
      <c r="U7" s="35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0"/>
        <v>RTHTMTBNORG75X36X12</v>
      </c>
      <c r="E8" s="21" t="s">
        <v>18</v>
      </c>
      <c r="F8" s="11" t="s">
        <v>15</v>
      </c>
      <c r="G8" s="10">
        <f>(K2+L2+4)*2*0.0254*(4.73+1.42)*2</f>
        <v>71.8566</v>
      </c>
      <c r="H8" s="10">
        <f t="shared" si="2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12</v>
      </c>
      <c r="U8" s="35" t="s">
        <v>108</v>
      </c>
    </row>
    <row r="9" spans="1:21" x14ac:dyDescent="0.25">
      <c r="A9" s="36">
        <v>8</v>
      </c>
      <c r="B9" s="7" t="s">
        <v>20</v>
      </c>
      <c r="C9" s="9" t="s">
        <v>20</v>
      </c>
      <c r="D9" s="7" t="str">
        <f t="shared" si="0"/>
        <v>RTHTMTBNORG75X36X12</v>
      </c>
      <c r="E9" s="21" t="str">
        <f>IF(M2=6,"RML-CS-PL-6.5""",IF(M2=8,"RML-CS-PL-8.5",IF(M2=10,"RML-CS-PL-10.5",IF(M2=12,"RML-CS-PL-12.25"))))</f>
        <v>RML-CS-PL-12.25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12</v>
      </c>
      <c r="U9" s="35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0"/>
        <v>RTHTMTBNORG75X36X12</v>
      </c>
      <c r="E10" s="21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12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0"/>
        <v>RTHTMTBNORG75X36X12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12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0"/>
        <v>RTHTMTBNORG75X36X12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12</v>
      </c>
      <c r="U12" s="35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0"/>
        <v>RTHTMTBNORG75X36X12</v>
      </c>
      <c r="E13" s="18" t="s">
        <v>110</v>
      </c>
      <c r="F13" s="11" t="s">
        <v>13</v>
      </c>
      <c r="G13" s="24">
        <f>IF(K2&lt;76,((L2*2)+(M2*2)+4),((K2*2)+(M2*2)+4))*0.0254*89.5*0.0254*0.00009*1300</f>
        <v>0.67557929400000005</v>
      </c>
      <c r="H13" s="10">
        <f t="shared" si="2"/>
        <v>0.67600000000000005</v>
      </c>
      <c r="I13" s="8" t="s">
        <v>14</v>
      </c>
      <c r="J13" s="12"/>
      <c r="K13" s="22"/>
      <c r="R13" s="34" t="s">
        <v>101</v>
      </c>
      <c r="S13" s="34" t="s">
        <v>96</v>
      </c>
      <c r="T13" s="34">
        <v>12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0"/>
        <v>RTHTMTBNORG75X36X12</v>
      </c>
      <c r="E14" s="39" t="str">
        <f>"60D-RB-MAT-FOAM-"&amp;(K2-0.5)&amp;"0"&amp;"X"&amp;(L2-0.5)&amp;"0"&amp;"X60MM"</f>
        <v>60D-RB-MAT-FOAM-74.50X35.50X60MM</v>
      </c>
      <c r="F14" s="8" t="s">
        <v>11</v>
      </c>
      <c r="G14" s="14">
        <v>1</v>
      </c>
      <c r="H14" s="10">
        <f t="shared" ref="H14" si="3">ROUND(G14,3)</f>
        <v>1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12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12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12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12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12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12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12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12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12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12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12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12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12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12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12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12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12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12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12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12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12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12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12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12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12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12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12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12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12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12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12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12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12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12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12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12</v>
      </c>
      <c r="U49" s="35"/>
    </row>
    <row r="50" spans="14:21" x14ac:dyDescent="0.25">
      <c r="R50" s="34">
        <v>75</v>
      </c>
      <c r="S50" s="34">
        <v>36</v>
      </c>
      <c r="T50" s="34">
        <v>12</v>
      </c>
      <c r="U50" s="35"/>
    </row>
    <row r="51" spans="14:21" x14ac:dyDescent="0.25">
      <c r="R51" s="34">
        <v>75</v>
      </c>
      <c r="S51" s="34">
        <v>42</v>
      </c>
      <c r="T51" s="34">
        <v>12</v>
      </c>
      <c r="U51" s="35"/>
    </row>
    <row r="52" spans="14:21" x14ac:dyDescent="0.25">
      <c r="R52" s="34">
        <v>75</v>
      </c>
      <c r="S52" s="34">
        <v>48</v>
      </c>
      <c r="T52" s="34">
        <v>12</v>
      </c>
      <c r="U52" s="35"/>
    </row>
    <row r="53" spans="14:21" x14ac:dyDescent="0.25">
      <c r="R53" s="34">
        <v>75</v>
      </c>
      <c r="S53" s="34">
        <v>60</v>
      </c>
      <c r="T53" s="34">
        <v>12</v>
      </c>
      <c r="U53" s="35"/>
    </row>
    <row r="54" spans="14:21" x14ac:dyDescent="0.25">
      <c r="R54" s="34">
        <v>75</v>
      </c>
      <c r="S54" s="34">
        <v>66</v>
      </c>
      <c r="T54" s="34">
        <v>12</v>
      </c>
      <c r="U54" s="35"/>
    </row>
    <row r="55" spans="14:21" x14ac:dyDescent="0.25">
      <c r="R55" s="34">
        <v>75</v>
      </c>
      <c r="S55" s="34">
        <v>72</v>
      </c>
      <c r="T55" s="34">
        <v>12</v>
      </c>
      <c r="U55" s="35"/>
    </row>
    <row r="56" spans="14:21" x14ac:dyDescent="0.25">
      <c r="R56" s="34">
        <v>78</v>
      </c>
      <c r="S56" s="34">
        <v>30</v>
      </c>
      <c r="T56" s="34">
        <v>12</v>
      </c>
      <c r="U56" s="35"/>
    </row>
    <row r="57" spans="14:21" x14ac:dyDescent="0.25">
      <c r="R57" s="34">
        <v>78</v>
      </c>
      <c r="S57" s="34">
        <v>36</v>
      </c>
      <c r="T57" s="34">
        <v>12</v>
      </c>
      <c r="U57" s="35"/>
    </row>
    <row r="58" spans="14:21" x14ac:dyDescent="0.25">
      <c r="R58" s="34">
        <v>78</v>
      </c>
      <c r="S58" s="34">
        <v>42</v>
      </c>
      <c r="T58" s="34">
        <v>12</v>
      </c>
      <c r="U58" s="35"/>
    </row>
    <row r="59" spans="14:21" x14ac:dyDescent="0.25">
      <c r="R59" s="34">
        <v>78</v>
      </c>
      <c r="S59" s="34">
        <v>48</v>
      </c>
      <c r="T59" s="34">
        <v>12</v>
      </c>
      <c r="U59" s="35"/>
    </row>
    <row r="60" spans="14:21" x14ac:dyDescent="0.25">
      <c r="R60" s="34">
        <v>78</v>
      </c>
      <c r="S60" s="34">
        <v>60</v>
      </c>
      <c r="T60" s="34">
        <v>12</v>
      </c>
      <c r="U60" s="35"/>
    </row>
    <row r="61" spans="14:21" x14ac:dyDescent="0.25">
      <c r="R61" s="34">
        <v>78</v>
      </c>
      <c r="S61" s="34">
        <v>66</v>
      </c>
      <c r="T61" s="34">
        <v>12</v>
      </c>
      <c r="U61" s="35"/>
    </row>
    <row r="62" spans="14:21" x14ac:dyDescent="0.25">
      <c r="R62" s="34">
        <v>78</v>
      </c>
      <c r="S62" s="34">
        <v>72</v>
      </c>
      <c r="T62" s="34">
        <v>12</v>
      </c>
      <c r="U62" s="35"/>
    </row>
    <row r="63" spans="14:21" x14ac:dyDescent="0.25">
      <c r="R63" s="34">
        <v>80</v>
      </c>
      <c r="S63" s="34">
        <v>30</v>
      </c>
      <c r="T63" s="34">
        <v>12</v>
      </c>
      <c r="U63" s="35"/>
    </row>
    <row r="64" spans="14:21" x14ac:dyDescent="0.25">
      <c r="R64" s="34">
        <v>80</v>
      </c>
      <c r="S64" s="34">
        <v>36</v>
      </c>
      <c r="T64" s="34">
        <v>12</v>
      </c>
      <c r="U64" s="35"/>
    </row>
    <row r="65" spans="18:21" x14ac:dyDescent="0.25">
      <c r="R65" s="34">
        <v>80</v>
      </c>
      <c r="S65" s="34">
        <v>42</v>
      </c>
      <c r="T65" s="34">
        <v>12</v>
      </c>
      <c r="U65" s="35"/>
    </row>
    <row r="66" spans="18:21" x14ac:dyDescent="0.25">
      <c r="R66" s="34">
        <v>80</v>
      </c>
      <c r="S66" s="34">
        <v>48</v>
      </c>
      <c r="T66" s="34">
        <v>12</v>
      </c>
      <c r="U66" s="35"/>
    </row>
    <row r="67" spans="18:21" x14ac:dyDescent="0.25">
      <c r="R67" s="34">
        <v>80</v>
      </c>
      <c r="S67" s="34">
        <v>60</v>
      </c>
      <c r="T67" s="34">
        <v>12</v>
      </c>
      <c r="U67" s="35"/>
    </row>
    <row r="68" spans="18:21" x14ac:dyDescent="0.25">
      <c r="R68" s="34">
        <v>80</v>
      </c>
      <c r="S68" s="34">
        <v>66</v>
      </c>
      <c r="T68" s="34">
        <v>12</v>
      </c>
      <c r="U68" s="35"/>
    </row>
    <row r="69" spans="18:21" x14ac:dyDescent="0.25">
      <c r="R69" s="34">
        <v>80</v>
      </c>
      <c r="S69" s="34">
        <v>72</v>
      </c>
      <c r="T69" s="34">
        <v>12</v>
      </c>
      <c r="U69" s="35"/>
    </row>
    <row r="70" spans="18:21" x14ac:dyDescent="0.25">
      <c r="R70" s="34">
        <v>84</v>
      </c>
      <c r="S70" s="34">
        <v>30</v>
      </c>
      <c r="T70" s="34">
        <v>12</v>
      </c>
      <c r="U70" s="35"/>
    </row>
    <row r="71" spans="18:21" x14ac:dyDescent="0.25">
      <c r="R71" s="34">
        <v>84</v>
      </c>
      <c r="S71" s="34">
        <v>36</v>
      </c>
      <c r="T71" s="34">
        <v>12</v>
      </c>
      <c r="U71" s="35"/>
    </row>
    <row r="72" spans="18:21" x14ac:dyDescent="0.25">
      <c r="R72" s="34">
        <v>84</v>
      </c>
      <c r="S72" s="34">
        <v>42</v>
      </c>
      <c r="T72" s="34">
        <v>12</v>
      </c>
      <c r="U72" s="35"/>
    </row>
    <row r="73" spans="18:21" x14ac:dyDescent="0.25">
      <c r="R73" s="34">
        <v>84</v>
      </c>
      <c r="S73" s="34">
        <v>48</v>
      </c>
      <c r="T73" s="34">
        <v>12</v>
      </c>
      <c r="U73" s="35"/>
    </row>
    <row r="74" spans="18:21" x14ac:dyDescent="0.25">
      <c r="R74" s="34">
        <v>84</v>
      </c>
      <c r="S74" s="34">
        <v>60</v>
      </c>
      <c r="T74" s="34">
        <v>12</v>
      </c>
      <c r="U74" s="35"/>
    </row>
    <row r="75" spans="18:21" x14ac:dyDescent="0.25">
      <c r="R75" s="34">
        <v>84</v>
      </c>
      <c r="S75" s="34">
        <v>66</v>
      </c>
      <c r="T75" s="34">
        <v>12</v>
      </c>
      <c r="U75" s="35"/>
    </row>
    <row r="76" spans="18:21" x14ac:dyDescent="0.25">
      <c r="R76" s="34">
        <v>84</v>
      </c>
      <c r="S76" s="34">
        <v>72</v>
      </c>
      <c r="T76" s="34">
        <v>12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0.92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0.63500000000000001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114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115</v>
      </c>
      <c r="C16">
        <v>20</v>
      </c>
      <c r="D16" t="s">
        <v>109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115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115</v>
      </c>
      <c r="C19">
        <v>50</v>
      </c>
      <c r="D19" t="s">
        <v>105</v>
      </c>
      <c r="E19" t="s">
        <v>106</v>
      </c>
      <c r="F19">
        <v>1.093</v>
      </c>
      <c r="G19" t="s">
        <v>14</v>
      </c>
    </row>
    <row r="20" spans="1:7" x14ac:dyDescent="0.25">
      <c r="A20">
        <v>2</v>
      </c>
      <c r="B20" t="s">
        <v>115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115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115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115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115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115</v>
      </c>
      <c r="C26">
        <v>120</v>
      </c>
      <c r="D26" t="s">
        <v>110</v>
      </c>
      <c r="E26" t="s">
        <v>13</v>
      </c>
      <c r="F26">
        <v>0.71599999999999997</v>
      </c>
      <c r="G26" t="s">
        <v>14</v>
      </c>
    </row>
    <row r="27" spans="1:7" x14ac:dyDescent="0.25">
      <c r="A27">
        <v>2</v>
      </c>
      <c r="B27" t="s">
        <v>115</v>
      </c>
      <c r="C27">
        <v>130</v>
      </c>
      <c r="D27" t="s">
        <v>116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117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117</v>
      </c>
      <c r="C29">
        <v>20</v>
      </c>
      <c r="D29" t="s">
        <v>109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117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117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117</v>
      </c>
      <c r="C32">
        <v>50</v>
      </c>
      <c r="D32" t="s">
        <v>105</v>
      </c>
      <c r="E32" t="s">
        <v>106</v>
      </c>
      <c r="F32">
        <v>1.2649999999999999</v>
      </c>
      <c r="G32" t="s">
        <v>14</v>
      </c>
    </row>
    <row r="33" spans="1:7" x14ac:dyDescent="0.25">
      <c r="A33">
        <v>3</v>
      </c>
      <c r="B33" t="s">
        <v>117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117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117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117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117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117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117</v>
      </c>
      <c r="C39">
        <v>120</v>
      </c>
      <c r="D39" t="s">
        <v>110</v>
      </c>
      <c r="E39" t="s">
        <v>13</v>
      </c>
      <c r="F39">
        <v>0.79700000000000004</v>
      </c>
      <c r="G39" t="s">
        <v>14</v>
      </c>
    </row>
    <row r="40" spans="1:7" x14ac:dyDescent="0.25">
      <c r="A40">
        <v>3</v>
      </c>
      <c r="B40" t="s">
        <v>117</v>
      </c>
      <c r="C40">
        <v>130</v>
      </c>
      <c r="D40" t="s">
        <v>118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119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119</v>
      </c>
      <c r="C42">
        <v>20</v>
      </c>
      <c r="D42" t="s">
        <v>109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119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119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119</v>
      </c>
      <c r="C45">
        <v>50</v>
      </c>
      <c r="D45" t="s">
        <v>105</v>
      </c>
      <c r="E45" t="s">
        <v>106</v>
      </c>
      <c r="F45">
        <v>1.4379999999999999</v>
      </c>
      <c r="G45" t="s">
        <v>14</v>
      </c>
    </row>
    <row r="46" spans="1:7" x14ac:dyDescent="0.25">
      <c r="A46">
        <v>4</v>
      </c>
      <c r="B46" t="s">
        <v>119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119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119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119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119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119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119</v>
      </c>
      <c r="C52">
        <v>120</v>
      </c>
      <c r="D52" t="s">
        <v>110</v>
      </c>
      <c r="E52" t="s">
        <v>13</v>
      </c>
      <c r="F52">
        <v>0.878</v>
      </c>
      <c r="G52" t="s">
        <v>14</v>
      </c>
    </row>
    <row r="53" spans="1:7" x14ac:dyDescent="0.25">
      <c r="A53">
        <v>4</v>
      </c>
      <c r="B53" t="s">
        <v>119</v>
      </c>
      <c r="C53">
        <v>130</v>
      </c>
      <c r="D53" t="s">
        <v>120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121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121</v>
      </c>
      <c r="C55">
        <v>20</v>
      </c>
      <c r="D55" t="s">
        <v>109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121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121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121</v>
      </c>
      <c r="C58">
        <v>50</v>
      </c>
      <c r="D58" t="s">
        <v>105</v>
      </c>
      <c r="E58" t="s">
        <v>106</v>
      </c>
      <c r="F58">
        <v>1.524</v>
      </c>
      <c r="G58" t="s">
        <v>14</v>
      </c>
    </row>
    <row r="59" spans="1:7" x14ac:dyDescent="0.25">
      <c r="A59">
        <v>5</v>
      </c>
      <c r="B59" t="s">
        <v>121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121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121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121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121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121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121</v>
      </c>
      <c r="C65">
        <v>120</v>
      </c>
      <c r="D65" t="s">
        <v>110</v>
      </c>
      <c r="E65" t="s">
        <v>13</v>
      </c>
      <c r="F65">
        <v>0.91900000000000004</v>
      </c>
      <c r="G65" t="s">
        <v>14</v>
      </c>
    </row>
    <row r="66" spans="1:7" x14ac:dyDescent="0.25">
      <c r="A66">
        <v>5</v>
      </c>
      <c r="B66" t="s">
        <v>121</v>
      </c>
      <c r="C66">
        <v>130</v>
      </c>
      <c r="D66" t="s">
        <v>122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123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123</v>
      </c>
      <c r="C68">
        <v>20</v>
      </c>
      <c r="D68" t="s">
        <v>109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123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123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123</v>
      </c>
      <c r="C71">
        <v>50</v>
      </c>
      <c r="D71" t="s">
        <v>105</v>
      </c>
      <c r="E71" t="s">
        <v>106</v>
      </c>
      <c r="F71">
        <v>1.61</v>
      </c>
      <c r="G71" t="s">
        <v>14</v>
      </c>
    </row>
    <row r="72" spans="1:7" x14ac:dyDescent="0.25">
      <c r="A72">
        <v>6</v>
      </c>
      <c r="B72" t="s">
        <v>123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123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123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123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123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123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123</v>
      </c>
      <c r="C78">
        <v>120</v>
      </c>
      <c r="D78" t="s">
        <v>110</v>
      </c>
      <c r="E78" t="s">
        <v>13</v>
      </c>
      <c r="F78">
        <v>0.95899999999999996</v>
      </c>
      <c r="G78" t="s">
        <v>14</v>
      </c>
    </row>
    <row r="79" spans="1:7" x14ac:dyDescent="0.25">
      <c r="A79">
        <v>6</v>
      </c>
      <c r="B79" t="s">
        <v>123</v>
      </c>
      <c r="C79">
        <v>130</v>
      </c>
      <c r="D79" t="s">
        <v>124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125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125</v>
      </c>
      <c r="C81">
        <v>20</v>
      </c>
      <c r="D81" t="s">
        <v>109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125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125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125</v>
      </c>
      <c r="C84">
        <v>50</v>
      </c>
      <c r="D84" t="s">
        <v>105</v>
      </c>
      <c r="E84" t="s">
        <v>106</v>
      </c>
      <c r="F84">
        <v>1.7829999999999999</v>
      </c>
      <c r="G84" t="s">
        <v>14</v>
      </c>
    </row>
    <row r="85" spans="1:7" x14ac:dyDescent="0.25">
      <c r="A85">
        <v>7</v>
      </c>
      <c r="B85" t="s">
        <v>125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125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125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125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125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125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125</v>
      </c>
      <c r="C91">
        <v>120</v>
      </c>
      <c r="D91" t="s">
        <v>110</v>
      </c>
      <c r="E91" t="s">
        <v>13</v>
      </c>
      <c r="F91">
        <v>1.04</v>
      </c>
      <c r="G91" t="s">
        <v>14</v>
      </c>
    </row>
    <row r="92" spans="1:7" x14ac:dyDescent="0.25">
      <c r="A92">
        <v>7</v>
      </c>
      <c r="B92" t="s">
        <v>125</v>
      </c>
      <c r="C92">
        <v>130</v>
      </c>
      <c r="D92" t="s">
        <v>126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127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127</v>
      </c>
      <c r="C94">
        <v>20</v>
      </c>
      <c r="D94" t="s">
        <v>109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127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127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127</v>
      </c>
      <c r="C97">
        <v>50</v>
      </c>
      <c r="D97" t="s">
        <v>105</v>
      </c>
      <c r="E97" t="s">
        <v>106</v>
      </c>
      <c r="F97">
        <v>1.9550000000000001</v>
      </c>
      <c r="G97" t="s">
        <v>14</v>
      </c>
    </row>
    <row r="98" spans="1:7" x14ac:dyDescent="0.25">
      <c r="A98">
        <v>8</v>
      </c>
      <c r="B98" t="s">
        <v>127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127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127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127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127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127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127</v>
      </c>
      <c r="C104">
        <v>120</v>
      </c>
      <c r="D104" t="s">
        <v>110</v>
      </c>
      <c r="E104" t="s">
        <v>13</v>
      </c>
      <c r="F104">
        <v>1.121</v>
      </c>
      <c r="G104" t="s">
        <v>14</v>
      </c>
    </row>
    <row r="105" spans="1:7" x14ac:dyDescent="0.25">
      <c r="A105">
        <v>8</v>
      </c>
      <c r="B105" t="s">
        <v>127</v>
      </c>
      <c r="C105">
        <v>130</v>
      </c>
      <c r="D105" t="s">
        <v>128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129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129</v>
      </c>
      <c r="C107">
        <v>20</v>
      </c>
      <c r="D107" t="s">
        <v>109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129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129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129</v>
      </c>
      <c r="C110">
        <v>50</v>
      </c>
      <c r="D110" t="s">
        <v>105</v>
      </c>
      <c r="E110" t="s">
        <v>106</v>
      </c>
      <c r="F110">
        <v>0.95899999999999996</v>
      </c>
      <c r="G110" t="s">
        <v>14</v>
      </c>
    </row>
    <row r="111" spans="1:7" x14ac:dyDescent="0.25">
      <c r="A111">
        <v>9</v>
      </c>
      <c r="B111" t="s">
        <v>129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129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129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129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129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129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129</v>
      </c>
      <c r="C117">
        <v>120</v>
      </c>
      <c r="D117" t="s">
        <v>110</v>
      </c>
      <c r="E117" t="s">
        <v>13</v>
      </c>
      <c r="F117">
        <v>0.63500000000000001</v>
      </c>
      <c r="G117" t="s">
        <v>14</v>
      </c>
    </row>
    <row r="118" spans="1:7" x14ac:dyDescent="0.25">
      <c r="A118">
        <v>9</v>
      </c>
      <c r="B118" t="s">
        <v>129</v>
      </c>
      <c r="C118">
        <v>130</v>
      </c>
      <c r="D118" t="s">
        <v>130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131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131</v>
      </c>
      <c r="C120">
        <v>20</v>
      </c>
      <c r="D120" t="s">
        <v>109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131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131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131</v>
      </c>
      <c r="C123">
        <v>50</v>
      </c>
      <c r="D123" t="s">
        <v>105</v>
      </c>
      <c r="E123" t="s">
        <v>106</v>
      </c>
      <c r="F123">
        <v>1.139</v>
      </c>
      <c r="G123" t="s">
        <v>14</v>
      </c>
    </row>
    <row r="124" spans="1:7" x14ac:dyDescent="0.25">
      <c r="A124">
        <v>10</v>
      </c>
      <c r="B124" t="s">
        <v>131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131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131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131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131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131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131</v>
      </c>
      <c r="C130">
        <v>120</v>
      </c>
      <c r="D130" t="s">
        <v>110</v>
      </c>
      <c r="E130" t="s">
        <v>13</v>
      </c>
      <c r="F130">
        <v>0.71599999999999997</v>
      </c>
      <c r="G130" t="s">
        <v>14</v>
      </c>
    </row>
    <row r="131" spans="1:7" x14ac:dyDescent="0.25">
      <c r="A131">
        <v>10</v>
      </c>
      <c r="B131" t="s">
        <v>131</v>
      </c>
      <c r="C131">
        <v>130</v>
      </c>
      <c r="D131" t="s">
        <v>132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133</v>
      </c>
      <c r="C133">
        <v>20</v>
      </c>
      <c r="D133" t="s">
        <v>109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133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133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133</v>
      </c>
      <c r="C136">
        <v>50</v>
      </c>
      <c r="D136" t="s">
        <v>105</v>
      </c>
      <c r="E136" t="s">
        <v>106</v>
      </c>
      <c r="F136">
        <v>1.319</v>
      </c>
      <c r="G136" t="s">
        <v>14</v>
      </c>
    </row>
    <row r="137" spans="1:7" x14ac:dyDescent="0.25">
      <c r="A137">
        <v>11</v>
      </c>
      <c r="B137" t="s">
        <v>133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133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133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133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133</v>
      </c>
      <c r="C143">
        <v>120</v>
      </c>
      <c r="D143" t="s">
        <v>110</v>
      </c>
      <c r="E143" t="s">
        <v>13</v>
      </c>
      <c r="F143">
        <v>0.79700000000000004</v>
      </c>
      <c r="G143" t="s">
        <v>14</v>
      </c>
    </row>
    <row r="144" spans="1:7" x14ac:dyDescent="0.25">
      <c r="A144">
        <v>11</v>
      </c>
      <c r="B144" t="s">
        <v>133</v>
      </c>
      <c r="C144">
        <v>130</v>
      </c>
      <c r="D144" t="s">
        <v>134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135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135</v>
      </c>
      <c r="C146">
        <v>20</v>
      </c>
      <c r="D146" t="s">
        <v>109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135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135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135</v>
      </c>
      <c r="C149">
        <v>50</v>
      </c>
      <c r="D149" t="s">
        <v>105</v>
      </c>
      <c r="E149" t="s">
        <v>106</v>
      </c>
      <c r="F149">
        <v>1.4990000000000001</v>
      </c>
      <c r="G149" t="s">
        <v>14</v>
      </c>
    </row>
    <row r="150" spans="1:7" x14ac:dyDescent="0.25">
      <c r="A150">
        <v>12</v>
      </c>
      <c r="B150" t="s">
        <v>135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135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135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135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135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135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135</v>
      </c>
      <c r="C156">
        <v>120</v>
      </c>
      <c r="D156" t="s">
        <v>110</v>
      </c>
      <c r="E156" t="s">
        <v>13</v>
      </c>
      <c r="F156">
        <v>0.878</v>
      </c>
      <c r="G156" t="s">
        <v>14</v>
      </c>
    </row>
    <row r="157" spans="1:7" x14ac:dyDescent="0.25">
      <c r="A157">
        <v>12</v>
      </c>
      <c r="B157" t="s">
        <v>135</v>
      </c>
      <c r="C157">
        <v>130</v>
      </c>
      <c r="D157" t="s">
        <v>136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137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137</v>
      </c>
      <c r="C159">
        <v>20</v>
      </c>
      <c r="D159" t="s">
        <v>109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137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137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137</v>
      </c>
      <c r="C162">
        <v>50</v>
      </c>
      <c r="D162" t="s">
        <v>105</v>
      </c>
      <c r="E162" t="s">
        <v>106</v>
      </c>
      <c r="F162">
        <v>1.5880000000000001</v>
      </c>
      <c r="G162" t="s">
        <v>14</v>
      </c>
    </row>
    <row r="163" spans="1:7" x14ac:dyDescent="0.25">
      <c r="A163">
        <v>13</v>
      </c>
      <c r="B163" t="s">
        <v>137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137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137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137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137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137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137</v>
      </c>
      <c r="C169">
        <v>120</v>
      </c>
      <c r="D169" t="s">
        <v>110</v>
      </c>
      <c r="E169" t="s">
        <v>13</v>
      </c>
      <c r="F169">
        <v>0.91900000000000004</v>
      </c>
      <c r="G169" t="s">
        <v>14</v>
      </c>
    </row>
    <row r="170" spans="1:7" x14ac:dyDescent="0.25">
      <c r="A170">
        <v>13</v>
      </c>
      <c r="B170" t="s">
        <v>137</v>
      </c>
      <c r="C170">
        <v>130</v>
      </c>
      <c r="D170" t="s">
        <v>138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139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139</v>
      </c>
      <c r="C172">
        <v>20</v>
      </c>
      <c r="D172" t="s">
        <v>109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139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139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139</v>
      </c>
      <c r="C175">
        <v>50</v>
      </c>
      <c r="D175" t="s">
        <v>105</v>
      </c>
      <c r="E175" t="s">
        <v>106</v>
      </c>
      <c r="F175">
        <v>1.6779999999999999</v>
      </c>
      <c r="G175" t="s">
        <v>14</v>
      </c>
    </row>
    <row r="176" spans="1:7" x14ac:dyDescent="0.25">
      <c r="A176">
        <v>14</v>
      </c>
      <c r="B176" t="s">
        <v>139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139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139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139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139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139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139</v>
      </c>
      <c r="C182">
        <v>120</v>
      </c>
      <c r="D182" t="s">
        <v>110</v>
      </c>
      <c r="E182" t="s">
        <v>13</v>
      </c>
      <c r="F182">
        <v>0.95899999999999996</v>
      </c>
      <c r="G182" t="s">
        <v>14</v>
      </c>
    </row>
    <row r="183" spans="1:7" x14ac:dyDescent="0.25">
      <c r="A183">
        <v>14</v>
      </c>
      <c r="B183" t="s">
        <v>139</v>
      </c>
      <c r="C183">
        <v>130</v>
      </c>
      <c r="D183" t="s">
        <v>140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141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141</v>
      </c>
      <c r="C185">
        <v>20</v>
      </c>
      <c r="D185" t="s">
        <v>109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141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141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141</v>
      </c>
      <c r="C188">
        <v>50</v>
      </c>
      <c r="D188" t="s">
        <v>105</v>
      </c>
      <c r="E188" t="s">
        <v>106</v>
      </c>
      <c r="F188">
        <v>1.8580000000000001</v>
      </c>
      <c r="G188" t="s">
        <v>14</v>
      </c>
    </row>
    <row r="189" spans="1:7" x14ac:dyDescent="0.25">
      <c r="A189">
        <v>15</v>
      </c>
      <c r="B189" t="s">
        <v>141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141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141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141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141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141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141</v>
      </c>
      <c r="C195">
        <v>120</v>
      </c>
      <c r="D195" t="s">
        <v>110</v>
      </c>
      <c r="E195" t="s">
        <v>13</v>
      </c>
      <c r="F195">
        <v>1.04</v>
      </c>
      <c r="G195" t="s">
        <v>14</v>
      </c>
    </row>
    <row r="196" spans="1:7" x14ac:dyDescent="0.25">
      <c r="A196">
        <v>15</v>
      </c>
      <c r="B196" t="s">
        <v>141</v>
      </c>
      <c r="C196">
        <v>130</v>
      </c>
      <c r="D196" t="s">
        <v>142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143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143</v>
      </c>
      <c r="C198">
        <v>20</v>
      </c>
      <c r="D198" t="s">
        <v>109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143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143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143</v>
      </c>
      <c r="C201">
        <v>50</v>
      </c>
      <c r="D201" t="s">
        <v>105</v>
      </c>
      <c r="E201" t="s">
        <v>106</v>
      </c>
      <c r="F201">
        <v>2.0379999999999998</v>
      </c>
      <c r="G201" t="s">
        <v>14</v>
      </c>
    </row>
    <row r="202" spans="1:7" x14ac:dyDescent="0.25">
      <c r="A202">
        <v>16</v>
      </c>
      <c r="B202" t="s">
        <v>143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143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143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143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143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143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143</v>
      </c>
      <c r="C208">
        <v>120</v>
      </c>
      <c r="D208" t="s">
        <v>110</v>
      </c>
      <c r="E208" t="s">
        <v>13</v>
      </c>
      <c r="F208">
        <v>1.121</v>
      </c>
      <c r="G208" t="s">
        <v>14</v>
      </c>
    </row>
    <row r="209" spans="1:7" x14ac:dyDescent="0.25">
      <c r="A209">
        <v>16</v>
      </c>
      <c r="B209" t="s">
        <v>143</v>
      </c>
      <c r="C209">
        <v>130</v>
      </c>
      <c r="D209" t="s">
        <v>144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145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145</v>
      </c>
      <c r="C211">
        <v>20</v>
      </c>
      <c r="D211" t="s">
        <v>109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145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145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145</v>
      </c>
      <c r="C214">
        <v>50</v>
      </c>
      <c r="D214" t="s">
        <v>105</v>
      </c>
      <c r="E214" t="s">
        <v>106</v>
      </c>
      <c r="F214">
        <v>0.998</v>
      </c>
      <c r="G214" t="s">
        <v>14</v>
      </c>
    </row>
    <row r="215" spans="1:7" x14ac:dyDescent="0.25">
      <c r="A215">
        <v>17</v>
      </c>
      <c r="B215" t="s">
        <v>145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145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145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145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145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145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145</v>
      </c>
      <c r="C221">
        <v>120</v>
      </c>
      <c r="D221" t="s">
        <v>110</v>
      </c>
      <c r="E221" t="s">
        <v>13</v>
      </c>
      <c r="F221">
        <v>1.2430000000000001</v>
      </c>
      <c r="G221" t="s">
        <v>14</v>
      </c>
    </row>
    <row r="222" spans="1:7" x14ac:dyDescent="0.25">
      <c r="A222">
        <v>17</v>
      </c>
      <c r="B222" t="s">
        <v>145</v>
      </c>
      <c r="C222">
        <v>130</v>
      </c>
      <c r="D222" t="s">
        <v>146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147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147</v>
      </c>
      <c r="C224">
        <v>20</v>
      </c>
      <c r="D224" t="s">
        <v>109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147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147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147</v>
      </c>
      <c r="C227">
        <v>50</v>
      </c>
      <c r="D227" t="s">
        <v>105</v>
      </c>
      <c r="E227" t="s">
        <v>106</v>
      </c>
      <c r="F227">
        <v>1.1850000000000001</v>
      </c>
      <c r="G227" t="s">
        <v>14</v>
      </c>
    </row>
    <row r="228" spans="1:7" x14ac:dyDescent="0.25">
      <c r="A228">
        <v>18</v>
      </c>
      <c r="B228" t="s">
        <v>147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147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147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147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147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147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147</v>
      </c>
      <c r="C234">
        <v>120</v>
      </c>
      <c r="D234" t="s">
        <v>110</v>
      </c>
      <c r="E234" t="s">
        <v>13</v>
      </c>
      <c r="F234">
        <v>1.2430000000000001</v>
      </c>
      <c r="G234" t="s">
        <v>14</v>
      </c>
    </row>
    <row r="235" spans="1:7" x14ac:dyDescent="0.25">
      <c r="A235">
        <v>18</v>
      </c>
      <c r="B235" t="s">
        <v>147</v>
      </c>
      <c r="C235">
        <v>130</v>
      </c>
      <c r="D235" t="s">
        <v>148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149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149</v>
      </c>
      <c r="C237">
        <v>20</v>
      </c>
      <c r="D237" t="s">
        <v>109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149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149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149</v>
      </c>
      <c r="C240">
        <v>50</v>
      </c>
      <c r="D240" t="s">
        <v>105</v>
      </c>
      <c r="E240" t="s">
        <v>106</v>
      </c>
      <c r="F240">
        <v>1.3720000000000001</v>
      </c>
      <c r="G240" t="s">
        <v>14</v>
      </c>
    </row>
    <row r="241" spans="1:7" x14ac:dyDescent="0.25">
      <c r="A241">
        <v>19</v>
      </c>
      <c r="B241" t="s">
        <v>149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149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149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149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149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149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149</v>
      </c>
      <c r="C247">
        <v>120</v>
      </c>
      <c r="D247" t="s">
        <v>110</v>
      </c>
      <c r="E247" t="s">
        <v>13</v>
      </c>
      <c r="F247">
        <v>1.2430000000000001</v>
      </c>
      <c r="G247" t="s">
        <v>14</v>
      </c>
    </row>
    <row r="248" spans="1:7" x14ac:dyDescent="0.25">
      <c r="A248">
        <v>19</v>
      </c>
      <c r="B248" t="s">
        <v>149</v>
      </c>
      <c r="C248">
        <v>130</v>
      </c>
      <c r="D248" t="s">
        <v>150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151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151</v>
      </c>
      <c r="C250">
        <v>20</v>
      </c>
      <c r="D250" t="s">
        <v>109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151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151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151</v>
      </c>
      <c r="C253">
        <v>50</v>
      </c>
      <c r="D253" t="s">
        <v>105</v>
      </c>
      <c r="E253" t="s">
        <v>106</v>
      </c>
      <c r="F253">
        <v>1.5589999999999999</v>
      </c>
      <c r="G253" t="s">
        <v>14</v>
      </c>
    </row>
    <row r="254" spans="1:7" x14ac:dyDescent="0.25">
      <c r="A254">
        <v>20</v>
      </c>
      <c r="B254" t="s">
        <v>151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151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151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151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151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151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151</v>
      </c>
      <c r="C260">
        <v>120</v>
      </c>
      <c r="D260" t="s">
        <v>110</v>
      </c>
      <c r="E260" t="s">
        <v>13</v>
      </c>
      <c r="F260">
        <v>1.2430000000000001</v>
      </c>
      <c r="G260" t="s">
        <v>14</v>
      </c>
    </row>
    <row r="261" spans="1:7" x14ac:dyDescent="0.25">
      <c r="A261">
        <v>20</v>
      </c>
      <c r="B261" t="s">
        <v>151</v>
      </c>
      <c r="C261">
        <v>130</v>
      </c>
      <c r="D261" t="s">
        <v>152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153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153</v>
      </c>
      <c r="C263">
        <v>20</v>
      </c>
      <c r="D263" t="s">
        <v>109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153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153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153</v>
      </c>
      <c r="C266">
        <v>50</v>
      </c>
      <c r="D266" t="s">
        <v>105</v>
      </c>
      <c r="E266" t="s">
        <v>106</v>
      </c>
      <c r="F266">
        <v>1.653</v>
      </c>
      <c r="G266" t="s">
        <v>14</v>
      </c>
    </row>
    <row r="267" spans="1:7" x14ac:dyDescent="0.25">
      <c r="A267">
        <v>21</v>
      </c>
      <c r="B267" t="s">
        <v>153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153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153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153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153</v>
      </c>
      <c r="C273">
        <v>120</v>
      </c>
      <c r="D273" t="s">
        <v>110</v>
      </c>
      <c r="E273" t="s">
        <v>13</v>
      </c>
      <c r="F273">
        <v>1.2430000000000001</v>
      </c>
      <c r="G273" t="s">
        <v>14</v>
      </c>
    </row>
    <row r="274" spans="1:7" x14ac:dyDescent="0.25">
      <c r="A274">
        <v>21</v>
      </c>
      <c r="B274" t="s">
        <v>153</v>
      </c>
      <c r="C274">
        <v>130</v>
      </c>
      <c r="D274" t="s">
        <v>154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155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155</v>
      </c>
      <c r="C276">
        <v>20</v>
      </c>
      <c r="D276" t="s">
        <v>109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155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155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155</v>
      </c>
      <c r="C279">
        <v>50</v>
      </c>
      <c r="D279" t="s">
        <v>105</v>
      </c>
      <c r="E279" t="s">
        <v>106</v>
      </c>
      <c r="F279">
        <v>1.746</v>
      </c>
      <c r="G279" t="s">
        <v>14</v>
      </c>
    </row>
    <row r="280" spans="1:7" x14ac:dyDescent="0.25">
      <c r="A280">
        <v>22</v>
      </c>
      <c r="B280" t="s">
        <v>155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155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155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155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155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155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155</v>
      </c>
      <c r="C286">
        <v>120</v>
      </c>
      <c r="D286" t="s">
        <v>110</v>
      </c>
      <c r="E286" t="s">
        <v>13</v>
      </c>
      <c r="F286">
        <v>1.2430000000000001</v>
      </c>
      <c r="G286" t="s">
        <v>14</v>
      </c>
    </row>
    <row r="287" spans="1:7" x14ac:dyDescent="0.25">
      <c r="A287">
        <v>22</v>
      </c>
      <c r="B287" t="s">
        <v>155</v>
      </c>
      <c r="C287">
        <v>130</v>
      </c>
      <c r="D287" t="s">
        <v>156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157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157</v>
      </c>
      <c r="C289">
        <v>20</v>
      </c>
      <c r="D289" t="s">
        <v>109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157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157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157</v>
      </c>
      <c r="C292">
        <v>50</v>
      </c>
      <c r="D292" t="s">
        <v>105</v>
      </c>
      <c r="E292" t="s">
        <v>106</v>
      </c>
      <c r="F292">
        <v>1.9330000000000001</v>
      </c>
      <c r="G292" t="s">
        <v>14</v>
      </c>
    </row>
    <row r="293" spans="1:7" x14ac:dyDescent="0.25">
      <c r="A293">
        <v>23</v>
      </c>
      <c r="B293" t="s">
        <v>157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157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157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157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157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157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157</v>
      </c>
      <c r="C299">
        <v>120</v>
      </c>
      <c r="D299" t="s">
        <v>110</v>
      </c>
      <c r="E299" t="s">
        <v>13</v>
      </c>
      <c r="F299">
        <v>1.2430000000000001</v>
      </c>
      <c r="G299" t="s">
        <v>14</v>
      </c>
    </row>
    <row r="300" spans="1:7" x14ac:dyDescent="0.25">
      <c r="A300">
        <v>23</v>
      </c>
      <c r="B300" t="s">
        <v>157</v>
      </c>
      <c r="C300">
        <v>130</v>
      </c>
      <c r="D300" t="s">
        <v>158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159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159</v>
      </c>
      <c r="C302">
        <v>20</v>
      </c>
      <c r="D302" t="s">
        <v>109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159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159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159</v>
      </c>
      <c r="C305">
        <v>50</v>
      </c>
      <c r="D305" t="s">
        <v>105</v>
      </c>
      <c r="E305" t="s">
        <v>106</v>
      </c>
      <c r="F305">
        <v>2.121</v>
      </c>
      <c r="G305" t="s">
        <v>14</v>
      </c>
    </row>
    <row r="306" spans="1:7" x14ac:dyDescent="0.25">
      <c r="A306">
        <v>24</v>
      </c>
      <c r="B306" t="s">
        <v>159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159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159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159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159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159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159</v>
      </c>
      <c r="C312">
        <v>120</v>
      </c>
      <c r="D312" t="s">
        <v>110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24</v>
      </c>
      <c r="B313" t="s">
        <v>159</v>
      </c>
      <c r="C313">
        <v>130</v>
      </c>
      <c r="D313" t="s">
        <v>160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161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161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161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161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161</v>
      </c>
      <c r="C318">
        <v>50</v>
      </c>
      <c r="D318" t="s">
        <v>105</v>
      </c>
      <c r="E318" t="s">
        <v>106</v>
      </c>
      <c r="F318">
        <v>1.024</v>
      </c>
      <c r="G318" t="s">
        <v>14</v>
      </c>
    </row>
    <row r="319" spans="1:7" x14ac:dyDescent="0.25">
      <c r="A319">
        <v>25</v>
      </c>
      <c r="B319" t="s">
        <v>161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161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161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161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161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161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161</v>
      </c>
      <c r="C325">
        <v>120</v>
      </c>
      <c r="D325" t="s">
        <v>110</v>
      </c>
      <c r="E325" t="s">
        <v>13</v>
      </c>
      <c r="F325">
        <v>1.27</v>
      </c>
      <c r="G325" t="s">
        <v>14</v>
      </c>
    </row>
    <row r="326" spans="1:7" x14ac:dyDescent="0.25">
      <c r="A326">
        <v>25</v>
      </c>
      <c r="B326" t="s">
        <v>161</v>
      </c>
      <c r="C326">
        <v>130</v>
      </c>
      <c r="D326" t="s">
        <v>162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163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163</v>
      </c>
      <c r="C328">
        <v>20</v>
      </c>
      <c r="D328" t="s">
        <v>109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163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163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163</v>
      </c>
      <c r="C331">
        <v>50</v>
      </c>
      <c r="D331" t="s">
        <v>105</v>
      </c>
      <c r="E331" t="s">
        <v>106</v>
      </c>
      <c r="F331">
        <v>1.216</v>
      </c>
      <c r="G331" t="s">
        <v>14</v>
      </c>
    </row>
    <row r="332" spans="1:7" x14ac:dyDescent="0.25">
      <c r="A332">
        <v>26</v>
      </c>
      <c r="B332" t="s">
        <v>163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163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163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163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163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163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163</v>
      </c>
      <c r="C338">
        <v>120</v>
      </c>
      <c r="D338" t="s">
        <v>110</v>
      </c>
      <c r="E338" t="s">
        <v>13</v>
      </c>
      <c r="F338">
        <v>1.27</v>
      </c>
      <c r="G338" t="s">
        <v>14</v>
      </c>
    </row>
    <row r="339" spans="1:7" x14ac:dyDescent="0.25">
      <c r="A339">
        <v>26</v>
      </c>
      <c r="B339" t="s">
        <v>163</v>
      </c>
      <c r="C339">
        <v>130</v>
      </c>
      <c r="D339" t="s">
        <v>164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165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165</v>
      </c>
      <c r="C341">
        <v>20</v>
      </c>
      <c r="D341" t="s">
        <v>109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165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165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165</v>
      </c>
      <c r="C344">
        <v>50</v>
      </c>
      <c r="D344" t="s">
        <v>105</v>
      </c>
      <c r="E344" t="s">
        <v>106</v>
      </c>
      <c r="F344">
        <v>1.4079999999999999</v>
      </c>
      <c r="G344" t="s">
        <v>14</v>
      </c>
    </row>
    <row r="345" spans="1:7" x14ac:dyDescent="0.25">
      <c r="A345">
        <v>27</v>
      </c>
      <c r="B345" t="s">
        <v>165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165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165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165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165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165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165</v>
      </c>
      <c r="C351">
        <v>120</v>
      </c>
      <c r="D351" t="s">
        <v>110</v>
      </c>
      <c r="E351" t="s">
        <v>13</v>
      </c>
      <c r="F351">
        <v>1.27</v>
      </c>
      <c r="G351" t="s">
        <v>14</v>
      </c>
    </row>
    <row r="352" spans="1:7" x14ac:dyDescent="0.25">
      <c r="A352">
        <v>27</v>
      </c>
      <c r="B352" t="s">
        <v>165</v>
      </c>
      <c r="C352">
        <v>130</v>
      </c>
      <c r="D352" t="s">
        <v>166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167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167</v>
      </c>
      <c r="C354">
        <v>20</v>
      </c>
      <c r="D354" t="s">
        <v>109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167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167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167</v>
      </c>
      <c r="C357">
        <v>50</v>
      </c>
      <c r="D357" t="s">
        <v>105</v>
      </c>
      <c r="E357" t="s">
        <v>106</v>
      </c>
      <c r="F357">
        <v>1.6</v>
      </c>
      <c r="G357" t="s">
        <v>14</v>
      </c>
    </row>
    <row r="358" spans="1:7" x14ac:dyDescent="0.25">
      <c r="A358">
        <v>28</v>
      </c>
      <c r="B358" t="s">
        <v>167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167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167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167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167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167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167</v>
      </c>
      <c r="C364">
        <v>120</v>
      </c>
      <c r="D364" t="s">
        <v>110</v>
      </c>
      <c r="E364" t="s">
        <v>13</v>
      </c>
      <c r="F364">
        <v>1.27</v>
      </c>
      <c r="G364" t="s">
        <v>14</v>
      </c>
    </row>
    <row r="365" spans="1:7" x14ac:dyDescent="0.25">
      <c r="A365">
        <v>28</v>
      </c>
      <c r="B365" t="s">
        <v>167</v>
      </c>
      <c r="C365">
        <v>130</v>
      </c>
      <c r="D365" t="s">
        <v>168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169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169</v>
      </c>
      <c r="C367">
        <v>20</v>
      </c>
      <c r="D367" t="s">
        <v>109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169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169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169</v>
      </c>
      <c r="C370">
        <v>50</v>
      </c>
      <c r="D370" t="s">
        <v>105</v>
      </c>
      <c r="E370" t="s">
        <v>106</v>
      </c>
      <c r="F370">
        <v>1.696</v>
      </c>
      <c r="G370" t="s">
        <v>14</v>
      </c>
    </row>
    <row r="371" spans="1:7" x14ac:dyDescent="0.25">
      <c r="A371">
        <v>29</v>
      </c>
      <c r="B371" t="s">
        <v>169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169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169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169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169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169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169</v>
      </c>
      <c r="C377">
        <v>120</v>
      </c>
      <c r="D377" t="s">
        <v>110</v>
      </c>
      <c r="E377" t="s">
        <v>13</v>
      </c>
      <c r="F377">
        <v>1.27</v>
      </c>
      <c r="G377" t="s">
        <v>14</v>
      </c>
    </row>
    <row r="378" spans="1:7" x14ac:dyDescent="0.25">
      <c r="A378">
        <v>29</v>
      </c>
      <c r="B378" t="s">
        <v>169</v>
      </c>
      <c r="C378">
        <v>130</v>
      </c>
      <c r="D378" t="s">
        <v>170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171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171</v>
      </c>
      <c r="C380">
        <v>20</v>
      </c>
      <c r="D380" t="s">
        <v>109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171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171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171</v>
      </c>
      <c r="C383">
        <v>50</v>
      </c>
      <c r="D383" t="s">
        <v>105</v>
      </c>
      <c r="E383" t="s">
        <v>106</v>
      </c>
      <c r="F383">
        <v>1.792</v>
      </c>
      <c r="G383" t="s">
        <v>14</v>
      </c>
    </row>
    <row r="384" spans="1:7" x14ac:dyDescent="0.25">
      <c r="A384">
        <v>30</v>
      </c>
      <c r="B384" t="s">
        <v>171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171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171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171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171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171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171</v>
      </c>
      <c r="C390">
        <v>120</v>
      </c>
      <c r="D390" t="s">
        <v>110</v>
      </c>
      <c r="E390" t="s">
        <v>13</v>
      </c>
      <c r="F390">
        <v>1.27</v>
      </c>
      <c r="G390" t="s">
        <v>14</v>
      </c>
    </row>
    <row r="391" spans="1:7" x14ac:dyDescent="0.25">
      <c r="A391">
        <v>30</v>
      </c>
      <c r="B391" t="s">
        <v>171</v>
      </c>
      <c r="C391">
        <v>130</v>
      </c>
      <c r="D391" t="s">
        <v>172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173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173</v>
      </c>
      <c r="C393">
        <v>20</v>
      </c>
      <c r="D393" t="s">
        <v>109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173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173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173</v>
      </c>
      <c r="C396">
        <v>50</v>
      </c>
      <c r="D396" t="s">
        <v>105</v>
      </c>
      <c r="E396" t="s">
        <v>106</v>
      </c>
      <c r="F396">
        <v>1.984</v>
      </c>
      <c r="G396" t="s">
        <v>14</v>
      </c>
    </row>
    <row r="397" spans="1:7" x14ac:dyDescent="0.25">
      <c r="A397">
        <v>31</v>
      </c>
      <c r="B397" t="s">
        <v>173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173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173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173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173</v>
      </c>
      <c r="C403">
        <v>120</v>
      </c>
      <c r="D403" t="s">
        <v>110</v>
      </c>
      <c r="E403" t="s">
        <v>13</v>
      </c>
      <c r="F403">
        <v>1.27</v>
      </c>
      <c r="G403" t="s">
        <v>14</v>
      </c>
    </row>
    <row r="404" spans="1:7" x14ac:dyDescent="0.25">
      <c r="A404">
        <v>31</v>
      </c>
      <c r="B404" t="s">
        <v>173</v>
      </c>
      <c r="C404">
        <v>130</v>
      </c>
      <c r="D404" t="s">
        <v>174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175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175</v>
      </c>
      <c r="C406">
        <v>20</v>
      </c>
      <c r="D406" t="s">
        <v>109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175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175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175</v>
      </c>
      <c r="C409">
        <v>50</v>
      </c>
      <c r="D409" t="s">
        <v>105</v>
      </c>
      <c r="E409" t="s">
        <v>106</v>
      </c>
      <c r="F409">
        <v>2.1760000000000002</v>
      </c>
      <c r="G409" t="s">
        <v>14</v>
      </c>
    </row>
    <row r="410" spans="1:7" x14ac:dyDescent="0.25">
      <c r="A410">
        <v>32</v>
      </c>
      <c r="B410" t="s">
        <v>175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175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175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175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175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175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175</v>
      </c>
      <c r="C416">
        <v>120</v>
      </c>
      <c r="D416" t="s">
        <v>110</v>
      </c>
      <c r="E416" t="s">
        <v>13</v>
      </c>
      <c r="F416">
        <v>1.27</v>
      </c>
      <c r="G416" t="s">
        <v>14</v>
      </c>
    </row>
    <row r="417" spans="1:7" x14ac:dyDescent="0.25">
      <c r="A417">
        <v>32</v>
      </c>
      <c r="B417" t="s">
        <v>175</v>
      </c>
      <c r="C417">
        <v>130</v>
      </c>
      <c r="D417" t="s">
        <v>176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177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177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177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177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177</v>
      </c>
      <c r="C422">
        <v>50</v>
      </c>
      <c r="D422" t="s">
        <v>105</v>
      </c>
      <c r="E422" t="s">
        <v>106</v>
      </c>
      <c r="F422">
        <v>1.0760000000000001</v>
      </c>
      <c r="G422" t="s">
        <v>14</v>
      </c>
    </row>
    <row r="423" spans="1:7" x14ac:dyDescent="0.25">
      <c r="A423">
        <v>33</v>
      </c>
      <c r="B423" t="s">
        <v>177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177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177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177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177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177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177</v>
      </c>
      <c r="C429">
        <v>120</v>
      </c>
      <c r="D429" t="s">
        <v>110</v>
      </c>
      <c r="E429" t="s">
        <v>13</v>
      </c>
      <c r="F429">
        <v>1.3240000000000001</v>
      </c>
      <c r="G429" t="s">
        <v>14</v>
      </c>
    </row>
    <row r="430" spans="1:7" x14ac:dyDescent="0.25">
      <c r="A430">
        <v>33</v>
      </c>
      <c r="B430" t="s">
        <v>177</v>
      </c>
      <c r="C430">
        <v>130</v>
      </c>
      <c r="D430" t="s">
        <v>178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179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179</v>
      </c>
      <c r="C432">
        <v>20</v>
      </c>
      <c r="D432" t="s">
        <v>109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179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179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179</v>
      </c>
      <c r="C435">
        <v>50</v>
      </c>
      <c r="D435" t="s">
        <v>105</v>
      </c>
      <c r="E435" t="s">
        <v>106</v>
      </c>
      <c r="F435">
        <v>1.2769999999999999</v>
      </c>
      <c r="G435" t="s">
        <v>14</v>
      </c>
    </row>
    <row r="436" spans="1:7" x14ac:dyDescent="0.25">
      <c r="A436">
        <v>34</v>
      </c>
      <c r="B436" t="s">
        <v>179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179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179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179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179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179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179</v>
      </c>
      <c r="C442">
        <v>120</v>
      </c>
      <c r="D442" t="s">
        <v>110</v>
      </c>
      <c r="E442" t="s">
        <v>13</v>
      </c>
      <c r="F442">
        <v>1.3240000000000001</v>
      </c>
      <c r="G442" t="s">
        <v>14</v>
      </c>
    </row>
    <row r="443" spans="1:7" x14ac:dyDescent="0.25">
      <c r="A443">
        <v>34</v>
      </c>
      <c r="B443" t="s">
        <v>179</v>
      </c>
      <c r="C443">
        <v>130</v>
      </c>
      <c r="D443" t="s">
        <v>180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181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181</v>
      </c>
      <c r="C445">
        <v>20</v>
      </c>
      <c r="D445" t="s">
        <v>109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181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181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181</v>
      </c>
      <c r="C448">
        <v>50</v>
      </c>
      <c r="D448" t="s">
        <v>105</v>
      </c>
      <c r="E448" t="s">
        <v>106</v>
      </c>
      <c r="F448">
        <v>1.4790000000000001</v>
      </c>
      <c r="G448" t="s">
        <v>14</v>
      </c>
    </row>
    <row r="449" spans="1:7" x14ac:dyDescent="0.25">
      <c r="A449">
        <v>35</v>
      </c>
      <c r="B449" t="s">
        <v>181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181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181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181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181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181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181</v>
      </c>
      <c r="C455">
        <v>120</v>
      </c>
      <c r="D455" t="s">
        <v>110</v>
      </c>
      <c r="E455" t="s">
        <v>13</v>
      </c>
      <c r="F455">
        <v>1.3240000000000001</v>
      </c>
      <c r="G455" t="s">
        <v>14</v>
      </c>
    </row>
    <row r="456" spans="1:7" x14ac:dyDescent="0.25">
      <c r="A456">
        <v>35</v>
      </c>
      <c r="B456" t="s">
        <v>181</v>
      </c>
      <c r="C456">
        <v>130</v>
      </c>
      <c r="D456" t="s">
        <v>182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183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183</v>
      </c>
      <c r="C458">
        <v>20</v>
      </c>
      <c r="D458" t="s">
        <v>109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183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183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183</v>
      </c>
      <c r="C461">
        <v>50</v>
      </c>
      <c r="D461" t="s">
        <v>105</v>
      </c>
      <c r="E461" t="s">
        <v>106</v>
      </c>
      <c r="F461">
        <v>1.681</v>
      </c>
      <c r="G461" t="s">
        <v>14</v>
      </c>
    </row>
    <row r="462" spans="1:7" x14ac:dyDescent="0.25">
      <c r="A462">
        <v>36</v>
      </c>
      <c r="B462" t="s">
        <v>183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183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183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183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183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183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183</v>
      </c>
      <c r="C468">
        <v>120</v>
      </c>
      <c r="D468" t="s">
        <v>110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36</v>
      </c>
      <c r="B469" t="s">
        <v>183</v>
      </c>
      <c r="C469">
        <v>130</v>
      </c>
      <c r="D469" t="s">
        <v>184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185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185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185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185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185</v>
      </c>
      <c r="C474">
        <v>50</v>
      </c>
      <c r="D474" t="s">
        <v>105</v>
      </c>
      <c r="E474" t="s">
        <v>106</v>
      </c>
      <c r="F474">
        <v>1.782</v>
      </c>
      <c r="G474" t="s">
        <v>14</v>
      </c>
    </row>
    <row r="475" spans="1:7" x14ac:dyDescent="0.25">
      <c r="A475">
        <v>37</v>
      </c>
      <c r="B475" t="s">
        <v>185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185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185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185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185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185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185</v>
      </c>
      <c r="C481">
        <v>120</v>
      </c>
      <c r="D481" t="s">
        <v>110</v>
      </c>
      <c r="E481" t="s">
        <v>13</v>
      </c>
      <c r="F481">
        <v>1.3240000000000001</v>
      </c>
      <c r="G481" t="s">
        <v>14</v>
      </c>
    </row>
    <row r="482" spans="1:7" x14ac:dyDescent="0.25">
      <c r="A482">
        <v>37</v>
      </c>
      <c r="B482" t="s">
        <v>185</v>
      </c>
      <c r="C482">
        <v>130</v>
      </c>
      <c r="D482" t="s">
        <v>186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187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187</v>
      </c>
      <c r="C484">
        <v>20</v>
      </c>
      <c r="D484" t="s">
        <v>109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187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187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187</v>
      </c>
      <c r="C487">
        <v>50</v>
      </c>
      <c r="D487" t="s">
        <v>105</v>
      </c>
      <c r="E487" t="s">
        <v>106</v>
      </c>
      <c r="F487">
        <v>1.8819999999999999</v>
      </c>
      <c r="G487" t="s">
        <v>14</v>
      </c>
    </row>
    <row r="488" spans="1:7" x14ac:dyDescent="0.25">
      <c r="A488">
        <v>38</v>
      </c>
      <c r="B488" t="s">
        <v>187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187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187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187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187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187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187</v>
      </c>
      <c r="C494">
        <v>120</v>
      </c>
      <c r="D494" t="s">
        <v>110</v>
      </c>
      <c r="E494" t="s">
        <v>13</v>
      </c>
      <c r="F494">
        <v>1.3240000000000001</v>
      </c>
      <c r="G494" t="s">
        <v>14</v>
      </c>
    </row>
    <row r="495" spans="1:7" x14ac:dyDescent="0.25">
      <c r="A495">
        <v>38</v>
      </c>
      <c r="B495" t="s">
        <v>187</v>
      </c>
      <c r="C495">
        <v>130</v>
      </c>
      <c r="D495" t="s">
        <v>188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189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189</v>
      </c>
      <c r="C497">
        <v>20</v>
      </c>
      <c r="D497" t="s">
        <v>109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189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189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189</v>
      </c>
      <c r="C500">
        <v>50</v>
      </c>
      <c r="D500" t="s">
        <v>105</v>
      </c>
      <c r="E500" t="s">
        <v>106</v>
      </c>
      <c r="F500">
        <v>2.0840000000000001</v>
      </c>
      <c r="G500" t="s">
        <v>14</v>
      </c>
    </row>
    <row r="501" spans="1:7" x14ac:dyDescent="0.25">
      <c r="A501">
        <v>39</v>
      </c>
      <c r="B501" t="s">
        <v>189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189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189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189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189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189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189</v>
      </c>
      <c r="C507">
        <v>120</v>
      </c>
      <c r="D507" t="s">
        <v>110</v>
      </c>
      <c r="E507" t="s">
        <v>13</v>
      </c>
      <c r="F507">
        <v>1.3240000000000001</v>
      </c>
      <c r="G507" t="s">
        <v>14</v>
      </c>
    </row>
    <row r="508" spans="1:7" x14ac:dyDescent="0.25">
      <c r="A508">
        <v>39</v>
      </c>
      <c r="B508" t="s">
        <v>189</v>
      </c>
      <c r="C508">
        <v>130</v>
      </c>
      <c r="D508" t="s">
        <v>190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191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191</v>
      </c>
      <c r="C510">
        <v>20</v>
      </c>
      <c r="D510" t="s">
        <v>109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191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191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191</v>
      </c>
      <c r="C513">
        <v>50</v>
      </c>
      <c r="D513" t="s">
        <v>105</v>
      </c>
      <c r="E513" t="s">
        <v>106</v>
      </c>
      <c r="F513">
        <v>2.286</v>
      </c>
      <c r="G513" t="s">
        <v>14</v>
      </c>
    </row>
    <row r="514" spans="1:7" x14ac:dyDescent="0.25">
      <c r="A514">
        <v>40</v>
      </c>
      <c r="B514" t="s">
        <v>191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191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191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191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191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191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191</v>
      </c>
      <c r="C520">
        <v>120</v>
      </c>
      <c r="D520" t="s">
        <v>110</v>
      </c>
      <c r="E520" t="s">
        <v>13</v>
      </c>
      <c r="F520">
        <v>1.3240000000000001</v>
      </c>
      <c r="G520" t="s">
        <v>14</v>
      </c>
    </row>
    <row r="521" spans="1:7" x14ac:dyDescent="0.25">
      <c r="A521">
        <v>40</v>
      </c>
      <c r="B521" t="s">
        <v>191</v>
      </c>
      <c r="C521">
        <v>130</v>
      </c>
      <c r="D521" t="s">
        <v>192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193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193</v>
      </c>
      <c r="C523">
        <v>20</v>
      </c>
      <c r="D523" t="s">
        <v>109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193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193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193</v>
      </c>
      <c r="C526">
        <v>50</v>
      </c>
      <c r="D526" t="s">
        <v>105</v>
      </c>
      <c r="E526" t="s">
        <v>106</v>
      </c>
      <c r="F526">
        <v>0.83399999999999996</v>
      </c>
      <c r="G526" t="s">
        <v>14</v>
      </c>
    </row>
    <row r="527" spans="1:7" x14ac:dyDescent="0.25">
      <c r="A527">
        <v>41</v>
      </c>
      <c r="B527" t="s">
        <v>193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193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193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193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193</v>
      </c>
      <c r="C533">
        <v>120</v>
      </c>
      <c r="D533" t="s">
        <v>110</v>
      </c>
      <c r="E533" t="s">
        <v>13</v>
      </c>
      <c r="F533">
        <v>0.59499999999999997</v>
      </c>
      <c r="G533" t="s">
        <v>14</v>
      </c>
    </row>
    <row r="534" spans="1:7" x14ac:dyDescent="0.25">
      <c r="A534">
        <v>41</v>
      </c>
      <c r="B534" t="s">
        <v>193</v>
      </c>
      <c r="C534">
        <v>130</v>
      </c>
      <c r="D534" t="s">
        <v>194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195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195</v>
      </c>
      <c r="C536">
        <v>20</v>
      </c>
      <c r="D536" t="s">
        <v>109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195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195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195</v>
      </c>
      <c r="C539">
        <v>50</v>
      </c>
      <c r="D539" t="s">
        <v>105</v>
      </c>
      <c r="E539" t="s">
        <v>106</v>
      </c>
      <c r="F539">
        <v>1.006</v>
      </c>
      <c r="G539" t="s">
        <v>14</v>
      </c>
    </row>
    <row r="540" spans="1:7" x14ac:dyDescent="0.25">
      <c r="A540">
        <v>42</v>
      </c>
      <c r="B540" t="s">
        <v>195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195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195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195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195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195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195</v>
      </c>
      <c r="C546">
        <v>120</v>
      </c>
      <c r="D546" t="s">
        <v>110</v>
      </c>
      <c r="E546" t="s">
        <v>13</v>
      </c>
      <c r="F546">
        <v>0.67600000000000005</v>
      </c>
      <c r="G546" t="s">
        <v>14</v>
      </c>
    </row>
    <row r="547" spans="1:7" x14ac:dyDescent="0.25">
      <c r="A547">
        <v>42</v>
      </c>
      <c r="B547" t="s">
        <v>195</v>
      </c>
      <c r="C547">
        <v>130</v>
      </c>
      <c r="D547" t="s">
        <v>196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197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197</v>
      </c>
      <c r="C549">
        <v>20</v>
      </c>
      <c r="D549" t="s">
        <v>109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197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197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197</v>
      </c>
      <c r="C552">
        <v>50</v>
      </c>
      <c r="D552" t="s">
        <v>105</v>
      </c>
      <c r="E552" t="s">
        <v>106</v>
      </c>
      <c r="F552">
        <v>1.179</v>
      </c>
      <c r="G552" t="s">
        <v>14</v>
      </c>
    </row>
    <row r="553" spans="1:7" x14ac:dyDescent="0.25">
      <c r="A553">
        <v>43</v>
      </c>
      <c r="B553" t="s">
        <v>197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197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197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197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197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197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197</v>
      </c>
      <c r="C559">
        <v>120</v>
      </c>
      <c r="D559" t="s">
        <v>110</v>
      </c>
      <c r="E559" t="s">
        <v>13</v>
      </c>
      <c r="F559">
        <v>0.75700000000000001</v>
      </c>
      <c r="G559" t="s">
        <v>14</v>
      </c>
    </row>
    <row r="560" spans="1:7" x14ac:dyDescent="0.25">
      <c r="A560">
        <v>43</v>
      </c>
      <c r="B560" t="s">
        <v>197</v>
      </c>
      <c r="C560">
        <v>130</v>
      </c>
      <c r="D560" t="s">
        <v>198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199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199</v>
      </c>
      <c r="C562">
        <v>20</v>
      </c>
      <c r="D562" t="s">
        <v>109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199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199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199</v>
      </c>
      <c r="C565">
        <v>50</v>
      </c>
      <c r="D565" t="s">
        <v>105</v>
      </c>
      <c r="E565" t="s">
        <v>106</v>
      </c>
      <c r="F565">
        <v>1.351</v>
      </c>
      <c r="G565" t="s">
        <v>14</v>
      </c>
    </row>
    <row r="566" spans="1:7" x14ac:dyDescent="0.25">
      <c r="A566">
        <v>44</v>
      </c>
      <c r="B566" t="s">
        <v>199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199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199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199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199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199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199</v>
      </c>
      <c r="C572">
        <v>120</v>
      </c>
      <c r="D572" t="s">
        <v>110</v>
      </c>
      <c r="E572" t="s">
        <v>13</v>
      </c>
      <c r="F572">
        <v>0.83799999999999997</v>
      </c>
      <c r="G572" t="s">
        <v>14</v>
      </c>
    </row>
    <row r="573" spans="1:7" x14ac:dyDescent="0.25">
      <c r="A573">
        <v>44</v>
      </c>
      <c r="B573" t="s">
        <v>199</v>
      </c>
      <c r="C573">
        <v>130</v>
      </c>
      <c r="D573" t="s">
        <v>200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201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201</v>
      </c>
      <c r="C575">
        <v>20</v>
      </c>
      <c r="D575" t="s">
        <v>109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201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201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201</v>
      </c>
      <c r="C578">
        <v>50</v>
      </c>
      <c r="D578" t="s">
        <v>105</v>
      </c>
      <c r="E578" t="s">
        <v>106</v>
      </c>
      <c r="F578">
        <v>1.6970000000000001</v>
      </c>
      <c r="G578" t="s">
        <v>14</v>
      </c>
    </row>
    <row r="579" spans="1:7" x14ac:dyDescent="0.25">
      <c r="A579">
        <v>45</v>
      </c>
      <c r="B579" t="s">
        <v>201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201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201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201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201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201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201</v>
      </c>
      <c r="C585">
        <v>120</v>
      </c>
      <c r="D585" t="s">
        <v>110</v>
      </c>
      <c r="E585" t="s">
        <v>13</v>
      </c>
      <c r="F585">
        <v>1</v>
      </c>
      <c r="G585" t="s">
        <v>14</v>
      </c>
    </row>
    <row r="586" spans="1:7" x14ac:dyDescent="0.25">
      <c r="A586">
        <v>45</v>
      </c>
      <c r="B586" t="s">
        <v>201</v>
      </c>
      <c r="C586">
        <v>130</v>
      </c>
      <c r="D586" t="s">
        <v>202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203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203</v>
      </c>
      <c r="C588">
        <v>20</v>
      </c>
      <c r="D588" t="s">
        <v>109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203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203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203</v>
      </c>
      <c r="C591">
        <v>50</v>
      </c>
      <c r="D591" t="s">
        <v>105</v>
      </c>
      <c r="E591" t="s">
        <v>106</v>
      </c>
      <c r="F591">
        <v>1.869</v>
      </c>
      <c r="G591" t="s">
        <v>14</v>
      </c>
    </row>
    <row r="592" spans="1:7" x14ac:dyDescent="0.25">
      <c r="A592">
        <v>46</v>
      </c>
      <c r="B592" t="s">
        <v>203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203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203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203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203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203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203</v>
      </c>
      <c r="C598">
        <v>120</v>
      </c>
      <c r="D598" t="s">
        <v>110</v>
      </c>
      <c r="E598" t="s">
        <v>13</v>
      </c>
      <c r="F598">
        <v>1.081</v>
      </c>
      <c r="G598" t="s">
        <v>14</v>
      </c>
    </row>
    <row r="599" spans="1:7" x14ac:dyDescent="0.25">
      <c r="A599">
        <v>46</v>
      </c>
      <c r="B599" t="s">
        <v>203</v>
      </c>
      <c r="C599">
        <v>130</v>
      </c>
      <c r="D599" t="s">
        <v>204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205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205</v>
      </c>
      <c r="C601">
        <v>20</v>
      </c>
      <c r="D601" t="s">
        <v>109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205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205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205</v>
      </c>
      <c r="C604">
        <v>50</v>
      </c>
      <c r="D604" t="s">
        <v>105</v>
      </c>
      <c r="E604" t="s">
        <v>106</v>
      </c>
      <c r="F604">
        <v>2.0419999999999998</v>
      </c>
      <c r="G604" t="s">
        <v>14</v>
      </c>
    </row>
    <row r="605" spans="1:7" x14ac:dyDescent="0.25">
      <c r="A605">
        <v>47</v>
      </c>
      <c r="B605" t="s">
        <v>205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205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205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205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205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205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205</v>
      </c>
      <c r="C611">
        <v>120</v>
      </c>
      <c r="D611" t="s">
        <v>110</v>
      </c>
      <c r="E611" t="s">
        <v>13</v>
      </c>
      <c r="F611">
        <v>1.1619999999999999</v>
      </c>
      <c r="G611" t="s">
        <v>14</v>
      </c>
    </row>
    <row r="612" spans="1:7" x14ac:dyDescent="0.25">
      <c r="A612">
        <v>47</v>
      </c>
      <c r="B612" t="s">
        <v>205</v>
      </c>
      <c r="C612">
        <v>130</v>
      </c>
      <c r="D612" t="s">
        <v>206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207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207</v>
      </c>
      <c r="C614">
        <v>20</v>
      </c>
      <c r="D614" t="s">
        <v>109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207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207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207</v>
      </c>
      <c r="C617">
        <v>50</v>
      </c>
      <c r="D617" t="s">
        <v>105</v>
      </c>
      <c r="E617" t="s">
        <v>106</v>
      </c>
      <c r="F617">
        <v>0.86899999999999999</v>
      </c>
      <c r="G617" t="s">
        <v>14</v>
      </c>
    </row>
    <row r="618" spans="1:7" x14ac:dyDescent="0.25">
      <c r="A618">
        <v>48</v>
      </c>
      <c r="B618" t="s">
        <v>207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207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207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207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207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207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207</v>
      </c>
      <c r="C624">
        <v>120</v>
      </c>
      <c r="D624" t="s">
        <v>110</v>
      </c>
      <c r="E624" t="s">
        <v>13</v>
      </c>
      <c r="F624">
        <v>0.59499999999999997</v>
      </c>
      <c r="G624" t="s">
        <v>14</v>
      </c>
    </row>
    <row r="625" spans="1:7" x14ac:dyDescent="0.25">
      <c r="A625">
        <v>48</v>
      </c>
      <c r="B625" t="s">
        <v>207</v>
      </c>
      <c r="C625">
        <v>130</v>
      </c>
      <c r="D625" t="s">
        <v>208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209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209</v>
      </c>
      <c r="C627">
        <v>20</v>
      </c>
      <c r="D627" t="s">
        <v>109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209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209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209</v>
      </c>
      <c r="C630">
        <v>50</v>
      </c>
      <c r="D630" t="s">
        <v>105</v>
      </c>
      <c r="E630" t="s">
        <v>106</v>
      </c>
      <c r="F630">
        <v>1.0489999999999999</v>
      </c>
      <c r="G630" t="s">
        <v>14</v>
      </c>
    </row>
    <row r="631" spans="1:7" x14ac:dyDescent="0.25">
      <c r="A631">
        <v>49</v>
      </c>
      <c r="B631" t="s">
        <v>209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209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209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209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209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209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209</v>
      </c>
      <c r="C637">
        <v>120</v>
      </c>
      <c r="D637" t="s">
        <v>110</v>
      </c>
      <c r="E637" t="s">
        <v>13</v>
      </c>
      <c r="F637">
        <v>0.67600000000000005</v>
      </c>
      <c r="G637" t="s">
        <v>14</v>
      </c>
    </row>
    <row r="638" spans="1:7" x14ac:dyDescent="0.25">
      <c r="A638">
        <v>49</v>
      </c>
      <c r="B638" t="s">
        <v>209</v>
      </c>
      <c r="C638">
        <v>130</v>
      </c>
      <c r="D638" t="s">
        <v>210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211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211</v>
      </c>
      <c r="C640">
        <v>20</v>
      </c>
      <c r="D640" t="s">
        <v>109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211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211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211</v>
      </c>
      <c r="C643">
        <v>50</v>
      </c>
      <c r="D643" t="s">
        <v>105</v>
      </c>
      <c r="E643" t="s">
        <v>106</v>
      </c>
      <c r="F643">
        <v>1.2290000000000001</v>
      </c>
      <c r="G643" t="s">
        <v>14</v>
      </c>
    </row>
    <row r="644" spans="1:7" x14ac:dyDescent="0.25">
      <c r="A644">
        <v>50</v>
      </c>
      <c r="B644" t="s">
        <v>211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211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211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211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211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211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211</v>
      </c>
      <c r="C650">
        <v>120</v>
      </c>
      <c r="D650" t="s">
        <v>110</v>
      </c>
      <c r="E650" t="s">
        <v>13</v>
      </c>
      <c r="F650">
        <v>0.75700000000000001</v>
      </c>
      <c r="G650" t="s">
        <v>14</v>
      </c>
    </row>
    <row r="651" spans="1:7" x14ac:dyDescent="0.25">
      <c r="A651">
        <v>50</v>
      </c>
      <c r="B651" t="s">
        <v>211</v>
      </c>
      <c r="C651">
        <v>130</v>
      </c>
      <c r="D651" t="s">
        <v>212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213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213</v>
      </c>
      <c r="C653">
        <v>20</v>
      </c>
      <c r="D653" t="s">
        <v>109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213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213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213</v>
      </c>
      <c r="C656">
        <v>50</v>
      </c>
      <c r="D656" t="s">
        <v>105</v>
      </c>
      <c r="E656" t="s">
        <v>106</v>
      </c>
      <c r="F656">
        <v>1.409</v>
      </c>
      <c r="G656" t="s">
        <v>14</v>
      </c>
    </row>
    <row r="657" spans="1:7" x14ac:dyDescent="0.25">
      <c r="A657">
        <v>51</v>
      </c>
      <c r="B657" t="s">
        <v>213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213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213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213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213</v>
      </c>
      <c r="C663">
        <v>120</v>
      </c>
      <c r="D663" t="s">
        <v>110</v>
      </c>
      <c r="E663" t="s">
        <v>13</v>
      </c>
      <c r="F663">
        <v>0.83799999999999997</v>
      </c>
      <c r="G663" t="s">
        <v>14</v>
      </c>
    </row>
    <row r="664" spans="1:7" x14ac:dyDescent="0.25">
      <c r="A664">
        <v>51</v>
      </c>
      <c r="B664" t="s">
        <v>213</v>
      </c>
      <c r="C664">
        <v>130</v>
      </c>
      <c r="D664" t="s">
        <v>214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215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215</v>
      </c>
      <c r="C666">
        <v>20</v>
      </c>
      <c r="D666" t="s">
        <v>109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215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215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215</v>
      </c>
      <c r="C669">
        <v>50</v>
      </c>
      <c r="D669" t="s">
        <v>105</v>
      </c>
      <c r="E669" t="s">
        <v>106</v>
      </c>
      <c r="F669">
        <v>1.768</v>
      </c>
      <c r="G669" t="s">
        <v>14</v>
      </c>
    </row>
    <row r="670" spans="1:7" x14ac:dyDescent="0.25">
      <c r="A670">
        <v>52</v>
      </c>
      <c r="B670" t="s">
        <v>215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215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215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215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215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215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215</v>
      </c>
      <c r="C676">
        <v>120</v>
      </c>
      <c r="D676" t="s">
        <v>110</v>
      </c>
      <c r="E676" t="s">
        <v>13</v>
      </c>
      <c r="F676">
        <v>1</v>
      </c>
      <c r="G676" t="s">
        <v>14</v>
      </c>
    </row>
    <row r="677" spans="1:7" x14ac:dyDescent="0.25">
      <c r="A677">
        <v>52</v>
      </c>
      <c r="B677" t="s">
        <v>215</v>
      </c>
      <c r="C677">
        <v>130</v>
      </c>
      <c r="D677" t="s">
        <v>216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217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217</v>
      </c>
      <c r="C679">
        <v>20</v>
      </c>
      <c r="D679" t="s">
        <v>109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217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217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217</v>
      </c>
      <c r="C682">
        <v>50</v>
      </c>
      <c r="D682" t="s">
        <v>105</v>
      </c>
      <c r="E682" t="s">
        <v>106</v>
      </c>
      <c r="F682">
        <v>1.948</v>
      </c>
      <c r="G682" t="s">
        <v>14</v>
      </c>
    </row>
    <row r="683" spans="1:7" x14ac:dyDescent="0.25">
      <c r="A683">
        <v>53</v>
      </c>
      <c r="B683" t="s">
        <v>217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217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217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217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217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217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217</v>
      </c>
      <c r="C689">
        <v>120</v>
      </c>
      <c r="D689" t="s">
        <v>110</v>
      </c>
      <c r="E689" t="s">
        <v>13</v>
      </c>
      <c r="F689">
        <v>1.081</v>
      </c>
      <c r="G689" t="s">
        <v>14</v>
      </c>
    </row>
    <row r="690" spans="1:7" x14ac:dyDescent="0.25">
      <c r="A690">
        <v>53</v>
      </c>
      <c r="B690" t="s">
        <v>217</v>
      </c>
      <c r="C690">
        <v>130</v>
      </c>
      <c r="D690" t="s">
        <v>218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219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219</v>
      </c>
      <c r="C692">
        <v>20</v>
      </c>
      <c r="D692" t="s">
        <v>109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219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219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219</v>
      </c>
      <c r="C695">
        <v>50</v>
      </c>
      <c r="D695" t="s">
        <v>105</v>
      </c>
      <c r="E695" t="s">
        <v>106</v>
      </c>
      <c r="F695">
        <v>2.1280000000000001</v>
      </c>
      <c r="G695" t="s">
        <v>14</v>
      </c>
    </row>
    <row r="696" spans="1:7" x14ac:dyDescent="0.25">
      <c r="A696">
        <v>54</v>
      </c>
      <c r="B696" t="s">
        <v>219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219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219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219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219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219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219</v>
      </c>
      <c r="C702">
        <v>120</v>
      </c>
      <c r="D702" t="s">
        <v>110</v>
      </c>
      <c r="E702" t="s">
        <v>13</v>
      </c>
      <c r="F702">
        <v>1.1619999999999999</v>
      </c>
      <c r="G702" t="s">
        <v>14</v>
      </c>
    </row>
    <row r="703" spans="1:7" x14ac:dyDescent="0.25">
      <c r="A703">
        <v>54</v>
      </c>
      <c r="B703" t="s">
        <v>219</v>
      </c>
      <c r="C703">
        <v>130</v>
      </c>
      <c r="D703" t="s">
        <v>220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221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221</v>
      </c>
      <c r="C705">
        <v>20</v>
      </c>
      <c r="D705" t="s">
        <v>109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221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221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221</v>
      </c>
      <c r="C708">
        <v>50</v>
      </c>
      <c r="D708" t="s">
        <v>105</v>
      </c>
      <c r="E708" t="s">
        <v>106</v>
      </c>
      <c r="F708">
        <v>0.90400000000000003</v>
      </c>
      <c r="G708" t="s">
        <v>14</v>
      </c>
    </row>
    <row r="709" spans="1:7" x14ac:dyDescent="0.25">
      <c r="A709">
        <v>55</v>
      </c>
      <c r="B709" t="s">
        <v>221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221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221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221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221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221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221</v>
      </c>
      <c r="C715">
        <v>120</v>
      </c>
      <c r="D715" t="s">
        <v>110</v>
      </c>
      <c r="E715" t="s">
        <v>13</v>
      </c>
      <c r="F715">
        <v>1.2430000000000001</v>
      </c>
      <c r="G715" t="s">
        <v>14</v>
      </c>
    </row>
    <row r="716" spans="1:7" x14ac:dyDescent="0.25">
      <c r="A716">
        <v>55</v>
      </c>
      <c r="B716" t="s">
        <v>221</v>
      </c>
      <c r="C716">
        <v>130</v>
      </c>
      <c r="D716" t="s">
        <v>222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223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223</v>
      </c>
      <c r="C718">
        <v>20</v>
      </c>
      <c r="D718" t="s">
        <v>109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223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223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223</v>
      </c>
      <c r="C721">
        <v>50</v>
      </c>
      <c r="D721" t="s">
        <v>105</v>
      </c>
      <c r="E721" t="s">
        <v>106</v>
      </c>
      <c r="F721">
        <v>1.091</v>
      </c>
      <c r="G721" t="s">
        <v>14</v>
      </c>
    </row>
    <row r="722" spans="1:7" x14ac:dyDescent="0.25">
      <c r="A722">
        <v>56</v>
      </c>
      <c r="B722" t="s">
        <v>223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223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223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223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223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223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223</v>
      </c>
      <c r="C728">
        <v>120</v>
      </c>
      <c r="D728" t="s">
        <v>110</v>
      </c>
      <c r="E728" t="s">
        <v>13</v>
      </c>
      <c r="F728">
        <v>1.2430000000000001</v>
      </c>
      <c r="G728" t="s">
        <v>14</v>
      </c>
    </row>
    <row r="729" spans="1:7" x14ac:dyDescent="0.25">
      <c r="A729">
        <v>56</v>
      </c>
      <c r="B729" t="s">
        <v>223</v>
      </c>
      <c r="C729">
        <v>130</v>
      </c>
      <c r="D729" t="s">
        <v>224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225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225</v>
      </c>
      <c r="C731">
        <v>20</v>
      </c>
      <c r="D731" t="s">
        <v>109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225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225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225</v>
      </c>
      <c r="C734">
        <v>50</v>
      </c>
      <c r="D734" t="s">
        <v>105</v>
      </c>
      <c r="E734" t="s">
        <v>106</v>
      </c>
      <c r="F734">
        <v>1.2789999999999999</v>
      </c>
      <c r="G734" t="s">
        <v>14</v>
      </c>
    </row>
    <row r="735" spans="1:7" x14ac:dyDescent="0.25">
      <c r="A735">
        <v>57</v>
      </c>
      <c r="B735" t="s">
        <v>225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225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225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225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225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225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225</v>
      </c>
      <c r="C741">
        <v>120</v>
      </c>
      <c r="D741" t="s">
        <v>110</v>
      </c>
      <c r="E741" t="s">
        <v>13</v>
      </c>
      <c r="F741">
        <v>1.2430000000000001</v>
      </c>
      <c r="G741" t="s">
        <v>14</v>
      </c>
    </row>
    <row r="742" spans="1:7" x14ac:dyDescent="0.25">
      <c r="A742">
        <v>57</v>
      </c>
      <c r="B742" t="s">
        <v>225</v>
      </c>
      <c r="C742">
        <v>130</v>
      </c>
      <c r="D742" t="s">
        <v>226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227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227</v>
      </c>
      <c r="C744">
        <v>20</v>
      </c>
      <c r="D744" t="s">
        <v>109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227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227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227</v>
      </c>
      <c r="C747">
        <v>50</v>
      </c>
      <c r="D747" t="s">
        <v>105</v>
      </c>
      <c r="E747" t="s">
        <v>106</v>
      </c>
      <c r="F747">
        <v>1.466</v>
      </c>
      <c r="G747" t="s">
        <v>14</v>
      </c>
    </row>
    <row r="748" spans="1:7" x14ac:dyDescent="0.25">
      <c r="A748">
        <v>58</v>
      </c>
      <c r="B748" t="s">
        <v>227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227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227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227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227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227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227</v>
      </c>
      <c r="C754">
        <v>120</v>
      </c>
      <c r="D754" t="s">
        <v>110</v>
      </c>
      <c r="E754" t="s">
        <v>13</v>
      </c>
      <c r="F754">
        <v>1.2430000000000001</v>
      </c>
      <c r="G754" t="s">
        <v>14</v>
      </c>
    </row>
    <row r="755" spans="1:7" x14ac:dyDescent="0.25">
      <c r="A755">
        <v>58</v>
      </c>
      <c r="B755" t="s">
        <v>227</v>
      </c>
      <c r="C755">
        <v>130</v>
      </c>
      <c r="D755" t="s">
        <v>228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229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229</v>
      </c>
      <c r="C757">
        <v>20</v>
      </c>
      <c r="D757" t="s">
        <v>109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229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229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229</v>
      </c>
      <c r="C760">
        <v>50</v>
      </c>
      <c r="D760" t="s">
        <v>105</v>
      </c>
      <c r="E760" t="s">
        <v>106</v>
      </c>
      <c r="F760">
        <v>1.84</v>
      </c>
      <c r="G760" t="s">
        <v>14</v>
      </c>
    </row>
    <row r="761" spans="1:7" x14ac:dyDescent="0.25">
      <c r="A761">
        <v>59</v>
      </c>
      <c r="B761" t="s">
        <v>229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229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229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229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229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229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229</v>
      </c>
      <c r="C767">
        <v>120</v>
      </c>
      <c r="D767" t="s">
        <v>110</v>
      </c>
      <c r="E767" t="s">
        <v>13</v>
      </c>
      <c r="F767">
        <v>1.2430000000000001</v>
      </c>
      <c r="G767" t="s">
        <v>14</v>
      </c>
    </row>
    <row r="768" spans="1:7" x14ac:dyDescent="0.25">
      <c r="A768">
        <v>59</v>
      </c>
      <c r="B768" t="s">
        <v>229</v>
      </c>
      <c r="C768">
        <v>130</v>
      </c>
      <c r="D768" t="s">
        <v>230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231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231</v>
      </c>
      <c r="C770">
        <v>20</v>
      </c>
      <c r="D770" t="s">
        <v>109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231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231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231</v>
      </c>
      <c r="C773">
        <v>50</v>
      </c>
      <c r="D773" t="s">
        <v>105</v>
      </c>
      <c r="E773" t="s">
        <v>106</v>
      </c>
      <c r="F773">
        <v>2.0270000000000001</v>
      </c>
      <c r="G773" t="s">
        <v>14</v>
      </c>
    </row>
    <row r="774" spans="1:7" x14ac:dyDescent="0.25">
      <c r="A774">
        <v>60</v>
      </c>
      <c r="B774" t="s">
        <v>231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231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231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231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231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231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231</v>
      </c>
      <c r="C780">
        <v>120</v>
      </c>
      <c r="D780" t="s">
        <v>110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60</v>
      </c>
      <c r="B781" t="s">
        <v>231</v>
      </c>
      <c r="C781">
        <v>130</v>
      </c>
      <c r="D781" t="s">
        <v>232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233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233</v>
      </c>
      <c r="C783">
        <v>20</v>
      </c>
      <c r="D783" t="s">
        <v>109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233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233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233</v>
      </c>
      <c r="C786">
        <v>50</v>
      </c>
      <c r="D786" t="s">
        <v>105</v>
      </c>
      <c r="E786" t="s">
        <v>106</v>
      </c>
      <c r="F786">
        <v>2.214</v>
      </c>
      <c r="G786" t="s">
        <v>14</v>
      </c>
    </row>
    <row r="787" spans="1:7" x14ac:dyDescent="0.25">
      <c r="A787">
        <v>61</v>
      </c>
      <c r="B787" t="s">
        <v>233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233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233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233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233</v>
      </c>
      <c r="C793">
        <v>120</v>
      </c>
      <c r="D793" t="s">
        <v>110</v>
      </c>
      <c r="E793" t="s">
        <v>13</v>
      </c>
      <c r="F793">
        <v>1.2430000000000001</v>
      </c>
      <c r="G793" t="s">
        <v>14</v>
      </c>
    </row>
    <row r="794" spans="1:7" x14ac:dyDescent="0.25">
      <c r="A794">
        <v>61</v>
      </c>
      <c r="B794" t="s">
        <v>233</v>
      </c>
      <c r="C794">
        <v>130</v>
      </c>
      <c r="D794" t="s">
        <v>234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235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235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235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235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235</v>
      </c>
      <c r="C799">
        <v>50</v>
      </c>
      <c r="D799" t="s">
        <v>105</v>
      </c>
      <c r="E799" t="s">
        <v>106</v>
      </c>
      <c r="F799">
        <v>0.92800000000000005</v>
      </c>
      <c r="G799" t="s">
        <v>14</v>
      </c>
    </row>
    <row r="800" spans="1:7" x14ac:dyDescent="0.25">
      <c r="A800">
        <v>62</v>
      </c>
      <c r="B800" t="s">
        <v>235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235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235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235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235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235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235</v>
      </c>
      <c r="C806">
        <v>120</v>
      </c>
      <c r="D806" t="s">
        <v>110</v>
      </c>
      <c r="E806" t="s">
        <v>13</v>
      </c>
      <c r="F806">
        <v>1.27</v>
      </c>
      <c r="G806" t="s">
        <v>14</v>
      </c>
    </row>
    <row r="807" spans="1:7" x14ac:dyDescent="0.25">
      <c r="A807">
        <v>62</v>
      </c>
      <c r="B807" t="s">
        <v>235</v>
      </c>
      <c r="C807">
        <v>130</v>
      </c>
      <c r="D807" t="s">
        <v>236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237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237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237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237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237</v>
      </c>
      <c r="C812">
        <v>50</v>
      </c>
      <c r="D812" t="s">
        <v>105</v>
      </c>
      <c r="E812" t="s">
        <v>106</v>
      </c>
      <c r="F812">
        <v>1.1200000000000001</v>
      </c>
      <c r="G812" t="s">
        <v>14</v>
      </c>
    </row>
    <row r="813" spans="1:7" x14ac:dyDescent="0.25">
      <c r="A813">
        <v>63</v>
      </c>
      <c r="B813" t="s">
        <v>237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237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237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237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237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237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237</v>
      </c>
      <c r="C819">
        <v>120</v>
      </c>
      <c r="D819" t="s">
        <v>110</v>
      </c>
      <c r="E819" t="s">
        <v>13</v>
      </c>
      <c r="F819">
        <v>1.27</v>
      </c>
      <c r="G819" t="s">
        <v>14</v>
      </c>
    </row>
    <row r="820" spans="1:7" x14ac:dyDescent="0.25">
      <c r="A820">
        <v>63</v>
      </c>
      <c r="B820" t="s">
        <v>237</v>
      </c>
      <c r="C820">
        <v>130</v>
      </c>
      <c r="D820" t="s">
        <v>238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239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239</v>
      </c>
      <c r="C822">
        <v>20</v>
      </c>
      <c r="D822" t="s">
        <v>109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239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239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239</v>
      </c>
      <c r="C825">
        <v>50</v>
      </c>
      <c r="D825" t="s">
        <v>105</v>
      </c>
      <c r="E825" t="s">
        <v>106</v>
      </c>
      <c r="F825">
        <v>1.3120000000000001</v>
      </c>
      <c r="G825" t="s">
        <v>14</v>
      </c>
    </row>
    <row r="826" spans="1:7" x14ac:dyDescent="0.25">
      <c r="A826">
        <v>64</v>
      </c>
      <c r="B826" t="s">
        <v>239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239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239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239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239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239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239</v>
      </c>
      <c r="C832">
        <v>120</v>
      </c>
      <c r="D832" t="s">
        <v>110</v>
      </c>
      <c r="E832" t="s">
        <v>13</v>
      </c>
      <c r="F832">
        <v>1.27</v>
      </c>
      <c r="G832" t="s">
        <v>14</v>
      </c>
    </row>
    <row r="833" spans="1:7" x14ac:dyDescent="0.25">
      <c r="A833">
        <v>64</v>
      </c>
      <c r="B833" t="s">
        <v>239</v>
      </c>
      <c r="C833">
        <v>130</v>
      </c>
      <c r="D833" t="s">
        <v>240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241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241</v>
      </c>
      <c r="C835">
        <v>20</v>
      </c>
      <c r="D835" t="s">
        <v>109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241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241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241</v>
      </c>
      <c r="C838">
        <v>50</v>
      </c>
      <c r="D838" t="s">
        <v>105</v>
      </c>
      <c r="E838" t="s">
        <v>106</v>
      </c>
      <c r="F838">
        <v>1.504</v>
      </c>
      <c r="G838" t="s">
        <v>14</v>
      </c>
    </row>
    <row r="839" spans="1:7" x14ac:dyDescent="0.25">
      <c r="A839">
        <v>65</v>
      </c>
      <c r="B839" t="s">
        <v>241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241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241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241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241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241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241</v>
      </c>
      <c r="C845">
        <v>120</v>
      </c>
      <c r="D845" t="s">
        <v>110</v>
      </c>
      <c r="E845" t="s">
        <v>13</v>
      </c>
      <c r="F845">
        <v>1.27</v>
      </c>
      <c r="G845" t="s">
        <v>14</v>
      </c>
    </row>
    <row r="846" spans="1:7" x14ac:dyDescent="0.25">
      <c r="A846">
        <v>65</v>
      </c>
      <c r="B846" t="s">
        <v>241</v>
      </c>
      <c r="C846">
        <v>130</v>
      </c>
      <c r="D846" t="s">
        <v>242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243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243</v>
      </c>
      <c r="C848">
        <v>20</v>
      </c>
      <c r="D848" t="s">
        <v>109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243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243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243</v>
      </c>
      <c r="C851">
        <v>50</v>
      </c>
      <c r="D851" t="s">
        <v>105</v>
      </c>
      <c r="E851" t="s">
        <v>106</v>
      </c>
      <c r="F851">
        <v>1.8879999999999999</v>
      </c>
      <c r="G851" t="s">
        <v>14</v>
      </c>
    </row>
    <row r="852" spans="1:7" x14ac:dyDescent="0.25">
      <c r="A852">
        <v>66</v>
      </c>
      <c r="B852" t="s">
        <v>243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243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243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243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243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243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243</v>
      </c>
      <c r="C858">
        <v>120</v>
      </c>
      <c r="D858" t="s">
        <v>110</v>
      </c>
      <c r="E858" t="s">
        <v>13</v>
      </c>
      <c r="F858">
        <v>1.27</v>
      </c>
      <c r="G858" t="s">
        <v>14</v>
      </c>
    </row>
    <row r="859" spans="1:7" x14ac:dyDescent="0.25">
      <c r="A859">
        <v>66</v>
      </c>
      <c r="B859" t="s">
        <v>243</v>
      </c>
      <c r="C859">
        <v>130</v>
      </c>
      <c r="D859" t="s">
        <v>244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245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245</v>
      </c>
      <c r="C861">
        <v>20</v>
      </c>
      <c r="D861" t="s">
        <v>109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245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245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245</v>
      </c>
      <c r="C864">
        <v>50</v>
      </c>
      <c r="D864" t="s">
        <v>105</v>
      </c>
      <c r="E864" t="s">
        <v>106</v>
      </c>
      <c r="F864">
        <v>2.08</v>
      </c>
      <c r="G864" t="s">
        <v>14</v>
      </c>
    </row>
    <row r="865" spans="1:7" x14ac:dyDescent="0.25">
      <c r="A865">
        <v>67</v>
      </c>
      <c r="B865" t="s">
        <v>245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245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245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245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245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245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245</v>
      </c>
      <c r="C871">
        <v>120</v>
      </c>
      <c r="D871" t="s">
        <v>110</v>
      </c>
      <c r="E871" t="s">
        <v>13</v>
      </c>
      <c r="F871">
        <v>1.27</v>
      </c>
      <c r="G871" t="s">
        <v>14</v>
      </c>
    </row>
    <row r="872" spans="1:7" x14ac:dyDescent="0.25">
      <c r="A872">
        <v>67</v>
      </c>
      <c r="B872" t="s">
        <v>245</v>
      </c>
      <c r="C872">
        <v>130</v>
      </c>
      <c r="D872" t="s">
        <v>246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247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247</v>
      </c>
      <c r="C874">
        <v>20</v>
      </c>
      <c r="D874" t="s">
        <v>109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247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247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247</v>
      </c>
      <c r="C877">
        <v>50</v>
      </c>
      <c r="D877" t="s">
        <v>105</v>
      </c>
      <c r="E877" t="s">
        <v>106</v>
      </c>
      <c r="F877">
        <v>2.2719999999999998</v>
      </c>
      <c r="G877" t="s">
        <v>14</v>
      </c>
    </row>
    <row r="878" spans="1:7" x14ac:dyDescent="0.25">
      <c r="A878">
        <v>68</v>
      </c>
      <c r="B878" t="s">
        <v>247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247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247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247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247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247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247</v>
      </c>
      <c r="C884">
        <v>120</v>
      </c>
      <c r="D884" t="s">
        <v>110</v>
      </c>
      <c r="E884" t="s">
        <v>13</v>
      </c>
      <c r="F884">
        <v>1.27</v>
      </c>
      <c r="G884" t="s">
        <v>14</v>
      </c>
    </row>
    <row r="885" spans="1:7" x14ac:dyDescent="0.25">
      <c r="A885">
        <v>68</v>
      </c>
      <c r="B885" t="s">
        <v>247</v>
      </c>
      <c r="C885">
        <v>130</v>
      </c>
      <c r="D885" t="s">
        <v>248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249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249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249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249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249</v>
      </c>
      <c r="C890">
        <v>50</v>
      </c>
      <c r="D890" t="s">
        <v>105</v>
      </c>
      <c r="E890" t="s">
        <v>106</v>
      </c>
      <c r="F890">
        <v>0.97499999999999998</v>
      </c>
      <c r="G890" t="s">
        <v>14</v>
      </c>
    </row>
    <row r="891" spans="1:7" x14ac:dyDescent="0.25">
      <c r="A891">
        <v>69</v>
      </c>
      <c r="B891" t="s">
        <v>249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249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249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249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249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249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249</v>
      </c>
      <c r="C897">
        <v>120</v>
      </c>
      <c r="D897" t="s">
        <v>110</v>
      </c>
      <c r="E897" t="s">
        <v>13</v>
      </c>
      <c r="F897">
        <v>1.3240000000000001</v>
      </c>
      <c r="G897" t="s">
        <v>14</v>
      </c>
    </row>
    <row r="898" spans="1:7" x14ac:dyDescent="0.25">
      <c r="A898">
        <v>69</v>
      </c>
      <c r="B898" t="s">
        <v>249</v>
      </c>
      <c r="C898">
        <v>130</v>
      </c>
      <c r="D898" t="s">
        <v>250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251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251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251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251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251</v>
      </c>
      <c r="C903">
        <v>50</v>
      </c>
      <c r="D903" t="s">
        <v>105</v>
      </c>
      <c r="E903" t="s">
        <v>106</v>
      </c>
      <c r="F903">
        <v>1.177</v>
      </c>
      <c r="G903" t="s">
        <v>14</v>
      </c>
    </row>
    <row r="904" spans="1:7" x14ac:dyDescent="0.25">
      <c r="A904">
        <v>70</v>
      </c>
      <c r="B904" t="s">
        <v>251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251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251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251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251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251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251</v>
      </c>
      <c r="C910">
        <v>120</v>
      </c>
      <c r="D910" t="s">
        <v>110</v>
      </c>
      <c r="E910" t="s">
        <v>13</v>
      </c>
      <c r="F910">
        <v>1.3240000000000001</v>
      </c>
      <c r="G910" t="s">
        <v>14</v>
      </c>
    </row>
    <row r="911" spans="1:7" x14ac:dyDescent="0.25">
      <c r="A911">
        <v>70</v>
      </c>
      <c r="B911" t="s">
        <v>251</v>
      </c>
      <c r="C911">
        <v>130</v>
      </c>
      <c r="D911" t="s">
        <v>252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253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253</v>
      </c>
      <c r="C913">
        <v>20</v>
      </c>
      <c r="D913" t="s">
        <v>109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253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253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253</v>
      </c>
      <c r="C916">
        <v>50</v>
      </c>
      <c r="D916" t="s">
        <v>105</v>
      </c>
      <c r="E916" t="s">
        <v>106</v>
      </c>
      <c r="F916">
        <v>1.3779999999999999</v>
      </c>
      <c r="G916" t="s">
        <v>14</v>
      </c>
    </row>
    <row r="917" spans="1:7" x14ac:dyDescent="0.25">
      <c r="A917">
        <v>71</v>
      </c>
      <c r="B917" t="s">
        <v>253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253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253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253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253</v>
      </c>
      <c r="C923">
        <v>120</v>
      </c>
      <c r="D923" t="s">
        <v>110</v>
      </c>
      <c r="E923" t="s">
        <v>13</v>
      </c>
      <c r="F923">
        <v>1.3240000000000001</v>
      </c>
      <c r="G923" t="s">
        <v>14</v>
      </c>
    </row>
    <row r="924" spans="1:7" x14ac:dyDescent="0.25">
      <c r="A924">
        <v>71</v>
      </c>
      <c r="B924" t="s">
        <v>253</v>
      </c>
      <c r="C924">
        <v>130</v>
      </c>
      <c r="D924" t="s">
        <v>254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255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255</v>
      </c>
      <c r="C926">
        <v>20</v>
      </c>
      <c r="D926" t="s">
        <v>109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255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255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255</v>
      </c>
      <c r="C929">
        <v>50</v>
      </c>
      <c r="D929" t="s">
        <v>105</v>
      </c>
      <c r="E929" t="s">
        <v>106</v>
      </c>
      <c r="F929">
        <v>1.58</v>
      </c>
      <c r="G929" t="s">
        <v>14</v>
      </c>
    </row>
    <row r="930" spans="1:7" x14ac:dyDescent="0.25">
      <c r="A930">
        <v>72</v>
      </c>
      <c r="B930" t="s">
        <v>255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255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255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255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255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255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255</v>
      </c>
      <c r="C936">
        <v>120</v>
      </c>
      <c r="D936" t="s">
        <v>110</v>
      </c>
      <c r="E936" t="s">
        <v>13</v>
      </c>
      <c r="F936">
        <v>1.3240000000000001</v>
      </c>
      <c r="G936" t="s">
        <v>14</v>
      </c>
    </row>
    <row r="937" spans="1:7" x14ac:dyDescent="0.25">
      <c r="A937">
        <v>72</v>
      </c>
      <c r="B937" t="s">
        <v>255</v>
      </c>
      <c r="C937">
        <v>130</v>
      </c>
      <c r="D937" t="s">
        <v>256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257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257</v>
      </c>
      <c r="C939">
        <v>20</v>
      </c>
      <c r="D939" t="s">
        <v>109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257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257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257</v>
      </c>
      <c r="C942">
        <v>50</v>
      </c>
      <c r="D942" t="s">
        <v>105</v>
      </c>
      <c r="E942" t="s">
        <v>106</v>
      </c>
      <c r="F942">
        <v>1.9830000000000001</v>
      </c>
      <c r="G942" t="s">
        <v>14</v>
      </c>
    </row>
    <row r="943" spans="1:7" x14ac:dyDescent="0.25">
      <c r="A943">
        <v>73</v>
      </c>
      <c r="B943" t="s">
        <v>257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257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257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257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257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257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257</v>
      </c>
      <c r="C949">
        <v>120</v>
      </c>
      <c r="D949" t="s">
        <v>110</v>
      </c>
      <c r="E949" t="s">
        <v>13</v>
      </c>
      <c r="F949">
        <v>1.3240000000000001</v>
      </c>
      <c r="G949" t="s">
        <v>14</v>
      </c>
    </row>
    <row r="950" spans="1:7" x14ac:dyDescent="0.25">
      <c r="A950">
        <v>73</v>
      </c>
      <c r="B950" t="s">
        <v>257</v>
      </c>
      <c r="C950">
        <v>130</v>
      </c>
      <c r="D950" t="s">
        <v>258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259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259</v>
      </c>
      <c r="C952">
        <v>20</v>
      </c>
      <c r="D952" t="s">
        <v>109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259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259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259</v>
      </c>
      <c r="C955">
        <v>50</v>
      </c>
      <c r="D955" t="s">
        <v>105</v>
      </c>
      <c r="E955" t="s">
        <v>106</v>
      </c>
      <c r="F955">
        <v>2.1850000000000001</v>
      </c>
      <c r="G955" t="s">
        <v>14</v>
      </c>
    </row>
    <row r="956" spans="1:7" x14ac:dyDescent="0.25">
      <c r="A956">
        <v>74</v>
      </c>
      <c r="B956" t="s">
        <v>259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259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259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259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259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259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259</v>
      </c>
      <c r="C962">
        <v>120</v>
      </c>
      <c r="D962" t="s">
        <v>110</v>
      </c>
      <c r="E962" t="s">
        <v>13</v>
      </c>
      <c r="F962">
        <v>1.3240000000000001</v>
      </c>
      <c r="G962" t="s">
        <v>14</v>
      </c>
    </row>
    <row r="963" spans="1:7" x14ac:dyDescent="0.25">
      <c r="A963">
        <v>74</v>
      </c>
      <c r="B963" t="s">
        <v>259</v>
      </c>
      <c r="C963">
        <v>130</v>
      </c>
      <c r="D963" t="s">
        <v>260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261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261</v>
      </c>
      <c r="C965">
        <v>20</v>
      </c>
      <c r="D965" t="s">
        <v>109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261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261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261</v>
      </c>
      <c r="C968">
        <v>50</v>
      </c>
      <c r="D968" t="s">
        <v>105</v>
      </c>
      <c r="E968" t="s">
        <v>106</v>
      </c>
      <c r="F968">
        <v>2.387</v>
      </c>
      <c r="G968" t="s">
        <v>14</v>
      </c>
    </row>
    <row r="969" spans="1:7" x14ac:dyDescent="0.25">
      <c r="A969">
        <v>75</v>
      </c>
      <c r="B969" t="s">
        <v>261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261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261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261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261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261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261</v>
      </c>
      <c r="C975">
        <v>120</v>
      </c>
      <c r="D975" t="s">
        <v>110</v>
      </c>
      <c r="E975" t="s">
        <v>13</v>
      </c>
      <c r="F975">
        <v>1.3240000000000001</v>
      </c>
      <c r="G975" t="s">
        <v>14</v>
      </c>
    </row>
    <row r="976" spans="1:7" x14ac:dyDescent="0.25">
      <c r="A976">
        <v>75</v>
      </c>
      <c r="B976" t="s">
        <v>261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29</v>
      </c>
      <c r="C2" s="43" t="s">
        <v>30</v>
      </c>
      <c r="D2" s="43" t="s">
        <v>31</v>
      </c>
      <c r="E2" s="43" t="s">
        <v>30</v>
      </c>
      <c r="F2" s="43" t="s">
        <v>31</v>
      </c>
      <c r="G2" s="43" t="s">
        <v>29</v>
      </c>
      <c r="H2" s="43" t="s">
        <v>31</v>
      </c>
      <c r="I2" s="43" t="s">
        <v>31</v>
      </c>
      <c r="J2" s="43" t="s">
        <v>31</v>
      </c>
      <c r="K2" s="43" t="s">
        <v>31</v>
      </c>
      <c r="L2" s="43" t="s">
        <v>29</v>
      </c>
      <c r="M2" s="44" t="s">
        <v>32</v>
      </c>
      <c r="N2" s="27" t="s">
        <v>32</v>
      </c>
      <c r="O2" s="44" t="s">
        <v>32</v>
      </c>
      <c r="P2" s="44" t="s">
        <v>33</v>
      </c>
      <c r="Q2" s="44" t="s">
        <v>32</v>
      </c>
      <c r="R2" s="44" t="s">
        <v>33</v>
      </c>
      <c r="S2" s="44" t="s">
        <v>32</v>
      </c>
      <c r="T2" s="44" t="s">
        <v>32</v>
      </c>
      <c r="U2" s="44" t="s">
        <v>33</v>
      </c>
      <c r="V2" s="44" t="s">
        <v>32</v>
      </c>
      <c r="W2" s="44" t="s">
        <v>32</v>
      </c>
      <c r="X2" s="44" t="s">
        <v>32</v>
      </c>
      <c r="Y2" s="44" t="s">
        <v>33</v>
      </c>
      <c r="Z2" s="44" t="s">
        <v>34</v>
      </c>
      <c r="AA2" s="44" t="s">
        <v>32</v>
      </c>
      <c r="AB2" s="44" t="s">
        <v>32</v>
      </c>
      <c r="AC2" s="44" t="s">
        <v>32</v>
      </c>
      <c r="AD2" s="44" t="s">
        <v>32</v>
      </c>
      <c r="AE2" s="44" t="s">
        <v>32</v>
      </c>
      <c r="AF2" s="44" t="s">
        <v>32</v>
      </c>
      <c r="AG2" s="44" t="s">
        <v>34</v>
      </c>
      <c r="AH2" s="44" t="s">
        <v>34</v>
      </c>
      <c r="AI2" s="44" t="s">
        <v>34</v>
      </c>
      <c r="AJ2" s="44" t="s">
        <v>32</v>
      </c>
      <c r="AK2" s="44" t="s">
        <v>32</v>
      </c>
      <c r="AL2" s="44" t="s">
        <v>32</v>
      </c>
    </row>
    <row r="3" spans="1:38" x14ac:dyDescent="0.25">
      <c r="A3" s="45"/>
      <c r="B3" s="43" t="s">
        <v>35</v>
      </c>
      <c r="C3" s="43" t="s">
        <v>36</v>
      </c>
      <c r="D3" s="43" t="s">
        <v>37</v>
      </c>
      <c r="E3" s="43" t="s">
        <v>36</v>
      </c>
      <c r="F3" s="43" t="s">
        <v>38</v>
      </c>
      <c r="G3" s="43" t="s">
        <v>39</v>
      </c>
      <c r="H3" s="43" t="s">
        <v>40</v>
      </c>
      <c r="I3" s="43" t="s">
        <v>41</v>
      </c>
      <c r="J3" s="43" t="s">
        <v>36</v>
      </c>
      <c r="K3" s="43" t="s">
        <v>36</v>
      </c>
      <c r="L3" s="43" t="s">
        <v>42</v>
      </c>
      <c r="M3" s="44" t="s">
        <v>43</v>
      </c>
      <c r="N3" s="27" t="s">
        <v>36</v>
      </c>
      <c r="O3" s="44" t="s">
        <v>38</v>
      </c>
      <c r="P3" s="44" t="s">
        <v>44</v>
      </c>
      <c r="Q3" s="44" t="s">
        <v>41</v>
      </c>
      <c r="R3" s="44" t="s">
        <v>40</v>
      </c>
      <c r="S3" s="44" t="s">
        <v>45</v>
      </c>
      <c r="T3" s="44" t="s">
        <v>43</v>
      </c>
      <c r="U3" s="44" t="s">
        <v>46</v>
      </c>
      <c r="V3" s="44" t="s">
        <v>40</v>
      </c>
      <c r="W3" s="44" t="s">
        <v>41</v>
      </c>
      <c r="X3" s="44" t="s">
        <v>41</v>
      </c>
      <c r="Y3" s="44" t="s">
        <v>35</v>
      </c>
      <c r="Z3" s="44" t="s">
        <v>42</v>
      </c>
      <c r="AA3" s="44" t="s">
        <v>47</v>
      </c>
      <c r="AB3" s="44" t="s">
        <v>47</v>
      </c>
      <c r="AC3" s="44" t="s">
        <v>41</v>
      </c>
      <c r="AD3" s="44" t="s">
        <v>41</v>
      </c>
      <c r="AE3" s="44" t="s">
        <v>46</v>
      </c>
      <c r="AF3" s="44" t="s">
        <v>45</v>
      </c>
      <c r="AG3" s="44" t="s">
        <v>35</v>
      </c>
      <c r="AH3" s="44" t="s">
        <v>42</v>
      </c>
      <c r="AI3" s="44" t="s">
        <v>42</v>
      </c>
      <c r="AJ3" s="44" t="s">
        <v>36</v>
      </c>
      <c r="AK3" s="44" t="s">
        <v>38</v>
      </c>
      <c r="AL3" s="44" t="s">
        <v>48</v>
      </c>
    </row>
    <row r="4" spans="1:38" x14ac:dyDescent="0.25">
      <c r="A4" s="45"/>
      <c r="B4" s="28" t="s">
        <v>49</v>
      </c>
      <c r="C4" s="28" t="s">
        <v>50</v>
      </c>
      <c r="D4" s="43" t="s">
        <v>51</v>
      </c>
      <c r="E4" s="28" t="s">
        <v>3</v>
      </c>
      <c r="F4" s="43" t="s">
        <v>52</v>
      </c>
      <c r="G4" s="28" t="s">
        <v>53</v>
      </c>
      <c r="H4" s="28" t="s">
        <v>6</v>
      </c>
      <c r="I4" s="28" t="s">
        <v>54</v>
      </c>
      <c r="J4" s="43" t="s">
        <v>55</v>
      </c>
      <c r="K4" s="43" t="s">
        <v>56</v>
      </c>
      <c r="L4" s="43" t="s">
        <v>57</v>
      </c>
      <c r="M4" s="29" t="s">
        <v>58</v>
      </c>
      <c r="N4" s="30" t="s">
        <v>3</v>
      </c>
      <c r="O4" s="44" t="s">
        <v>52</v>
      </c>
      <c r="P4" s="44" t="s">
        <v>59</v>
      </c>
      <c r="Q4" s="44" t="s">
        <v>60</v>
      </c>
      <c r="R4" s="44" t="s">
        <v>4</v>
      </c>
      <c r="S4" s="44" t="s">
        <v>61</v>
      </c>
      <c r="T4" s="44" t="s">
        <v>62</v>
      </c>
      <c r="U4" s="44" t="s">
        <v>63</v>
      </c>
      <c r="V4" s="44" t="s">
        <v>6</v>
      </c>
      <c r="W4" s="44" t="s">
        <v>64</v>
      </c>
      <c r="X4" s="44" t="s">
        <v>65</v>
      </c>
      <c r="Y4" s="44" t="s">
        <v>66</v>
      </c>
      <c r="Z4" s="44" t="s">
        <v>67</v>
      </c>
      <c r="AA4" s="44" t="s">
        <v>68</v>
      </c>
      <c r="AB4" s="44" t="s">
        <v>69</v>
      </c>
      <c r="AC4" s="44" t="s">
        <v>70</v>
      </c>
      <c r="AD4" s="44" t="s">
        <v>71</v>
      </c>
      <c r="AE4" s="44" t="s">
        <v>72</v>
      </c>
      <c r="AF4" s="44" t="s">
        <v>73</v>
      </c>
      <c r="AG4" s="44" t="s">
        <v>74</v>
      </c>
      <c r="AH4" s="44" t="s">
        <v>75</v>
      </c>
      <c r="AI4" s="44" t="s">
        <v>76</v>
      </c>
      <c r="AJ4" s="44" t="s">
        <v>77</v>
      </c>
      <c r="AK4" s="44" t="s">
        <v>78</v>
      </c>
      <c r="AL4" s="44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0.92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0.63500000000000001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1.093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0.71599999999999997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1.2649999999999999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0.79700000000000004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1.4379999999999999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0.878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1.524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0.91900000000000004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1.61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0.95899999999999996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1.7829999999999999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1.04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126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1.9550000000000001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1.121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0.95899999999999996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0.63500000000000001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1.139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0.71599999999999997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132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1.319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0.79700000000000004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134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1.4990000000000001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0.878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136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1.5880000000000001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0.91900000000000004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138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1.6779999999999999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0.95899999999999996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140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1.8580000000000001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1.04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142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2.0379999999999998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1.121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145</v>
      </c>
      <c r="D213" s="3"/>
      <c r="E213" s="3" t="s">
        <v>145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0.998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1.2430000000000001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146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147</v>
      </c>
      <c r="D226" s="3"/>
      <c r="E226" s="3" t="s">
        <v>147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147</v>
      </c>
      <c r="D227" s="3"/>
      <c r="E227" s="3" t="s">
        <v>147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147</v>
      </c>
      <c r="D228" s="3"/>
      <c r="E228" s="3" t="s">
        <v>147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1.1850000000000001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1.2430000000000001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148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1.3720000000000001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1.2430000000000001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150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1.5589999999999999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1.2430000000000001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152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1.653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1.2430000000000001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154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155</v>
      </c>
      <c r="D278" s="3"/>
      <c r="E278" s="3" t="s">
        <v>155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155</v>
      </c>
      <c r="D279" s="3"/>
      <c r="E279" s="3" t="s">
        <v>155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155</v>
      </c>
      <c r="D280" s="3"/>
      <c r="E280" s="3" t="s">
        <v>155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1.746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1.2430000000000001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156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157</v>
      </c>
      <c r="D291" s="3"/>
      <c r="E291" s="3" t="s">
        <v>157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157</v>
      </c>
      <c r="D292" s="3"/>
      <c r="E292" s="3" t="s">
        <v>157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1.9330000000000001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1.2430000000000001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158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159</v>
      </c>
      <c r="D304" s="3"/>
      <c r="E304" s="3" t="s">
        <v>159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2.121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1.024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1.27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162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1.216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1.27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164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1.4079999999999999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1.27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166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1.6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1.27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168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1.696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1.27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170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1.792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1.27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172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1.984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1.27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174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2.1760000000000002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1.27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176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1.0760000000000001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1.3240000000000001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178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1.2769999999999999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1.3240000000000001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1.4790000000000001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1.3240000000000001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1.681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1.782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1.3240000000000001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1.8819999999999999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1.3240000000000001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2.0840000000000001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1.3240000000000001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2.286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1.3240000000000001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0.83399999999999996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0.59499999999999997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1.006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195</v>
      </c>
      <c r="D544" s="3"/>
      <c r="E544" s="3" t="s">
        <v>195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0.67600000000000005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197</v>
      </c>
      <c r="D555" s="3"/>
      <c r="E555" s="3" t="s">
        <v>197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1.179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197</v>
      </c>
      <c r="D556" s="3"/>
      <c r="E556" s="3" t="s">
        <v>197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197</v>
      </c>
      <c r="D557" s="3"/>
      <c r="E557" s="3" t="s">
        <v>197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197</v>
      </c>
      <c r="D558" s="3"/>
      <c r="E558" s="3" t="s">
        <v>197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197</v>
      </c>
      <c r="D559" s="3"/>
      <c r="E559" s="3" t="s">
        <v>197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0.75700000000000001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199</v>
      </c>
      <c r="D564" s="3"/>
      <c r="E564" s="3" t="s">
        <v>199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1.351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0.83799999999999997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200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201</v>
      </c>
      <c r="D577" s="3"/>
      <c r="E577" s="3" t="s">
        <v>201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201</v>
      </c>
      <c r="D578" s="3"/>
      <c r="E578" s="3" t="s">
        <v>201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1.6970000000000001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203</v>
      </c>
      <c r="D590" s="3"/>
      <c r="E590" s="3" t="s">
        <v>203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203</v>
      </c>
      <c r="D591" s="3"/>
      <c r="E591" s="3" t="s">
        <v>203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203</v>
      </c>
      <c r="D592" s="3"/>
      <c r="E592" s="3" t="s">
        <v>203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1.869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1.081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205</v>
      </c>
      <c r="D603" s="3"/>
      <c r="E603" s="3" t="s">
        <v>205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205</v>
      </c>
      <c r="D604" s="3"/>
      <c r="E604" s="3" t="s">
        <v>205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205</v>
      </c>
      <c r="D605" s="3"/>
      <c r="E605" s="3" t="s">
        <v>205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205</v>
      </c>
      <c r="D606" s="3"/>
      <c r="E606" s="3" t="s">
        <v>205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2.0419999999999998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1.1619999999999999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207</v>
      </c>
      <c r="D616" s="3"/>
      <c r="E616" s="3" t="s">
        <v>207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207</v>
      </c>
      <c r="D617" s="3"/>
      <c r="E617" s="3" t="s">
        <v>207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207</v>
      </c>
      <c r="D618" s="3"/>
      <c r="E618" s="3" t="s">
        <v>207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207</v>
      </c>
      <c r="D619" s="3"/>
      <c r="E619" s="3" t="s">
        <v>207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207</v>
      </c>
      <c r="D620" s="3"/>
      <c r="E620" s="3" t="s">
        <v>207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0.86899999999999999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0.59499999999999997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209</v>
      </c>
      <c r="D629" s="3"/>
      <c r="E629" s="3" t="s">
        <v>209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209</v>
      </c>
      <c r="D630" s="3"/>
      <c r="E630" s="3" t="s">
        <v>209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209</v>
      </c>
      <c r="D631" s="3"/>
      <c r="E631" s="3" t="s">
        <v>209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209</v>
      </c>
      <c r="D632" s="3"/>
      <c r="E632" s="3" t="s">
        <v>209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209</v>
      </c>
      <c r="D633" s="3"/>
      <c r="E633" s="3" t="s">
        <v>209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1.0489999999999999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209</v>
      </c>
      <c r="D634" s="3"/>
      <c r="E634" s="3" t="s">
        <v>209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0.67600000000000005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210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211</v>
      </c>
      <c r="D642" s="3"/>
      <c r="E642" s="3" t="s">
        <v>211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211</v>
      </c>
      <c r="D643" s="3"/>
      <c r="E643" s="3" t="s">
        <v>211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211</v>
      </c>
      <c r="D644" s="3"/>
      <c r="E644" s="3" t="s">
        <v>211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211</v>
      </c>
      <c r="D645" s="3"/>
      <c r="E645" s="3" t="s">
        <v>211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211</v>
      </c>
      <c r="D646" s="3"/>
      <c r="E646" s="3" t="s">
        <v>211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1.2290000000000001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211</v>
      </c>
      <c r="D647" s="3"/>
      <c r="E647" s="3" t="s">
        <v>211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211</v>
      </c>
      <c r="D648" s="3"/>
      <c r="E648" s="3" t="s">
        <v>211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0.75700000000000001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213</v>
      </c>
      <c r="D655" s="3"/>
      <c r="E655" s="3" t="s">
        <v>213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213</v>
      </c>
      <c r="D656" s="3"/>
      <c r="E656" s="3" t="s">
        <v>213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213</v>
      </c>
      <c r="D657" s="3"/>
      <c r="E657" s="3" t="s">
        <v>213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213</v>
      </c>
      <c r="D658" s="3"/>
      <c r="E658" s="3" t="s">
        <v>213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213</v>
      </c>
      <c r="D659" s="3"/>
      <c r="E659" s="3" t="s">
        <v>213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1.409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213</v>
      </c>
      <c r="D660" s="3"/>
      <c r="E660" s="3" t="s">
        <v>213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213</v>
      </c>
      <c r="D661" s="3"/>
      <c r="E661" s="3" t="s">
        <v>213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213</v>
      </c>
      <c r="D662" s="3"/>
      <c r="E662" s="3" t="s">
        <v>213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0.83799999999999997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215</v>
      </c>
      <c r="D668" s="3"/>
      <c r="E668" s="3" t="s">
        <v>215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215</v>
      </c>
      <c r="D669" s="3"/>
      <c r="E669" s="3" t="s">
        <v>215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215</v>
      </c>
      <c r="D670" s="3"/>
      <c r="E670" s="3" t="s">
        <v>215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215</v>
      </c>
      <c r="D671" s="3"/>
      <c r="E671" s="3" t="s">
        <v>215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215</v>
      </c>
      <c r="D672" s="3"/>
      <c r="E672" s="3" t="s">
        <v>215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1.768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215</v>
      </c>
      <c r="D673" s="3"/>
      <c r="E673" s="3" t="s">
        <v>215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215</v>
      </c>
      <c r="D674" s="3"/>
      <c r="E674" s="3" t="s">
        <v>215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215</v>
      </c>
      <c r="D675" s="3"/>
      <c r="E675" s="3" t="s">
        <v>215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215</v>
      </c>
      <c r="D676" s="3"/>
      <c r="E676" s="3" t="s">
        <v>215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217</v>
      </c>
      <c r="D681" s="3"/>
      <c r="E681" s="3" t="s">
        <v>217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217</v>
      </c>
      <c r="D682" s="3"/>
      <c r="E682" s="3" t="s">
        <v>217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217</v>
      </c>
      <c r="D683" s="3"/>
      <c r="E683" s="3" t="s">
        <v>217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217</v>
      </c>
      <c r="D684" s="3"/>
      <c r="E684" s="3" t="s">
        <v>217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217</v>
      </c>
      <c r="D685" s="3"/>
      <c r="E685" s="3" t="s">
        <v>217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1.948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217</v>
      </c>
      <c r="D686" s="3"/>
      <c r="E686" s="3" t="s">
        <v>217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217</v>
      </c>
      <c r="D687" s="3"/>
      <c r="E687" s="3" t="s">
        <v>217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217</v>
      </c>
      <c r="D688" s="3"/>
      <c r="E688" s="3" t="s">
        <v>217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217</v>
      </c>
      <c r="D689" s="3"/>
      <c r="E689" s="3" t="s">
        <v>217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217</v>
      </c>
      <c r="D690" s="3"/>
      <c r="E690" s="3" t="s">
        <v>217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1.081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219</v>
      </c>
      <c r="D694" s="3"/>
      <c r="E694" s="3" t="s">
        <v>219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219</v>
      </c>
      <c r="D695" s="3"/>
      <c r="E695" s="3" t="s">
        <v>219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219</v>
      </c>
      <c r="D696" s="3"/>
      <c r="E696" s="3" t="s">
        <v>219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219</v>
      </c>
      <c r="D697" s="3"/>
      <c r="E697" s="3" t="s">
        <v>219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219</v>
      </c>
      <c r="D698" s="3"/>
      <c r="E698" s="3" t="s">
        <v>219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2.1280000000000001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219</v>
      </c>
      <c r="D699" s="3"/>
      <c r="E699" s="3" t="s">
        <v>219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219</v>
      </c>
      <c r="D700" s="3"/>
      <c r="E700" s="3" t="s">
        <v>219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219</v>
      </c>
      <c r="D701" s="3"/>
      <c r="E701" s="3" t="s">
        <v>219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219</v>
      </c>
      <c r="D702" s="3"/>
      <c r="E702" s="3" t="s">
        <v>219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219</v>
      </c>
      <c r="D703" s="3"/>
      <c r="E703" s="3" t="s">
        <v>219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219</v>
      </c>
      <c r="D704" s="3"/>
      <c r="E704" s="3" t="s">
        <v>219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1.1619999999999999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221</v>
      </c>
      <c r="D707" s="3"/>
      <c r="E707" s="3" t="s">
        <v>221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221</v>
      </c>
      <c r="D708" s="3"/>
      <c r="E708" s="3" t="s">
        <v>221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221</v>
      </c>
      <c r="D709" s="3"/>
      <c r="E709" s="3" t="s">
        <v>221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221</v>
      </c>
      <c r="D710" s="3"/>
      <c r="E710" s="3" t="s">
        <v>221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221</v>
      </c>
      <c r="D711" s="3"/>
      <c r="E711" s="3" t="s">
        <v>221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0.90400000000000003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221</v>
      </c>
      <c r="D712" s="3"/>
      <c r="E712" s="3" t="s">
        <v>221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221</v>
      </c>
      <c r="D713" s="3"/>
      <c r="E713" s="3" t="s">
        <v>221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221</v>
      </c>
      <c r="D714" s="3"/>
      <c r="E714" s="3" t="s">
        <v>221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221</v>
      </c>
      <c r="D715" s="3"/>
      <c r="E715" s="3" t="s">
        <v>221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221</v>
      </c>
      <c r="D716" s="3"/>
      <c r="E716" s="3" t="s">
        <v>221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221</v>
      </c>
      <c r="D717" s="3"/>
      <c r="E717" s="3" t="s">
        <v>221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221</v>
      </c>
      <c r="D718" s="3"/>
      <c r="E718" s="3" t="s">
        <v>221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1.2430000000000001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223</v>
      </c>
      <c r="D720" s="3"/>
      <c r="E720" s="3" t="s">
        <v>223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223</v>
      </c>
      <c r="D721" s="3"/>
      <c r="E721" s="3" t="s">
        <v>223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223</v>
      </c>
      <c r="D722" s="3"/>
      <c r="E722" s="3" t="s">
        <v>223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223</v>
      </c>
      <c r="D723" s="3"/>
      <c r="E723" s="3" t="s">
        <v>223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223</v>
      </c>
      <c r="D724" s="3"/>
      <c r="E724" s="3" t="s">
        <v>223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1.091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223</v>
      </c>
      <c r="D725" s="3"/>
      <c r="E725" s="3" t="s">
        <v>223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223</v>
      </c>
      <c r="D726" s="3"/>
      <c r="E726" s="3" t="s">
        <v>223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223</v>
      </c>
      <c r="D727" s="3"/>
      <c r="E727" s="3" t="s">
        <v>223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223</v>
      </c>
      <c r="D728" s="3"/>
      <c r="E728" s="3" t="s">
        <v>223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223</v>
      </c>
      <c r="D729" s="3"/>
      <c r="E729" s="3" t="s">
        <v>223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223</v>
      </c>
      <c r="D730" s="3"/>
      <c r="E730" s="3" t="s">
        <v>223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223</v>
      </c>
      <c r="D731" s="3"/>
      <c r="E731" s="3" t="s">
        <v>223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1.2430000000000001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223</v>
      </c>
      <c r="D732" s="3"/>
      <c r="E732" s="3" t="s">
        <v>223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225</v>
      </c>
      <c r="D733" s="3"/>
      <c r="E733" s="3" t="s">
        <v>225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225</v>
      </c>
      <c r="D734" s="3"/>
      <c r="E734" s="3" t="s">
        <v>225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225</v>
      </c>
      <c r="D735" s="3"/>
      <c r="E735" s="3" t="s">
        <v>225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225</v>
      </c>
      <c r="D736" s="3"/>
      <c r="E736" s="3" t="s">
        <v>225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225</v>
      </c>
      <c r="D737" s="3"/>
      <c r="E737" s="3" t="s">
        <v>225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1.2789999999999999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225</v>
      </c>
      <c r="D738" s="3"/>
      <c r="E738" s="3" t="s">
        <v>225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225</v>
      </c>
      <c r="D739" s="3"/>
      <c r="E739" s="3" t="s">
        <v>225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225</v>
      </c>
      <c r="D740" s="3"/>
      <c r="E740" s="3" t="s">
        <v>225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225</v>
      </c>
      <c r="D741" s="3"/>
      <c r="E741" s="3" t="s">
        <v>225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225</v>
      </c>
      <c r="D742" s="3"/>
      <c r="E742" s="3" t="s">
        <v>225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225</v>
      </c>
      <c r="D743" s="3"/>
      <c r="E743" s="3" t="s">
        <v>225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225</v>
      </c>
      <c r="D744" s="3"/>
      <c r="E744" s="3" t="s">
        <v>225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1.2430000000000001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225</v>
      </c>
      <c r="D745" s="3"/>
      <c r="E745" s="3" t="s">
        <v>225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226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227</v>
      </c>
      <c r="D746" s="3"/>
      <c r="E746" s="3" t="s">
        <v>227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227</v>
      </c>
      <c r="D747" s="3"/>
      <c r="E747" s="3" t="s">
        <v>227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227</v>
      </c>
      <c r="D748" s="3"/>
      <c r="E748" s="3" t="s">
        <v>227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227</v>
      </c>
      <c r="D749" s="3"/>
      <c r="E749" s="3" t="s">
        <v>227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227</v>
      </c>
      <c r="D750" s="3"/>
      <c r="E750" s="3" t="s">
        <v>227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1.466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227</v>
      </c>
      <c r="D751" s="3"/>
      <c r="E751" s="3" t="s">
        <v>227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227</v>
      </c>
      <c r="D752" s="3"/>
      <c r="E752" s="3" t="s">
        <v>227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227</v>
      </c>
      <c r="D753" s="3"/>
      <c r="E753" s="3" t="s">
        <v>227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227</v>
      </c>
      <c r="D754" s="3"/>
      <c r="E754" s="3" t="s">
        <v>227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227</v>
      </c>
      <c r="D755" s="3"/>
      <c r="E755" s="3" t="s">
        <v>227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227</v>
      </c>
      <c r="D756" s="3"/>
      <c r="E756" s="3" t="s">
        <v>227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227</v>
      </c>
      <c r="D757" s="3"/>
      <c r="E757" s="3" t="s">
        <v>227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1.2430000000000001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227</v>
      </c>
      <c r="D758" s="3"/>
      <c r="E758" s="3" t="s">
        <v>227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228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229</v>
      </c>
      <c r="D759" s="3"/>
      <c r="E759" s="3" t="s">
        <v>229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229</v>
      </c>
      <c r="D760" s="3"/>
      <c r="E760" s="3" t="s">
        <v>229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229</v>
      </c>
      <c r="D761" s="3"/>
      <c r="E761" s="3" t="s">
        <v>229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229</v>
      </c>
      <c r="D762" s="3"/>
      <c r="E762" s="3" t="s">
        <v>229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229</v>
      </c>
      <c r="D763" s="3"/>
      <c r="E763" s="3" t="s">
        <v>229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1.84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229</v>
      </c>
      <c r="D764" s="3"/>
      <c r="E764" s="3" t="s">
        <v>229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229</v>
      </c>
      <c r="D765" s="3"/>
      <c r="E765" s="3" t="s">
        <v>229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229</v>
      </c>
      <c r="D766" s="3"/>
      <c r="E766" s="3" t="s">
        <v>229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229</v>
      </c>
      <c r="D767" s="3"/>
      <c r="E767" s="3" t="s">
        <v>229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229</v>
      </c>
      <c r="D768" s="3"/>
      <c r="E768" s="3" t="s">
        <v>229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229</v>
      </c>
      <c r="D769" s="3"/>
      <c r="E769" s="3" t="s">
        <v>229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229</v>
      </c>
      <c r="D770" s="3"/>
      <c r="E770" s="3" t="s">
        <v>229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1.2430000000000001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229</v>
      </c>
      <c r="D771" s="3"/>
      <c r="E771" s="3" t="s">
        <v>229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231</v>
      </c>
      <c r="D772" s="3"/>
      <c r="E772" s="3" t="s">
        <v>231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231</v>
      </c>
      <c r="D773" s="3"/>
      <c r="E773" s="3" t="s">
        <v>231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231</v>
      </c>
      <c r="D774" s="3"/>
      <c r="E774" s="3" t="s">
        <v>231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231</v>
      </c>
      <c r="D775" s="3"/>
      <c r="E775" s="3" t="s">
        <v>231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231</v>
      </c>
      <c r="D776" s="3"/>
      <c r="E776" s="3" t="s">
        <v>231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2.0270000000000001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231</v>
      </c>
      <c r="D777" s="3"/>
      <c r="E777" s="3" t="s">
        <v>231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231</v>
      </c>
      <c r="D778" s="3"/>
      <c r="E778" s="3" t="s">
        <v>231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231</v>
      </c>
      <c r="D779" s="3"/>
      <c r="E779" s="3" t="s">
        <v>231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231</v>
      </c>
      <c r="D780" s="3"/>
      <c r="E780" s="3" t="s">
        <v>231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231</v>
      </c>
      <c r="D781" s="3"/>
      <c r="E781" s="3" t="s">
        <v>231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231</v>
      </c>
      <c r="D782" s="3"/>
      <c r="E782" s="3" t="s">
        <v>231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231</v>
      </c>
      <c r="D783" s="3"/>
      <c r="E783" s="3" t="s">
        <v>231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231</v>
      </c>
      <c r="D784" s="3"/>
      <c r="E784" s="3" t="s">
        <v>231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233</v>
      </c>
      <c r="D785" s="3"/>
      <c r="E785" s="3" t="s">
        <v>233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233</v>
      </c>
      <c r="D786" s="3"/>
      <c r="E786" s="3" t="s">
        <v>233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233</v>
      </c>
      <c r="D787" s="3"/>
      <c r="E787" s="3" t="s">
        <v>233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233</v>
      </c>
      <c r="D788" s="3"/>
      <c r="E788" s="3" t="s">
        <v>233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233</v>
      </c>
      <c r="D789" s="3"/>
      <c r="E789" s="3" t="s">
        <v>233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2.214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233</v>
      </c>
      <c r="D790" s="3"/>
      <c r="E790" s="3" t="s">
        <v>233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233</v>
      </c>
      <c r="D791" s="3"/>
      <c r="E791" s="3" t="s">
        <v>233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233</v>
      </c>
      <c r="D792" s="3"/>
      <c r="E792" s="3" t="s">
        <v>233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233</v>
      </c>
      <c r="D793" s="3"/>
      <c r="E793" s="3" t="s">
        <v>233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233</v>
      </c>
      <c r="D794" s="3"/>
      <c r="E794" s="3" t="s">
        <v>233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233</v>
      </c>
      <c r="D795" s="3"/>
      <c r="E795" s="3" t="s">
        <v>233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233</v>
      </c>
      <c r="D796" s="3"/>
      <c r="E796" s="3" t="s">
        <v>233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1.2430000000000001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233</v>
      </c>
      <c r="D797" s="3"/>
      <c r="E797" s="3" t="s">
        <v>233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235</v>
      </c>
      <c r="D798" s="3"/>
      <c r="E798" s="3" t="s">
        <v>235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235</v>
      </c>
      <c r="D799" s="3"/>
      <c r="E799" s="3" t="s">
        <v>235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235</v>
      </c>
      <c r="D800" s="3"/>
      <c r="E800" s="3" t="s">
        <v>235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235</v>
      </c>
      <c r="D801" s="3"/>
      <c r="E801" s="3" t="s">
        <v>235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235</v>
      </c>
      <c r="D802" s="3"/>
      <c r="E802" s="3" t="s">
        <v>235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0.92800000000000005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235</v>
      </c>
      <c r="D803" s="3"/>
      <c r="E803" s="3" t="s">
        <v>235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235</v>
      </c>
      <c r="D804" s="3"/>
      <c r="E804" s="3" t="s">
        <v>235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235</v>
      </c>
      <c r="D805" s="3"/>
      <c r="E805" s="3" t="s">
        <v>235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235</v>
      </c>
      <c r="D806" s="3"/>
      <c r="E806" s="3" t="s">
        <v>235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235</v>
      </c>
      <c r="D807" s="3"/>
      <c r="E807" s="3" t="s">
        <v>235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235</v>
      </c>
      <c r="D808" s="3"/>
      <c r="E808" s="3" t="s">
        <v>235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235</v>
      </c>
      <c r="D809" s="3"/>
      <c r="E809" s="3" t="s">
        <v>235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1.27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235</v>
      </c>
      <c r="D810" s="3"/>
      <c r="E810" s="3" t="s">
        <v>235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237</v>
      </c>
      <c r="D811" s="3"/>
      <c r="E811" s="3" t="s">
        <v>237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237</v>
      </c>
      <c r="D812" s="3"/>
      <c r="E812" s="3" t="s">
        <v>237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237</v>
      </c>
      <c r="D813" s="3"/>
      <c r="E813" s="3" t="s">
        <v>237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237</v>
      </c>
      <c r="D814" s="3"/>
      <c r="E814" s="3" t="s">
        <v>237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237</v>
      </c>
      <c r="D815" s="3"/>
      <c r="E815" s="3" t="s">
        <v>237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1.1200000000000001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237</v>
      </c>
      <c r="D816" s="3"/>
      <c r="E816" s="3" t="s">
        <v>237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237</v>
      </c>
      <c r="D817" s="3"/>
      <c r="E817" s="3" t="s">
        <v>237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237</v>
      </c>
      <c r="D818" s="3"/>
      <c r="E818" s="3" t="s">
        <v>237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237</v>
      </c>
      <c r="D819" s="3"/>
      <c r="E819" s="3" t="s">
        <v>237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237</v>
      </c>
      <c r="D820" s="3"/>
      <c r="E820" s="3" t="s">
        <v>237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237</v>
      </c>
      <c r="D821" s="3"/>
      <c r="E821" s="3" t="s">
        <v>237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237</v>
      </c>
      <c r="D822" s="3"/>
      <c r="E822" s="3" t="s">
        <v>237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1.27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237</v>
      </c>
      <c r="D823" s="3"/>
      <c r="E823" s="3" t="s">
        <v>237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239</v>
      </c>
      <c r="D824" s="3"/>
      <c r="E824" s="3" t="s">
        <v>239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239</v>
      </c>
      <c r="D825" s="3"/>
      <c r="E825" s="3" t="s">
        <v>239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239</v>
      </c>
      <c r="D826" s="3"/>
      <c r="E826" s="3" t="s">
        <v>239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239</v>
      </c>
      <c r="D827" s="3"/>
      <c r="E827" s="3" t="s">
        <v>239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239</v>
      </c>
      <c r="D828" s="3"/>
      <c r="E828" s="3" t="s">
        <v>239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1.3120000000000001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239</v>
      </c>
      <c r="D829" s="3"/>
      <c r="E829" s="3" t="s">
        <v>239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239</v>
      </c>
      <c r="D830" s="3"/>
      <c r="E830" s="3" t="s">
        <v>239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239</v>
      </c>
      <c r="D831" s="3"/>
      <c r="E831" s="3" t="s">
        <v>239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239</v>
      </c>
      <c r="D832" s="3"/>
      <c r="E832" s="3" t="s">
        <v>239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239</v>
      </c>
      <c r="D833" s="3"/>
      <c r="E833" s="3" t="s">
        <v>239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239</v>
      </c>
      <c r="D834" s="3"/>
      <c r="E834" s="3" t="s">
        <v>239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239</v>
      </c>
      <c r="D835" s="3"/>
      <c r="E835" s="3" t="s">
        <v>239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1.27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239</v>
      </c>
      <c r="D836" s="3"/>
      <c r="E836" s="3" t="s">
        <v>239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240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1.504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1.27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243</v>
      </c>
      <c r="D850" s="3"/>
      <c r="E850" s="3" t="s">
        <v>243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243</v>
      </c>
      <c r="D851" s="3"/>
      <c r="E851" s="3" t="s">
        <v>243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243</v>
      </c>
      <c r="D852" s="3"/>
      <c r="E852" s="3" t="s">
        <v>243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243</v>
      </c>
      <c r="D853" s="3"/>
      <c r="E853" s="3" t="s">
        <v>243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243</v>
      </c>
      <c r="D854" s="3"/>
      <c r="E854" s="3" t="s">
        <v>243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1.8879999999999999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243</v>
      </c>
      <c r="D855" s="3"/>
      <c r="E855" s="3" t="s">
        <v>243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243</v>
      </c>
      <c r="D856" s="3"/>
      <c r="E856" s="3" t="s">
        <v>243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243</v>
      </c>
      <c r="D857" s="3"/>
      <c r="E857" s="3" t="s">
        <v>243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243</v>
      </c>
      <c r="D858" s="3"/>
      <c r="E858" s="3" t="s">
        <v>243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243</v>
      </c>
      <c r="D859" s="3"/>
      <c r="E859" s="3" t="s">
        <v>243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243</v>
      </c>
      <c r="D860" s="3"/>
      <c r="E860" s="3" t="s">
        <v>243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243</v>
      </c>
      <c r="D861" s="3"/>
      <c r="E861" s="3" t="s">
        <v>243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1.27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243</v>
      </c>
      <c r="D862" s="3"/>
      <c r="E862" s="3" t="s">
        <v>243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245</v>
      </c>
      <c r="D863" s="3"/>
      <c r="E863" s="3" t="s">
        <v>245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245</v>
      </c>
      <c r="D864" s="3"/>
      <c r="E864" s="3" t="s">
        <v>245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245</v>
      </c>
      <c r="D865" s="3"/>
      <c r="E865" s="3" t="s">
        <v>245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245</v>
      </c>
      <c r="D866" s="3"/>
      <c r="E866" s="3" t="s">
        <v>245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245</v>
      </c>
      <c r="D867" s="3"/>
      <c r="E867" s="3" t="s">
        <v>245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2.08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245</v>
      </c>
      <c r="D868" s="3"/>
      <c r="E868" s="3" t="s">
        <v>245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245</v>
      </c>
      <c r="D869" s="3"/>
      <c r="E869" s="3" t="s">
        <v>245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245</v>
      </c>
      <c r="D870" s="3"/>
      <c r="E870" s="3" t="s">
        <v>245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245</v>
      </c>
      <c r="D871" s="3"/>
      <c r="E871" s="3" t="s">
        <v>245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245</v>
      </c>
      <c r="D872" s="3"/>
      <c r="E872" s="3" t="s">
        <v>245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245</v>
      </c>
      <c r="D873" s="3"/>
      <c r="E873" s="3" t="s">
        <v>245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245</v>
      </c>
      <c r="D874" s="3"/>
      <c r="E874" s="3" t="s">
        <v>245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1.27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245</v>
      </c>
      <c r="D875" s="3"/>
      <c r="E875" s="3" t="s">
        <v>245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247</v>
      </c>
      <c r="D876" s="3"/>
      <c r="E876" s="3" t="s">
        <v>247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247</v>
      </c>
      <c r="D877" s="3"/>
      <c r="E877" s="3" t="s">
        <v>247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247</v>
      </c>
      <c r="D878" s="3"/>
      <c r="E878" s="3" t="s">
        <v>247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247</v>
      </c>
      <c r="D879" s="3"/>
      <c r="E879" s="3" t="s">
        <v>247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247</v>
      </c>
      <c r="D880" s="3"/>
      <c r="E880" s="3" t="s">
        <v>247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2.2719999999999998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247</v>
      </c>
      <c r="D881" s="3"/>
      <c r="E881" s="3" t="s">
        <v>247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247</v>
      </c>
      <c r="D882" s="3"/>
      <c r="E882" s="3" t="s">
        <v>247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247</v>
      </c>
      <c r="D883" s="3"/>
      <c r="E883" s="3" t="s">
        <v>247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247</v>
      </c>
      <c r="D884" s="3"/>
      <c r="E884" s="3" t="s">
        <v>247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247</v>
      </c>
      <c r="D885" s="3"/>
      <c r="E885" s="3" t="s">
        <v>247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247</v>
      </c>
      <c r="D886" s="3"/>
      <c r="E886" s="3" t="s">
        <v>247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247</v>
      </c>
      <c r="D887" s="3"/>
      <c r="E887" s="3" t="s">
        <v>247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1.27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247</v>
      </c>
      <c r="D888" s="3"/>
      <c r="E888" s="3" t="s">
        <v>247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248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249</v>
      </c>
      <c r="D889" s="3"/>
      <c r="E889" s="3" t="s">
        <v>249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249</v>
      </c>
      <c r="D890" s="3"/>
      <c r="E890" s="3" t="s">
        <v>249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249</v>
      </c>
      <c r="D891" s="3"/>
      <c r="E891" s="3" t="s">
        <v>249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249</v>
      </c>
      <c r="D892" s="3"/>
      <c r="E892" s="3" t="s">
        <v>249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0.97499999999999998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1.3240000000000001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249</v>
      </c>
      <c r="D901" s="3"/>
      <c r="E901" s="3" t="s">
        <v>249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251</v>
      </c>
      <c r="D902" s="3"/>
      <c r="E902" s="3" t="s">
        <v>251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251</v>
      </c>
      <c r="D903" s="3"/>
      <c r="E903" s="3" t="s">
        <v>251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251</v>
      </c>
      <c r="D904" s="3"/>
      <c r="E904" s="3" t="s">
        <v>251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251</v>
      </c>
      <c r="D905" s="3"/>
      <c r="E905" s="3" t="s">
        <v>251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251</v>
      </c>
      <c r="D906" s="3"/>
      <c r="E906" s="3" t="s">
        <v>251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1.177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251</v>
      </c>
      <c r="D907" s="3"/>
      <c r="E907" s="3" t="s">
        <v>251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251</v>
      </c>
      <c r="D908" s="3"/>
      <c r="E908" s="3" t="s">
        <v>251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251</v>
      </c>
      <c r="D909" s="3"/>
      <c r="E909" s="3" t="s">
        <v>251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251</v>
      </c>
      <c r="D910" s="3"/>
      <c r="E910" s="3" t="s">
        <v>251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251</v>
      </c>
      <c r="D911" s="3"/>
      <c r="E911" s="3" t="s">
        <v>251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251</v>
      </c>
      <c r="D912" s="3"/>
      <c r="E912" s="3" t="s">
        <v>251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251</v>
      </c>
      <c r="D913" s="3"/>
      <c r="E913" s="3" t="s">
        <v>251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1.3240000000000001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251</v>
      </c>
      <c r="D914" s="3"/>
      <c r="E914" s="3" t="s">
        <v>251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253</v>
      </c>
      <c r="D915" s="3"/>
      <c r="E915" s="3" t="s">
        <v>253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253</v>
      </c>
      <c r="D916" s="3"/>
      <c r="E916" s="3" t="s">
        <v>253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253</v>
      </c>
      <c r="D917" s="3"/>
      <c r="E917" s="3" t="s">
        <v>253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253</v>
      </c>
      <c r="D918" s="3"/>
      <c r="E918" s="3" t="s">
        <v>253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253</v>
      </c>
      <c r="D919" s="3"/>
      <c r="E919" s="3" t="s">
        <v>253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1.3779999999999999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253</v>
      </c>
      <c r="D920" s="3"/>
      <c r="E920" s="3" t="s">
        <v>253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253</v>
      </c>
      <c r="D921" s="3"/>
      <c r="E921" s="3" t="s">
        <v>253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253</v>
      </c>
      <c r="D922" s="3"/>
      <c r="E922" s="3" t="s">
        <v>253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253</v>
      </c>
      <c r="D923" s="3"/>
      <c r="E923" s="3" t="s">
        <v>253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253</v>
      </c>
      <c r="D924" s="3"/>
      <c r="E924" s="3" t="s">
        <v>253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253</v>
      </c>
      <c r="D925" s="3"/>
      <c r="E925" s="3" t="s">
        <v>253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253</v>
      </c>
      <c r="D926" s="3"/>
      <c r="E926" s="3" t="s">
        <v>253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1.3240000000000001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253</v>
      </c>
      <c r="D927" s="3"/>
      <c r="E927" s="3" t="s">
        <v>253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255</v>
      </c>
      <c r="D928" s="3"/>
      <c r="E928" s="3" t="s">
        <v>255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255</v>
      </c>
      <c r="D929" s="3"/>
      <c r="E929" s="3" t="s">
        <v>255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255</v>
      </c>
      <c r="D930" s="3"/>
      <c r="E930" s="3" t="s">
        <v>255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255</v>
      </c>
      <c r="D931" s="3"/>
      <c r="E931" s="3" t="s">
        <v>255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255</v>
      </c>
      <c r="D932" s="3"/>
      <c r="E932" s="3" t="s">
        <v>255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1.58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255</v>
      </c>
      <c r="D933" s="3"/>
      <c r="E933" s="3" t="s">
        <v>255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255</v>
      </c>
      <c r="D934" s="3"/>
      <c r="E934" s="3" t="s">
        <v>255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255</v>
      </c>
      <c r="D935" s="3"/>
      <c r="E935" s="3" t="s">
        <v>255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255</v>
      </c>
      <c r="D936" s="3"/>
      <c r="E936" s="3" t="s">
        <v>255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255</v>
      </c>
      <c r="D937" s="3"/>
      <c r="E937" s="3" t="s">
        <v>255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255</v>
      </c>
      <c r="D938" s="3"/>
      <c r="E938" s="3" t="s">
        <v>255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255</v>
      </c>
      <c r="D939" s="3"/>
      <c r="E939" s="3" t="s">
        <v>255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1.3240000000000001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255</v>
      </c>
      <c r="D940" s="3"/>
      <c r="E940" s="3" t="s">
        <v>255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257</v>
      </c>
      <c r="D941" s="3"/>
      <c r="E941" s="3" t="s">
        <v>257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257</v>
      </c>
      <c r="D942" s="3"/>
      <c r="E942" s="3" t="s">
        <v>257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257</v>
      </c>
      <c r="D943" s="3"/>
      <c r="E943" s="3" t="s">
        <v>257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257</v>
      </c>
      <c r="D944" s="3"/>
      <c r="E944" s="3" t="s">
        <v>257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257</v>
      </c>
      <c r="D945" s="3"/>
      <c r="E945" s="3" t="s">
        <v>257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1.9830000000000001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257</v>
      </c>
      <c r="D946" s="3"/>
      <c r="E946" s="3" t="s">
        <v>257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257</v>
      </c>
      <c r="D947" s="3"/>
      <c r="E947" s="3" t="s">
        <v>257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257</v>
      </c>
      <c r="D948" s="3"/>
      <c r="E948" s="3" t="s">
        <v>257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257</v>
      </c>
      <c r="D949" s="3"/>
      <c r="E949" s="3" t="s">
        <v>257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257</v>
      </c>
      <c r="D950" s="3"/>
      <c r="E950" s="3" t="s">
        <v>257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257</v>
      </c>
      <c r="D951" s="3"/>
      <c r="E951" s="3" t="s">
        <v>257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257</v>
      </c>
      <c r="D952" s="3"/>
      <c r="E952" s="3" t="s">
        <v>257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1.3240000000000001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257</v>
      </c>
      <c r="D953" s="3"/>
      <c r="E953" s="3" t="s">
        <v>257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259</v>
      </c>
      <c r="D954" s="3"/>
      <c r="E954" s="3" t="s">
        <v>259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259</v>
      </c>
      <c r="D955" s="3"/>
      <c r="E955" s="3" t="s">
        <v>259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259</v>
      </c>
      <c r="D956" s="3"/>
      <c r="E956" s="3" t="s">
        <v>259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259</v>
      </c>
      <c r="D957" s="3"/>
      <c r="E957" s="3" t="s">
        <v>259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259</v>
      </c>
      <c r="D958" s="3"/>
      <c r="E958" s="3" t="s">
        <v>259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2.1850000000000001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259</v>
      </c>
      <c r="D959" s="3"/>
      <c r="E959" s="3" t="s">
        <v>259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259</v>
      </c>
      <c r="D960" s="3"/>
      <c r="E960" s="3" t="s">
        <v>259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259</v>
      </c>
      <c r="D961" s="3"/>
      <c r="E961" s="3" t="s">
        <v>259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259</v>
      </c>
      <c r="D962" s="3"/>
      <c r="E962" s="3" t="s">
        <v>259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259</v>
      </c>
      <c r="D963" s="3"/>
      <c r="E963" s="3" t="s">
        <v>259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259</v>
      </c>
      <c r="D964" s="3"/>
      <c r="E964" s="3" t="s">
        <v>259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259</v>
      </c>
      <c r="D965" s="3"/>
      <c r="E965" s="3" t="s">
        <v>259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1.3240000000000001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259</v>
      </c>
      <c r="D966" s="3"/>
      <c r="E966" s="3" t="s">
        <v>259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261</v>
      </c>
      <c r="D967" s="3"/>
      <c r="E967" s="3" t="s">
        <v>261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261</v>
      </c>
      <c r="D968" s="3"/>
      <c r="E968" s="3" t="s">
        <v>261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261</v>
      </c>
      <c r="D969" s="3"/>
      <c r="E969" s="3" t="s">
        <v>261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261</v>
      </c>
      <c r="D970" s="3"/>
      <c r="E970" s="3" t="s">
        <v>261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261</v>
      </c>
      <c r="D971" s="3"/>
      <c r="E971" s="3" t="s">
        <v>261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2.387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261</v>
      </c>
      <c r="D972" s="3"/>
      <c r="E972" s="3" t="s">
        <v>261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261</v>
      </c>
      <c r="D973" s="3"/>
      <c r="E973" s="3" t="s">
        <v>261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261</v>
      </c>
      <c r="D974" s="3"/>
      <c r="E974" s="3" t="s">
        <v>261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261</v>
      </c>
      <c r="D975" s="3"/>
      <c r="E975" s="3" t="s">
        <v>261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261</v>
      </c>
      <c r="D976" s="3"/>
      <c r="E976" s="3" t="s">
        <v>261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261</v>
      </c>
      <c r="D977" s="3"/>
      <c r="E977" s="3" t="s">
        <v>261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261</v>
      </c>
      <c r="D978" s="3"/>
      <c r="E978" s="3" t="s">
        <v>261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1.3240000000000001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261</v>
      </c>
      <c r="D979" s="3"/>
      <c r="E979" s="3" t="s">
        <v>261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2026-06-02T12:28:14Z</dcterms:modified>
</cp:coreProperties>
</file>