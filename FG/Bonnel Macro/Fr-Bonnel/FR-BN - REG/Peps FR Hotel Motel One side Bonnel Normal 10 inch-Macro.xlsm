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\FR-BN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DEST!$A$2:$AL$646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3" l="1"/>
  <c r="E2" i="13" l="1"/>
  <c r="E1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H4" i="13" s="1"/>
  <c r="G3" i="13"/>
  <c r="H5" i="13" l="1"/>
  <c r="G13" i="13" l="1"/>
  <c r="E9" i="13"/>
  <c r="G6" i="13"/>
  <c r="H14" i="13" l="1"/>
  <c r="H13" i="13" l="1"/>
  <c r="H12" i="13"/>
  <c r="H11" i="13"/>
  <c r="H10" i="13"/>
  <c r="H9" i="13"/>
  <c r="G8" i="13"/>
  <c r="H8" i="13" s="1"/>
  <c r="G7" i="13"/>
  <c r="H7" i="13" s="1"/>
  <c r="H6" i="13"/>
  <c r="H3" i="13"/>
  <c r="H2" i="13"/>
</calcChain>
</file>

<file path=xl/sharedStrings.xml><?xml version="1.0" encoding="utf-8"?>
<sst xmlns="http://schemas.openxmlformats.org/spreadsheetml/2006/main" count="11046" uniqueCount="338">
  <si>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</si>
  <si>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</si>
  <si>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</si>
  <si>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</si>
  <si>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</si>
  <si>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</si>
  <si>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</si>
  <si>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</si>
  <si>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</si>
  <si>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</si>
  <si>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</si>
  <si>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</si>
  <si>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</si>
  <si>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</si>
  <si>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</si>
  <si>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</si>
  <si>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</si>
  <si>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</si>
  <si>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</si>
  <si>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</si>
  <si>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</si>
  <si>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</si>
  <si>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</si>
  <si>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</si>
  <si>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</si>
  <si>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</si>
  <si>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</si>
  <si>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</si>
  <si>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</si>
  <si>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</si>
  <si>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</si>
  <si>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</si>
  <si>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</si>
  <si>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</si>
  <si>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</si>
  <si>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</si>
  <si>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</si>
  <si>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</si>
  <si>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</si>
  <si>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</si>
  <si>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</si>
  <si>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</si>
  <si>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</si>
  <si>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</si>
  <si>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</si>
  <si>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</si>
  <si>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</si>
  <si>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</si>
  <si>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</si>
  <si>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</si>
  <si>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</si>
  <si>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</si>
  <si>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</si>
  <si>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</si>
  <si>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</si>
  <si>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</si>
  <si>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</si>
  <si>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</si>
  <si>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</si>
  <si>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</si>
  <si>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</si>
  <si>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</si>
  <si>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</si>
  <si>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</si>
  <si>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</si>
  <si>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</si>
  <si>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</si>
  <si>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</si>
  <si>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</si>
  <si>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</si>
  <si>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</si>
  <si>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</si>
  <si>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</si>
  <si>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</si>
  <si>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</si>
  <si>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</si>
  <si>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</si>
  <si>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</si>
  <si>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</si>
  <si>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</si>
  <si>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</si>
  <si>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</si>
  <si>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</si>
  <si>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</si>
  <si>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</si>
  <si>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</si>
  <si>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</si>
  <si>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</si>
  <si>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</si>
  <si>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</si>
  <si>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</si>
  <si>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</si>
  <si>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</si>
  <si>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</si>
  <si>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</si>
  <si>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</si>
  <si>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</si>
  <si>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</si>
  <si>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</si>
  <si>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</si>
  <si>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</si>
  <si>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</si>
  <si>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</si>
  <si>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</si>
  <si>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</si>
  <si>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</si>
  <si>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</si>
  <si>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</si>
  <si>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</si>
  <si>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SFG-RTHTMTRG-BONPOC-QUILT</t>
  </si>
  <si>
    <t>RMI-PVC-90</t>
  </si>
  <si>
    <t>RML-CS-PL-10.5</t>
  </si>
  <si>
    <t>SFG-RTHTMTRG-BONPOC-BP</t>
  </si>
  <si>
    <t>RTHTMTBNORG72X33X10</t>
  </si>
  <si>
    <t>RTHTMTBNORG72X39X10</t>
  </si>
  <si>
    <t>RTHTMTBNORG72X45X10</t>
  </si>
  <si>
    <t>RTHTMTBNORG72X51X10</t>
  </si>
  <si>
    <t>RTHTMTBNORG72X54X10</t>
  </si>
  <si>
    <t>RTHTMTBNORG72X57X10</t>
  </si>
  <si>
    <t>RTHTMTBNORG72X63X10</t>
  </si>
  <si>
    <t>RTHTMTBNORG72X69X10</t>
  </si>
  <si>
    <t>RTHTMTBNORG75X33X10</t>
  </si>
  <si>
    <t>RTHTMTBNORG75X39X10</t>
  </si>
  <si>
    <t>RTHTMTBNORG75X45X10</t>
  </si>
  <si>
    <t>RTHTMTBNORG75X51X10</t>
  </si>
  <si>
    <t>RTHTMTBNORG75X54X10</t>
  </si>
  <si>
    <t>RTHTMTBNORG75X57X10</t>
  </si>
  <si>
    <t>RTHTMTBNORG75X63X10</t>
  </si>
  <si>
    <t>RTHTMTBNORG75X69X10</t>
  </si>
  <si>
    <t>RTHTMTBNORG78X33X10</t>
  </si>
  <si>
    <t>RTHTMTBNORG78X39X10</t>
  </si>
  <si>
    <t>RTHTMTBNORG78X45X10</t>
  </si>
  <si>
    <t>RTHTMTBNORG78X51X10</t>
  </si>
  <si>
    <t>RTHTMTBNORG78X54X10</t>
  </si>
  <si>
    <t>RTHTMTBNORG78X57X10</t>
  </si>
  <si>
    <t>RTHTMTBNORG78X63X10</t>
  </si>
  <si>
    <t>RTHTMTBNORG78X69X10</t>
  </si>
  <si>
    <t>RTHTMTBNORG80X33X10</t>
  </si>
  <si>
    <t>RTHTMTBNORG80X39X10</t>
  </si>
  <si>
    <t>RTHTMTBNORG80X45X10</t>
  </si>
  <si>
    <t>RTHTMTBNORG80X51X10</t>
  </si>
  <si>
    <t>RTHTMTBNORG80X54X10</t>
  </si>
  <si>
    <t>RTHTMTBNORG80X57X10</t>
  </si>
  <si>
    <t>RTHTMTBNORG80X63X10</t>
  </si>
  <si>
    <t>RTHTMTBNORG80X69X10</t>
  </si>
  <si>
    <t>RTHTMTBNORG84X33X10</t>
  </si>
  <si>
    <t>RTHTMTBNORG84X39X10</t>
  </si>
  <si>
    <t>RTHTMTBNORG84X45X10</t>
  </si>
  <si>
    <t>RTHTMTBNORG84X51X10</t>
  </si>
  <si>
    <t>RTHTMTBNORG84X54X10</t>
  </si>
  <si>
    <t>RTHTMTBNORG84X57X10</t>
  </si>
  <si>
    <t>RTHTMTBNORG84X63X10</t>
  </si>
  <si>
    <t>RTHTMTBNORG84X69X10</t>
  </si>
  <si>
    <t>RTHTMTBNORG72X30X10</t>
  </si>
  <si>
    <t>RTHTMTBNORG72X36X10</t>
  </si>
  <si>
    <t>RTHTMTBNORG72X42X10</t>
  </si>
  <si>
    <t>RTHTMTBNORG72X48X10</t>
  </si>
  <si>
    <t>RTHTMTBNORG72X60X10</t>
  </si>
  <si>
    <t>RTHTMTBNORG72X66X10</t>
  </si>
  <si>
    <t>RTHTMTBNORG72X72X10</t>
  </si>
  <si>
    <t>RTHTMTBNORG75X30X10</t>
  </si>
  <si>
    <t>RTHTMTBNORG75X36X10</t>
  </si>
  <si>
    <t>RTHTMTBNORG75X42X10</t>
  </si>
  <si>
    <t>RTHTMTBNORG75X48X10</t>
  </si>
  <si>
    <t>RTHTMTBNORG75X60X10</t>
  </si>
  <si>
    <t>RTHTMTBNORG75X66X10</t>
  </si>
  <si>
    <t>RTHTMTBNORG75X72X10</t>
  </si>
  <si>
    <t>RTHTMTBNORG78X30X10</t>
  </si>
  <si>
    <t>RTHTMTBNORG78X36X10</t>
  </si>
  <si>
    <t>RTHTMTBNORG78X42X10</t>
  </si>
  <si>
    <t>RTHTMTBNORG78X48X10</t>
  </si>
  <si>
    <t>RTHTMTBNORG78X60X10</t>
  </si>
  <si>
    <t>RTHTMTBNORG78X66X10</t>
  </si>
  <si>
    <t>RTHTMTBNORG78X72X10</t>
  </si>
  <si>
    <t>RTHTMTBNORG80X30X10</t>
  </si>
  <si>
    <t>RTHTMTBNORG80X36X10</t>
  </si>
  <si>
    <t>RTHTMTBNORG80X42X10</t>
  </si>
  <si>
    <t>RTHTMTBNORG80X48X10</t>
  </si>
  <si>
    <t>RTHTMTBNORG80X60X10</t>
  </si>
  <si>
    <t>RTHTMTBNORG80X66X10</t>
  </si>
  <si>
    <t>RTHTMTBNORG80X72X10</t>
  </si>
  <si>
    <t>RTHTMTBNORG84X30X10</t>
  </si>
  <si>
    <t>RTHTMTBNORG84X36X10</t>
  </si>
  <si>
    <t>RTHTMTBNORG84X42X10</t>
  </si>
  <si>
    <t>RTHTMTBNORG84X48X10</t>
  </si>
  <si>
    <t>RTHTMTBNORG84X60X10</t>
  </si>
  <si>
    <t>RTHTMTBNORG84X66X10</t>
  </si>
  <si>
    <t>RTHTMTBNORG84X72X10</t>
  </si>
  <si>
    <t>60D-RB-MAT-FOAM-71.50X32.50X60MM</t>
  </si>
  <si>
    <t>60D-RB-MAT-FOAM-71.50X38.50X60MM</t>
  </si>
  <si>
    <t>60D-RB-MAT-FOAM-71.50X44.50X60MM</t>
  </si>
  <si>
    <t>60D-RB-MAT-FOAM-71.50X50.50X60MM</t>
  </si>
  <si>
    <t>60D-RB-MAT-FOAM-71.50X53.50X60MM</t>
  </si>
  <si>
    <t>60D-RB-MAT-FOAM-71.50X56.50X60MM</t>
  </si>
  <si>
    <t>60D-RB-MAT-FOAM-71.50X62.50X60MM</t>
  </si>
  <si>
    <t>60D-RB-MAT-FOAM-71.50X68.50X60MM</t>
  </si>
  <si>
    <t>60D-RB-MAT-FOAM-74.50X32.50X60MM</t>
  </si>
  <si>
    <t>60D-RB-MAT-FOAM-74.50X38.50X60MM</t>
  </si>
  <si>
    <t>60D-RB-MAT-FOAM-74.50X44.50X60MM</t>
  </si>
  <si>
    <t>60D-RB-MAT-FOAM-74.50X50.50X60MM</t>
  </si>
  <si>
    <t>60D-RB-MAT-FOAM-74.50X53.50X60MM</t>
  </si>
  <si>
    <t>60D-RB-MAT-FOAM-74.50X56.50X60MM</t>
  </si>
  <si>
    <t>60D-RB-MAT-FOAM-74.50X62.50X60MM</t>
  </si>
  <si>
    <t>60D-RB-MAT-FOAM-74.50X68.50X60MM</t>
  </si>
  <si>
    <t>60D-RB-MAT-FOAM-77.50X32.50X60MM</t>
  </si>
  <si>
    <t>60D-RB-MAT-FOAM-77.50X38.50X60MM</t>
  </si>
  <si>
    <t>60D-RB-MAT-FOAM-77.50X44.50X60MM</t>
  </si>
  <si>
    <t>60D-RB-MAT-FOAM-77.50X50.50X60MM</t>
  </si>
  <si>
    <t>60D-RB-MAT-FOAM-77.50X53.50X60MM</t>
  </si>
  <si>
    <t>60D-RB-MAT-FOAM-77.50X56.50X60MM</t>
  </si>
  <si>
    <t>60D-RB-MAT-FOAM-77.50X62.50X60MM</t>
  </si>
  <si>
    <t>60D-RB-MAT-FOAM-77.50X68.50X60MM</t>
  </si>
  <si>
    <t>60D-RB-MAT-FOAM-79.50X32.50X60MM</t>
  </si>
  <si>
    <t>60D-RB-MAT-FOAM-79.50X38.50X60MM</t>
  </si>
  <si>
    <t>60D-RB-MAT-FOAM-79.50X44.50X60MM</t>
  </si>
  <si>
    <t>60D-RB-MAT-FOAM-79.50X50.50X60MM</t>
  </si>
  <si>
    <t>60D-RB-MAT-FOAM-79.50X53.50X60MM</t>
  </si>
  <si>
    <t>60D-RB-MAT-FOAM-79.50X56.50X60MM</t>
  </si>
  <si>
    <t>60D-RB-MAT-FOAM-79.50X62.50X60MM</t>
  </si>
  <si>
    <t>60D-RB-MAT-FOAM-79.50X68.50X60MM</t>
  </si>
  <si>
    <t>60D-RB-MAT-FOAM-83.50X32.50X60MM</t>
  </si>
  <si>
    <t>60D-RB-MAT-FOAM-83.50X38.50X60MM</t>
  </si>
  <si>
    <t>60D-RB-MAT-FOAM-83.50X44.50X60MM</t>
  </si>
  <si>
    <t>60D-RB-MAT-FOAM-83.50X50.50X60MM</t>
  </si>
  <si>
    <t>60D-RB-MAT-FOAM-83.50X53.50X60MM</t>
  </si>
  <si>
    <t>60D-RB-MAT-FOAM-83.50X56.50X60MM</t>
  </si>
  <si>
    <t>60D-RB-MAT-FOAM-83.50X62.50X60MM</t>
  </si>
  <si>
    <t>60D-RB-MAT-FOAM-83.50X68.50X60MM</t>
  </si>
  <si>
    <t>60D-RB-MAT-FOAM-71.50X29.50X60MM</t>
  </si>
  <si>
    <t>60D-RB-MAT-FOAM-71.50X35.50X60MM</t>
  </si>
  <si>
    <t>60D-RB-MAT-FOAM-71.50X41.50X60MM</t>
  </si>
  <si>
    <t>60D-RB-MAT-FOAM-71.50X47.50X60MM</t>
  </si>
  <si>
    <t>60D-RB-MAT-FOAM-71.50X59.50X60MM</t>
  </si>
  <si>
    <t>60D-RB-MAT-FOAM-71.50X65.50X60MM</t>
  </si>
  <si>
    <t>60D-RB-MAT-FOAM-71.50X71.50X60MM</t>
  </si>
  <si>
    <t>60D-RB-MAT-FOAM-74.50X29.50X60MM</t>
  </si>
  <si>
    <t>60D-RB-MAT-FOAM-74.50X35.50X60MM</t>
  </si>
  <si>
    <t>60D-RB-MAT-FOAM-74.50X41.50X60MM</t>
  </si>
  <si>
    <t>60D-RB-MAT-FOAM-74.50X47.50X60MM</t>
  </si>
  <si>
    <t>60D-RB-MAT-FOAM-74.50X59.50X60MM</t>
  </si>
  <si>
    <t>60D-RB-MAT-FOAM-74.50X65.50X60MM</t>
  </si>
  <si>
    <t>60D-RB-MAT-FOAM-74.50X71.50X60MM</t>
  </si>
  <si>
    <t>60D-RB-MAT-FOAM-77.50X29.50X60MM</t>
  </si>
  <si>
    <t>60D-RB-MAT-FOAM-77.50X35.50X60MM</t>
  </si>
  <si>
    <t>60D-RB-MAT-FOAM-77.50X41.50X60MM</t>
  </si>
  <si>
    <t>60D-RB-MAT-FOAM-77.50X47.50X60MM</t>
  </si>
  <si>
    <t>60D-RB-MAT-FOAM-77.50X59.50X60MM</t>
  </si>
  <si>
    <t>60D-RB-MAT-FOAM-77.50X65.50X60MM</t>
  </si>
  <si>
    <t>60D-RB-MAT-FOAM-77.50X71.50X60MM</t>
  </si>
  <si>
    <t>60D-RB-MAT-FOAM-79.50X29.50X60MM</t>
  </si>
  <si>
    <t>60D-RB-MAT-FOAM-79.50X35.50X60MM</t>
  </si>
  <si>
    <t>60D-RB-MAT-FOAM-79.50X41.50X60MM</t>
  </si>
  <si>
    <t>60D-RB-MAT-FOAM-79.50X47.50X60MM</t>
  </si>
  <si>
    <t>60D-RB-MAT-FOAM-79.50X59.50X60MM</t>
  </si>
  <si>
    <t>60D-RB-MAT-FOAM-79.50X65.50X60MM</t>
  </si>
  <si>
    <t>60D-RB-MAT-FOAM-79.50X71.50X60MM</t>
  </si>
  <si>
    <t>60D-RB-MAT-FOAM-83.50X29.50X60MM</t>
  </si>
  <si>
    <t>60D-RB-MAT-FOAM-83.50X35.50X60MM</t>
  </si>
  <si>
    <t>60D-RB-MAT-FOAM-83.50X41.50X60MM</t>
  </si>
  <si>
    <t>60D-RB-MAT-FOAM-83.50X47.50X60MM</t>
  </si>
  <si>
    <t>60D-RB-MAT-FOAM-83.50X59.50X60MM</t>
  </si>
  <si>
    <t>60D-RB-MAT-FOAM-83.50X65.50X60MM</t>
  </si>
  <si>
    <t>60D-RB-MAT-FOAM-83.50X71.50X60MM</t>
  </si>
  <si>
    <t>OEBOXBNSR71.50X32.50X180</t>
  </si>
  <si>
    <t>OEBOXBNSR71.50X38.50X180</t>
  </si>
  <si>
    <t>OEBOXBNSR71.50X44.50X180</t>
  </si>
  <si>
    <t>OEBOXBNSR71.50X50.50X180</t>
  </si>
  <si>
    <t>OEBOXBNSR71.50X53.50X180</t>
  </si>
  <si>
    <t>OEBOXBNSR71.50X56.50X180</t>
  </si>
  <si>
    <t>OEBOXBNSR71.50X62.50X180</t>
  </si>
  <si>
    <t>OEBOXBNSR71.50X68.50X180</t>
  </si>
  <si>
    <t>OEBOXBNSR74.50X32.50X180</t>
  </si>
  <si>
    <t>OEBOXBNSR74.50X38.50X180</t>
  </si>
  <si>
    <t>OEBOXBNSR74.50X44.50X180</t>
  </si>
  <si>
    <t>OEBOXBNSR74.50X50.50X180</t>
  </si>
  <si>
    <t>OEBOXBNSR74.50X53.50X180</t>
  </si>
  <si>
    <t>OEBOXBNSR74.50X56.50X180</t>
  </si>
  <si>
    <t>OEBOXBNSR74.50X62.50X180</t>
  </si>
  <si>
    <t>OEBOXBNSR74.50X68.50X180</t>
  </si>
  <si>
    <t>OEBOXBNSR77.50X32.50X180</t>
  </si>
  <si>
    <t>OEBOXBNSR77.50X38.50X180</t>
  </si>
  <si>
    <t>OEBOXBNSR77.50X44.50X180</t>
  </si>
  <si>
    <t>OEBOXBNSR77.50X50.50X180</t>
  </si>
  <si>
    <t>OEBOXBNSR77.50X53.50X180</t>
  </si>
  <si>
    <t>OEBOXBNSR77.50X56.50X180</t>
  </si>
  <si>
    <t>OEBOXBNSR77.50X62.50X180</t>
  </si>
  <si>
    <t>OEBOXBNSR77.50X68.50X180</t>
  </si>
  <si>
    <t>OEBOXBNSR79.50X32.50X180</t>
  </si>
  <si>
    <t>OEBOXBNSR79.50X38.50X180</t>
  </si>
  <si>
    <t>OEBOXBNSR79.50X44.50X180</t>
  </si>
  <si>
    <t>OEBOXBNSR79.50X50.50X180</t>
  </si>
  <si>
    <t>OEBOXBNSR79.50X53.50X180</t>
  </si>
  <si>
    <t>OEBOXBNSR79.50X56.50X180</t>
  </si>
  <si>
    <t>OEBOXBNSR79.50X62.50X180</t>
  </si>
  <si>
    <t>OEBOXBNSR79.50X68.50X180</t>
  </si>
  <si>
    <t>OEBOXBNSR83.50X32.50X180</t>
  </si>
  <si>
    <t>OEBOXBNSR83.50X38.50X180</t>
  </si>
  <si>
    <t>OEBOXBNSR83.50X44.50X180</t>
  </si>
  <si>
    <t>OEBOXBNSR83.50X50.50X180</t>
  </si>
  <si>
    <t>OEBOXBNSR83.50X53.50X180</t>
  </si>
  <si>
    <t>OEBOXBNSR83.50X56.50X180</t>
  </si>
  <si>
    <t>OEBOXBNSR83.50X62.50X180</t>
  </si>
  <si>
    <t>OEBOXBNSR83.50X68.50X180</t>
  </si>
  <si>
    <t>OEBOXBNSR71.50X29.50X180</t>
  </si>
  <si>
    <t>OEBOXBNSR71.50X35.50X180</t>
  </si>
  <si>
    <t>OEBOXBNSR71.50X41.50X180</t>
  </si>
  <si>
    <t>OEBOXBNSR71.50X47.50X180</t>
  </si>
  <si>
    <t>OEBOXBNSR71.50X59.50X180</t>
  </si>
  <si>
    <t>OEBOXBNSR71.50X65.50X180</t>
  </si>
  <si>
    <t>OEBOXBNSR71.50X71.50X180</t>
  </si>
  <si>
    <t>OEBOXBNSR74.50X29.50X180</t>
  </si>
  <si>
    <t>OEBOXBNSR74.50X35.50X180</t>
  </si>
  <si>
    <t>OEBOXBNSR74.50X41.50X180</t>
  </si>
  <si>
    <t>OEBOXBNSR74.50X47.50X180</t>
  </si>
  <si>
    <t>OEBOXBNSR74.50X59.50X180</t>
  </si>
  <si>
    <t>OEBOXBNSR74.50X65.50X180</t>
  </si>
  <si>
    <t>OEBOXBNSR74.50X71.50X180</t>
  </si>
  <si>
    <t>OEBOXBNSR77.50X29.50X180</t>
  </si>
  <si>
    <t>OEBOXBNSR77.50X35.50X180</t>
  </si>
  <si>
    <t>OEBOXBNSR77.50X41.50X180</t>
  </si>
  <si>
    <t>OEBOXBNSR77.50X47.50X180</t>
  </si>
  <si>
    <t>OEBOXBNSR77.50X59.50X180</t>
  </si>
  <si>
    <t>OEBOXBNSR77.50X65.50X180</t>
  </si>
  <si>
    <t>OEBOXBNSR77.50X71.50X180</t>
  </si>
  <si>
    <t>OEBOXBNSR79.50X29.50X180</t>
  </si>
  <si>
    <t>OEBOXBNSR79.50X35.50X180</t>
  </si>
  <si>
    <t>OEBOXBNSR79.50X41.50X180</t>
  </si>
  <si>
    <t>OEBOXBNSR79.50X47.50X180</t>
  </si>
  <si>
    <t>OEBOXBNSR79.50X59.50X180</t>
  </si>
  <si>
    <t>OEBOXBNSR79.50X65.50X180</t>
  </si>
  <si>
    <t>OEBOXBNSR79.50X71.50X180</t>
  </si>
  <si>
    <t>OEBOXBNSR83.50X29.50X180</t>
  </si>
  <si>
    <t>OEBOXBNSR83.50X35.50X180</t>
  </si>
  <si>
    <t>OEBOXBNSR83.50X41.50X180</t>
  </si>
  <si>
    <t>OEBOXBNSR83.50X47.50X180</t>
  </si>
  <si>
    <t>OEBOXBNSR83.50X59.50X180</t>
  </si>
  <si>
    <t>OEBOXBNSR83.50X65.50X180</t>
  </si>
  <si>
    <t>OEBOXBNSR83.50X71.50X180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</si>
</sst>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5" fillId="6" borderId="3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8" sqref="E8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3.28515625" style="16" bestFit="1" customWidth="1"/>
    <col min="5" max="5" width="37.14062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"RTHTMTBNORG"&amp;$K$2&amp;"X"&amp;$L$2&amp;"X"&amp;IF($M$2&gt;9,$M$2,"0"&amp;$M$2)</f>
        <v>RTHTMTBNORG75X36X10</v>
      </c>
      <c r="E2" s="1" t="str">
        <f>"OEBOXBNSR"&amp;(K2-0.5)&amp;"0"&amp;"X"&amp;(L2-0.5)&amp;"0"&amp;"X"&amp;IF(M2=6,"130",IF(M2=8,"160",IF(M2&gt;9,"180",0)))</f>
        <v>OEBOXBNSR74.50X35.50X180</v>
      </c>
      <c r="F2" s="11" t="s">
        <v>11</v>
      </c>
      <c r="G2" s="10">
        <v>1</v>
      </c>
      <c r="H2" s="10">
        <f t="shared" ref="H2" si="0">ROUND(G2,3)</f>
        <v>1</v>
      </c>
      <c r="I2" s="20" t="s">
        <v>16</v>
      </c>
      <c r="J2" s="5"/>
      <c r="K2" s="6">
        <v>75</v>
      </c>
      <c r="L2" s="6">
        <v>36</v>
      </c>
      <c r="M2" s="37">
        <v>10</v>
      </c>
      <c r="N2" s="6"/>
      <c r="P2" s="4" t="s">
        <v>91</v>
      </c>
      <c r="R2" s="34" t="s">
        <v>92</v>
      </c>
      <c r="S2" s="34" t="s">
        <v>93</v>
      </c>
      <c r="T2" s="34">
        <v>10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4" si="1">"RTHTMTBNORG"&amp;$K$2&amp;"X"&amp;$L$2&amp;"X"&amp;IF($M$2&gt;9,$M$2,"0"&amp;$M$2)</f>
        <v>RTHTMTBNORG75X36X10</v>
      </c>
      <c r="E3" s="19" t="s">
        <v>109</v>
      </c>
      <c r="F3" s="11" t="s">
        <v>15</v>
      </c>
      <c r="G3" s="26">
        <f>IF(K2&lt;79,(L2+1),IF(L2&lt;37,(K2+1),(K2+1)))*0.0254</f>
        <v>0.93979999999999997</v>
      </c>
      <c r="H3" s="10">
        <f>ROUND(G3,3)</f>
        <v>0.94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10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RTHTMTBNORG75X36X10</v>
      </c>
      <c r="E4" s="42" t="s">
        <v>112</v>
      </c>
      <c r="F4" s="11" t="s">
        <v>15</v>
      </c>
      <c r="G4" s="16">
        <f>IF(K2&lt;79,(L2+1),IF(L2&lt;37,(K2+1),(K2+1)))*0.0254</f>
        <v>0.93979999999999997</v>
      </c>
      <c r="H4" s="10">
        <f>ROUND(G4,3)</f>
        <v>0.94</v>
      </c>
      <c r="I4" s="20" t="s">
        <v>16</v>
      </c>
      <c r="J4" s="12"/>
      <c r="O4" s="18"/>
      <c r="R4" s="34" t="s">
        <v>92</v>
      </c>
      <c r="S4" s="34" t="s">
        <v>95</v>
      </c>
      <c r="T4" s="34">
        <v>10</v>
      </c>
      <c r="U4" s="35" t="s">
        <v>108</v>
      </c>
    </row>
    <row r="5" spans="1:21" x14ac:dyDescent="0.25">
      <c r="A5" s="36">
        <v>4</v>
      </c>
      <c r="B5" s="7" t="s">
        <v>17</v>
      </c>
      <c r="C5" s="7" t="s">
        <v>17</v>
      </c>
      <c r="D5" s="7" t="str">
        <f t="shared" si="1"/>
        <v>RTHTMTBNORG75X36X10</v>
      </c>
      <c r="E5" s="41" t="s">
        <v>18</v>
      </c>
      <c r="F5" s="40" t="s">
        <v>15</v>
      </c>
      <c r="G5" s="10">
        <f>(K2+L2+1.5)*2*0.0254*8</f>
        <v>45.72</v>
      </c>
      <c r="H5" s="10">
        <f>ROUND(G5,3)</f>
        <v>45.72</v>
      </c>
      <c r="I5" s="40" t="s">
        <v>14</v>
      </c>
      <c r="J5" s="12"/>
      <c r="O5" s="18"/>
      <c r="R5" s="34" t="s">
        <v>92</v>
      </c>
      <c r="S5" s="34" t="s">
        <v>96</v>
      </c>
      <c r="T5" s="34">
        <v>10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1"/>
        <v>RTHTMTBNORG75X36X10</v>
      </c>
      <c r="E6" s="21" t="s">
        <v>105</v>
      </c>
      <c r="F6" s="15" t="s">
        <v>106</v>
      </c>
      <c r="G6" s="23">
        <f>((K2-1)*(L2-1)/144)*0.00729*6</f>
        <v>0.78671249999999993</v>
      </c>
      <c r="H6" s="10">
        <f t="shared" ref="H6:H13" si="2">ROUND(G6,3)</f>
        <v>0.78700000000000003</v>
      </c>
      <c r="I6" s="8" t="s">
        <v>14</v>
      </c>
      <c r="J6" s="12"/>
      <c r="R6" s="34" t="s">
        <v>92</v>
      </c>
      <c r="S6" s="34" t="s">
        <v>97</v>
      </c>
      <c r="T6" s="34">
        <v>10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RTHTMTBNORG75X36X10</v>
      </c>
      <c r="E7" s="21" t="s">
        <v>107</v>
      </c>
      <c r="F7" s="11" t="s">
        <v>15</v>
      </c>
      <c r="G7" s="10">
        <f>(K2+L2+4)*2*0.0254*2</f>
        <v>11.683999999999999</v>
      </c>
      <c r="H7" s="10">
        <f t="shared" si="2"/>
        <v>11.683999999999999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10</v>
      </c>
      <c r="U7" s="35" t="s">
        <v>108</v>
      </c>
    </row>
    <row r="8" spans="1:21" x14ac:dyDescent="0.25">
      <c r="A8" s="36">
        <v>7</v>
      </c>
      <c r="B8" s="7" t="s">
        <v>19</v>
      </c>
      <c r="C8" s="7" t="s">
        <v>19</v>
      </c>
      <c r="D8" s="7" t="str">
        <f t="shared" si="1"/>
        <v>RTHTMTBNORG75X36X10</v>
      </c>
      <c r="E8" s="21" t="s">
        <v>18</v>
      </c>
      <c r="F8" s="11" t="s">
        <v>15</v>
      </c>
      <c r="G8" s="10">
        <f>(K2+L2+4)*2*0.0254*(4.73+1.42)*2</f>
        <v>71.8566</v>
      </c>
      <c r="H8" s="10">
        <f t="shared" si="2"/>
        <v>71.856999999999999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10</v>
      </c>
      <c r="U8" s="35" t="s">
        <v>108</v>
      </c>
    </row>
    <row r="9" spans="1:21" x14ac:dyDescent="0.25">
      <c r="A9" s="36">
        <v>8</v>
      </c>
      <c r="B9" s="7" t="s">
        <v>20</v>
      </c>
      <c r="C9" s="9" t="s">
        <v>20</v>
      </c>
      <c r="D9" s="7" t="str">
        <f t="shared" si="1"/>
        <v>RTHTMTBNORG75X36X10</v>
      </c>
      <c r="E9" s="21" t="str">
        <f>IF(M2=6,"RML-CS-PL-6.5""",IF(M2=8,"RML-CS-PL-8.5",IF(M2=10,"RML-CS-PL-10.5",IF(M2=12,"RML-CS-PL-12.25"))))</f>
        <v>RML-CS-PL-10.5</v>
      </c>
      <c r="F9" s="11" t="s">
        <v>11</v>
      </c>
      <c r="G9" s="10">
        <v>4</v>
      </c>
      <c r="H9" s="10">
        <f t="shared" si="2"/>
        <v>4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10</v>
      </c>
      <c r="U9" s="35" t="s">
        <v>108</v>
      </c>
    </row>
    <row r="10" spans="1:21" x14ac:dyDescent="0.25">
      <c r="A10" s="36">
        <v>9</v>
      </c>
      <c r="B10" s="7" t="s">
        <v>19</v>
      </c>
      <c r="C10" s="7" t="s">
        <v>19</v>
      </c>
      <c r="D10" s="7" t="str">
        <f t="shared" si="1"/>
        <v>RTHTMTBNORG75X36X10</v>
      </c>
      <c r="E10" s="21" t="s">
        <v>21</v>
      </c>
      <c r="F10" s="11" t="s">
        <v>11</v>
      </c>
      <c r="G10" s="10">
        <v>1</v>
      </c>
      <c r="H10" s="10">
        <f t="shared" si="2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10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1"/>
        <v>RTHTMTBNORG75X36X10</v>
      </c>
      <c r="E11" s="21" t="s">
        <v>22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10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1"/>
        <v>RTHTMTBNORG75X36X10</v>
      </c>
      <c r="E12" s="21" t="s">
        <v>23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10</v>
      </c>
      <c r="U12" s="35" t="s">
        <v>108</v>
      </c>
    </row>
    <row r="13" spans="1:21" x14ac:dyDescent="0.25">
      <c r="A13" s="36">
        <v>12</v>
      </c>
      <c r="B13" s="7" t="s">
        <v>20</v>
      </c>
      <c r="C13" s="9" t="s">
        <v>20</v>
      </c>
      <c r="D13" s="7" t="str">
        <f t="shared" si="1"/>
        <v>RTHTMTBNORG75X36X10</v>
      </c>
      <c r="E13" s="18" t="s">
        <v>110</v>
      </c>
      <c r="F13" s="11" t="s">
        <v>13</v>
      </c>
      <c r="G13" s="24">
        <f>IF(K2&lt;79,((L2*2)+(M2*2)+4),((K2*2)+(M2*2)+4))*0.0254*89.5*0.0254*0.00009*1300</f>
        <v>0.64855612223999992</v>
      </c>
      <c r="H13" s="10">
        <f t="shared" si="2"/>
        <v>0.64900000000000002</v>
      </c>
      <c r="I13" s="8" t="s">
        <v>14</v>
      </c>
      <c r="J13" s="12"/>
      <c r="K13" s="22"/>
      <c r="R13" s="34" t="s">
        <v>101</v>
      </c>
      <c r="S13" s="34" t="s">
        <v>96</v>
      </c>
      <c r="T13" s="34">
        <v>10</v>
      </c>
      <c r="U13" s="35" t="s">
        <v>108</v>
      </c>
    </row>
    <row r="14" spans="1:21" x14ac:dyDescent="0.25">
      <c r="A14" s="36">
        <v>13</v>
      </c>
      <c r="B14" s="7" t="s">
        <v>19</v>
      </c>
      <c r="C14" s="7" t="s">
        <v>19</v>
      </c>
      <c r="D14" s="7" t="str">
        <f t="shared" si="1"/>
        <v>RTHTMTBNORG75X36X10</v>
      </c>
      <c r="E14" s="39" t="str">
        <f>"60D-RB-MAT-FOAM-"&amp;(K2-0.5)&amp;"0"&amp;"X"&amp;(L2-0.5)&amp;"0"&amp;"X60MM"</f>
        <v>60D-RB-MAT-FOAM-74.50X35.50X60MM</v>
      </c>
      <c r="F14" s="8" t="s">
        <v>11</v>
      </c>
      <c r="G14" s="14">
        <v>1</v>
      </c>
      <c r="H14" s="10">
        <f t="shared" ref="H14" si="3">ROUND(G14,3)</f>
        <v>1</v>
      </c>
      <c r="I14" s="20" t="s">
        <v>16</v>
      </c>
      <c r="J14" s="12"/>
      <c r="M14" s="22"/>
      <c r="O14" s="22"/>
      <c r="R14" s="34" t="s">
        <v>101</v>
      </c>
      <c r="S14" s="34" t="s">
        <v>97</v>
      </c>
      <c r="T14" s="34">
        <v>10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10</v>
      </c>
      <c r="U15" s="35" t="s">
        <v>108</v>
      </c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10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10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10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10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10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10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10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10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10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10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10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10</v>
      </c>
      <c r="U27" s="35" t="s">
        <v>108</v>
      </c>
    </row>
    <row r="28" spans="5:21" x14ac:dyDescent="0.25">
      <c r="E28" s="22"/>
      <c r="I28" s="22"/>
      <c r="M28" s="22"/>
      <c r="N28"/>
      <c r="O28"/>
      <c r="R28" s="34" t="s">
        <v>103</v>
      </c>
      <c r="S28" s="34" t="s">
        <v>95</v>
      </c>
      <c r="T28" s="34">
        <v>10</v>
      </c>
      <c r="U28" s="35" t="s">
        <v>108</v>
      </c>
    </row>
    <row r="29" spans="5:21" x14ac:dyDescent="0.25">
      <c r="E29" s="22"/>
      <c r="N29"/>
      <c r="O29"/>
      <c r="R29" s="34" t="s">
        <v>103</v>
      </c>
      <c r="S29" s="34" t="s">
        <v>96</v>
      </c>
      <c r="T29" s="34">
        <v>10</v>
      </c>
      <c r="U29" s="35" t="s">
        <v>108</v>
      </c>
    </row>
    <row r="30" spans="5:21" x14ac:dyDescent="0.25">
      <c r="H30" s="22"/>
      <c r="N30"/>
      <c r="O30"/>
      <c r="R30" s="34" t="s">
        <v>103</v>
      </c>
      <c r="S30" s="34" t="s">
        <v>97</v>
      </c>
      <c r="T30" s="34">
        <v>10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10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10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10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10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10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10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10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10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10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10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10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10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10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10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10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10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10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10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10</v>
      </c>
      <c r="U49" s="35"/>
    </row>
    <row r="50" spans="14:21" x14ac:dyDescent="0.25">
      <c r="R50" s="34">
        <v>75</v>
      </c>
      <c r="S50" s="34">
        <v>36</v>
      </c>
      <c r="T50" s="34">
        <v>10</v>
      </c>
      <c r="U50" s="35"/>
    </row>
    <row r="51" spans="14:21" x14ac:dyDescent="0.25">
      <c r="R51" s="34">
        <v>75</v>
      </c>
      <c r="S51" s="34">
        <v>42</v>
      </c>
      <c r="T51" s="34">
        <v>10</v>
      </c>
      <c r="U51" s="35"/>
    </row>
    <row r="52" spans="14:21" x14ac:dyDescent="0.25">
      <c r="R52" s="34">
        <v>75</v>
      </c>
      <c r="S52" s="34">
        <v>48</v>
      </c>
      <c r="T52" s="34">
        <v>10</v>
      </c>
      <c r="U52" s="35"/>
    </row>
    <row r="53" spans="14:21" x14ac:dyDescent="0.25">
      <c r="R53" s="34">
        <v>75</v>
      </c>
      <c r="S53" s="34">
        <v>60</v>
      </c>
      <c r="T53" s="34">
        <v>10</v>
      </c>
      <c r="U53" s="35"/>
    </row>
    <row r="54" spans="14:21" x14ac:dyDescent="0.25">
      <c r="R54" s="34">
        <v>75</v>
      </c>
      <c r="S54" s="34">
        <v>66</v>
      </c>
      <c r="T54" s="34">
        <v>10</v>
      </c>
      <c r="U54" s="35"/>
    </row>
    <row r="55" spans="14:21" x14ac:dyDescent="0.25">
      <c r="R55" s="34">
        <v>75</v>
      </c>
      <c r="S55" s="34">
        <v>72</v>
      </c>
      <c r="T55" s="34">
        <v>10</v>
      </c>
      <c r="U55" s="35"/>
    </row>
    <row r="56" spans="14:21" x14ac:dyDescent="0.25">
      <c r="R56" s="34">
        <v>78</v>
      </c>
      <c r="S56" s="34">
        <v>30</v>
      </c>
      <c r="T56" s="34">
        <v>10</v>
      </c>
      <c r="U56" s="35"/>
    </row>
    <row r="57" spans="14:21" x14ac:dyDescent="0.25">
      <c r="R57" s="34">
        <v>78</v>
      </c>
      <c r="S57" s="34">
        <v>36</v>
      </c>
      <c r="T57" s="34">
        <v>10</v>
      </c>
      <c r="U57" s="35"/>
    </row>
    <row r="58" spans="14:21" x14ac:dyDescent="0.25">
      <c r="R58" s="34">
        <v>78</v>
      </c>
      <c r="S58" s="34">
        <v>42</v>
      </c>
      <c r="T58" s="34">
        <v>10</v>
      </c>
      <c r="U58" s="35"/>
    </row>
    <row r="59" spans="14:21" x14ac:dyDescent="0.25">
      <c r="R59" s="34">
        <v>78</v>
      </c>
      <c r="S59" s="34">
        <v>48</v>
      </c>
      <c r="T59" s="34">
        <v>10</v>
      </c>
      <c r="U59" s="35"/>
    </row>
    <row r="60" spans="14:21" x14ac:dyDescent="0.25">
      <c r="R60" s="34">
        <v>78</v>
      </c>
      <c r="S60" s="34">
        <v>60</v>
      </c>
      <c r="T60" s="34">
        <v>10</v>
      </c>
      <c r="U60" s="35"/>
    </row>
    <row r="61" spans="14:21" x14ac:dyDescent="0.25">
      <c r="R61" s="34">
        <v>78</v>
      </c>
      <c r="S61" s="34">
        <v>66</v>
      </c>
      <c r="T61" s="34">
        <v>10</v>
      </c>
      <c r="U61" s="35"/>
    </row>
    <row r="62" spans="14:21" x14ac:dyDescent="0.25">
      <c r="R62" s="34">
        <v>78</v>
      </c>
      <c r="S62" s="34">
        <v>72</v>
      </c>
      <c r="T62" s="34">
        <v>10</v>
      </c>
      <c r="U62" s="35"/>
    </row>
    <row r="63" spans="14:21" x14ac:dyDescent="0.25">
      <c r="R63" s="34">
        <v>80</v>
      </c>
      <c r="S63" s="34">
        <v>30</v>
      </c>
      <c r="T63" s="34">
        <v>10</v>
      </c>
      <c r="U63" s="35"/>
    </row>
    <row r="64" spans="14:21" x14ac:dyDescent="0.25">
      <c r="R64" s="34">
        <v>80</v>
      </c>
      <c r="S64" s="34">
        <v>36</v>
      </c>
      <c r="T64" s="34">
        <v>10</v>
      </c>
      <c r="U64" s="35"/>
    </row>
    <row r="65" spans="18:21" x14ac:dyDescent="0.25">
      <c r="R65" s="34">
        <v>80</v>
      </c>
      <c r="S65" s="34">
        <v>42</v>
      </c>
      <c r="T65" s="34">
        <v>10</v>
      </c>
      <c r="U65" s="35"/>
    </row>
    <row r="66" spans="18:21" x14ac:dyDescent="0.25">
      <c r="R66" s="34">
        <v>80</v>
      </c>
      <c r="S66" s="34">
        <v>48</v>
      </c>
      <c r="T66" s="34">
        <v>10</v>
      </c>
      <c r="U66" s="35"/>
    </row>
    <row r="67" spans="18:21" x14ac:dyDescent="0.25">
      <c r="R67" s="34">
        <v>80</v>
      </c>
      <c r="S67" s="34">
        <v>60</v>
      </c>
      <c r="T67" s="34">
        <v>10</v>
      </c>
      <c r="U67" s="35"/>
    </row>
    <row r="68" spans="18:21" x14ac:dyDescent="0.25">
      <c r="R68" s="34">
        <v>80</v>
      </c>
      <c r="S68" s="34">
        <v>66</v>
      </c>
      <c r="T68" s="34">
        <v>10</v>
      </c>
      <c r="U68" s="35"/>
    </row>
    <row r="69" spans="18:21" x14ac:dyDescent="0.25">
      <c r="R69" s="34">
        <v>80</v>
      </c>
      <c r="S69" s="34">
        <v>72</v>
      </c>
      <c r="T69" s="34">
        <v>10</v>
      </c>
      <c r="U69" s="35"/>
    </row>
    <row r="70" spans="18:21" x14ac:dyDescent="0.25">
      <c r="R70" s="34">
        <v>84</v>
      </c>
      <c r="S70" s="34">
        <v>30</v>
      </c>
      <c r="T70" s="34">
        <v>10</v>
      </c>
      <c r="U70" s="35"/>
    </row>
    <row r="71" spans="18:21" x14ac:dyDescent="0.25">
      <c r="R71" s="34">
        <v>84</v>
      </c>
      <c r="S71" s="34">
        <v>36</v>
      </c>
      <c r="T71" s="34">
        <v>10</v>
      </c>
      <c r="U71" s="35"/>
    </row>
    <row r="72" spans="18:21" x14ac:dyDescent="0.25">
      <c r="R72" s="34">
        <v>84</v>
      </c>
      <c r="S72" s="34">
        <v>42</v>
      </c>
      <c r="T72" s="34">
        <v>10</v>
      </c>
      <c r="U72" s="35"/>
    </row>
    <row r="73" spans="18:21" x14ac:dyDescent="0.25">
      <c r="R73" s="34">
        <v>84</v>
      </c>
      <c r="S73" s="34">
        <v>48</v>
      </c>
      <c r="T73" s="34">
        <v>10</v>
      </c>
      <c r="U73" s="35"/>
    </row>
    <row r="74" spans="18:21" x14ac:dyDescent="0.25">
      <c r="R74" s="34">
        <v>84</v>
      </c>
      <c r="S74" s="34">
        <v>60</v>
      </c>
      <c r="T74" s="34">
        <v>10</v>
      </c>
      <c r="U74" s="35"/>
    </row>
    <row r="75" spans="18:21" x14ac:dyDescent="0.25">
      <c r="R75" s="34">
        <v>84</v>
      </c>
      <c r="S75" s="34">
        <v>66</v>
      </c>
      <c r="T75" s="34">
        <v>10</v>
      </c>
      <c r="U75" s="35"/>
    </row>
    <row r="76" spans="18:21" x14ac:dyDescent="0.25">
      <c r="R76" s="34">
        <v>84</v>
      </c>
      <c r="S76" s="34">
        <v>72</v>
      </c>
      <c r="T76" s="34">
        <v>10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112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18</v>
      </c>
      <c r="E5" t="s">
        <v>15</v>
      </c>
      <c r="F5">
        <v>43.281999999999996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105</v>
      </c>
      <c r="E6" t="s">
        <v>106</v>
      </c>
      <c r="F6">
        <v>0.69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11.074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68.108000000000004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111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110</v>
      </c>
      <c r="E13" t="s">
        <v>13</v>
      </c>
      <c r="F13">
        <v>0.60799999999999998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188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109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112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18</v>
      </c>
      <c r="E18" t="s">
        <v>15</v>
      </c>
      <c r="F18">
        <v>45.72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105</v>
      </c>
      <c r="E19" t="s">
        <v>106</v>
      </c>
      <c r="F19">
        <v>0.82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11.683999999999999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71.856999999999999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111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110</v>
      </c>
      <c r="E26" t="s">
        <v>13</v>
      </c>
      <c r="F26">
        <v>0.68899999999999995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189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115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115</v>
      </c>
      <c r="C29">
        <v>20</v>
      </c>
      <c r="D29" t="s">
        <v>109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115</v>
      </c>
      <c r="C30">
        <v>30</v>
      </c>
      <c r="D30" t="s">
        <v>112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115</v>
      </c>
      <c r="C31">
        <v>40</v>
      </c>
      <c r="D31" t="s">
        <v>18</v>
      </c>
      <c r="E31" t="s">
        <v>15</v>
      </c>
      <c r="F31">
        <v>48.158000000000001</v>
      </c>
      <c r="G31" t="s">
        <v>14</v>
      </c>
    </row>
    <row r="32" spans="1:7" x14ac:dyDescent="0.25">
      <c r="A32">
        <v>3</v>
      </c>
      <c r="B32" t="s">
        <v>115</v>
      </c>
      <c r="C32">
        <v>50</v>
      </c>
      <c r="D32" t="s">
        <v>105</v>
      </c>
      <c r="E32" t="s">
        <v>106</v>
      </c>
      <c r="F32">
        <v>0.94899999999999995</v>
      </c>
      <c r="G32" t="s">
        <v>14</v>
      </c>
    </row>
    <row r="33" spans="1:7" x14ac:dyDescent="0.25">
      <c r="A33">
        <v>3</v>
      </c>
      <c r="B33" t="s">
        <v>115</v>
      </c>
      <c r="C33">
        <v>60</v>
      </c>
      <c r="D33" t="s">
        <v>107</v>
      </c>
      <c r="E33" t="s">
        <v>15</v>
      </c>
      <c r="F33">
        <v>12.294</v>
      </c>
      <c r="G33" t="s">
        <v>14</v>
      </c>
    </row>
    <row r="34" spans="1:7" x14ac:dyDescent="0.25">
      <c r="A34">
        <v>3</v>
      </c>
      <c r="B34" t="s">
        <v>115</v>
      </c>
      <c r="C34">
        <v>70</v>
      </c>
      <c r="D34" t="s">
        <v>18</v>
      </c>
      <c r="E34" t="s">
        <v>15</v>
      </c>
      <c r="F34">
        <v>75.605999999999995</v>
      </c>
      <c r="G34" t="s">
        <v>14</v>
      </c>
    </row>
    <row r="35" spans="1:7" x14ac:dyDescent="0.25">
      <c r="A35">
        <v>3</v>
      </c>
      <c r="B35" t="s">
        <v>115</v>
      </c>
      <c r="C35">
        <v>80</v>
      </c>
      <c r="D35" t="s">
        <v>111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115</v>
      </c>
      <c r="C39">
        <v>120</v>
      </c>
      <c r="D39" t="s">
        <v>110</v>
      </c>
      <c r="E39" t="s">
        <v>13</v>
      </c>
      <c r="F39">
        <v>0.77</v>
      </c>
      <c r="G39" t="s">
        <v>14</v>
      </c>
    </row>
    <row r="40" spans="1:7" x14ac:dyDescent="0.25">
      <c r="A40">
        <v>3</v>
      </c>
      <c r="B40" t="s">
        <v>115</v>
      </c>
      <c r="C40">
        <v>130</v>
      </c>
      <c r="D40" t="s">
        <v>190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116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116</v>
      </c>
      <c r="C42">
        <v>20</v>
      </c>
      <c r="D42" t="s">
        <v>109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116</v>
      </c>
      <c r="C43">
        <v>30</v>
      </c>
      <c r="D43" t="s">
        <v>112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116</v>
      </c>
      <c r="C44">
        <v>40</v>
      </c>
      <c r="D44" t="s">
        <v>18</v>
      </c>
      <c r="E44" t="s">
        <v>15</v>
      </c>
      <c r="F44">
        <v>50.597000000000001</v>
      </c>
      <c r="G44" t="s">
        <v>14</v>
      </c>
    </row>
    <row r="45" spans="1:7" x14ac:dyDescent="0.25">
      <c r="A45">
        <v>4</v>
      </c>
      <c r="B45" t="s">
        <v>116</v>
      </c>
      <c r="C45">
        <v>50</v>
      </c>
      <c r="D45" t="s">
        <v>105</v>
      </c>
      <c r="E45" t="s">
        <v>106</v>
      </c>
      <c r="F45">
        <v>1.0780000000000001</v>
      </c>
      <c r="G45" t="s">
        <v>14</v>
      </c>
    </row>
    <row r="46" spans="1:7" x14ac:dyDescent="0.25">
      <c r="A46">
        <v>4</v>
      </c>
      <c r="B46" t="s">
        <v>116</v>
      </c>
      <c r="C46">
        <v>60</v>
      </c>
      <c r="D46" t="s">
        <v>107</v>
      </c>
      <c r="E46" t="s">
        <v>15</v>
      </c>
      <c r="F46">
        <v>12.903</v>
      </c>
      <c r="G46" t="s">
        <v>14</v>
      </c>
    </row>
    <row r="47" spans="1:7" x14ac:dyDescent="0.25">
      <c r="A47">
        <v>4</v>
      </c>
      <c r="B47" t="s">
        <v>116</v>
      </c>
      <c r="C47">
        <v>70</v>
      </c>
      <c r="D47" t="s">
        <v>18</v>
      </c>
      <c r="E47" t="s">
        <v>15</v>
      </c>
      <c r="F47">
        <v>79.355000000000004</v>
      </c>
      <c r="G47" t="s">
        <v>14</v>
      </c>
    </row>
    <row r="48" spans="1:7" x14ac:dyDescent="0.25">
      <c r="A48">
        <v>4</v>
      </c>
      <c r="B48" t="s">
        <v>116</v>
      </c>
      <c r="C48">
        <v>80</v>
      </c>
      <c r="D48" t="s">
        <v>111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116</v>
      </c>
      <c r="C52">
        <v>120</v>
      </c>
      <c r="D52" t="s">
        <v>110</v>
      </c>
      <c r="E52" t="s">
        <v>13</v>
      </c>
      <c r="F52">
        <v>0.85099999999999998</v>
      </c>
      <c r="G52" t="s">
        <v>14</v>
      </c>
    </row>
    <row r="53" spans="1:7" x14ac:dyDescent="0.25">
      <c r="A53">
        <v>4</v>
      </c>
      <c r="B53" t="s">
        <v>116</v>
      </c>
      <c r="C53">
        <v>130</v>
      </c>
      <c r="D53" t="s">
        <v>191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117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117</v>
      </c>
      <c r="C55">
        <v>20</v>
      </c>
      <c r="D55" t="s">
        <v>109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117</v>
      </c>
      <c r="C56">
        <v>30</v>
      </c>
      <c r="D56" t="s">
        <v>112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117</v>
      </c>
      <c r="C57">
        <v>40</v>
      </c>
      <c r="D57" t="s">
        <v>18</v>
      </c>
      <c r="E57" t="s">
        <v>15</v>
      </c>
      <c r="F57">
        <v>51.816000000000003</v>
      </c>
      <c r="G57" t="s">
        <v>14</v>
      </c>
    </row>
    <row r="58" spans="1:7" x14ac:dyDescent="0.25">
      <c r="A58">
        <v>5</v>
      </c>
      <c r="B58" t="s">
        <v>117</v>
      </c>
      <c r="C58">
        <v>50</v>
      </c>
      <c r="D58" t="s">
        <v>105</v>
      </c>
      <c r="E58" t="s">
        <v>106</v>
      </c>
      <c r="F58">
        <v>1.143</v>
      </c>
      <c r="G58" t="s">
        <v>14</v>
      </c>
    </row>
    <row r="59" spans="1:7" x14ac:dyDescent="0.25">
      <c r="A59">
        <v>5</v>
      </c>
      <c r="B59" t="s">
        <v>117</v>
      </c>
      <c r="C59">
        <v>60</v>
      </c>
      <c r="D59" t="s">
        <v>107</v>
      </c>
      <c r="E59" t="s">
        <v>15</v>
      </c>
      <c r="F59">
        <v>13.208</v>
      </c>
      <c r="G59" t="s">
        <v>14</v>
      </c>
    </row>
    <row r="60" spans="1:7" x14ac:dyDescent="0.25">
      <c r="A60">
        <v>5</v>
      </c>
      <c r="B60" t="s">
        <v>117</v>
      </c>
      <c r="C60">
        <v>70</v>
      </c>
      <c r="D60" t="s">
        <v>18</v>
      </c>
      <c r="E60" t="s">
        <v>15</v>
      </c>
      <c r="F60">
        <v>81.228999999999999</v>
      </c>
      <c r="G60" t="s">
        <v>14</v>
      </c>
    </row>
    <row r="61" spans="1:7" x14ac:dyDescent="0.25">
      <c r="A61">
        <v>5</v>
      </c>
      <c r="B61" t="s">
        <v>117</v>
      </c>
      <c r="C61">
        <v>80</v>
      </c>
      <c r="D61" t="s">
        <v>111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117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117</v>
      </c>
      <c r="C65">
        <v>120</v>
      </c>
      <c r="D65" t="s">
        <v>110</v>
      </c>
      <c r="E65" t="s">
        <v>13</v>
      </c>
      <c r="F65">
        <v>0.89200000000000002</v>
      </c>
      <c r="G65" t="s">
        <v>14</v>
      </c>
    </row>
    <row r="66" spans="1:7" x14ac:dyDescent="0.25">
      <c r="A66">
        <v>5</v>
      </c>
      <c r="B66" t="s">
        <v>117</v>
      </c>
      <c r="C66">
        <v>130</v>
      </c>
      <c r="D66" t="s">
        <v>192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118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118</v>
      </c>
      <c r="C68">
        <v>20</v>
      </c>
      <c r="D68" t="s">
        <v>109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118</v>
      </c>
      <c r="C69">
        <v>30</v>
      </c>
      <c r="D69" t="s">
        <v>112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118</v>
      </c>
      <c r="C70">
        <v>40</v>
      </c>
      <c r="D70" t="s">
        <v>18</v>
      </c>
      <c r="E70" t="s">
        <v>15</v>
      </c>
      <c r="F70">
        <v>53.034999999999997</v>
      </c>
      <c r="G70" t="s">
        <v>14</v>
      </c>
    </row>
    <row r="71" spans="1:7" x14ac:dyDescent="0.25">
      <c r="A71">
        <v>6</v>
      </c>
      <c r="B71" t="s">
        <v>118</v>
      </c>
      <c r="C71">
        <v>50</v>
      </c>
      <c r="D71" t="s">
        <v>105</v>
      </c>
      <c r="E71" t="s">
        <v>106</v>
      </c>
      <c r="F71">
        <v>1.208</v>
      </c>
      <c r="G71" t="s">
        <v>14</v>
      </c>
    </row>
    <row r="72" spans="1:7" x14ac:dyDescent="0.25">
      <c r="A72">
        <v>6</v>
      </c>
      <c r="B72" t="s">
        <v>118</v>
      </c>
      <c r="C72">
        <v>60</v>
      </c>
      <c r="D72" t="s">
        <v>107</v>
      </c>
      <c r="E72" t="s">
        <v>15</v>
      </c>
      <c r="F72">
        <v>13.513</v>
      </c>
      <c r="G72" t="s">
        <v>14</v>
      </c>
    </row>
    <row r="73" spans="1:7" x14ac:dyDescent="0.25">
      <c r="A73">
        <v>6</v>
      </c>
      <c r="B73" t="s">
        <v>118</v>
      </c>
      <c r="C73">
        <v>70</v>
      </c>
      <c r="D73" t="s">
        <v>18</v>
      </c>
      <c r="E73" t="s">
        <v>15</v>
      </c>
      <c r="F73">
        <v>83.103999999999999</v>
      </c>
      <c r="G73" t="s">
        <v>14</v>
      </c>
    </row>
    <row r="74" spans="1:7" x14ac:dyDescent="0.25">
      <c r="A74">
        <v>6</v>
      </c>
      <c r="B74" t="s">
        <v>118</v>
      </c>
      <c r="C74">
        <v>80</v>
      </c>
      <c r="D74" t="s">
        <v>111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118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118</v>
      </c>
      <c r="C78">
        <v>120</v>
      </c>
      <c r="D78" t="s">
        <v>110</v>
      </c>
      <c r="E78" t="s">
        <v>13</v>
      </c>
      <c r="F78">
        <v>0.93200000000000005</v>
      </c>
      <c r="G78" t="s">
        <v>14</v>
      </c>
    </row>
    <row r="79" spans="1:7" x14ac:dyDescent="0.25">
      <c r="A79">
        <v>6</v>
      </c>
      <c r="B79" t="s">
        <v>118</v>
      </c>
      <c r="C79">
        <v>130</v>
      </c>
      <c r="D79" t="s">
        <v>193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119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119</v>
      </c>
      <c r="C81">
        <v>20</v>
      </c>
      <c r="D81" t="s">
        <v>109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119</v>
      </c>
      <c r="C82">
        <v>30</v>
      </c>
      <c r="D82" t="s">
        <v>112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119</v>
      </c>
      <c r="C83">
        <v>40</v>
      </c>
      <c r="D83" t="s">
        <v>18</v>
      </c>
      <c r="E83" t="s">
        <v>15</v>
      </c>
      <c r="F83">
        <v>55.473999999999997</v>
      </c>
      <c r="G83" t="s">
        <v>14</v>
      </c>
    </row>
    <row r="84" spans="1:7" x14ac:dyDescent="0.25">
      <c r="A84">
        <v>7</v>
      </c>
      <c r="B84" t="s">
        <v>119</v>
      </c>
      <c r="C84">
        <v>50</v>
      </c>
      <c r="D84" t="s">
        <v>105</v>
      </c>
      <c r="E84" t="s">
        <v>106</v>
      </c>
      <c r="F84">
        <v>1.337</v>
      </c>
      <c r="G84" t="s">
        <v>14</v>
      </c>
    </row>
    <row r="85" spans="1:7" x14ac:dyDescent="0.25">
      <c r="A85">
        <v>7</v>
      </c>
      <c r="B85" t="s">
        <v>119</v>
      </c>
      <c r="C85">
        <v>60</v>
      </c>
      <c r="D85" t="s">
        <v>107</v>
      </c>
      <c r="E85" t="s">
        <v>15</v>
      </c>
      <c r="F85">
        <v>14.122</v>
      </c>
      <c r="G85" t="s">
        <v>14</v>
      </c>
    </row>
    <row r="86" spans="1:7" x14ac:dyDescent="0.25">
      <c r="A86">
        <v>7</v>
      </c>
      <c r="B86" t="s">
        <v>119</v>
      </c>
      <c r="C86">
        <v>70</v>
      </c>
      <c r="D86" t="s">
        <v>18</v>
      </c>
      <c r="E86" t="s">
        <v>15</v>
      </c>
      <c r="F86">
        <v>86.852999999999994</v>
      </c>
      <c r="G86" t="s">
        <v>14</v>
      </c>
    </row>
    <row r="87" spans="1:7" x14ac:dyDescent="0.25">
      <c r="A87">
        <v>7</v>
      </c>
      <c r="B87" t="s">
        <v>119</v>
      </c>
      <c r="C87">
        <v>80</v>
      </c>
      <c r="D87" t="s">
        <v>111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119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119</v>
      </c>
      <c r="C91">
        <v>120</v>
      </c>
      <c r="D91" t="s">
        <v>110</v>
      </c>
      <c r="E91" t="s">
        <v>13</v>
      </c>
      <c r="F91">
        <v>1.0129999999999999</v>
      </c>
      <c r="G91" t="s">
        <v>14</v>
      </c>
    </row>
    <row r="92" spans="1:7" x14ac:dyDescent="0.25">
      <c r="A92">
        <v>7</v>
      </c>
      <c r="B92" t="s">
        <v>119</v>
      </c>
      <c r="C92">
        <v>130</v>
      </c>
      <c r="D92" t="s">
        <v>194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120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120</v>
      </c>
      <c r="C94">
        <v>20</v>
      </c>
      <c r="D94" t="s">
        <v>109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120</v>
      </c>
      <c r="C95">
        <v>30</v>
      </c>
      <c r="D95" t="s">
        <v>112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120</v>
      </c>
      <c r="C96">
        <v>40</v>
      </c>
      <c r="D96" t="s">
        <v>18</v>
      </c>
      <c r="E96" t="s">
        <v>15</v>
      </c>
      <c r="F96">
        <v>57.911999999999999</v>
      </c>
      <c r="G96" t="s">
        <v>14</v>
      </c>
    </row>
    <row r="97" spans="1:7" x14ac:dyDescent="0.25">
      <c r="A97">
        <v>8</v>
      </c>
      <c r="B97" t="s">
        <v>120</v>
      </c>
      <c r="C97">
        <v>50</v>
      </c>
      <c r="D97" t="s">
        <v>105</v>
      </c>
      <c r="E97" t="s">
        <v>106</v>
      </c>
      <c r="F97">
        <v>1.4670000000000001</v>
      </c>
      <c r="G97" t="s">
        <v>14</v>
      </c>
    </row>
    <row r="98" spans="1:7" x14ac:dyDescent="0.25">
      <c r="A98">
        <v>8</v>
      </c>
      <c r="B98" t="s">
        <v>120</v>
      </c>
      <c r="C98">
        <v>60</v>
      </c>
      <c r="D98" t="s">
        <v>107</v>
      </c>
      <c r="E98" t="s">
        <v>15</v>
      </c>
      <c r="F98">
        <v>14.731999999999999</v>
      </c>
      <c r="G98" t="s">
        <v>14</v>
      </c>
    </row>
    <row r="99" spans="1:7" x14ac:dyDescent="0.25">
      <c r="A99">
        <v>8</v>
      </c>
      <c r="B99" t="s">
        <v>120</v>
      </c>
      <c r="C99">
        <v>70</v>
      </c>
      <c r="D99" t="s">
        <v>18</v>
      </c>
      <c r="E99" t="s">
        <v>15</v>
      </c>
      <c r="F99">
        <v>90.602000000000004</v>
      </c>
      <c r="G99" t="s">
        <v>14</v>
      </c>
    </row>
    <row r="100" spans="1:7" x14ac:dyDescent="0.25">
      <c r="A100">
        <v>8</v>
      </c>
      <c r="B100" t="s">
        <v>120</v>
      </c>
      <c r="C100">
        <v>80</v>
      </c>
      <c r="D100" t="s">
        <v>111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120</v>
      </c>
      <c r="C104">
        <v>120</v>
      </c>
      <c r="D104" t="s">
        <v>110</v>
      </c>
      <c r="E104" t="s">
        <v>13</v>
      </c>
      <c r="F104">
        <v>1.0940000000000001</v>
      </c>
      <c r="G104" t="s">
        <v>14</v>
      </c>
    </row>
    <row r="105" spans="1:7" x14ac:dyDescent="0.25">
      <c r="A105">
        <v>8</v>
      </c>
      <c r="B105" t="s">
        <v>120</v>
      </c>
      <c r="C105">
        <v>130</v>
      </c>
      <c r="D105" t="s">
        <v>195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121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121</v>
      </c>
      <c r="C107">
        <v>20</v>
      </c>
      <c r="D107" t="s">
        <v>109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121</v>
      </c>
      <c r="C108">
        <v>30</v>
      </c>
      <c r="D108" t="s">
        <v>112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121</v>
      </c>
      <c r="C109">
        <v>40</v>
      </c>
      <c r="D109" t="s">
        <v>18</v>
      </c>
      <c r="E109" t="s">
        <v>15</v>
      </c>
      <c r="F109">
        <v>44.500999999999998</v>
      </c>
      <c r="G109" t="s">
        <v>14</v>
      </c>
    </row>
    <row r="110" spans="1:7" x14ac:dyDescent="0.25">
      <c r="A110">
        <v>9</v>
      </c>
      <c r="B110" t="s">
        <v>121</v>
      </c>
      <c r="C110">
        <v>50</v>
      </c>
      <c r="D110" t="s">
        <v>105</v>
      </c>
      <c r="E110" t="s">
        <v>106</v>
      </c>
      <c r="F110">
        <v>0.71899999999999997</v>
      </c>
      <c r="G110" t="s">
        <v>14</v>
      </c>
    </row>
    <row r="111" spans="1:7" x14ac:dyDescent="0.25">
      <c r="A111">
        <v>9</v>
      </c>
      <c r="B111" t="s">
        <v>121</v>
      </c>
      <c r="C111">
        <v>60</v>
      </c>
      <c r="D111" t="s">
        <v>107</v>
      </c>
      <c r="E111" t="s">
        <v>15</v>
      </c>
      <c r="F111">
        <v>11.379</v>
      </c>
      <c r="G111" t="s">
        <v>14</v>
      </c>
    </row>
    <row r="112" spans="1:7" x14ac:dyDescent="0.25">
      <c r="A112">
        <v>9</v>
      </c>
      <c r="B112" t="s">
        <v>121</v>
      </c>
      <c r="C112">
        <v>70</v>
      </c>
      <c r="D112" t="s">
        <v>18</v>
      </c>
      <c r="E112" t="s">
        <v>15</v>
      </c>
      <c r="F112">
        <v>69.981999999999999</v>
      </c>
      <c r="G112" t="s">
        <v>14</v>
      </c>
    </row>
    <row r="113" spans="1:7" x14ac:dyDescent="0.25">
      <c r="A113">
        <v>9</v>
      </c>
      <c r="B113" t="s">
        <v>121</v>
      </c>
      <c r="C113">
        <v>80</v>
      </c>
      <c r="D113" t="s">
        <v>111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121</v>
      </c>
      <c r="C117">
        <v>120</v>
      </c>
      <c r="D117" t="s">
        <v>110</v>
      </c>
      <c r="E117" t="s">
        <v>13</v>
      </c>
      <c r="F117">
        <v>0.60799999999999998</v>
      </c>
      <c r="G117" t="s">
        <v>14</v>
      </c>
    </row>
    <row r="118" spans="1:7" x14ac:dyDescent="0.25">
      <c r="A118">
        <v>9</v>
      </c>
      <c r="B118" t="s">
        <v>121</v>
      </c>
      <c r="C118">
        <v>130</v>
      </c>
      <c r="D118" t="s">
        <v>196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122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122</v>
      </c>
      <c r="C120">
        <v>20</v>
      </c>
      <c r="D120" t="s">
        <v>109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122</v>
      </c>
      <c r="C121">
        <v>30</v>
      </c>
      <c r="D121" t="s">
        <v>112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122</v>
      </c>
      <c r="C122">
        <v>40</v>
      </c>
      <c r="D122" t="s">
        <v>18</v>
      </c>
      <c r="E122" t="s">
        <v>15</v>
      </c>
      <c r="F122">
        <v>46.939</v>
      </c>
      <c r="G122" t="s">
        <v>14</v>
      </c>
    </row>
    <row r="123" spans="1:7" x14ac:dyDescent="0.25">
      <c r="A123">
        <v>10</v>
      </c>
      <c r="B123" t="s">
        <v>122</v>
      </c>
      <c r="C123">
        <v>50</v>
      </c>
      <c r="D123" t="s">
        <v>105</v>
      </c>
      <c r="E123" t="s">
        <v>106</v>
      </c>
      <c r="F123">
        <v>0.85399999999999998</v>
      </c>
      <c r="G123" t="s">
        <v>14</v>
      </c>
    </row>
    <row r="124" spans="1:7" x14ac:dyDescent="0.25">
      <c r="A124">
        <v>10</v>
      </c>
      <c r="B124" t="s">
        <v>122</v>
      </c>
      <c r="C124">
        <v>60</v>
      </c>
      <c r="D124" t="s">
        <v>107</v>
      </c>
      <c r="E124" t="s">
        <v>15</v>
      </c>
      <c r="F124">
        <v>11.989000000000001</v>
      </c>
      <c r="G124" t="s">
        <v>14</v>
      </c>
    </row>
    <row r="125" spans="1:7" x14ac:dyDescent="0.25">
      <c r="A125">
        <v>10</v>
      </c>
      <c r="B125" t="s">
        <v>122</v>
      </c>
      <c r="C125">
        <v>70</v>
      </c>
      <c r="D125" t="s">
        <v>18</v>
      </c>
      <c r="E125" t="s">
        <v>15</v>
      </c>
      <c r="F125">
        <v>73.730999999999995</v>
      </c>
      <c r="G125" t="s">
        <v>14</v>
      </c>
    </row>
    <row r="126" spans="1:7" x14ac:dyDescent="0.25">
      <c r="A126">
        <v>10</v>
      </c>
      <c r="B126" t="s">
        <v>122</v>
      </c>
      <c r="C126">
        <v>80</v>
      </c>
      <c r="D126" t="s">
        <v>111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122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122</v>
      </c>
      <c r="C130">
        <v>120</v>
      </c>
      <c r="D130" t="s">
        <v>110</v>
      </c>
      <c r="E130" t="s">
        <v>13</v>
      </c>
      <c r="F130">
        <v>0.68899999999999995</v>
      </c>
      <c r="G130" t="s">
        <v>14</v>
      </c>
    </row>
    <row r="131" spans="1:7" x14ac:dyDescent="0.25">
      <c r="A131">
        <v>10</v>
      </c>
      <c r="B131" t="s">
        <v>122</v>
      </c>
      <c r="C131">
        <v>130</v>
      </c>
      <c r="D131" t="s">
        <v>197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123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123</v>
      </c>
      <c r="C133">
        <v>20</v>
      </c>
      <c r="D133" t="s">
        <v>109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123</v>
      </c>
      <c r="C134">
        <v>30</v>
      </c>
      <c r="D134" t="s">
        <v>112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123</v>
      </c>
      <c r="C135">
        <v>40</v>
      </c>
      <c r="D135" t="s">
        <v>18</v>
      </c>
      <c r="E135" t="s">
        <v>15</v>
      </c>
      <c r="F135">
        <v>49.378</v>
      </c>
      <c r="G135" t="s">
        <v>14</v>
      </c>
    </row>
    <row r="136" spans="1:7" x14ac:dyDescent="0.25">
      <c r="A136">
        <v>11</v>
      </c>
      <c r="B136" t="s">
        <v>123</v>
      </c>
      <c r="C136">
        <v>50</v>
      </c>
      <c r="D136" t="s">
        <v>105</v>
      </c>
      <c r="E136" t="s">
        <v>106</v>
      </c>
      <c r="F136">
        <v>0.98899999999999999</v>
      </c>
      <c r="G136" t="s">
        <v>14</v>
      </c>
    </row>
    <row r="137" spans="1:7" x14ac:dyDescent="0.25">
      <c r="A137">
        <v>11</v>
      </c>
      <c r="B137" t="s">
        <v>123</v>
      </c>
      <c r="C137">
        <v>60</v>
      </c>
      <c r="D137" t="s">
        <v>107</v>
      </c>
      <c r="E137" t="s">
        <v>15</v>
      </c>
      <c r="F137">
        <v>12.598000000000001</v>
      </c>
      <c r="G137" t="s">
        <v>14</v>
      </c>
    </row>
    <row r="138" spans="1:7" x14ac:dyDescent="0.25">
      <c r="A138">
        <v>11</v>
      </c>
      <c r="B138" t="s">
        <v>123</v>
      </c>
      <c r="C138">
        <v>70</v>
      </c>
      <c r="D138" t="s">
        <v>18</v>
      </c>
      <c r="E138" t="s">
        <v>15</v>
      </c>
      <c r="F138">
        <v>77.48</v>
      </c>
      <c r="G138" t="s">
        <v>14</v>
      </c>
    </row>
    <row r="139" spans="1:7" x14ac:dyDescent="0.25">
      <c r="A139">
        <v>11</v>
      </c>
      <c r="B139" t="s">
        <v>123</v>
      </c>
      <c r="C139">
        <v>80</v>
      </c>
      <c r="D139" t="s">
        <v>111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123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123</v>
      </c>
      <c r="C143">
        <v>120</v>
      </c>
      <c r="D143" t="s">
        <v>110</v>
      </c>
      <c r="E143" t="s">
        <v>13</v>
      </c>
      <c r="F143">
        <v>0.77</v>
      </c>
      <c r="G143" t="s">
        <v>14</v>
      </c>
    </row>
    <row r="144" spans="1:7" x14ac:dyDescent="0.25">
      <c r="A144">
        <v>11</v>
      </c>
      <c r="B144" t="s">
        <v>123</v>
      </c>
      <c r="C144">
        <v>130</v>
      </c>
      <c r="D144" t="s">
        <v>198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124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124</v>
      </c>
      <c r="C146">
        <v>20</v>
      </c>
      <c r="D146" t="s">
        <v>109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124</v>
      </c>
      <c r="C147">
        <v>30</v>
      </c>
      <c r="D147" t="s">
        <v>112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124</v>
      </c>
      <c r="C148">
        <v>40</v>
      </c>
      <c r="D148" t="s">
        <v>18</v>
      </c>
      <c r="E148" t="s">
        <v>15</v>
      </c>
      <c r="F148">
        <v>51.816000000000003</v>
      </c>
      <c r="G148" t="s">
        <v>14</v>
      </c>
    </row>
    <row r="149" spans="1:7" x14ac:dyDescent="0.25">
      <c r="A149">
        <v>12</v>
      </c>
      <c r="B149" t="s">
        <v>124</v>
      </c>
      <c r="C149">
        <v>50</v>
      </c>
      <c r="D149" t="s">
        <v>105</v>
      </c>
      <c r="E149" t="s">
        <v>106</v>
      </c>
      <c r="F149">
        <v>1.1240000000000001</v>
      </c>
      <c r="G149" t="s">
        <v>14</v>
      </c>
    </row>
    <row r="150" spans="1:7" x14ac:dyDescent="0.25">
      <c r="A150">
        <v>12</v>
      </c>
      <c r="B150" t="s">
        <v>124</v>
      </c>
      <c r="C150">
        <v>60</v>
      </c>
      <c r="D150" t="s">
        <v>107</v>
      </c>
      <c r="E150" t="s">
        <v>15</v>
      </c>
      <c r="F150">
        <v>13.208</v>
      </c>
      <c r="G150" t="s">
        <v>14</v>
      </c>
    </row>
    <row r="151" spans="1:7" x14ac:dyDescent="0.25">
      <c r="A151">
        <v>12</v>
      </c>
      <c r="B151" t="s">
        <v>124</v>
      </c>
      <c r="C151">
        <v>70</v>
      </c>
      <c r="D151" t="s">
        <v>18</v>
      </c>
      <c r="E151" t="s">
        <v>15</v>
      </c>
      <c r="F151">
        <v>81.228999999999999</v>
      </c>
      <c r="G151" t="s">
        <v>14</v>
      </c>
    </row>
    <row r="152" spans="1:7" x14ac:dyDescent="0.25">
      <c r="A152">
        <v>12</v>
      </c>
      <c r="B152" t="s">
        <v>124</v>
      </c>
      <c r="C152">
        <v>80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124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124</v>
      </c>
      <c r="C156">
        <v>120</v>
      </c>
      <c r="D156" t="s">
        <v>110</v>
      </c>
      <c r="E156" t="s">
        <v>13</v>
      </c>
      <c r="F156">
        <v>0.85099999999999998</v>
      </c>
      <c r="G156" t="s">
        <v>14</v>
      </c>
    </row>
    <row r="157" spans="1:7" x14ac:dyDescent="0.25">
      <c r="A157">
        <v>12</v>
      </c>
      <c r="B157" t="s">
        <v>124</v>
      </c>
      <c r="C157">
        <v>130</v>
      </c>
      <c r="D157" t="s">
        <v>199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125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125</v>
      </c>
      <c r="C159">
        <v>20</v>
      </c>
      <c r="D159" t="s">
        <v>109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125</v>
      </c>
      <c r="C160">
        <v>30</v>
      </c>
      <c r="D160" t="s">
        <v>112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125</v>
      </c>
      <c r="C161">
        <v>40</v>
      </c>
      <c r="D161" t="s">
        <v>18</v>
      </c>
      <c r="E161" t="s">
        <v>15</v>
      </c>
      <c r="F161">
        <v>53.034999999999997</v>
      </c>
      <c r="G161" t="s">
        <v>14</v>
      </c>
    </row>
    <row r="162" spans="1:7" x14ac:dyDescent="0.25">
      <c r="A162">
        <v>13</v>
      </c>
      <c r="B162" t="s">
        <v>125</v>
      </c>
      <c r="C162">
        <v>50</v>
      </c>
      <c r="D162" t="s">
        <v>105</v>
      </c>
      <c r="E162" t="s">
        <v>106</v>
      </c>
      <c r="F162">
        <v>1.1910000000000001</v>
      </c>
      <c r="G162" t="s">
        <v>14</v>
      </c>
    </row>
    <row r="163" spans="1:7" x14ac:dyDescent="0.25">
      <c r="A163">
        <v>13</v>
      </c>
      <c r="B163" t="s">
        <v>125</v>
      </c>
      <c r="C163">
        <v>60</v>
      </c>
      <c r="D163" t="s">
        <v>107</v>
      </c>
      <c r="E163" t="s">
        <v>15</v>
      </c>
      <c r="F163">
        <v>13.513</v>
      </c>
      <c r="G163" t="s">
        <v>14</v>
      </c>
    </row>
    <row r="164" spans="1:7" x14ac:dyDescent="0.25">
      <c r="A164">
        <v>13</v>
      </c>
      <c r="B164" t="s">
        <v>125</v>
      </c>
      <c r="C164">
        <v>70</v>
      </c>
      <c r="D164" t="s">
        <v>18</v>
      </c>
      <c r="E164" t="s">
        <v>15</v>
      </c>
      <c r="F164">
        <v>83.103999999999999</v>
      </c>
      <c r="G164" t="s">
        <v>14</v>
      </c>
    </row>
    <row r="165" spans="1:7" x14ac:dyDescent="0.25">
      <c r="A165">
        <v>13</v>
      </c>
      <c r="B165" t="s">
        <v>125</v>
      </c>
      <c r="C165">
        <v>80</v>
      </c>
      <c r="D165" t="s">
        <v>111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125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125</v>
      </c>
      <c r="C169">
        <v>120</v>
      </c>
      <c r="D169" t="s">
        <v>110</v>
      </c>
      <c r="E169" t="s">
        <v>13</v>
      </c>
      <c r="F169">
        <v>0.89200000000000002</v>
      </c>
      <c r="G169" t="s">
        <v>14</v>
      </c>
    </row>
    <row r="170" spans="1:7" x14ac:dyDescent="0.25">
      <c r="A170">
        <v>13</v>
      </c>
      <c r="B170" t="s">
        <v>125</v>
      </c>
      <c r="C170">
        <v>130</v>
      </c>
      <c r="D170" t="s">
        <v>200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126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126</v>
      </c>
      <c r="C172">
        <v>20</v>
      </c>
      <c r="D172" t="s">
        <v>109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126</v>
      </c>
      <c r="C173">
        <v>30</v>
      </c>
      <c r="D173" t="s">
        <v>112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126</v>
      </c>
      <c r="C174">
        <v>40</v>
      </c>
      <c r="D174" t="s">
        <v>18</v>
      </c>
      <c r="E174" t="s">
        <v>15</v>
      </c>
      <c r="F174">
        <v>54.253999999999998</v>
      </c>
      <c r="G174" t="s">
        <v>14</v>
      </c>
    </row>
    <row r="175" spans="1:7" x14ac:dyDescent="0.25">
      <c r="A175">
        <v>14</v>
      </c>
      <c r="B175" t="s">
        <v>126</v>
      </c>
      <c r="C175">
        <v>50</v>
      </c>
      <c r="D175" t="s">
        <v>105</v>
      </c>
      <c r="E175" t="s">
        <v>106</v>
      </c>
      <c r="F175">
        <v>1.2589999999999999</v>
      </c>
      <c r="G175" t="s">
        <v>14</v>
      </c>
    </row>
    <row r="176" spans="1:7" x14ac:dyDescent="0.25">
      <c r="A176">
        <v>14</v>
      </c>
      <c r="B176" t="s">
        <v>126</v>
      </c>
      <c r="C176">
        <v>60</v>
      </c>
      <c r="D176" t="s">
        <v>107</v>
      </c>
      <c r="E176" t="s">
        <v>15</v>
      </c>
      <c r="F176">
        <v>13.818</v>
      </c>
      <c r="G176" t="s">
        <v>14</v>
      </c>
    </row>
    <row r="177" spans="1:7" x14ac:dyDescent="0.25">
      <c r="A177">
        <v>14</v>
      </c>
      <c r="B177" t="s">
        <v>126</v>
      </c>
      <c r="C177">
        <v>70</v>
      </c>
      <c r="D177" t="s">
        <v>18</v>
      </c>
      <c r="E177" t="s">
        <v>15</v>
      </c>
      <c r="F177">
        <v>84.977999999999994</v>
      </c>
      <c r="G177" t="s">
        <v>14</v>
      </c>
    </row>
    <row r="178" spans="1:7" x14ac:dyDescent="0.25">
      <c r="A178">
        <v>14</v>
      </c>
      <c r="B178" t="s">
        <v>126</v>
      </c>
      <c r="C178">
        <v>80</v>
      </c>
      <c r="D178" t="s">
        <v>111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126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126</v>
      </c>
      <c r="C182">
        <v>120</v>
      </c>
      <c r="D182" t="s">
        <v>110</v>
      </c>
      <c r="E182" t="s">
        <v>13</v>
      </c>
      <c r="F182">
        <v>0.93200000000000005</v>
      </c>
      <c r="G182" t="s">
        <v>14</v>
      </c>
    </row>
    <row r="183" spans="1:7" x14ac:dyDescent="0.25">
      <c r="A183">
        <v>14</v>
      </c>
      <c r="B183" t="s">
        <v>126</v>
      </c>
      <c r="C183">
        <v>130</v>
      </c>
      <c r="D183" t="s">
        <v>201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127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127</v>
      </c>
      <c r="C185">
        <v>20</v>
      </c>
      <c r="D185" t="s">
        <v>109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127</v>
      </c>
      <c r="C186">
        <v>30</v>
      </c>
      <c r="D186" t="s">
        <v>112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127</v>
      </c>
      <c r="C187">
        <v>40</v>
      </c>
      <c r="D187" t="s">
        <v>18</v>
      </c>
      <c r="E187" t="s">
        <v>15</v>
      </c>
      <c r="F187">
        <v>56.692999999999998</v>
      </c>
      <c r="G187" t="s">
        <v>14</v>
      </c>
    </row>
    <row r="188" spans="1:7" x14ac:dyDescent="0.25">
      <c r="A188">
        <v>15</v>
      </c>
      <c r="B188" t="s">
        <v>127</v>
      </c>
      <c r="C188">
        <v>50</v>
      </c>
      <c r="D188" t="s">
        <v>105</v>
      </c>
      <c r="E188" t="s">
        <v>106</v>
      </c>
      <c r="F188">
        <v>1.3939999999999999</v>
      </c>
      <c r="G188" t="s">
        <v>14</v>
      </c>
    </row>
    <row r="189" spans="1:7" x14ac:dyDescent="0.25">
      <c r="A189">
        <v>15</v>
      </c>
      <c r="B189" t="s">
        <v>127</v>
      </c>
      <c r="C189">
        <v>60</v>
      </c>
      <c r="D189" t="s">
        <v>107</v>
      </c>
      <c r="E189" t="s">
        <v>15</v>
      </c>
      <c r="F189">
        <v>14.427</v>
      </c>
      <c r="G189" t="s">
        <v>14</v>
      </c>
    </row>
    <row r="190" spans="1:7" x14ac:dyDescent="0.25">
      <c r="A190">
        <v>15</v>
      </c>
      <c r="B190" t="s">
        <v>127</v>
      </c>
      <c r="C190">
        <v>70</v>
      </c>
      <c r="D190" t="s">
        <v>18</v>
      </c>
      <c r="E190" t="s">
        <v>15</v>
      </c>
      <c r="F190">
        <v>88.727000000000004</v>
      </c>
      <c r="G190" t="s">
        <v>14</v>
      </c>
    </row>
    <row r="191" spans="1:7" x14ac:dyDescent="0.25">
      <c r="A191">
        <v>15</v>
      </c>
      <c r="B191" t="s">
        <v>127</v>
      </c>
      <c r="C191">
        <v>80</v>
      </c>
      <c r="D191" t="s">
        <v>111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127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127</v>
      </c>
      <c r="C195">
        <v>120</v>
      </c>
      <c r="D195" t="s">
        <v>110</v>
      </c>
      <c r="E195" t="s">
        <v>13</v>
      </c>
      <c r="F195">
        <v>1.0129999999999999</v>
      </c>
      <c r="G195" t="s">
        <v>14</v>
      </c>
    </row>
    <row r="196" spans="1:7" x14ac:dyDescent="0.25">
      <c r="A196">
        <v>15</v>
      </c>
      <c r="B196" t="s">
        <v>127</v>
      </c>
      <c r="C196">
        <v>130</v>
      </c>
      <c r="D196" t="s">
        <v>202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128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128</v>
      </c>
      <c r="C198">
        <v>20</v>
      </c>
      <c r="D198" t="s">
        <v>109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128</v>
      </c>
      <c r="C199">
        <v>30</v>
      </c>
      <c r="D199" t="s">
        <v>112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128</v>
      </c>
      <c r="C200">
        <v>40</v>
      </c>
      <c r="D200" t="s">
        <v>18</v>
      </c>
      <c r="E200" t="s">
        <v>15</v>
      </c>
      <c r="F200">
        <v>59.131</v>
      </c>
      <c r="G200" t="s">
        <v>14</v>
      </c>
    </row>
    <row r="201" spans="1:7" x14ac:dyDescent="0.25">
      <c r="A201">
        <v>16</v>
      </c>
      <c r="B201" t="s">
        <v>128</v>
      </c>
      <c r="C201">
        <v>50</v>
      </c>
      <c r="D201" t="s">
        <v>105</v>
      </c>
      <c r="E201" t="s">
        <v>106</v>
      </c>
      <c r="F201">
        <v>1.528</v>
      </c>
      <c r="G201" t="s">
        <v>14</v>
      </c>
    </row>
    <row r="202" spans="1:7" x14ac:dyDescent="0.25">
      <c r="A202">
        <v>16</v>
      </c>
      <c r="B202" t="s">
        <v>128</v>
      </c>
      <c r="C202">
        <v>60</v>
      </c>
      <c r="D202" t="s">
        <v>107</v>
      </c>
      <c r="E202" t="s">
        <v>15</v>
      </c>
      <c r="F202">
        <v>15.037000000000001</v>
      </c>
      <c r="G202" t="s">
        <v>14</v>
      </c>
    </row>
    <row r="203" spans="1:7" x14ac:dyDescent="0.25">
      <c r="A203">
        <v>16</v>
      </c>
      <c r="B203" t="s">
        <v>128</v>
      </c>
      <c r="C203">
        <v>70</v>
      </c>
      <c r="D203" t="s">
        <v>18</v>
      </c>
      <c r="E203" t="s">
        <v>15</v>
      </c>
      <c r="F203">
        <v>92.475999999999999</v>
      </c>
      <c r="G203" t="s">
        <v>14</v>
      </c>
    </row>
    <row r="204" spans="1:7" x14ac:dyDescent="0.25">
      <c r="A204">
        <v>16</v>
      </c>
      <c r="B204" t="s">
        <v>128</v>
      </c>
      <c r="C204">
        <v>80</v>
      </c>
      <c r="D204" t="s">
        <v>111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128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128</v>
      </c>
      <c r="C208">
        <v>120</v>
      </c>
      <c r="D208" t="s">
        <v>110</v>
      </c>
      <c r="E208" t="s">
        <v>13</v>
      </c>
      <c r="F208">
        <v>1.0940000000000001</v>
      </c>
      <c r="G208" t="s">
        <v>14</v>
      </c>
    </row>
    <row r="209" spans="1:7" x14ac:dyDescent="0.25">
      <c r="A209">
        <v>16</v>
      </c>
      <c r="B209" t="s">
        <v>128</v>
      </c>
      <c r="C209">
        <v>130</v>
      </c>
      <c r="D209" t="s">
        <v>203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129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129</v>
      </c>
      <c r="C211">
        <v>20</v>
      </c>
      <c r="D211" t="s">
        <v>109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129</v>
      </c>
      <c r="C212">
        <v>30</v>
      </c>
      <c r="D212" t="s">
        <v>112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129</v>
      </c>
      <c r="C213">
        <v>40</v>
      </c>
      <c r="D213" t="s">
        <v>18</v>
      </c>
      <c r="E213" t="s">
        <v>15</v>
      </c>
      <c r="F213">
        <v>45.72</v>
      </c>
      <c r="G213" t="s">
        <v>14</v>
      </c>
    </row>
    <row r="214" spans="1:7" x14ac:dyDescent="0.25">
      <c r="A214">
        <v>17</v>
      </c>
      <c r="B214" t="s">
        <v>129</v>
      </c>
      <c r="C214">
        <v>50</v>
      </c>
      <c r="D214" t="s">
        <v>105</v>
      </c>
      <c r="E214" t="s">
        <v>106</v>
      </c>
      <c r="F214">
        <v>0.748</v>
      </c>
      <c r="G214" t="s">
        <v>14</v>
      </c>
    </row>
    <row r="215" spans="1:7" x14ac:dyDescent="0.25">
      <c r="A215">
        <v>17</v>
      </c>
      <c r="B215" t="s">
        <v>129</v>
      </c>
      <c r="C215">
        <v>60</v>
      </c>
      <c r="D215" t="s">
        <v>107</v>
      </c>
      <c r="E215" t="s">
        <v>15</v>
      </c>
      <c r="F215">
        <v>11.683999999999999</v>
      </c>
      <c r="G215" t="s">
        <v>14</v>
      </c>
    </row>
    <row r="216" spans="1:7" x14ac:dyDescent="0.25">
      <c r="A216">
        <v>17</v>
      </c>
      <c r="B216" t="s">
        <v>129</v>
      </c>
      <c r="C216">
        <v>70</v>
      </c>
      <c r="D216" t="s">
        <v>18</v>
      </c>
      <c r="E216" t="s">
        <v>15</v>
      </c>
      <c r="F216">
        <v>71.856999999999999</v>
      </c>
      <c r="G216" t="s">
        <v>14</v>
      </c>
    </row>
    <row r="217" spans="1:7" x14ac:dyDescent="0.25">
      <c r="A217">
        <v>17</v>
      </c>
      <c r="B217" t="s">
        <v>129</v>
      </c>
      <c r="C217">
        <v>80</v>
      </c>
      <c r="D217" t="s">
        <v>111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129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129</v>
      </c>
      <c r="C221">
        <v>120</v>
      </c>
      <c r="D221" t="s">
        <v>110</v>
      </c>
      <c r="E221" t="s">
        <v>13</v>
      </c>
      <c r="F221">
        <v>0.60799999999999998</v>
      </c>
      <c r="G221" t="s">
        <v>14</v>
      </c>
    </row>
    <row r="222" spans="1:7" x14ac:dyDescent="0.25">
      <c r="A222">
        <v>17</v>
      </c>
      <c r="B222" t="s">
        <v>129</v>
      </c>
      <c r="C222">
        <v>130</v>
      </c>
      <c r="D222" t="s">
        <v>204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130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130</v>
      </c>
      <c r="C224">
        <v>20</v>
      </c>
      <c r="D224" t="s">
        <v>109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130</v>
      </c>
      <c r="C225">
        <v>30</v>
      </c>
      <c r="D225" t="s">
        <v>112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130</v>
      </c>
      <c r="C226">
        <v>40</v>
      </c>
      <c r="D226" t="s">
        <v>18</v>
      </c>
      <c r="E226" t="s">
        <v>15</v>
      </c>
      <c r="F226">
        <v>48.158000000000001</v>
      </c>
      <c r="G226" t="s">
        <v>14</v>
      </c>
    </row>
    <row r="227" spans="1:7" x14ac:dyDescent="0.25">
      <c r="A227">
        <v>18</v>
      </c>
      <c r="B227" t="s">
        <v>130</v>
      </c>
      <c r="C227">
        <v>50</v>
      </c>
      <c r="D227" t="s">
        <v>105</v>
      </c>
      <c r="E227" t="s">
        <v>106</v>
      </c>
      <c r="F227">
        <v>0.88900000000000001</v>
      </c>
      <c r="G227" t="s">
        <v>14</v>
      </c>
    </row>
    <row r="228" spans="1:7" x14ac:dyDescent="0.25">
      <c r="A228">
        <v>18</v>
      </c>
      <c r="B228" t="s">
        <v>130</v>
      </c>
      <c r="C228">
        <v>60</v>
      </c>
      <c r="D228" t="s">
        <v>107</v>
      </c>
      <c r="E228" t="s">
        <v>15</v>
      </c>
      <c r="F228">
        <v>12.294</v>
      </c>
      <c r="G228" t="s">
        <v>14</v>
      </c>
    </row>
    <row r="229" spans="1:7" x14ac:dyDescent="0.25">
      <c r="A229">
        <v>18</v>
      </c>
      <c r="B229" t="s">
        <v>130</v>
      </c>
      <c r="C229">
        <v>70</v>
      </c>
      <c r="D229" t="s">
        <v>18</v>
      </c>
      <c r="E229" t="s">
        <v>15</v>
      </c>
      <c r="F229">
        <v>75.605999999999995</v>
      </c>
      <c r="G229" t="s">
        <v>14</v>
      </c>
    </row>
    <row r="230" spans="1:7" x14ac:dyDescent="0.25">
      <c r="A230">
        <v>18</v>
      </c>
      <c r="B230" t="s">
        <v>130</v>
      </c>
      <c r="C230">
        <v>80</v>
      </c>
      <c r="D230" t="s">
        <v>111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130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130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130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130</v>
      </c>
      <c r="C234">
        <v>120</v>
      </c>
      <c r="D234" t="s">
        <v>110</v>
      </c>
      <c r="E234" t="s">
        <v>13</v>
      </c>
      <c r="F234">
        <v>0.68899999999999995</v>
      </c>
      <c r="G234" t="s">
        <v>14</v>
      </c>
    </row>
    <row r="235" spans="1:7" x14ac:dyDescent="0.25">
      <c r="A235">
        <v>18</v>
      </c>
      <c r="B235" t="s">
        <v>130</v>
      </c>
      <c r="C235">
        <v>130</v>
      </c>
      <c r="D235" t="s">
        <v>205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131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131</v>
      </c>
      <c r="C237">
        <v>20</v>
      </c>
      <c r="D237" t="s">
        <v>109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131</v>
      </c>
      <c r="C238">
        <v>30</v>
      </c>
      <c r="D238" t="s">
        <v>112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131</v>
      </c>
      <c r="C239">
        <v>40</v>
      </c>
      <c r="D239" t="s">
        <v>18</v>
      </c>
      <c r="E239" t="s">
        <v>15</v>
      </c>
      <c r="F239">
        <v>50.597000000000001</v>
      </c>
      <c r="G239" t="s">
        <v>14</v>
      </c>
    </row>
    <row r="240" spans="1:7" x14ac:dyDescent="0.25">
      <c r="A240">
        <v>19</v>
      </c>
      <c r="B240" t="s">
        <v>131</v>
      </c>
      <c r="C240">
        <v>50</v>
      </c>
      <c r="D240" t="s">
        <v>105</v>
      </c>
      <c r="E240" t="s">
        <v>106</v>
      </c>
      <c r="F240">
        <v>1.0289999999999999</v>
      </c>
      <c r="G240" t="s">
        <v>14</v>
      </c>
    </row>
    <row r="241" spans="1:7" x14ac:dyDescent="0.25">
      <c r="A241">
        <v>19</v>
      </c>
      <c r="B241" t="s">
        <v>131</v>
      </c>
      <c r="C241">
        <v>60</v>
      </c>
      <c r="D241" t="s">
        <v>107</v>
      </c>
      <c r="E241" t="s">
        <v>15</v>
      </c>
      <c r="F241">
        <v>12.903</v>
      </c>
      <c r="G241" t="s">
        <v>14</v>
      </c>
    </row>
    <row r="242" spans="1:7" x14ac:dyDescent="0.25">
      <c r="A242">
        <v>19</v>
      </c>
      <c r="B242" t="s">
        <v>131</v>
      </c>
      <c r="C242">
        <v>70</v>
      </c>
      <c r="D242" t="s">
        <v>18</v>
      </c>
      <c r="E242" t="s">
        <v>15</v>
      </c>
      <c r="F242">
        <v>79.355000000000004</v>
      </c>
      <c r="G242" t="s">
        <v>14</v>
      </c>
    </row>
    <row r="243" spans="1:7" x14ac:dyDescent="0.25">
      <c r="A243">
        <v>19</v>
      </c>
      <c r="B243" t="s">
        <v>131</v>
      </c>
      <c r="C243">
        <v>80</v>
      </c>
      <c r="D243" t="s">
        <v>111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131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131</v>
      </c>
      <c r="C247">
        <v>120</v>
      </c>
      <c r="D247" t="s">
        <v>110</v>
      </c>
      <c r="E247" t="s">
        <v>13</v>
      </c>
      <c r="F247">
        <v>0.77</v>
      </c>
      <c r="G247" t="s">
        <v>14</v>
      </c>
    </row>
    <row r="248" spans="1:7" x14ac:dyDescent="0.25">
      <c r="A248">
        <v>19</v>
      </c>
      <c r="B248" t="s">
        <v>131</v>
      </c>
      <c r="C248">
        <v>130</v>
      </c>
      <c r="D248" t="s">
        <v>206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132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132</v>
      </c>
      <c r="C250">
        <v>20</v>
      </c>
      <c r="D250" t="s">
        <v>109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132</v>
      </c>
      <c r="C251">
        <v>30</v>
      </c>
      <c r="D251" t="s">
        <v>112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132</v>
      </c>
      <c r="C252">
        <v>40</v>
      </c>
      <c r="D252" t="s">
        <v>18</v>
      </c>
      <c r="E252" t="s">
        <v>15</v>
      </c>
      <c r="F252">
        <v>53.034999999999997</v>
      </c>
      <c r="G252" t="s">
        <v>14</v>
      </c>
    </row>
    <row r="253" spans="1:7" x14ac:dyDescent="0.25">
      <c r="A253">
        <v>20</v>
      </c>
      <c r="B253" t="s">
        <v>132</v>
      </c>
      <c r="C253">
        <v>50</v>
      </c>
      <c r="D253" t="s">
        <v>105</v>
      </c>
      <c r="E253" t="s">
        <v>106</v>
      </c>
      <c r="F253">
        <v>1.169</v>
      </c>
      <c r="G253" t="s">
        <v>14</v>
      </c>
    </row>
    <row r="254" spans="1:7" x14ac:dyDescent="0.25">
      <c r="A254">
        <v>20</v>
      </c>
      <c r="B254" t="s">
        <v>132</v>
      </c>
      <c r="C254">
        <v>60</v>
      </c>
      <c r="D254" t="s">
        <v>107</v>
      </c>
      <c r="E254" t="s">
        <v>15</v>
      </c>
      <c r="F254">
        <v>13.513</v>
      </c>
      <c r="G254" t="s">
        <v>14</v>
      </c>
    </row>
    <row r="255" spans="1:7" x14ac:dyDescent="0.25">
      <c r="A255">
        <v>20</v>
      </c>
      <c r="B255" t="s">
        <v>132</v>
      </c>
      <c r="C255">
        <v>70</v>
      </c>
      <c r="D255" t="s">
        <v>18</v>
      </c>
      <c r="E255" t="s">
        <v>15</v>
      </c>
      <c r="F255">
        <v>83.103999999999999</v>
      </c>
      <c r="G255" t="s">
        <v>14</v>
      </c>
    </row>
    <row r="256" spans="1:7" x14ac:dyDescent="0.25">
      <c r="A256">
        <v>20</v>
      </c>
      <c r="B256" t="s">
        <v>132</v>
      </c>
      <c r="C256">
        <v>80</v>
      </c>
      <c r="D256" t="s">
        <v>111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132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132</v>
      </c>
      <c r="C260">
        <v>120</v>
      </c>
      <c r="D260" t="s">
        <v>110</v>
      </c>
      <c r="E260" t="s">
        <v>13</v>
      </c>
      <c r="F260">
        <v>0.85099999999999998</v>
      </c>
      <c r="G260" t="s">
        <v>14</v>
      </c>
    </row>
    <row r="261" spans="1:7" x14ac:dyDescent="0.25">
      <c r="A261">
        <v>20</v>
      </c>
      <c r="B261" t="s">
        <v>132</v>
      </c>
      <c r="C261">
        <v>130</v>
      </c>
      <c r="D261" t="s">
        <v>207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133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133</v>
      </c>
      <c r="C263">
        <v>20</v>
      </c>
      <c r="D263" t="s">
        <v>109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133</v>
      </c>
      <c r="C264">
        <v>30</v>
      </c>
      <c r="D264" t="s">
        <v>112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133</v>
      </c>
      <c r="C265">
        <v>40</v>
      </c>
      <c r="D265" t="s">
        <v>18</v>
      </c>
      <c r="E265" t="s">
        <v>15</v>
      </c>
      <c r="F265">
        <v>54.253999999999998</v>
      </c>
      <c r="G265" t="s">
        <v>14</v>
      </c>
    </row>
    <row r="266" spans="1:7" x14ac:dyDescent="0.25">
      <c r="A266">
        <v>21</v>
      </c>
      <c r="B266" t="s">
        <v>133</v>
      </c>
      <c r="C266">
        <v>50</v>
      </c>
      <c r="D266" t="s">
        <v>105</v>
      </c>
      <c r="E266" t="s">
        <v>106</v>
      </c>
      <c r="F266">
        <v>1.24</v>
      </c>
      <c r="G266" t="s">
        <v>14</v>
      </c>
    </row>
    <row r="267" spans="1:7" x14ac:dyDescent="0.25">
      <c r="A267">
        <v>21</v>
      </c>
      <c r="B267" t="s">
        <v>133</v>
      </c>
      <c r="C267">
        <v>60</v>
      </c>
      <c r="D267" t="s">
        <v>107</v>
      </c>
      <c r="E267" t="s">
        <v>15</v>
      </c>
      <c r="F267">
        <v>13.818</v>
      </c>
      <c r="G267" t="s">
        <v>14</v>
      </c>
    </row>
    <row r="268" spans="1:7" x14ac:dyDescent="0.25">
      <c r="A268">
        <v>21</v>
      </c>
      <c r="B268" t="s">
        <v>133</v>
      </c>
      <c r="C268">
        <v>70</v>
      </c>
      <c r="D268" t="s">
        <v>18</v>
      </c>
      <c r="E268" t="s">
        <v>15</v>
      </c>
      <c r="F268">
        <v>84.977999999999994</v>
      </c>
      <c r="G268" t="s">
        <v>14</v>
      </c>
    </row>
    <row r="269" spans="1:7" x14ac:dyDescent="0.25">
      <c r="A269">
        <v>21</v>
      </c>
      <c r="B269" t="s">
        <v>133</v>
      </c>
      <c r="C269">
        <v>80</v>
      </c>
      <c r="D269" t="s">
        <v>111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133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133</v>
      </c>
      <c r="C273">
        <v>120</v>
      </c>
      <c r="D273" t="s">
        <v>110</v>
      </c>
      <c r="E273" t="s">
        <v>13</v>
      </c>
      <c r="F273">
        <v>0.89200000000000002</v>
      </c>
      <c r="G273" t="s">
        <v>14</v>
      </c>
    </row>
    <row r="274" spans="1:7" x14ac:dyDescent="0.25">
      <c r="A274">
        <v>21</v>
      </c>
      <c r="B274" t="s">
        <v>133</v>
      </c>
      <c r="C274">
        <v>130</v>
      </c>
      <c r="D274" t="s">
        <v>208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134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134</v>
      </c>
      <c r="C276">
        <v>20</v>
      </c>
      <c r="D276" t="s">
        <v>109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134</v>
      </c>
      <c r="C277">
        <v>30</v>
      </c>
      <c r="D277" t="s">
        <v>112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134</v>
      </c>
      <c r="C278">
        <v>40</v>
      </c>
      <c r="D278" t="s">
        <v>18</v>
      </c>
      <c r="E278" t="s">
        <v>15</v>
      </c>
      <c r="F278">
        <v>55.473999999999997</v>
      </c>
      <c r="G278" t="s">
        <v>14</v>
      </c>
    </row>
    <row r="279" spans="1:7" x14ac:dyDescent="0.25">
      <c r="A279">
        <v>22</v>
      </c>
      <c r="B279" t="s">
        <v>134</v>
      </c>
      <c r="C279">
        <v>50</v>
      </c>
      <c r="D279" t="s">
        <v>105</v>
      </c>
      <c r="E279" t="s">
        <v>106</v>
      </c>
      <c r="F279">
        <v>1.31</v>
      </c>
      <c r="G279" t="s">
        <v>14</v>
      </c>
    </row>
    <row r="280" spans="1:7" x14ac:dyDescent="0.25">
      <c r="A280">
        <v>22</v>
      </c>
      <c r="B280" t="s">
        <v>134</v>
      </c>
      <c r="C280">
        <v>60</v>
      </c>
      <c r="D280" t="s">
        <v>107</v>
      </c>
      <c r="E280" t="s">
        <v>15</v>
      </c>
      <c r="F280">
        <v>14.122</v>
      </c>
      <c r="G280" t="s">
        <v>14</v>
      </c>
    </row>
    <row r="281" spans="1:7" x14ac:dyDescent="0.25">
      <c r="A281">
        <v>22</v>
      </c>
      <c r="B281" t="s">
        <v>134</v>
      </c>
      <c r="C281">
        <v>70</v>
      </c>
      <c r="D281" t="s">
        <v>18</v>
      </c>
      <c r="E281" t="s">
        <v>15</v>
      </c>
      <c r="F281">
        <v>86.852999999999994</v>
      </c>
      <c r="G281" t="s">
        <v>14</v>
      </c>
    </row>
    <row r="282" spans="1:7" x14ac:dyDescent="0.25">
      <c r="A282">
        <v>22</v>
      </c>
      <c r="B282" t="s">
        <v>134</v>
      </c>
      <c r="C282">
        <v>80</v>
      </c>
      <c r="D282" t="s">
        <v>111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134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134</v>
      </c>
      <c r="C286">
        <v>120</v>
      </c>
      <c r="D286" t="s">
        <v>110</v>
      </c>
      <c r="E286" t="s">
        <v>13</v>
      </c>
      <c r="F286">
        <v>0.93200000000000005</v>
      </c>
      <c r="G286" t="s">
        <v>14</v>
      </c>
    </row>
    <row r="287" spans="1:7" x14ac:dyDescent="0.25">
      <c r="A287">
        <v>22</v>
      </c>
      <c r="B287" t="s">
        <v>134</v>
      </c>
      <c r="C287">
        <v>130</v>
      </c>
      <c r="D287" t="s">
        <v>209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135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135</v>
      </c>
      <c r="C289">
        <v>20</v>
      </c>
      <c r="D289" t="s">
        <v>109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135</v>
      </c>
      <c r="C290">
        <v>30</v>
      </c>
      <c r="D290" t="s">
        <v>112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135</v>
      </c>
      <c r="C291">
        <v>40</v>
      </c>
      <c r="D291" t="s">
        <v>18</v>
      </c>
      <c r="E291" t="s">
        <v>15</v>
      </c>
      <c r="F291">
        <v>57.911999999999999</v>
      </c>
      <c r="G291" t="s">
        <v>14</v>
      </c>
    </row>
    <row r="292" spans="1:7" x14ac:dyDescent="0.25">
      <c r="A292">
        <v>23</v>
      </c>
      <c r="B292" t="s">
        <v>135</v>
      </c>
      <c r="C292">
        <v>50</v>
      </c>
      <c r="D292" t="s">
        <v>105</v>
      </c>
      <c r="E292" t="s">
        <v>106</v>
      </c>
      <c r="F292">
        <v>1.45</v>
      </c>
      <c r="G292" t="s">
        <v>14</v>
      </c>
    </row>
    <row r="293" spans="1:7" x14ac:dyDescent="0.25">
      <c r="A293">
        <v>23</v>
      </c>
      <c r="B293" t="s">
        <v>135</v>
      </c>
      <c r="C293">
        <v>60</v>
      </c>
      <c r="D293" t="s">
        <v>107</v>
      </c>
      <c r="E293" t="s">
        <v>15</v>
      </c>
      <c r="F293">
        <v>14.731999999999999</v>
      </c>
      <c r="G293" t="s">
        <v>14</v>
      </c>
    </row>
    <row r="294" spans="1:7" x14ac:dyDescent="0.25">
      <c r="A294">
        <v>23</v>
      </c>
      <c r="B294" t="s">
        <v>135</v>
      </c>
      <c r="C294">
        <v>70</v>
      </c>
      <c r="D294" t="s">
        <v>18</v>
      </c>
      <c r="E294" t="s">
        <v>15</v>
      </c>
      <c r="F294">
        <v>90.602000000000004</v>
      </c>
      <c r="G294" t="s">
        <v>14</v>
      </c>
    </row>
    <row r="295" spans="1:7" x14ac:dyDescent="0.25">
      <c r="A295">
        <v>23</v>
      </c>
      <c r="B295" t="s">
        <v>135</v>
      </c>
      <c r="C295">
        <v>80</v>
      </c>
      <c r="D295" t="s">
        <v>111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135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135</v>
      </c>
      <c r="C299">
        <v>120</v>
      </c>
      <c r="D299" t="s">
        <v>110</v>
      </c>
      <c r="E299" t="s">
        <v>13</v>
      </c>
      <c r="F299">
        <v>1.0129999999999999</v>
      </c>
      <c r="G299" t="s">
        <v>14</v>
      </c>
    </row>
    <row r="300" spans="1:7" x14ac:dyDescent="0.25">
      <c r="A300">
        <v>23</v>
      </c>
      <c r="B300" t="s">
        <v>135</v>
      </c>
      <c r="C300">
        <v>130</v>
      </c>
      <c r="D300" t="s">
        <v>210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136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136</v>
      </c>
      <c r="C302">
        <v>20</v>
      </c>
      <c r="D302" t="s">
        <v>109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136</v>
      </c>
      <c r="C303">
        <v>30</v>
      </c>
      <c r="D303" t="s">
        <v>112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136</v>
      </c>
      <c r="C304">
        <v>40</v>
      </c>
      <c r="D304" t="s">
        <v>18</v>
      </c>
      <c r="E304" t="s">
        <v>15</v>
      </c>
      <c r="F304">
        <v>60.35</v>
      </c>
      <c r="G304" t="s">
        <v>14</v>
      </c>
    </row>
    <row r="305" spans="1:7" x14ac:dyDescent="0.25">
      <c r="A305">
        <v>24</v>
      </c>
      <c r="B305" t="s">
        <v>136</v>
      </c>
      <c r="C305">
        <v>50</v>
      </c>
      <c r="D305" t="s">
        <v>105</v>
      </c>
      <c r="E305" t="s">
        <v>106</v>
      </c>
      <c r="F305">
        <v>1.59</v>
      </c>
      <c r="G305" t="s">
        <v>14</v>
      </c>
    </row>
    <row r="306" spans="1:7" x14ac:dyDescent="0.25">
      <c r="A306">
        <v>24</v>
      </c>
      <c r="B306" t="s">
        <v>136</v>
      </c>
      <c r="C306">
        <v>60</v>
      </c>
      <c r="D306" t="s">
        <v>107</v>
      </c>
      <c r="E306" t="s">
        <v>15</v>
      </c>
      <c r="F306">
        <v>15.342000000000001</v>
      </c>
      <c r="G306" t="s">
        <v>14</v>
      </c>
    </row>
    <row r="307" spans="1:7" x14ac:dyDescent="0.25">
      <c r="A307">
        <v>24</v>
      </c>
      <c r="B307" t="s">
        <v>136</v>
      </c>
      <c r="C307">
        <v>70</v>
      </c>
      <c r="D307" t="s">
        <v>18</v>
      </c>
      <c r="E307" t="s">
        <v>15</v>
      </c>
      <c r="F307">
        <v>94.350999999999999</v>
      </c>
      <c r="G307" t="s">
        <v>14</v>
      </c>
    </row>
    <row r="308" spans="1:7" x14ac:dyDescent="0.25">
      <c r="A308">
        <v>24</v>
      </c>
      <c r="B308" t="s">
        <v>136</v>
      </c>
      <c r="C308">
        <v>80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136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136</v>
      </c>
      <c r="C312">
        <v>120</v>
      </c>
      <c r="D312" t="s">
        <v>110</v>
      </c>
      <c r="E312" t="s">
        <v>13</v>
      </c>
      <c r="F312">
        <v>1.0940000000000001</v>
      </c>
      <c r="G312" t="s">
        <v>14</v>
      </c>
    </row>
    <row r="313" spans="1:7" x14ac:dyDescent="0.25">
      <c r="A313">
        <v>24</v>
      </c>
      <c r="B313" t="s">
        <v>136</v>
      </c>
      <c r="C313">
        <v>130</v>
      </c>
      <c r="D313" t="s">
        <v>211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137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137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137</v>
      </c>
      <c r="C316">
        <v>30</v>
      </c>
      <c r="D316" t="s">
        <v>112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137</v>
      </c>
      <c r="C317">
        <v>40</v>
      </c>
      <c r="D317" t="s">
        <v>18</v>
      </c>
      <c r="E317" t="s">
        <v>15</v>
      </c>
      <c r="F317">
        <v>46.533000000000001</v>
      </c>
      <c r="G317" t="s">
        <v>14</v>
      </c>
    </row>
    <row r="318" spans="1:7" x14ac:dyDescent="0.25">
      <c r="A318">
        <v>25</v>
      </c>
      <c r="B318" t="s">
        <v>137</v>
      </c>
      <c r="C318">
        <v>50</v>
      </c>
      <c r="D318" t="s">
        <v>105</v>
      </c>
      <c r="E318" t="s">
        <v>106</v>
      </c>
      <c r="F318">
        <v>0.76800000000000002</v>
      </c>
      <c r="G318" t="s">
        <v>14</v>
      </c>
    </row>
    <row r="319" spans="1:7" x14ac:dyDescent="0.25">
      <c r="A319">
        <v>25</v>
      </c>
      <c r="B319" t="s">
        <v>137</v>
      </c>
      <c r="C319">
        <v>60</v>
      </c>
      <c r="D319" t="s">
        <v>107</v>
      </c>
      <c r="E319" t="s">
        <v>15</v>
      </c>
      <c r="F319">
        <v>11.887</v>
      </c>
      <c r="G319" t="s">
        <v>14</v>
      </c>
    </row>
    <row r="320" spans="1:7" x14ac:dyDescent="0.25">
      <c r="A320">
        <v>25</v>
      </c>
      <c r="B320" t="s">
        <v>137</v>
      </c>
      <c r="C320">
        <v>70</v>
      </c>
      <c r="D320" t="s">
        <v>18</v>
      </c>
      <c r="E320" t="s">
        <v>15</v>
      </c>
      <c r="F320">
        <v>73.105999999999995</v>
      </c>
      <c r="G320" t="s">
        <v>14</v>
      </c>
    </row>
    <row r="321" spans="1:7" x14ac:dyDescent="0.25">
      <c r="A321">
        <v>25</v>
      </c>
      <c r="B321" t="s">
        <v>137</v>
      </c>
      <c r="C321">
        <v>80</v>
      </c>
      <c r="D321" t="s">
        <v>111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137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137</v>
      </c>
      <c r="C325">
        <v>120</v>
      </c>
      <c r="D325" t="s">
        <v>110</v>
      </c>
      <c r="E325" t="s">
        <v>13</v>
      </c>
      <c r="F325">
        <v>1.2430000000000001</v>
      </c>
      <c r="G325" t="s">
        <v>14</v>
      </c>
    </row>
    <row r="326" spans="1:7" x14ac:dyDescent="0.25">
      <c r="A326">
        <v>25</v>
      </c>
      <c r="B326" t="s">
        <v>137</v>
      </c>
      <c r="C326">
        <v>130</v>
      </c>
      <c r="D326" t="s">
        <v>212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138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138</v>
      </c>
      <c r="C328">
        <v>20</v>
      </c>
      <c r="D328" t="s">
        <v>109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138</v>
      </c>
      <c r="C329">
        <v>30</v>
      </c>
      <c r="D329" t="s">
        <v>112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138</v>
      </c>
      <c r="C330">
        <v>40</v>
      </c>
      <c r="D330" t="s">
        <v>18</v>
      </c>
      <c r="E330" t="s">
        <v>15</v>
      </c>
      <c r="F330">
        <v>48.970999999999997</v>
      </c>
      <c r="G330" t="s">
        <v>14</v>
      </c>
    </row>
    <row r="331" spans="1:7" x14ac:dyDescent="0.25">
      <c r="A331">
        <v>26</v>
      </c>
      <c r="B331" t="s">
        <v>138</v>
      </c>
      <c r="C331">
        <v>50</v>
      </c>
      <c r="D331" t="s">
        <v>105</v>
      </c>
      <c r="E331" t="s">
        <v>106</v>
      </c>
      <c r="F331">
        <v>0.91200000000000003</v>
      </c>
      <c r="G331" t="s">
        <v>14</v>
      </c>
    </row>
    <row r="332" spans="1:7" x14ac:dyDescent="0.25">
      <c r="A332">
        <v>26</v>
      </c>
      <c r="B332" t="s">
        <v>138</v>
      </c>
      <c r="C332">
        <v>60</v>
      </c>
      <c r="D332" t="s">
        <v>107</v>
      </c>
      <c r="E332" t="s">
        <v>15</v>
      </c>
      <c r="F332">
        <v>12.497</v>
      </c>
      <c r="G332" t="s">
        <v>14</v>
      </c>
    </row>
    <row r="333" spans="1:7" x14ac:dyDescent="0.25">
      <c r="A333">
        <v>26</v>
      </c>
      <c r="B333" t="s">
        <v>138</v>
      </c>
      <c r="C333">
        <v>70</v>
      </c>
      <c r="D333" t="s">
        <v>18</v>
      </c>
      <c r="E333" t="s">
        <v>15</v>
      </c>
      <c r="F333">
        <v>76.855000000000004</v>
      </c>
      <c r="G333" t="s">
        <v>14</v>
      </c>
    </row>
    <row r="334" spans="1:7" x14ac:dyDescent="0.25">
      <c r="A334">
        <v>26</v>
      </c>
      <c r="B334" t="s">
        <v>138</v>
      </c>
      <c r="C334">
        <v>80</v>
      </c>
      <c r="D334" t="s">
        <v>111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138</v>
      </c>
      <c r="C338">
        <v>120</v>
      </c>
      <c r="D338" t="s">
        <v>110</v>
      </c>
      <c r="E338" t="s">
        <v>13</v>
      </c>
      <c r="F338">
        <v>1.2430000000000001</v>
      </c>
      <c r="G338" t="s">
        <v>14</v>
      </c>
    </row>
    <row r="339" spans="1:7" x14ac:dyDescent="0.25">
      <c r="A339">
        <v>26</v>
      </c>
      <c r="B339" t="s">
        <v>138</v>
      </c>
      <c r="C339">
        <v>130</v>
      </c>
      <c r="D339" t="s">
        <v>213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139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139</v>
      </c>
      <c r="C341">
        <v>20</v>
      </c>
      <c r="D341" t="s">
        <v>109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139</v>
      </c>
      <c r="C342">
        <v>30</v>
      </c>
      <c r="D342" t="s">
        <v>112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139</v>
      </c>
      <c r="C343">
        <v>40</v>
      </c>
      <c r="D343" t="s">
        <v>18</v>
      </c>
      <c r="E343" t="s">
        <v>15</v>
      </c>
      <c r="F343">
        <v>51.41</v>
      </c>
      <c r="G343" t="s">
        <v>14</v>
      </c>
    </row>
    <row r="344" spans="1:7" x14ac:dyDescent="0.25">
      <c r="A344">
        <v>27</v>
      </c>
      <c r="B344" t="s">
        <v>139</v>
      </c>
      <c r="C344">
        <v>50</v>
      </c>
      <c r="D344" t="s">
        <v>105</v>
      </c>
      <c r="E344" t="s">
        <v>106</v>
      </c>
      <c r="F344">
        <v>1.056</v>
      </c>
      <c r="G344" t="s">
        <v>14</v>
      </c>
    </row>
    <row r="345" spans="1:7" x14ac:dyDescent="0.25">
      <c r="A345">
        <v>27</v>
      </c>
      <c r="B345" t="s">
        <v>139</v>
      </c>
      <c r="C345">
        <v>60</v>
      </c>
      <c r="D345" t="s">
        <v>107</v>
      </c>
      <c r="E345" t="s">
        <v>15</v>
      </c>
      <c r="F345">
        <v>13.106</v>
      </c>
      <c r="G345" t="s">
        <v>14</v>
      </c>
    </row>
    <row r="346" spans="1:7" x14ac:dyDescent="0.25">
      <c r="A346">
        <v>27</v>
      </c>
      <c r="B346" t="s">
        <v>139</v>
      </c>
      <c r="C346">
        <v>70</v>
      </c>
      <c r="D346" t="s">
        <v>18</v>
      </c>
      <c r="E346" t="s">
        <v>15</v>
      </c>
      <c r="F346">
        <v>80.603999999999999</v>
      </c>
      <c r="G346" t="s">
        <v>14</v>
      </c>
    </row>
    <row r="347" spans="1:7" x14ac:dyDescent="0.25">
      <c r="A347">
        <v>27</v>
      </c>
      <c r="B347" t="s">
        <v>139</v>
      </c>
      <c r="C347">
        <v>80</v>
      </c>
      <c r="D347" t="s">
        <v>111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139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139</v>
      </c>
      <c r="C351">
        <v>120</v>
      </c>
      <c r="D351" t="s">
        <v>110</v>
      </c>
      <c r="E351" t="s">
        <v>13</v>
      </c>
      <c r="F351">
        <v>1.2430000000000001</v>
      </c>
      <c r="G351" t="s">
        <v>14</v>
      </c>
    </row>
    <row r="352" spans="1:7" x14ac:dyDescent="0.25">
      <c r="A352">
        <v>27</v>
      </c>
      <c r="B352" t="s">
        <v>139</v>
      </c>
      <c r="C352">
        <v>130</v>
      </c>
      <c r="D352" t="s">
        <v>214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140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140</v>
      </c>
      <c r="C354">
        <v>20</v>
      </c>
      <c r="D354" t="s">
        <v>109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140</v>
      </c>
      <c r="C355">
        <v>30</v>
      </c>
      <c r="D355" t="s">
        <v>112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140</v>
      </c>
      <c r="C356">
        <v>40</v>
      </c>
      <c r="D356" t="s">
        <v>18</v>
      </c>
      <c r="E356" t="s">
        <v>15</v>
      </c>
      <c r="F356">
        <v>53.847999999999999</v>
      </c>
      <c r="G356" t="s">
        <v>14</v>
      </c>
    </row>
    <row r="357" spans="1:7" x14ac:dyDescent="0.25">
      <c r="A357">
        <v>28</v>
      </c>
      <c r="B357" t="s">
        <v>140</v>
      </c>
      <c r="C357">
        <v>50</v>
      </c>
      <c r="D357" t="s">
        <v>105</v>
      </c>
      <c r="E357" t="s">
        <v>106</v>
      </c>
      <c r="F357">
        <v>1.2</v>
      </c>
      <c r="G357" t="s">
        <v>14</v>
      </c>
    </row>
    <row r="358" spans="1:7" x14ac:dyDescent="0.25">
      <c r="A358">
        <v>28</v>
      </c>
      <c r="B358" t="s">
        <v>140</v>
      </c>
      <c r="C358">
        <v>60</v>
      </c>
      <c r="D358" t="s">
        <v>107</v>
      </c>
      <c r="E358" t="s">
        <v>15</v>
      </c>
      <c r="F358">
        <v>13.715999999999999</v>
      </c>
      <c r="G358" t="s">
        <v>14</v>
      </c>
    </row>
    <row r="359" spans="1:7" x14ac:dyDescent="0.25">
      <c r="A359">
        <v>28</v>
      </c>
      <c r="B359" t="s">
        <v>140</v>
      </c>
      <c r="C359">
        <v>70</v>
      </c>
      <c r="D359" t="s">
        <v>18</v>
      </c>
      <c r="E359" t="s">
        <v>15</v>
      </c>
      <c r="F359">
        <v>84.352999999999994</v>
      </c>
      <c r="G359" t="s">
        <v>14</v>
      </c>
    </row>
    <row r="360" spans="1:7" x14ac:dyDescent="0.25">
      <c r="A360">
        <v>28</v>
      </c>
      <c r="B360" t="s">
        <v>140</v>
      </c>
      <c r="C360">
        <v>80</v>
      </c>
      <c r="D360" t="s">
        <v>111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140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140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140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140</v>
      </c>
      <c r="C364">
        <v>120</v>
      </c>
      <c r="D364" t="s">
        <v>110</v>
      </c>
      <c r="E364" t="s">
        <v>13</v>
      </c>
      <c r="F364">
        <v>1.2430000000000001</v>
      </c>
      <c r="G364" t="s">
        <v>14</v>
      </c>
    </row>
    <row r="365" spans="1:7" x14ac:dyDescent="0.25">
      <c r="A365">
        <v>28</v>
      </c>
      <c r="B365" t="s">
        <v>140</v>
      </c>
      <c r="C365">
        <v>130</v>
      </c>
      <c r="D365" t="s">
        <v>215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141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141</v>
      </c>
      <c r="C367">
        <v>20</v>
      </c>
      <c r="D367" t="s">
        <v>109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141</v>
      </c>
      <c r="C368">
        <v>30</v>
      </c>
      <c r="D368" t="s">
        <v>112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141</v>
      </c>
      <c r="C369">
        <v>40</v>
      </c>
      <c r="D369" t="s">
        <v>18</v>
      </c>
      <c r="E369" t="s">
        <v>15</v>
      </c>
      <c r="F369">
        <v>55.067</v>
      </c>
      <c r="G369" t="s">
        <v>14</v>
      </c>
    </row>
    <row r="370" spans="1:7" x14ac:dyDescent="0.25">
      <c r="A370">
        <v>29</v>
      </c>
      <c r="B370" t="s">
        <v>141</v>
      </c>
      <c r="C370">
        <v>50</v>
      </c>
      <c r="D370" t="s">
        <v>105</v>
      </c>
      <c r="E370" t="s">
        <v>106</v>
      </c>
      <c r="F370">
        <v>1.272</v>
      </c>
      <c r="G370" t="s">
        <v>14</v>
      </c>
    </row>
    <row r="371" spans="1:7" x14ac:dyDescent="0.25">
      <c r="A371">
        <v>29</v>
      </c>
      <c r="B371" t="s">
        <v>141</v>
      </c>
      <c r="C371">
        <v>60</v>
      </c>
      <c r="D371" t="s">
        <v>107</v>
      </c>
      <c r="E371" t="s">
        <v>15</v>
      </c>
      <c r="F371">
        <v>14.021000000000001</v>
      </c>
      <c r="G371" t="s">
        <v>14</v>
      </c>
    </row>
    <row r="372" spans="1:7" x14ac:dyDescent="0.25">
      <c r="A372">
        <v>29</v>
      </c>
      <c r="B372" t="s">
        <v>141</v>
      </c>
      <c r="C372">
        <v>70</v>
      </c>
      <c r="D372" t="s">
        <v>18</v>
      </c>
      <c r="E372" t="s">
        <v>15</v>
      </c>
      <c r="F372">
        <v>86.227999999999994</v>
      </c>
      <c r="G372" t="s">
        <v>14</v>
      </c>
    </row>
    <row r="373" spans="1:7" x14ac:dyDescent="0.25">
      <c r="A373">
        <v>29</v>
      </c>
      <c r="B373" t="s">
        <v>141</v>
      </c>
      <c r="C373">
        <v>80</v>
      </c>
      <c r="D373" t="s">
        <v>111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141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141</v>
      </c>
      <c r="C377">
        <v>120</v>
      </c>
      <c r="D377" t="s">
        <v>110</v>
      </c>
      <c r="E377" t="s">
        <v>13</v>
      </c>
      <c r="F377">
        <v>1.2430000000000001</v>
      </c>
      <c r="G377" t="s">
        <v>14</v>
      </c>
    </row>
    <row r="378" spans="1:7" x14ac:dyDescent="0.25">
      <c r="A378">
        <v>29</v>
      </c>
      <c r="B378" t="s">
        <v>141</v>
      </c>
      <c r="C378">
        <v>130</v>
      </c>
      <c r="D378" t="s">
        <v>216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142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142</v>
      </c>
      <c r="C380">
        <v>20</v>
      </c>
      <c r="D380" t="s">
        <v>109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142</v>
      </c>
      <c r="C381">
        <v>30</v>
      </c>
      <c r="D381" t="s">
        <v>112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142</v>
      </c>
      <c r="C382">
        <v>40</v>
      </c>
      <c r="D382" t="s">
        <v>18</v>
      </c>
      <c r="E382" t="s">
        <v>15</v>
      </c>
      <c r="F382">
        <v>56.286000000000001</v>
      </c>
      <c r="G382" t="s">
        <v>14</v>
      </c>
    </row>
    <row r="383" spans="1:7" x14ac:dyDescent="0.25">
      <c r="A383">
        <v>30</v>
      </c>
      <c r="B383" t="s">
        <v>142</v>
      </c>
      <c r="C383">
        <v>50</v>
      </c>
      <c r="D383" t="s">
        <v>105</v>
      </c>
      <c r="E383" t="s">
        <v>106</v>
      </c>
      <c r="F383">
        <v>1.3440000000000001</v>
      </c>
      <c r="G383" t="s">
        <v>14</v>
      </c>
    </row>
    <row r="384" spans="1:7" x14ac:dyDescent="0.25">
      <c r="A384">
        <v>30</v>
      </c>
      <c r="B384" t="s">
        <v>142</v>
      </c>
      <c r="C384">
        <v>60</v>
      </c>
      <c r="D384" t="s">
        <v>107</v>
      </c>
      <c r="E384" t="s">
        <v>15</v>
      </c>
      <c r="F384">
        <v>14.326000000000001</v>
      </c>
      <c r="G384" t="s">
        <v>14</v>
      </c>
    </row>
    <row r="385" spans="1:7" x14ac:dyDescent="0.25">
      <c r="A385">
        <v>30</v>
      </c>
      <c r="B385" t="s">
        <v>142</v>
      </c>
      <c r="C385">
        <v>70</v>
      </c>
      <c r="D385" t="s">
        <v>18</v>
      </c>
      <c r="E385" t="s">
        <v>15</v>
      </c>
      <c r="F385">
        <v>88.102000000000004</v>
      </c>
      <c r="G385" t="s">
        <v>14</v>
      </c>
    </row>
    <row r="386" spans="1:7" x14ac:dyDescent="0.25">
      <c r="A386">
        <v>30</v>
      </c>
      <c r="B386" t="s">
        <v>142</v>
      </c>
      <c r="C386">
        <v>80</v>
      </c>
      <c r="D386" t="s">
        <v>111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142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142</v>
      </c>
      <c r="C390">
        <v>120</v>
      </c>
      <c r="D390" t="s">
        <v>110</v>
      </c>
      <c r="E390" t="s">
        <v>13</v>
      </c>
      <c r="F390">
        <v>1.2430000000000001</v>
      </c>
      <c r="G390" t="s">
        <v>14</v>
      </c>
    </row>
    <row r="391" spans="1:7" x14ac:dyDescent="0.25">
      <c r="A391">
        <v>30</v>
      </c>
      <c r="B391" t="s">
        <v>142</v>
      </c>
      <c r="C391">
        <v>130</v>
      </c>
      <c r="D391" t="s">
        <v>217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143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143</v>
      </c>
      <c r="C393">
        <v>20</v>
      </c>
      <c r="D393" t="s">
        <v>109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143</v>
      </c>
      <c r="C394">
        <v>30</v>
      </c>
      <c r="D394" t="s">
        <v>112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143</v>
      </c>
      <c r="C395">
        <v>40</v>
      </c>
      <c r="D395" t="s">
        <v>18</v>
      </c>
      <c r="E395" t="s">
        <v>15</v>
      </c>
      <c r="F395">
        <v>58.725000000000001</v>
      </c>
      <c r="G395" t="s">
        <v>14</v>
      </c>
    </row>
    <row r="396" spans="1:7" x14ac:dyDescent="0.25">
      <c r="A396">
        <v>31</v>
      </c>
      <c r="B396" t="s">
        <v>143</v>
      </c>
      <c r="C396">
        <v>50</v>
      </c>
      <c r="D396" t="s">
        <v>105</v>
      </c>
      <c r="E396" t="s">
        <v>106</v>
      </c>
      <c r="F396">
        <v>1.488</v>
      </c>
      <c r="G396" t="s">
        <v>14</v>
      </c>
    </row>
    <row r="397" spans="1:7" x14ac:dyDescent="0.25">
      <c r="A397">
        <v>31</v>
      </c>
      <c r="B397" t="s">
        <v>143</v>
      </c>
      <c r="C397">
        <v>60</v>
      </c>
      <c r="D397" t="s">
        <v>107</v>
      </c>
      <c r="E397" t="s">
        <v>15</v>
      </c>
      <c r="F397">
        <v>14.935</v>
      </c>
      <c r="G397" t="s">
        <v>14</v>
      </c>
    </row>
    <row r="398" spans="1:7" x14ac:dyDescent="0.25">
      <c r="A398">
        <v>31</v>
      </c>
      <c r="B398" t="s">
        <v>143</v>
      </c>
      <c r="C398">
        <v>70</v>
      </c>
      <c r="D398" t="s">
        <v>18</v>
      </c>
      <c r="E398" t="s">
        <v>15</v>
      </c>
      <c r="F398">
        <v>91.850999999999999</v>
      </c>
      <c r="G398" t="s">
        <v>14</v>
      </c>
    </row>
    <row r="399" spans="1:7" x14ac:dyDescent="0.25">
      <c r="A399">
        <v>31</v>
      </c>
      <c r="B399" t="s">
        <v>143</v>
      </c>
      <c r="C399">
        <v>80</v>
      </c>
      <c r="D399" t="s">
        <v>111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143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143</v>
      </c>
      <c r="C403">
        <v>120</v>
      </c>
      <c r="D403" t="s">
        <v>110</v>
      </c>
      <c r="E403" t="s">
        <v>13</v>
      </c>
      <c r="F403">
        <v>1.2430000000000001</v>
      </c>
      <c r="G403" t="s">
        <v>14</v>
      </c>
    </row>
    <row r="404" spans="1:7" x14ac:dyDescent="0.25">
      <c r="A404">
        <v>31</v>
      </c>
      <c r="B404" t="s">
        <v>143</v>
      </c>
      <c r="C404">
        <v>130</v>
      </c>
      <c r="D404" t="s">
        <v>218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144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144</v>
      </c>
      <c r="C406">
        <v>20</v>
      </c>
      <c r="D406" t="s">
        <v>109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144</v>
      </c>
      <c r="C407">
        <v>30</v>
      </c>
      <c r="D407" t="s">
        <v>112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144</v>
      </c>
      <c r="C408">
        <v>40</v>
      </c>
      <c r="D408" t="s">
        <v>18</v>
      </c>
      <c r="E408" t="s">
        <v>15</v>
      </c>
      <c r="F408">
        <v>61.162999999999997</v>
      </c>
      <c r="G408" t="s">
        <v>14</v>
      </c>
    </row>
    <row r="409" spans="1:7" x14ac:dyDescent="0.25">
      <c r="A409">
        <v>32</v>
      </c>
      <c r="B409" t="s">
        <v>144</v>
      </c>
      <c r="C409">
        <v>50</v>
      </c>
      <c r="D409" t="s">
        <v>105</v>
      </c>
      <c r="E409" t="s">
        <v>106</v>
      </c>
      <c r="F409">
        <v>1.6319999999999999</v>
      </c>
      <c r="G409" t="s">
        <v>14</v>
      </c>
    </row>
    <row r="410" spans="1:7" x14ac:dyDescent="0.25">
      <c r="A410">
        <v>32</v>
      </c>
      <c r="B410" t="s">
        <v>144</v>
      </c>
      <c r="C410">
        <v>60</v>
      </c>
      <c r="D410" t="s">
        <v>107</v>
      </c>
      <c r="E410" t="s">
        <v>15</v>
      </c>
      <c r="F410">
        <v>15.545</v>
      </c>
      <c r="G410" t="s">
        <v>14</v>
      </c>
    </row>
    <row r="411" spans="1:7" x14ac:dyDescent="0.25">
      <c r="A411">
        <v>32</v>
      </c>
      <c r="B411" t="s">
        <v>144</v>
      </c>
      <c r="C411">
        <v>70</v>
      </c>
      <c r="D411" t="s">
        <v>18</v>
      </c>
      <c r="E411" t="s">
        <v>15</v>
      </c>
      <c r="F411">
        <v>95.600999999999999</v>
      </c>
      <c r="G411" t="s">
        <v>14</v>
      </c>
    </row>
    <row r="412" spans="1:7" x14ac:dyDescent="0.25">
      <c r="A412">
        <v>32</v>
      </c>
      <c r="B412" t="s">
        <v>144</v>
      </c>
      <c r="C412">
        <v>80</v>
      </c>
      <c r="D412" t="s">
        <v>111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144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144</v>
      </c>
      <c r="C416">
        <v>120</v>
      </c>
      <c r="D416" t="s">
        <v>110</v>
      </c>
      <c r="E416" t="s">
        <v>13</v>
      </c>
      <c r="F416">
        <v>1.2430000000000001</v>
      </c>
      <c r="G416" t="s">
        <v>14</v>
      </c>
    </row>
    <row r="417" spans="1:7" x14ac:dyDescent="0.25">
      <c r="A417">
        <v>32</v>
      </c>
      <c r="B417" t="s">
        <v>144</v>
      </c>
      <c r="C417">
        <v>130</v>
      </c>
      <c r="D417" t="s">
        <v>219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145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145</v>
      </c>
      <c r="C419">
        <v>20</v>
      </c>
      <c r="D419" t="s">
        <v>109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145</v>
      </c>
      <c r="C420">
        <v>30</v>
      </c>
      <c r="D420" t="s">
        <v>112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145</v>
      </c>
      <c r="C421">
        <v>40</v>
      </c>
      <c r="D421" t="s">
        <v>18</v>
      </c>
      <c r="E421" t="s">
        <v>15</v>
      </c>
      <c r="F421">
        <v>48.158000000000001</v>
      </c>
      <c r="G421" t="s">
        <v>14</v>
      </c>
    </row>
    <row r="422" spans="1:7" x14ac:dyDescent="0.25">
      <c r="A422">
        <v>33</v>
      </c>
      <c r="B422" t="s">
        <v>145</v>
      </c>
      <c r="C422">
        <v>50</v>
      </c>
      <c r="D422" t="s">
        <v>105</v>
      </c>
      <c r="E422" t="s">
        <v>106</v>
      </c>
      <c r="F422">
        <v>0.80700000000000005</v>
      </c>
      <c r="G422" t="s">
        <v>14</v>
      </c>
    </row>
    <row r="423" spans="1:7" x14ac:dyDescent="0.25">
      <c r="A423">
        <v>33</v>
      </c>
      <c r="B423" t="s">
        <v>145</v>
      </c>
      <c r="C423">
        <v>60</v>
      </c>
      <c r="D423" t="s">
        <v>107</v>
      </c>
      <c r="E423" t="s">
        <v>15</v>
      </c>
      <c r="F423">
        <v>12.294</v>
      </c>
      <c r="G423" t="s">
        <v>14</v>
      </c>
    </row>
    <row r="424" spans="1:7" x14ac:dyDescent="0.25">
      <c r="A424">
        <v>33</v>
      </c>
      <c r="B424" t="s">
        <v>145</v>
      </c>
      <c r="C424">
        <v>70</v>
      </c>
      <c r="D424" t="s">
        <v>18</v>
      </c>
      <c r="E424" t="s">
        <v>15</v>
      </c>
      <c r="F424">
        <v>75.605999999999995</v>
      </c>
      <c r="G424" t="s">
        <v>14</v>
      </c>
    </row>
    <row r="425" spans="1:7" x14ac:dyDescent="0.25">
      <c r="A425">
        <v>33</v>
      </c>
      <c r="B425" t="s">
        <v>145</v>
      </c>
      <c r="C425">
        <v>80</v>
      </c>
      <c r="D425" t="s">
        <v>111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145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145</v>
      </c>
      <c r="C429">
        <v>120</v>
      </c>
      <c r="D429" t="s">
        <v>110</v>
      </c>
      <c r="E429" t="s">
        <v>13</v>
      </c>
      <c r="F429">
        <v>1.2969999999999999</v>
      </c>
      <c r="G429" t="s">
        <v>14</v>
      </c>
    </row>
    <row r="430" spans="1:7" x14ac:dyDescent="0.25">
      <c r="A430">
        <v>33</v>
      </c>
      <c r="B430" t="s">
        <v>145</v>
      </c>
      <c r="C430">
        <v>130</v>
      </c>
      <c r="D430" t="s">
        <v>220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146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146</v>
      </c>
      <c r="C432">
        <v>20</v>
      </c>
      <c r="D432" t="s">
        <v>109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146</v>
      </c>
      <c r="C433">
        <v>30</v>
      </c>
      <c r="D433" t="s">
        <v>112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146</v>
      </c>
      <c r="C434">
        <v>40</v>
      </c>
      <c r="D434" t="s">
        <v>18</v>
      </c>
      <c r="E434" t="s">
        <v>15</v>
      </c>
      <c r="F434">
        <v>50.597000000000001</v>
      </c>
      <c r="G434" t="s">
        <v>14</v>
      </c>
    </row>
    <row r="435" spans="1:7" x14ac:dyDescent="0.25">
      <c r="A435">
        <v>34</v>
      </c>
      <c r="B435" t="s">
        <v>146</v>
      </c>
      <c r="C435">
        <v>50</v>
      </c>
      <c r="D435" t="s">
        <v>105</v>
      </c>
      <c r="E435" t="s">
        <v>106</v>
      </c>
      <c r="F435">
        <v>0.95799999999999996</v>
      </c>
      <c r="G435" t="s">
        <v>14</v>
      </c>
    </row>
    <row r="436" spans="1:7" x14ac:dyDescent="0.25">
      <c r="A436">
        <v>34</v>
      </c>
      <c r="B436" t="s">
        <v>146</v>
      </c>
      <c r="C436">
        <v>60</v>
      </c>
      <c r="D436" t="s">
        <v>107</v>
      </c>
      <c r="E436" t="s">
        <v>15</v>
      </c>
      <c r="F436">
        <v>12.903</v>
      </c>
      <c r="G436" t="s">
        <v>14</v>
      </c>
    </row>
    <row r="437" spans="1:7" x14ac:dyDescent="0.25">
      <c r="A437">
        <v>34</v>
      </c>
      <c r="B437" t="s">
        <v>146</v>
      </c>
      <c r="C437">
        <v>70</v>
      </c>
      <c r="D437" t="s">
        <v>18</v>
      </c>
      <c r="E437" t="s">
        <v>15</v>
      </c>
      <c r="F437">
        <v>79.355000000000004</v>
      </c>
      <c r="G437" t="s">
        <v>14</v>
      </c>
    </row>
    <row r="438" spans="1:7" x14ac:dyDescent="0.25">
      <c r="A438">
        <v>34</v>
      </c>
      <c r="B438" t="s">
        <v>146</v>
      </c>
      <c r="C438">
        <v>80</v>
      </c>
      <c r="D438" t="s">
        <v>111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146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146</v>
      </c>
      <c r="C442">
        <v>120</v>
      </c>
      <c r="D442" t="s">
        <v>110</v>
      </c>
      <c r="E442" t="s">
        <v>13</v>
      </c>
      <c r="F442">
        <v>1.2969999999999999</v>
      </c>
      <c r="G442" t="s">
        <v>14</v>
      </c>
    </row>
    <row r="443" spans="1:7" x14ac:dyDescent="0.25">
      <c r="A443">
        <v>34</v>
      </c>
      <c r="B443" t="s">
        <v>146</v>
      </c>
      <c r="C443">
        <v>130</v>
      </c>
      <c r="D443" t="s">
        <v>221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147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147</v>
      </c>
      <c r="C445">
        <v>20</v>
      </c>
      <c r="D445" t="s">
        <v>109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147</v>
      </c>
      <c r="C446">
        <v>30</v>
      </c>
      <c r="D446" t="s">
        <v>112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147</v>
      </c>
      <c r="C447">
        <v>40</v>
      </c>
      <c r="D447" t="s">
        <v>18</v>
      </c>
      <c r="E447" t="s">
        <v>15</v>
      </c>
      <c r="F447">
        <v>53.034999999999997</v>
      </c>
      <c r="G447" t="s">
        <v>14</v>
      </c>
    </row>
    <row r="448" spans="1:7" x14ac:dyDescent="0.25">
      <c r="A448">
        <v>35</v>
      </c>
      <c r="B448" t="s">
        <v>147</v>
      </c>
      <c r="C448">
        <v>50</v>
      </c>
      <c r="D448" t="s">
        <v>105</v>
      </c>
      <c r="E448" t="s">
        <v>106</v>
      </c>
      <c r="F448">
        <v>1.109</v>
      </c>
      <c r="G448" t="s">
        <v>14</v>
      </c>
    </row>
    <row r="449" spans="1:7" x14ac:dyDescent="0.25">
      <c r="A449">
        <v>35</v>
      </c>
      <c r="B449" t="s">
        <v>147</v>
      </c>
      <c r="C449">
        <v>60</v>
      </c>
      <c r="D449" t="s">
        <v>107</v>
      </c>
      <c r="E449" t="s">
        <v>15</v>
      </c>
      <c r="F449">
        <v>13.513</v>
      </c>
      <c r="G449" t="s">
        <v>14</v>
      </c>
    </row>
    <row r="450" spans="1:7" x14ac:dyDescent="0.25">
      <c r="A450">
        <v>35</v>
      </c>
      <c r="B450" t="s">
        <v>147</v>
      </c>
      <c r="C450">
        <v>70</v>
      </c>
      <c r="D450" t="s">
        <v>18</v>
      </c>
      <c r="E450" t="s">
        <v>15</v>
      </c>
      <c r="F450">
        <v>83.103999999999999</v>
      </c>
      <c r="G450" t="s">
        <v>14</v>
      </c>
    </row>
    <row r="451" spans="1:7" x14ac:dyDescent="0.25">
      <c r="A451">
        <v>35</v>
      </c>
      <c r="B451" t="s">
        <v>147</v>
      </c>
      <c r="C451">
        <v>80</v>
      </c>
      <c r="D451" t="s">
        <v>111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147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147</v>
      </c>
      <c r="C455">
        <v>120</v>
      </c>
      <c r="D455" t="s">
        <v>110</v>
      </c>
      <c r="E455" t="s">
        <v>13</v>
      </c>
      <c r="F455">
        <v>1.2969999999999999</v>
      </c>
      <c r="G455" t="s">
        <v>14</v>
      </c>
    </row>
    <row r="456" spans="1:7" x14ac:dyDescent="0.25">
      <c r="A456">
        <v>35</v>
      </c>
      <c r="B456" t="s">
        <v>147</v>
      </c>
      <c r="C456">
        <v>130</v>
      </c>
      <c r="D456" t="s">
        <v>222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148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148</v>
      </c>
      <c r="C458">
        <v>20</v>
      </c>
      <c r="D458" t="s">
        <v>109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148</v>
      </c>
      <c r="C459">
        <v>30</v>
      </c>
      <c r="D459" t="s">
        <v>112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148</v>
      </c>
      <c r="C460">
        <v>40</v>
      </c>
      <c r="D460" t="s">
        <v>18</v>
      </c>
      <c r="E460" t="s">
        <v>15</v>
      </c>
      <c r="F460">
        <v>55.473999999999997</v>
      </c>
      <c r="G460" t="s">
        <v>14</v>
      </c>
    </row>
    <row r="461" spans="1:7" x14ac:dyDescent="0.25">
      <c r="A461">
        <v>36</v>
      </c>
      <c r="B461" t="s">
        <v>148</v>
      </c>
      <c r="C461">
        <v>50</v>
      </c>
      <c r="D461" t="s">
        <v>105</v>
      </c>
      <c r="E461" t="s">
        <v>106</v>
      </c>
      <c r="F461">
        <v>1.2609999999999999</v>
      </c>
      <c r="G461" t="s">
        <v>14</v>
      </c>
    </row>
    <row r="462" spans="1:7" x14ac:dyDescent="0.25">
      <c r="A462">
        <v>36</v>
      </c>
      <c r="B462" t="s">
        <v>148</v>
      </c>
      <c r="C462">
        <v>60</v>
      </c>
      <c r="D462" t="s">
        <v>107</v>
      </c>
      <c r="E462" t="s">
        <v>15</v>
      </c>
      <c r="F462">
        <v>14.122</v>
      </c>
      <c r="G462" t="s">
        <v>14</v>
      </c>
    </row>
    <row r="463" spans="1:7" x14ac:dyDescent="0.25">
      <c r="A463">
        <v>36</v>
      </c>
      <c r="B463" t="s">
        <v>148</v>
      </c>
      <c r="C463">
        <v>70</v>
      </c>
      <c r="D463" t="s">
        <v>18</v>
      </c>
      <c r="E463" t="s">
        <v>15</v>
      </c>
      <c r="F463">
        <v>86.852999999999994</v>
      </c>
      <c r="G463" t="s">
        <v>14</v>
      </c>
    </row>
    <row r="464" spans="1:7" x14ac:dyDescent="0.25">
      <c r="A464">
        <v>36</v>
      </c>
      <c r="B464" t="s">
        <v>148</v>
      </c>
      <c r="C464">
        <v>80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148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148</v>
      </c>
      <c r="C468">
        <v>120</v>
      </c>
      <c r="D468" t="s">
        <v>110</v>
      </c>
      <c r="E468" t="s">
        <v>13</v>
      </c>
      <c r="F468">
        <v>1.2969999999999999</v>
      </c>
      <c r="G468" t="s">
        <v>14</v>
      </c>
    </row>
    <row r="469" spans="1:7" x14ac:dyDescent="0.25">
      <c r="A469">
        <v>36</v>
      </c>
      <c r="B469" t="s">
        <v>148</v>
      </c>
      <c r="C469">
        <v>130</v>
      </c>
      <c r="D469" t="s">
        <v>223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149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149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149</v>
      </c>
      <c r="C472">
        <v>30</v>
      </c>
      <c r="D472" t="s">
        <v>112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149</v>
      </c>
      <c r="C473">
        <v>40</v>
      </c>
      <c r="D473" t="s">
        <v>18</v>
      </c>
      <c r="E473" t="s">
        <v>15</v>
      </c>
      <c r="F473">
        <v>56.692999999999998</v>
      </c>
      <c r="G473" t="s">
        <v>14</v>
      </c>
    </row>
    <row r="474" spans="1:7" x14ac:dyDescent="0.25">
      <c r="A474">
        <v>37</v>
      </c>
      <c r="B474" t="s">
        <v>149</v>
      </c>
      <c r="C474">
        <v>50</v>
      </c>
      <c r="D474" t="s">
        <v>105</v>
      </c>
      <c r="E474" t="s">
        <v>106</v>
      </c>
      <c r="F474">
        <v>1.3360000000000001</v>
      </c>
      <c r="G474" t="s">
        <v>14</v>
      </c>
    </row>
    <row r="475" spans="1:7" x14ac:dyDescent="0.25">
      <c r="A475">
        <v>37</v>
      </c>
      <c r="B475" t="s">
        <v>149</v>
      </c>
      <c r="C475">
        <v>60</v>
      </c>
      <c r="D475" t="s">
        <v>107</v>
      </c>
      <c r="E475" t="s">
        <v>15</v>
      </c>
      <c r="F475">
        <v>14.427</v>
      </c>
      <c r="G475" t="s">
        <v>14</v>
      </c>
    </row>
    <row r="476" spans="1:7" x14ac:dyDescent="0.25">
      <c r="A476">
        <v>37</v>
      </c>
      <c r="B476" t="s">
        <v>149</v>
      </c>
      <c r="C476">
        <v>70</v>
      </c>
      <c r="D476" t="s">
        <v>18</v>
      </c>
      <c r="E476" t="s">
        <v>15</v>
      </c>
      <c r="F476">
        <v>88.727000000000004</v>
      </c>
      <c r="G476" t="s">
        <v>14</v>
      </c>
    </row>
    <row r="477" spans="1:7" x14ac:dyDescent="0.25">
      <c r="A477">
        <v>37</v>
      </c>
      <c r="B477" t="s">
        <v>149</v>
      </c>
      <c r="C477">
        <v>80</v>
      </c>
      <c r="D477" t="s">
        <v>111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149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149</v>
      </c>
      <c r="C481">
        <v>120</v>
      </c>
      <c r="D481" t="s">
        <v>110</v>
      </c>
      <c r="E481" t="s">
        <v>13</v>
      </c>
      <c r="F481">
        <v>1.2969999999999999</v>
      </c>
      <c r="G481" t="s">
        <v>14</v>
      </c>
    </row>
    <row r="482" spans="1:7" x14ac:dyDescent="0.25">
      <c r="A482">
        <v>37</v>
      </c>
      <c r="B482" t="s">
        <v>149</v>
      </c>
      <c r="C482">
        <v>130</v>
      </c>
      <c r="D482" t="s">
        <v>224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150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150</v>
      </c>
      <c r="C484">
        <v>20</v>
      </c>
      <c r="D484" t="s">
        <v>109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150</v>
      </c>
      <c r="C485">
        <v>30</v>
      </c>
      <c r="D485" t="s">
        <v>112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150</v>
      </c>
      <c r="C486">
        <v>40</v>
      </c>
      <c r="D486" t="s">
        <v>18</v>
      </c>
      <c r="E486" t="s">
        <v>15</v>
      </c>
      <c r="F486">
        <v>57.911999999999999</v>
      </c>
      <c r="G486" t="s">
        <v>14</v>
      </c>
    </row>
    <row r="487" spans="1:7" x14ac:dyDescent="0.25">
      <c r="A487">
        <v>38</v>
      </c>
      <c r="B487" t="s">
        <v>150</v>
      </c>
      <c r="C487">
        <v>50</v>
      </c>
      <c r="D487" t="s">
        <v>105</v>
      </c>
      <c r="E487" t="s">
        <v>106</v>
      </c>
      <c r="F487">
        <v>1.4119999999999999</v>
      </c>
      <c r="G487" t="s">
        <v>14</v>
      </c>
    </row>
    <row r="488" spans="1:7" x14ac:dyDescent="0.25">
      <c r="A488">
        <v>38</v>
      </c>
      <c r="B488" t="s">
        <v>150</v>
      </c>
      <c r="C488">
        <v>60</v>
      </c>
      <c r="D488" t="s">
        <v>107</v>
      </c>
      <c r="E488" t="s">
        <v>15</v>
      </c>
      <c r="F488">
        <v>14.731999999999999</v>
      </c>
      <c r="G488" t="s">
        <v>14</v>
      </c>
    </row>
    <row r="489" spans="1:7" x14ac:dyDescent="0.25">
      <c r="A489">
        <v>38</v>
      </c>
      <c r="B489" t="s">
        <v>150</v>
      </c>
      <c r="C489">
        <v>70</v>
      </c>
      <c r="D489" t="s">
        <v>18</v>
      </c>
      <c r="E489" t="s">
        <v>15</v>
      </c>
      <c r="F489">
        <v>90.602000000000004</v>
      </c>
      <c r="G489" t="s">
        <v>14</v>
      </c>
    </row>
    <row r="490" spans="1:7" x14ac:dyDescent="0.25">
      <c r="A490">
        <v>38</v>
      </c>
      <c r="B490" t="s">
        <v>150</v>
      </c>
      <c r="C490">
        <v>80</v>
      </c>
      <c r="D490" t="s">
        <v>111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150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150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150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150</v>
      </c>
      <c r="C494">
        <v>120</v>
      </c>
      <c r="D494" t="s">
        <v>110</v>
      </c>
      <c r="E494" t="s">
        <v>13</v>
      </c>
      <c r="F494">
        <v>1.2969999999999999</v>
      </c>
      <c r="G494" t="s">
        <v>14</v>
      </c>
    </row>
    <row r="495" spans="1:7" x14ac:dyDescent="0.25">
      <c r="A495">
        <v>38</v>
      </c>
      <c r="B495" t="s">
        <v>150</v>
      </c>
      <c r="C495">
        <v>130</v>
      </c>
      <c r="D495" t="s">
        <v>225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151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151</v>
      </c>
      <c r="C497">
        <v>20</v>
      </c>
      <c r="D497" t="s">
        <v>109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151</v>
      </c>
      <c r="C498">
        <v>30</v>
      </c>
      <c r="D498" t="s">
        <v>112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151</v>
      </c>
      <c r="C499">
        <v>40</v>
      </c>
      <c r="D499" t="s">
        <v>18</v>
      </c>
      <c r="E499" t="s">
        <v>15</v>
      </c>
      <c r="F499">
        <v>60.35</v>
      </c>
      <c r="G499" t="s">
        <v>14</v>
      </c>
    </row>
    <row r="500" spans="1:7" x14ac:dyDescent="0.25">
      <c r="A500">
        <v>39</v>
      </c>
      <c r="B500" t="s">
        <v>151</v>
      </c>
      <c r="C500">
        <v>50</v>
      </c>
      <c r="D500" t="s">
        <v>105</v>
      </c>
      <c r="E500" t="s">
        <v>106</v>
      </c>
      <c r="F500">
        <v>1.5629999999999999</v>
      </c>
      <c r="G500" t="s">
        <v>14</v>
      </c>
    </row>
    <row r="501" spans="1:7" x14ac:dyDescent="0.25">
      <c r="A501">
        <v>39</v>
      </c>
      <c r="B501" t="s">
        <v>151</v>
      </c>
      <c r="C501">
        <v>60</v>
      </c>
      <c r="D501" t="s">
        <v>107</v>
      </c>
      <c r="E501" t="s">
        <v>15</v>
      </c>
      <c r="F501">
        <v>15.342000000000001</v>
      </c>
      <c r="G501" t="s">
        <v>14</v>
      </c>
    </row>
    <row r="502" spans="1:7" x14ac:dyDescent="0.25">
      <c r="A502">
        <v>39</v>
      </c>
      <c r="B502" t="s">
        <v>151</v>
      </c>
      <c r="C502">
        <v>70</v>
      </c>
      <c r="D502" t="s">
        <v>18</v>
      </c>
      <c r="E502" t="s">
        <v>15</v>
      </c>
      <c r="F502">
        <v>94.350999999999999</v>
      </c>
      <c r="G502" t="s">
        <v>14</v>
      </c>
    </row>
    <row r="503" spans="1:7" x14ac:dyDescent="0.25">
      <c r="A503">
        <v>39</v>
      </c>
      <c r="B503" t="s">
        <v>151</v>
      </c>
      <c r="C503">
        <v>80</v>
      </c>
      <c r="D503" t="s">
        <v>111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151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151</v>
      </c>
      <c r="C507">
        <v>120</v>
      </c>
      <c r="D507" t="s">
        <v>110</v>
      </c>
      <c r="E507" t="s">
        <v>13</v>
      </c>
      <c r="F507">
        <v>1.2969999999999999</v>
      </c>
      <c r="G507" t="s">
        <v>14</v>
      </c>
    </row>
    <row r="508" spans="1:7" x14ac:dyDescent="0.25">
      <c r="A508">
        <v>39</v>
      </c>
      <c r="B508" t="s">
        <v>151</v>
      </c>
      <c r="C508">
        <v>130</v>
      </c>
      <c r="D508" t="s">
        <v>226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152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152</v>
      </c>
      <c r="C510">
        <v>20</v>
      </c>
      <c r="D510" t="s">
        <v>109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152</v>
      </c>
      <c r="C511">
        <v>30</v>
      </c>
      <c r="D511" t="s">
        <v>112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152</v>
      </c>
      <c r="C512">
        <v>40</v>
      </c>
      <c r="D512" t="s">
        <v>18</v>
      </c>
      <c r="E512" t="s">
        <v>15</v>
      </c>
      <c r="F512">
        <v>62.789000000000001</v>
      </c>
      <c r="G512" t="s">
        <v>14</v>
      </c>
    </row>
    <row r="513" spans="1:7" x14ac:dyDescent="0.25">
      <c r="A513">
        <v>40</v>
      </c>
      <c r="B513" t="s">
        <v>152</v>
      </c>
      <c r="C513">
        <v>50</v>
      </c>
      <c r="D513" t="s">
        <v>105</v>
      </c>
      <c r="E513" t="s">
        <v>106</v>
      </c>
      <c r="F513">
        <v>1.714</v>
      </c>
      <c r="G513" t="s">
        <v>14</v>
      </c>
    </row>
    <row r="514" spans="1:7" x14ac:dyDescent="0.25">
      <c r="A514">
        <v>40</v>
      </c>
      <c r="B514" t="s">
        <v>152</v>
      </c>
      <c r="C514">
        <v>60</v>
      </c>
      <c r="D514" t="s">
        <v>107</v>
      </c>
      <c r="E514" t="s">
        <v>15</v>
      </c>
      <c r="F514">
        <v>15.951000000000001</v>
      </c>
      <c r="G514" t="s">
        <v>14</v>
      </c>
    </row>
    <row r="515" spans="1:7" x14ac:dyDescent="0.25">
      <c r="A515">
        <v>40</v>
      </c>
      <c r="B515" t="s">
        <v>152</v>
      </c>
      <c r="C515">
        <v>70</v>
      </c>
      <c r="D515" t="s">
        <v>18</v>
      </c>
      <c r="E515" t="s">
        <v>15</v>
      </c>
      <c r="F515">
        <v>98.1</v>
      </c>
      <c r="G515" t="s">
        <v>14</v>
      </c>
    </row>
    <row r="516" spans="1:7" x14ac:dyDescent="0.25">
      <c r="A516">
        <v>40</v>
      </c>
      <c r="B516" t="s">
        <v>152</v>
      </c>
      <c r="C516">
        <v>80</v>
      </c>
      <c r="D516" t="s">
        <v>111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152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152</v>
      </c>
      <c r="C520">
        <v>120</v>
      </c>
      <c r="D520" t="s">
        <v>110</v>
      </c>
      <c r="E520" t="s">
        <v>13</v>
      </c>
      <c r="F520">
        <v>1.2969999999999999</v>
      </c>
      <c r="G520" t="s">
        <v>14</v>
      </c>
    </row>
    <row r="521" spans="1:7" x14ac:dyDescent="0.25">
      <c r="A521">
        <v>40</v>
      </c>
      <c r="B521" t="s">
        <v>152</v>
      </c>
      <c r="C521">
        <v>130</v>
      </c>
      <c r="D521" t="s">
        <v>227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153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153</v>
      </c>
      <c r="C523">
        <v>20</v>
      </c>
      <c r="D523" t="s">
        <v>109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153</v>
      </c>
      <c r="C524">
        <v>30</v>
      </c>
      <c r="D524" t="s">
        <v>112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153</v>
      </c>
      <c r="C525">
        <v>40</v>
      </c>
      <c r="D525" t="s">
        <v>18</v>
      </c>
      <c r="E525" t="s">
        <v>15</v>
      </c>
      <c r="F525">
        <v>42.061999999999998</v>
      </c>
      <c r="G525" t="s">
        <v>14</v>
      </c>
    </row>
    <row r="526" spans="1:7" x14ac:dyDescent="0.25">
      <c r="A526">
        <v>41</v>
      </c>
      <c r="B526" t="s">
        <v>153</v>
      </c>
      <c r="C526">
        <v>50</v>
      </c>
      <c r="D526" t="s">
        <v>105</v>
      </c>
      <c r="E526" t="s">
        <v>106</v>
      </c>
      <c r="F526">
        <v>0.625</v>
      </c>
      <c r="G526" t="s">
        <v>14</v>
      </c>
    </row>
    <row r="527" spans="1:7" x14ac:dyDescent="0.25">
      <c r="A527">
        <v>41</v>
      </c>
      <c r="B527" t="s">
        <v>153</v>
      </c>
      <c r="C527">
        <v>60</v>
      </c>
      <c r="D527" t="s">
        <v>107</v>
      </c>
      <c r="E527" t="s">
        <v>15</v>
      </c>
      <c r="F527">
        <v>10.77</v>
      </c>
      <c r="G527" t="s">
        <v>14</v>
      </c>
    </row>
    <row r="528" spans="1:7" x14ac:dyDescent="0.25">
      <c r="A528">
        <v>41</v>
      </c>
      <c r="B528" t="s">
        <v>153</v>
      </c>
      <c r="C528">
        <v>70</v>
      </c>
      <c r="D528" t="s">
        <v>18</v>
      </c>
      <c r="E528" t="s">
        <v>15</v>
      </c>
      <c r="F528">
        <v>66.233000000000004</v>
      </c>
      <c r="G528" t="s">
        <v>14</v>
      </c>
    </row>
    <row r="529" spans="1:7" x14ac:dyDescent="0.25">
      <c r="A529">
        <v>41</v>
      </c>
      <c r="B529" t="s">
        <v>153</v>
      </c>
      <c r="C529">
        <v>80</v>
      </c>
      <c r="D529" t="s">
        <v>111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153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153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153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153</v>
      </c>
      <c r="C533">
        <v>120</v>
      </c>
      <c r="D533" t="s">
        <v>110</v>
      </c>
      <c r="E533" t="s">
        <v>13</v>
      </c>
      <c r="F533">
        <v>0.56699999999999995</v>
      </c>
      <c r="G533" t="s">
        <v>14</v>
      </c>
    </row>
    <row r="534" spans="1:7" x14ac:dyDescent="0.25">
      <c r="A534">
        <v>41</v>
      </c>
      <c r="B534" t="s">
        <v>153</v>
      </c>
      <c r="C534">
        <v>130</v>
      </c>
      <c r="D534" t="s">
        <v>228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154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154</v>
      </c>
      <c r="C536">
        <v>20</v>
      </c>
      <c r="D536" t="s">
        <v>109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154</v>
      </c>
      <c r="C537">
        <v>30</v>
      </c>
      <c r="D537" t="s">
        <v>112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154</v>
      </c>
      <c r="C538">
        <v>40</v>
      </c>
      <c r="D538" t="s">
        <v>18</v>
      </c>
      <c r="E538" t="s">
        <v>15</v>
      </c>
      <c r="F538">
        <v>44.500999999999998</v>
      </c>
      <c r="G538" t="s">
        <v>14</v>
      </c>
    </row>
    <row r="539" spans="1:7" x14ac:dyDescent="0.25">
      <c r="A539">
        <v>42</v>
      </c>
      <c r="B539" t="s">
        <v>154</v>
      </c>
      <c r="C539">
        <v>50</v>
      </c>
      <c r="D539" t="s">
        <v>105</v>
      </c>
      <c r="E539" t="s">
        <v>106</v>
      </c>
      <c r="F539">
        <v>0.755</v>
      </c>
      <c r="G539" t="s">
        <v>14</v>
      </c>
    </row>
    <row r="540" spans="1:7" x14ac:dyDescent="0.25">
      <c r="A540">
        <v>42</v>
      </c>
      <c r="B540" t="s">
        <v>154</v>
      </c>
      <c r="C540">
        <v>60</v>
      </c>
      <c r="D540" t="s">
        <v>107</v>
      </c>
      <c r="E540" t="s">
        <v>15</v>
      </c>
      <c r="F540">
        <v>11.379</v>
      </c>
      <c r="G540" t="s">
        <v>14</v>
      </c>
    </row>
    <row r="541" spans="1:7" x14ac:dyDescent="0.25">
      <c r="A541">
        <v>42</v>
      </c>
      <c r="B541" t="s">
        <v>154</v>
      </c>
      <c r="C541">
        <v>70</v>
      </c>
      <c r="D541" t="s">
        <v>18</v>
      </c>
      <c r="E541" t="s">
        <v>15</v>
      </c>
      <c r="F541">
        <v>69.981999999999999</v>
      </c>
      <c r="G541" t="s">
        <v>14</v>
      </c>
    </row>
    <row r="542" spans="1:7" x14ac:dyDescent="0.25">
      <c r="A542">
        <v>42</v>
      </c>
      <c r="B542" t="s">
        <v>154</v>
      </c>
      <c r="C542">
        <v>80</v>
      </c>
      <c r="D542" t="s">
        <v>111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154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154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154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154</v>
      </c>
      <c r="C546">
        <v>120</v>
      </c>
      <c r="D546" t="s">
        <v>110</v>
      </c>
      <c r="E546" t="s">
        <v>13</v>
      </c>
      <c r="F546">
        <v>0.64900000000000002</v>
      </c>
      <c r="G546" t="s">
        <v>14</v>
      </c>
    </row>
    <row r="547" spans="1:7" x14ac:dyDescent="0.25">
      <c r="A547">
        <v>42</v>
      </c>
      <c r="B547" t="s">
        <v>154</v>
      </c>
      <c r="C547">
        <v>130</v>
      </c>
      <c r="D547" t="s">
        <v>229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155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155</v>
      </c>
      <c r="C549">
        <v>20</v>
      </c>
      <c r="D549" t="s">
        <v>109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155</v>
      </c>
      <c r="C550">
        <v>30</v>
      </c>
      <c r="D550" t="s">
        <v>112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155</v>
      </c>
      <c r="C551">
        <v>40</v>
      </c>
      <c r="D551" t="s">
        <v>18</v>
      </c>
      <c r="E551" t="s">
        <v>15</v>
      </c>
      <c r="F551">
        <v>46.939</v>
      </c>
      <c r="G551" t="s">
        <v>14</v>
      </c>
    </row>
    <row r="552" spans="1:7" x14ac:dyDescent="0.25">
      <c r="A552">
        <v>43</v>
      </c>
      <c r="B552" t="s">
        <v>155</v>
      </c>
      <c r="C552">
        <v>50</v>
      </c>
      <c r="D552" t="s">
        <v>105</v>
      </c>
      <c r="E552" t="s">
        <v>106</v>
      </c>
      <c r="F552">
        <v>0.88400000000000001</v>
      </c>
      <c r="G552" t="s">
        <v>14</v>
      </c>
    </row>
    <row r="553" spans="1:7" x14ac:dyDescent="0.25">
      <c r="A553">
        <v>43</v>
      </c>
      <c r="B553" t="s">
        <v>155</v>
      </c>
      <c r="C553">
        <v>60</v>
      </c>
      <c r="D553" t="s">
        <v>107</v>
      </c>
      <c r="E553" t="s">
        <v>15</v>
      </c>
      <c r="F553">
        <v>11.989000000000001</v>
      </c>
      <c r="G553" t="s">
        <v>14</v>
      </c>
    </row>
    <row r="554" spans="1:7" x14ac:dyDescent="0.25">
      <c r="A554">
        <v>43</v>
      </c>
      <c r="B554" t="s">
        <v>155</v>
      </c>
      <c r="C554">
        <v>70</v>
      </c>
      <c r="D554" t="s">
        <v>18</v>
      </c>
      <c r="E554" t="s">
        <v>15</v>
      </c>
      <c r="F554">
        <v>73.730999999999995</v>
      </c>
      <c r="G554" t="s">
        <v>14</v>
      </c>
    </row>
    <row r="555" spans="1:7" x14ac:dyDescent="0.25">
      <c r="A555">
        <v>43</v>
      </c>
      <c r="B555" t="s">
        <v>155</v>
      </c>
      <c r="C555">
        <v>80</v>
      </c>
      <c r="D555" t="s">
        <v>111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155</v>
      </c>
      <c r="C559">
        <v>120</v>
      </c>
      <c r="D559" t="s">
        <v>110</v>
      </c>
      <c r="E559" t="s">
        <v>13</v>
      </c>
      <c r="F559">
        <v>0.73</v>
      </c>
      <c r="G559" t="s">
        <v>14</v>
      </c>
    </row>
    <row r="560" spans="1:7" x14ac:dyDescent="0.25">
      <c r="A560">
        <v>43</v>
      </c>
      <c r="B560" t="s">
        <v>155</v>
      </c>
      <c r="C560">
        <v>130</v>
      </c>
      <c r="D560" t="s">
        <v>230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156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156</v>
      </c>
      <c r="C562">
        <v>20</v>
      </c>
      <c r="D562" t="s">
        <v>109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156</v>
      </c>
      <c r="C563">
        <v>30</v>
      </c>
      <c r="D563" t="s">
        <v>112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156</v>
      </c>
      <c r="C564">
        <v>40</v>
      </c>
      <c r="D564" t="s">
        <v>18</v>
      </c>
      <c r="E564" t="s">
        <v>15</v>
      </c>
      <c r="F564">
        <v>49.378</v>
      </c>
      <c r="G564" t="s">
        <v>14</v>
      </c>
    </row>
    <row r="565" spans="1:7" x14ac:dyDescent="0.25">
      <c r="A565">
        <v>44</v>
      </c>
      <c r="B565" t="s">
        <v>156</v>
      </c>
      <c r="C565">
        <v>50</v>
      </c>
      <c r="D565" t="s">
        <v>105</v>
      </c>
      <c r="E565" t="s">
        <v>106</v>
      </c>
      <c r="F565">
        <v>1.014</v>
      </c>
      <c r="G565" t="s">
        <v>14</v>
      </c>
    </row>
    <row r="566" spans="1:7" x14ac:dyDescent="0.25">
      <c r="A566">
        <v>44</v>
      </c>
      <c r="B566" t="s">
        <v>156</v>
      </c>
      <c r="C566">
        <v>60</v>
      </c>
      <c r="D566" t="s">
        <v>107</v>
      </c>
      <c r="E566" t="s">
        <v>15</v>
      </c>
      <c r="F566">
        <v>12.598000000000001</v>
      </c>
      <c r="G566" t="s">
        <v>14</v>
      </c>
    </row>
    <row r="567" spans="1:7" x14ac:dyDescent="0.25">
      <c r="A567">
        <v>44</v>
      </c>
      <c r="B567" t="s">
        <v>156</v>
      </c>
      <c r="C567">
        <v>70</v>
      </c>
      <c r="D567" t="s">
        <v>18</v>
      </c>
      <c r="E567" t="s">
        <v>15</v>
      </c>
      <c r="F567">
        <v>77.48</v>
      </c>
      <c r="G567" t="s">
        <v>14</v>
      </c>
    </row>
    <row r="568" spans="1:7" x14ac:dyDescent="0.25">
      <c r="A568">
        <v>44</v>
      </c>
      <c r="B568" t="s">
        <v>156</v>
      </c>
      <c r="C568">
        <v>80</v>
      </c>
      <c r="D568" t="s">
        <v>111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156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156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156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156</v>
      </c>
      <c r="C572">
        <v>120</v>
      </c>
      <c r="D572" t="s">
        <v>110</v>
      </c>
      <c r="E572" t="s">
        <v>13</v>
      </c>
      <c r="F572">
        <v>0.81100000000000005</v>
      </c>
      <c r="G572" t="s">
        <v>14</v>
      </c>
    </row>
    <row r="573" spans="1:7" x14ac:dyDescent="0.25">
      <c r="A573">
        <v>44</v>
      </c>
      <c r="B573" t="s">
        <v>156</v>
      </c>
      <c r="C573">
        <v>130</v>
      </c>
      <c r="D573" t="s">
        <v>231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157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157</v>
      </c>
      <c r="C575">
        <v>20</v>
      </c>
      <c r="D575" t="s">
        <v>109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157</v>
      </c>
      <c r="C576">
        <v>30</v>
      </c>
      <c r="D576" t="s">
        <v>112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157</v>
      </c>
      <c r="C577">
        <v>40</v>
      </c>
      <c r="D577" t="s">
        <v>18</v>
      </c>
      <c r="E577" t="s">
        <v>15</v>
      </c>
      <c r="F577">
        <v>54.253999999999998</v>
      </c>
      <c r="G577" t="s">
        <v>14</v>
      </c>
    </row>
    <row r="578" spans="1:7" x14ac:dyDescent="0.25">
      <c r="A578">
        <v>45</v>
      </c>
      <c r="B578" t="s">
        <v>157</v>
      </c>
      <c r="C578">
        <v>50</v>
      </c>
      <c r="D578" t="s">
        <v>105</v>
      </c>
      <c r="E578" t="s">
        <v>106</v>
      </c>
      <c r="F578">
        <v>1.272</v>
      </c>
      <c r="G578" t="s">
        <v>14</v>
      </c>
    </row>
    <row r="579" spans="1:7" x14ac:dyDescent="0.25">
      <c r="A579">
        <v>45</v>
      </c>
      <c r="B579" t="s">
        <v>157</v>
      </c>
      <c r="C579">
        <v>60</v>
      </c>
      <c r="D579" t="s">
        <v>107</v>
      </c>
      <c r="E579" t="s">
        <v>15</v>
      </c>
      <c r="F579">
        <v>13.818</v>
      </c>
      <c r="G579" t="s">
        <v>14</v>
      </c>
    </row>
    <row r="580" spans="1:7" x14ac:dyDescent="0.25">
      <c r="A580">
        <v>45</v>
      </c>
      <c r="B580" t="s">
        <v>157</v>
      </c>
      <c r="C580">
        <v>70</v>
      </c>
      <c r="D580" t="s">
        <v>18</v>
      </c>
      <c r="E580" t="s">
        <v>15</v>
      </c>
      <c r="F580">
        <v>84.977999999999994</v>
      </c>
      <c r="G580" t="s">
        <v>14</v>
      </c>
    </row>
    <row r="581" spans="1:7" x14ac:dyDescent="0.25">
      <c r="A581">
        <v>45</v>
      </c>
      <c r="B581" t="s">
        <v>157</v>
      </c>
      <c r="C581">
        <v>80</v>
      </c>
      <c r="D581" t="s">
        <v>111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157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157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157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157</v>
      </c>
      <c r="C585">
        <v>120</v>
      </c>
      <c r="D585" t="s">
        <v>110</v>
      </c>
      <c r="E585" t="s">
        <v>13</v>
      </c>
      <c r="F585">
        <v>0.97299999999999998</v>
      </c>
      <c r="G585" t="s">
        <v>14</v>
      </c>
    </row>
    <row r="586" spans="1:7" x14ac:dyDescent="0.25">
      <c r="A586">
        <v>45</v>
      </c>
      <c r="B586" t="s">
        <v>157</v>
      </c>
      <c r="C586">
        <v>130</v>
      </c>
      <c r="D586" t="s">
        <v>232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158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158</v>
      </c>
      <c r="C588">
        <v>20</v>
      </c>
      <c r="D588" t="s">
        <v>109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158</v>
      </c>
      <c r="C589">
        <v>30</v>
      </c>
      <c r="D589" t="s">
        <v>112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158</v>
      </c>
      <c r="C590">
        <v>40</v>
      </c>
      <c r="D590" t="s">
        <v>18</v>
      </c>
      <c r="E590" t="s">
        <v>15</v>
      </c>
      <c r="F590">
        <v>56.692999999999998</v>
      </c>
      <c r="G590" t="s">
        <v>14</v>
      </c>
    </row>
    <row r="591" spans="1:7" x14ac:dyDescent="0.25">
      <c r="A591">
        <v>46</v>
      </c>
      <c r="B591" t="s">
        <v>158</v>
      </c>
      <c r="C591">
        <v>50</v>
      </c>
      <c r="D591" t="s">
        <v>105</v>
      </c>
      <c r="E591" t="s">
        <v>106</v>
      </c>
      <c r="F591">
        <v>1.4019999999999999</v>
      </c>
      <c r="G591" t="s">
        <v>14</v>
      </c>
    </row>
    <row r="592" spans="1:7" x14ac:dyDescent="0.25">
      <c r="A592">
        <v>46</v>
      </c>
      <c r="B592" t="s">
        <v>158</v>
      </c>
      <c r="C592">
        <v>60</v>
      </c>
      <c r="D592" t="s">
        <v>107</v>
      </c>
      <c r="E592" t="s">
        <v>15</v>
      </c>
      <c r="F592">
        <v>14.427</v>
      </c>
      <c r="G592" t="s">
        <v>14</v>
      </c>
    </row>
    <row r="593" spans="1:7" x14ac:dyDescent="0.25">
      <c r="A593">
        <v>46</v>
      </c>
      <c r="B593" t="s">
        <v>158</v>
      </c>
      <c r="C593">
        <v>70</v>
      </c>
      <c r="D593" t="s">
        <v>18</v>
      </c>
      <c r="E593" t="s">
        <v>15</v>
      </c>
      <c r="F593">
        <v>88.727000000000004</v>
      </c>
      <c r="G593" t="s">
        <v>14</v>
      </c>
    </row>
    <row r="594" spans="1:7" x14ac:dyDescent="0.25">
      <c r="A594">
        <v>46</v>
      </c>
      <c r="B594" t="s">
        <v>158</v>
      </c>
      <c r="C594">
        <v>80</v>
      </c>
      <c r="D594" t="s">
        <v>111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158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158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158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158</v>
      </c>
      <c r="C598">
        <v>120</v>
      </c>
      <c r="D598" t="s">
        <v>110</v>
      </c>
      <c r="E598" t="s">
        <v>13</v>
      </c>
      <c r="F598">
        <v>1.054</v>
      </c>
      <c r="G598" t="s">
        <v>14</v>
      </c>
    </row>
    <row r="599" spans="1:7" x14ac:dyDescent="0.25">
      <c r="A599">
        <v>46</v>
      </c>
      <c r="B599" t="s">
        <v>158</v>
      </c>
      <c r="C599">
        <v>130</v>
      </c>
      <c r="D599" t="s">
        <v>233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159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159</v>
      </c>
      <c r="C601">
        <v>20</v>
      </c>
      <c r="D601" t="s">
        <v>109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159</v>
      </c>
      <c r="C602">
        <v>30</v>
      </c>
      <c r="D602" t="s">
        <v>112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159</v>
      </c>
      <c r="C603">
        <v>40</v>
      </c>
      <c r="D603" t="s">
        <v>18</v>
      </c>
      <c r="E603" t="s">
        <v>15</v>
      </c>
      <c r="F603">
        <v>59.131</v>
      </c>
      <c r="G603" t="s">
        <v>14</v>
      </c>
    </row>
    <row r="604" spans="1:7" x14ac:dyDescent="0.25">
      <c r="A604">
        <v>47</v>
      </c>
      <c r="B604" t="s">
        <v>159</v>
      </c>
      <c r="C604">
        <v>50</v>
      </c>
      <c r="D604" t="s">
        <v>105</v>
      </c>
      <c r="E604" t="s">
        <v>106</v>
      </c>
      <c r="F604">
        <v>1.5309999999999999</v>
      </c>
      <c r="G604" t="s">
        <v>14</v>
      </c>
    </row>
    <row r="605" spans="1:7" x14ac:dyDescent="0.25">
      <c r="A605">
        <v>47</v>
      </c>
      <c r="B605" t="s">
        <v>159</v>
      </c>
      <c r="C605">
        <v>60</v>
      </c>
      <c r="D605" t="s">
        <v>107</v>
      </c>
      <c r="E605" t="s">
        <v>15</v>
      </c>
      <c r="F605">
        <v>15.037000000000001</v>
      </c>
      <c r="G605" t="s">
        <v>14</v>
      </c>
    </row>
    <row r="606" spans="1:7" x14ac:dyDescent="0.25">
      <c r="A606">
        <v>47</v>
      </c>
      <c r="B606" t="s">
        <v>159</v>
      </c>
      <c r="C606">
        <v>70</v>
      </c>
      <c r="D606" t="s">
        <v>18</v>
      </c>
      <c r="E606" t="s">
        <v>15</v>
      </c>
      <c r="F606">
        <v>92.475999999999999</v>
      </c>
      <c r="G606" t="s">
        <v>14</v>
      </c>
    </row>
    <row r="607" spans="1:7" x14ac:dyDescent="0.25">
      <c r="A607">
        <v>47</v>
      </c>
      <c r="B607" t="s">
        <v>159</v>
      </c>
      <c r="C607">
        <v>80</v>
      </c>
      <c r="D607" t="s">
        <v>111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159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159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159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159</v>
      </c>
      <c r="C611">
        <v>120</v>
      </c>
      <c r="D611" t="s">
        <v>110</v>
      </c>
      <c r="E611" t="s">
        <v>13</v>
      </c>
      <c r="F611">
        <v>1.135</v>
      </c>
      <c r="G611" t="s">
        <v>14</v>
      </c>
    </row>
    <row r="612" spans="1:7" x14ac:dyDescent="0.25">
      <c r="A612">
        <v>47</v>
      </c>
      <c r="B612" t="s">
        <v>159</v>
      </c>
      <c r="C612">
        <v>130</v>
      </c>
      <c r="D612" t="s">
        <v>234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160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160</v>
      </c>
      <c r="C614">
        <v>20</v>
      </c>
      <c r="D614" t="s">
        <v>109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160</v>
      </c>
      <c r="C615">
        <v>30</v>
      </c>
      <c r="D615" t="s">
        <v>112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160</v>
      </c>
      <c r="C616">
        <v>40</v>
      </c>
      <c r="D616" t="s">
        <v>18</v>
      </c>
      <c r="E616" t="s">
        <v>15</v>
      </c>
      <c r="F616">
        <v>43.281999999999996</v>
      </c>
      <c r="G616" t="s">
        <v>14</v>
      </c>
    </row>
    <row r="617" spans="1:7" x14ac:dyDescent="0.25">
      <c r="A617">
        <v>48</v>
      </c>
      <c r="B617" t="s">
        <v>160</v>
      </c>
      <c r="C617">
        <v>50</v>
      </c>
      <c r="D617" t="s">
        <v>105</v>
      </c>
      <c r="E617" t="s">
        <v>106</v>
      </c>
      <c r="F617">
        <v>0.65200000000000002</v>
      </c>
      <c r="G617" t="s">
        <v>14</v>
      </c>
    </row>
    <row r="618" spans="1:7" x14ac:dyDescent="0.25">
      <c r="A618">
        <v>48</v>
      </c>
      <c r="B618" t="s">
        <v>160</v>
      </c>
      <c r="C618">
        <v>60</v>
      </c>
      <c r="D618" t="s">
        <v>107</v>
      </c>
      <c r="E618" t="s">
        <v>15</v>
      </c>
      <c r="F618">
        <v>11.074</v>
      </c>
      <c r="G618" t="s">
        <v>14</v>
      </c>
    </row>
    <row r="619" spans="1:7" x14ac:dyDescent="0.25">
      <c r="A619">
        <v>48</v>
      </c>
      <c r="B619" t="s">
        <v>160</v>
      </c>
      <c r="C619">
        <v>70</v>
      </c>
      <c r="D619" t="s">
        <v>18</v>
      </c>
      <c r="E619" t="s">
        <v>15</v>
      </c>
      <c r="F619">
        <v>68.108000000000004</v>
      </c>
      <c r="G619" t="s">
        <v>14</v>
      </c>
    </row>
    <row r="620" spans="1:7" x14ac:dyDescent="0.25">
      <c r="A620">
        <v>48</v>
      </c>
      <c r="B620" t="s">
        <v>160</v>
      </c>
      <c r="C620">
        <v>80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160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160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160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160</v>
      </c>
      <c r="C624">
        <v>120</v>
      </c>
      <c r="D624" t="s">
        <v>110</v>
      </c>
      <c r="E624" t="s">
        <v>13</v>
      </c>
      <c r="F624">
        <v>0.56699999999999995</v>
      </c>
      <c r="G624" t="s">
        <v>14</v>
      </c>
    </row>
    <row r="625" spans="1:7" x14ac:dyDescent="0.25">
      <c r="A625">
        <v>48</v>
      </c>
      <c r="B625" t="s">
        <v>160</v>
      </c>
      <c r="C625">
        <v>130</v>
      </c>
      <c r="D625" t="s">
        <v>235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161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161</v>
      </c>
      <c r="C627">
        <v>20</v>
      </c>
      <c r="D627" t="s">
        <v>109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161</v>
      </c>
      <c r="C628">
        <v>30</v>
      </c>
      <c r="D628" t="s">
        <v>112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161</v>
      </c>
      <c r="C629">
        <v>40</v>
      </c>
      <c r="D629" t="s">
        <v>18</v>
      </c>
      <c r="E629" t="s">
        <v>15</v>
      </c>
      <c r="F629">
        <v>45.72</v>
      </c>
      <c r="G629" t="s">
        <v>14</v>
      </c>
    </row>
    <row r="630" spans="1:7" x14ac:dyDescent="0.25">
      <c r="A630">
        <v>49</v>
      </c>
      <c r="B630" t="s">
        <v>161</v>
      </c>
      <c r="C630">
        <v>50</v>
      </c>
      <c r="D630" t="s">
        <v>105</v>
      </c>
      <c r="E630" t="s">
        <v>106</v>
      </c>
      <c r="F630">
        <v>0.78700000000000003</v>
      </c>
      <c r="G630" t="s">
        <v>14</v>
      </c>
    </row>
    <row r="631" spans="1:7" x14ac:dyDescent="0.25">
      <c r="A631">
        <v>49</v>
      </c>
      <c r="B631" t="s">
        <v>161</v>
      </c>
      <c r="C631">
        <v>60</v>
      </c>
      <c r="D631" t="s">
        <v>107</v>
      </c>
      <c r="E631" t="s">
        <v>15</v>
      </c>
      <c r="F631">
        <v>11.683999999999999</v>
      </c>
      <c r="G631" t="s">
        <v>14</v>
      </c>
    </row>
    <row r="632" spans="1:7" x14ac:dyDescent="0.25">
      <c r="A632">
        <v>49</v>
      </c>
      <c r="B632" t="s">
        <v>161</v>
      </c>
      <c r="C632">
        <v>70</v>
      </c>
      <c r="D632" t="s">
        <v>18</v>
      </c>
      <c r="E632" t="s">
        <v>15</v>
      </c>
      <c r="F632">
        <v>71.856999999999999</v>
      </c>
      <c r="G632" t="s">
        <v>14</v>
      </c>
    </row>
    <row r="633" spans="1:7" x14ac:dyDescent="0.25">
      <c r="A633">
        <v>49</v>
      </c>
      <c r="B633" t="s">
        <v>161</v>
      </c>
      <c r="C633">
        <v>80</v>
      </c>
      <c r="D633" t="s">
        <v>111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161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161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161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161</v>
      </c>
      <c r="C637">
        <v>120</v>
      </c>
      <c r="D637" t="s">
        <v>110</v>
      </c>
      <c r="E637" t="s">
        <v>13</v>
      </c>
      <c r="F637">
        <v>0.64900000000000002</v>
      </c>
      <c r="G637" t="s">
        <v>14</v>
      </c>
    </row>
    <row r="638" spans="1:7" x14ac:dyDescent="0.25">
      <c r="A638">
        <v>49</v>
      </c>
      <c r="B638" t="s">
        <v>161</v>
      </c>
      <c r="C638">
        <v>130</v>
      </c>
      <c r="D638" t="s">
        <v>236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162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162</v>
      </c>
      <c r="C640">
        <v>20</v>
      </c>
      <c r="D640" t="s">
        <v>109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162</v>
      </c>
      <c r="C641">
        <v>30</v>
      </c>
      <c r="D641" t="s">
        <v>112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162</v>
      </c>
      <c r="C642">
        <v>40</v>
      </c>
      <c r="D642" t="s">
        <v>18</v>
      </c>
      <c r="E642" t="s">
        <v>15</v>
      </c>
      <c r="F642">
        <v>48.158000000000001</v>
      </c>
      <c r="G642" t="s">
        <v>14</v>
      </c>
    </row>
    <row r="643" spans="1:7" x14ac:dyDescent="0.25">
      <c r="A643">
        <v>50</v>
      </c>
      <c r="B643" t="s">
        <v>162</v>
      </c>
      <c r="C643">
        <v>50</v>
      </c>
      <c r="D643" t="s">
        <v>105</v>
      </c>
      <c r="E643" t="s">
        <v>106</v>
      </c>
      <c r="F643">
        <v>0.92200000000000004</v>
      </c>
      <c r="G643" t="s">
        <v>14</v>
      </c>
    </row>
    <row r="644" spans="1:7" x14ac:dyDescent="0.25">
      <c r="A644">
        <v>50</v>
      </c>
      <c r="B644" t="s">
        <v>162</v>
      </c>
      <c r="C644">
        <v>60</v>
      </c>
      <c r="D644" t="s">
        <v>107</v>
      </c>
      <c r="E644" t="s">
        <v>15</v>
      </c>
      <c r="F644">
        <v>12.294</v>
      </c>
      <c r="G644" t="s">
        <v>14</v>
      </c>
    </row>
    <row r="645" spans="1:7" x14ac:dyDescent="0.25">
      <c r="A645">
        <v>50</v>
      </c>
      <c r="B645" t="s">
        <v>162</v>
      </c>
      <c r="C645">
        <v>70</v>
      </c>
      <c r="D645" t="s">
        <v>18</v>
      </c>
      <c r="E645" t="s">
        <v>15</v>
      </c>
      <c r="F645">
        <v>75.605999999999995</v>
      </c>
      <c r="G645" t="s">
        <v>14</v>
      </c>
    </row>
    <row r="646" spans="1:7" x14ac:dyDescent="0.25">
      <c r="A646">
        <v>50</v>
      </c>
      <c r="B646" t="s">
        <v>162</v>
      </c>
      <c r="C646">
        <v>80</v>
      </c>
      <c r="D646" t="s">
        <v>111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162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162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162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162</v>
      </c>
      <c r="C650">
        <v>120</v>
      </c>
      <c r="D650" t="s">
        <v>110</v>
      </c>
      <c r="E650" t="s">
        <v>13</v>
      </c>
      <c r="F650">
        <v>0.73</v>
      </c>
      <c r="G650" t="s">
        <v>14</v>
      </c>
    </row>
    <row r="651" spans="1:7" x14ac:dyDescent="0.25">
      <c r="A651">
        <v>50</v>
      </c>
      <c r="B651" t="s">
        <v>162</v>
      </c>
      <c r="C651">
        <v>130</v>
      </c>
      <c r="D651" t="s">
        <v>237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163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163</v>
      </c>
      <c r="C653">
        <v>20</v>
      </c>
      <c r="D653" t="s">
        <v>109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163</v>
      </c>
      <c r="C654">
        <v>30</v>
      </c>
      <c r="D654" t="s">
        <v>112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163</v>
      </c>
      <c r="C655">
        <v>40</v>
      </c>
      <c r="D655" t="s">
        <v>18</v>
      </c>
      <c r="E655" t="s">
        <v>15</v>
      </c>
      <c r="F655">
        <v>50.597000000000001</v>
      </c>
      <c r="G655" t="s">
        <v>14</v>
      </c>
    </row>
    <row r="656" spans="1:7" x14ac:dyDescent="0.25">
      <c r="A656">
        <v>51</v>
      </c>
      <c r="B656" t="s">
        <v>163</v>
      </c>
      <c r="C656">
        <v>50</v>
      </c>
      <c r="D656" t="s">
        <v>105</v>
      </c>
      <c r="E656" t="s">
        <v>106</v>
      </c>
      <c r="F656">
        <v>1.056</v>
      </c>
      <c r="G656" t="s">
        <v>14</v>
      </c>
    </row>
    <row r="657" spans="1:7" x14ac:dyDescent="0.25">
      <c r="A657">
        <v>51</v>
      </c>
      <c r="B657" t="s">
        <v>163</v>
      </c>
      <c r="C657">
        <v>60</v>
      </c>
      <c r="D657" t="s">
        <v>107</v>
      </c>
      <c r="E657" t="s">
        <v>15</v>
      </c>
      <c r="F657">
        <v>12.903</v>
      </c>
      <c r="G657" t="s">
        <v>14</v>
      </c>
    </row>
    <row r="658" spans="1:7" x14ac:dyDescent="0.25">
      <c r="A658">
        <v>51</v>
      </c>
      <c r="B658" t="s">
        <v>163</v>
      </c>
      <c r="C658">
        <v>70</v>
      </c>
      <c r="D658" t="s">
        <v>18</v>
      </c>
      <c r="E658" t="s">
        <v>15</v>
      </c>
      <c r="F658">
        <v>79.355000000000004</v>
      </c>
      <c r="G658" t="s">
        <v>14</v>
      </c>
    </row>
    <row r="659" spans="1:7" x14ac:dyDescent="0.25">
      <c r="A659">
        <v>51</v>
      </c>
      <c r="B659" t="s">
        <v>163</v>
      </c>
      <c r="C659">
        <v>80</v>
      </c>
      <c r="D659" t="s">
        <v>111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163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163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163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163</v>
      </c>
      <c r="C663">
        <v>120</v>
      </c>
      <c r="D663" t="s">
        <v>110</v>
      </c>
      <c r="E663" t="s">
        <v>13</v>
      </c>
      <c r="F663">
        <v>0.81100000000000005</v>
      </c>
      <c r="G663" t="s">
        <v>14</v>
      </c>
    </row>
    <row r="664" spans="1:7" x14ac:dyDescent="0.25">
      <c r="A664">
        <v>51</v>
      </c>
      <c r="B664" t="s">
        <v>163</v>
      </c>
      <c r="C664">
        <v>130</v>
      </c>
      <c r="D664" t="s">
        <v>238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164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164</v>
      </c>
      <c r="C666">
        <v>20</v>
      </c>
      <c r="D666" t="s">
        <v>109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164</v>
      </c>
      <c r="C667">
        <v>30</v>
      </c>
      <c r="D667" t="s">
        <v>112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164</v>
      </c>
      <c r="C668">
        <v>40</v>
      </c>
      <c r="D668" t="s">
        <v>18</v>
      </c>
      <c r="E668" t="s">
        <v>15</v>
      </c>
      <c r="F668">
        <v>55.473999999999997</v>
      </c>
      <c r="G668" t="s">
        <v>14</v>
      </c>
    </row>
    <row r="669" spans="1:7" x14ac:dyDescent="0.25">
      <c r="A669">
        <v>52</v>
      </c>
      <c r="B669" t="s">
        <v>164</v>
      </c>
      <c r="C669">
        <v>50</v>
      </c>
      <c r="D669" t="s">
        <v>105</v>
      </c>
      <c r="E669" t="s">
        <v>106</v>
      </c>
      <c r="F669">
        <v>1.3260000000000001</v>
      </c>
      <c r="G669" t="s">
        <v>14</v>
      </c>
    </row>
    <row r="670" spans="1:7" x14ac:dyDescent="0.25">
      <c r="A670">
        <v>52</v>
      </c>
      <c r="B670" t="s">
        <v>164</v>
      </c>
      <c r="C670">
        <v>60</v>
      </c>
      <c r="D670" t="s">
        <v>107</v>
      </c>
      <c r="E670" t="s">
        <v>15</v>
      </c>
      <c r="F670">
        <v>14.122</v>
      </c>
      <c r="G670" t="s">
        <v>14</v>
      </c>
    </row>
    <row r="671" spans="1:7" x14ac:dyDescent="0.25">
      <c r="A671">
        <v>52</v>
      </c>
      <c r="B671" t="s">
        <v>164</v>
      </c>
      <c r="C671">
        <v>70</v>
      </c>
      <c r="D671" t="s">
        <v>18</v>
      </c>
      <c r="E671" t="s">
        <v>15</v>
      </c>
      <c r="F671">
        <v>86.852999999999994</v>
      </c>
      <c r="G671" t="s">
        <v>14</v>
      </c>
    </row>
    <row r="672" spans="1:7" x14ac:dyDescent="0.25">
      <c r="A672">
        <v>52</v>
      </c>
      <c r="B672" t="s">
        <v>164</v>
      </c>
      <c r="C672">
        <v>80</v>
      </c>
      <c r="D672" t="s">
        <v>111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164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164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164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164</v>
      </c>
      <c r="C676">
        <v>120</v>
      </c>
      <c r="D676" t="s">
        <v>110</v>
      </c>
      <c r="E676" t="s">
        <v>13</v>
      </c>
      <c r="F676">
        <v>0.97299999999999998</v>
      </c>
      <c r="G676" t="s">
        <v>14</v>
      </c>
    </row>
    <row r="677" spans="1:7" x14ac:dyDescent="0.25">
      <c r="A677">
        <v>52</v>
      </c>
      <c r="B677" t="s">
        <v>164</v>
      </c>
      <c r="C677">
        <v>130</v>
      </c>
      <c r="D677" t="s">
        <v>239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165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165</v>
      </c>
      <c r="C679">
        <v>20</v>
      </c>
      <c r="D679" t="s">
        <v>109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165</v>
      </c>
      <c r="C680">
        <v>30</v>
      </c>
      <c r="D680" t="s">
        <v>112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165</v>
      </c>
      <c r="C681">
        <v>40</v>
      </c>
      <c r="D681" t="s">
        <v>18</v>
      </c>
      <c r="E681" t="s">
        <v>15</v>
      </c>
      <c r="F681">
        <v>57.911999999999999</v>
      </c>
      <c r="G681" t="s">
        <v>14</v>
      </c>
    </row>
    <row r="682" spans="1:7" x14ac:dyDescent="0.25">
      <c r="A682">
        <v>53</v>
      </c>
      <c r="B682" t="s">
        <v>165</v>
      </c>
      <c r="C682">
        <v>50</v>
      </c>
      <c r="D682" t="s">
        <v>105</v>
      </c>
      <c r="E682" t="s">
        <v>106</v>
      </c>
      <c r="F682">
        <v>1.4610000000000001</v>
      </c>
      <c r="G682" t="s">
        <v>14</v>
      </c>
    </row>
    <row r="683" spans="1:7" x14ac:dyDescent="0.25">
      <c r="A683">
        <v>53</v>
      </c>
      <c r="B683" t="s">
        <v>165</v>
      </c>
      <c r="C683">
        <v>60</v>
      </c>
      <c r="D683" t="s">
        <v>107</v>
      </c>
      <c r="E683" t="s">
        <v>15</v>
      </c>
      <c r="F683">
        <v>14.731999999999999</v>
      </c>
      <c r="G683" t="s">
        <v>14</v>
      </c>
    </row>
    <row r="684" spans="1:7" x14ac:dyDescent="0.25">
      <c r="A684">
        <v>53</v>
      </c>
      <c r="B684" t="s">
        <v>165</v>
      </c>
      <c r="C684">
        <v>70</v>
      </c>
      <c r="D684" t="s">
        <v>18</v>
      </c>
      <c r="E684" t="s">
        <v>15</v>
      </c>
      <c r="F684">
        <v>90.602000000000004</v>
      </c>
      <c r="G684" t="s">
        <v>14</v>
      </c>
    </row>
    <row r="685" spans="1:7" x14ac:dyDescent="0.25">
      <c r="A685">
        <v>53</v>
      </c>
      <c r="B685" t="s">
        <v>165</v>
      </c>
      <c r="C685">
        <v>80</v>
      </c>
      <c r="D685" t="s">
        <v>111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165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165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165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165</v>
      </c>
      <c r="C689">
        <v>120</v>
      </c>
      <c r="D689" t="s">
        <v>110</v>
      </c>
      <c r="E689" t="s">
        <v>13</v>
      </c>
      <c r="F689">
        <v>1.054</v>
      </c>
      <c r="G689" t="s">
        <v>14</v>
      </c>
    </row>
    <row r="690" spans="1:7" x14ac:dyDescent="0.25">
      <c r="A690">
        <v>53</v>
      </c>
      <c r="B690" t="s">
        <v>165</v>
      </c>
      <c r="C690">
        <v>130</v>
      </c>
      <c r="D690" t="s">
        <v>240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166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166</v>
      </c>
      <c r="C692">
        <v>20</v>
      </c>
      <c r="D692" t="s">
        <v>109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166</v>
      </c>
      <c r="C693">
        <v>30</v>
      </c>
      <c r="D693" t="s">
        <v>112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166</v>
      </c>
      <c r="C694">
        <v>40</v>
      </c>
      <c r="D694" t="s">
        <v>18</v>
      </c>
      <c r="E694" t="s">
        <v>15</v>
      </c>
      <c r="F694">
        <v>60.35</v>
      </c>
      <c r="G694" t="s">
        <v>14</v>
      </c>
    </row>
    <row r="695" spans="1:7" x14ac:dyDescent="0.25">
      <c r="A695">
        <v>54</v>
      </c>
      <c r="B695" t="s">
        <v>166</v>
      </c>
      <c r="C695">
        <v>50</v>
      </c>
      <c r="D695" t="s">
        <v>105</v>
      </c>
      <c r="E695" t="s">
        <v>106</v>
      </c>
      <c r="F695">
        <v>1.5960000000000001</v>
      </c>
      <c r="G695" t="s">
        <v>14</v>
      </c>
    </row>
    <row r="696" spans="1:7" x14ac:dyDescent="0.25">
      <c r="A696">
        <v>54</v>
      </c>
      <c r="B696" t="s">
        <v>166</v>
      </c>
      <c r="C696">
        <v>60</v>
      </c>
      <c r="D696" t="s">
        <v>107</v>
      </c>
      <c r="E696" t="s">
        <v>15</v>
      </c>
      <c r="F696">
        <v>15.342000000000001</v>
      </c>
      <c r="G696" t="s">
        <v>14</v>
      </c>
    </row>
    <row r="697" spans="1:7" x14ac:dyDescent="0.25">
      <c r="A697">
        <v>54</v>
      </c>
      <c r="B697" t="s">
        <v>166</v>
      </c>
      <c r="C697">
        <v>70</v>
      </c>
      <c r="D697" t="s">
        <v>18</v>
      </c>
      <c r="E697" t="s">
        <v>15</v>
      </c>
      <c r="F697">
        <v>94.350999999999999</v>
      </c>
      <c r="G697" t="s">
        <v>14</v>
      </c>
    </row>
    <row r="698" spans="1:7" x14ac:dyDescent="0.25">
      <c r="A698">
        <v>54</v>
      </c>
      <c r="B698" t="s">
        <v>166</v>
      </c>
      <c r="C698">
        <v>80</v>
      </c>
      <c r="D698" t="s">
        <v>111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166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166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166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166</v>
      </c>
      <c r="C702">
        <v>120</v>
      </c>
      <c r="D702" t="s">
        <v>110</v>
      </c>
      <c r="E702" t="s">
        <v>13</v>
      </c>
      <c r="F702">
        <v>1.135</v>
      </c>
      <c r="G702" t="s">
        <v>14</v>
      </c>
    </row>
    <row r="703" spans="1:7" x14ac:dyDescent="0.25">
      <c r="A703">
        <v>54</v>
      </c>
      <c r="B703" t="s">
        <v>166</v>
      </c>
      <c r="C703">
        <v>130</v>
      </c>
      <c r="D703" t="s">
        <v>241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167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167</v>
      </c>
      <c r="C705">
        <v>20</v>
      </c>
      <c r="D705" t="s">
        <v>109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167</v>
      </c>
      <c r="C706">
        <v>30</v>
      </c>
      <c r="D706" t="s">
        <v>112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167</v>
      </c>
      <c r="C707">
        <v>40</v>
      </c>
      <c r="D707" t="s">
        <v>18</v>
      </c>
      <c r="E707" t="s">
        <v>15</v>
      </c>
      <c r="F707">
        <v>44.500999999999998</v>
      </c>
      <c r="G707" t="s">
        <v>14</v>
      </c>
    </row>
    <row r="708" spans="1:7" x14ac:dyDescent="0.25">
      <c r="A708">
        <v>55</v>
      </c>
      <c r="B708" t="s">
        <v>167</v>
      </c>
      <c r="C708">
        <v>50</v>
      </c>
      <c r="D708" t="s">
        <v>105</v>
      </c>
      <c r="E708" t="s">
        <v>106</v>
      </c>
      <c r="F708">
        <v>0.67800000000000005</v>
      </c>
      <c r="G708" t="s">
        <v>14</v>
      </c>
    </row>
    <row r="709" spans="1:7" x14ac:dyDescent="0.25">
      <c r="A709">
        <v>55</v>
      </c>
      <c r="B709" t="s">
        <v>167</v>
      </c>
      <c r="C709">
        <v>60</v>
      </c>
      <c r="D709" t="s">
        <v>107</v>
      </c>
      <c r="E709" t="s">
        <v>15</v>
      </c>
      <c r="F709">
        <v>11.379</v>
      </c>
      <c r="G709" t="s">
        <v>14</v>
      </c>
    </row>
    <row r="710" spans="1:7" x14ac:dyDescent="0.25">
      <c r="A710">
        <v>55</v>
      </c>
      <c r="B710" t="s">
        <v>167</v>
      </c>
      <c r="C710">
        <v>70</v>
      </c>
      <c r="D710" t="s">
        <v>18</v>
      </c>
      <c r="E710" t="s">
        <v>15</v>
      </c>
      <c r="F710">
        <v>69.981999999999999</v>
      </c>
      <c r="G710" t="s">
        <v>14</v>
      </c>
    </row>
    <row r="711" spans="1:7" x14ac:dyDescent="0.25">
      <c r="A711">
        <v>55</v>
      </c>
      <c r="B711" t="s">
        <v>167</v>
      </c>
      <c r="C711">
        <v>80</v>
      </c>
      <c r="D711" t="s">
        <v>111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167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167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167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167</v>
      </c>
      <c r="C715">
        <v>120</v>
      </c>
      <c r="D715" t="s">
        <v>110</v>
      </c>
      <c r="E715" t="s">
        <v>13</v>
      </c>
      <c r="F715">
        <v>0.56699999999999995</v>
      </c>
      <c r="G715" t="s">
        <v>14</v>
      </c>
    </row>
    <row r="716" spans="1:7" x14ac:dyDescent="0.25">
      <c r="A716">
        <v>55</v>
      </c>
      <c r="B716" t="s">
        <v>167</v>
      </c>
      <c r="C716">
        <v>130</v>
      </c>
      <c r="D716" t="s">
        <v>242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168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168</v>
      </c>
      <c r="C718">
        <v>20</v>
      </c>
      <c r="D718" t="s">
        <v>109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168</v>
      </c>
      <c r="C719">
        <v>30</v>
      </c>
      <c r="D719" t="s">
        <v>112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168</v>
      </c>
      <c r="C720">
        <v>40</v>
      </c>
      <c r="D720" t="s">
        <v>18</v>
      </c>
      <c r="E720" t="s">
        <v>15</v>
      </c>
      <c r="F720">
        <v>46.939</v>
      </c>
      <c r="G720" t="s">
        <v>14</v>
      </c>
    </row>
    <row r="721" spans="1:7" x14ac:dyDescent="0.25">
      <c r="A721">
        <v>56</v>
      </c>
      <c r="B721" t="s">
        <v>168</v>
      </c>
      <c r="C721">
        <v>50</v>
      </c>
      <c r="D721" t="s">
        <v>105</v>
      </c>
      <c r="E721" t="s">
        <v>106</v>
      </c>
      <c r="F721">
        <v>0.81899999999999995</v>
      </c>
      <c r="G721" t="s">
        <v>14</v>
      </c>
    </row>
    <row r="722" spans="1:7" x14ac:dyDescent="0.25">
      <c r="A722">
        <v>56</v>
      </c>
      <c r="B722" t="s">
        <v>168</v>
      </c>
      <c r="C722">
        <v>60</v>
      </c>
      <c r="D722" t="s">
        <v>107</v>
      </c>
      <c r="E722" t="s">
        <v>15</v>
      </c>
      <c r="F722">
        <v>11.989000000000001</v>
      </c>
      <c r="G722" t="s">
        <v>14</v>
      </c>
    </row>
    <row r="723" spans="1:7" x14ac:dyDescent="0.25">
      <c r="A723">
        <v>56</v>
      </c>
      <c r="B723" t="s">
        <v>168</v>
      </c>
      <c r="C723">
        <v>70</v>
      </c>
      <c r="D723" t="s">
        <v>18</v>
      </c>
      <c r="E723" t="s">
        <v>15</v>
      </c>
      <c r="F723">
        <v>73.730999999999995</v>
      </c>
      <c r="G723" t="s">
        <v>14</v>
      </c>
    </row>
    <row r="724" spans="1:7" x14ac:dyDescent="0.25">
      <c r="A724">
        <v>56</v>
      </c>
      <c r="B724" t="s">
        <v>168</v>
      </c>
      <c r="C724">
        <v>80</v>
      </c>
      <c r="D724" t="s">
        <v>111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168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168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168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168</v>
      </c>
      <c r="C728">
        <v>120</v>
      </c>
      <c r="D728" t="s">
        <v>110</v>
      </c>
      <c r="E728" t="s">
        <v>13</v>
      </c>
      <c r="F728">
        <v>0.64900000000000002</v>
      </c>
      <c r="G728" t="s">
        <v>14</v>
      </c>
    </row>
    <row r="729" spans="1:7" x14ac:dyDescent="0.25">
      <c r="A729">
        <v>56</v>
      </c>
      <c r="B729" t="s">
        <v>168</v>
      </c>
      <c r="C729">
        <v>130</v>
      </c>
      <c r="D729" t="s">
        <v>243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169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169</v>
      </c>
      <c r="C731">
        <v>20</v>
      </c>
      <c r="D731" t="s">
        <v>109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169</v>
      </c>
      <c r="C732">
        <v>30</v>
      </c>
      <c r="D732" t="s">
        <v>112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169</v>
      </c>
      <c r="C733">
        <v>40</v>
      </c>
      <c r="D733" t="s">
        <v>18</v>
      </c>
      <c r="E733" t="s">
        <v>15</v>
      </c>
      <c r="F733">
        <v>49.378</v>
      </c>
      <c r="G733" t="s">
        <v>14</v>
      </c>
    </row>
    <row r="734" spans="1:7" x14ac:dyDescent="0.25">
      <c r="A734">
        <v>57</v>
      </c>
      <c r="B734" t="s">
        <v>169</v>
      </c>
      <c r="C734">
        <v>50</v>
      </c>
      <c r="D734" t="s">
        <v>105</v>
      </c>
      <c r="E734" t="s">
        <v>106</v>
      </c>
      <c r="F734">
        <v>0.95899999999999996</v>
      </c>
      <c r="G734" t="s">
        <v>14</v>
      </c>
    </row>
    <row r="735" spans="1:7" x14ac:dyDescent="0.25">
      <c r="A735">
        <v>57</v>
      </c>
      <c r="B735" t="s">
        <v>169</v>
      </c>
      <c r="C735">
        <v>60</v>
      </c>
      <c r="D735" t="s">
        <v>107</v>
      </c>
      <c r="E735" t="s">
        <v>15</v>
      </c>
      <c r="F735">
        <v>12.598000000000001</v>
      </c>
      <c r="G735" t="s">
        <v>14</v>
      </c>
    </row>
    <row r="736" spans="1:7" x14ac:dyDescent="0.25">
      <c r="A736">
        <v>57</v>
      </c>
      <c r="B736" t="s">
        <v>169</v>
      </c>
      <c r="C736">
        <v>70</v>
      </c>
      <c r="D736" t="s">
        <v>18</v>
      </c>
      <c r="E736" t="s">
        <v>15</v>
      </c>
      <c r="F736">
        <v>77.48</v>
      </c>
      <c r="G736" t="s">
        <v>14</v>
      </c>
    </row>
    <row r="737" spans="1:7" x14ac:dyDescent="0.25">
      <c r="A737">
        <v>57</v>
      </c>
      <c r="B737" t="s">
        <v>169</v>
      </c>
      <c r="C737">
        <v>80</v>
      </c>
      <c r="D737" t="s">
        <v>111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169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169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169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169</v>
      </c>
      <c r="C741">
        <v>120</v>
      </c>
      <c r="D741" t="s">
        <v>110</v>
      </c>
      <c r="E741" t="s">
        <v>13</v>
      </c>
      <c r="F741">
        <v>0.73</v>
      </c>
      <c r="G741" t="s">
        <v>14</v>
      </c>
    </row>
    <row r="742" spans="1:7" x14ac:dyDescent="0.25">
      <c r="A742">
        <v>57</v>
      </c>
      <c r="B742" t="s">
        <v>169</v>
      </c>
      <c r="C742">
        <v>130</v>
      </c>
      <c r="D742" t="s">
        <v>244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170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170</v>
      </c>
      <c r="C744">
        <v>20</v>
      </c>
      <c r="D744" t="s">
        <v>109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170</v>
      </c>
      <c r="C745">
        <v>30</v>
      </c>
      <c r="D745" t="s">
        <v>112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170</v>
      </c>
      <c r="C746">
        <v>40</v>
      </c>
      <c r="D746" t="s">
        <v>18</v>
      </c>
      <c r="E746" t="s">
        <v>15</v>
      </c>
      <c r="F746">
        <v>51.816000000000003</v>
      </c>
      <c r="G746" t="s">
        <v>14</v>
      </c>
    </row>
    <row r="747" spans="1:7" x14ac:dyDescent="0.25">
      <c r="A747">
        <v>58</v>
      </c>
      <c r="B747" t="s">
        <v>170</v>
      </c>
      <c r="C747">
        <v>50</v>
      </c>
      <c r="D747" t="s">
        <v>105</v>
      </c>
      <c r="E747" t="s">
        <v>106</v>
      </c>
      <c r="F747">
        <v>1.099</v>
      </c>
      <c r="G747" t="s">
        <v>14</v>
      </c>
    </row>
    <row r="748" spans="1:7" x14ac:dyDescent="0.25">
      <c r="A748">
        <v>58</v>
      </c>
      <c r="B748" t="s">
        <v>170</v>
      </c>
      <c r="C748">
        <v>60</v>
      </c>
      <c r="D748" t="s">
        <v>107</v>
      </c>
      <c r="E748" t="s">
        <v>15</v>
      </c>
      <c r="F748">
        <v>13.208</v>
      </c>
      <c r="G748" t="s">
        <v>14</v>
      </c>
    </row>
    <row r="749" spans="1:7" x14ac:dyDescent="0.25">
      <c r="A749">
        <v>58</v>
      </c>
      <c r="B749" t="s">
        <v>170</v>
      </c>
      <c r="C749">
        <v>70</v>
      </c>
      <c r="D749" t="s">
        <v>18</v>
      </c>
      <c r="E749" t="s">
        <v>15</v>
      </c>
      <c r="F749">
        <v>81.228999999999999</v>
      </c>
      <c r="G749" t="s">
        <v>14</v>
      </c>
    </row>
    <row r="750" spans="1:7" x14ac:dyDescent="0.25">
      <c r="A750">
        <v>58</v>
      </c>
      <c r="B750" t="s">
        <v>170</v>
      </c>
      <c r="C750">
        <v>80</v>
      </c>
      <c r="D750" t="s">
        <v>111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170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170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170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170</v>
      </c>
      <c r="C754">
        <v>120</v>
      </c>
      <c r="D754" t="s">
        <v>110</v>
      </c>
      <c r="E754" t="s">
        <v>13</v>
      </c>
      <c r="F754">
        <v>0.81100000000000005</v>
      </c>
      <c r="G754" t="s">
        <v>14</v>
      </c>
    </row>
    <row r="755" spans="1:7" x14ac:dyDescent="0.25">
      <c r="A755">
        <v>58</v>
      </c>
      <c r="B755" t="s">
        <v>170</v>
      </c>
      <c r="C755">
        <v>130</v>
      </c>
      <c r="D755" t="s">
        <v>245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171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171</v>
      </c>
      <c r="C757">
        <v>20</v>
      </c>
      <c r="D757" t="s">
        <v>109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171</v>
      </c>
      <c r="C758">
        <v>30</v>
      </c>
      <c r="D758" t="s">
        <v>112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171</v>
      </c>
      <c r="C759">
        <v>40</v>
      </c>
      <c r="D759" t="s">
        <v>18</v>
      </c>
      <c r="E759" t="s">
        <v>15</v>
      </c>
      <c r="F759">
        <v>56.692999999999998</v>
      </c>
      <c r="G759" t="s">
        <v>14</v>
      </c>
    </row>
    <row r="760" spans="1:7" x14ac:dyDescent="0.25">
      <c r="A760">
        <v>59</v>
      </c>
      <c r="B760" t="s">
        <v>171</v>
      </c>
      <c r="C760">
        <v>50</v>
      </c>
      <c r="D760" t="s">
        <v>105</v>
      </c>
      <c r="E760" t="s">
        <v>106</v>
      </c>
      <c r="F760">
        <v>1.38</v>
      </c>
      <c r="G760" t="s">
        <v>14</v>
      </c>
    </row>
    <row r="761" spans="1:7" x14ac:dyDescent="0.25">
      <c r="A761">
        <v>59</v>
      </c>
      <c r="B761" t="s">
        <v>171</v>
      </c>
      <c r="C761">
        <v>60</v>
      </c>
      <c r="D761" t="s">
        <v>107</v>
      </c>
      <c r="E761" t="s">
        <v>15</v>
      </c>
      <c r="F761">
        <v>14.427</v>
      </c>
      <c r="G761" t="s">
        <v>14</v>
      </c>
    </row>
    <row r="762" spans="1:7" x14ac:dyDescent="0.25">
      <c r="A762">
        <v>59</v>
      </c>
      <c r="B762" t="s">
        <v>171</v>
      </c>
      <c r="C762">
        <v>70</v>
      </c>
      <c r="D762" t="s">
        <v>18</v>
      </c>
      <c r="E762" t="s">
        <v>15</v>
      </c>
      <c r="F762">
        <v>88.727000000000004</v>
      </c>
      <c r="G762" t="s">
        <v>14</v>
      </c>
    </row>
    <row r="763" spans="1:7" x14ac:dyDescent="0.25">
      <c r="A763">
        <v>59</v>
      </c>
      <c r="B763" t="s">
        <v>171</v>
      </c>
      <c r="C763">
        <v>80</v>
      </c>
      <c r="D763" t="s">
        <v>111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171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171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171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171</v>
      </c>
      <c r="C767">
        <v>120</v>
      </c>
      <c r="D767" t="s">
        <v>110</v>
      </c>
      <c r="E767" t="s">
        <v>13</v>
      </c>
      <c r="F767">
        <v>0.97299999999999998</v>
      </c>
      <c r="G767" t="s">
        <v>14</v>
      </c>
    </row>
    <row r="768" spans="1:7" x14ac:dyDescent="0.25">
      <c r="A768">
        <v>59</v>
      </c>
      <c r="B768" t="s">
        <v>171</v>
      </c>
      <c r="C768">
        <v>130</v>
      </c>
      <c r="D768" t="s">
        <v>246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172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172</v>
      </c>
      <c r="C770">
        <v>20</v>
      </c>
      <c r="D770" t="s">
        <v>109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172</v>
      </c>
      <c r="C771">
        <v>30</v>
      </c>
      <c r="D771" t="s">
        <v>112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172</v>
      </c>
      <c r="C772">
        <v>40</v>
      </c>
      <c r="D772" t="s">
        <v>18</v>
      </c>
      <c r="E772" t="s">
        <v>15</v>
      </c>
      <c r="F772">
        <v>59.131</v>
      </c>
      <c r="G772" t="s">
        <v>14</v>
      </c>
    </row>
    <row r="773" spans="1:7" x14ac:dyDescent="0.25">
      <c r="A773">
        <v>60</v>
      </c>
      <c r="B773" t="s">
        <v>172</v>
      </c>
      <c r="C773">
        <v>50</v>
      </c>
      <c r="D773" t="s">
        <v>105</v>
      </c>
      <c r="E773" t="s">
        <v>106</v>
      </c>
      <c r="F773">
        <v>1.52</v>
      </c>
      <c r="G773" t="s">
        <v>14</v>
      </c>
    </row>
    <row r="774" spans="1:7" x14ac:dyDescent="0.25">
      <c r="A774">
        <v>60</v>
      </c>
      <c r="B774" t="s">
        <v>172</v>
      </c>
      <c r="C774">
        <v>60</v>
      </c>
      <c r="D774" t="s">
        <v>107</v>
      </c>
      <c r="E774" t="s">
        <v>15</v>
      </c>
      <c r="F774">
        <v>15.037000000000001</v>
      </c>
      <c r="G774" t="s">
        <v>14</v>
      </c>
    </row>
    <row r="775" spans="1:7" x14ac:dyDescent="0.25">
      <c r="A775">
        <v>60</v>
      </c>
      <c r="B775" t="s">
        <v>172</v>
      </c>
      <c r="C775">
        <v>70</v>
      </c>
      <c r="D775" t="s">
        <v>18</v>
      </c>
      <c r="E775" t="s">
        <v>15</v>
      </c>
      <c r="F775">
        <v>92.475999999999999</v>
      </c>
      <c r="G775" t="s">
        <v>14</v>
      </c>
    </row>
    <row r="776" spans="1:7" x14ac:dyDescent="0.25">
      <c r="A776">
        <v>60</v>
      </c>
      <c r="B776" t="s">
        <v>172</v>
      </c>
      <c r="C776">
        <v>80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172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172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172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172</v>
      </c>
      <c r="C780">
        <v>120</v>
      </c>
      <c r="D780" t="s">
        <v>110</v>
      </c>
      <c r="E780" t="s">
        <v>13</v>
      </c>
      <c r="F780">
        <v>1.054</v>
      </c>
      <c r="G780" t="s">
        <v>14</v>
      </c>
    </row>
    <row r="781" spans="1:7" x14ac:dyDescent="0.25">
      <c r="A781">
        <v>60</v>
      </c>
      <c r="B781" t="s">
        <v>172</v>
      </c>
      <c r="C781">
        <v>130</v>
      </c>
      <c r="D781" t="s">
        <v>247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173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173</v>
      </c>
      <c r="C783">
        <v>20</v>
      </c>
      <c r="D783" t="s">
        <v>109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173</v>
      </c>
      <c r="C784">
        <v>30</v>
      </c>
      <c r="D784" t="s">
        <v>112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173</v>
      </c>
      <c r="C785">
        <v>40</v>
      </c>
      <c r="D785" t="s">
        <v>18</v>
      </c>
      <c r="E785" t="s">
        <v>15</v>
      </c>
      <c r="F785">
        <v>61.57</v>
      </c>
      <c r="G785" t="s">
        <v>14</v>
      </c>
    </row>
    <row r="786" spans="1:7" x14ac:dyDescent="0.25">
      <c r="A786">
        <v>61</v>
      </c>
      <c r="B786" t="s">
        <v>173</v>
      </c>
      <c r="C786">
        <v>50</v>
      </c>
      <c r="D786" t="s">
        <v>105</v>
      </c>
      <c r="E786" t="s">
        <v>106</v>
      </c>
      <c r="F786">
        <v>1.661</v>
      </c>
      <c r="G786" t="s">
        <v>14</v>
      </c>
    </row>
    <row r="787" spans="1:7" x14ac:dyDescent="0.25">
      <c r="A787">
        <v>61</v>
      </c>
      <c r="B787" t="s">
        <v>173</v>
      </c>
      <c r="C787">
        <v>60</v>
      </c>
      <c r="D787" t="s">
        <v>107</v>
      </c>
      <c r="E787" t="s">
        <v>15</v>
      </c>
      <c r="F787">
        <v>15.646000000000001</v>
      </c>
      <c r="G787" t="s">
        <v>14</v>
      </c>
    </row>
    <row r="788" spans="1:7" x14ac:dyDescent="0.25">
      <c r="A788">
        <v>61</v>
      </c>
      <c r="B788" t="s">
        <v>173</v>
      </c>
      <c r="C788">
        <v>70</v>
      </c>
      <c r="D788" t="s">
        <v>18</v>
      </c>
      <c r="E788" t="s">
        <v>15</v>
      </c>
      <c r="F788">
        <v>96.224999999999994</v>
      </c>
      <c r="G788" t="s">
        <v>14</v>
      </c>
    </row>
    <row r="789" spans="1:7" x14ac:dyDescent="0.25">
      <c r="A789">
        <v>61</v>
      </c>
      <c r="B789" t="s">
        <v>173</v>
      </c>
      <c r="C789">
        <v>80</v>
      </c>
      <c r="D789" t="s">
        <v>111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173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173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173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173</v>
      </c>
      <c r="C793">
        <v>120</v>
      </c>
      <c r="D793" t="s">
        <v>110</v>
      </c>
      <c r="E793" t="s">
        <v>13</v>
      </c>
      <c r="F793">
        <v>1.135</v>
      </c>
      <c r="G793" t="s">
        <v>14</v>
      </c>
    </row>
    <row r="794" spans="1:7" x14ac:dyDescent="0.25">
      <c r="A794">
        <v>61</v>
      </c>
      <c r="B794" t="s">
        <v>173</v>
      </c>
      <c r="C794">
        <v>130</v>
      </c>
      <c r="D794" t="s">
        <v>248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174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174</v>
      </c>
      <c r="C796">
        <v>20</v>
      </c>
      <c r="D796" t="s">
        <v>109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174</v>
      </c>
      <c r="C797">
        <v>30</v>
      </c>
      <c r="D797" t="s">
        <v>112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174</v>
      </c>
      <c r="C798">
        <v>40</v>
      </c>
      <c r="D798" t="s">
        <v>18</v>
      </c>
      <c r="E798" t="s">
        <v>15</v>
      </c>
      <c r="F798">
        <v>45.314</v>
      </c>
      <c r="G798" t="s">
        <v>14</v>
      </c>
    </row>
    <row r="799" spans="1:7" x14ac:dyDescent="0.25">
      <c r="A799">
        <v>62</v>
      </c>
      <c r="B799" t="s">
        <v>174</v>
      </c>
      <c r="C799">
        <v>50</v>
      </c>
      <c r="D799" t="s">
        <v>105</v>
      </c>
      <c r="E799" t="s">
        <v>106</v>
      </c>
      <c r="F799">
        <v>0.69599999999999995</v>
      </c>
      <c r="G799" t="s">
        <v>14</v>
      </c>
    </row>
    <row r="800" spans="1:7" x14ac:dyDescent="0.25">
      <c r="A800">
        <v>62</v>
      </c>
      <c r="B800" t="s">
        <v>174</v>
      </c>
      <c r="C800">
        <v>60</v>
      </c>
      <c r="D800" t="s">
        <v>107</v>
      </c>
      <c r="E800" t="s">
        <v>15</v>
      </c>
      <c r="F800">
        <v>11.582000000000001</v>
      </c>
      <c r="G800" t="s">
        <v>14</v>
      </c>
    </row>
    <row r="801" spans="1:7" x14ac:dyDescent="0.25">
      <c r="A801">
        <v>62</v>
      </c>
      <c r="B801" t="s">
        <v>174</v>
      </c>
      <c r="C801">
        <v>70</v>
      </c>
      <c r="D801" t="s">
        <v>18</v>
      </c>
      <c r="E801" t="s">
        <v>15</v>
      </c>
      <c r="F801">
        <v>71.231999999999999</v>
      </c>
      <c r="G801" t="s">
        <v>14</v>
      </c>
    </row>
    <row r="802" spans="1:7" x14ac:dyDescent="0.25">
      <c r="A802">
        <v>62</v>
      </c>
      <c r="B802" t="s">
        <v>174</v>
      </c>
      <c r="C802">
        <v>80</v>
      </c>
      <c r="D802" t="s">
        <v>111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174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174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174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174</v>
      </c>
      <c r="C806">
        <v>120</v>
      </c>
      <c r="D806" t="s">
        <v>110</v>
      </c>
      <c r="E806" t="s">
        <v>13</v>
      </c>
      <c r="F806">
        <v>1.2430000000000001</v>
      </c>
      <c r="G806" t="s">
        <v>14</v>
      </c>
    </row>
    <row r="807" spans="1:7" x14ac:dyDescent="0.25">
      <c r="A807">
        <v>62</v>
      </c>
      <c r="B807" t="s">
        <v>174</v>
      </c>
      <c r="C807">
        <v>130</v>
      </c>
      <c r="D807" t="s">
        <v>249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175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175</v>
      </c>
      <c r="C809">
        <v>20</v>
      </c>
      <c r="D809" t="s">
        <v>109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175</v>
      </c>
      <c r="C810">
        <v>30</v>
      </c>
      <c r="D810" t="s">
        <v>112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175</v>
      </c>
      <c r="C811">
        <v>40</v>
      </c>
      <c r="D811" t="s">
        <v>18</v>
      </c>
      <c r="E811" t="s">
        <v>15</v>
      </c>
      <c r="F811">
        <v>47.752000000000002</v>
      </c>
      <c r="G811" t="s">
        <v>14</v>
      </c>
    </row>
    <row r="812" spans="1:7" x14ac:dyDescent="0.25">
      <c r="A812">
        <v>63</v>
      </c>
      <c r="B812" t="s">
        <v>175</v>
      </c>
      <c r="C812">
        <v>50</v>
      </c>
      <c r="D812" t="s">
        <v>105</v>
      </c>
      <c r="E812" t="s">
        <v>106</v>
      </c>
      <c r="F812">
        <v>0.84</v>
      </c>
      <c r="G812" t="s">
        <v>14</v>
      </c>
    </row>
    <row r="813" spans="1:7" x14ac:dyDescent="0.25">
      <c r="A813">
        <v>63</v>
      </c>
      <c r="B813" t="s">
        <v>175</v>
      </c>
      <c r="C813">
        <v>60</v>
      </c>
      <c r="D813" t="s">
        <v>107</v>
      </c>
      <c r="E813" t="s">
        <v>15</v>
      </c>
      <c r="F813">
        <v>12.192</v>
      </c>
      <c r="G813" t="s">
        <v>14</v>
      </c>
    </row>
    <row r="814" spans="1:7" x14ac:dyDescent="0.25">
      <c r="A814">
        <v>63</v>
      </c>
      <c r="B814" t="s">
        <v>175</v>
      </c>
      <c r="C814">
        <v>70</v>
      </c>
      <c r="D814" t="s">
        <v>18</v>
      </c>
      <c r="E814" t="s">
        <v>15</v>
      </c>
      <c r="F814">
        <v>74.980999999999995</v>
      </c>
      <c r="G814" t="s">
        <v>14</v>
      </c>
    </row>
    <row r="815" spans="1:7" x14ac:dyDescent="0.25">
      <c r="A815">
        <v>63</v>
      </c>
      <c r="B815" t="s">
        <v>175</v>
      </c>
      <c r="C815">
        <v>80</v>
      </c>
      <c r="D815" t="s">
        <v>111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175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175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175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175</v>
      </c>
      <c r="C819">
        <v>120</v>
      </c>
      <c r="D819" t="s">
        <v>110</v>
      </c>
      <c r="E819" t="s">
        <v>13</v>
      </c>
      <c r="F819">
        <v>1.2430000000000001</v>
      </c>
      <c r="G819" t="s">
        <v>14</v>
      </c>
    </row>
    <row r="820" spans="1:7" x14ac:dyDescent="0.25">
      <c r="A820">
        <v>63</v>
      </c>
      <c r="B820" t="s">
        <v>175</v>
      </c>
      <c r="C820">
        <v>130</v>
      </c>
      <c r="D820" t="s">
        <v>250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176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176</v>
      </c>
      <c r="C822">
        <v>20</v>
      </c>
      <c r="D822" t="s">
        <v>109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176</v>
      </c>
      <c r="C823">
        <v>30</v>
      </c>
      <c r="D823" t="s">
        <v>112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176</v>
      </c>
      <c r="C824">
        <v>40</v>
      </c>
      <c r="D824" t="s">
        <v>18</v>
      </c>
      <c r="E824" t="s">
        <v>15</v>
      </c>
      <c r="F824">
        <v>50.19</v>
      </c>
      <c r="G824" t="s">
        <v>14</v>
      </c>
    </row>
    <row r="825" spans="1:7" x14ac:dyDescent="0.25">
      <c r="A825">
        <v>64</v>
      </c>
      <c r="B825" t="s">
        <v>176</v>
      </c>
      <c r="C825">
        <v>50</v>
      </c>
      <c r="D825" t="s">
        <v>105</v>
      </c>
      <c r="E825" t="s">
        <v>106</v>
      </c>
      <c r="F825">
        <v>0.98399999999999999</v>
      </c>
      <c r="G825" t="s">
        <v>14</v>
      </c>
    </row>
    <row r="826" spans="1:7" x14ac:dyDescent="0.25">
      <c r="A826">
        <v>64</v>
      </c>
      <c r="B826" t="s">
        <v>176</v>
      </c>
      <c r="C826">
        <v>60</v>
      </c>
      <c r="D826" t="s">
        <v>107</v>
      </c>
      <c r="E826" t="s">
        <v>15</v>
      </c>
      <c r="F826">
        <v>12.802</v>
      </c>
      <c r="G826" t="s">
        <v>14</v>
      </c>
    </row>
    <row r="827" spans="1:7" x14ac:dyDescent="0.25">
      <c r="A827">
        <v>64</v>
      </c>
      <c r="B827" t="s">
        <v>176</v>
      </c>
      <c r="C827">
        <v>70</v>
      </c>
      <c r="D827" t="s">
        <v>18</v>
      </c>
      <c r="E827" t="s">
        <v>15</v>
      </c>
      <c r="F827">
        <v>78.73</v>
      </c>
      <c r="G827" t="s">
        <v>14</v>
      </c>
    </row>
    <row r="828" spans="1:7" x14ac:dyDescent="0.25">
      <c r="A828">
        <v>64</v>
      </c>
      <c r="B828" t="s">
        <v>176</v>
      </c>
      <c r="C828">
        <v>80</v>
      </c>
      <c r="D828" t="s">
        <v>111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176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176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176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176</v>
      </c>
      <c r="C832">
        <v>120</v>
      </c>
      <c r="D832" t="s">
        <v>110</v>
      </c>
      <c r="E832" t="s">
        <v>13</v>
      </c>
      <c r="F832">
        <v>1.2430000000000001</v>
      </c>
      <c r="G832" t="s">
        <v>14</v>
      </c>
    </row>
    <row r="833" spans="1:7" x14ac:dyDescent="0.25">
      <c r="A833">
        <v>64</v>
      </c>
      <c r="B833" t="s">
        <v>176</v>
      </c>
      <c r="C833">
        <v>130</v>
      </c>
      <c r="D833" t="s">
        <v>251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177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177</v>
      </c>
      <c r="C835">
        <v>20</v>
      </c>
      <c r="D835" t="s">
        <v>109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177</v>
      </c>
      <c r="C836">
        <v>30</v>
      </c>
      <c r="D836" t="s">
        <v>112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177</v>
      </c>
      <c r="C837">
        <v>40</v>
      </c>
      <c r="D837" t="s">
        <v>18</v>
      </c>
      <c r="E837" t="s">
        <v>15</v>
      </c>
      <c r="F837">
        <v>52.628999999999998</v>
      </c>
      <c r="G837" t="s">
        <v>14</v>
      </c>
    </row>
    <row r="838" spans="1:7" x14ac:dyDescent="0.25">
      <c r="A838">
        <v>65</v>
      </c>
      <c r="B838" t="s">
        <v>177</v>
      </c>
      <c r="C838">
        <v>50</v>
      </c>
      <c r="D838" t="s">
        <v>105</v>
      </c>
      <c r="E838" t="s">
        <v>106</v>
      </c>
      <c r="F838">
        <v>1.1279999999999999</v>
      </c>
      <c r="G838" t="s">
        <v>14</v>
      </c>
    </row>
    <row r="839" spans="1:7" x14ac:dyDescent="0.25">
      <c r="A839">
        <v>65</v>
      </c>
      <c r="B839" t="s">
        <v>177</v>
      </c>
      <c r="C839">
        <v>60</v>
      </c>
      <c r="D839" t="s">
        <v>107</v>
      </c>
      <c r="E839" t="s">
        <v>15</v>
      </c>
      <c r="F839">
        <v>13.411</v>
      </c>
      <c r="G839" t="s">
        <v>14</v>
      </c>
    </row>
    <row r="840" spans="1:7" x14ac:dyDescent="0.25">
      <c r="A840">
        <v>65</v>
      </c>
      <c r="B840" t="s">
        <v>177</v>
      </c>
      <c r="C840">
        <v>70</v>
      </c>
      <c r="D840" t="s">
        <v>18</v>
      </c>
      <c r="E840" t="s">
        <v>15</v>
      </c>
      <c r="F840">
        <v>82.478999999999999</v>
      </c>
      <c r="G840" t="s">
        <v>14</v>
      </c>
    </row>
    <row r="841" spans="1:7" x14ac:dyDescent="0.25">
      <c r="A841">
        <v>65</v>
      </c>
      <c r="B841" t="s">
        <v>177</v>
      </c>
      <c r="C841">
        <v>80</v>
      </c>
      <c r="D841" t="s">
        <v>111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177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177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177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177</v>
      </c>
      <c r="C845">
        <v>120</v>
      </c>
      <c r="D845" t="s">
        <v>110</v>
      </c>
      <c r="E845" t="s">
        <v>13</v>
      </c>
      <c r="F845">
        <v>1.2430000000000001</v>
      </c>
      <c r="G845" t="s">
        <v>14</v>
      </c>
    </row>
    <row r="846" spans="1:7" x14ac:dyDescent="0.25">
      <c r="A846">
        <v>65</v>
      </c>
      <c r="B846" t="s">
        <v>177</v>
      </c>
      <c r="C846">
        <v>130</v>
      </c>
      <c r="D846" t="s">
        <v>252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178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178</v>
      </c>
      <c r="C848">
        <v>20</v>
      </c>
      <c r="D848" t="s">
        <v>109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178</v>
      </c>
      <c r="C849">
        <v>30</v>
      </c>
      <c r="D849" t="s">
        <v>112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178</v>
      </c>
      <c r="C850">
        <v>40</v>
      </c>
      <c r="D850" t="s">
        <v>18</v>
      </c>
      <c r="E850" t="s">
        <v>15</v>
      </c>
      <c r="F850">
        <v>57.506</v>
      </c>
      <c r="G850" t="s">
        <v>14</v>
      </c>
    </row>
    <row r="851" spans="1:7" x14ac:dyDescent="0.25">
      <c r="A851">
        <v>66</v>
      </c>
      <c r="B851" t="s">
        <v>178</v>
      </c>
      <c r="C851">
        <v>50</v>
      </c>
      <c r="D851" t="s">
        <v>105</v>
      </c>
      <c r="E851" t="s">
        <v>106</v>
      </c>
      <c r="F851">
        <v>1.4159999999999999</v>
      </c>
      <c r="G851" t="s">
        <v>14</v>
      </c>
    </row>
    <row r="852" spans="1:7" x14ac:dyDescent="0.25">
      <c r="A852">
        <v>66</v>
      </c>
      <c r="B852" t="s">
        <v>178</v>
      </c>
      <c r="C852">
        <v>60</v>
      </c>
      <c r="D852" t="s">
        <v>107</v>
      </c>
      <c r="E852" t="s">
        <v>15</v>
      </c>
      <c r="F852">
        <v>14.63</v>
      </c>
      <c r="G852" t="s">
        <v>14</v>
      </c>
    </row>
    <row r="853" spans="1:7" x14ac:dyDescent="0.25">
      <c r="A853">
        <v>66</v>
      </c>
      <c r="B853" t="s">
        <v>178</v>
      </c>
      <c r="C853">
        <v>70</v>
      </c>
      <c r="D853" t="s">
        <v>18</v>
      </c>
      <c r="E853" t="s">
        <v>15</v>
      </c>
      <c r="F853">
        <v>89.977000000000004</v>
      </c>
      <c r="G853" t="s">
        <v>14</v>
      </c>
    </row>
    <row r="854" spans="1:7" x14ac:dyDescent="0.25">
      <c r="A854">
        <v>66</v>
      </c>
      <c r="B854" t="s">
        <v>178</v>
      </c>
      <c r="C854">
        <v>80</v>
      </c>
      <c r="D854" t="s">
        <v>111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178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178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178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178</v>
      </c>
      <c r="C858">
        <v>120</v>
      </c>
      <c r="D858" t="s">
        <v>110</v>
      </c>
      <c r="E858" t="s">
        <v>13</v>
      </c>
      <c r="F858">
        <v>1.2430000000000001</v>
      </c>
      <c r="G858" t="s">
        <v>14</v>
      </c>
    </row>
    <row r="859" spans="1:7" x14ac:dyDescent="0.25">
      <c r="A859">
        <v>66</v>
      </c>
      <c r="B859" t="s">
        <v>178</v>
      </c>
      <c r="C859">
        <v>130</v>
      </c>
      <c r="D859" t="s">
        <v>253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179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179</v>
      </c>
      <c r="C861">
        <v>20</v>
      </c>
      <c r="D861" t="s">
        <v>109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179</v>
      </c>
      <c r="C862">
        <v>30</v>
      </c>
      <c r="D862" t="s">
        <v>112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179</v>
      </c>
      <c r="C863">
        <v>40</v>
      </c>
      <c r="D863" t="s">
        <v>18</v>
      </c>
      <c r="E863" t="s">
        <v>15</v>
      </c>
      <c r="F863">
        <v>59.944000000000003</v>
      </c>
      <c r="G863" t="s">
        <v>14</v>
      </c>
    </row>
    <row r="864" spans="1:7" x14ac:dyDescent="0.25">
      <c r="A864">
        <v>67</v>
      </c>
      <c r="B864" t="s">
        <v>179</v>
      </c>
      <c r="C864">
        <v>50</v>
      </c>
      <c r="D864" t="s">
        <v>105</v>
      </c>
      <c r="E864" t="s">
        <v>106</v>
      </c>
      <c r="F864">
        <v>1.56</v>
      </c>
      <c r="G864" t="s">
        <v>14</v>
      </c>
    </row>
    <row r="865" spans="1:7" x14ac:dyDescent="0.25">
      <c r="A865">
        <v>67</v>
      </c>
      <c r="B865" t="s">
        <v>179</v>
      </c>
      <c r="C865">
        <v>60</v>
      </c>
      <c r="D865" t="s">
        <v>107</v>
      </c>
      <c r="E865" t="s">
        <v>15</v>
      </c>
      <c r="F865">
        <v>15.24</v>
      </c>
      <c r="G865" t="s">
        <v>14</v>
      </c>
    </row>
    <row r="866" spans="1:7" x14ac:dyDescent="0.25">
      <c r="A866">
        <v>67</v>
      </c>
      <c r="B866" t="s">
        <v>179</v>
      </c>
      <c r="C866">
        <v>70</v>
      </c>
      <c r="D866" t="s">
        <v>18</v>
      </c>
      <c r="E866" t="s">
        <v>15</v>
      </c>
      <c r="F866">
        <v>93.725999999999999</v>
      </c>
      <c r="G866" t="s">
        <v>14</v>
      </c>
    </row>
    <row r="867" spans="1:7" x14ac:dyDescent="0.25">
      <c r="A867">
        <v>67</v>
      </c>
      <c r="B867" t="s">
        <v>179</v>
      </c>
      <c r="C867">
        <v>80</v>
      </c>
      <c r="D867" t="s">
        <v>111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179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179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179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179</v>
      </c>
      <c r="C871">
        <v>120</v>
      </c>
      <c r="D871" t="s">
        <v>110</v>
      </c>
      <c r="E871" t="s">
        <v>13</v>
      </c>
      <c r="F871">
        <v>1.2430000000000001</v>
      </c>
      <c r="G871" t="s">
        <v>14</v>
      </c>
    </row>
    <row r="872" spans="1:7" x14ac:dyDescent="0.25">
      <c r="A872">
        <v>67</v>
      </c>
      <c r="B872" t="s">
        <v>179</v>
      </c>
      <c r="C872">
        <v>130</v>
      </c>
      <c r="D872" t="s">
        <v>254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180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180</v>
      </c>
      <c r="C874">
        <v>20</v>
      </c>
      <c r="D874" t="s">
        <v>109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180</v>
      </c>
      <c r="C875">
        <v>30</v>
      </c>
      <c r="D875" t="s">
        <v>112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180</v>
      </c>
      <c r="C876">
        <v>40</v>
      </c>
      <c r="D876" t="s">
        <v>18</v>
      </c>
      <c r="E876" t="s">
        <v>15</v>
      </c>
      <c r="F876">
        <v>62.381999999999998</v>
      </c>
      <c r="G876" t="s">
        <v>14</v>
      </c>
    </row>
    <row r="877" spans="1:7" x14ac:dyDescent="0.25">
      <c r="A877">
        <v>68</v>
      </c>
      <c r="B877" t="s">
        <v>180</v>
      </c>
      <c r="C877">
        <v>50</v>
      </c>
      <c r="D877" t="s">
        <v>105</v>
      </c>
      <c r="E877" t="s">
        <v>106</v>
      </c>
      <c r="F877">
        <v>1.704</v>
      </c>
      <c r="G877" t="s">
        <v>14</v>
      </c>
    </row>
    <row r="878" spans="1:7" x14ac:dyDescent="0.25">
      <c r="A878">
        <v>68</v>
      </c>
      <c r="B878" t="s">
        <v>180</v>
      </c>
      <c r="C878">
        <v>60</v>
      </c>
      <c r="D878" t="s">
        <v>107</v>
      </c>
      <c r="E878" t="s">
        <v>15</v>
      </c>
      <c r="F878">
        <v>15.85</v>
      </c>
      <c r="G878" t="s">
        <v>14</v>
      </c>
    </row>
    <row r="879" spans="1:7" x14ac:dyDescent="0.25">
      <c r="A879">
        <v>68</v>
      </c>
      <c r="B879" t="s">
        <v>180</v>
      </c>
      <c r="C879">
        <v>70</v>
      </c>
      <c r="D879" t="s">
        <v>18</v>
      </c>
      <c r="E879" t="s">
        <v>15</v>
      </c>
      <c r="F879">
        <v>97.474999999999994</v>
      </c>
      <c r="G879" t="s">
        <v>14</v>
      </c>
    </row>
    <row r="880" spans="1:7" x14ac:dyDescent="0.25">
      <c r="A880">
        <v>68</v>
      </c>
      <c r="B880" t="s">
        <v>180</v>
      </c>
      <c r="C880">
        <v>80</v>
      </c>
      <c r="D880" t="s">
        <v>111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180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180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180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180</v>
      </c>
      <c r="C884">
        <v>120</v>
      </c>
      <c r="D884" t="s">
        <v>110</v>
      </c>
      <c r="E884" t="s">
        <v>13</v>
      </c>
      <c r="F884">
        <v>1.2430000000000001</v>
      </c>
      <c r="G884" t="s">
        <v>14</v>
      </c>
    </row>
    <row r="885" spans="1:7" x14ac:dyDescent="0.25">
      <c r="A885">
        <v>68</v>
      </c>
      <c r="B885" t="s">
        <v>180</v>
      </c>
      <c r="C885">
        <v>130</v>
      </c>
      <c r="D885" t="s">
        <v>255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181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181</v>
      </c>
      <c r="C887">
        <v>20</v>
      </c>
      <c r="D887" t="s">
        <v>109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181</v>
      </c>
      <c r="C888">
        <v>30</v>
      </c>
      <c r="D888" t="s">
        <v>112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181</v>
      </c>
      <c r="C889">
        <v>40</v>
      </c>
      <c r="D889" t="s">
        <v>18</v>
      </c>
      <c r="E889" t="s">
        <v>15</v>
      </c>
      <c r="F889">
        <v>46.939</v>
      </c>
      <c r="G889" t="s">
        <v>14</v>
      </c>
    </row>
    <row r="890" spans="1:7" x14ac:dyDescent="0.25">
      <c r="A890">
        <v>69</v>
      </c>
      <c r="B890" t="s">
        <v>181</v>
      </c>
      <c r="C890">
        <v>50</v>
      </c>
      <c r="D890" t="s">
        <v>105</v>
      </c>
      <c r="E890" t="s">
        <v>106</v>
      </c>
      <c r="F890">
        <v>0.73099999999999998</v>
      </c>
      <c r="G890" t="s">
        <v>14</v>
      </c>
    </row>
    <row r="891" spans="1:7" x14ac:dyDescent="0.25">
      <c r="A891">
        <v>69</v>
      </c>
      <c r="B891" t="s">
        <v>181</v>
      </c>
      <c r="C891">
        <v>60</v>
      </c>
      <c r="D891" t="s">
        <v>107</v>
      </c>
      <c r="E891" t="s">
        <v>15</v>
      </c>
      <c r="F891">
        <v>11.989000000000001</v>
      </c>
      <c r="G891" t="s">
        <v>14</v>
      </c>
    </row>
    <row r="892" spans="1:7" x14ac:dyDescent="0.25">
      <c r="A892">
        <v>69</v>
      </c>
      <c r="B892" t="s">
        <v>181</v>
      </c>
      <c r="C892">
        <v>70</v>
      </c>
      <c r="D892" t="s">
        <v>18</v>
      </c>
      <c r="E892" t="s">
        <v>15</v>
      </c>
      <c r="F892">
        <v>73.730999999999995</v>
      </c>
      <c r="G892" t="s">
        <v>14</v>
      </c>
    </row>
    <row r="893" spans="1:7" x14ac:dyDescent="0.25">
      <c r="A893">
        <v>69</v>
      </c>
      <c r="B893" t="s">
        <v>181</v>
      </c>
      <c r="C893">
        <v>80</v>
      </c>
      <c r="D893" t="s">
        <v>111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181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181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181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181</v>
      </c>
      <c r="C897">
        <v>120</v>
      </c>
      <c r="D897" t="s">
        <v>110</v>
      </c>
      <c r="E897" t="s">
        <v>13</v>
      </c>
      <c r="F897">
        <v>1.2969999999999999</v>
      </c>
      <c r="G897" t="s">
        <v>14</v>
      </c>
    </row>
    <row r="898" spans="1:7" x14ac:dyDescent="0.25">
      <c r="A898">
        <v>69</v>
      </c>
      <c r="B898" t="s">
        <v>181</v>
      </c>
      <c r="C898">
        <v>130</v>
      </c>
      <c r="D898" t="s">
        <v>256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182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182</v>
      </c>
      <c r="C900">
        <v>20</v>
      </c>
      <c r="D900" t="s">
        <v>109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182</v>
      </c>
      <c r="C901">
        <v>30</v>
      </c>
      <c r="D901" t="s">
        <v>112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182</v>
      </c>
      <c r="C902">
        <v>40</v>
      </c>
      <c r="D902" t="s">
        <v>18</v>
      </c>
      <c r="E902" t="s">
        <v>15</v>
      </c>
      <c r="F902">
        <v>49.378</v>
      </c>
      <c r="G902" t="s">
        <v>14</v>
      </c>
    </row>
    <row r="903" spans="1:7" x14ac:dyDescent="0.25">
      <c r="A903">
        <v>70</v>
      </c>
      <c r="B903" t="s">
        <v>182</v>
      </c>
      <c r="C903">
        <v>50</v>
      </c>
      <c r="D903" t="s">
        <v>105</v>
      </c>
      <c r="E903" t="s">
        <v>106</v>
      </c>
      <c r="F903">
        <v>0.88200000000000001</v>
      </c>
      <c r="G903" t="s">
        <v>14</v>
      </c>
    </row>
    <row r="904" spans="1:7" x14ac:dyDescent="0.25">
      <c r="A904">
        <v>70</v>
      </c>
      <c r="B904" t="s">
        <v>182</v>
      </c>
      <c r="C904">
        <v>60</v>
      </c>
      <c r="D904" t="s">
        <v>107</v>
      </c>
      <c r="E904" t="s">
        <v>15</v>
      </c>
      <c r="F904">
        <v>12.598000000000001</v>
      </c>
      <c r="G904" t="s">
        <v>14</v>
      </c>
    </row>
    <row r="905" spans="1:7" x14ac:dyDescent="0.25">
      <c r="A905">
        <v>70</v>
      </c>
      <c r="B905" t="s">
        <v>182</v>
      </c>
      <c r="C905">
        <v>70</v>
      </c>
      <c r="D905" t="s">
        <v>18</v>
      </c>
      <c r="E905" t="s">
        <v>15</v>
      </c>
      <c r="F905">
        <v>77.48</v>
      </c>
      <c r="G905" t="s">
        <v>14</v>
      </c>
    </row>
    <row r="906" spans="1:7" x14ac:dyDescent="0.25">
      <c r="A906">
        <v>70</v>
      </c>
      <c r="B906" t="s">
        <v>182</v>
      </c>
      <c r="C906">
        <v>80</v>
      </c>
      <c r="D906" t="s">
        <v>111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182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182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182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182</v>
      </c>
      <c r="C910">
        <v>120</v>
      </c>
      <c r="D910" t="s">
        <v>110</v>
      </c>
      <c r="E910" t="s">
        <v>13</v>
      </c>
      <c r="F910">
        <v>1.2969999999999999</v>
      </c>
      <c r="G910" t="s">
        <v>14</v>
      </c>
    </row>
    <row r="911" spans="1:7" x14ac:dyDescent="0.25">
      <c r="A911">
        <v>70</v>
      </c>
      <c r="B911" t="s">
        <v>182</v>
      </c>
      <c r="C911">
        <v>130</v>
      </c>
      <c r="D911" t="s">
        <v>257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183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183</v>
      </c>
      <c r="C913">
        <v>20</v>
      </c>
      <c r="D913" t="s">
        <v>109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183</v>
      </c>
      <c r="C914">
        <v>30</v>
      </c>
      <c r="D914" t="s">
        <v>112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183</v>
      </c>
      <c r="C915">
        <v>40</v>
      </c>
      <c r="D915" t="s">
        <v>18</v>
      </c>
      <c r="E915" t="s">
        <v>15</v>
      </c>
      <c r="F915">
        <v>51.816000000000003</v>
      </c>
      <c r="G915" t="s">
        <v>14</v>
      </c>
    </row>
    <row r="916" spans="1:7" x14ac:dyDescent="0.25">
      <c r="A916">
        <v>71</v>
      </c>
      <c r="B916" t="s">
        <v>183</v>
      </c>
      <c r="C916">
        <v>50</v>
      </c>
      <c r="D916" t="s">
        <v>105</v>
      </c>
      <c r="E916" t="s">
        <v>106</v>
      </c>
      <c r="F916">
        <v>1.034</v>
      </c>
      <c r="G916" t="s">
        <v>14</v>
      </c>
    </row>
    <row r="917" spans="1:7" x14ac:dyDescent="0.25">
      <c r="A917">
        <v>71</v>
      </c>
      <c r="B917" t="s">
        <v>183</v>
      </c>
      <c r="C917">
        <v>60</v>
      </c>
      <c r="D917" t="s">
        <v>107</v>
      </c>
      <c r="E917" t="s">
        <v>15</v>
      </c>
      <c r="F917">
        <v>13.208</v>
      </c>
      <c r="G917" t="s">
        <v>14</v>
      </c>
    </row>
    <row r="918" spans="1:7" x14ac:dyDescent="0.25">
      <c r="A918">
        <v>71</v>
      </c>
      <c r="B918" t="s">
        <v>183</v>
      </c>
      <c r="C918">
        <v>70</v>
      </c>
      <c r="D918" t="s">
        <v>18</v>
      </c>
      <c r="E918" t="s">
        <v>15</v>
      </c>
      <c r="F918">
        <v>81.228999999999999</v>
      </c>
      <c r="G918" t="s">
        <v>14</v>
      </c>
    </row>
    <row r="919" spans="1:7" x14ac:dyDescent="0.25">
      <c r="A919">
        <v>71</v>
      </c>
      <c r="B919" t="s">
        <v>183</v>
      </c>
      <c r="C919">
        <v>80</v>
      </c>
      <c r="D919" t="s">
        <v>111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183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183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183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183</v>
      </c>
      <c r="C923">
        <v>120</v>
      </c>
      <c r="D923" t="s">
        <v>110</v>
      </c>
      <c r="E923" t="s">
        <v>13</v>
      </c>
      <c r="F923">
        <v>1.2969999999999999</v>
      </c>
      <c r="G923" t="s">
        <v>14</v>
      </c>
    </row>
    <row r="924" spans="1:7" x14ac:dyDescent="0.25">
      <c r="A924">
        <v>71</v>
      </c>
      <c r="B924" t="s">
        <v>183</v>
      </c>
      <c r="C924">
        <v>130</v>
      </c>
      <c r="D924" t="s">
        <v>258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184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184</v>
      </c>
      <c r="C926">
        <v>20</v>
      </c>
      <c r="D926" t="s">
        <v>109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184</v>
      </c>
      <c r="C927">
        <v>30</v>
      </c>
      <c r="D927" t="s">
        <v>112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184</v>
      </c>
      <c r="C928">
        <v>40</v>
      </c>
      <c r="D928" t="s">
        <v>18</v>
      </c>
      <c r="E928" t="s">
        <v>15</v>
      </c>
      <c r="F928">
        <v>54.253999999999998</v>
      </c>
      <c r="G928" t="s">
        <v>14</v>
      </c>
    </row>
    <row r="929" spans="1:7" x14ac:dyDescent="0.25">
      <c r="A929">
        <v>72</v>
      </c>
      <c r="B929" t="s">
        <v>184</v>
      </c>
      <c r="C929">
        <v>50</v>
      </c>
      <c r="D929" t="s">
        <v>105</v>
      </c>
      <c r="E929" t="s">
        <v>106</v>
      </c>
      <c r="F929">
        <v>1.1850000000000001</v>
      </c>
      <c r="G929" t="s">
        <v>14</v>
      </c>
    </row>
    <row r="930" spans="1:7" x14ac:dyDescent="0.25">
      <c r="A930">
        <v>72</v>
      </c>
      <c r="B930" t="s">
        <v>184</v>
      </c>
      <c r="C930">
        <v>60</v>
      </c>
      <c r="D930" t="s">
        <v>107</v>
      </c>
      <c r="E930" t="s">
        <v>15</v>
      </c>
      <c r="F930">
        <v>13.818</v>
      </c>
      <c r="G930" t="s">
        <v>14</v>
      </c>
    </row>
    <row r="931" spans="1:7" x14ac:dyDescent="0.25">
      <c r="A931">
        <v>72</v>
      </c>
      <c r="B931" t="s">
        <v>184</v>
      </c>
      <c r="C931">
        <v>70</v>
      </c>
      <c r="D931" t="s">
        <v>18</v>
      </c>
      <c r="E931" t="s">
        <v>15</v>
      </c>
      <c r="F931">
        <v>84.977999999999994</v>
      </c>
      <c r="G931" t="s">
        <v>14</v>
      </c>
    </row>
    <row r="932" spans="1:7" x14ac:dyDescent="0.25">
      <c r="A932">
        <v>72</v>
      </c>
      <c r="B932" t="s">
        <v>184</v>
      </c>
      <c r="C932">
        <v>80</v>
      </c>
      <c r="D932" t="s">
        <v>111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184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184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184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184</v>
      </c>
      <c r="C936">
        <v>120</v>
      </c>
      <c r="D936" t="s">
        <v>110</v>
      </c>
      <c r="E936" t="s">
        <v>13</v>
      </c>
      <c r="F936">
        <v>1.2969999999999999</v>
      </c>
      <c r="G936" t="s">
        <v>14</v>
      </c>
    </row>
    <row r="937" spans="1:7" x14ac:dyDescent="0.25">
      <c r="A937">
        <v>72</v>
      </c>
      <c r="B937" t="s">
        <v>184</v>
      </c>
      <c r="C937">
        <v>130</v>
      </c>
      <c r="D937" t="s">
        <v>259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185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185</v>
      </c>
      <c r="C939">
        <v>20</v>
      </c>
      <c r="D939" t="s">
        <v>109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185</v>
      </c>
      <c r="C940">
        <v>30</v>
      </c>
      <c r="D940" t="s">
        <v>112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185</v>
      </c>
      <c r="C941">
        <v>40</v>
      </c>
      <c r="D941" t="s">
        <v>18</v>
      </c>
      <c r="E941" t="s">
        <v>15</v>
      </c>
      <c r="F941">
        <v>59.131</v>
      </c>
      <c r="G941" t="s">
        <v>14</v>
      </c>
    </row>
    <row r="942" spans="1:7" x14ac:dyDescent="0.25">
      <c r="A942">
        <v>73</v>
      </c>
      <c r="B942" t="s">
        <v>185</v>
      </c>
      <c r="C942">
        <v>50</v>
      </c>
      <c r="D942" t="s">
        <v>105</v>
      </c>
      <c r="E942" t="s">
        <v>106</v>
      </c>
      <c r="F942">
        <v>1.4870000000000001</v>
      </c>
      <c r="G942" t="s">
        <v>14</v>
      </c>
    </row>
    <row r="943" spans="1:7" x14ac:dyDescent="0.25">
      <c r="A943">
        <v>73</v>
      </c>
      <c r="B943" t="s">
        <v>185</v>
      </c>
      <c r="C943">
        <v>60</v>
      </c>
      <c r="D943" t="s">
        <v>107</v>
      </c>
      <c r="E943" t="s">
        <v>15</v>
      </c>
      <c r="F943">
        <v>15.037000000000001</v>
      </c>
      <c r="G943" t="s">
        <v>14</v>
      </c>
    </row>
    <row r="944" spans="1:7" x14ac:dyDescent="0.25">
      <c r="A944">
        <v>73</v>
      </c>
      <c r="B944" t="s">
        <v>185</v>
      </c>
      <c r="C944">
        <v>70</v>
      </c>
      <c r="D944" t="s">
        <v>18</v>
      </c>
      <c r="E944" t="s">
        <v>15</v>
      </c>
      <c r="F944">
        <v>92.475999999999999</v>
      </c>
      <c r="G944" t="s">
        <v>14</v>
      </c>
    </row>
    <row r="945" spans="1:7" x14ac:dyDescent="0.25">
      <c r="A945">
        <v>73</v>
      </c>
      <c r="B945" t="s">
        <v>185</v>
      </c>
      <c r="C945">
        <v>80</v>
      </c>
      <c r="D945" t="s">
        <v>111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185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185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185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185</v>
      </c>
      <c r="C949">
        <v>120</v>
      </c>
      <c r="D949" t="s">
        <v>110</v>
      </c>
      <c r="E949" t="s">
        <v>13</v>
      </c>
      <c r="F949">
        <v>1.2969999999999999</v>
      </c>
      <c r="G949" t="s">
        <v>14</v>
      </c>
    </row>
    <row r="950" spans="1:7" x14ac:dyDescent="0.25">
      <c r="A950">
        <v>73</v>
      </c>
      <c r="B950" t="s">
        <v>185</v>
      </c>
      <c r="C950">
        <v>130</v>
      </c>
      <c r="D950" t="s">
        <v>260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186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186</v>
      </c>
      <c r="C952">
        <v>20</v>
      </c>
      <c r="D952" t="s">
        <v>109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186</v>
      </c>
      <c r="C953">
        <v>30</v>
      </c>
      <c r="D953" t="s">
        <v>112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186</v>
      </c>
      <c r="C954">
        <v>40</v>
      </c>
      <c r="D954" t="s">
        <v>18</v>
      </c>
      <c r="E954" t="s">
        <v>15</v>
      </c>
      <c r="F954">
        <v>61.57</v>
      </c>
      <c r="G954" t="s">
        <v>14</v>
      </c>
    </row>
    <row r="955" spans="1:7" x14ac:dyDescent="0.25">
      <c r="A955">
        <v>74</v>
      </c>
      <c r="B955" t="s">
        <v>186</v>
      </c>
      <c r="C955">
        <v>50</v>
      </c>
      <c r="D955" t="s">
        <v>105</v>
      </c>
      <c r="E955" t="s">
        <v>106</v>
      </c>
      <c r="F955">
        <v>1.639</v>
      </c>
      <c r="G955" t="s">
        <v>14</v>
      </c>
    </row>
    <row r="956" spans="1:7" x14ac:dyDescent="0.25">
      <c r="A956">
        <v>74</v>
      </c>
      <c r="B956" t="s">
        <v>186</v>
      </c>
      <c r="C956">
        <v>60</v>
      </c>
      <c r="D956" t="s">
        <v>107</v>
      </c>
      <c r="E956" t="s">
        <v>15</v>
      </c>
      <c r="F956">
        <v>15.646000000000001</v>
      </c>
      <c r="G956" t="s">
        <v>14</v>
      </c>
    </row>
    <row r="957" spans="1:7" x14ac:dyDescent="0.25">
      <c r="A957">
        <v>74</v>
      </c>
      <c r="B957" t="s">
        <v>186</v>
      </c>
      <c r="C957">
        <v>70</v>
      </c>
      <c r="D957" t="s">
        <v>18</v>
      </c>
      <c r="E957" t="s">
        <v>15</v>
      </c>
      <c r="F957">
        <v>96.224999999999994</v>
      </c>
      <c r="G957" t="s">
        <v>14</v>
      </c>
    </row>
    <row r="958" spans="1:7" x14ac:dyDescent="0.25">
      <c r="A958">
        <v>74</v>
      </c>
      <c r="B958" t="s">
        <v>186</v>
      </c>
      <c r="C958">
        <v>80</v>
      </c>
      <c r="D958" t="s">
        <v>111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186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186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186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186</v>
      </c>
      <c r="C962">
        <v>120</v>
      </c>
      <c r="D962" t="s">
        <v>110</v>
      </c>
      <c r="E962" t="s">
        <v>13</v>
      </c>
      <c r="F962">
        <v>1.2969999999999999</v>
      </c>
      <c r="G962" t="s">
        <v>14</v>
      </c>
    </row>
    <row r="963" spans="1:7" x14ac:dyDescent="0.25">
      <c r="A963">
        <v>74</v>
      </c>
      <c r="B963" t="s">
        <v>186</v>
      </c>
      <c r="C963">
        <v>130</v>
      </c>
      <c r="D963" t="s">
        <v>261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187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187</v>
      </c>
      <c r="C965">
        <v>20</v>
      </c>
      <c r="D965" t="s">
        <v>109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187</v>
      </c>
      <c r="C966">
        <v>30</v>
      </c>
      <c r="D966" t="s">
        <v>112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187</v>
      </c>
      <c r="C967">
        <v>40</v>
      </c>
      <c r="D967" t="s">
        <v>18</v>
      </c>
      <c r="E967" t="s">
        <v>15</v>
      </c>
      <c r="F967">
        <v>64.007999999999996</v>
      </c>
      <c r="G967" t="s">
        <v>14</v>
      </c>
    </row>
    <row r="968" spans="1:7" x14ac:dyDescent="0.25">
      <c r="A968">
        <v>75</v>
      </c>
      <c r="B968" t="s">
        <v>187</v>
      </c>
      <c r="C968">
        <v>50</v>
      </c>
      <c r="D968" t="s">
        <v>105</v>
      </c>
      <c r="E968" t="s">
        <v>106</v>
      </c>
      <c r="F968">
        <v>1.79</v>
      </c>
      <c r="G968" t="s">
        <v>14</v>
      </c>
    </row>
    <row r="969" spans="1:7" x14ac:dyDescent="0.25">
      <c r="A969">
        <v>75</v>
      </c>
      <c r="B969" t="s">
        <v>187</v>
      </c>
      <c r="C969">
        <v>60</v>
      </c>
      <c r="D969" t="s">
        <v>107</v>
      </c>
      <c r="E969" t="s">
        <v>15</v>
      </c>
      <c r="F969">
        <v>16.256</v>
      </c>
      <c r="G969" t="s">
        <v>14</v>
      </c>
    </row>
    <row r="970" spans="1:7" x14ac:dyDescent="0.25">
      <c r="A970">
        <v>75</v>
      </c>
      <c r="B970" t="s">
        <v>187</v>
      </c>
      <c r="C970">
        <v>70</v>
      </c>
      <c r="D970" t="s">
        <v>18</v>
      </c>
      <c r="E970" t="s">
        <v>15</v>
      </c>
      <c r="F970">
        <v>99.974000000000004</v>
      </c>
      <c r="G970" t="s">
        <v>14</v>
      </c>
    </row>
    <row r="971" spans="1:7" x14ac:dyDescent="0.25">
      <c r="A971">
        <v>75</v>
      </c>
      <c r="B971" t="s">
        <v>187</v>
      </c>
      <c r="C971">
        <v>80</v>
      </c>
      <c r="D971" t="s">
        <v>111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187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187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187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187</v>
      </c>
      <c r="C975">
        <v>120</v>
      </c>
      <c r="D975" t="s">
        <v>110</v>
      </c>
      <c r="E975" t="s">
        <v>13</v>
      </c>
      <c r="F975">
        <v>1.2969999999999999</v>
      </c>
      <c r="G975" t="s">
        <v>14</v>
      </c>
    </row>
    <row r="976" spans="1:7" x14ac:dyDescent="0.25">
      <c r="A976">
        <v>75</v>
      </c>
      <c r="B976" t="s">
        <v>187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7" sqref="N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6.855468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26</v>
      </c>
      <c r="B1" s="46" t="s">
        <v>27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28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29</v>
      </c>
      <c r="C2" s="43" t="s">
        <v>30</v>
      </c>
      <c r="D2" s="43" t="s">
        <v>31</v>
      </c>
      <c r="E2" s="43" t="s">
        <v>30</v>
      </c>
      <c r="F2" s="43" t="s">
        <v>31</v>
      </c>
      <c r="G2" s="43" t="s">
        <v>29</v>
      </c>
      <c r="H2" s="43" t="s">
        <v>31</v>
      </c>
      <c r="I2" s="43" t="s">
        <v>31</v>
      </c>
      <c r="J2" s="43" t="s">
        <v>31</v>
      </c>
      <c r="K2" s="43" t="s">
        <v>31</v>
      </c>
      <c r="L2" s="43" t="s">
        <v>29</v>
      </c>
      <c r="M2" s="44" t="s">
        <v>32</v>
      </c>
      <c r="N2" s="27" t="s">
        <v>32</v>
      </c>
      <c r="O2" s="44" t="s">
        <v>32</v>
      </c>
      <c r="P2" s="44" t="s">
        <v>33</v>
      </c>
      <c r="Q2" s="44" t="s">
        <v>32</v>
      </c>
      <c r="R2" s="44" t="s">
        <v>33</v>
      </c>
      <c r="S2" s="44" t="s">
        <v>32</v>
      </c>
      <c r="T2" s="44" t="s">
        <v>32</v>
      </c>
      <c r="U2" s="44" t="s">
        <v>33</v>
      </c>
      <c r="V2" s="44" t="s">
        <v>32</v>
      </c>
      <c r="W2" s="44" t="s">
        <v>32</v>
      </c>
      <c r="X2" s="44" t="s">
        <v>32</v>
      </c>
      <c r="Y2" s="44" t="s">
        <v>33</v>
      </c>
      <c r="Z2" s="44" t="s">
        <v>34</v>
      </c>
      <c r="AA2" s="44" t="s">
        <v>32</v>
      </c>
      <c r="AB2" s="44" t="s">
        <v>32</v>
      </c>
      <c r="AC2" s="44" t="s">
        <v>32</v>
      </c>
      <c r="AD2" s="44" t="s">
        <v>32</v>
      </c>
      <c r="AE2" s="44" t="s">
        <v>32</v>
      </c>
      <c r="AF2" s="44" t="s">
        <v>32</v>
      </c>
      <c r="AG2" s="44" t="s">
        <v>34</v>
      </c>
      <c r="AH2" s="44" t="s">
        <v>34</v>
      </c>
      <c r="AI2" s="44" t="s">
        <v>34</v>
      </c>
      <c r="AJ2" s="44" t="s">
        <v>32</v>
      </c>
      <c r="AK2" s="44" t="s">
        <v>32</v>
      </c>
      <c r="AL2" s="44" t="s">
        <v>32</v>
      </c>
    </row>
    <row r="3" spans="1:38" x14ac:dyDescent="0.25">
      <c r="A3" s="45"/>
      <c r="B3" s="43" t="s">
        <v>35</v>
      </c>
      <c r="C3" s="43" t="s">
        <v>36</v>
      </c>
      <c r="D3" s="43" t="s">
        <v>37</v>
      </c>
      <c r="E3" s="43" t="s">
        <v>36</v>
      </c>
      <c r="F3" s="43" t="s">
        <v>38</v>
      </c>
      <c r="G3" s="43" t="s">
        <v>39</v>
      </c>
      <c r="H3" s="43" t="s">
        <v>40</v>
      </c>
      <c r="I3" s="43" t="s">
        <v>41</v>
      </c>
      <c r="J3" s="43" t="s">
        <v>36</v>
      </c>
      <c r="K3" s="43" t="s">
        <v>36</v>
      </c>
      <c r="L3" s="43" t="s">
        <v>42</v>
      </c>
      <c r="M3" s="44" t="s">
        <v>43</v>
      </c>
      <c r="N3" s="27" t="s">
        <v>36</v>
      </c>
      <c r="O3" s="44" t="s">
        <v>38</v>
      </c>
      <c r="P3" s="44" t="s">
        <v>44</v>
      </c>
      <c r="Q3" s="44" t="s">
        <v>41</v>
      </c>
      <c r="R3" s="44" t="s">
        <v>40</v>
      </c>
      <c r="S3" s="44" t="s">
        <v>45</v>
      </c>
      <c r="T3" s="44" t="s">
        <v>43</v>
      </c>
      <c r="U3" s="44" t="s">
        <v>46</v>
      </c>
      <c r="V3" s="44" t="s">
        <v>40</v>
      </c>
      <c r="W3" s="44" t="s">
        <v>41</v>
      </c>
      <c r="X3" s="44" t="s">
        <v>41</v>
      </c>
      <c r="Y3" s="44" t="s">
        <v>35</v>
      </c>
      <c r="Z3" s="44" t="s">
        <v>42</v>
      </c>
      <c r="AA3" s="44" t="s">
        <v>47</v>
      </c>
      <c r="AB3" s="44" t="s">
        <v>47</v>
      </c>
      <c r="AC3" s="44" t="s">
        <v>41</v>
      </c>
      <c r="AD3" s="44" t="s">
        <v>41</v>
      </c>
      <c r="AE3" s="44" t="s">
        <v>46</v>
      </c>
      <c r="AF3" s="44" t="s">
        <v>45</v>
      </c>
      <c r="AG3" s="44" t="s">
        <v>35</v>
      </c>
      <c r="AH3" s="44" t="s">
        <v>42</v>
      </c>
      <c r="AI3" s="44" t="s">
        <v>42</v>
      </c>
      <c r="AJ3" s="44" t="s">
        <v>36</v>
      </c>
      <c r="AK3" s="44" t="s">
        <v>38</v>
      </c>
      <c r="AL3" s="44" t="s">
        <v>48</v>
      </c>
    </row>
    <row r="4" spans="1:38" x14ac:dyDescent="0.25">
      <c r="A4" s="45"/>
      <c r="B4" s="28" t="s">
        <v>49</v>
      </c>
      <c r="C4" s="28" t="s">
        <v>50</v>
      </c>
      <c r="D4" s="43" t="s">
        <v>51</v>
      </c>
      <c r="E4" s="28" t="s">
        <v>3</v>
      </c>
      <c r="F4" s="43" t="s">
        <v>52</v>
      </c>
      <c r="G4" s="28" t="s">
        <v>53</v>
      </c>
      <c r="H4" s="28" t="s">
        <v>6</v>
      </c>
      <c r="I4" s="28" t="s">
        <v>54</v>
      </c>
      <c r="J4" s="43" t="s">
        <v>55</v>
      </c>
      <c r="K4" s="43" t="s">
        <v>56</v>
      </c>
      <c r="L4" s="43" t="s">
        <v>57</v>
      </c>
      <c r="M4" s="29" t="s">
        <v>58</v>
      </c>
      <c r="N4" s="30" t="s">
        <v>3</v>
      </c>
      <c r="O4" s="44" t="s">
        <v>52</v>
      </c>
      <c r="P4" s="44" t="s">
        <v>59</v>
      </c>
      <c r="Q4" s="44" t="s">
        <v>60</v>
      </c>
      <c r="R4" s="44" t="s">
        <v>4</v>
      </c>
      <c r="S4" s="44" t="s">
        <v>61</v>
      </c>
      <c r="T4" s="44" t="s">
        <v>62</v>
      </c>
      <c r="U4" s="44" t="s">
        <v>63</v>
      </c>
      <c r="V4" s="44" t="s">
        <v>6</v>
      </c>
      <c r="W4" s="44" t="s">
        <v>64</v>
      </c>
      <c r="X4" s="44" t="s">
        <v>65</v>
      </c>
      <c r="Y4" s="44" t="s">
        <v>66</v>
      </c>
      <c r="Z4" s="44" t="s">
        <v>67</v>
      </c>
      <c r="AA4" s="44" t="s">
        <v>68</v>
      </c>
      <c r="AB4" s="44" t="s">
        <v>69</v>
      </c>
      <c r="AC4" s="44" t="s">
        <v>70</v>
      </c>
      <c r="AD4" s="44" t="s">
        <v>71</v>
      </c>
      <c r="AE4" s="44" t="s">
        <v>72</v>
      </c>
      <c r="AF4" s="44" t="s">
        <v>73</v>
      </c>
      <c r="AG4" s="44" t="s">
        <v>74</v>
      </c>
      <c r="AH4" s="44" t="s">
        <v>75</v>
      </c>
      <c r="AI4" s="44" t="s">
        <v>76</v>
      </c>
      <c r="AJ4" s="44" t="s">
        <v>77</v>
      </c>
      <c r="AK4" s="44" t="s">
        <v>78</v>
      </c>
      <c r="AL4" s="44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112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43.281999999999996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105</v>
      </c>
      <c r="O9" s="3"/>
      <c r="P9" s="3"/>
      <c r="Q9" s="3">
        <v>0.69</v>
      </c>
      <c r="R9" s="3" t="s">
        <v>106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11.074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68.108000000000004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110</v>
      </c>
      <c r="O16" s="3"/>
      <c r="P16" s="3"/>
      <c r="Q16" s="3">
        <v>0.60799999999999998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188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109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112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18</v>
      </c>
      <c r="O21" s="3"/>
      <c r="P21" s="3"/>
      <c r="Q21" s="3">
        <v>45.72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105</v>
      </c>
      <c r="O22" s="3"/>
      <c r="P22" s="3"/>
      <c r="Q22" s="3">
        <v>0.82</v>
      </c>
      <c r="R22" s="3" t="s">
        <v>106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11.683999999999999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71.856999999999999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111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110</v>
      </c>
      <c r="O29" s="3"/>
      <c r="P29" s="3"/>
      <c r="Q29" s="3">
        <v>0.68899999999999995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189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109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112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18</v>
      </c>
      <c r="O34" s="3"/>
      <c r="P34" s="3"/>
      <c r="Q34" s="3">
        <v>48.158000000000001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105</v>
      </c>
      <c r="O35" s="3"/>
      <c r="P35" s="3"/>
      <c r="Q35" s="3">
        <v>0.94899999999999995</v>
      </c>
      <c r="R35" s="3" t="s">
        <v>106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12.294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75.605999999999995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111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110</v>
      </c>
      <c r="O42" s="3"/>
      <c r="P42" s="3"/>
      <c r="Q42" s="3">
        <v>0.77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190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109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112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18</v>
      </c>
      <c r="O47" s="3"/>
      <c r="P47" s="3"/>
      <c r="Q47" s="3">
        <v>50.597000000000001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105</v>
      </c>
      <c r="O48" s="3"/>
      <c r="P48" s="3"/>
      <c r="Q48" s="3">
        <v>1.0780000000000001</v>
      </c>
      <c r="R48" s="3" t="s">
        <v>106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12.903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79.355000000000004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111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110</v>
      </c>
      <c r="O55" s="3"/>
      <c r="P55" s="3"/>
      <c r="Q55" s="3">
        <v>0.85099999999999998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191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109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112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18</v>
      </c>
      <c r="O60" s="3"/>
      <c r="P60" s="3"/>
      <c r="Q60" s="3">
        <v>51.816000000000003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105</v>
      </c>
      <c r="O61" s="3"/>
      <c r="P61" s="3"/>
      <c r="Q61" s="3">
        <v>1.143</v>
      </c>
      <c r="R61" s="3" t="s">
        <v>106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13.208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81.228999999999999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111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110</v>
      </c>
      <c r="O68" s="3"/>
      <c r="P68" s="3"/>
      <c r="Q68" s="3">
        <v>0.89200000000000002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192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109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112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18</v>
      </c>
      <c r="O73" s="3"/>
      <c r="P73" s="3"/>
      <c r="Q73" s="3">
        <v>53.034999999999997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105</v>
      </c>
      <c r="O74" s="3"/>
      <c r="P74" s="3"/>
      <c r="Q74" s="3">
        <v>1.208</v>
      </c>
      <c r="R74" s="3" t="s">
        <v>106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13.513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83.103999999999999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111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110</v>
      </c>
      <c r="O81" s="3"/>
      <c r="P81" s="3"/>
      <c r="Q81" s="3">
        <v>0.93200000000000005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193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109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112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18</v>
      </c>
      <c r="O86" s="3"/>
      <c r="P86" s="3"/>
      <c r="Q86" s="3">
        <v>55.473999999999997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105</v>
      </c>
      <c r="O87" s="3"/>
      <c r="P87" s="3"/>
      <c r="Q87" s="3">
        <v>1.337</v>
      </c>
      <c r="R87" s="3" t="s">
        <v>106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14.122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86.852999999999994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111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110</v>
      </c>
      <c r="O94" s="3"/>
      <c r="P94" s="3"/>
      <c r="Q94" s="3">
        <v>1.0129999999999999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194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109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112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18</v>
      </c>
      <c r="O99" s="3"/>
      <c r="P99" s="3"/>
      <c r="Q99" s="3">
        <v>57.911999999999999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105</v>
      </c>
      <c r="O100" s="3"/>
      <c r="P100" s="3"/>
      <c r="Q100" s="3">
        <v>1.4670000000000001</v>
      </c>
      <c r="R100" s="3" t="s">
        <v>106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14.731999999999999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90.602000000000004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111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110</v>
      </c>
      <c r="O107" s="3"/>
      <c r="P107" s="3"/>
      <c r="Q107" s="3">
        <v>1.0940000000000001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195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109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112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18</v>
      </c>
      <c r="O112" s="3"/>
      <c r="P112" s="3"/>
      <c r="Q112" s="3">
        <v>44.500999999999998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105</v>
      </c>
      <c r="O113" s="3"/>
      <c r="P113" s="3"/>
      <c r="Q113" s="3">
        <v>0.71899999999999997</v>
      </c>
      <c r="R113" s="3" t="s">
        <v>106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11.379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69.981999999999999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111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110</v>
      </c>
      <c r="O120" s="3"/>
      <c r="P120" s="3"/>
      <c r="Q120" s="3">
        <v>0.60799999999999998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196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109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112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18</v>
      </c>
      <c r="O125" s="3"/>
      <c r="P125" s="3"/>
      <c r="Q125" s="3">
        <v>46.939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105</v>
      </c>
      <c r="O126" s="3"/>
      <c r="P126" s="3"/>
      <c r="Q126" s="3">
        <v>0.85399999999999998</v>
      </c>
      <c r="R126" s="3" t="s">
        <v>106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11.989000000000001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73.730999999999995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111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110</v>
      </c>
      <c r="O133" s="3"/>
      <c r="P133" s="3"/>
      <c r="Q133" s="3">
        <v>0.68899999999999995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197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109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112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18</v>
      </c>
      <c r="O138" s="3"/>
      <c r="P138" s="3"/>
      <c r="Q138" s="3">
        <v>49.378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105</v>
      </c>
      <c r="O139" s="3"/>
      <c r="P139" s="3"/>
      <c r="Q139" s="3">
        <v>0.98899999999999999</v>
      </c>
      <c r="R139" s="3" t="s">
        <v>106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12.598000000000001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77.48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110</v>
      </c>
      <c r="O146" s="3"/>
      <c r="P146" s="3"/>
      <c r="Q146" s="3">
        <v>0.77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198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109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112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18</v>
      </c>
      <c r="O151" s="3"/>
      <c r="P151" s="3"/>
      <c r="Q151" s="3">
        <v>51.816000000000003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105</v>
      </c>
      <c r="O152" s="3"/>
      <c r="P152" s="3"/>
      <c r="Q152" s="3">
        <v>1.1240000000000001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13.208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81.228999999999999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110</v>
      </c>
      <c r="O159" s="3"/>
      <c r="P159" s="3"/>
      <c r="Q159" s="3">
        <v>0.85099999999999998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199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112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53.034999999999997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105</v>
      </c>
      <c r="O165" s="3"/>
      <c r="P165" s="3"/>
      <c r="Q165" s="3">
        <v>1.1910000000000001</v>
      </c>
      <c r="R165" s="3" t="s">
        <v>106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13.513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83.103999999999999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110</v>
      </c>
      <c r="O172" s="3"/>
      <c r="P172" s="3"/>
      <c r="Q172" s="3">
        <v>0.89200000000000002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200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109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112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18</v>
      </c>
      <c r="O177" s="3"/>
      <c r="P177" s="3"/>
      <c r="Q177" s="3">
        <v>54.253999999999998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105</v>
      </c>
      <c r="O178" s="3"/>
      <c r="P178" s="3"/>
      <c r="Q178" s="3">
        <v>1.2589999999999999</v>
      </c>
      <c r="R178" s="3" t="s">
        <v>106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13.818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84.977999999999994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110</v>
      </c>
      <c r="O185" s="3"/>
      <c r="P185" s="3"/>
      <c r="Q185" s="3">
        <v>0.93200000000000005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201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109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112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18</v>
      </c>
      <c r="O190" s="3"/>
      <c r="P190" s="3"/>
      <c r="Q190" s="3">
        <v>56.692999999999998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105</v>
      </c>
      <c r="O191" s="3"/>
      <c r="P191" s="3"/>
      <c r="Q191" s="3">
        <v>1.3939999999999999</v>
      </c>
      <c r="R191" s="3" t="s">
        <v>106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14.427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88.727000000000004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110</v>
      </c>
      <c r="O198" s="3"/>
      <c r="P198" s="3"/>
      <c r="Q198" s="3">
        <v>1.0129999999999999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202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109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112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18</v>
      </c>
      <c r="O203" s="3"/>
      <c r="P203" s="3"/>
      <c r="Q203" s="3">
        <v>59.131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105</v>
      </c>
      <c r="O204" s="3"/>
      <c r="P204" s="3"/>
      <c r="Q204" s="3">
        <v>1.528</v>
      </c>
      <c r="R204" s="3" t="s">
        <v>106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15.037000000000001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92.475999999999999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111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110</v>
      </c>
      <c r="O211" s="3"/>
      <c r="P211" s="3"/>
      <c r="Q211" s="3">
        <v>1.0940000000000001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203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109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112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18</v>
      </c>
      <c r="O216" s="3"/>
      <c r="P216" s="3"/>
      <c r="Q216" s="3">
        <v>45.72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105</v>
      </c>
      <c r="O217" s="3"/>
      <c r="P217" s="3"/>
      <c r="Q217" s="3">
        <v>0.748</v>
      </c>
      <c r="R217" s="3" t="s">
        <v>106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11.683999999999999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71.856999999999999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111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110</v>
      </c>
      <c r="O224" s="3"/>
      <c r="P224" s="3"/>
      <c r="Q224" s="3">
        <v>0.60799999999999998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204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109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112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18</v>
      </c>
      <c r="O229" s="3"/>
      <c r="P229" s="3"/>
      <c r="Q229" s="3">
        <v>48.158000000000001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105</v>
      </c>
      <c r="O230" s="3"/>
      <c r="P230" s="3"/>
      <c r="Q230" s="3">
        <v>0.88900000000000001</v>
      </c>
      <c r="R230" s="3" t="s">
        <v>106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12.294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75.605999999999995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111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110</v>
      </c>
      <c r="O237" s="3"/>
      <c r="P237" s="3"/>
      <c r="Q237" s="3">
        <v>0.68899999999999995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205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109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112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18</v>
      </c>
      <c r="O242" s="3"/>
      <c r="P242" s="3"/>
      <c r="Q242" s="3">
        <v>50.597000000000001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105</v>
      </c>
      <c r="O243" s="3"/>
      <c r="P243" s="3"/>
      <c r="Q243" s="3">
        <v>1.0289999999999999</v>
      </c>
      <c r="R243" s="3" t="s">
        <v>106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12.903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79.355000000000004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110</v>
      </c>
      <c r="O250" s="3"/>
      <c r="P250" s="3"/>
      <c r="Q250" s="3">
        <v>0.77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206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109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112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18</v>
      </c>
      <c r="O255" s="3"/>
      <c r="P255" s="3"/>
      <c r="Q255" s="3">
        <v>53.034999999999997</v>
      </c>
      <c r="R255" s="3" t="s">
        <v>15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105</v>
      </c>
      <c r="O256" s="3"/>
      <c r="P256" s="3"/>
      <c r="Q256" s="3">
        <v>1.169</v>
      </c>
      <c r="R256" s="3" t="s">
        <v>106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13.513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83.103999999999999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111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110</v>
      </c>
      <c r="O263" s="3"/>
      <c r="P263" s="3"/>
      <c r="Q263" s="3">
        <v>0.85099999999999998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207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109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112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18</v>
      </c>
      <c r="O268" s="3"/>
      <c r="P268" s="3"/>
      <c r="Q268" s="3">
        <v>54.253999999999998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105</v>
      </c>
      <c r="O269" s="3"/>
      <c r="P269" s="3"/>
      <c r="Q269" s="3">
        <v>1.24</v>
      </c>
      <c r="R269" s="3" t="s">
        <v>106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13.818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84.977999999999994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111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110</v>
      </c>
      <c r="O276" s="3"/>
      <c r="P276" s="3"/>
      <c r="Q276" s="3">
        <v>0.89200000000000002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208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109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112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18</v>
      </c>
      <c r="O281" s="3"/>
      <c r="P281" s="3"/>
      <c r="Q281" s="3">
        <v>55.473999999999997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105</v>
      </c>
      <c r="O282" s="3"/>
      <c r="P282" s="3"/>
      <c r="Q282" s="3">
        <v>1.31</v>
      </c>
      <c r="R282" s="3" t="s">
        <v>106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14.122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86.852999999999994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111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110</v>
      </c>
      <c r="O289" s="3"/>
      <c r="P289" s="3"/>
      <c r="Q289" s="3">
        <v>0.93200000000000005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209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109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112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18</v>
      </c>
      <c r="O294" s="3"/>
      <c r="P294" s="3"/>
      <c r="Q294" s="3">
        <v>57.911999999999999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105</v>
      </c>
      <c r="O295" s="3"/>
      <c r="P295" s="3"/>
      <c r="Q295" s="3">
        <v>1.45</v>
      </c>
      <c r="R295" s="3" t="s">
        <v>106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14.731999999999999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90.602000000000004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111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110</v>
      </c>
      <c r="O302" s="3"/>
      <c r="P302" s="3"/>
      <c r="Q302" s="3">
        <v>1.0129999999999999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210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109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112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18</v>
      </c>
      <c r="O307" s="3"/>
      <c r="P307" s="3"/>
      <c r="Q307" s="3">
        <v>60.35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105</v>
      </c>
      <c r="O308" s="3"/>
      <c r="P308" s="3"/>
      <c r="Q308" s="3">
        <v>1.59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15.342000000000001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94.350999999999999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110</v>
      </c>
      <c r="O315" s="3"/>
      <c r="P315" s="3"/>
      <c r="Q315" s="3">
        <v>1.0940000000000001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211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112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46.533000000000001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105</v>
      </c>
      <c r="O321" s="3"/>
      <c r="P321" s="3"/>
      <c r="Q321" s="3">
        <v>0.76800000000000002</v>
      </c>
      <c r="R321" s="3" t="s">
        <v>106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11.887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73.105999999999995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110</v>
      </c>
      <c r="O328" s="3"/>
      <c r="P328" s="3"/>
      <c r="Q328" s="3">
        <v>1.2430000000000001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212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109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112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18</v>
      </c>
      <c r="O333" s="3"/>
      <c r="P333" s="3"/>
      <c r="Q333" s="3">
        <v>48.970999999999997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105</v>
      </c>
      <c r="O334" s="3"/>
      <c r="P334" s="3"/>
      <c r="Q334" s="3">
        <v>0.91200000000000003</v>
      </c>
      <c r="R334" s="3" t="s">
        <v>106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12.497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76.855000000000004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111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110</v>
      </c>
      <c r="O341" s="3"/>
      <c r="P341" s="3"/>
      <c r="Q341" s="3">
        <v>1.2430000000000001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213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109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112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18</v>
      </c>
      <c r="O346" s="3"/>
      <c r="P346" s="3"/>
      <c r="Q346" s="3">
        <v>51.41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105</v>
      </c>
      <c r="O347" s="3"/>
      <c r="P347" s="3"/>
      <c r="Q347" s="3">
        <v>1.056</v>
      </c>
      <c r="R347" s="3" t="s">
        <v>106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13.106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80.603999999999999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110</v>
      </c>
      <c r="O354" s="3"/>
      <c r="P354" s="3"/>
      <c r="Q354" s="3">
        <v>1.2430000000000001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214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109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112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18</v>
      </c>
      <c r="O359" s="3"/>
      <c r="P359" s="3"/>
      <c r="Q359" s="3">
        <v>53.847999999999999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105</v>
      </c>
      <c r="O360" s="3"/>
      <c r="P360" s="3"/>
      <c r="Q360" s="3">
        <v>1.2</v>
      </c>
      <c r="R360" s="3" t="s">
        <v>106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13.715999999999999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84.352999999999994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110</v>
      </c>
      <c r="O367" s="3"/>
      <c r="P367" s="3"/>
      <c r="Q367" s="3">
        <v>1.2430000000000001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215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109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18</v>
      </c>
      <c r="O372" s="3"/>
      <c r="P372" s="3"/>
      <c r="Q372" s="3">
        <v>55.067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105</v>
      </c>
      <c r="O373" s="3"/>
      <c r="P373" s="3"/>
      <c r="Q373" s="3">
        <v>1.272</v>
      </c>
      <c r="R373" s="3" t="s">
        <v>106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14.021000000000001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86.227999999999994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111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110</v>
      </c>
      <c r="O380" s="3"/>
      <c r="P380" s="3"/>
      <c r="Q380" s="3">
        <v>1.2430000000000001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216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109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112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18</v>
      </c>
      <c r="O385" s="3"/>
      <c r="P385" s="3"/>
      <c r="Q385" s="3">
        <v>56.286000000000001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105</v>
      </c>
      <c r="O386" s="3"/>
      <c r="P386" s="3"/>
      <c r="Q386" s="3">
        <v>1.3440000000000001</v>
      </c>
      <c r="R386" s="3" t="s">
        <v>106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14.326000000000001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88.102000000000004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110</v>
      </c>
      <c r="O393" s="3"/>
      <c r="P393" s="3"/>
      <c r="Q393" s="3">
        <v>1.2430000000000001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217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109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112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18</v>
      </c>
      <c r="O398" s="3"/>
      <c r="P398" s="3"/>
      <c r="Q398" s="3">
        <v>58.725000000000001</v>
      </c>
      <c r="R398" s="3" t="s">
        <v>15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105</v>
      </c>
      <c r="O399" s="3"/>
      <c r="P399" s="3"/>
      <c r="Q399" s="3">
        <v>1.488</v>
      </c>
      <c r="R399" s="3" t="s">
        <v>106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14.935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91.850999999999999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111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110</v>
      </c>
      <c r="O406" s="3"/>
      <c r="P406" s="3"/>
      <c r="Q406" s="3">
        <v>1.2430000000000001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218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109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112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18</v>
      </c>
      <c r="O411" s="3"/>
      <c r="P411" s="3"/>
      <c r="Q411" s="3">
        <v>61.162999999999997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105</v>
      </c>
      <c r="O412" s="3"/>
      <c r="P412" s="3"/>
      <c r="Q412" s="3">
        <v>1.6319999999999999</v>
      </c>
      <c r="R412" s="3" t="s">
        <v>106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15.545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95.600999999999999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111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110</v>
      </c>
      <c r="O419" s="3"/>
      <c r="P419" s="3"/>
      <c r="Q419" s="3">
        <v>1.2430000000000001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219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109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112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18</v>
      </c>
      <c r="O424" s="3"/>
      <c r="P424" s="3"/>
      <c r="Q424" s="3">
        <v>48.158000000000001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105</v>
      </c>
      <c r="O425" s="3"/>
      <c r="P425" s="3"/>
      <c r="Q425" s="3">
        <v>0.80700000000000005</v>
      </c>
      <c r="R425" s="3" t="s">
        <v>106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12.294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75.605999999999995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111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110</v>
      </c>
      <c r="O432" s="3"/>
      <c r="P432" s="3"/>
      <c r="Q432" s="3">
        <v>1.2969999999999999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220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109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112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18</v>
      </c>
      <c r="O437" s="3"/>
      <c r="P437" s="3"/>
      <c r="Q437" s="3">
        <v>50.597000000000001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105</v>
      </c>
      <c r="O438" s="3"/>
      <c r="P438" s="3"/>
      <c r="Q438" s="3">
        <v>0.95799999999999996</v>
      </c>
      <c r="R438" s="3" t="s">
        <v>106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12.903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79.355000000000004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111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110</v>
      </c>
      <c r="O445" s="3"/>
      <c r="P445" s="3"/>
      <c r="Q445" s="3">
        <v>1.2969999999999999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109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112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18</v>
      </c>
      <c r="O450" s="3"/>
      <c r="P450" s="3"/>
      <c r="Q450" s="3">
        <v>53.034999999999997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105</v>
      </c>
      <c r="O451" s="3"/>
      <c r="P451" s="3"/>
      <c r="Q451" s="3">
        <v>1.109</v>
      </c>
      <c r="R451" s="3" t="s">
        <v>106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13.513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83.103999999999999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111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110</v>
      </c>
      <c r="O458" s="3"/>
      <c r="P458" s="3"/>
      <c r="Q458" s="3">
        <v>1.2969999999999999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109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112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18</v>
      </c>
      <c r="O463" s="3"/>
      <c r="P463" s="3"/>
      <c r="Q463" s="3">
        <v>55.473999999999997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105</v>
      </c>
      <c r="O464" s="3"/>
      <c r="P464" s="3"/>
      <c r="Q464" s="3">
        <v>1.2609999999999999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14.122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86.852999999999994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110</v>
      </c>
      <c r="O471" s="3"/>
      <c r="P471" s="3"/>
      <c r="Q471" s="3">
        <v>1.2969999999999999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223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112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56.692999999999998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105</v>
      </c>
      <c r="O477" s="3"/>
      <c r="P477" s="3"/>
      <c r="Q477" s="3">
        <v>1.3360000000000001</v>
      </c>
      <c r="R477" s="3" t="s">
        <v>106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14.427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88.727000000000004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110</v>
      </c>
      <c r="O484" s="3"/>
      <c r="P484" s="3"/>
      <c r="Q484" s="3">
        <v>1.2969999999999999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149</v>
      </c>
      <c r="D485" s="3"/>
      <c r="E485" s="3" t="s">
        <v>149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224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109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112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18</v>
      </c>
      <c r="O489" s="3"/>
      <c r="P489" s="3"/>
      <c r="Q489" s="3">
        <v>57.911999999999999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105</v>
      </c>
      <c r="O490" s="3"/>
      <c r="P490" s="3"/>
      <c r="Q490" s="3">
        <v>1.4119999999999999</v>
      </c>
      <c r="R490" s="3" t="s">
        <v>106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14.731999999999999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90.602000000000004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110</v>
      </c>
      <c r="O497" s="3"/>
      <c r="P497" s="3"/>
      <c r="Q497" s="3">
        <v>1.2969999999999999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225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109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112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18</v>
      </c>
      <c r="O502" s="3"/>
      <c r="P502" s="3"/>
      <c r="Q502" s="3">
        <v>60.35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105</v>
      </c>
      <c r="O503" s="3"/>
      <c r="P503" s="3"/>
      <c r="Q503" s="3">
        <v>1.5629999999999999</v>
      </c>
      <c r="R503" s="3" t="s">
        <v>106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15.342000000000001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94.350999999999999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111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110</v>
      </c>
      <c r="O510" s="3"/>
      <c r="P510" s="3"/>
      <c r="Q510" s="3">
        <v>1.2969999999999999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226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109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112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18</v>
      </c>
      <c r="O515" s="3"/>
      <c r="P515" s="3"/>
      <c r="Q515" s="3">
        <v>62.789000000000001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105</v>
      </c>
      <c r="O516" s="3"/>
      <c r="P516" s="3"/>
      <c r="Q516" s="3">
        <v>1.714</v>
      </c>
      <c r="R516" s="3" t="s">
        <v>106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15.951000000000001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98.1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111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152</v>
      </c>
      <c r="D523" s="3"/>
      <c r="E523" s="3" t="s">
        <v>152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110</v>
      </c>
      <c r="O523" s="3"/>
      <c r="P523" s="3"/>
      <c r="Q523" s="3">
        <v>1.2969999999999999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152</v>
      </c>
      <c r="D524" s="3"/>
      <c r="E524" s="3" t="s">
        <v>152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227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109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112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18</v>
      </c>
      <c r="O528" s="3"/>
      <c r="P528" s="3"/>
      <c r="Q528" s="3">
        <v>42.061999999999998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105</v>
      </c>
      <c r="O529" s="3"/>
      <c r="P529" s="3"/>
      <c r="Q529" s="3">
        <v>0.625</v>
      </c>
      <c r="R529" s="3" t="s">
        <v>106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10.77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66.233000000000004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110</v>
      </c>
      <c r="O536" s="3"/>
      <c r="P536" s="3"/>
      <c r="Q536" s="3">
        <v>0.56699999999999995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153</v>
      </c>
      <c r="D537" s="3"/>
      <c r="E537" s="3" t="s">
        <v>153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228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109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112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18</v>
      </c>
      <c r="O541" s="3"/>
      <c r="P541" s="3"/>
      <c r="Q541" s="3">
        <v>44.500999999999998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105</v>
      </c>
      <c r="O542" s="3"/>
      <c r="P542" s="3"/>
      <c r="Q542" s="3">
        <v>0.755</v>
      </c>
      <c r="R542" s="3" t="s">
        <v>106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11.379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69.981999999999999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111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110</v>
      </c>
      <c r="O549" s="3"/>
      <c r="P549" s="3"/>
      <c r="Q549" s="3">
        <v>0.64900000000000002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229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109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112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18</v>
      </c>
      <c r="O554" s="3"/>
      <c r="P554" s="3"/>
      <c r="Q554" s="3">
        <v>46.939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105</v>
      </c>
      <c r="O555" s="3"/>
      <c r="P555" s="3"/>
      <c r="Q555" s="3">
        <v>0.88400000000000001</v>
      </c>
      <c r="R555" s="3" t="s">
        <v>106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11.989000000000001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73.730999999999995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111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110</v>
      </c>
      <c r="O562" s="3"/>
      <c r="P562" s="3"/>
      <c r="Q562" s="3">
        <v>0.73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230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109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112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18</v>
      </c>
      <c r="O567" s="3"/>
      <c r="P567" s="3"/>
      <c r="Q567" s="3">
        <v>49.378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105</v>
      </c>
      <c r="O568" s="3"/>
      <c r="P568" s="3"/>
      <c r="Q568" s="3">
        <v>1.014</v>
      </c>
      <c r="R568" s="3" t="s">
        <v>106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12.598000000000001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77.48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111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110</v>
      </c>
      <c r="O575" s="3"/>
      <c r="P575" s="3"/>
      <c r="Q575" s="3">
        <v>0.81100000000000005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231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109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112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18</v>
      </c>
      <c r="O580" s="3"/>
      <c r="P580" s="3"/>
      <c r="Q580" s="3">
        <v>54.253999999999998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105</v>
      </c>
      <c r="O581" s="3"/>
      <c r="P581" s="3"/>
      <c r="Q581" s="3">
        <v>1.272</v>
      </c>
      <c r="R581" s="3" t="s">
        <v>106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13.818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84.977999999999994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110</v>
      </c>
      <c r="O588" s="3"/>
      <c r="P588" s="3"/>
      <c r="Q588" s="3">
        <v>0.97299999999999998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232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109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112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18</v>
      </c>
      <c r="O593" s="3"/>
      <c r="P593" s="3"/>
      <c r="Q593" s="3">
        <v>56.692999999999998</v>
      </c>
      <c r="R593" s="3" t="s">
        <v>15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105</v>
      </c>
      <c r="O594" s="3"/>
      <c r="P594" s="3"/>
      <c r="Q594" s="3">
        <v>1.4019999999999999</v>
      </c>
      <c r="R594" s="3" t="s">
        <v>106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14.427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88.727000000000004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111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110</v>
      </c>
      <c r="O601" s="3"/>
      <c r="P601" s="3"/>
      <c r="Q601" s="3">
        <v>1.054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233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109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112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18</v>
      </c>
      <c r="O606" s="3"/>
      <c r="P606" s="3"/>
      <c r="Q606" s="3">
        <v>59.131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105</v>
      </c>
      <c r="O607" s="3"/>
      <c r="P607" s="3"/>
      <c r="Q607" s="3">
        <v>1.5309999999999999</v>
      </c>
      <c r="R607" s="3" t="s">
        <v>106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15.037000000000001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92.475999999999999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111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110</v>
      </c>
      <c r="O614" s="3"/>
      <c r="P614" s="3"/>
      <c r="Q614" s="3">
        <v>1.135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234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160</v>
      </c>
      <c r="D617" s="3"/>
      <c r="E617" s="3" t="s">
        <v>160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109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160</v>
      </c>
      <c r="D618" s="3"/>
      <c r="E618" s="3" t="s">
        <v>160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112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160</v>
      </c>
      <c r="D619" s="3"/>
      <c r="E619" s="3" t="s">
        <v>160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18</v>
      </c>
      <c r="O619" s="3"/>
      <c r="P619" s="3"/>
      <c r="Q619" s="3">
        <v>43.281999999999996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160</v>
      </c>
      <c r="D620" s="3"/>
      <c r="E620" s="3" t="s">
        <v>160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105</v>
      </c>
      <c r="O620" s="3"/>
      <c r="P620" s="3"/>
      <c r="Q620" s="3">
        <v>0.65200000000000002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11.074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68.108000000000004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110</v>
      </c>
      <c r="O627" s="3"/>
      <c r="P627" s="3"/>
      <c r="Q627" s="3">
        <v>0.56699999999999995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235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112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45.72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105</v>
      </c>
      <c r="O633" s="3"/>
      <c r="P633" s="3"/>
      <c r="Q633" s="3">
        <v>0.78700000000000003</v>
      </c>
      <c r="R633" s="3" t="s">
        <v>106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11.683999999999999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71.856999999999999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110</v>
      </c>
      <c r="O640" s="3"/>
      <c r="P640" s="3"/>
      <c r="Q640" s="3">
        <v>0.64900000000000002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109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112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18</v>
      </c>
      <c r="O645" s="3"/>
      <c r="P645" s="3"/>
      <c r="Q645" s="3">
        <v>48.158000000000001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105</v>
      </c>
      <c r="O646" s="3"/>
      <c r="P646" s="3"/>
      <c r="Q646" s="3">
        <v>0.92200000000000004</v>
      </c>
      <c r="R646" s="3" t="s">
        <v>106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12.294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75.605999999999995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111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110</v>
      </c>
      <c r="O653" s="3"/>
      <c r="P653" s="3"/>
      <c r="Q653" s="3">
        <v>0.73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237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109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112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18</v>
      </c>
      <c r="O658" s="3"/>
      <c r="P658" s="3"/>
      <c r="Q658" s="3">
        <v>50.597000000000001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105</v>
      </c>
      <c r="O659" s="3"/>
      <c r="P659" s="3"/>
      <c r="Q659" s="3">
        <v>1.056</v>
      </c>
      <c r="R659" s="3" t="s">
        <v>106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12.903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79.355000000000004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111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110</v>
      </c>
      <c r="O666" s="3"/>
      <c r="P666" s="3"/>
      <c r="Q666" s="3">
        <v>0.81100000000000005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238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109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112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18</v>
      </c>
      <c r="O671" s="3"/>
      <c r="P671" s="3"/>
      <c r="Q671" s="3">
        <v>55.473999999999997</v>
      </c>
      <c r="R671" s="3" t="s">
        <v>15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105</v>
      </c>
      <c r="O672" s="3"/>
      <c r="P672" s="3"/>
      <c r="Q672" s="3">
        <v>1.3260000000000001</v>
      </c>
      <c r="R672" s="3" t="s">
        <v>106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14.122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86.852999999999994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111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110</v>
      </c>
      <c r="O679" s="3"/>
      <c r="P679" s="3"/>
      <c r="Q679" s="3">
        <v>0.97299999999999998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239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109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112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18</v>
      </c>
      <c r="O684" s="3"/>
      <c r="P684" s="3"/>
      <c r="Q684" s="3">
        <v>57.911999999999999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105</v>
      </c>
      <c r="O685" s="3"/>
      <c r="P685" s="3"/>
      <c r="Q685" s="3">
        <v>1.4610000000000001</v>
      </c>
      <c r="R685" s="3" t="s">
        <v>106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14.731999999999999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90.602000000000004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111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110</v>
      </c>
      <c r="O692" s="3"/>
      <c r="P692" s="3"/>
      <c r="Q692" s="3">
        <v>1.054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240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166</v>
      </c>
      <c r="D694" s="3"/>
      <c r="E694" s="3" t="s">
        <v>166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109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112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18</v>
      </c>
      <c r="O697" s="3"/>
      <c r="P697" s="3"/>
      <c r="Q697" s="3">
        <v>60.35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105</v>
      </c>
      <c r="O698" s="3"/>
      <c r="P698" s="3"/>
      <c r="Q698" s="3">
        <v>1.5960000000000001</v>
      </c>
      <c r="R698" s="3" t="s">
        <v>106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15.342000000000001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94.350999999999999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111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110</v>
      </c>
      <c r="O705" s="3"/>
      <c r="P705" s="3"/>
      <c r="Q705" s="3">
        <v>1.135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241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167</v>
      </c>
      <c r="D707" s="3"/>
      <c r="E707" s="3" t="s">
        <v>167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167</v>
      </c>
      <c r="D708" s="3"/>
      <c r="E708" s="3" t="s">
        <v>167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109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167</v>
      </c>
      <c r="D709" s="3"/>
      <c r="E709" s="3" t="s">
        <v>167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112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18</v>
      </c>
      <c r="O710" s="3"/>
      <c r="P710" s="3"/>
      <c r="Q710" s="3">
        <v>44.500999999999998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105</v>
      </c>
      <c r="O711" s="3"/>
      <c r="P711" s="3"/>
      <c r="Q711" s="3">
        <v>0.67800000000000005</v>
      </c>
      <c r="R711" s="3" t="s">
        <v>106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11.379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69.981999999999999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110</v>
      </c>
      <c r="O718" s="3"/>
      <c r="P718" s="3"/>
      <c r="Q718" s="3">
        <v>0.56699999999999995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242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168</v>
      </c>
      <c r="D720" s="3"/>
      <c r="E720" s="3" t="s">
        <v>168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168</v>
      </c>
      <c r="D721" s="3"/>
      <c r="E721" s="3" t="s">
        <v>168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109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168</v>
      </c>
      <c r="D722" s="3"/>
      <c r="E722" s="3" t="s">
        <v>168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112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168</v>
      </c>
      <c r="D723" s="3"/>
      <c r="E723" s="3" t="s">
        <v>168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18</v>
      </c>
      <c r="O723" s="3"/>
      <c r="P723" s="3"/>
      <c r="Q723" s="3">
        <v>46.939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168</v>
      </c>
      <c r="D724" s="3"/>
      <c r="E724" s="3" t="s">
        <v>168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105</v>
      </c>
      <c r="O724" s="3"/>
      <c r="P724" s="3"/>
      <c r="Q724" s="3">
        <v>0.81899999999999995</v>
      </c>
      <c r="R724" s="3" t="s">
        <v>106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11.989000000000001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73.730999999999995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111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110</v>
      </c>
      <c r="O731" s="3"/>
      <c r="P731" s="3"/>
      <c r="Q731" s="3">
        <v>0.64900000000000002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243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169</v>
      </c>
      <c r="D733" s="3"/>
      <c r="E733" s="3" t="s">
        <v>169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169</v>
      </c>
      <c r="D734" s="3"/>
      <c r="E734" s="3" t="s">
        <v>169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109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169</v>
      </c>
      <c r="D735" s="3"/>
      <c r="E735" s="3" t="s">
        <v>169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112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169</v>
      </c>
      <c r="D736" s="3"/>
      <c r="E736" s="3" t="s">
        <v>169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18</v>
      </c>
      <c r="O736" s="3"/>
      <c r="P736" s="3"/>
      <c r="Q736" s="3">
        <v>49.378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169</v>
      </c>
      <c r="D737" s="3"/>
      <c r="E737" s="3" t="s">
        <v>169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105</v>
      </c>
      <c r="O737" s="3"/>
      <c r="P737" s="3"/>
      <c r="Q737" s="3">
        <v>0.95899999999999996</v>
      </c>
      <c r="R737" s="3" t="s">
        <v>106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169</v>
      </c>
      <c r="D738" s="3"/>
      <c r="E738" s="3" t="s">
        <v>169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12.598000000000001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169</v>
      </c>
      <c r="D739" s="3"/>
      <c r="E739" s="3" t="s">
        <v>169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77.48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111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110</v>
      </c>
      <c r="O744" s="3"/>
      <c r="P744" s="3"/>
      <c r="Q744" s="3">
        <v>0.73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244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170</v>
      </c>
      <c r="D746" s="3"/>
      <c r="E746" s="3" t="s">
        <v>170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170</v>
      </c>
      <c r="D747" s="3"/>
      <c r="E747" s="3" t="s">
        <v>170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109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170</v>
      </c>
      <c r="D748" s="3"/>
      <c r="E748" s="3" t="s">
        <v>170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112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170</v>
      </c>
      <c r="D749" s="3"/>
      <c r="E749" s="3" t="s">
        <v>170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18</v>
      </c>
      <c r="O749" s="3"/>
      <c r="P749" s="3"/>
      <c r="Q749" s="3">
        <v>51.816000000000003</v>
      </c>
      <c r="R749" s="3" t="s">
        <v>15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170</v>
      </c>
      <c r="D750" s="3"/>
      <c r="E750" s="3" t="s">
        <v>170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105</v>
      </c>
      <c r="O750" s="3"/>
      <c r="P750" s="3"/>
      <c r="Q750" s="3">
        <v>1.099</v>
      </c>
      <c r="R750" s="3" t="s">
        <v>106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170</v>
      </c>
      <c r="D751" s="3"/>
      <c r="E751" s="3" t="s">
        <v>170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13.208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170</v>
      </c>
      <c r="D752" s="3"/>
      <c r="E752" s="3" t="s">
        <v>170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81.228999999999999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170</v>
      </c>
      <c r="D753" s="3"/>
      <c r="E753" s="3" t="s">
        <v>170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111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170</v>
      </c>
      <c r="D754" s="3"/>
      <c r="E754" s="3" t="s">
        <v>170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110</v>
      </c>
      <c r="O757" s="3"/>
      <c r="P757" s="3"/>
      <c r="Q757" s="3">
        <v>0.81100000000000005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245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171</v>
      </c>
      <c r="D759" s="3"/>
      <c r="E759" s="3" t="s">
        <v>171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171</v>
      </c>
      <c r="D760" s="3"/>
      <c r="E760" s="3" t="s">
        <v>171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109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171</v>
      </c>
      <c r="D761" s="3"/>
      <c r="E761" s="3" t="s">
        <v>171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112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171</v>
      </c>
      <c r="D762" s="3"/>
      <c r="E762" s="3" t="s">
        <v>171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18</v>
      </c>
      <c r="O762" s="3"/>
      <c r="P762" s="3"/>
      <c r="Q762" s="3">
        <v>56.692999999999998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171</v>
      </c>
      <c r="D763" s="3"/>
      <c r="E763" s="3" t="s">
        <v>171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105</v>
      </c>
      <c r="O763" s="3"/>
      <c r="P763" s="3"/>
      <c r="Q763" s="3">
        <v>1.38</v>
      </c>
      <c r="R763" s="3" t="s">
        <v>106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171</v>
      </c>
      <c r="D764" s="3"/>
      <c r="E764" s="3" t="s">
        <v>171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14.427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171</v>
      </c>
      <c r="D765" s="3"/>
      <c r="E765" s="3" t="s">
        <v>171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88.727000000000004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171</v>
      </c>
      <c r="D766" s="3"/>
      <c r="E766" s="3" t="s">
        <v>171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111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171</v>
      </c>
      <c r="D767" s="3"/>
      <c r="E767" s="3" t="s">
        <v>171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171</v>
      </c>
      <c r="D768" s="3"/>
      <c r="E768" s="3" t="s">
        <v>171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171</v>
      </c>
      <c r="D769" s="3"/>
      <c r="E769" s="3" t="s">
        <v>171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110</v>
      </c>
      <c r="O770" s="3"/>
      <c r="P770" s="3"/>
      <c r="Q770" s="3">
        <v>0.97299999999999998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246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172</v>
      </c>
      <c r="D772" s="3"/>
      <c r="E772" s="3" t="s">
        <v>172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172</v>
      </c>
      <c r="D773" s="3"/>
      <c r="E773" s="3" t="s">
        <v>172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109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172</v>
      </c>
      <c r="D774" s="3"/>
      <c r="E774" s="3" t="s">
        <v>172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112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172</v>
      </c>
      <c r="D775" s="3"/>
      <c r="E775" s="3" t="s">
        <v>172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18</v>
      </c>
      <c r="O775" s="3"/>
      <c r="P775" s="3"/>
      <c r="Q775" s="3">
        <v>59.131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172</v>
      </c>
      <c r="D776" s="3"/>
      <c r="E776" s="3" t="s">
        <v>172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105</v>
      </c>
      <c r="O776" s="3"/>
      <c r="P776" s="3"/>
      <c r="Q776" s="3">
        <v>1.52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172</v>
      </c>
      <c r="D777" s="3"/>
      <c r="E777" s="3" t="s">
        <v>172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15.037000000000001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172</v>
      </c>
      <c r="D778" s="3"/>
      <c r="E778" s="3" t="s">
        <v>172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92.475999999999999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172</v>
      </c>
      <c r="D779" s="3"/>
      <c r="E779" s="3" t="s">
        <v>172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172</v>
      </c>
      <c r="D780" s="3"/>
      <c r="E780" s="3" t="s">
        <v>172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172</v>
      </c>
      <c r="D781" s="3"/>
      <c r="E781" s="3" t="s">
        <v>172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172</v>
      </c>
      <c r="D782" s="3"/>
      <c r="E782" s="3" t="s">
        <v>172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172</v>
      </c>
      <c r="D783" s="3"/>
      <c r="E783" s="3" t="s">
        <v>172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110</v>
      </c>
      <c r="O783" s="3"/>
      <c r="P783" s="3"/>
      <c r="Q783" s="3">
        <v>1.054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172</v>
      </c>
      <c r="D784" s="3"/>
      <c r="E784" s="3" t="s">
        <v>172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247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173</v>
      </c>
      <c r="D785" s="3"/>
      <c r="E785" s="3" t="s">
        <v>173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173</v>
      </c>
      <c r="D786" s="3"/>
      <c r="E786" s="3" t="s">
        <v>173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173</v>
      </c>
      <c r="D787" s="3"/>
      <c r="E787" s="3" t="s">
        <v>173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112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173</v>
      </c>
      <c r="D788" s="3"/>
      <c r="E788" s="3" t="s">
        <v>173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61.57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173</v>
      </c>
      <c r="D789" s="3"/>
      <c r="E789" s="3" t="s">
        <v>173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105</v>
      </c>
      <c r="O789" s="3"/>
      <c r="P789" s="3"/>
      <c r="Q789" s="3">
        <v>1.661</v>
      </c>
      <c r="R789" s="3" t="s">
        <v>106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173</v>
      </c>
      <c r="D790" s="3"/>
      <c r="E790" s="3" t="s">
        <v>173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15.646000000000001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173</v>
      </c>
      <c r="D791" s="3"/>
      <c r="E791" s="3" t="s">
        <v>173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96.224999999999994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173</v>
      </c>
      <c r="D792" s="3"/>
      <c r="E792" s="3" t="s">
        <v>173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173</v>
      </c>
      <c r="D793" s="3"/>
      <c r="E793" s="3" t="s">
        <v>173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173</v>
      </c>
      <c r="D794" s="3"/>
      <c r="E794" s="3" t="s">
        <v>173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173</v>
      </c>
      <c r="D795" s="3"/>
      <c r="E795" s="3" t="s">
        <v>173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173</v>
      </c>
      <c r="D796" s="3"/>
      <c r="E796" s="3" t="s">
        <v>173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110</v>
      </c>
      <c r="O796" s="3"/>
      <c r="P796" s="3"/>
      <c r="Q796" s="3">
        <v>1.135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173</v>
      </c>
      <c r="D797" s="3"/>
      <c r="E797" s="3" t="s">
        <v>173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248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109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174</v>
      </c>
      <c r="D800" s="3"/>
      <c r="E800" s="3" t="s">
        <v>174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112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174</v>
      </c>
      <c r="D801" s="3"/>
      <c r="E801" s="3" t="s">
        <v>174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18</v>
      </c>
      <c r="O801" s="3"/>
      <c r="P801" s="3"/>
      <c r="Q801" s="3">
        <v>45.314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174</v>
      </c>
      <c r="D802" s="3"/>
      <c r="E802" s="3" t="s">
        <v>174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105</v>
      </c>
      <c r="O802" s="3"/>
      <c r="P802" s="3"/>
      <c r="Q802" s="3">
        <v>0.69599999999999995</v>
      </c>
      <c r="R802" s="3" t="s">
        <v>106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174</v>
      </c>
      <c r="D803" s="3"/>
      <c r="E803" s="3" t="s">
        <v>174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11.582000000000001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174</v>
      </c>
      <c r="D804" s="3"/>
      <c r="E804" s="3" t="s">
        <v>174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71.231999999999999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174</v>
      </c>
      <c r="D805" s="3"/>
      <c r="E805" s="3" t="s">
        <v>174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111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174</v>
      </c>
      <c r="D806" s="3"/>
      <c r="E806" s="3" t="s">
        <v>174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174</v>
      </c>
      <c r="D807" s="3"/>
      <c r="E807" s="3" t="s">
        <v>174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174</v>
      </c>
      <c r="D808" s="3"/>
      <c r="E808" s="3" t="s">
        <v>174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174</v>
      </c>
      <c r="D809" s="3"/>
      <c r="E809" s="3" t="s">
        <v>174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110</v>
      </c>
      <c r="O809" s="3"/>
      <c r="P809" s="3"/>
      <c r="Q809" s="3">
        <v>1.2430000000000001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174</v>
      </c>
      <c r="D810" s="3"/>
      <c r="E810" s="3" t="s">
        <v>174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249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109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112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18</v>
      </c>
      <c r="O814" s="3"/>
      <c r="P814" s="3"/>
      <c r="Q814" s="3">
        <v>47.752000000000002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175</v>
      </c>
      <c r="D815" s="3"/>
      <c r="E815" s="3" t="s">
        <v>175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105</v>
      </c>
      <c r="O815" s="3"/>
      <c r="P815" s="3"/>
      <c r="Q815" s="3">
        <v>0.84</v>
      </c>
      <c r="R815" s="3" t="s">
        <v>106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175</v>
      </c>
      <c r="D816" s="3"/>
      <c r="E816" s="3" t="s">
        <v>175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12.192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175</v>
      </c>
      <c r="D817" s="3"/>
      <c r="E817" s="3" t="s">
        <v>175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74.980999999999995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175</v>
      </c>
      <c r="D818" s="3"/>
      <c r="E818" s="3" t="s">
        <v>175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111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175</v>
      </c>
      <c r="D819" s="3"/>
      <c r="E819" s="3" t="s">
        <v>175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175</v>
      </c>
      <c r="D820" s="3"/>
      <c r="E820" s="3" t="s">
        <v>175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175</v>
      </c>
      <c r="D821" s="3"/>
      <c r="E821" s="3" t="s">
        <v>175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175</v>
      </c>
      <c r="D822" s="3"/>
      <c r="E822" s="3" t="s">
        <v>175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110</v>
      </c>
      <c r="O822" s="3"/>
      <c r="P822" s="3"/>
      <c r="Q822" s="3">
        <v>1.2430000000000001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175</v>
      </c>
      <c r="D823" s="3"/>
      <c r="E823" s="3" t="s">
        <v>175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250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109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112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18</v>
      </c>
      <c r="O827" s="3"/>
      <c r="P827" s="3"/>
      <c r="Q827" s="3">
        <v>50.19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105</v>
      </c>
      <c r="O828" s="3"/>
      <c r="P828" s="3"/>
      <c r="Q828" s="3">
        <v>0.98399999999999999</v>
      </c>
      <c r="R828" s="3" t="s">
        <v>106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12.802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176</v>
      </c>
      <c r="D830" s="3"/>
      <c r="E830" s="3" t="s">
        <v>176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78.73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176</v>
      </c>
      <c r="D831" s="3"/>
      <c r="E831" s="3" t="s">
        <v>176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111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176</v>
      </c>
      <c r="D832" s="3"/>
      <c r="E832" s="3" t="s">
        <v>176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176</v>
      </c>
      <c r="D833" s="3"/>
      <c r="E833" s="3" t="s">
        <v>176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176</v>
      </c>
      <c r="D834" s="3"/>
      <c r="E834" s="3" t="s">
        <v>176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176</v>
      </c>
      <c r="D835" s="3"/>
      <c r="E835" s="3" t="s">
        <v>176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110</v>
      </c>
      <c r="O835" s="3"/>
      <c r="P835" s="3"/>
      <c r="Q835" s="3">
        <v>1.2430000000000001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176</v>
      </c>
      <c r="D836" s="3"/>
      <c r="E836" s="3" t="s">
        <v>176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251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109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112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18</v>
      </c>
      <c r="O840" s="3"/>
      <c r="P840" s="3"/>
      <c r="Q840" s="3">
        <v>52.628999999999998</v>
      </c>
      <c r="R840" s="3" t="s">
        <v>15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105</v>
      </c>
      <c r="O841" s="3"/>
      <c r="P841" s="3"/>
      <c r="Q841" s="3">
        <v>1.1279999999999999</v>
      </c>
      <c r="R841" s="3" t="s">
        <v>106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13.411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82.478999999999999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111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177</v>
      </c>
      <c r="D845" s="3"/>
      <c r="E845" s="3" t="s">
        <v>177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177</v>
      </c>
      <c r="D846" s="3"/>
      <c r="E846" s="3" t="s">
        <v>177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177</v>
      </c>
      <c r="D847" s="3"/>
      <c r="E847" s="3" t="s">
        <v>177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177</v>
      </c>
      <c r="D848" s="3"/>
      <c r="E848" s="3" t="s">
        <v>177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110</v>
      </c>
      <c r="O848" s="3"/>
      <c r="P848" s="3"/>
      <c r="Q848" s="3">
        <v>1.2430000000000001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177</v>
      </c>
      <c r="D849" s="3"/>
      <c r="E849" s="3" t="s">
        <v>177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252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109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112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18</v>
      </c>
      <c r="O853" s="3"/>
      <c r="P853" s="3"/>
      <c r="Q853" s="3">
        <v>57.506</v>
      </c>
      <c r="R853" s="3" t="s">
        <v>15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105</v>
      </c>
      <c r="O854" s="3"/>
      <c r="P854" s="3"/>
      <c r="Q854" s="3">
        <v>1.4159999999999999</v>
      </c>
      <c r="R854" s="3" t="s">
        <v>106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14.63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89.977000000000004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111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178</v>
      </c>
      <c r="D860" s="3"/>
      <c r="E860" s="3" t="s">
        <v>178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178</v>
      </c>
      <c r="D861" s="3"/>
      <c r="E861" s="3" t="s">
        <v>178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110</v>
      </c>
      <c r="O861" s="3"/>
      <c r="P861" s="3"/>
      <c r="Q861" s="3">
        <v>1.2430000000000001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178</v>
      </c>
      <c r="D862" s="3"/>
      <c r="E862" s="3" t="s">
        <v>178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253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109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112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18</v>
      </c>
      <c r="O866" s="3"/>
      <c r="P866" s="3"/>
      <c r="Q866" s="3">
        <v>59.944000000000003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105</v>
      </c>
      <c r="O867" s="3"/>
      <c r="P867" s="3"/>
      <c r="Q867" s="3">
        <v>1.56</v>
      </c>
      <c r="R867" s="3" t="s">
        <v>106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15.24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93.725999999999999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111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110</v>
      </c>
      <c r="O874" s="3"/>
      <c r="P874" s="3"/>
      <c r="Q874" s="3">
        <v>1.2430000000000001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179</v>
      </c>
      <c r="D875" s="3"/>
      <c r="E875" s="3" t="s">
        <v>179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254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109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112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18</v>
      </c>
      <c r="O879" s="3"/>
      <c r="P879" s="3"/>
      <c r="Q879" s="3">
        <v>62.381999999999998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105</v>
      </c>
      <c r="O880" s="3"/>
      <c r="P880" s="3"/>
      <c r="Q880" s="3">
        <v>1.704</v>
      </c>
      <c r="R880" s="3" t="s">
        <v>106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15.85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97.474999999999994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111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110</v>
      </c>
      <c r="O887" s="3"/>
      <c r="P887" s="3"/>
      <c r="Q887" s="3">
        <v>1.2430000000000001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255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109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112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18</v>
      </c>
      <c r="O892" s="3"/>
      <c r="P892" s="3"/>
      <c r="Q892" s="3">
        <v>46.939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105</v>
      </c>
      <c r="O893" s="3"/>
      <c r="P893" s="3"/>
      <c r="Q893" s="3">
        <v>0.73099999999999998</v>
      </c>
      <c r="R893" s="3" t="s">
        <v>106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11.989000000000001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73.730999999999995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110</v>
      </c>
      <c r="O900" s="3"/>
      <c r="P900" s="3"/>
      <c r="Q900" s="3">
        <v>1.2969999999999999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109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112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18</v>
      </c>
      <c r="O905" s="3"/>
      <c r="P905" s="3"/>
      <c r="Q905" s="3">
        <v>49.378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105</v>
      </c>
      <c r="O906" s="3"/>
      <c r="P906" s="3"/>
      <c r="Q906" s="3">
        <v>0.88200000000000001</v>
      </c>
      <c r="R906" s="3" t="s">
        <v>106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12.598000000000001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77.48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111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110</v>
      </c>
      <c r="O913" s="3"/>
      <c r="P913" s="3"/>
      <c r="Q913" s="3">
        <v>1.2969999999999999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109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18</v>
      </c>
      <c r="O918" s="3"/>
      <c r="P918" s="3"/>
      <c r="Q918" s="3">
        <v>51.816000000000003</v>
      </c>
      <c r="R918" s="3" t="s">
        <v>15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105</v>
      </c>
      <c r="O919" s="3"/>
      <c r="P919" s="3"/>
      <c r="Q919" s="3">
        <v>1.034</v>
      </c>
      <c r="R919" s="3" t="s">
        <v>106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13.208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81.228999999999999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111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110</v>
      </c>
      <c r="O926" s="3"/>
      <c r="P926" s="3"/>
      <c r="Q926" s="3">
        <v>1.2969999999999999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109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112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18</v>
      </c>
      <c r="O931" s="3"/>
      <c r="P931" s="3"/>
      <c r="Q931" s="3">
        <v>54.253999999999998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105</v>
      </c>
      <c r="O932" s="3"/>
      <c r="P932" s="3"/>
      <c r="Q932" s="3">
        <v>1.1850000000000001</v>
      </c>
      <c r="R932" s="3" t="s">
        <v>106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13.818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84.977999999999994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111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110</v>
      </c>
      <c r="O939" s="3"/>
      <c r="P939" s="3"/>
      <c r="Q939" s="3">
        <v>1.2969999999999999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109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112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18</v>
      </c>
      <c r="O944" s="3"/>
      <c r="P944" s="3"/>
      <c r="Q944" s="3">
        <v>59.131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105</v>
      </c>
      <c r="O945" s="3"/>
      <c r="P945" s="3"/>
      <c r="Q945" s="3">
        <v>1.4870000000000001</v>
      </c>
      <c r="R945" s="3" t="s">
        <v>106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15.037000000000001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92.475999999999999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110</v>
      </c>
      <c r="O952" s="3"/>
      <c r="P952" s="3"/>
      <c r="Q952" s="3">
        <v>1.2969999999999999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260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109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112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18</v>
      </c>
      <c r="O957" s="3"/>
      <c r="P957" s="3"/>
      <c r="Q957" s="3">
        <v>61.57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105</v>
      </c>
      <c r="O958" s="3"/>
      <c r="P958" s="3"/>
      <c r="Q958" s="3">
        <v>1.639</v>
      </c>
      <c r="R958" s="3" t="s">
        <v>106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15.646000000000001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96.224999999999994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111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110</v>
      </c>
      <c r="O965" s="3"/>
      <c r="P965" s="3"/>
      <c r="Q965" s="3">
        <v>1.2969999999999999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109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112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18</v>
      </c>
      <c r="O970" s="3"/>
      <c r="P970" s="3"/>
      <c r="Q970" s="3">
        <v>64.007999999999996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105</v>
      </c>
      <c r="O971" s="3"/>
      <c r="P971" s="3"/>
      <c r="Q971" s="3">
        <v>1.79</v>
      </c>
      <c r="R971" s="3" t="s">
        <v>106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16.256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99.974000000000004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110</v>
      </c>
      <c r="O978" s="3"/>
      <c r="P978" s="3"/>
      <c r="Q978" s="3">
        <v>1.2969999999999999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2026-06-02T12:27:48Z</dcterms:modified>
</cp:coreProperties>
</file>