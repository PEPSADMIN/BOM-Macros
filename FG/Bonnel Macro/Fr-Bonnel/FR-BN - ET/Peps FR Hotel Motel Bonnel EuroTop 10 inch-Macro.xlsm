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5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<sst xmlns="http://schemas.openxmlformats.org/spreadsheetml/2006/main" count="11047" uniqueCount="338">
  <si>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</si>
  <si>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</si>
  <si>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</si>
  <si>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</si>
  <si>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</si>
  <si>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</si>
  <si>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</si>
  <si>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</si>
  <si>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</si>
  <si>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</si>
  <si>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</si>
  <si>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</si>
  <si>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</si>
  <si>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</si>
  <si>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</si>
  <si>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</si>
  <si>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</si>
  <si>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</si>
  <si>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</si>
  <si>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</si>
  <si>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</si>
  <si>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</si>
  <si>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</si>
  <si>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</si>
  <si>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</si>
  <si>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</si>
  <si>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</si>
  <si>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</si>
  <si>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</si>
  <si>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</si>
  <si>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</si>
  <si>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</si>
  <si>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</si>
  <si>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</si>
  <si>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</si>
  <si>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</si>
  <si>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</si>
  <si>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</si>
  <si>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</si>
  <si>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</si>
  <si>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</si>
  <si>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</si>
  <si>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</si>
  <si>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</si>
  <si>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</si>
  <si>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</si>
  <si>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</si>
  <si>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</si>
  <si>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</si>
  <si>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</si>
  <si>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</si>
  <si>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</si>
  <si>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</si>
  <si>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</si>
  <si>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</si>
  <si>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</si>
  <si>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</si>
  <si>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</si>
  <si>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</si>
  <si>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</si>
  <si>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</si>
  <si>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</si>
  <si>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</si>
  <si>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</si>
  <si>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</si>
  <si>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</si>
  <si>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</si>
  <si>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</si>
  <si>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</si>
  <si>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</si>
  <si>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</si>
  <si>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</si>
  <si>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</si>
  <si>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</si>
  <si>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</si>
  <si>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</si>
  <si>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</si>
  <si>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</si>
  <si>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</si>
  <si>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</si>
  <si>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</si>
  <si>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</si>
  <si>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</si>
  <si>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</si>
  <si>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</si>
  <si>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</si>
  <si>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</si>
  <si>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</si>
  <si>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</si>
  <si>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</si>
  <si>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</si>
  <si>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</si>
  <si>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</si>
  <si>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</si>
  <si>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</si>
  <si>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</si>
  <si>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</si>
  <si>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</si>
  <si>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</si>
  <si>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</si>
  <si>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</si>
  <si>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</si>
  <si>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</si>
  <si>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</si>
  <si>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</si>
  <si>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</si>
  <si>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</si>
  <si>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</si>
  <si>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</si>
  <si>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</si>
  <si>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RMI-PVC-90</t>
  </si>
  <si>
    <t>RML-CS-PL-10.5</t>
  </si>
  <si>
    <t>SFG-RTHTMTRG-BONPOC-QUILT</t>
  </si>
  <si>
    <t>RTHTMTBNOET72X33X10</t>
  </si>
  <si>
    <t>RTHTMTBNOET72X39X10</t>
  </si>
  <si>
    <t>RTHTMTBNOET72X45X10</t>
  </si>
  <si>
    <t>RTHTMTBNOET72X51X10</t>
  </si>
  <si>
    <t>RTHTMTBNOET72X54X10</t>
  </si>
  <si>
    <t>RTHTMTBNOET72X57X10</t>
  </si>
  <si>
    <t>RTHTMTBNOET72X63X10</t>
  </si>
  <si>
    <t>RTHTMTBNOET72X69X10</t>
  </si>
  <si>
    <t>RTHTMTBNOET75X33X10</t>
  </si>
  <si>
    <t>RTHTMTBNOET75X39X10</t>
  </si>
  <si>
    <t>RTHTMTBNOET75X45X10</t>
  </si>
  <si>
    <t>RTHTMTBNOET75X51X10</t>
  </si>
  <si>
    <t>RTHTMTBNOET75X54X10</t>
  </si>
  <si>
    <t>RTHTMTBNOET75X57X10</t>
  </si>
  <si>
    <t>RTHTMTBNOET75X63X10</t>
  </si>
  <si>
    <t>RTHTMTBNOET75X69X10</t>
  </si>
  <si>
    <t>RTHTMTBNOET78X33X10</t>
  </si>
  <si>
    <t>RTHTMTBNOET78X39X10</t>
  </si>
  <si>
    <t>RTHTMTBNOET78X45X10</t>
  </si>
  <si>
    <t>RTHTMTBNOET78X51X10</t>
  </si>
  <si>
    <t>RTHTMTBNOET78X54X10</t>
  </si>
  <si>
    <t>RTHTMTBNOET78X57X10</t>
  </si>
  <si>
    <t>RTHTMTBNOET78X63X10</t>
  </si>
  <si>
    <t>RTHTMTBNOET78X69X10</t>
  </si>
  <si>
    <t>RTHTMTBNOET80X33X10</t>
  </si>
  <si>
    <t>RTHTMTBNOET80X39X10</t>
  </si>
  <si>
    <t>RTHTMTBNOET80X45X10</t>
  </si>
  <si>
    <t>RTHTMTBNOET80X51X10</t>
  </si>
  <si>
    <t>RTHTMTBNOET80X54X10</t>
  </si>
  <si>
    <t>RTHTMTBNOET80X57X10</t>
  </si>
  <si>
    <t>RTHTMTBNOET80X63X10</t>
  </si>
  <si>
    <t>RTHTMTBNOET80X69X10</t>
  </si>
  <si>
    <t>RTHTMTBNOET84X33X10</t>
  </si>
  <si>
    <t>RTHTMTBNOET84X39X10</t>
  </si>
  <si>
    <t>RTHTMTBNOET84X45X10</t>
  </si>
  <si>
    <t>RTHTMTBNOET84X51X10</t>
  </si>
  <si>
    <t>RTHTMTBNOET84X54X10</t>
  </si>
  <si>
    <t>RTHTMTBNOET84X57X10</t>
  </si>
  <si>
    <t>RTHTMTBNOET84X63X10</t>
  </si>
  <si>
    <t>RTHTMTBNOET84X69X10</t>
  </si>
  <si>
    <t>RTHTMTBNOET72X30X10</t>
  </si>
  <si>
    <t>RTHTMTBNOET72X36X10</t>
  </si>
  <si>
    <t>RTHTMTBNOET72X42X10</t>
  </si>
  <si>
    <t>RTHTMTBNOET72X48X10</t>
  </si>
  <si>
    <t>RTHTMTBNOET72X60X10</t>
  </si>
  <si>
    <t>RTHTMTBNOET72X66X10</t>
  </si>
  <si>
    <t>RTHTMTBNOET72X72X10</t>
  </si>
  <si>
    <t>RTHTMTBNOET75X30X10</t>
  </si>
  <si>
    <t>RTHTMTBNOET75X36X10</t>
  </si>
  <si>
    <t>RTHTMTBNOET75X42X10</t>
  </si>
  <si>
    <t>RTHTMTBNOET75X48X10</t>
  </si>
  <si>
    <t>RTHTMTBNOET75X60X10</t>
  </si>
  <si>
    <t>RTHTMTBNOET75X66X10</t>
  </si>
  <si>
    <t>RTHTMTBNOET75X72X10</t>
  </si>
  <si>
    <t>RTHTMTBNOET78X30X10</t>
  </si>
  <si>
    <t>RTHTMTBNOET78X36X10</t>
  </si>
  <si>
    <t>RTHTMTBNOET78X42X10</t>
  </si>
  <si>
    <t>RTHTMTBNOET78X48X10</t>
  </si>
  <si>
    <t>RTHTMTBNOET78X60X10</t>
  </si>
  <si>
    <t>RTHTMTBNOET78X66X10</t>
  </si>
  <si>
    <t>RTHTMTBNOET78X72X10</t>
  </si>
  <si>
    <t>RTHTMTBNOET80X30X10</t>
  </si>
  <si>
    <t>RTHTMTBNOET80X36X10</t>
  </si>
  <si>
    <t>RTHTMTBNOET80X42X10</t>
  </si>
  <si>
    <t>RTHTMTBNOET80X48X10</t>
  </si>
  <si>
    <t>RTHTMTBNOET80X60X10</t>
  </si>
  <si>
    <t>RTHTMTBNOET80X66X10</t>
  </si>
  <si>
    <t>RTHTMTBNOET80X72X10</t>
  </si>
  <si>
    <t>RTHTMTBNOET84X30X10</t>
  </si>
  <si>
    <t>RTHTMTBNOET84X36X10</t>
  </si>
  <si>
    <t>RTHTMTBNOET84X42X10</t>
  </si>
  <si>
    <t>RTHTMTBNOET84X48X10</t>
  </si>
  <si>
    <t>RTHTMTBNOET84X60X10</t>
  </si>
  <si>
    <t>RTHTMTBNOET84X66X10</t>
  </si>
  <si>
    <t>RTHTMTBNOET84X72X10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</si>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</sst>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" sqref="E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"RTHTMTBNOET"&amp;$K$2&amp;"X"&amp;$L$2&amp;"X"&amp;IF($M$2=10,$M$2,"0"&amp;$M$2)</f>
        <v>RTHTMTBNOET75X36X10</v>
      </c>
      <c r="E2" s="1" t="str">
        <f>"OEBOXBNSR"&amp;(K2-0.5)&amp;"0"&amp;"X"&amp;(L2-0.5)&amp;"0"&amp;"X"&amp;IF(M2=6,"100",IF(M2=8,"150",IF(M2=10,"180",0)))</f>
        <v>OEBOXBNSR74.50X35.50X180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10</v>
      </c>
      <c r="N2" s="6"/>
      <c r="P2" s="4" t="s">
        <v>91</v>
      </c>
      <c r="R2" s="29" t="s">
        <v>92</v>
      </c>
      <c r="S2" s="29" t="s">
        <v>93</v>
      </c>
      <c r="T2" s="29">
        <v>10</v>
      </c>
      <c r="U2" s="30" t="s">
        <v>108</v>
      </c>
    </row>
    <row r="3" spans="1:21" s="17" customFormat="1" x14ac:dyDescent="0.25">
      <c r="A3" s="38">
        <v>3</v>
      </c>
      <c r="B3" s="7" t="s">
        <v>17</v>
      </c>
      <c r="C3" s="7" t="s">
        <v>17</v>
      </c>
      <c r="D3" s="7" t="str">
        <f t="shared" ref="D3:D14" si="1">"RTHTMTBNOET"&amp;$K$2&amp;"X"&amp;$L$2&amp;"X"&amp;IF($M$2=10,$M$2,"0"&amp;$M$2)</f>
        <v>RTHTMTBNOET75X36X10</v>
      </c>
      <c r="E3" s="40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10</v>
      </c>
      <c r="U3" s="30" t="s">
        <v>108</v>
      </c>
    </row>
    <row r="4" spans="1:21" x14ac:dyDescent="0.25">
      <c r="A4" s="38">
        <v>6</v>
      </c>
      <c r="B4" s="7" t="s">
        <v>17</v>
      </c>
      <c r="C4" s="7" t="s">
        <v>17</v>
      </c>
      <c r="D4" s="7" t="str">
        <f t="shared" si="1"/>
        <v>RTHTMTBNOET75X36X10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10</v>
      </c>
      <c r="U4" s="30" t="s">
        <v>108</v>
      </c>
    </row>
    <row r="5" spans="1:21" x14ac:dyDescent="0.25">
      <c r="A5" s="38">
        <v>7</v>
      </c>
      <c r="B5" s="7" t="s">
        <v>19</v>
      </c>
      <c r="C5" s="7" t="s">
        <v>19</v>
      </c>
      <c r="D5" s="7" t="str">
        <f t="shared" si="1"/>
        <v>RTHTMTBNOET75X36X10</v>
      </c>
      <c r="E5" s="9" t="s">
        <v>105</v>
      </c>
      <c r="F5" s="11" t="s">
        <v>106</v>
      </c>
      <c r="G5" s="10">
        <f>((K2-4)*(L2-4)/144)*0.00729*4</f>
        <v>0.46007999999999999</v>
      </c>
      <c r="H5" s="35">
        <f>ROUND(G5,3)</f>
        <v>0.46</v>
      </c>
      <c r="I5" s="8" t="s">
        <v>14</v>
      </c>
      <c r="J5" s="12"/>
      <c r="O5" s="17"/>
      <c r="R5" s="29" t="s">
        <v>92</v>
      </c>
      <c r="S5" s="29" t="s">
        <v>96</v>
      </c>
      <c r="T5" s="29">
        <v>10</v>
      </c>
      <c r="U5" s="30" t="s">
        <v>108</v>
      </c>
    </row>
    <row r="6" spans="1:21" x14ac:dyDescent="0.25">
      <c r="A6" s="38">
        <v>8</v>
      </c>
      <c r="B6" s="7" t="s">
        <v>17</v>
      </c>
      <c r="C6" s="7" t="s">
        <v>17</v>
      </c>
      <c r="D6" s="7" t="str">
        <f t="shared" si="1"/>
        <v>RTHTMTBNOET75X36X10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10</v>
      </c>
      <c r="U6" s="30" t="s">
        <v>108</v>
      </c>
    </row>
    <row r="7" spans="1:21" x14ac:dyDescent="0.25">
      <c r="A7" s="38">
        <v>9</v>
      </c>
      <c r="B7" s="7" t="s">
        <v>19</v>
      </c>
      <c r="C7" s="7" t="s">
        <v>19</v>
      </c>
      <c r="D7" s="7" t="str">
        <f t="shared" si="1"/>
        <v>RTHTMTBNOET75X36X10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10</v>
      </c>
      <c r="U7" s="30" t="s">
        <v>108</v>
      </c>
    </row>
    <row r="8" spans="1:21" x14ac:dyDescent="0.25">
      <c r="A8" s="38">
        <v>10</v>
      </c>
      <c r="B8" s="7" t="s">
        <v>19</v>
      </c>
      <c r="C8" s="7" t="s">
        <v>19</v>
      </c>
      <c r="D8" s="7" t="str">
        <f t="shared" si="1"/>
        <v>RTHTMTBNOET75X36X10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10</v>
      </c>
      <c r="U8" s="30" t="s">
        <v>108</v>
      </c>
    </row>
    <row r="9" spans="1:21" x14ac:dyDescent="0.25">
      <c r="A9" s="38">
        <v>11</v>
      </c>
      <c r="B9" s="7" t="s">
        <v>20</v>
      </c>
      <c r="C9" s="33" t="s">
        <v>20</v>
      </c>
      <c r="D9" s="7" t="str">
        <f t="shared" si="1"/>
        <v>RTHTMTBNOET75X36X10</v>
      </c>
      <c r="E9" s="33" t="s">
        <v>111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10</v>
      </c>
      <c r="U9" s="30" t="s">
        <v>108</v>
      </c>
    </row>
    <row r="10" spans="1:21" x14ac:dyDescent="0.25">
      <c r="A10" s="38">
        <v>12</v>
      </c>
      <c r="B10" s="7" t="s">
        <v>19</v>
      </c>
      <c r="C10" s="7" t="s">
        <v>19</v>
      </c>
      <c r="D10" s="7" t="str">
        <f t="shared" si="1"/>
        <v>RTHTMTBNOET75X36X10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10</v>
      </c>
      <c r="U10" s="30" t="s">
        <v>108</v>
      </c>
    </row>
    <row r="11" spans="1:21" x14ac:dyDescent="0.25">
      <c r="A11" s="38">
        <v>13</v>
      </c>
      <c r="B11" s="7" t="s">
        <v>20</v>
      </c>
      <c r="C11" s="33" t="s">
        <v>20</v>
      </c>
      <c r="D11" s="7" t="str">
        <f t="shared" si="1"/>
        <v>RTHTMTBNOET75X36X10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10</v>
      </c>
      <c r="U11" s="30" t="s">
        <v>108</v>
      </c>
    </row>
    <row r="12" spans="1:21" x14ac:dyDescent="0.25">
      <c r="A12" s="38">
        <v>14</v>
      </c>
      <c r="B12" s="7" t="s">
        <v>20</v>
      </c>
      <c r="C12" s="9" t="s">
        <v>20</v>
      </c>
      <c r="D12" s="7" t="str">
        <f t="shared" si="1"/>
        <v>RTHTMTBNOET75X36X10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10</v>
      </c>
      <c r="U12" s="30" t="s">
        <v>108</v>
      </c>
    </row>
    <row r="13" spans="1:21" x14ac:dyDescent="0.25">
      <c r="A13" s="38">
        <v>15</v>
      </c>
      <c r="B13" s="7" t="s">
        <v>20</v>
      </c>
      <c r="C13" s="9" t="s">
        <v>20</v>
      </c>
      <c r="D13" s="7" t="str">
        <f t="shared" si="1"/>
        <v>RTHTMTBNOET75X36X10</v>
      </c>
      <c r="E13" s="9" t="s">
        <v>110</v>
      </c>
      <c r="F13" s="11" t="s">
        <v>13</v>
      </c>
      <c r="G13" s="10">
        <f>IF(K2&lt;76,((L2*2)+(M2*2)+4),((K2*2)+(M2*2)+4))*0.0254*89.5*0.0254*0.00009*1300</f>
        <v>0.64855612223999992</v>
      </c>
      <c r="H13" s="35">
        <f t="shared" si="3"/>
        <v>0.64900000000000002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10</v>
      </c>
      <c r="U13" s="30" t="s">
        <v>108</v>
      </c>
    </row>
    <row r="14" spans="1:21" x14ac:dyDescent="0.25">
      <c r="A14" s="38">
        <v>16</v>
      </c>
      <c r="B14" s="7" t="s">
        <v>19</v>
      </c>
      <c r="C14" s="7" t="s">
        <v>19</v>
      </c>
      <c r="D14" s="7" t="str">
        <f t="shared" si="1"/>
        <v>RTHTMTBNOET75X36X10</v>
      </c>
      <c r="E14" s="39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35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10</v>
      </c>
      <c r="U14" s="30" t="s">
        <v>108</v>
      </c>
    </row>
    <row r="15" spans="1:21" ht="16.5" customHeight="1" x14ac:dyDescent="0.25">
      <c r="J15" s="12"/>
      <c r="N15"/>
      <c r="O15"/>
      <c r="R15" s="29" t="s">
        <v>101</v>
      </c>
      <c r="S15" s="29" t="s">
        <v>98</v>
      </c>
      <c r="T15" s="29">
        <v>10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10</v>
      </c>
      <c r="U16" s="30" t="s">
        <v>108</v>
      </c>
    </row>
    <row r="17" spans="1:21" x14ac:dyDescent="0.25">
      <c r="J17" s="12"/>
      <c r="N17"/>
      <c r="O17"/>
      <c r="R17" s="29" t="s">
        <v>101</v>
      </c>
      <c r="S17" s="29" t="s">
        <v>100</v>
      </c>
      <c r="T17" s="29">
        <v>10</v>
      </c>
      <c r="U17" s="30" t="s">
        <v>108</v>
      </c>
    </row>
    <row r="18" spans="1:21" x14ac:dyDescent="0.25">
      <c r="J18" s="12"/>
      <c r="N18"/>
      <c r="O18"/>
      <c r="R18" s="29" t="s">
        <v>102</v>
      </c>
      <c r="S18" s="29" t="s">
        <v>93</v>
      </c>
      <c r="T18" s="29">
        <v>10</v>
      </c>
      <c r="U18" s="30" t="s">
        <v>108</v>
      </c>
    </row>
    <row r="19" spans="1:21" x14ac:dyDescent="0.25">
      <c r="J19" s="12"/>
      <c r="N19"/>
      <c r="O19"/>
      <c r="R19" s="29" t="s">
        <v>102</v>
      </c>
      <c r="S19" s="29" t="s">
        <v>94</v>
      </c>
      <c r="T19" s="29">
        <v>10</v>
      </c>
      <c r="U19" s="30" t="s">
        <v>108</v>
      </c>
    </row>
    <row r="20" spans="1:21" x14ac:dyDescent="0.25">
      <c r="J20" s="12"/>
      <c r="N20" s="28"/>
      <c r="O20"/>
      <c r="R20" s="29" t="s">
        <v>102</v>
      </c>
      <c r="S20" s="29" t="s">
        <v>95</v>
      </c>
      <c r="T20" s="29">
        <v>10</v>
      </c>
      <c r="U20" s="30" t="s">
        <v>108</v>
      </c>
    </row>
    <row r="21" spans="1:21" x14ac:dyDescent="0.25">
      <c r="J21" s="12"/>
      <c r="N21"/>
      <c r="O21"/>
      <c r="R21" s="29" t="s">
        <v>102</v>
      </c>
      <c r="S21" s="29" t="s">
        <v>96</v>
      </c>
      <c r="T21" s="29">
        <v>10</v>
      </c>
      <c r="U21" s="30" t="s">
        <v>108</v>
      </c>
    </row>
    <row r="22" spans="1:21" x14ac:dyDescent="0.25">
      <c r="A22" s="41"/>
      <c r="B22" s="42"/>
      <c r="C22" s="43"/>
      <c r="D22" s="42"/>
      <c r="E22" s="44"/>
      <c r="F22" s="45"/>
      <c r="G22" s="46"/>
      <c r="H22" s="47"/>
      <c r="I22" s="48"/>
      <c r="J22" s="12"/>
      <c r="N22"/>
      <c r="O22"/>
      <c r="R22" s="29" t="s">
        <v>102</v>
      </c>
      <c r="S22" s="29" t="s">
        <v>97</v>
      </c>
      <c r="T22" s="29">
        <v>10</v>
      </c>
      <c r="U22" s="30" t="s">
        <v>108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10</v>
      </c>
      <c r="U23" s="30" t="s">
        <v>108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10</v>
      </c>
      <c r="U24" s="30" t="s">
        <v>108</v>
      </c>
    </row>
    <row r="25" spans="1:21" x14ac:dyDescent="0.25">
      <c r="N25"/>
      <c r="O25"/>
      <c r="R25" s="29" t="s">
        <v>102</v>
      </c>
      <c r="S25" s="29" t="s">
        <v>100</v>
      </c>
      <c r="T25" s="29">
        <v>10</v>
      </c>
      <c r="U25" s="30" t="s">
        <v>108</v>
      </c>
    </row>
    <row r="26" spans="1:21" x14ac:dyDescent="0.25">
      <c r="N26"/>
      <c r="O26"/>
      <c r="R26" s="29" t="s">
        <v>103</v>
      </c>
      <c r="S26" s="29" t="s">
        <v>93</v>
      </c>
      <c r="T26" s="29">
        <v>10</v>
      </c>
      <c r="U26" s="30" t="s">
        <v>108</v>
      </c>
    </row>
    <row r="27" spans="1:21" x14ac:dyDescent="0.25">
      <c r="N27"/>
      <c r="O27"/>
      <c r="R27" s="29" t="s">
        <v>103</v>
      </c>
      <c r="S27" s="29" t="s">
        <v>94</v>
      </c>
      <c r="T27" s="29">
        <v>10</v>
      </c>
      <c r="U27" s="30" t="s">
        <v>108</v>
      </c>
    </row>
    <row r="28" spans="1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10</v>
      </c>
      <c r="U28" s="30" t="s">
        <v>108</v>
      </c>
    </row>
    <row r="29" spans="1:21" x14ac:dyDescent="0.25">
      <c r="E29" s="19"/>
      <c r="N29"/>
      <c r="O29"/>
      <c r="R29" s="29" t="s">
        <v>103</v>
      </c>
      <c r="S29" s="29" t="s">
        <v>96</v>
      </c>
      <c r="T29" s="29">
        <v>10</v>
      </c>
      <c r="U29" s="30" t="s">
        <v>108</v>
      </c>
    </row>
    <row r="30" spans="1:21" x14ac:dyDescent="0.25">
      <c r="H30" s="19"/>
      <c r="N30"/>
      <c r="O30"/>
      <c r="R30" s="29" t="s">
        <v>103</v>
      </c>
      <c r="S30" s="29" t="s">
        <v>97</v>
      </c>
      <c r="T30" s="29">
        <v>10</v>
      </c>
      <c r="U30" s="30" t="s">
        <v>108</v>
      </c>
    </row>
    <row r="31" spans="1:21" x14ac:dyDescent="0.25">
      <c r="N31"/>
      <c r="O31"/>
      <c r="R31" s="29" t="s">
        <v>103</v>
      </c>
      <c r="S31" s="29" t="s">
        <v>98</v>
      </c>
      <c r="T31" s="29">
        <v>10</v>
      </c>
      <c r="U31" s="30" t="s">
        <v>108</v>
      </c>
    </row>
    <row r="32" spans="1:21" x14ac:dyDescent="0.25">
      <c r="N32"/>
      <c r="O32"/>
      <c r="R32" s="29" t="s">
        <v>103</v>
      </c>
      <c r="S32" s="29" t="s">
        <v>99</v>
      </c>
      <c r="T32" s="29">
        <v>10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10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10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10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10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10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10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10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10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10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0.39900000000000002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0.48199999999999998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0.56499999999999995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0.64700000000000002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0.68899999999999995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0.73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0.81200000000000006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0.89500000000000002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0.41699999999999998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0.503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0.58899999999999997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0.67600000000000005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0.71899999999999997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0.76200000000000001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0.84799999999999998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0.93500000000000005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0.435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1.216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0.52400000000000002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1.216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0.61399999999999999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1.216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0.70399999999999996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1.216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0.749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1.216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0.79400000000000004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1.216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0.88400000000000001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1.216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0.97399999999999998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1.216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0.44600000000000001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0.53900000000000003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0.63100000000000001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0.72299999999999998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0.77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0.81599999999999995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0.90800000000000003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1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0.47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0.56699999999999995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0.66400000000000003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0.76100000000000001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0.81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0.85899999999999999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0.95599999999999996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1.0529999999999999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0.35799999999999998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0.441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0.52300000000000002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0.60599999999999998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0.77100000000000002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0.85399999999999998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0.93600000000000005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0.374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0.46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0.54600000000000004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0.63300000000000001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0.80500000000000005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0.89100000000000001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0.97799999999999998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0.39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1.216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0.48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1.216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0.56899999999999995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1.216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0.65900000000000003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1.216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0.83899999999999997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1.216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0.92900000000000005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1.216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1.0189999999999999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1.216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0.4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0.49199999999999999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0.58499999999999996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0.67700000000000005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0.86199999999999999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0.95399999999999996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1.0469999999999999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0.42099999999999999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0.51800000000000002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0.61599999999999999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0.71299999999999997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0.90700000000000003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1.004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1.1020000000000001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22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22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23" t="s">
        <v>49</v>
      </c>
      <c r="C4" s="23" t="s">
        <v>50</v>
      </c>
      <c r="D4" s="49" t="s">
        <v>51</v>
      </c>
      <c r="E4" s="23" t="s">
        <v>3</v>
      </c>
      <c r="F4" s="49" t="s">
        <v>52</v>
      </c>
      <c r="G4" s="23" t="s">
        <v>53</v>
      </c>
      <c r="H4" s="23" t="s">
        <v>6</v>
      </c>
      <c r="I4" s="23" t="s">
        <v>54</v>
      </c>
      <c r="J4" s="49" t="s">
        <v>55</v>
      </c>
      <c r="K4" s="49" t="s">
        <v>56</v>
      </c>
      <c r="L4" s="49" t="s">
        <v>57</v>
      </c>
      <c r="M4" s="24" t="s">
        <v>58</v>
      </c>
      <c r="N4" s="25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0.39900000000000002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0.48199999999999998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0.56499999999999995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0.64700000000000002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0.68899999999999995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0.73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0.81200000000000006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0.89500000000000002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0.41699999999999998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0.503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0.58899999999999997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0.67600000000000005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0.71899999999999997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0.76200000000000001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0.84799999999999998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0.93500000000000005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0.435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1.216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0.52400000000000002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1.216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0.61399999999999999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1.216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0.70399999999999996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1.216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0.749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1.216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0.79400000000000004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1.216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0.88400000000000001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0.97399999999999998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0.44600000000000001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0.53900000000000003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0.63100000000000001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0.72299999999999998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0.77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0.81599999999999995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0.90800000000000003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0.47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0.56699999999999995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0.66400000000000003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0.76100000000000001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0.81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0.85899999999999999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0.95599999999999996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1.0529999999999999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0.35799999999999998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0.441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0.52300000000000002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0.60599999999999998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0.77100000000000002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0.85399999999999998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0.93600000000000005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0.374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0.46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0.54600000000000004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0.63300000000000001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0.80500000000000005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0.89100000000000001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0.97799999999999998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0.39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1.216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0.48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0.56899999999999995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1.216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0.65900000000000003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1.216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0.83899999999999997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1.216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0.92900000000000005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1.0189999999999999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1.216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0.4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0.49199999999999999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0.58499999999999996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0.67700000000000005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0.86199999999999999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0.95399999999999996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1.0469999999999999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0.42099999999999999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0.51800000000000002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0.61599999999999999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0.71299999999999997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0.90700000000000003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1.004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1.1020000000000001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2026-06-01T08:26:14Z</dcterms:modified>
</cp:coreProperties>
</file>