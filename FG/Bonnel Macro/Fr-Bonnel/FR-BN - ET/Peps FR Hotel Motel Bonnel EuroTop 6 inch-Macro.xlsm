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E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4" i="13"/>
  <c r="G4" i="13"/>
  <c r="H4" i="13" s="1"/>
  <c r="E14" i="13" l="1"/>
  <c r="D3" i="13" l="1"/>
  <c r="D5" i="13"/>
  <c r="D6" i="13"/>
  <c r="D7" i="13"/>
  <c r="D8" i="13"/>
  <c r="D9" i="13"/>
  <c r="D10" i="13"/>
  <c r="D11" i="13"/>
  <c r="D12" i="13"/>
  <c r="D13" i="13"/>
  <c r="D14" i="13"/>
  <c r="D2" i="13"/>
  <c r="G5" i="13" l="1"/>
  <c r="G13" i="13" l="1"/>
  <c r="H14" i="13" l="1"/>
  <c r="H13" i="13"/>
  <c r="H12" i="13"/>
  <c r="H11" i="13"/>
  <c r="H10" i="13"/>
  <c r="H9" i="13"/>
  <c r="G8" i="13"/>
  <c r="H8" i="13" s="1"/>
  <c r="G7" i="13"/>
  <c r="H7" i="13" s="1"/>
  <c r="G6" i="13"/>
  <c r="H6" i="13" s="1"/>
  <c r="H5" i="13"/>
  <c r="G3" i="13"/>
  <c r="H3" i="13" s="1"/>
  <c r="H2" i="13"/>
</calcChain>
</file>

<file path=xl/sharedStrings.xml><?xml version="1.0" encoding="utf-8"?>
<sst xmlns="http://schemas.openxmlformats.org/spreadsheetml/2006/main" count="11047" uniqueCount="338">
  <si>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</si>
  <si>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</si>
  <si>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</si>
  <si>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</si>
  <si>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</si>
  <si>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</si>
  <si>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</si>
  <si>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</si>
  <si>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</si>
  <si>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</si>
  <si>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</si>
  <si>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</si>
  <si>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</si>
  <si>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</si>
  <si>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</si>
  <si>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</si>
  <si>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</si>
  <si>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</si>
  <si>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</si>
  <si>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</si>
  <si>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</si>
  <si>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</si>
  <si>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</si>
  <si>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</si>
  <si>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</si>
  <si>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</si>
  <si>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</si>
  <si>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</si>
  <si>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</si>
  <si>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</si>
  <si>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</si>
  <si>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</si>
  <si>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</si>
  <si>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</si>
  <si>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</si>
  <si>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</si>
  <si>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</si>
  <si>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</si>
  <si>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</si>
  <si>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</si>
  <si>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</si>
  <si>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</si>
  <si>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</si>
  <si>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</si>
  <si>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</si>
  <si>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</si>
  <si>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</si>
  <si>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</si>
  <si>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</si>
  <si>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</si>
  <si>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</si>
  <si>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</si>
  <si>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</si>
  <si>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</si>
  <si>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</si>
  <si>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</si>
  <si>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</si>
  <si>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</si>
  <si>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</si>
  <si>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</si>
  <si>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</si>
  <si>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</si>
  <si>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</si>
  <si>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</si>
  <si>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</si>
  <si>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</si>
  <si>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</si>
  <si>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</si>
  <si>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</si>
  <si>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</si>
  <si>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</si>
  <si>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</si>
  <si>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</si>
  <si>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</si>
  <si>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</si>
  <si>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</si>
  <si>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</si>
  <si>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</si>
  <si>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</si>
  <si>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</si>
  <si>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</si>
  <si>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</si>
  <si>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</si>
  <si>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</si>
  <si>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</si>
  <si>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</si>
  <si>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</si>
  <si>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</si>
  <si>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</si>
  <si>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</si>
  <si>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</si>
  <si>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</si>
  <si>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</si>
  <si>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</si>
  <si>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</si>
  <si>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</si>
  <si>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</si>
  <si>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</si>
  <si>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</si>
  <si>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</si>
  <si>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</si>
  <si>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</si>
  <si>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</si>
  <si>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</si>
  <si>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</si>
  <si>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</si>
  <si>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</si>
  <si>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</si>
  <si>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</si>
  <si>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SFG-RTHTMTRG-BONPOC-BP</t>
  </si>
  <si>
    <t>RMI-PVC-50</t>
  </si>
  <si>
    <t>RML-CS-PL-6.5"</t>
  </si>
  <si>
    <t>SFG-RTHTMTRG-BONPOC-QUILT</t>
  </si>
  <si>
    <t>RTHTMTBNOET72X33X06</t>
  </si>
  <si>
    <t>RTHTMTBNOET72X39X06</t>
  </si>
  <si>
    <t>RTHTMTBNOET72X45X06</t>
  </si>
  <si>
    <t>RTHTMTBNOET72X51X06</t>
  </si>
  <si>
    <t>RTHTMTBNOET72X54X06</t>
  </si>
  <si>
    <t>RTHTMTBNOET72X57X06</t>
  </si>
  <si>
    <t>RTHTMTBNOET72X63X06</t>
  </si>
  <si>
    <t>RTHTMTBNOET72X69X06</t>
  </si>
  <si>
    <t>RTHTMTBNOET75X33X06</t>
  </si>
  <si>
    <t>RTHTMTBNOET75X39X06</t>
  </si>
  <si>
    <t>RTHTMTBNOET75X45X06</t>
  </si>
  <si>
    <t>RTHTMTBNOET75X51X06</t>
  </si>
  <si>
    <t>RTHTMTBNOET75X54X06</t>
  </si>
  <si>
    <t>RTHTMTBNOET75X57X06</t>
  </si>
  <si>
    <t>RTHTMTBNOET75X63X06</t>
  </si>
  <si>
    <t>RTHTMTBNOET75X69X06</t>
  </si>
  <si>
    <t>RTHTMTBNOET78X33X06</t>
  </si>
  <si>
    <t>RTHTMTBNOET78X39X06</t>
  </si>
  <si>
    <t>RTHTMTBNOET78X45X06</t>
  </si>
  <si>
    <t>RTHTMTBNOET78X51X06</t>
  </si>
  <si>
    <t>RTHTMTBNOET78X54X06</t>
  </si>
  <si>
    <t>RTHTMTBNOET78X57X06</t>
  </si>
  <si>
    <t>RTHTMTBNOET78X63X06</t>
  </si>
  <si>
    <t>RTHTMTBNOET78X69X06</t>
  </si>
  <si>
    <t>RTHTMTBNOET80X33X06</t>
  </si>
  <si>
    <t>RTHTMTBNOET80X39X06</t>
  </si>
  <si>
    <t>RTHTMTBNOET80X45X06</t>
  </si>
  <si>
    <t>RTHTMTBNOET80X51X06</t>
  </si>
  <si>
    <t>RTHTMTBNOET80X54X06</t>
  </si>
  <si>
    <t>RTHTMTBNOET80X57X06</t>
  </si>
  <si>
    <t>RTHTMTBNOET80X63X06</t>
  </si>
  <si>
    <t>RTHTMTBNOET80X69X06</t>
  </si>
  <si>
    <t>RTHTMTBNOET84X33X06</t>
  </si>
  <si>
    <t>RTHTMTBNOET84X39X06</t>
  </si>
  <si>
    <t>RTHTMTBNOET84X45X06</t>
  </si>
  <si>
    <t>RTHTMTBNOET84X51X06</t>
  </si>
  <si>
    <t>RTHTMTBNOET84X54X06</t>
  </si>
  <si>
    <t>RTHTMTBNOET84X57X06</t>
  </si>
  <si>
    <t>RTHTMTBNOET84X63X06</t>
  </si>
  <si>
    <t>RTHTMTBNOET84X69X06</t>
  </si>
  <si>
    <t>RTHTMTBNOET72X30X06</t>
  </si>
  <si>
    <t>RTHTMTBNOET72X36X06</t>
  </si>
  <si>
    <t>RTHTMTBNOET72X42X06</t>
  </si>
  <si>
    <t>RTHTMTBNOET72X48X06</t>
  </si>
  <si>
    <t>RTHTMTBNOET72X60X06</t>
  </si>
  <si>
    <t>RTHTMTBNOET72X66X06</t>
  </si>
  <si>
    <t>RTHTMTBNOET72X72X06</t>
  </si>
  <si>
    <t>RTHTMTBNOET75X30X06</t>
  </si>
  <si>
    <t>RTHTMTBNOET75X36X06</t>
  </si>
  <si>
    <t>RTHTMTBNOET75X42X06</t>
  </si>
  <si>
    <t>RTHTMTBNOET75X48X06</t>
  </si>
  <si>
    <t>RTHTMTBNOET75X60X06</t>
  </si>
  <si>
    <t>RTHTMTBNOET75X66X06</t>
  </si>
  <si>
    <t>RTHTMTBNOET75X72X06</t>
  </si>
  <si>
    <t>RTHTMTBNOET78X30X06</t>
  </si>
  <si>
    <t>RTHTMTBNOET78X36X06</t>
  </si>
  <si>
    <t>RTHTMTBNOET78X42X06</t>
  </si>
  <si>
    <t>RTHTMTBNOET78X48X06</t>
  </si>
  <si>
    <t>RTHTMTBNOET78X60X06</t>
  </si>
  <si>
    <t>RTHTMTBNOET78X66X06</t>
  </si>
  <si>
    <t>RTHTMTBNOET78X72X06</t>
  </si>
  <si>
    <t>RTHTMTBNOET80X30X06</t>
  </si>
  <si>
    <t>RTHTMTBNOET80X36X06</t>
  </si>
  <si>
    <t>RTHTMTBNOET80X42X06</t>
  </si>
  <si>
    <t>RTHTMTBNOET80X48X06</t>
  </si>
  <si>
    <t>RTHTMTBNOET80X60X06</t>
  </si>
  <si>
    <t>RTHTMTBNOET80X66X06</t>
  </si>
  <si>
    <t>RTHTMTBNOET80X72X06</t>
  </si>
  <si>
    <t>RTHTMTBNOET84X30X06</t>
  </si>
  <si>
    <t>RTHTMTBNOET84X36X06</t>
  </si>
  <si>
    <t>RTHTMTBNOET84X42X06</t>
  </si>
  <si>
    <t>RTHTMTBNOET84X48X06</t>
  </si>
  <si>
    <t>RTHTMTBNOET84X60X06</t>
  </si>
  <si>
    <t>RTHTMTBNOET84X66X06</t>
  </si>
  <si>
    <t>RTHTMTBNOET84X72X06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</si>
  <si>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</si>
  <si>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</si>
  <si>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</si>
  <si>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</si>
  <si>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</si>
  <si>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</si>
  <si>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</si>
  <si>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</si>
  <si>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</si>
  <si>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</si>
  <si>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</si>
  <si>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</si>
  <si>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</si>
  <si>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</si>
  <si>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</si>
  <si>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</si>
  <si>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</si>
  <si>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</si>
  <si>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</si>
  <si>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</si>
  <si>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</si>
  <si>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</si>
  <si>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</si>
  <si>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</si>
  <si>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</si>
  <si>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</si>
  <si>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</si>
  <si>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</si>
  <si>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</si>
  <si>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</si>
  <si>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</si>
  <si>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</si>
  <si>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</si>
  <si>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</si>
  <si>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</si>
  <si>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</si>
  <si>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</si>
  <si>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</si>
  <si>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</si>
  <si>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</si>
  <si>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</si>
  <si>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</si>
  <si>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</si>
  <si>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</si>
  <si>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</si>
  <si>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</si>
  <si>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</si>
  <si>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</si>
  <si>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</si>
  <si>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</si>
  <si>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</si>
  <si>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</si>
  <si>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</si>
  <si>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</si>
  <si>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</si>
  <si>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</si>
  <si>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</si>
  <si>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</si>
  <si>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</si>
  <si>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</si>
  <si>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</si>
  <si>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</si>
  <si>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</si>
  <si>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</si>
  <si>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</si>
  <si>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</si>
  <si>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</si>
  <si>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</si>
  <si>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</si>
  <si>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</si>
  <si>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</si>
  <si>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</si>
  <si>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</si>
  <si>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</si>
  <si>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</si>
  <si>
    <t>OEBOXBNSR71.50X32.50X120</t>
  </si>
  <si>
    <t>OEBOXBNSR71.50X38.50X120</t>
  </si>
  <si>
    <t>OEBOXBNSR71.50X44.50X120</t>
  </si>
  <si>
    <t>OEBOXBNSR71.50X50.50X120</t>
  </si>
  <si>
    <t>OEBOXBNSR71.50X53.50X120</t>
  </si>
  <si>
    <t>OEBOXBNSR71.50X56.50X120</t>
  </si>
  <si>
    <t>OEBOXBNSR71.50X62.50X120</t>
  </si>
  <si>
    <t>OEBOXBNSR71.50X68.50X120</t>
  </si>
  <si>
    <t>OEBOXBNSR74.50X32.50X120</t>
  </si>
  <si>
    <t>OEBOXBNSR74.50X38.50X120</t>
  </si>
  <si>
    <t>OEBOXBNSR74.50X44.50X120</t>
  </si>
  <si>
    <t>OEBOXBNSR74.50X50.50X120</t>
  </si>
  <si>
    <t>OEBOXBNSR74.50X53.50X120</t>
  </si>
  <si>
    <t>OEBOXBNSR74.50X56.50X120</t>
  </si>
  <si>
    <t>OEBOXBNSR74.50X62.50X120</t>
  </si>
  <si>
    <t>OEBOXBNSR74.50X68.50X120</t>
  </si>
  <si>
    <t>OEBOXBNSR77.50X32.50X120</t>
  </si>
  <si>
    <t>OEBOXBNSR77.50X38.50X120</t>
  </si>
  <si>
    <t>OEBOXBNSR77.50X44.50X120</t>
  </si>
  <si>
    <t>OEBOXBNSR77.50X50.50X120</t>
  </si>
  <si>
    <t>OEBOXBNSR77.50X53.50X120</t>
  </si>
  <si>
    <t>OEBOXBNSR77.50X56.50X120</t>
  </si>
  <si>
    <t>OEBOXBNSR77.50X62.50X120</t>
  </si>
  <si>
    <t>OEBOXBNSR77.50X68.50X120</t>
  </si>
  <si>
    <t>OEBOXBNSR79.50X32.50X120</t>
  </si>
  <si>
    <t>OEBOXBNSR79.50X38.50X120</t>
  </si>
  <si>
    <t>OEBOXBNSR79.50X44.50X120</t>
  </si>
  <si>
    <t>OEBOXBNSR79.50X50.50X120</t>
  </si>
  <si>
    <t>OEBOXBNSR79.50X53.50X120</t>
  </si>
  <si>
    <t>OEBOXBNSR79.50X56.50X120</t>
  </si>
  <si>
    <t>OEBOXBNSR79.50X62.50X120</t>
  </si>
  <si>
    <t>OEBOXBNSR79.50X68.50X120</t>
  </si>
  <si>
    <t>OEBOXBNSR83.50X32.50X120</t>
  </si>
  <si>
    <t>OEBOXBNSR83.50X38.50X120</t>
  </si>
  <si>
    <t>OEBOXBNSR83.50X44.50X120</t>
  </si>
  <si>
    <t>OEBOXBNSR83.50X50.50X120</t>
  </si>
  <si>
    <t>OEBOXBNSR83.50X53.50X120</t>
  </si>
  <si>
    <t>OEBOXBNSR83.50X56.50X120</t>
  </si>
  <si>
    <t>OEBOXBNSR83.50X62.50X120</t>
  </si>
  <si>
    <t>OEBOXBNSR83.50X68.50X120</t>
  </si>
  <si>
    <t>OEBOXBNSR71.50X29.50X120</t>
  </si>
  <si>
    <t>OEBOXBNSR71.50X35.50X120</t>
  </si>
  <si>
    <t>OEBOXBNSR71.50X41.50X120</t>
  </si>
  <si>
    <t>OEBOXBNSR71.50X47.50X120</t>
  </si>
  <si>
    <t>OEBOXBNSR71.50X59.50X120</t>
  </si>
  <si>
    <t>OEBOXBNSR71.50X65.50X120</t>
  </si>
  <si>
    <t>OEBOXBNSR71.50X71.50X120</t>
  </si>
  <si>
    <t>OEBOXBNSR74.50X29.50X120</t>
  </si>
  <si>
    <t>OEBOXBNSR74.50X35.50X120</t>
  </si>
  <si>
    <t>OEBOXBNSR74.50X41.50X120</t>
  </si>
  <si>
    <t>OEBOXBNSR74.50X47.50X120</t>
  </si>
  <si>
    <t>OEBOXBNSR74.50X59.50X120</t>
  </si>
  <si>
    <t>OEBOXBNSR74.50X65.50X120</t>
  </si>
  <si>
    <t>OEBOXBNSR74.50X71.50X120</t>
  </si>
  <si>
    <t>OEBOXBNSR77.50X29.50X120</t>
  </si>
  <si>
    <t>OEBOXBNSR77.50X35.50X120</t>
  </si>
  <si>
    <t>OEBOXBNSR77.50X41.50X120</t>
  </si>
  <si>
    <t>OEBOXBNSR77.50X47.50X120</t>
  </si>
  <si>
    <t>OEBOXBNSR77.50X59.50X120</t>
  </si>
  <si>
    <t>OEBOXBNSR77.50X65.50X120</t>
  </si>
  <si>
    <t>OEBOXBNSR77.50X71.50X120</t>
  </si>
  <si>
    <t>OEBOXBNSR79.50X29.50X120</t>
  </si>
  <si>
    <t>OEBOXBNSR79.50X35.50X120</t>
  </si>
  <si>
    <t>OEBOXBNSR79.50X41.50X120</t>
  </si>
  <si>
    <t>OEBOXBNSR79.50X47.50X120</t>
  </si>
  <si>
    <t>OEBOXBNSR79.50X59.50X120</t>
  </si>
  <si>
    <t>OEBOXBNSR79.50X65.50X120</t>
  </si>
  <si>
    <t>OEBOXBNSR79.50X71.50X120</t>
  </si>
  <si>
    <t>OEBOXBNSR83.50X29.50X120</t>
  </si>
  <si>
    <t>OEBOXBNSR83.50X35.50X120</t>
  </si>
  <si>
    <t>OEBOXBNSR83.50X41.50X120</t>
  </si>
  <si>
    <t>OEBOXBNSR83.50X47.50X120</t>
  </si>
  <si>
    <t>OEBOXBNSR83.50X59.50X120</t>
  </si>
  <si>
    <t>OEBOXBNSR83.50X65.50X120</t>
  </si>
  <si>
    <t>OEBOXBNSR83.50X71.50X120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</si>
</sst>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38">
        <v>1</v>
      </c>
      <c r="B2" s="7" t="s">
        <v>12</v>
      </c>
      <c r="C2" s="7" t="s">
        <v>12</v>
      </c>
      <c r="D2" s="7" t="str">
        <f>"RTHTMTBNOET"&amp;$K$2&amp;"X"&amp;$L$2&amp;"X"&amp;IF($M$2=10,$M$2,"0"&amp;$M$2)</f>
        <v>RTHTMTBNOET75X36X06</v>
      </c>
      <c r="E2" s="1" t="str">
        <f>"OEBOXBNSR"&amp;(K2-0.5)&amp;"0"&amp;"X"&amp;(L2-0.5)&amp;"0"&amp;"X"&amp;IF(M2=6,"120",IF(M2=8,"150",IF(M2=10,"180",0)))</f>
        <v>OEBOXBNSR74.50X35.50X120</v>
      </c>
      <c r="F2" s="34" t="s">
        <v>11</v>
      </c>
      <c r="G2" s="35">
        <v>1</v>
      </c>
      <c r="H2" s="35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1">
        <v>6</v>
      </c>
      <c r="N2" s="6"/>
      <c r="P2" s="4" t="s">
        <v>91</v>
      </c>
      <c r="R2" s="29" t="s">
        <v>92</v>
      </c>
      <c r="S2" s="29" t="s">
        <v>93</v>
      </c>
      <c r="T2" s="29">
        <v>6</v>
      </c>
      <c r="U2" s="30" t="s">
        <v>108</v>
      </c>
    </row>
    <row r="3" spans="1:21" s="17" customFormat="1" x14ac:dyDescent="0.25">
      <c r="A3" s="38">
        <v>2</v>
      </c>
      <c r="B3" s="7" t="s">
        <v>17</v>
      </c>
      <c r="C3" s="7" t="s">
        <v>17</v>
      </c>
      <c r="D3" s="7" t="str">
        <f t="shared" ref="D3:D14" si="1">"RTHTMTBNOET"&amp;$K$2&amp;"X"&amp;$L$2&amp;"X"&amp;IF($M$2=10,$M$2,"0"&amp;$M$2)</f>
        <v>RTHTMTBNOET75X36X06</v>
      </c>
      <c r="E3" s="40" t="s">
        <v>112</v>
      </c>
      <c r="F3" s="11" t="s">
        <v>15</v>
      </c>
      <c r="G3" s="10">
        <f>IF(K2&lt;79,(L2+1),(K2+1))*0.0254</f>
        <v>0.93979999999999997</v>
      </c>
      <c r="H3" s="35">
        <f t="shared" ref="H3" si="2">ROUND(G3,3)</f>
        <v>0.94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6</v>
      </c>
      <c r="U3" s="30" t="s">
        <v>108</v>
      </c>
    </row>
    <row r="4" spans="1:21" x14ac:dyDescent="0.25">
      <c r="A4" s="38">
        <v>3</v>
      </c>
      <c r="B4" s="7" t="s">
        <v>17</v>
      </c>
      <c r="C4" s="7" t="s">
        <v>17</v>
      </c>
      <c r="D4" s="7" t="str">
        <f t="shared" si="1"/>
        <v>RTHTMTBNOET75X36X06</v>
      </c>
      <c r="E4" s="36" t="s">
        <v>109</v>
      </c>
      <c r="F4" s="11" t="s">
        <v>15</v>
      </c>
      <c r="G4" s="10">
        <f>IF(K2&lt;79,(L2+1),(K2+1))*0.0254</f>
        <v>0.93979999999999997</v>
      </c>
      <c r="H4" s="35">
        <f>ROUND(G4,3)</f>
        <v>0.94</v>
      </c>
      <c r="I4" s="18" t="s">
        <v>16</v>
      </c>
      <c r="J4" s="12"/>
      <c r="O4" s="17"/>
      <c r="R4" s="29" t="s">
        <v>92</v>
      </c>
      <c r="S4" s="29" t="s">
        <v>95</v>
      </c>
      <c r="T4" s="29">
        <v>6</v>
      </c>
      <c r="U4" s="30" t="s">
        <v>108</v>
      </c>
    </row>
    <row r="5" spans="1:21" x14ac:dyDescent="0.25">
      <c r="A5" s="38">
        <v>4</v>
      </c>
      <c r="B5" s="7" t="s">
        <v>19</v>
      </c>
      <c r="C5" s="7" t="s">
        <v>19</v>
      </c>
      <c r="D5" s="7" t="str">
        <f t="shared" si="1"/>
        <v>RTHTMTBNOET75X36X06</v>
      </c>
      <c r="E5" s="9" t="s">
        <v>105</v>
      </c>
      <c r="F5" s="11" t="s">
        <v>106</v>
      </c>
      <c r="G5" s="10">
        <f>((K2-4)*(L2-4)/144)*0.00729*3</f>
        <v>0.34505999999999998</v>
      </c>
      <c r="H5" s="35">
        <f>ROUND(G5,3)</f>
        <v>0.34499999999999997</v>
      </c>
      <c r="I5" s="8" t="s">
        <v>14</v>
      </c>
      <c r="J5" s="12"/>
      <c r="O5" s="17"/>
      <c r="R5" s="29" t="s">
        <v>92</v>
      </c>
      <c r="S5" s="29" t="s">
        <v>96</v>
      </c>
      <c r="T5" s="29">
        <v>6</v>
      </c>
      <c r="U5" s="30" t="s">
        <v>108</v>
      </c>
    </row>
    <row r="6" spans="1:21" x14ac:dyDescent="0.25">
      <c r="A6" s="38">
        <v>5</v>
      </c>
      <c r="B6" s="7" t="s">
        <v>17</v>
      </c>
      <c r="C6" s="7" t="s">
        <v>17</v>
      </c>
      <c r="D6" s="7" t="str">
        <f t="shared" si="1"/>
        <v>RTHTMTBNOET75X36X06</v>
      </c>
      <c r="E6" s="33" t="s">
        <v>18</v>
      </c>
      <c r="F6" s="37" t="s">
        <v>15</v>
      </c>
      <c r="G6" s="10">
        <f>(K2+L2+1.5)*2*0.0254*20</f>
        <v>114.3</v>
      </c>
      <c r="H6" s="35">
        <f>ROUND(G6,3)</f>
        <v>114.3</v>
      </c>
      <c r="I6" s="8" t="s">
        <v>14</v>
      </c>
      <c r="J6" s="12"/>
      <c r="R6" s="29" t="s">
        <v>92</v>
      </c>
      <c r="S6" s="29" t="s">
        <v>97</v>
      </c>
      <c r="T6" s="29">
        <v>6</v>
      </c>
      <c r="U6" s="30" t="s">
        <v>108</v>
      </c>
    </row>
    <row r="7" spans="1:21" x14ac:dyDescent="0.25">
      <c r="A7" s="38">
        <v>6</v>
      </c>
      <c r="B7" s="7" t="s">
        <v>19</v>
      </c>
      <c r="C7" s="7" t="s">
        <v>19</v>
      </c>
      <c r="D7" s="7" t="str">
        <f t="shared" si="1"/>
        <v>RTHTMTBNOET75X36X06</v>
      </c>
      <c r="E7" s="33" t="s">
        <v>107</v>
      </c>
      <c r="F7" s="37" t="s">
        <v>15</v>
      </c>
      <c r="G7" s="10">
        <f>(K2+L2+4)*2*0.0254*3</f>
        <v>17.526</v>
      </c>
      <c r="H7" s="35">
        <f t="shared" ref="H7:H14" si="3">ROUND(G7,3)</f>
        <v>17.526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6</v>
      </c>
      <c r="U7" s="30" t="s">
        <v>108</v>
      </c>
    </row>
    <row r="8" spans="1:21" x14ac:dyDescent="0.25">
      <c r="A8" s="38">
        <v>7</v>
      </c>
      <c r="B8" s="7" t="s">
        <v>19</v>
      </c>
      <c r="C8" s="7" t="s">
        <v>19</v>
      </c>
      <c r="D8" s="7" t="str">
        <f t="shared" si="1"/>
        <v>RTHTMTBNOET75X36X06</v>
      </c>
      <c r="E8" s="33" t="s">
        <v>18</v>
      </c>
      <c r="F8" s="37" t="s">
        <v>15</v>
      </c>
      <c r="G8" s="10">
        <f>(K2+L2+4)*2*0.0254*(4.73+1.42)*3</f>
        <v>107.78489999999999</v>
      </c>
      <c r="H8" s="35">
        <f t="shared" si="3"/>
        <v>107.785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6</v>
      </c>
      <c r="U8" s="30" t="s">
        <v>108</v>
      </c>
    </row>
    <row r="9" spans="1:21" x14ac:dyDescent="0.25">
      <c r="A9" s="38">
        <v>8</v>
      </c>
      <c r="B9" s="7" t="s">
        <v>20</v>
      </c>
      <c r="C9" s="33" t="s">
        <v>20</v>
      </c>
      <c r="D9" s="7" t="str">
        <f t="shared" si="1"/>
        <v>RTHTMTBNOET75X36X06</v>
      </c>
      <c r="E9" s="33" t="s">
        <v>111</v>
      </c>
      <c r="F9" s="37" t="s">
        <v>11</v>
      </c>
      <c r="G9" s="10">
        <v>4</v>
      </c>
      <c r="H9" s="35">
        <f t="shared" si="3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6</v>
      </c>
      <c r="U9" s="30" t="s">
        <v>108</v>
      </c>
    </row>
    <row r="10" spans="1:21" x14ac:dyDescent="0.25">
      <c r="A10" s="38">
        <v>9</v>
      </c>
      <c r="B10" s="7" t="s">
        <v>19</v>
      </c>
      <c r="C10" s="7" t="s">
        <v>19</v>
      </c>
      <c r="D10" s="7" t="str">
        <f t="shared" si="1"/>
        <v>RTHTMTBNOET75X36X06</v>
      </c>
      <c r="E10" s="33" t="s">
        <v>21</v>
      </c>
      <c r="F10" s="37" t="s">
        <v>11</v>
      </c>
      <c r="G10" s="10">
        <v>1</v>
      </c>
      <c r="H10" s="35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6</v>
      </c>
      <c r="U10" s="30" t="s">
        <v>108</v>
      </c>
    </row>
    <row r="11" spans="1:21" x14ac:dyDescent="0.25">
      <c r="A11" s="38">
        <v>10</v>
      </c>
      <c r="B11" s="7" t="s">
        <v>20</v>
      </c>
      <c r="C11" s="33" t="s">
        <v>20</v>
      </c>
      <c r="D11" s="7" t="str">
        <f t="shared" si="1"/>
        <v>RTHTMTBNOET75X36X06</v>
      </c>
      <c r="E11" s="33" t="s">
        <v>22</v>
      </c>
      <c r="F11" s="37" t="s">
        <v>11</v>
      </c>
      <c r="G11" s="14">
        <v>1</v>
      </c>
      <c r="H11" s="35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6</v>
      </c>
      <c r="U11" s="30" t="s">
        <v>108</v>
      </c>
    </row>
    <row r="12" spans="1:21" x14ac:dyDescent="0.25">
      <c r="A12" s="38">
        <v>11</v>
      </c>
      <c r="B12" s="7" t="s">
        <v>20</v>
      </c>
      <c r="C12" s="9" t="s">
        <v>20</v>
      </c>
      <c r="D12" s="7" t="str">
        <f t="shared" si="1"/>
        <v>RTHTMTBNOET75X36X06</v>
      </c>
      <c r="E12" s="9" t="s">
        <v>23</v>
      </c>
      <c r="F12" s="11" t="s">
        <v>11</v>
      </c>
      <c r="G12" s="14">
        <v>1</v>
      </c>
      <c r="H12" s="35">
        <f t="shared" si="3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6</v>
      </c>
      <c r="U12" s="30" t="s">
        <v>108</v>
      </c>
    </row>
    <row r="13" spans="1:21" x14ac:dyDescent="0.25">
      <c r="A13" s="38">
        <v>12</v>
      </c>
      <c r="B13" s="7" t="s">
        <v>20</v>
      </c>
      <c r="C13" s="9" t="s">
        <v>20</v>
      </c>
      <c r="D13" s="7" t="str">
        <f t="shared" si="1"/>
        <v>RTHTMTBNOET75X36X06</v>
      </c>
      <c r="E13" s="9" t="s">
        <v>110</v>
      </c>
      <c r="F13" s="11" t="s">
        <v>13</v>
      </c>
      <c r="G13" s="10">
        <f>IF(K2&lt;79,((L2*2)+(M2*2)+4),((K2*2)+(M2*2)+4))*0.0254*89.5*0.0254*0.00005*1300</f>
        <v>0.33028321039999997</v>
      </c>
      <c r="H13" s="35">
        <f t="shared" si="3"/>
        <v>0.33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6</v>
      </c>
      <c r="U13" s="30" t="s">
        <v>108</v>
      </c>
    </row>
    <row r="14" spans="1:21" x14ac:dyDescent="0.25">
      <c r="A14" s="38">
        <v>13</v>
      </c>
      <c r="B14" s="7" t="s">
        <v>19</v>
      </c>
      <c r="C14" s="7" t="s">
        <v>19</v>
      </c>
      <c r="D14" s="7" t="str">
        <f t="shared" si="1"/>
        <v>RTHTMTBNOET75X36X06</v>
      </c>
      <c r="E14" s="39" t="str">
        <f>"60D-RB-MAT-FOAM-"&amp;(K2-0.5)&amp;"0"&amp;"X"&amp;(L2-0.5)&amp;"0"&amp;"X15MM"</f>
        <v>60D-RB-MAT-FOAM-74.50X35.50X15MM</v>
      </c>
      <c r="F14" s="8" t="s">
        <v>11</v>
      </c>
      <c r="G14" s="14">
        <v>1</v>
      </c>
      <c r="H14" s="35">
        <f t="shared" si="3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6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6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6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6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6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6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6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6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6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6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6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6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6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6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6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6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6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6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6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6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6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6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6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6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6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6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6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6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/>
    </row>
    <row r="50" spans="14:21" x14ac:dyDescent="0.25">
      <c r="R50" s="29">
        <v>75</v>
      </c>
      <c r="S50" s="29">
        <v>36</v>
      </c>
      <c r="T50" s="29">
        <v>6</v>
      </c>
      <c r="U50" s="30"/>
    </row>
    <row r="51" spans="14:21" x14ac:dyDescent="0.25">
      <c r="R51" s="29">
        <v>75</v>
      </c>
      <c r="S51" s="29">
        <v>42</v>
      </c>
      <c r="T51" s="29">
        <v>6</v>
      </c>
      <c r="U51" s="30"/>
    </row>
    <row r="52" spans="14:21" x14ac:dyDescent="0.25">
      <c r="R52" s="29">
        <v>75</v>
      </c>
      <c r="S52" s="29">
        <v>48</v>
      </c>
      <c r="T52" s="29">
        <v>6</v>
      </c>
      <c r="U52" s="30"/>
    </row>
    <row r="53" spans="14:21" x14ac:dyDescent="0.25">
      <c r="R53" s="29">
        <v>75</v>
      </c>
      <c r="S53" s="29">
        <v>60</v>
      </c>
      <c r="T53" s="29">
        <v>6</v>
      </c>
      <c r="U53" s="30"/>
    </row>
    <row r="54" spans="14:21" x14ac:dyDescent="0.25">
      <c r="R54" s="29">
        <v>75</v>
      </c>
      <c r="S54" s="29">
        <v>66</v>
      </c>
      <c r="T54" s="29">
        <v>6</v>
      </c>
      <c r="U54" s="30"/>
    </row>
    <row r="55" spans="14:21" x14ac:dyDescent="0.25">
      <c r="R55" s="29">
        <v>75</v>
      </c>
      <c r="S55" s="29">
        <v>72</v>
      </c>
      <c r="T55" s="29">
        <v>6</v>
      </c>
      <c r="U55" s="30"/>
    </row>
    <row r="56" spans="14:21" x14ac:dyDescent="0.25">
      <c r="R56" s="29">
        <v>78</v>
      </c>
      <c r="S56" s="29">
        <v>30</v>
      </c>
      <c r="T56" s="29">
        <v>6</v>
      </c>
      <c r="U56" s="30"/>
    </row>
    <row r="57" spans="14:21" x14ac:dyDescent="0.25">
      <c r="R57" s="29">
        <v>78</v>
      </c>
      <c r="S57" s="29">
        <v>36</v>
      </c>
      <c r="T57" s="29">
        <v>6</v>
      </c>
      <c r="U57" s="30"/>
    </row>
    <row r="58" spans="14:21" x14ac:dyDescent="0.25">
      <c r="R58" s="29">
        <v>78</v>
      </c>
      <c r="S58" s="29">
        <v>42</v>
      </c>
      <c r="T58" s="29">
        <v>6</v>
      </c>
      <c r="U58" s="30"/>
    </row>
    <row r="59" spans="14:21" x14ac:dyDescent="0.25">
      <c r="R59" s="29">
        <v>78</v>
      </c>
      <c r="S59" s="29">
        <v>48</v>
      </c>
      <c r="T59" s="29">
        <v>6</v>
      </c>
      <c r="U59" s="30"/>
    </row>
    <row r="60" spans="14:21" x14ac:dyDescent="0.25">
      <c r="R60" s="29">
        <v>78</v>
      </c>
      <c r="S60" s="29">
        <v>60</v>
      </c>
      <c r="T60" s="29">
        <v>6</v>
      </c>
      <c r="U60" s="30"/>
    </row>
    <row r="61" spans="14:21" x14ac:dyDescent="0.25">
      <c r="R61" s="29">
        <v>78</v>
      </c>
      <c r="S61" s="29">
        <v>66</v>
      </c>
      <c r="T61" s="29">
        <v>6</v>
      </c>
      <c r="U61" s="30"/>
    </row>
    <row r="62" spans="14:21" x14ac:dyDescent="0.25">
      <c r="R62" s="29">
        <v>78</v>
      </c>
      <c r="S62" s="29">
        <v>72</v>
      </c>
      <c r="T62" s="29">
        <v>6</v>
      </c>
      <c r="U62" s="30"/>
    </row>
    <row r="63" spans="14:21" x14ac:dyDescent="0.25">
      <c r="R63" s="29">
        <v>80</v>
      </c>
      <c r="S63" s="29">
        <v>30</v>
      </c>
      <c r="T63" s="29">
        <v>6</v>
      </c>
      <c r="U63" s="30"/>
    </row>
    <row r="64" spans="14:21" x14ac:dyDescent="0.25">
      <c r="R64" s="29">
        <v>80</v>
      </c>
      <c r="S64" s="29">
        <v>36</v>
      </c>
      <c r="T64" s="29">
        <v>6</v>
      </c>
      <c r="U64" s="30"/>
    </row>
    <row r="65" spans="18:21" x14ac:dyDescent="0.25">
      <c r="R65" s="29">
        <v>80</v>
      </c>
      <c r="S65" s="29">
        <v>42</v>
      </c>
      <c r="T65" s="29">
        <v>6</v>
      </c>
      <c r="U65" s="30"/>
    </row>
    <row r="66" spans="18:21" x14ac:dyDescent="0.25">
      <c r="R66" s="29">
        <v>80</v>
      </c>
      <c r="S66" s="29">
        <v>48</v>
      </c>
      <c r="T66" s="29">
        <v>6</v>
      </c>
      <c r="U66" s="30"/>
    </row>
    <row r="67" spans="18:21" x14ac:dyDescent="0.25">
      <c r="R67" s="29">
        <v>80</v>
      </c>
      <c r="S67" s="29">
        <v>60</v>
      </c>
      <c r="T67" s="29">
        <v>6</v>
      </c>
      <c r="U67" s="30"/>
    </row>
    <row r="68" spans="18:21" x14ac:dyDescent="0.25">
      <c r="R68" s="29">
        <v>80</v>
      </c>
      <c r="S68" s="29">
        <v>66</v>
      </c>
      <c r="T68" s="29">
        <v>6</v>
      </c>
      <c r="U68" s="30"/>
    </row>
    <row r="69" spans="18:21" x14ac:dyDescent="0.25">
      <c r="R69" s="29">
        <v>80</v>
      </c>
      <c r="S69" s="29">
        <v>72</v>
      </c>
      <c r="T69" s="29">
        <v>6</v>
      </c>
      <c r="U69" s="30"/>
    </row>
    <row r="70" spans="18:21" x14ac:dyDescent="0.25">
      <c r="R70" s="29">
        <v>84</v>
      </c>
      <c r="S70" s="29">
        <v>30</v>
      </c>
      <c r="T70" s="29">
        <v>6</v>
      </c>
      <c r="U70" s="30"/>
    </row>
    <row r="71" spans="18:21" x14ac:dyDescent="0.25">
      <c r="R71" s="29">
        <v>84</v>
      </c>
      <c r="S71" s="29">
        <v>36</v>
      </c>
      <c r="T71" s="29">
        <v>6</v>
      </c>
      <c r="U71" s="30"/>
    </row>
    <row r="72" spans="18:21" x14ac:dyDescent="0.25">
      <c r="R72" s="29">
        <v>84</v>
      </c>
      <c r="S72" s="29">
        <v>42</v>
      </c>
      <c r="T72" s="29">
        <v>6</v>
      </c>
      <c r="U72" s="30"/>
    </row>
    <row r="73" spans="18:21" x14ac:dyDescent="0.25">
      <c r="R73" s="29">
        <v>84</v>
      </c>
      <c r="S73" s="29">
        <v>48</v>
      </c>
      <c r="T73" s="29">
        <v>6</v>
      </c>
      <c r="U73" s="30"/>
    </row>
    <row r="74" spans="18:21" x14ac:dyDescent="0.25">
      <c r="R74" s="29">
        <v>84</v>
      </c>
      <c r="S74" s="29">
        <v>60</v>
      </c>
      <c r="T74" s="29">
        <v>6</v>
      </c>
      <c r="U74" s="30"/>
    </row>
    <row r="75" spans="18:21" x14ac:dyDescent="0.25">
      <c r="R75" s="29">
        <v>84</v>
      </c>
      <c r="S75" s="29">
        <v>66</v>
      </c>
      <c r="T75" s="29">
        <v>6</v>
      </c>
      <c r="U75" s="30"/>
    </row>
    <row r="76" spans="18:21" x14ac:dyDescent="0.25">
      <c r="R76" s="29">
        <v>84</v>
      </c>
      <c r="S76" s="29">
        <v>72</v>
      </c>
      <c r="T76" s="29">
        <v>6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112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109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0.29899999999999999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108.20399999999999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16.611999999999998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102.161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111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0.308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112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109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0.36099999999999999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114.3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17.526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107.785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111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110</v>
      </c>
      <c r="E26" t="s">
        <v>13</v>
      </c>
      <c r="F26">
        <v>0.35299999999999998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112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109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0.42299999999999999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120.396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18.440000000000001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113.408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111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110</v>
      </c>
      <c r="E39" t="s">
        <v>13</v>
      </c>
      <c r="F39">
        <v>0.39800000000000002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112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109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0.48499999999999999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126.492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19.355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119.032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111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110</v>
      </c>
      <c r="E52" t="s">
        <v>13</v>
      </c>
      <c r="F52">
        <v>0.443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112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109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0.51600000000000001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129.54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19.812000000000001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121.84399999999999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111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110</v>
      </c>
      <c r="E65" t="s">
        <v>13</v>
      </c>
      <c r="F65">
        <v>0.46500000000000002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112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109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0.54700000000000004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132.58799999999999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20.268999999999998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124.65600000000001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111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110</v>
      </c>
      <c r="E78" t="s">
        <v>13</v>
      </c>
      <c r="F78">
        <v>0.48799999999999999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112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109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0.60899999999999999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138.684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21.184000000000001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130.279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111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110</v>
      </c>
      <c r="E91" t="s">
        <v>13</v>
      </c>
      <c r="F91">
        <v>0.53300000000000003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112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109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0.67100000000000004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144.78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22.097999999999999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135.90299999999999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111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110</v>
      </c>
      <c r="E104" t="s">
        <v>13</v>
      </c>
      <c r="F104">
        <v>0.57799999999999996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112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109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0.313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111.252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17.068999999999999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104.973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111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110</v>
      </c>
      <c r="E117" t="s">
        <v>13</v>
      </c>
      <c r="F117">
        <v>0.308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112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109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0.377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117.348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17.983000000000001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110.59699999999999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111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110</v>
      </c>
      <c r="E130" t="s">
        <v>13</v>
      </c>
      <c r="F130">
        <v>0.35299999999999998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112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109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0.442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123.444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18.898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116.22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111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110</v>
      </c>
      <c r="E143" t="s">
        <v>13</v>
      </c>
      <c r="F143">
        <v>0.39800000000000002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112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109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0.50700000000000001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129.54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19.812000000000001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121.84399999999999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110</v>
      </c>
      <c r="E156" t="s">
        <v>13</v>
      </c>
      <c r="F156">
        <v>0.443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112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109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0.53900000000000003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132.58799999999999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20.268999999999998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124.65600000000001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111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110</v>
      </c>
      <c r="E169" t="s">
        <v>13</v>
      </c>
      <c r="F169">
        <v>0.46500000000000002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112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109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0.57199999999999995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135.636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20.725999999999999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127.467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111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110</v>
      </c>
      <c r="E182" t="s">
        <v>13</v>
      </c>
      <c r="F182">
        <v>0.48799999999999999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112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109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0.63600000000000001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141.732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21.640999999999998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133.09100000000001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111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110</v>
      </c>
      <c r="E195" t="s">
        <v>13</v>
      </c>
      <c r="F195">
        <v>0.53300000000000003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112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109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0.70099999999999996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147.828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22.555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138.714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111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110</v>
      </c>
      <c r="E208" t="s">
        <v>13</v>
      </c>
      <c r="F208">
        <v>0.57799999999999996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112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109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0.32600000000000001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114.3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17.526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107.785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111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110</v>
      </c>
      <c r="E221" t="s">
        <v>13</v>
      </c>
      <c r="F221">
        <v>0.308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112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109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0.39300000000000002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120.396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18.440000000000001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113.408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111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110</v>
      </c>
      <c r="E234" t="s">
        <v>13</v>
      </c>
      <c r="F234">
        <v>0.35299999999999998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112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109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0.46100000000000002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126.492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19.355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119.032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111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110</v>
      </c>
      <c r="E247" t="s">
        <v>13</v>
      </c>
      <c r="F247">
        <v>0.39800000000000002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112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109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0.52800000000000002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132.58799999999999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20.268999999999998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124.65600000000001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111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110</v>
      </c>
      <c r="E260" t="s">
        <v>13</v>
      </c>
      <c r="F260">
        <v>0.443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112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109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0.56200000000000006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135.636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20.725999999999999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127.467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111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110</v>
      </c>
      <c r="E273" t="s">
        <v>13</v>
      </c>
      <c r="F273">
        <v>0.46500000000000002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112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109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0.59599999999999997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138.684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21.184000000000001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130.279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111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110</v>
      </c>
      <c r="E286" t="s">
        <v>13</v>
      </c>
      <c r="F286">
        <v>0.48799999999999999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112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109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0.66300000000000003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144.78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22.097999999999999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135.90299999999999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111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110</v>
      </c>
      <c r="E299" t="s">
        <v>13</v>
      </c>
      <c r="F299">
        <v>0.53300000000000003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112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109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0.73099999999999998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150.876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23.012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141.52600000000001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110</v>
      </c>
      <c r="E312" t="s">
        <v>13</v>
      </c>
      <c r="F312">
        <v>0.57799999999999996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112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109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0.33500000000000002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116.33199999999999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17.831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109.65900000000001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111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110</v>
      </c>
      <c r="E325" t="s">
        <v>13</v>
      </c>
      <c r="F325">
        <v>0.66100000000000003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112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109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0.40400000000000003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122.428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18.745000000000001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115.283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111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110</v>
      </c>
      <c r="E338" t="s">
        <v>13</v>
      </c>
      <c r="F338">
        <v>0.66100000000000003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112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109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0.47299999999999998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128.524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19.66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120.907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111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110</v>
      </c>
      <c r="E351" t="s">
        <v>13</v>
      </c>
      <c r="F351">
        <v>0.66100000000000003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112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109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0.54200000000000004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134.62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20.574000000000002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126.53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111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110</v>
      </c>
      <c r="E364" t="s">
        <v>13</v>
      </c>
      <c r="F364">
        <v>0.66100000000000003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112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109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0.57699999999999996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137.66800000000001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21.030999999999999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129.34200000000001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111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110</v>
      </c>
      <c r="E377" t="s">
        <v>13</v>
      </c>
      <c r="F377">
        <v>0.66100000000000003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112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109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0.61199999999999999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140.71600000000001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21.488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132.154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111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110</v>
      </c>
      <c r="E390" t="s">
        <v>13</v>
      </c>
      <c r="F390">
        <v>0.66100000000000003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112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109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0.68100000000000005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146.81200000000001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22.402999999999999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137.77699999999999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111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110</v>
      </c>
      <c r="E403" t="s">
        <v>13</v>
      </c>
      <c r="F403">
        <v>0.66100000000000003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112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109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0.75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152.90799999999999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23.317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143.40100000000001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111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110</v>
      </c>
      <c r="E416" t="s">
        <v>13</v>
      </c>
      <c r="F416">
        <v>0.66100000000000003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112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109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0.35199999999999998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120.396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18.440000000000001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113.408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111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110</v>
      </c>
      <c r="E429" t="s">
        <v>13</v>
      </c>
      <c r="F429">
        <v>0.69099999999999995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112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109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0.42499999999999999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126.492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19.355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119.032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111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110</v>
      </c>
      <c r="E442" t="s">
        <v>13</v>
      </c>
      <c r="F442">
        <v>0.69099999999999995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112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109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0.498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132.58799999999999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20.268999999999998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124.65600000000001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111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110</v>
      </c>
      <c r="E455" t="s">
        <v>13</v>
      </c>
      <c r="F455">
        <v>0.69099999999999995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112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0.57099999999999995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138.684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21.184000000000001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130.279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110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112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109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0.60799999999999998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141.732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21.640999999999998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133.09100000000001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111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110</v>
      </c>
      <c r="E481" t="s">
        <v>13</v>
      </c>
      <c r="F481">
        <v>0.69099999999999995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112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109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0.64400000000000002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144.78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22.097999999999999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135.90299999999999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111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110</v>
      </c>
      <c r="E494" t="s">
        <v>13</v>
      </c>
      <c r="F494">
        <v>0.69099999999999995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112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109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0.71699999999999997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150.876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23.012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141.52600000000001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111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110</v>
      </c>
      <c r="E507" t="s">
        <v>13</v>
      </c>
      <c r="F507">
        <v>0.69099999999999995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112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109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0.79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156.97200000000001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23.927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147.15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111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110</v>
      </c>
      <c r="E520" t="s">
        <v>13</v>
      </c>
      <c r="F520">
        <v>0.69099999999999995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112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109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0.26900000000000002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105.15600000000001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16.154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99.35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111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110</v>
      </c>
      <c r="E533" t="s">
        <v>13</v>
      </c>
      <c r="F533">
        <v>0.28499999999999998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112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109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0.33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111.252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17.068999999999999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104.973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111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110</v>
      </c>
      <c r="E546" t="s">
        <v>13</v>
      </c>
      <c r="F546">
        <v>0.33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112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109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0.39200000000000002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117.348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17.983000000000001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110.59699999999999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111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110</v>
      </c>
      <c r="E559" t="s">
        <v>13</v>
      </c>
      <c r="F559">
        <v>0.375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112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109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0.45400000000000001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123.444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18.898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116.22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111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110</v>
      </c>
      <c r="E572" t="s">
        <v>13</v>
      </c>
      <c r="F572">
        <v>0.42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112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109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0.57799999999999996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135.636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20.725999999999999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127.467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111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110</v>
      </c>
      <c r="E585" t="s">
        <v>13</v>
      </c>
      <c r="F585">
        <v>0.51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112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109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0.64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141.732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21.640999999999998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133.09100000000001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111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110</v>
      </c>
      <c r="E598" t="s">
        <v>13</v>
      </c>
      <c r="F598">
        <v>0.55500000000000005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112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109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0.70199999999999996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147.828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22.555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138.714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111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110</v>
      </c>
      <c r="E611" t="s">
        <v>13</v>
      </c>
      <c r="F611">
        <v>0.60099999999999998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112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109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0.28000000000000003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108.20399999999999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16.611999999999998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102.161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110</v>
      </c>
      <c r="E624" t="s">
        <v>13</v>
      </c>
      <c r="F624">
        <v>0.28499999999999998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112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109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0.34499999999999997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114.3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17.526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107.785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111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110</v>
      </c>
      <c r="E637" t="s">
        <v>13</v>
      </c>
      <c r="F637">
        <v>0.33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112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109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0.41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120.396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18.440000000000001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113.408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111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110</v>
      </c>
      <c r="E650" t="s">
        <v>13</v>
      </c>
      <c r="F650">
        <v>0.375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112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109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0.47399999999999998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126.492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19.355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119.032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111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110</v>
      </c>
      <c r="E663" t="s">
        <v>13</v>
      </c>
      <c r="F663">
        <v>0.42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112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109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0.60399999999999998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138.684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21.184000000000001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130.279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111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110</v>
      </c>
      <c r="E676" t="s">
        <v>13</v>
      </c>
      <c r="F676">
        <v>0.51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112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109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0.66900000000000004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144.78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22.097999999999999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135.90299999999999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111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110</v>
      </c>
      <c r="E689" t="s">
        <v>13</v>
      </c>
      <c r="F689">
        <v>0.55500000000000005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112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109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0.73299999999999998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150.876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23.012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141.52600000000001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111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110</v>
      </c>
      <c r="E702" t="s">
        <v>13</v>
      </c>
      <c r="F702">
        <v>0.60099999999999998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112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109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0.29199999999999998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111.252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17.068999999999999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104.973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111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110</v>
      </c>
      <c r="E715" t="s">
        <v>13</v>
      </c>
      <c r="F715">
        <v>0.28499999999999998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112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109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0.36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117.348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17.983000000000001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110.59699999999999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111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110</v>
      </c>
      <c r="E728" t="s">
        <v>13</v>
      </c>
      <c r="F728">
        <v>0.33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112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109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0.42699999999999999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123.444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18.898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116.22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111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110</v>
      </c>
      <c r="E741" t="s">
        <v>13</v>
      </c>
      <c r="F741">
        <v>0.375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112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109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0.495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129.54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19.812000000000001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121.84399999999999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111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110</v>
      </c>
      <c r="E754" t="s">
        <v>13</v>
      </c>
      <c r="F754">
        <v>0.42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112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109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0.629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141.732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21.640999999999998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133.09100000000001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111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110</v>
      </c>
      <c r="E767" t="s">
        <v>13</v>
      </c>
      <c r="F767">
        <v>0.51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112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109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0.69699999999999995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147.828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22.555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138.714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110</v>
      </c>
      <c r="E780" t="s">
        <v>13</v>
      </c>
      <c r="F780">
        <v>0.55500000000000005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112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109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0.76400000000000001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153.92400000000001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23.47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144.33799999999999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111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110</v>
      </c>
      <c r="E793" t="s">
        <v>13</v>
      </c>
      <c r="F793">
        <v>0.60099999999999998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112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109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0.3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113.28400000000001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17.373999999999999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106.848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111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110</v>
      </c>
      <c r="E806" t="s">
        <v>13</v>
      </c>
      <c r="F806">
        <v>0.66100000000000003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112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109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0.36899999999999999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119.38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18.288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112.471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111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110</v>
      </c>
      <c r="E819" t="s">
        <v>13</v>
      </c>
      <c r="F819">
        <v>0.66100000000000003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112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109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0.439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125.476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19.202000000000002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118.095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111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110</v>
      </c>
      <c r="E832" t="s">
        <v>13</v>
      </c>
      <c r="F832">
        <v>0.66100000000000003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112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109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0.50800000000000001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131.572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20.117000000000001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123.718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111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110</v>
      </c>
      <c r="E845" t="s">
        <v>13</v>
      </c>
      <c r="F845">
        <v>0.66100000000000003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112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109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0.64600000000000002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143.76400000000001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21.946000000000002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134.965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111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110</v>
      </c>
      <c r="E858" t="s">
        <v>13</v>
      </c>
      <c r="F858">
        <v>0.66100000000000003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112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109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0.71599999999999997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149.86000000000001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22.86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140.589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111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110</v>
      </c>
      <c r="E871" t="s">
        <v>13</v>
      </c>
      <c r="F871">
        <v>0.66100000000000003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112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109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0.78500000000000003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155.95599999999999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23.774000000000001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146.21299999999999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111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110</v>
      </c>
      <c r="E884" t="s">
        <v>13</v>
      </c>
      <c r="F884">
        <v>0.66100000000000003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112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109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0.316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117.348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17.983000000000001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110.59699999999999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111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110</v>
      </c>
      <c r="E897" t="s">
        <v>13</v>
      </c>
      <c r="F897">
        <v>0.69099999999999995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112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109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0.38900000000000001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123.444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18.898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116.22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111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110</v>
      </c>
      <c r="E910" t="s">
        <v>13</v>
      </c>
      <c r="F910">
        <v>0.69099999999999995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112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109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0.46200000000000002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129.54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19.812000000000001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121.84399999999999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111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110</v>
      </c>
      <c r="E923" t="s">
        <v>13</v>
      </c>
      <c r="F923">
        <v>0.69099999999999995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112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109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0.53500000000000003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135.636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20.725999999999999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127.467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111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110</v>
      </c>
      <c r="E936" t="s">
        <v>13</v>
      </c>
      <c r="F936">
        <v>0.69099999999999995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112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109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0.68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147.828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22.555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138.714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111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110</v>
      </c>
      <c r="E949" t="s">
        <v>13</v>
      </c>
      <c r="F949">
        <v>0.69099999999999995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112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109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0.753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153.92400000000001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23.47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144.33799999999999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111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110</v>
      </c>
      <c r="E962" t="s">
        <v>13</v>
      </c>
      <c r="F962">
        <v>0.69099999999999995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112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109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0.82599999999999996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160.02000000000001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24.384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149.96199999999999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111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110</v>
      </c>
      <c r="E975" t="s">
        <v>13</v>
      </c>
      <c r="F975">
        <v>0.69099999999999995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M16" sqref="M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36.5703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2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2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3" t="s">
        <v>49</v>
      </c>
      <c r="C4" s="23" t="s">
        <v>50</v>
      </c>
      <c r="D4" s="41" t="s">
        <v>51</v>
      </c>
      <c r="E4" s="23" t="s">
        <v>3</v>
      </c>
      <c r="F4" s="41" t="s">
        <v>52</v>
      </c>
      <c r="G4" s="23" t="s">
        <v>53</v>
      </c>
      <c r="H4" s="23" t="s">
        <v>6</v>
      </c>
      <c r="I4" s="23" t="s">
        <v>54</v>
      </c>
      <c r="J4" s="41" t="s">
        <v>55</v>
      </c>
      <c r="K4" s="41" t="s">
        <v>56</v>
      </c>
      <c r="L4" s="41" t="s">
        <v>57</v>
      </c>
      <c r="M4" s="24" t="s">
        <v>58</v>
      </c>
      <c r="N4" s="25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112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109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0.29899999999999999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108.20399999999999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16.611999999999998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102.161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111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0.308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112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109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0.36099999999999999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114.3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17.526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107.785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111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0.35299999999999998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112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109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0.42299999999999999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120.396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18.440000000000001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113.408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111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0.39800000000000002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112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109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0.48499999999999999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126.492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19.355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119.032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111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0.443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112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109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0.51600000000000001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129.54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19.812000000000001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121.84399999999999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111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0.46500000000000002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112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109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0.54700000000000004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132.58799999999999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20.268999999999998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124.65600000000001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111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0.48799999999999999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112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109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0.60899999999999999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138.684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21.184000000000001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130.279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111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0.53300000000000003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112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109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0.67100000000000004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144.78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22.097999999999999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135.90299999999999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111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0.57799999999999996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112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109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0.313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111.252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17.068999999999999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104.973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111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0.308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112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109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0.377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117.348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17.983000000000001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110.59699999999999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111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0.35299999999999998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112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109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0.442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123.444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18.898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116.22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111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0.39800000000000002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112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109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0.50700000000000001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129.54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19.812000000000001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121.84399999999999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0.443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112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109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0.53900000000000003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132.58799999999999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20.268999999999998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124.65600000000001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111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0.46500000000000002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112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109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0.57199999999999995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135.636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20.725999999999999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127.467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111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0.48799999999999999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112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109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0.63600000000000001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141.732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21.640999999999998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133.09100000000001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111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0.53300000000000003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112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109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0.70099999999999996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147.828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22.555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138.714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111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0.57799999999999996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112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109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0.32600000000000001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114.3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17.526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107.785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111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0.308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112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109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0.39300000000000002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120.396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18.440000000000001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113.408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111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0.35299999999999998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112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109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0.46100000000000002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126.492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19.355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119.032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111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0.39800000000000002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112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109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0.52800000000000002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132.58799999999999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20.268999999999998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124.65600000000001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111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0.443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112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109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0.56200000000000006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135.636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20.725999999999999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127.467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111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0.46500000000000002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112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109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0.59599999999999997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138.684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21.184000000000001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130.279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111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0.48799999999999999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112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109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0.66300000000000003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144.78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22.097999999999999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135.90299999999999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111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0.53300000000000003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112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109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0.73099999999999998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150.876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23.012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141.52600000000001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0.57799999999999996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112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109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0.33500000000000002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116.33199999999999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17.831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109.65900000000001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111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0.66100000000000003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112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109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0.40400000000000003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122.428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18.745000000000001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115.283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111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0.66100000000000003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112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109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0.47299999999999998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128.524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19.66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120.907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111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0.66100000000000003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112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109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0.54200000000000004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134.62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20.574000000000002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126.53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111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0.66100000000000003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112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109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0.57699999999999996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137.66800000000001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21.030999999999999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129.34200000000001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111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0.66100000000000003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112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109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0.61199999999999999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140.71600000000001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21.488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132.154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111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0.66100000000000003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112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109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0.68100000000000005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146.81200000000001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22.402999999999999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137.77699999999999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111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0.66100000000000003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112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109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0.75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152.90799999999999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23.317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143.40100000000001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111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0.66100000000000003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112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109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0.35199999999999998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120.396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18.440000000000001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113.408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111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0.69099999999999995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112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109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0.42499999999999999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126.492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19.355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119.032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111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0.69099999999999995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112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109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0.498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132.58799999999999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20.268999999999998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124.65600000000001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111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0.69099999999999995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112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0.57099999999999995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138.684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21.184000000000001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130.279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112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109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0.60799999999999998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141.732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21.640999999999998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133.09100000000001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111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0.69099999999999995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112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109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0.64400000000000002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144.78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22.097999999999999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135.90299999999999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111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0.69099999999999995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112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109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0.71699999999999997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150.876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23.012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141.52600000000001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111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0.69099999999999995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112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109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0.79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156.97200000000001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23.927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147.15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111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0.69099999999999995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112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109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0.26900000000000002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105.15600000000001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16.154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99.35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111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0.28499999999999998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112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109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0.33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111.252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17.068999999999999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104.973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111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0.33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112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109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0.39200000000000002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117.348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17.983000000000001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110.59699999999999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111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0.375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112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109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0.45400000000000001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123.444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18.898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116.22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111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0.42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112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109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0.57799999999999996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135.636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20.725999999999999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127.467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111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0.51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112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109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0.64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141.732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21.640999999999998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133.09100000000001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111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0.55500000000000005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112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109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0.70199999999999996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147.828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22.555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138.714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111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0.60099999999999998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112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109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0.28000000000000003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108.20399999999999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16.611999999999998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102.161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0.28499999999999998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112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109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0.34499999999999997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114.3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17.526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107.785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111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0.33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112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109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0.41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120.396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18.440000000000001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113.408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111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0.375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112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109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0.47399999999999998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126.492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19.355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119.032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111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0.42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112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109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0.60399999999999998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138.684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21.184000000000001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130.279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111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0.51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112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109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0.66900000000000004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144.78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22.097999999999999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135.90299999999999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111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0.55500000000000005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112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109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0.73299999999999998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150.876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23.012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141.52600000000001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111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0.60099999999999998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112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109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0.29199999999999998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111.252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17.068999999999999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104.973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111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0.28499999999999998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112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109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0.36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117.348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17.983000000000001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110.59699999999999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111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0.33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112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109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0.42699999999999999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123.444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18.898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116.22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111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0.375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112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109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0.495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129.54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19.812000000000001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121.84399999999999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111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0.42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112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109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0.629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141.732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21.640999999999998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133.09100000000001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111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0.51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112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109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0.69699999999999995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147.828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22.555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138.714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0.55500000000000005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112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109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0.76400000000000001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153.92400000000001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23.47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144.33799999999999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111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0.60099999999999998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112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109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0.3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113.28400000000001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17.373999999999999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106.848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111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0.66100000000000003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112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109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0.36899999999999999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119.38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18.288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112.471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111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0.66100000000000003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112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109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0.439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125.476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19.202000000000002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118.095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111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0.66100000000000003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112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109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0.50800000000000001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131.572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20.117000000000001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123.718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111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0.66100000000000003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112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109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0.64600000000000002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143.76400000000001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21.946000000000002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134.965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111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0.66100000000000003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112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109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0.71599999999999997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149.86000000000001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22.86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140.589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111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0.66100000000000003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112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109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0.78500000000000003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155.95599999999999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23.774000000000001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146.21299999999999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111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0.66100000000000003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112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109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0.316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117.348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17.983000000000001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110.59699999999999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111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0.69099999999999995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112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109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0.38900000000000001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123.444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18.898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116.22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111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0.69099999999999995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112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109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0.46200000000000002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129.54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19.812000000000001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121.84399999999999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111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0.69099999999999995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112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109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0.53500000000000003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135.636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20.725999999999999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127.467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111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0.69099999999999995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112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109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0.68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147.828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22.555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138.714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111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0.69099999999999995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112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109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0.753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153.92400000000001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23.47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144.33799999999999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111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0.69099999999999995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112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109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0.82599999999999996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160.02000000000001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24.384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149.96199999999999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111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0.69099999999999995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2026-06-01T08:22:11Z</dcterms:modified>
</cp:coreProperties>
</file>