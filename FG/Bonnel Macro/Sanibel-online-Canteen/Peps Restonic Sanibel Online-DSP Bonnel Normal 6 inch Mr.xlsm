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164" fontId="0" fillId="0" borderId="0" applyAlignment="1" pivotButton="0" quotePrefix="0" xfId="0">
      <alignment vertical="center"/>
    </xf>
    <xf numFmtId="166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/>
    </xf>
    <xf numFmtId="164" fontId="3" fillId="0" borderId="1" applyAlignment="1" pivotButton="0" quotePrefix="0" xfId="0">
      <alignment vertical="center"/>
    </xf>
    <xf numFmtId="0" fontId="4" fillId="0" borderId="0" applyAlignment="1" pivotButton="0" quotePrefix="0" xfId="0">
      <alignment horizontal="center"/>
    </xf>
    <xf numFmtId="49" fontId="3" fillId="0" borderId="1" applyAlignment="1" pivotButton="0" quotePrefix="0" xfId="0">
      <alignment vertical="center"/>
    </xf>
    <xf numFmtId="0" fontId="0" fillId="0" borderId="1" pivotButton="0" quotePrefix="0" xfId="0"/>
    <xf numFmtId="0" fontId="0" fillId="0" borderId="2" applyAlignment="1" pivotButton="0" quotePrefix="0" xfId="0">
      <alignment vertical="center"/>
    </xf>
    <xf numFmtId="0" fontId="0" fillId="0" borderId="1" pivotButton="0" quotePrefix="0" xfId="0"/>
    <xf numFmtId="0" fontId="3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2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E15" sqref="E15"/>
    </sheetView>
  </sheetViews>
  <sheetFormatPr baseColWidth="8" defaultColWidth="9.140625" defaultRowHeight="15"/>
  <cols>
    <col width="5.7109375" bestFit="1" customWidth="1" style="19" min="1" max="1"/>
    <col width="11.7109375" bestFit="1" customWidth="1" style="19" min="2" max="2"/>
    <col width="16.42578125" bestFit="1" customWidth="1" style="19" min="3" max="3"/>
    <col width="24" customWidth="1" style="19" min="4" max="4"/>
    <col width="31.85546875" bestFit="1" customWidth="1" style="19" min="5" max="5"/>
    <col width="5.7109375" bestFit="1" customWidth="1" style="19" min="6" max="6"/>
    <col width="10.7109375" bestFit="1" customWidth="1" style="19" min="7" max="7"/>
    <col width="10.7109375" customWidth="1" style="19" min="8" max="8"/>
    <col width="16.42578125" bestFit="1" customWidth="1" style="19" min="9" max="9"/>
    <col width="3.42578125" customWidth="1" style="19" min="10" max="10"/>
    <col width="5.42578125" customWidth="1" style="19" min="11" max="14"/>
    <col width="6.85546875" bestFit="1" customWidth="1" style="19" min="15" max="15"/>
    <col width="7.28515625" customWidth="1" style="19" min="16" max="16"/>
    <col width="9.42578125" customWidth="1" style="19" min="17" max="17"/>
    <col width="7.7109375" bestFit="1" customWidth="1" style="19" min="18" max="18"/>
    <col width="7.42578125" bestFit="1" customWidth="1" style="19" min="19" max="19"/>
    <col width="5.140625" bestFit="1" customWidth="1" style="19" min="20" max="20"/>
    <col width="6.85546875" customWidth="1" style="19" min="21" max="21"/>
    <col width="9.140625" customWidth="1" style="19" min="22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43" t="inlineStr">
        <is>
          <t>L</t>
        </is>
      </c>
      <c r="L1" s="43" t="inlineStr">
        <is>
          <t>W</t>
        </is>
      </c>
      <c r="M1" s="43" t="inlineStr">
        <is>
          <t>H</t>
        </is>
      </c>
      <c r="N1" s="43" t="inlineStr">
        <is>
          <t>CLR</t>
        </is>
      </c>
      <c r="R1" s="39" t="inlineStr">
        <is>
          <t>LENTH</t>
        </is>
      </c>
      <c r="S1" s="39" t="inlineStr">
        <is>
          <t>WIDTH</t>
        </is>
      </c>
      <c r="T1" s="39" t="inlineStr">
        <is>
          <t>HIG</t>
        </is>
      </c>
      <c r="U1" s="39" t="inlineStr">
        <is>
          <t>CLR</t>
        </is>
      </c>
    </row>
    <row r="2">
      <c r="A2" s="36" t="n">
        <v>1</v>
      </c>
      <c r="B2" s="16" t="inlineStr">
        <is>
          <t>STEEL</t>
        </is>
      </c>
      <c r="C2" s="16" t="inlineStr">
        <is>
          <t>STEEL</t>
        </is>
      </c>
      <c r="D2" s="16">
        <f>"RTBNSN"&amp;IF($N$2="BG","BG",IF($N$2="GR","GR","MR"))&amp;$K$2&amp;"X"&amp;$L$2&amp;"X06"&amp;"-"&amp;"DSP"</f>
        <v/>
      </c>
      <c r="E2" s="1">
        <f>"OEBOXBNSR"&amp;(K2-0.5)&amp;"0"&amp;"X"&amp;(L2-0.5)&amp;"0"&amp;"X120"</f>
        <v/>
      </c>
      <c r="F2" s="40" t="inlineStr">
        <is>
          <t>NOS</t>
        </is>
      </c>
      <c r="G2" s="38" t="n">
        <v>1</v>
      </c>
      <c r="H2" s="38">
        <f>ROUND(G2,3)</f>
        <v/>
      </c>
      <c r="I2" s="11" t="inlineStr">
        <is>
          <t>CBESFG</t>
        </is>
      </c>
      <c r="J2" s="5" t="n"/>
      <c r="K2" s="6" t="n">
        <v>75</v>
      </c>
      <c r="L2" s="6" t="n">
        <v>36</v>
      </c>
      <c r="M2" s="37" t="n">
        <v>6</v>
      </c>
      <c r="N2" s="6" t="inlineStr">
        <is>
          <t>MR</t>
        </is>
      </c>
      <c r="P2" t="n">
        <v>6</v>
      </c>
      <c r="R2" s="35" t="n">
        <v>72</v>
      </c>
      <c r="S2" s="35" t="n">
        <v>36</v>
      </c>
      <c r="T2" s="35" t="n">
        <v>6</v>
      </c>
      <c r="U2" s="35" t="inlineStr">
        <is>
          <t>MR</t>
        </is>
      </c>
    </row>
    <row r="3" s="19">
      <c r="A3" s="36" t="n">
        <v>2</v>
      </c>
      <c r="B3" s="16" t="inlineStr">
        <is>
          <t>QUILTING</t>
        </is>
      </c>
      <c r="C3" s="16" t="inlineStr">
        <is>
          <t>QUILTING</t>
        </is>
      </c>
      <c r="D3" s="16">
        <f>"RTBNSN"&amp;IF($N$2="BG","BG",IF($N$2="GR","GR","MR"))&amp;$K$2&amp;"X"&amp;$L$2&amp;"X06"&amp;"-"&amp;"DSP"</f>
        <v/>
      </c>
      <c r="E3" s="21">
        <f>IF(N2="MR","SFG-RTC-SNMR-QUILT",IF(N2="BG","SFG-RTC-SNBG-QUILT",IF(N2="GR","SFG-RTC-SNGR-QUILT",0)))</f>
        <v/>
      </c>
      <c r="F3" s="11" t="inlineStr">
        <is>
          <t>MTR</t>
        </is>
      </c>
      <c r="G3" s="14">
        <f>IF(K2&lt;79,(L2+1),IF(L2&lt;37,(K2+1),(K2+1)))*0.0254</f>
        <v/>
      </c>
      <c r="H3" s="38">
        <f>ROUND(G3,3)</f>
        <v/>
      </c>
      <c r="I3" s="21" t="inlineStr">
        <is>
          <t>CBESFG</t>
        </is>
      </c>
      <c r="J3" s="5" t="n"/>
      <c r="K3" s="18" t="n"/>
      <c r="L3" s="18" t="n"/>
      <c r="M3" s="18" t="n"/>
      <c r="N3" s="18" t="n"/>
      <c r="R3" s="35" t="n">
        <v>75</v>
      </c>
      <c r="S3" s="35" t="n">
        <v>36</v>
      </c>
      <c r="T3" s="35" t="n">
        <v>6</v>
      </c>
      <c r="U3" s="35" t="inlineStr">
        <is>
          <t>MR</t>
        </is>
      </c>
    </row>
    <row r="4">
      <c r="A4" s="36" t="n">
        <v>3</v>
      </c>
      <c r="B4" s="16" t="inlineStr">
        <is>
          <t>QUILTING</t>
        </is>
      </c>
      <c r="C4" s="16" t="inlineStr">
        <is>
          <t>QUILTING</t>
        </is>
      </c>
      <c r="D4" s="16">
        <f>"RTBNSN"&amp;IF($N$2="BG","BG",IF($N$2="GR","GR","MR"))&amp;$K$2&amp;"X"&amp;$L$2&amp;"X06"&amp;"-"&amp;"DSP"</f>
        <v/>
      </c>
      <c r="E4">
        <f>IF(N2="MR","SFG-RTC-SNMR-BP",IF(N2="BG","SFG-RTC-SNBG-BP",IF(N2="GR","SFG-RTC-SNGR-BP",0)))</f>
        <v/>
      </c>
      <c r="F4" s="11" t="inlineStr">
        <is>
          <t>MTR</t>
        </is>
      </c>
      <c r="G4" s="14">
        <f>IF(K2&lt;79,(L2+1),IF(L2&lt;37,(K2+1),(K2+1)))*0.0254</f>
        <v/>
      </c>
      <c r="H4" s="38">
        <f>ROUND(G4,3)</f>
        <v/>
      </c>
      <c r="I4" s="21" t="inlineStr">
        <is>
          <t>CBESFG</t>
        </is>
      </c>
      <c r="J4" s="12" t="n"/>
      <c r="R4" s="35" t="n">
        <v>75</v>
      </c>
      <c r="S4" s="35" t="n">
        <v>60</v>
      </c>
      <c r="T4" s="35" t="n">
        <v>6</v>
      </c>
      <c r="U4" s="35" t="inlineStr">
        <is>
          <t>MR</t>
        </is>
      </c>
    </row>
    <row r="5">
      <c r="A5" s="36" t="n">
        <v>4</v>
      </c>
      <c r="B5" s="16" t="inlineStr">
        <is>
          <t>TAPE EDGE</t>
        </is>
      </c>
      <c r="C5" s="16" t="inlineStr">
        <is>
          <t>TAPE EDGE</t>
        </is>
      </c>
      <c r="D5" s="16">
        <f>"RTBNSN"&amp;IF($N$2="BG","BG",IF($N$2="GR","GR","MR"))&amp;$K$2&amp;"X"&amp;$L$2&amp;"X06"&amp;"-"&amp;"DSP"</f>
        <v/>
      </c>
      <c r="E5" s="44" t="inlineStr">
        <is>
          <t>RML-POLY-GUM</t>
        </is>
      </c>
      <c r="F5" s="42" t="inlineStr">
        <is>
          <t>LTR</t>
        </is>
      </c>
      <c r="G5" s="45">
        <f>((K2-1)*(L2-1)/144)*0.00729*3</f>
        <v/>
      </c>
      <c r="H5" s="38">
        <f>ROUND(G5,3)</f>
        <v/>
      </c>
      <c r="I5" s="43" t="inlineStr">
        <is>
          <t>CBEWIP</t>
        </is>
      </c>
      <c r="J5" s="12" t="n"/>
      <c r="R5" s="35" t="n">
        <v>75</v>
      </c>
      <c r="S5" s="35" t="n">
        <v>72</v>
      </c>
      <c r="T5" s="35" t="n">
        <v>6</v>
      </c>
      <c r="U5" s="35" t="inlineStr">
        <is>
          <t>MR</t>
        </is>
      </c>
    </row>
    <row r="6">
      <c r="A6" s="36" t="n">
        <v>5</v>
      </c>
      <c r="B6" s="16" t="inlineStr">
        <is>
          <t>QUILTING</t>
        </is>
      </c>
      <c r="C6" s="16" t="inlineStr">
        <is>
          <t>QUILTING</t>
        </is>
      </c>
      <c r="D6" s="16">
        <f>"RTBNSN"&amp;IF($N$2="BG","BG",IF($N$2="GR","GR","MR"))&amp;$K$2&amp;"X"&amp;$L$2&amp;"X06"&amp;"-"&amp;"DSP"</f>
        <v/>
      </c>
      <c r="E6" s="16" t="inlineStr">
        <is>
          <t>RM-NWN-70GSMX6INCH</t>
        </is>
      </c>
      <c r="F6" s="16" t="inlineStr">
        <is>
          <t>KGS</t>
        </is>
      </c>
      <c r="G6" s="14">
        <f>(K2+L2+1.5)*4*0.0254*10.7/1000</f>
        <v/>
      </c>
      <c r="H6" s="38">
        <f>ROUND(G6,3)</f>
        <v/>
      </c>
      <c r="I6" s="11" t="inlineStr">
        <is>
          <t>CBEWIP</t>
        </is>
      </c>
      <c r="J6" s="12" t="n"/>
      <c r="R6" s="35" t="n">
        <v>78</v>
      </c>
      <c r="S6" s="35" t="n">
        <v>60</v>
      </c>
      <c r="T6" s="35" t="n">
        <v>6</v>
      </c>
      <c r="U6" s="35" t="inlineStr">
        <is>
          <t>MR</t>
        </is>
      </c>
    </row>
    <row r="7">
      <c r="A7" s="36" t="n">
        <v>6</v>
      </c>
      <c r="B7" s="16" t="inlineStr">
        <is>
          <t>QUILTING</t>
        </is>
      </c>
      <c r="C7" s="16" t="inlineStr">
        <is>
          <t>QUILTING</t>
        </is>
      </c>
      <c r="D7" s="16">
        <f>"RTBNSN"&amp;IF($N$2="BG","BG",IF($N$2="GR","GR","MR"))&amp;$K$2&amp;"X"&amp;$L$2&amp;"X06"&amp;"-"&amp;"DSP"</f>
        <v/>
      </c>
      <c r="E7" s="16" t="inlineStr">
        <is>
          <t>RM-THRD-QS-TKT40</t>
        </is>
      </c>
      <c r="F7" s="16" t="inlineStr">
        <is>
          <t>MTR</t>
        </is>
      </c>
      <c r="G7" s="14">
        <f>(K2+L2+1.5)*4*0.0254*10</f>
        <v/>
      </c>
      <c r="H7" s="38">
        <f>ROUND(G7,3)</f>
        <v/>
      </c>
      <c r="I7" s="11" t="inlineStr">
        <is>
          <t>CBEWIP</t>
        </is>
      </c>
      <c r="J7" s="12" t="n"/>
      <c r="R7" s="35" t="n">
        <v>78</v>
      </c>
      <c r="S7" s="35" t="n">
        <v>72</v>
      </c>
      <c r="T7" s="35" t="n">
        <v>6</v>
      </c>
      <c r="U7" s="35" t="inlineStr">
        <is>
          <t>MR</t>
        </is>
      </c>
    </row>
    <row r="8">
      <c r="A8" s="36" t="n">
        <v>7</v>
      </c>
      <c r="B8" s="16" t="inlineStr">
        <is>
          <t>TAPE EDGE</t>
        </is>
      </c>
      <c r="C8" s="16" t="inlineStr">
        <is>
          <t>TAPE EDGE</t>
        </is>
      </c>
      <c r="D8" s="16">
        <f>"RTBNSN"&amp;IF($N$2="BG","BG",IF($N$2="GR","GR","MR"))&amp;$K$2&amp;"X"&amp;$L$2&amp;"X06"&amp;"-"&amp;"DSP"</f>
        <v/>
      </c>
      <c r="E8" s="16">
        <f>IF(N2="BG","RML-EDTAPE-WHT-KNIT",IF(N2="GR","RML-EDTAPE-SANI-GREY",IF(N2="MR","RML-EDTAPE-MER-KNIT",0)))</f>
        <v/>
      </c>
      <c r="F8" s="16" t="inlineStr">
        <is>
          <t>MTR</t>
        </is>
      </c>
      <c r="G8" s="14">
        <f>(K2+L2+4)*2*0.0254*2</f>
        <v/>
      </c>
      <c r="H8" s="38">
        <f>ROUND(G8,3)</f>
        <v/>
      </c>
      <c r="I8" s="11" t="inlineStr">
        <is>
          <t>CBEWIP</t>
        </is>
      </c>
      <c r="J8" s="12" t="n"/>
      <c r="R8" s="35" t="n"/>
      <c r="S8" s="35" t="n"/>
      <c r="T8" s="35" t="n"/>
      <c r="U8" s="35" t="n"/>
    </row>
    <row r="9">
      <c r="A9" s="36" t="n">
        <v>8</v>
      </c>
      <c r="B9" s="16" t="inlineStr">
        <is>
          <t>TAPE EDGE</t>
        </is>
      </c>
      <c r="C9" s="16" t="inlineStr">
        <is>
          <t>TAPE EDGE</t>
        </is>
      </c>
      <c r="D9" s="16">
        <f>"RTBNSN"&amp;IF($N$2="BG","BG",IF($N$2="GR","GR","MR"))&amp;$K$2&amp;"X"&amp;$L$2&amp;"X06"&amp;"-"&amp;"DSP"</f>
        <v/>
      </c>
      <c r="E9" s="16">
        <f>IF(N2="BG","RM-THRD-QS-TKT40",IF(N2="GR","RML-THRD-TKT-40GREY",IF(N2="MR","RML-THRD-TKT-40MER",0)))</f>
        <v/>
      </c>
      <c r="F9" s="16" t="inlineStr">
        <is>
          <t>MTR</t>
        </is>
      </c>
      <c r="G9" s="14">
        <f>(K2+L2+4)*2*0.0254*(4.73+1.42)*2</f>
        <v/>
      </c>
      <c r="H9" s="38">
        <f>ROUND(G9,3)</f>
        <v/>
      </c>
      <c r="I9" s="11" t="inlineStr">
        <is>
          <t>CBEWIP</t>
        </is>
      </c>
      <c r="J9" s="12" t="n"/>
      <c r="P9" s="31" t="n"/>
      <c r="R9" s="35" t="n"/>
      <c r="S9" s="35" t="n"/>
      <c r="T9" s="35" t="n"/>
      <c r="U9" s="35" t="n"/>
    </row>
    <row r="10">
      <c r="A10" s="36" t="n">
        <v>9</v>
      </c>
      <c r="B10" s="16" t="inlineStr">
        <is>
          <t>QC</t>
        </is>
      </c>
      <c r="C10" s="16" t="inlineStr">
        <is>
          <t>QC</t>
        </is>
      </c>
      <c r="D10" s="16">
        <f>"RTBNSN"&amp;IF($N$2="BG","BG",IF($N$2="GR","GR","MR"))&amp;$K$2&amp;"X"&amp;$L$2&amp;"X06"&amp;"-"&amp;"DSP"</f>
        <v/>
      </c>
      <c r="E10" s="16" t="inlineStr">
        <is>
          <t>RML-CS-RTC-7"</t>
        </is>
      </c>
      <c r="F10" s="16" t="inlineStr">
        <is>
          <t>NOS</t>
        </is>
      </c>
      <c r="G10" s="14" t="n">
        <v>4</v>
      </c>
      <c r="H10" s="38">
        <f>ROUND(G10,3)</f>
        <v/>
      </c>
      <c r="I10" s="11" t="inlineStr">
        <is>
          <t>CBEWIP</t>
        </is>
      </c>
      <c r="J10" s="12" t="n"/>
      <c r="R10" s="35" t="n"/>
      <c r="S10" s="35" t="n"/>
      <c r="T10" s="35" t="n"/>
      <c r="U10" s="35" t="n"/>
    </row>
    <row r="11">
      <c r="A11" s="36" t="n">
        <v>10</v>
      </c>
      <c r="B11" s="16" t="inlineStr">
        <is>
          <t>TAPE EDGE</t>
        </is>
      </c>
      <c r="C11" s="16" t="inlineStr">
        <is>
          <t>TAPE EDGE</t>
        </is>
      </c>
      <c r="D11" s="16">
        <f>"RTBNSN"&amp;IF($N$2="BG","BG",IF($N$2="GR","GR","MR"))&amp;$K$2&amp;"X"&amp;$L$2&amp;"X06"&amp;"-"&amp;"DSP"</f>
        <v/>
      </c>
      <c r="E11" s="16" t="inlineStr">
        <is>
          <t>RM-PEPS-MAT-MRP-LBL</t>
        </is>
      </c>
      <c r="F11" s="16" t="inlineStr">
        <is>
          <t>NOS</t>
        </is>
      </c>
      <c r="G11" s="14" t="n">
        <v>1</v>
      </c>
      <c r="H11" s="38">
        <f>ROUND(G11,3)</f>
        <v/>
      </c>
      <c r="I11" s="11" t="inlineStr">
        <is>
          <t>CBEWIP</t>
        </is>
      </c>
      <c r="J11" s="12" t="n"/>
      <c r="K11" s="24" t="n"/>
      <c r="L11" s="24" t="n"/>
      <c r="N11" s="31" t="n"/>
      <c r="R11" s="35" t="n"/>
      <c r="S11" s="35" t="n"/>
      <c r="T11" s="35" t="n"/>
      <c r="U11" s="35" t="n"/>
    </row>
    <row r="12">
      <c r="A12" s="36" t="n">
        <v>11</v>
      </c>
      <c r="B12" s="16" t="inlineStr">
        <is>
          <t>QC</t>
        </is>
      </c>
      <c r="C12" s="16" t="inlineStr">
        <is>
          <t>QC</t>
        </is>
      </c>
      <c r="D12" s="16">
        <f>"RTBNSN"&amp;IF($N$2="BG","BG",IF($N$2="GR","GR","MR"))&amp;$K$2&amp;"X"&amp;$L$2&amp;"X06"&amp;"-"&amp;"DSP"</f>
        <v/>
      </c>
      <c r="E12" s="16" t="inlineStr">
        <is>
          <t>RML-OK-ROUND-STK</t>
        </is>
      </c>
      <c r="F12" s="16" t="inlineStr">
        <is>
          <t>NOS</t>
        </is>
      </c>
      <c r="G12" s="14" t="n">
        <v>1</v>
      </c>
      <c r="H12" s="38">
        <f>ROUND(G12,3)</f>
        <v/>
      </c>
      <c r="I12" s="11" t="inlineStr">
        <is>
          <t>CBEWIP</t>
        </is>
      </c>
      <c r="J12" s="12" t="n"/>
      <c r="R12" s="35" t="n"/>
      <c r="S12" s="35" t="n"/>
      <c r="T12" s="35" t="n"/>
      <c r="U12" s="35" t="n"/>
    </row>
    <row r="13">
      <c r="A13" s="36" t="n">
        <v>12</v>
      </c>
      <c r="B13" s="16" t="inlineStr">
        <is>
          <t>QC</t>
        </is>
      </c>
      <c r="C13" s="11" t="inlineStr">
        <is>
          <t>QC</t>
        </is>
      </c>
      <c r="D13" s="16">
        <f>"RTBNSN"&amp;IF($N$2="BG","BG",IF($N$2="GR","GR","MR"))&amp;$K$2&amp;"X"&amp;$L$2&amp;"X06"&amp;"-"&amp;"DSP"</f>
        <v/>
      </c>
      <c r="E13" s="11" t="inlineStr">
        <is>
          <t>RML-OK-STICKER</t>
        </is>
      </c>
      <c r="F13" s="11" t="inlineStr">
        <is>
          <t>NOS</t>
        </is>
      </c>
      <c r="G13" s="14" t="n">
        <v>1</v>
      </c>
      <c r="H13" s="38">
        <f>ROUND(G13,3)</f>
        <v/>
      </c>
      <c r="I13" s="11" t="inlineStr">
        <is>
          <t>CBEWIP</t>
        </is>
      </c>
      <c r="J13" s="12" t="n"/>
      <c r="K13" s="31" t="n"/>
      <c r="R13" s="35" t="n"/>
      <c r="S13" s="35" t="n"/>
      <c r="T13" s="35" t="n"/>
      <c r="U13" s="35" t="n"/>
    </row>
    <row r="14">
      <c r="A14" s="36" t="n">
        <v>13</v>
      </c>
      <c r="B14" s="16" t="inlineStr">
        <is>
          <t>QC</t>
        </is>
      </c>
      <c r="C14" s="11" t="inlineStr">
        <is>
          <t>QC</t>
        </is>
      </c>
      <c r="D14" s="16">
        <f>"RTBNSN"&amp;IF($N$2="BG","BG",IF($N$2="GR","GR","MR"))&amp;$K$2&amp;"X"&amp;$L$2&amp;"X06"&amp;"-"&amp;"DSP"</f>
        <v/>
      </c>
      <c r="E14" s="11" t="inlineStr">
        <is>
          <t>RMI-PVC-50</t>
        </is>
      </c>
      <c r="F14" s="11" t="inlineStr">
        <is>
          <t>KGS</t>
        </is>
      </c>
      <c r="G14" s="14">
        <f>IF(K2&lt;79,((L2*2)+(M2*2)+4),((K2*2)+(M2*2)+4))*0.0254*89.5*0.0254*0.00005*1300</f>
        <v/>
      </c>
      <c r="H14" s="38">
        <f>ROUND(G14,3)</f>
        <v/>
      </c>
      <c r="I14" s="11" t="inlineStr">
        <is>
          <t>CBEWIP</t>
        </is>
      </c>
      <c r="J14" s="12" t="n"/>
      <c r="M14" s="31" t="n"/>
      <c r="O14" s="31" t="n"/>
      <c r="R14" s="35" t="n"/>
      <c r="S14" s="35" t="n"/>
      <c r="T14" s="35" t="n"/>
      <c r="U14" s="35" t="n"/>
    </row>
    <row r="15">
      <c r="A15" s="36" t="n">
        <v>14</v>
      </c>
      <c r="B15" s="16" t="inlineStr">
        <is>
          <t>TAPE EDGE</t>
        </is>
      </c>
      <c r="C15" s="16" t="inlineStr">
        <is>
          <t>TAPE EDGE</t>
        </is>
      </c>
      <c r="D15" s="16">
        <f>"RTBNSN"&amp;IF($N$2="BG","BG",IF($N$2="GR","GR","MR"))&amp;$K$2&amp;"X"&amp;$L$2&amp;"X06"&amp;"-"&amp;"DSP"</f>
        <v/>
      </c>
      <c r="E15" s="43">
        <f>"17D-PU-FOAM-"&amp;(K2-0.5)&amp;"0"&amp;"X"&amp;(L2-0.5)&amp;"0"&amp;"X10MM"</f>
        <v/>
      </c>
      <c r="F15" s="11" t="inlineStr">
        <is>
          <t>NOS</t>
        </is>
      </c>
      <c r="G15" s="14" t="n">
        <v>1</v>
      </c>
      <c r="H15" s="38">
        <f>ROUND(G15,3)</f>
        <v/>
      </c>
      <c r="I15" s="21" t="inlineStr">
        <is>
          <t>CBESFG</t>
        </is>
      </c>
      <c r="J15" s="12" t="n"/>
      <c r="R15" s="35" t="n"/>
      <c r="S15" s="35" t="n"/>
      <c r="T15" s="35" t="n"/>
      <c r="U15" s="35" t="n"/>
    </row>
    <row r="16">
      <c r="J16" s="12" t="n"/>
      <c r="M16" s="31" t="n"/>
      <c r="R16" s="35" t="n"/>
      <c r="S16" s="35" t="n"/>
      <c r="T16" s="35" t="n"/>
      <c r="U16" s="35" t="n"/>
    </row>
    <row r="17">
      <c r="J17" s="12" t="n"/>
      <c r="R17" s="35" t="n"/>
      <c r="S17" s="35" t="n"/>
      <c r="T17" s="35" t="n"/>
      <c r="U17" s="35" t="n"/>
    </row>
    <row r="18">
      <c r="J18" s="12" t="n"/>
      <c r="R18" s="35" t="n"/>
      <c r="S18" s="35" t="n"/>
      <c r="T18" s="35" t="n"/>
      <c r="U18" s="35" t="n"/>
    </row>
    <row r="19">
      <c r="J19" s="12" t="n"/>
      <c r="R19" s="35" t="n"/>
      <c r="S19" s="35" t="n"/>
      <c r="T19" s="35" t="n"/>
      <c r="U19" s="35" t="n"/>
    </row>
    <row r="20">
      <c r="J20" s="12" t="n"/>
      <c r="N20" s="31" t="n"/>
      <c r="R20" s="35" t="n"/>
      <c r="S20" s="35" t="n"/>
      <c r="T20" s="35" t="n"/>
      <c r="U20" s="35" t="n"/>
    </row>
    <row r="21">
      <c r="J21" s="12" t="n"/>
      <c r="R21" s="35" t="n"/>
      <c r="S21" s="35" t="n"/>
      <c r="T21" s="35" t="n"/>
      <c r="U21" s="35" t="n"/>
    </row>
    <row r="22">
      <c r="J22" s="12" t="n"/>
      <c r="R22" s="35" t="n"/>
      <c r="S22" s="35" t="n"/>
      <c r="T22" s="35" t="n"/>
      <c r="U22" s="35" t="n"/>
    </row>
    <row r="23">
      <c r="J23" s="13" t="n"/>
      <c r="R23" s="35" t="n"/>
      <c r="S23" s="35" t="n"/>
      <c r="T23" s="35" t="n"/>
      <c r="U23" s="35" t="n"/>
    </row>
    <row r="24">
      <c r="J24" s="13" t="n"/>
      <c r="N24" s="31" t="n"/>
      <c r="R24" s="35" t="n"/>
      <c r="S24" s="35" t="n"/>
      <c r="T24" s="35" t="n"/>
      <c r="U24" s="35" t="n"/>
    </row>
    <row r="25">
      <c r="G25" s="31" t="n"/>
      <c r="H25" s="32" t="n"/>
      <c r="I25" s="33" t="n"/>
      <c r="R25" s="35" t="n"/>
      <c r="S25" s="35" t="n"/>
      <c r="T25" s="35" t="n"/>
      <c r="U25" s="35" t="n"/>
    </row>
    <row r="26">
      <c r="G26" s="31" t="n"/>
      <c r="R26" s="35" t="n"/>
      <c r="S26" s="35" t="n"/>
      <c r="T26" s="35" t="n"/>
      <c r="U26" s="35" t="n"/>
    </row>
    <row r="27">
      <c r="G27" s="31" t="n"/>
      <c r="I27" s="31" t="n"/>
      <c r="R27" s="35" t="n"/>
      <c r="S27" s="35" t="n"/>
      <c r="T27" s="35" t="n"/>
      <c r="U27" s="35" t="n"/>
    </row>
    <row r="28">
      <c r="E28" s="31" t="n"/>
      <c r="I28" s="31" t="n"/>
      <c r="M28" s="31" t="n"/>
      <c r="R28" s="35" t="n"/>
      <c r="S28" s="35" t="n"/>
      <c r="T28" s="35" t="n"/>
      <c r="U28" s="35" t="n"/>
    </row>
    <row r="29">
      <c r="E29" s="31" t="n"/>
      <c r="R29" s="35" t="n"/>
      <c r="S29" s="35" t="n"/>
      <c r="T29" s="35" t="n"/>
      <c r="U29" s="35" t="n"/>
    </row>
    <row r="30">
      <c r="H30" s="31" t="n"/>
      <c r="R30" s="35" t="n"/>
      <c r="S30" s="35" t="n"/>
      <c r="T30" s="35" t="n"/>
      <c r="U30" s="35" t="n"/>
    </row>
    <row r="31">
      <c r="R31" s="35" t="n"/>
      <c r="S31" s="35" t="n"/>
      <c r="T31" s="35" t="n"/>
      <c r="U31" s="35" t="n"/>
    </row>
    <row r="32">
      <c r="R32" s="35" t="n"/>
      <c r="S32" s="35" t="n"/>
      <c r="T32" s="35" t="n"/>
      <c r="U32" s="35" t="n"/>
    </row>
    <row r="33">
      <c r="R33" s="35" t="n"/>
      <c r="S33" s="35" t="n"/>
      <c r="T33" s="35" t="n"/>
      <c r="U33" s="35" t="n"/>
    </row>
    <row r="34">
      <c r="R34" s="35" t="n"/>
      <c r="S34" s="35" t="n"/>
      <c r="T34" s="35" t="n"/>
      <c r="U34" s="35" t="n"/>
    </row>
    <row r="35">
      <c r="R35" s="35" t="n"/>
      <c r="S35" s="35" t="n"/>
      <c r="T35" s="35" t="n"/>
      <c r="U35" s="35" t="n"/>
    </row>
    <row r="36">
      <c r="R36" s="35" t="n"/>
      <c r="S36" s="35" t="n"/>
      <c r="T36" s="35" t="n"/>
      <c r="U36" s="35" t="n"/>
    </row>
    <row r="37">
      <c r="R37" s="35" t="n"/>
      <c r="S37" s="35" t="n"/>
      <c r="T37" s="35" t="n"/>
      <c r="U37" s="35" t="n"/>
    </row>
    <row r="38">
      <c r="R38" s="35" t="n"/>
      <c r="S38" s="35" t="n"/>
      <c r="T38" s="35" t="n"/>
      <c r="U38" s="35" t="n"/>
    </row>
    <row r="39">
      <c r="R39" s="35" t="n"/>
      <c r="S39" s="35" t="n"/>
      <c r="T39" s="35" t="n"/>
      <c r="U39" s="35" t="n"/>
    </row>
    <row r="40">
      <c r="R40" s="35" t="n"/>
      <c r="S40" s="35" t="n"/>
      <c r="T40" s="35" t="n"/>
      <c r="U40" s="35" t="n"/>
    </row>
    <row r="41">
      <c r="R41" s="35" t="n"/>
      <c r="S41" s="35" t="n"/>
      <c r="T41" s="35" t="n"/>
      <c r="U41" s="35" t="n"/>
    </row>
    <row r="42">
      <c r="R42" s="35" t="n"/>
      <c r="S42" s="35" t="n"/>
      <c r="T42" s="35" t="n"/>
      <c r="U42" s="35" t="n"/>
    </row>
    <row r="43">
      <c r="R43" s="35" t="n"/>
      <c r="S43" s="35" t="n"/>
      <c r="T43" s="35" t="n"/>
      <c r="U43" s="35" t="n"/>
    </row>
    <row r="44">
      <c r="R44" s="35" t="n"/>
      <c r="S44" s="35" t="n"/>
      <c r="T44" s="35" t="n"/>
      <c r="U44" s="35" t="n"/>
    </row>
    <row r="45">
      <c r="R45" s="35" t="n"/>
      <c r="S45" s="35" t="n"/>
      <c r="T45" s="35" t="n"/>
      <c r="U45" s="35" t="n"/>
    </row>
    <row r="46">
      <c r="R46" s="35" t="n"/>
      <c r="S46" s="35" t="n"/>
      <c r="T46" s="35" t="n"/>
      <c r="U46" s="35" t="n"/>
    </row>
    <row r="47">
      <c r="R47" s="35" t="n"/>
      <c r="S47" s="35" t="n"/>
      <c r="T47" s="35" t="n"/>
      <c r="U47" s="35" t="n"/>
    </row>
    <row r="48">
      <c r="R48" s="35" t="n"/>
      <c r="S48" s="35" t="n"/>
      <c r="T48" s="35" t="n"/>
      <c r="U48" s="35" t="n"/>
    </row>
    <row r="49">
      <c r="R49" s="35" t="n"/>
      <c r="S49" s="35" t="n"/>
      <c r="T49" s="35" t="n"/>
      <c r="U49" s="35" t="n"/>
    </row>
    <row r="50">
      <c r="R50" s="35" t="n"/>
      <c r="S50" s="35" t="n"/>
      <c r="T50" s="35" t="n"/>
      <c r="U50" s="35" t="n"/>
    </row>
    <row r="51">
      <c r="R51" s="35" t="n"/>
      <c r="S51" s="35" t="n"/>
      <c r="T51" s="35" t="n"/>
      <c r="U51" s="35" t="n"/>
    </row>
    <row r="52">
      <c r="R52" s="35" t="n"/>
      <c r="S52" s="35" t="n"/>
      <c r="T52" s="35" t="n"/>
      <c r="U52" s="35" t="n"/>
    </row>
    <row r="53">
      <c r="R53" s="35" t="n"/>
      <c r="S53" s="35" t="n"/>
      <c r="T53" s="35" t="n"/>
      <c r="U53" s="35" t="n"/>
    </row>
    <row r="54">
      <c r="R54" s="35" t="n"/>
      <c r="S54" s="35" t="n"/>
      <c r="T54" s="35" t="n"/>
      <c r="U54" s="35" t="n"/>
    </row>
    <row r="55">
      <c r="R55" s="35" t="n"/>
      <c r="S55" s="35" t="n"/>
      <c r="T55" s="35" t="n"/>
      <c r="U55" s="35" t="n"/>
    </row>
    <row r="56">
      <c r="R56" s="35" t="n"/>
      <c r="S56" s="35" t="n"/>
      <c r="T56" s="35" t="n"/>
      <c r="U56" s="35" t="n"/>
    </row>
    <row r="57">
      <c r="R57" s="35" t="n"/>
      <c r="S57" s="35" t="n"/>
      <c r="T57" s="35" t="n"/>
      <c r="U57" s="35" t="n"/>
    </row>
    <row r="58">
      <c r="R58" s="35" t="n"/>
      <c r="S58" s="35" t="n"/>
      <c r="T58" s="35" t="n"/>
      <c r="U58" s="35" t="n"/>
    </row>
    <row r="59">
      <c r="R59" s="35" t="n"/>
      <c r="S59" s="35" t="n"/>
      <c r="T59" s="35" t="n"/>
      <c r="U59" s="35" t="n"/>
    </row>
    <row r="60">
      <c r="R60" s="35" t="n"/>
      <c r="S60" s="35" t="n"/>
      <c r="T60" s="35" t="n"/>
      <c r="U60" s="35" t="n"/>
    </row>
    <row r="61">
      <c r="R61" s="35" t="n"/>
      <c r="S61" s="35" t="n"/>
      <c r="T61" s="35" t="n"/>
      <c r="U61" s="35" t="n"/>
    </row>
    <row r="62">
      <c r="R62" s="35" t="n"/>
      <c r="S62" s="35" t="n"/>
      <c r="T62" s="35" t="n"/>
      <c r="U62" s="35" t="n"/>
    </row>
    <row r="63">
      <c r="R63" s="35" t="n"/>
      <c r="S63" s="35" t="n"/>
      <c r="T63" s="35" t="n"/>
      <c r="U63" s="35" t="n"/>
    </row>
    <row r="64">
      <c r="R64" s="35" t="n"/>
      <c r="S64" s="35" t="n"/>
      <c r="T64" s="35" t="n"/>
      <c r="U64" s="35" t="n"/>
    </row>
    <row r="65">
      <c r="R65" s="35" t="n"/>
      <c r="S65" s="35" t="n"/>
      <c r="T65" s="35" t="n"/>
      <c r="U65" s="35" t="n"/>
    </row>
    <row r="66">
      <c r="R66" s="35" t="n"/>
      <c r="S66" s="35" t="n"/>
      <c r="T66" s="35" t="n"/>
      <c r="U66" s="35" t="n"/>
    </row>
    <row r="67">
      <c r="R67" s="35" t="n"/>
      <c r="S67" s="35" t="n"/>
      <c r="T67" s="35" t="n"/>
      <c r="U67" s="35" t="n"/>
    </row>
    <row r="68">
      <c r="R68" s="35" t="n"/>
      <c r="S68" s="35" t="n"/>
      <c r="T68" s="35" t="n"/>
      <c r="U68" s="35" t="n"/>
    </row>
    <row r="69">
      <c r="R69" s="35" t="n"/>
      <c r="S69" s="35" t="n"/>
      <c r="T69" s="35" t="n"/>
      <c r="U69" s="35" t="n"/>
    </row>
    <row r="70">
      <c r="R70" s="35" t="n"/>
      <c r="S70" s="35" t="n"/>
      <c r="T70" s="35" t="n"/>
      <c r="U70" s="35" t="n"/>
    </row>
    <row r="71">
      <c r="R71" s="35" t="n"/>
      <c r="S71" s="35" t="n"/>
      <c r="T71" s="35" t="n"/>
      <c r="U71" s="35" t="n"/>
    </row>
    <row r="72">
      <c r="R72" s="35" t="n"/>
      <c r="S72" s="35" t="n"/>
      <c r="T72" s="35" t="n"/>
      <c r="U72" s="35" t="n"/>
    </row>
    <row r="73">
      <c r="R73" s="35" t="n"/>
      <c r="S73" s="35" t="n"/>
      <c r="T73" s="35" t="n"/>
      <c r="U73" s="35" t="n"/>
    </row>
    <row r="74">
      <c r="R74" s="35" t="n"/>
      <c r="S74" s="35" t="n"/>
      <c r="T74" s="35" t="n"/>
      <c r="U74" s="35" t="n"/>
    </row>
    <row r="75">
      <c r="R75" s="35" t="n"/>
      <c r="S75" s="35" t="n"/>
      <c r="T75" s="35" t="n"/>
      <c r="U75" s="35" t="n"/>
    </row>
    <row r="76">
      <c r="R76" s="35" t="n"/>
      <c r="S76" s="35" t="n"/>
      <c r="T76" s="35" t="n"/>
      <c r="U76" s="35" t="n"/>
    </row>
    <row r="77">
      <c r="R77" s="35" t="n"/>
      <c r="S77" s="35" t="n"/>
      <c r="T77" s="35" t="n"/>
      <c r="U77" s="35" t="n"/>
    </row>
    <row r="78">
      <c r="R78" s="35" t="n"/>
      <c r="S78" s="35" t="n"/>
      <c r="T78" s="35" t="n"/>
      <c r="U78" s="35" t="n"/>
    </row>
    <row r="79">
      <c r="R79" s="35" t="n"/>
      <c r="S79" s="35" t="n"/>
      <c r="T79" s="35" t="n"/>
      <c r="U79" s="35" t="n"/>
    </row>
    <row r="80">
      <c r="R80" s="35" t="n"/>
      <c r="S80" s="35" t="n"/>
      <c r="T80" s="35" t="n"/>
      <c r="U80" s="35" t="n"/>
    </row>
    <row r="81">
      <c r="R81" s="35" t="n"/>
      <c r="S81" s="35" t="n"/>
      <c r="T81" s="35" t="n"/>
      <c r="U81" s="35" t="n"/>
    </row>
    <row r="82">
      <c r="R82" s="35" t="n"/>
      <c r="S82" s="35" t="n"/>
      <c r="T82" s="35" t="n"/>
      <c r="U82" s="35" t="n"/>
    </row>
    <row r="83">
      <c r="R83" s="35" t="n"/>
      <c r="S83" s="35" t="n"/>
      <c r="T83" s="35" t="n"/>
      <c r="U83" s="35" t="n"/>
    </row>
    <row r="84">
      <c r="R84" s="35" t="n"/>
      <c r="S84" s="35" t="n"/>
      <c r="T84" s="35" t="n"/>
      <c r="U84" s="35" t="n"/>
    </row>
    <row r="85">
      <c r="R85" s="35" t="n"/>
      <c r="S85" s="35" t="n"/>
      <c r="T85" s="35" t="n"/>
      <c r="U85" s="35" t="n"/>
    </row>
    <row r="86">
      <c r="R86" s="35" t="n"/>
      <c r="S86" s="35" t="n"/>
      <c r="T86" s="35" t="n"/>
      <c r="U86" s="35" t="n"/>
    </row>
    <row r="87">
      <c r="R87" s="35" t="n"/>
      <c r="S87" s="35" t="n"/>
      <c r="T87" s="35" t="n"/>
      <c r="U87" s="35" t="n"/>
    </row>
    <row r="88">
      <c r="R88" s="35" t="n"/>
      <c r="S88" s="35" t="n"/>
      <c r="T88" s="35" t="n"/>
      <c r="U88" s="35" t="n"/>
    </row>
    <row r="89">
      <c r="R89" s="35" t="n"/>
      <c r="S89" s="35" t="n"/>
      <c r="T89" s="35" t="n"/>
      <c r="U89" s="35" t="n"/>
    </row>
    <row r="90">
      <c r="R90" s="35" t="n"/>
      <c r="S90" s="35" t="n"/>
      <c r="T90" s="35" t="n"/>
      <c r="U90" s="35" t="n"/>
    </row>
    <row r="91">
      <c r="R91" s="35" t="n"/>
      <c r="S91" s="35" t="n"/>
      <c r="T91" s="35" t="n"/>
      <c r="U91" s="35" t="n"/>
    </row>
    <row r="92">
      <c r="R92" s="35" t="n"/>
      <c r="S92" s="35" t="n"/>
      <c r="T92" s="35" t="n"/>
      <c r="U92" s="35" t="n"/>
    </row>
    <row r="93">
      <c r="R93" s="35" t="n"/>
      <c r="S93" s="35" t="n"/>
      <c r="T93" s="35" t="n"/>
      <c r="U93" s="35" t="n"/>
    </row>
    <row r="94">
      <c r="R94" s="35" t="n"/>
      <c r="S94" s="35" t="n"/>
      <c r="T94" s="35" t="n"/>
      <c r="U94" s="35" t="n"/>
    </row>
    <row r="95">
      <c r="R95" s="35" t="n"/>
      <c r="S95" s="35" t="n"/>
      <c r="T95" s="35" t="n"/>
      <c r="U95" s="35" t="n"/>
    </row>
    <row r="96">
      <c r="R96" s="35" t="n"/>
      <c r="S96" s="35" t="n"/>
      <c r="T96" s="35" t="n"/>
      <c r="U96" s="35" t="n"/>
    </row>
    <row r="97">
      <c r="R97" s="35" t="n"/>
      <c r="S97" s="35" t="n"/>
      <c r="T97" s="35" t="n"/>
      <c r="U97" s="35" t="n"/>
    </row>
    <row r="98">
      <c r="R98" s="35" t="n"/>
      <c r="S98" s="35" t="n"/>
      <c r="T98" s="35" t="n"/>
      <c r="U98" s="35" t="n"/>
    </row>
    <row r="99">
      <c r="R99" s="35" t="n"/>
      <c r="S99" s="35" t="n"/>
      <c r="T99" s="35" t="n"/>
      <c r="U99" s="35" t="n"/>
    </row>
    <row r="100">
      <c r="R100" s="35" t="n"/>
      <c r="S100" s="35" t="n"/>
      <c r="T100" s="35" t="n"/>
      <c r="U100" s="35" t="n"/>
    </row>
    <row r="101">
      <c r="R101" s="35" t="n"/>
      <c r="S101" s="35" t="n"/>
      <c r="T101" s="35" t="n"/>
      <c r="U101" s="35" t="n"/>
    </row>
    <row r="102">
      <c r="R102" s="35" t="n"/>
      <c r="S102" s="35" t="n"/>
      <c r="T102" s="35" t="n"/>
      <c r="U102" s="35" t="n"/>
    </row>
    <row r="103">
      <c r="R103" s="35" t="n"/>
      <c r="S103" s="35" t="n"/>
      <c r="T103" s="35" t="n"/>
      <c r="U103" s="35" t="n"/>
    </row>
    <row r="104">
      <c r="R104" s="35" t="n"/>
      <c r="S104" s="35" t="n"/>
      <c r="T104" s="35" t="n"/>
      <c r="U104" s="35" t="n"/>
    </row>
    <row r="105">
      <c r="R105" s="35" t="n"/>
      <c r="S105" s="35" t="n"/>
      <c r="T105" s="35" t="n"/>
      <c r="U105" s="35" t="n"/>
    </row>
    <row r="106">
      <c r="R106" s="35" t="n"/>
      <c r="S106" s="35" t="n"/>
      <c r="T106" s="35" t="n"/>
      <c r="U106" s="35" t="n"/>
    </row>
    <row r="107">
      <c r="R107" s="35" t="n"/>
      <c r="S107" s="35" t="n"/>
      <c r="T107" s="35" t="n"/>
      <c r="U107" s="35" t="n"/>
    </row>
    <row r="108">
      <c r="R108" s="35" t="n"/>
      <c r="S108" s="35" t="n"/>
      <c r="T108" s="35" t="n"/>
      <c r="U108" s="35" t="n"/>
    </row>
    <row r="109">
      <c r="R109" s="35" t="n"/>
      <c r="S109" s="35" t="n"/>
      <c r="T109" s="35" t="n"/>
      <c r="U109" s="35" t="n"/>
    </row>
    <row r="110">
      <c r="R110" s="35" t="n"/>
      <c r="S110" s="35" t="n"/>
      <c r="T110" s="35" t="n"/>
      <c r="U110" s="35" t="n"/>
    </row>
    <row r="111">
      <c r="R111" s="35" t="n"/>
      <c r="S111" s="35" t="n"/>
      <c r="T111" s="35" t="n"/>
      <c r="U111" s="35" t="n"/>
    </row>
    <row r="112">
      <c r="R112" s="35" t="n"/>
      <c r="S112" s="35" t="n"/>
      <c r="T112" s="35" t="n"/>
      <c r="U112" s="35" t="n"/>
    </row>
    <row r="113">
      <c r="R113" s="35" t="n"/>
      <c r="S113" s="35" t="n"/>
      <c r="T113" s="35" t="n"/>
      <c r="U113" s="35" t="n"/>
    </row>
    <row r="114">
      <c r="R114" s="35" t="n"/>
      <c r="S114" s="35" t="n"/>
      <c r="T114" s="35" t="n"/>
      <c r="U114" s="35" t="n"/>
    </row>
    <row r="115">
      <c r="R115" s="35" t="n"/>
      <c r="S115" s="35" t="n"/>
      <c r="T115" s="35" t="n"/>
      <c r="U115" s="35" t="n"/>
    </row>
    <row r="116">
      <c r="R116" s="35" t="n"/>
      <c r="S116" s="35" t="n"/>
      <c r="T116" s="35" t="n"/>
      <c r="U116" s="35" t="n"/>
    </row>
    <row r="117">
      <c r="R117" s="35" t="n"/>
      <c r="S117" s="35" t="n"/>
      <c r="T117" s="35" t="n"/>
      <c r="U117" s="35" t="n"/>
    </row>
    <row r="118">
      <c r="R118" s="35" t="n"/>
      <c r="S118" s="35" t="n"/>
      <c r="T118" s="35" t="n"/>
      <c r="U118" s="35" t="n"/>
    </row>
    <row r="119">
      <c r="R119" s="35" t="n"/>
      <c r="S119" s="35" t="n"/>
      <c r="T119" s="35" t="n"/>
      <c r="U119" s="35" t="n"/>
    </row>
    <row r="120">
      <c r="R120" s="35" t="n"/>
      <c r="S120" s="35" t="n"/>
      <c r="T120" s="35" t="n"/>
      <c r="U120" s="35" t="n"/>
    </row>
    <row r="121">
      <c r="R121" s="35" t="n"/>
      <c r="S121" s="35" t="n"/>
      <c r="T121" s="35" t="n"/>
      <c r="U121" s="35" t="n"/>
    </row>
    <row r="122">
      <c r="R122" s="35" t="n"/>
      <c r="S122" s="35" t="n"/>
      <c r="T122" s="35" t="n"/>
      <c r="U122" s="35" t="n"/>
    </row>
    <row r="123">
      <c r="R123" s="35" t="n"/>
      <c r="S123" s="35" t="n"/>
      <c r="T123" s="35" t="n"/>
      <c r="U123" s="35" t="n"/>
    </row>
    <row r="124">
      <c r="R124" s="35" t="n"/>
      <c r="S124" s="35" t="n"/>
      <c r="T124" s="35" t="n"/>
      <c r="U124" s="35" t="n"/>
    </row>
    <row r="125">
      <c r="R125" s="35" t="n"/>
      <c r="S125" s="35" t="n"/>
      <c r="T125" s="35" t="n"/>
      <c r="U125" s="35" t="n"/>
    </row>
    <row r="126">
      <c r="R126" s="35" t="n"/>
      <c r="S126" s="35" t="n"/>
      <c r="T126" s="35" t="n"/>
      <c r="U126" s="35" t="n"/>
    </row>
    <row r="127">
      <c r="R127" s="35" t="n"/>
      <c r="S127" s="35" t="n"/>
      <c r="T127" s="35" t="n"/>
      <c r="U127" s="35" t="n"/>
    </row>
    <row r="128">
      <c r="R128" s="35" t="n"/>
      <c r="S128" s="35" t="n"/>
      <c r="T128" s="35" t="n"/>
      <c r="U128" s="35" t="n"/>
    </row>
    <row r="129">
      <c r="R129" s="35" t="n"/>
      <c r="S129" s="35" t="n"/>
      <c r="T129" s="35" t="n"/>
      <c r="U129" s="35" t="n"/>
    </row>
    <row r="130">
      <c r="R130" s="35" t="n"/>
      <c r="S130" s="35" t="n"/>
      <c r="T130" s="35" t="n"/>
      <c r="U130" s="35" t="n"/>
    </row>
    <row r="131">
      <c r="R131" s="35" t="n"/>
      <c r="S131" s="35" t="n"/>
      <c r="T131" s="35" t="n"/>
      <c r="U131" s="35" t="n"/>
    </row>
    <row r="132">
      <c r="R132" s="35" t="n"/>
      <c r="S132" s="35" t="n"/>
      <c r="T132" s="35" t="n"/>
      <c r="U132" s="35" t="n"/>
    </row>
    <row r="133">
      <c r="R133" s="35" t="n"/>
      <c r="S133" s="35" t="n"/>
      <c r="T133" s="35" t="n"/>
      <c r="U133" s="35" t="n"/>
    </row>
    <row r="134">
      <c r="R134" s="35" t="n"/>
      <c r="S134" s="35" t="n"/>
      <c r="T134" s="35" t="n"/>
      <c r="U134" s="35" t="n"/>
    </row>
    <row r="135">
      <c r="R135" s="35" t="n"/>
      <c r="S135" s="35" t="n"/>
      <c r="T135" s="35" t="n"/>
      <c r="U135" s="35" t="n"/>
    </row>
    <row r="136">
      <c r="R136" s="35" t="n"/>
      <c r="S136" s="35" t="n"/>
      <c r="T136" s="35" t="n"/>
      <c r="U136" s="35" t="n"/>
    </row>
    <row r="137">
      <c r="R137" s="35" t="n"/>
      <c r="S137" s="35" t="n"/>
      <c r="T137" s="35" t="n"/>
      <c r="U137" s="35" t="n"/>
    </row>
    <row r="138">
      <c r="R138" s="35" t="n"/>
      <c r="S138" s="35" t="n"/>
      <c r="T138" s="35" t="n"/>
      <c r="U138" s="35" t="n"/>
    </row>
    <row r="139">
      <c r="R139" s="35" t="n"/>
      <c r="S139" s="35" t="n"/>
      <c r="T139" s="35" t="n"/>
      <c r="U139" s="35" t="n"/>
    </row>
    <row r="140">
      <c r="R140" s="35" t="n"/>
      <c r="S140" s="35" t="n"/>
      <c r="T140" s="35" t="n"/>
      <c r="U140" s="35" t="n"/>
    </row>
    <row r="141">
      <c r="R141" s="35" t="n"/>
      <c r="S141" s="35" t="n"/>
      <c r="T141" s="35" t="n"/>
      <c r="U141" s="35" t="n"/>
    </row>
    <row r="142">
      <c r="R142" s="35" t="n"/>
      <c r="S142" s="35" t="n"/>
      <c r="T142" s="35" t="n"/>
      <c r="U142" s="35" t="n"/>
    </row>
    <row r="143">
      <c r="R143" s="35" t="n"/>
      <c r="S143" s="35" t="n"/>
      <c r="T143" s="35" t="n"/>
      <c r="U143" s="35" t="n"/>
    </row>
    <row r="144">
      <c r="R144" s="35" t="n"/>
      <c r="S144" s="35" t="n"/>
      <c r="T144" s="35" t="n"/>
      <c r="U144" s="35" t="n"/>
    </row>
    <row r="145">
      <c r="R145" s="35" t="n"/>
      <c r="S145" s="35" t="n"/>
      <c r="T145" s="35" t="n"/>
      <c r="U145" s="35" t="n"/>
    </row>
    <row r="146">
      <c r="R146" s="35" t="n"/>
      <c r="S146" s="35" t="n"/>
      <c r="T146" s="35" t="n"/>
      <c r="U146" s="35" t="n"/>
    </row>
    <row r="147">
      <c r="R147" s="35" t="n"/>
      <c r="S147" s="35" t="n"/>
      <c r="T147" s="35" t="n"/>
      <c r="U147" s="35" t="n"/>
    </row>
    <row r="148">
      <c r="R148" s="35" t="n"/>
      <c r="S148" s="35" t="n"/>
      <c r="T148" s="35" t="n"/>
      <c r="U148" s="35" t="n"/>
    </row>
    <row r="149">
      <c r="R149" s="35" t="n"/>
      <c r="S149" s="35" t="n"/>
      <c r="T149" s="35" t="n"/>
      <c r="U149" s="35" t="n"/>
    </row>
    <row r="150">
      <c r="R150" s="35" t="n"/>
      <c r="S150" s="35" t="n"/>
      <c r="T150" s="35" t="n"/>
      <c r="U150" s="35" t="n"/>
    </row>
    <row r="151">
      <c r="R151" s="35" t="n"/>
      <c r="S151" s="35" t="n"/>
      <c r="T151" s="35" t="n"/>
      <c r="U151" s="35" t="n"/>
    </row>
    <row r="152">
      <c r="R152" s="35" t="n"/>
      <c r="S152" s="35" t="n"/>
      <c r="T152" s="35" t="n"/>
      <c r="U152" s="35" t="n"/>
    </row>
    <row r="153">
      <c r="R153" s="35" t="n"/>
      <c r="S153" s="35" t="n"/>
      <c r="T153" s="35" t="n"/>
      <c r="U153" s="35" t="n"/>
    </row>
    <row r="154">
      <c r="R154" s="35" t="n"/>
      <c r="S154" s="35" t="n"/>
      <c r="T154" s="35" t="n"/>
      <c r="U154" s="35" t="n"/>
    </row>
    <row r="155">
      <c r="R155" s="35" t="n"/>
      <c r="S155" s="35" t="n"/>
      <c r="T155" s="35" t="n"/>
      <c r="U155" s="35" t="n"/>
    </row>
    <row r="156">
      <c r="R156" s="35" t="n"/>
      <c r="S156" s="35" t="n"/>
      <c r="T156" s="35" t="n"/>
      <c r="U156" s="35" t="n"/>
    </row>
    <row r="157">
      <c r="R157" s="35" t="n"/>
      <c r="S157" s="35" t="n"/>
      <c r="T157" s="35" t="n"/>
      <c r="U157" s="35" t="n"/>
    </row>
    <row r="158">
      <c r="R158" s="35" t="n"/>
      <c r="S158" s="35" t="n"/>
      <c r="T158" s="35" t="n"/>
      <c r="U158" s="35" t="n"/>
    </row>
    <row r="159">
      <c r="R159" s="35" t="n"/>
      <c r="S159" s="35" t="n"/>
      <c r="T159" s="35" t="n"/>
      <c r="U159" s="35" t="n"/>
    </row>
    <row r="160">
      <c r="R160" s="35" t="n"/>
      <c r="S160" s="35" t="n"/>
      <c r="T160" s="35" t="n"/>
      <c r="U160" s="35" t="n"/>
    </row>
    <row r="161">
      <c r="R161" s="35" t="n"/>
      <c r="S161" s="35" t="n"/>
      <c r="T161" s="35" t="n"/>
      <c r="U161" s="35" t="n"/>
    </row>
    <row r="162">
      <c r="R162" s="35" t="n"/>
      <c r="S162" s="35" t="n"/>
      <c r="T162" s="35" t="n"/>
      <c r="U162" s="35" t="n"/>
    </row>
    <row r="163">
      <c r="R163" s="35" t="n"/>
      <c r="S163" s="35" t="n"/>
      <c r="T163" s="35" t="n"/>
      <c r="U163" s="35" t="n"/>
    </row>
    <row r="164">
      <c r="R164" s="35" t="n"/>
      <c r="S164" s="35" t="n"/>
      <c r="T164" s="35" t="n"/>
      <c r="U164" s="35" t="n"/>
    </row>
    <row r="165">
      <c r="R165" s="35" t="n"/>
      <c r="S165" s="35" t="n"/>
      <c r="T165" s="35" t="n"/>
      <c r="U165" s="35" t="n"/>
    </row>
    <row r="166">
      <c r="R166" s="35" t="n"/>
      <c r="S166" s="35" t="n"/>
      <c r="T166" s="35" t="n"/>
      <c r="U166" s="35" t="n"/>
    </row>
    <row r="167">
      <c r="R167" s="35" t="n"/>
      <c r="S167" s="35" t="n"/>
      <c r="T167" s="35" t="n"/>
      <c r="U167" s="35" t="n"/>
    </row>
    <row r="168">
      <c r="R168" s="35" t="n"/>
      <c r="S168" s="35" t="n"/>
      <c r="T168" s="35" t="n"/>
      <c r="U168" s="35" t="n"/>
    </row>
    <row r="169">
      <c r="R169" s="35" t="n"/>
      <c r="S169" s="35" t="n"/>
      <c r="T169" s="35" t="n"/>
      <c r="U169" s="35" t="n"/>
    </row>
    <row r="170">
      <c r="R170" s="35" t="n"/>
      <c r="S170" s="35" t="n"/>
      <c r="T170" s="35" t="n"/>
      <c r="U170" s="35" t="n"/>
    </row>
    <row r="171">
      <c r="R171" s="35" t="n"/>
      <c r="S171" s="35" t="n"/>
      <c r="T171" s="35" t="n"/>
      <c r="U171" s="35" t="n"/>
    </row>
    <row r="172">
      <c r="R172" s="35" t="n"/>
      <c r="S172" s="35" t="n"/>
      <c r="T172" s="35" t="n"/>
      <c r="U172" s="35" t="n"/>
    </row>
    <row r="173">
      <c r="R173" s="35" t="n"/>
      <c r="S173" s="35" t="n"/>
      <c r="T173" s="35" t="n"/>
      <c r="U173" s="35" t="n"/>
    </row>
    <row r="174">
      <c r="R174" s="35" t="n"/>
      <c r="S174" s="35" t="n"/>
      <c r="T174" s="35" t="n"/>
      <c r="U174" s="35" t="n"/>
    </row>
    <row r="175">
      <c r="R175" s="35" t="n"/>
      <c r="S175" s="35" t="n"/>
      <c r="T175" s="35" t="n"/>
      <c r="U175" s="35" t="n"/>
    </row>
    <row r="176">
      <c r="R176" s="35" t="n"/>
      <c r="S176" s="35" t="n"/>
      <c r="T176" s="35" t="n"/>
      <c r="U176" s="35" t="n"/>
    </row>
    <row r="177">
      <c r="R177" s="35" t="n"/>
      <c r="S177" s="35" t="n"/>
      <c r="T177" s="35" t="n"/>
      <c r="U177" s="35" t="n"/>
    </row>
    <row r="178">
      <c r="R178" s="35" t="n"/>
      <c r="S178" s="35" t="n"/>
      <c r="T178" s="35" t="n"/>
      <c r="U178" s="35" t="n"/>
    </row>
    <row r="179">
      <c r="R179" s="35" t="n"/>
      <c r="S179" s="35" t="n"/>
      <c r="T179" s="35" t="n"/>
      <c r="U179" s="35" t="n"/>
    </row>
    <row r="180">
      <c r="R180" s="35" t="n"/>
      <c r="S180" s="35" t="n"/>
      <c r="T180" s="35" t="n"/>
      <c r="U180" s="35" t="n"/>
    </row>
    <row r="181">
      <c r="R181" s="35" t="n"/>
      <c r="S181" s="35" t="n"/>
      <c r="T181" s="35" t="n"/>
      <c r="U181" s="35" t="n"/>
    </row>
    <row r="182">
      <c r="R182" s="35" t="n"/>
      <c r="S182" s="35" t="n"/>
      <c r="T182" s="35" t="n"/>
      <c r="U182" s="35" t="n"/>
    </row>
    <row r="183">
      <c r="R183" s="35" t="n"/>
      <c r="S183" s="35" t="n"/>
      <c r="T183" s="35" t="n"/>
      <c r="U183" s="35" t="n"/>
    </row>
    <row r="184">
      <c r="R184" s="35" t="n"/>
      <c r="S184" s="35" t="n"/>
      <c r="T184" s="35" t="n"/>
      <c r="U184" s="35" t="n"/>
    </row>
    <row r="185">
      <c r="R185" s="35" t="n"/>
      <c r="S185" s="35" t="n"/>
      <c r="T185" s="35" t="n"/>
      <c r="U185" s="35" t="n"/>
    </row>
    <row r="186">
      <c r="R186" s="35" t="n"/>
      <c r="S186" s="35" t="n"/>
      <c r="T186" s="35" t="n"/>
      <c r="U186" s="35" t="n"/>
    </row>
    <row r="187">
      <c r="R187" s="35" t="n"/>
      <c r="S187" s="35" t="n"/>
      <c r="T187" s="35" t="n"/>
      <c r="U187" s="35" t="n"/>
    </row>
    <row r="188">
      <c r="R188" s="35" t="n"/>
      <c r="S188" s="35" t="n"/>
      <c r="T188" s="35" t="n"/>
      <c r="U188" s="35" t="n"/>
    </row>
    <row r="189">
      <c r="R189" s="35" t="n"/>
      <c r="S189" s="35" t="n"/>
      <c r="T189" s="35" t="n"/>
      <c r="U189" s="35" t="n"/>
    </row>
    <row r="190">
      <c r="R190" s="35" t="n"/>
      <c r="S190" s="35" t="n"/>
      <c r="T190" s="35" t="n"/>
      <c r="U190" s="35" t="n"/>
    </row>
    <row r="191">
      <c r="R191" s="35" t="n"/>
      <c r="S191" s="35" t="n"/>
      <c r="T191" s="35" t="n"/>
      <c r="U191" s="35" t="n"/>
    </row>
    <row r="192">
      <c r="R192" s="35" t="n"/>
      <c r="S192" s="35" t="n"/>
      <c r="T192" s="35" t="n"/>
      <c r="U192" s="35" t="n"/>
    </row>
    <row r="193">
      <c r="R193" s="35" t="n"/>
      <c r="S193" s="35" t="n"/>
      <c r="T193" s="35" t="n"/>
      <c r="U193" s="35" t="n"/>
    </row>
    <row r="194">
      <c r="R194" s="35" t="n"/>
      <c r="S194" s="35" t="n"/>
      <c r="T194" s="35" t="n"/>
      <c r="U194" s="35" t="n"/>
    </row>
    <row r="195">
      <c r="R195" s="35" t="n"/>
      <c r="S195" s="35" t="n"/>
      <c r="T195" s="35" t="n"/>
      <c r="U195" s="35" t="n"/>
    </row>
    <row r="196">
      <c r="R196" s="35" t="n"/>
      <c r="S196" s="35" t="n"/>
      <c r="T196" s="35" t="n"/>
      <c r="U196" s="35" t="n"/>
    </row>
    <row r="197">
      <c r="R197" s="35" t="n"/>
      <c r="S197" s="35" t="n"/>
      <c r="T197" s="35" t="n"/>
      <c r="U197" s="35" t="n"/>
    </row>
    <row r="198">
      <c r="R198" s="35" t="n"/>
      <c r="S198" s="35" t="n"/>
      <c r="T198" s="35" t="n"/>
      <c r="U198" s="35" t="n"/>
    </row>
    <row r="199">
      <c r="R199" s="35" t="n"/>
      <c r="S199" s="35" t="n"/>
      <c r="T199" s="35" t="n"/>
      <c r="U199" s="35" t="n"/>
    </row>
    <row r="200">
      <c r="R200" s="35" t="n"/>
      <c r="S200" s="35" t="n"/>
      <c r="T200" s="35" t="n"/>
      <c r="U200" s="35" t="n"/>
    </row>
    <row r="201">
      <c r="R201" s="35" t="n"/>
      <c r="S201" s="35" t="n"/>
      <c r="T201" s="35" t="n"/>
      <c r="U201" s="35" t="n"/>
    </row>
    <row r="202">
      <c r="R202" s="35" t="n"/>
      <c r="S202" s="35" t="n"/>
      <c r="T202" s="35" t="n"/>
      <c r="U202" s="35" t="n"/>
    </row>
    <row r="203">
      <c r="R203" s="35" t="n"/>
      <c r="S203" s="35" t="n"/>
      <c r="T203" s="35" t="n"/>
      <c r="U203" s="35" t="n"/>
    </row>
    <row r="204">
      <c r="R204" s="35" t="n"/>
      <c r="S204" s="35" t="n"/>
      <c r="T204" s="35" t="n"/>
      <c r="U204" s="35" t="n"/>
    </row>
    <row r="205">
      <c r="R205" s="35" t="n"/>
      <c r="S205" s="35" t="n"/>
      <c r="T205" s="35" t="n"/>
      <c r="U205" s="35" t="n"/>
    </row>
    <row r="206">
      <c r="R206" s="35" t="n"/>
      <c r="S206" s="35" t="n"/>
      <c r="T206" s="35" t="n"/>
      <c r="U206" s="35" t="n"/>
    </row>
    <row r="207">
      <c r="R207" s="35" t="n"/>
      <c r="S207" s="35" t="n"/>
      <c r="T207" s="35" t="n"/>
      <c r="U207" s="35" t="n"/>
    </row>
    <row r="208">
      <c r="R208" s="35" t="n"/>
      <c r="S208" s="35" t="n"/>
      <c r="T208" s="35" t="n"/>
      <c r="U208" s="35" t="n"/>
    </row>
    <row r="209">
      <c r="R209" s="35" t="n"/>
      <c r="S209" s="35" t="n"/>
      <c r="T209" s="35" t="n"/>
      <c r="U209" s="35" t="n"/>
    </row>
    <row r="210">
      <c r="R210" s="35" t="n"/>
      <c r="S210" s="35" t="n"/>
      <c r="T210" s="35" t="n"/>
      <c r="U210" s="35" t="n"/>
    </row>
    <row r="211">
      <c r="R211" s="35" t="n"/>
      <c r="S211" s="35" t="n"/>
      <c r="T211" s="35" t="n"/>
      <c r="U211" s="35" t="n"/>
    </row>
    <row r="212">
      <c r="R212" s="35" t="n"/>
      <c r="S212" s="35" t="n"/>
      <c r="T212" s="35" t="n"/>
      <c r="U212" s="35" t="n"/>
    </row>
    <row r="213">
      <c r="R213" s="35" t="n"/>
      <c r="S213" s="35" t="n"/>
      <c r="T213" s="35" t="n"/>
      <c r="U213" s="35" t="n"/>
    </row>
    <row r="214">
      <c r="R214" s="35" t="n"/>
      <c r="S214" s="35" t="n"/>
      <c r="T214" s="35" t="n"/>
      <c r="U214" s="35" t="n"/>
    </row>
    <row r="215">
      <c r="R215" s="35" t="n"/>
      <c r="S215" s="35" t="n"/>
      <c r="T215" s="35" t="n"/>
      <c r="U215" s="35" t="n"/>
    </row>
    <row r="216">
      <c r="R216" s="35" t="n"/>
      <c r="S216" s="35" t="n"/>
      <c r="T216" s="35" t="n"/>
      <c r="U216" s="35" t="n"/>
    </row>
    <row r="217">
      <c r="R217" s="35" t="n"/>
      <c r="S217" s="35" t="n"/>
      <c r="T217" s="35" t="n"/>
      <c r="U217" s="35" t="n"/>
    </row>
    <row r="218">
      <c r="R218" s="35" t="n"/>
      <c r="S218" s="35" t="n"/>
      <c r="T218" s="35" t="n"/>
      <c r="U218" s="35" t="n"/>
    </row>
    <row r="219">
      <c r="R219" s="35" t="n"/>
      <c r="S219" s="35" t="n"/>
      <c r="T219" s="35" t="n"/>
      <c r="U219" s="35" t="n"/>
    </row>
    <row r="220">
      <c r="R220" s="35" t="n"/>
      <c r="S220" s="35" t="n"/>
      <c r="T220" s="35" t="n"/>
      <c r="U220" s="35" t="n"/>
    </row>
    <row r="221">
      <c r="R221" s="35" t="n"/>
      <c r="S221" s="35" t="n"/>
      <c r="T221" s="35" t="n"/>
      <c r="U221" s="35" t="n"/>
    </row>
    <row r="222">
      <c r="R222" s="35" t="n"/>
      <c r="S222" s="35" t="n"/>
      <c r="T222" s="35" t="n"/>
      <c r="U222" s="35" t="n"/>
    </row>
    <row r="223">
      <c r="R223" s="35" t="n"/>
      <c r="S223" s="35" t="n"/>
      <c r="T223" s="35" t="n"/>
      <c r="U223" s="35" t="n"/>
    </row>
    <row r="224">
      <c r="R224" s="35" t="n"/>
      <c r="S224" s="35" t="n"/>
      <c r="T224" s="35" t="n"/>
      <c r="U224" s="35" t="n"/>
    </row>
    <row r="225">
      <c r="R225" s="35" t="n"/>
      <c r="S225" s="35" t="n"/>
      <c r="T225" s="35" t="n"/>
      <c r="U225" s="35" t="n"/>
    </row>
    <row r="226">
      <c r="R226" s="35" t="n"/>
      <c r="S226" s="35" t="n"/>
      <c r="T226" s="35" t="n"/>
      <c r="U226" s="35" t="n"/>
    </row>
    <row r="227">
      <c r="R227" s="35" t="n"/>
      <c r="S227" s="35" t="n"/>
      <c r="T227" s="35" t="n"/>
      <c r="U227" s="35" t="n"/>
    </row>
    <row r="228">
      <c r="R228" s="35" t="n"/>
      <c r="S228" s="35" t="n"/>
      <c r="T228" s="35" t="n"/>
      <c r="U228" s="35" t="n"/>
    </row>
    <row r="229">
      <c r="R229" s="35" t="n"/>
      <c r="S229" s="35" t="n"/>
      <c r="T229" s="35" t="n"/>
      <c r="U229" s="35" t="n"/>
    </row>
    <row r="230">
      <c r="R230" s="35" t="n"/>
      <c r="S230" s="35" t="n"/>
      <c r="T230" s="35" t="n"/>
      <c r="U230" s="35" t="n"/>
    </row>
    <row r="231">
      <c r="R231" s="35" t="n"/>
      <c r="S231" s="35" t="n"/>
      <c r="T231" s="35" t="n"/>
      <c r="U231" s="35" t="n"/>
    </row>
    <row r="232">
      <c r="R232" s="35" t="n"/>
      <c r="S232" s="35" t="n"/>
      <c r="T232" s="35" t="n"/>
      <c r="U232" s="35" t="n"/>
    </row>
    <row r="233">
      <c r="R233" s="35" t="n"/>
      <c r="S233" s="35" t="n"/>
      <c r="T233" s="35" t="n"/>
      <c r="U233" s="35" t="n"/>
    </row>
    <row r="234">
      <c r="R234" s="35" t="n"/>
      <c r="S234" s="35" t="n"/>
      <c r="T234" s="35" t="n"/>
      <c r="U234" s="35" t="n"/>
    </row>
    <row r="235">
      <c r="R235" s="35" t="n"/>
      <c r="S235" s="35" t="n"/>
      <c r="T235" s="35" t="n"/>
      <c r="U235" s="35" t="n"/>
    </row>
    <row r="236">
      <c r="R236" s="35" t="n"/>
      <c r="S236" s="35" t="n"/>
      <c r="T236" s="35" t="n"/>
      <c r="U236" s="35" t="n"/>
    </row>
    <row r="237">
      <c r="R237" s="35" t="n"/>
      <c r="S237" s="35" t="n"/>
      <c r="T237" s="35" t="n"/>
      <c r="U237" s="35" t="n"/>
    </row>
    <row r="238">
      <c r="R238" s="35" t="n"/>
      <c r="S238" s="35" t="n"/>
      <c r="T238" s="35" t="n"/>
      <c r="U238" s="35" t="n"/>
    </row>
    <row r="239">
      <c r="R239" s="35" t="n"/>
      <c r="S239" s="35" t="n"/>
      <c r="T239" s="35" t="n"/>
      <c r="U239" s="35" t="n"/>
    </row>
    <row r="240">
      <c r="R240" s="35" t="n"/>
      <c r="S240" s="35" t="n"/>
      <c r="T240" s="35" t="n"/>
      <c r="U240" s="35" t="n"/>
    </row>
    <row r="241">
      <c r="R241" s="35" t="n"/>
      <c r="S241" s="35" t="n"/>
      <c r="T241" s="35" t="n"/>
      <c r="U241" s="35" t="n"/>
    </row>
    <row r="602">
      <c r="R602" s="35" t="n"/>
      <c r="S602" s="35" t="n"/>
      <c r="T602" s="35" t="n"/>
      <c r="U602" s="35" t="n"/>
    </row>
    <row r="603">
      <c r="R603" s="35" t="n"/>
      <c r="S603" s="35" t="n"/>
      <c r="T603" s="35" t="n"/>
      <c r="U603" s="35" t="n"/>
    </row>
    <row r="604">
      <c r="R604" s="35" t="n"/>
      <c r="S604" s="35" t="n"/>
      <c r="T604" s="35" t="n"/>
      <c r="U604" s="35" t="n"/>
    </row>
    <row r="605">
      <c r="R605" s="35" t="n"/>
      <c r="S605" s="35" t="n"/>
      <c r="T605" s="35" t="n"/>
      <c r="U605" s="35" t="n"/>
    </row>
    <row r="606">
      <c r="R606" s="35" t="n"/>
      <c r="S606" s="35" t="n"/>
      <c r="T606" s="35" t="n"/>
      <c r="U606" s="35" t="n"/>
    </row>
    <row r="607">
      <c r="R607" s="35" t="n"/>
      <c r="S607" s="35" t="n"/>
      <c r="T607" s="35" t="n"/>
      <c r="U607" s="35" t="n"/>
    </row>
    <row r="608">
      <c r="R608" s="35" t="n"/>
      <c r="S608" s="35" t="n"/>
      <c r="T608" s="35" t="n"/>
      <c r="U608" s="35" t="n"/>
    </row>
    <row r="609">
      <c r="R609" s="35" t="n"/>
      <c r="S609" s="35" t="n"/>
      <c r="T609" s="35" t="n"/>
      <c r="U609" s="35" t="n"/>
    </row>
    <row r="610">
      <c r="R610" s="35" t="n"/>
      <c r="S610" s="35" t="n"/>
      <c r="T610" s="35" t="n"/>
      <c r="U610" s="35" t="n"/>
    </row>
    <row r="611">
      <c r="R611" s="35" t="n"/>
      <c r="S611" s="35" t="n"/>
      <c r="T611" s="35" t="n"/>
      <c r="U611" s="35" t="n"/>
    </row>
    <row r="612">
      <c r="R612" s="35" t="n"/>
      <c r="S612" s="35" t="n"/>
      <c r="T612" s="35" t="n"/>
      <c r="U612" s="35" t="n"/>
    </row>
    <row r="613">
      <c r="R613" s="35" t="n"/>
      <c r="S613" s="35" t="n"/>
      <c r="T613" s="35" t="n"/>
      <c r="U613" s="35" t="n"/>
    </row>
    <row r="614">
      <c r="R614" s="35" t="n"/>
      <c r="S614" s="35" t="n"/>
      <c r="T614" s="35" t="n"/>
      <c r="U614" s="35" t="n"/>
    </row>
    <row r="615">
      <c r="R615" s="35" t="n"/>
      <c r="S615" s="35" t="n"/>
      <c r="T615" s="35" t="n"/>
      <c r="U615" s="35" t="n"/>
    </row>
    <row r="616">
      <c r="R616" s="35" t="n"/>
      <c r="S616" s="35" t="n"/>
      <c r="T616" s="35" t="n"/>
      <c r="U616" s="35" t="n"/>
    </row>
    <row r="617">
      <c r="R617" s="35" t="n"/>
      <c r="S617" s="35" t="n"/>
      <c r="T617" s="35" t="n"/>
      <c r="U617" s="35" t="n"/>
    </row>
    <row r="618">
      <c r="R618" s="35" t="n"/>
      <c r="S618" s="35" t="n"/>
      <c r="T618" s="35" t="n"/>
      <c r="U618" s="35" t="n"/>
    </row>
    <row r="619">
      <c r="R619" s="35" t="n"/>
      <c r="S619" s="35" t="n"/>
      <c r="T619" s="35" t="n"/>
      <c r="U619" s="35" t="n"/>
    </row>
    <row r="620">
      <c r="R620" s="35" t="n"/>
      <c r="S620" s="35" t="n"/>
      <c r="T620" s="35" t="n"/>
      <c r="U620" s="35" t="n"/>
    </row>
    <row r="621">
      <c r="R621" s="35" t="n"/>
      <c r="S621" s="35" t="n"/>
      <c r="T621" s="35" t="n"/>
      <c r="U621" s="35" t="n"/>
    </row>
    <row r="622">
      <c r="R622" s="35" t="n"/>
      <c r="S622" s="35" t="n"/>
      <c r="T622" s="35" t="n"/>
      <c r="U622" s="35" t="n"/>
    </row>
    <row r="623">
      <c r="R623" s="35" t="n"/>
      <c r="S623" s="35" t="n"/>
      <c r="T623" s="35" t="n"/>
      <c r="U623" s="35" t="n"/>
    </row>
    <row r="624">
      <c r="R624" s="35" t="n"/>
      <c r="S624" s="35" t="n"/>
      <c r="T624" s="35" t="n"/>
      <c r="U624" s="35" t="n"/>
    </row>
    <row r="625">
      <c r="R625" s="35" t="n"/>
      <c r="S625" s="35" t="n"/>
      <c r="T625" s="35" t="n"/>
      <c r="U625" s="35" t="n"/>
    </row>
    <row r="626">
      <c r="R626" s="35" t="n"/>
      <c r="S626" s="35" t="n"/>
      <c r="T626" s="35" t="n"/>
      <c r="U626" s="35" t="n"/>
    </row>
    <row r="627">
      <c r="R627" s="35" t="n"/>
      <c r="S627" s="35" t="n"/>
      <c r="T627" s="35" t="n"/>
      <c r="U627" s="35" t="n"/>
    </row>
    <row r="628">
      <c r="R628" s="35" t="n"/>
      <c r="S628" s="35" t="n"/>
      <c r="T628" s="35" t="n"/>
      <c r="U628" s="35" t="n"/>
    </row>
    <row r="629">
      <c r="R629" s="35" t="n"/>
      <c r="S629" s="35" t="n"/>
      <c r="T629" s="35" t="n"/>
      <c r="U629" s="35" t="n"/>
    </row>
    <row r="630">
      <c r="R630" s="35" t="n"/>
      <c r="S630" s="35" t="n"/>
      <c r="T630" s="35" t="n"/>
      <c r="U630" s="35" t="n"/>
    </row>
    <row r="631">
      <c r="R631" s="35" t="n"/>
      <c r="S631" s="35" t="n"/>
      <c r="T631" s="35" t="n"/>
      <c r="U631" s="35" t="n"/>
    </row>
    <row r="632">
      <c r="R632" s="35" t="n"/>
      <c r="S632" s="35" t="n"/>
      <c r="T632" s="35" t="n"/>
      <c r="U632" s="35" t="n"/>
    </row>
    <row r="633">
      <c r="R633" s="35" t="n"/>
      <c r="S633" s="35" t="n"/>
      <c r="T633" s="35" t="n"/>
      <c r="U633" s="35" t="n"/>
    </row>
    <row r="634">
      <c r="R634" s="35" t="n"/>
      <c r="S634" s="35" t="n"/>
      <c r="T634" s="35" t="n"/>
      <c r="U634" s="35" t="n"/>
    </row>
    <row r="635">
      <c r="R635" s="35" t="n"/>
      <c r="S635" s="35" t="n"/>
      <c r="T635" s="35" t="n"/>
      <c r="U635" s="35" t="n"/>
    </row>
    <row r="636">
      <c r="R636" s="35" t="n"/>
      <c r="S636" s="35" t="n"/>
      <c r="T636" s="35" t="n"/>
      <c r="U636" s="35" t="n"/>
    </row>
    <row r="637">
      <c r="R637" s="35" t="n"/>
      <c r="S637" s="35" t="n"/>
      <c r="T637" s="35" t="n"/>
      <c r="U637" s="35" t="n"/>
    </row>
    <row r="638">
      <c r="R638" s="35" t="n"/>
      <c r="S638" s="35" t="n"/>
      <c r="T638" s="35" t="n"/>
      <c r="U638" s="35" t="n"/>
    </row>
    <row r="639">
      <c r="R639" s="35" t="n"/>
      <c r="S639" s="35" t="n"/>
      <c r="T639" s="35" t="n"/>
      <c r="U639" s="35" t="n"/>
    </row>
    <row r="640">
      <c r="R640" s="35" t="n"/>
      <c r="S640" s="35" t="n"/>
      <c r="T640" s="35" t="n"/>
      <c r="U640" s="35" t="n"/>
    </row>
    <row r="641">
      <c r="R641" s="35" t="n"/>
      <c r="S641" s="35" t="n"/>
      <c r="T641" s="35" t="n"/>
      <c r="U641" s="35" t="n"/>
    </row>
    <row r="722">
      <c r="R722" s="35" t="n"/>
      <c r="S722" s="35" t="n"/>
      <c r="T722" s="35" t="n"/>
      <c r="U722" s="35" t="n"/>
    </row>
    <row r="723">
      <c r="R723" s="35" t="n"/>
      <c r="S723" s="35" t="n"/>
      <c r="T723" s="35" t="n"/>
      <c r="U723" s="35" t="n"/>
    </row>
    <row r="724">
      <c r="R724" s="35" t="n"/>
      <c r="S724" s="35" t="n"/>
      <c r="T724" s="35" t="n"/>
      <c r="U724" s="35" t="n"/>
    </row>
    <row r="725">
      <c r="R725" s="35" t="n"/>
      <c r="S725" s="35" t="n"/>
      <c r="T725" s="35" t="n"/>
      <c r="U725" s="35" t="n"/>
    </row>
    <row r="726">
      <c r="R726" s="35" t="n"/>
      <c r="S726" s="35" t="n"/>
      <c r="T726" s="35" t="n"/>
      <c r="U726" s="35" t="n"/>
    </row>
    <row r="727">
      <c r="R727" s="35" t="n"/>
      <c r="S727" s="35" t="n"/>
      <c r="T727" s="35" t="n"/>
      <c r="U727" s="35" t="n"/>
    </row>
    <row r="728">
      <c r="R728" s="35" t="n"/>
      <c r="S728" s="35" t="n"/>
      <c r="T728" s="35" t="n"/>
      <c r="U728" s="35" t="n"/>
    </row>
    <row r="729">
      <c r="R729" s="35" t="n"/>
      <c r="S729" s="35" t="n"/>
      <c r="T729" s="35" t="n"/>
      <c r="U729" s="35" t="n"/>
    </row>
    <row r="730">
      <c r="R730" s="35" t="n"/>
      <c r="S730" s="35" t="n"/>
      <c r="T730" s="35" t="n"/>
      <c r="U730" s="35" t="n"/>
    </row>
    <row r="731">
      <c r="R731" s="35" t="n"/>
      <c r="S731" s="35" t="n"/>
      <c r="T731" s="35" t="n"/>
      <c r="U731" s="35" t="n"/>
    </row>
    <row r="732">
      <c r="R732" s="35" t="n"/>
      <c r="S732" s="35" t="n"/>
      <c r="T732" s="35" t="n"/>
      <c r="U732" s="35" t="n"/>
    </row>
    <row r="733">
      <c r="R733" s="35" t="n"/>
      <c r="S733" s="35" t="n"/>
      <c r="T733" s="35" t="n"/>
      <c r="U733" s="35" t="n"/>
    </row>
    <row r="734">
      <c r="R734" s="35" t="n"/>
      <c r="S734" s="35" t="n"/>
      <c r="T734" s="35" t="n"/>
      <c r="U734" s="35" t="n"/>
    </row>
    <row r="735">
      <c r="R735" s="35" t="n"/>
      <c r="S735" s="35" t="n"/>
      <c r="T735" s="35" t="n"/>
      <c r="U735" s="35" t="n"/>
    </row>
    <row r="736">
      <c r="R736" s="35" t="n"/>
      <c r="S736" s="35" t="n"/>
      <c r="T736" s="35" t="n"/>
      <c r="U736" s="35" t="n"/>
    </row>
    <row r="737">
      <c r="R737" s="35" t="n"/>
      <c r="S737" s="35" t="n"/>
      <c r="T737" s="35" t="n"/>
      <c r="U737" s="35" t="n"/>
    </row>
    <row r="738">
      <c r="R738" s="35" t="n"/>
      <c r="S738" s="35" t="n"/>
      <c r="T738" s="35" t="n"/>
      <c r="U738" s="35" t="n"/>
    </row>
    <row r="739">
      <c r="R739" s="35" t="n"/>
      <c r="S739" s="35" t="n"/>
      <c r="T739" s="35" t="n"/>
      <c r="U739" s="35" t="n"/>
    </row>
    <row r="740">
      <c r="R740" s="35" t="n"/>
      <c r="S740" s="35" t="n"/>
      <c r="T740" s="35" t="n"/>
      <c r="U740" s="35" t="n"/>
    </row>
    <row r="741">
      <c r="R741" s="35" t="n"/>
      <c r="S741" s="35" t="n"/>
      <c r="T741" s="35" t="n"/>
      <c r="U741" s="35" t="n"/>
    </row>
    <row r="742">
      <c r="R742" s="35" t="n"/>
      <c r="S742" s="35" t="n"/>
      <c r="T742" s="35" t="n"/>
      <c r="U742" s="35" t="n"/>
    </row>
    <row r="743">
      <c r="R743" s="35" t="n"/>
      <c r="S743" s="35" t="n"/>
      <c r="T743" s="35" t="n"/>
      <c r="U743" s="35" t="n"/>
    </row>
    <row r="744">
      <c r="R744" s="35" t="n"/>
      <c r="S744" s="35" t="n"/>
      <c r="T744" s="35" t="n"/>
      <c r="U744" s="35" t="n"/>
    </row>
    <row r="745">
      <c r="R745" s="35" t="n"/>
      <c r="S745" s="35" t="n"/>
      <c r="T745" s="35" t="n"/>
      <c r="U745" s="35" t="n"/>
    </row>
    <row r="746">
      <c r="R746" s="35" t="n"/>
      <c r="S746" s="35" t="n"/>
      <c r="T746" s="35" t="n"/>
      <c r="U746" s="35" t="n"/>
    </row>
    <row r="747">
      <c r="R747" s="35" t="n"/>
      <c r="S747" s="35" t="n"/>
      <c r="T747" s="35" t="n"/>
      <c r="U747" s="35" t="n"/>
    </row>
    <row r="748">
      <c r="R748" s="35" t="n"/>
      <c r="S748" s="35" t="n"/>
      <c r="T748" s="35" t="n"/>
      <c r="U748" s="35" t="n"/>
    </row>
    <row r="749">
      <c r="R749" s="35" t="n"/>
      <c r="S749" s="35" t="n"/>
      <c r="T749" s="35" t="n"/>
      <c r="U749" s="35" t="n"/>
    </row>
    <row r="750">
      <c r="R750" s="35" t="n"/>
      <c r="S750" s="35" t="n"/>
      <c r="T750" s="35" t="n"/>
      <c r="U750" s="35" t="n"/>
    </row>
    <row r="751">
      <c r="R751" s="35" t="n"/>
      <c r="S751" s="35" t="n"/>
      <c r="T751" s="35" t="n"/>
      <c r="U751" s="35" t="n"/>
    </row>
    <row r="752">
      <c r="R752" s="35" t="n"/>
      <c r="S752" s="35" t="n"/>
      <c r="T752" s="35" t="n"/>
      <c r="U752" s="35" t="n"/>
    </row>
    <row r="753">
      <c r="R753" s="35" t="n"/>
      <c r="S753" s="35" t="n"/>
      <c r="T753" s="35" t="n"/>
      <c r="U753" s="35" t="n"/>
    </row>
    <row r="754">
      <c r="R754" s="35" t="n"/>
      <c r="S754" s="35" t="n"/>
      <c r="T754" s="35" t="n"/>
      <c r="U754" s="35" t="n"/>
    </row>
    <row r="755">
      <c r="R755" s="35" t="n"/>
      <c r="S755" s="35" t="n"/>
      <c r="T755" s="35" t="n"/>
      <c r="U755" s="35" t="n"/>
    </row>
    <row r="756">
      <c r="R756" s="35" t="n"/>
      <c r="S756" s="35" t="n"/>
      <c r="T756" s="35" t="n"/>
      <c r="U756" s="35" t="n"/>
    </row>
    <row r="757">
      <c r="R757" s="35" t="n"/>
      <c r="S757" s="35" t="n"/>
      <c r="T757" s="35" t="n"/>
      <c r="U757" s="35" t="n"/>
    </row>
    <row r="758">
      <c r="R758" s="35" t="n"/>
      <c r="S758" s="35" t="n"/>
      <c r="T758" s="35" t="n"/>
      <c r="U758" s="35" t="n"/>
    </row>
    <row r="759">
      <c r="R759" s="35" t="n"/>
      <c r="S759" s="35" t="n"/>
      <c r="T759" s="35" t="n"/>
      <c r="U759" s="35" t="n"/>
    </row>
    <row r="760">
      <c r="R760" s="35" t="n"/>
      <c r="S760" s="35" t="n"/>
      <c r="T760" s="35" t="n"/>
      <c r="U760" s="35" t="n"/>
    </row>
    <row r="761">
      <c r="R761" s="35" t="n"/>
      <c r="S761" s="35" t="n"/>
      <c r="T761" s="35" t="n"/>
      <c r="U761" s="35" t="n"/>
    </row>
    <row r="762">
      <c r="R762" s="35" t="n"/>
      <c r="S762" s="35" t="n"/>
      <c r="T762" s="35" t="n"/>
      <c r="U762" s="35" t="n"/>
    </row>
    <row r="763">
      <c r="R763" s="35" t="n"/>
      <c r="S763" s="35" t="n"/>
      <c r="T763" s="35" t="n"/>
      <c r="U763" s="35" t="n"/>
    </row>
    <row r="764">
      <c r="R764" s="35" t="n"/>
      <c r="S764" s="35" t="n"/>
      <c r="T764" s="35" t="n"/>
      <c r="U764" s="35" t="n"/>
    </row>
    <row r="765">
      <c r="R765" s="35" t="n"/>
      <c r="S765" s="35" t="n"/>
      <c r="T765" s="35" t="n"/>
      <c r="U765" s="35" t="n"/>
    </row>
    <row r="766">
      <c r="R766" s="35" t="n"/>
      <c r="S766" s="35" t="n"/>
      <c r="T766" s="35" t="n"/>
      <c r="U766" s="35" t="n"/>
    </row>
    <row r="767">
      <c r="R767" s="35" t="n"/>
      <c r="S767" s="35" t="n"/>
      <c r="T767" s="35" t="n"/>
      <c r="U767" s="35" t="n"/>
    </row>
    <row r="768">
      <c r="R768" s="35" t="n"/>
      <c r="S768" s="35" t="n"/>
      <c r="T768" s="35" t="n"/>
      <c r="U768" s="35" t="n"/>
    </row>
    <row r="769">
      <c r="R769" s="35" t="n"/>
      <c r="S769" s="35" t="n"/>
      <c r="T769" s="35" t="n"/>
      <c r="U769" s="35" t="n"/>
    </row>
    <row r="770">
      <c r="R770" s="35" t="n"/>
      <c r="S770" s="35" t="n"/>
      <c r="T770" s="35" t="n"/>
      <c r="U770" s="35" t="n"/>
    </row>
    <row r="771">
      <c r="R771" s="35" t="n"/>
      <c r="S771" s="35" t="n"/>
      <c r="T771" s="35" t="n"/>
      <c r="U771" s="35" t="n"/>
    </row>
    <row r="772">
      <c r="R772" s="35" t="n"/>
      <c r="S772" s="35" t="n"/>
      <c r="T772" s="35" t="n"/>
      <c r="U772" s="35" t="n"/>
    </row>
    <row r="773">
      <c r="R773" s="35" t="n"/>
      <c r="S773" s="35" t="n"/>
      <c r="T773" s="35" t="n"/>
      <c r="U773" s="35" t="n"/>
    </row>
    <row r="774">
      <c r="R774" s="35" t="n"/>
      <c r="S774" s="35" t="n"/>
      <c r="T774" s="35" t="n"/>
      <c r="U774" s="35" t="n"/>
    </row>
    <row r="775">
      <c r="R775" s="35" t="n"/>
      <c r="S775" s="35" t="n"/>
      <c r="T775" s="35" t="n"/>
      <c r="U775" s="35" t="n"/>
    </row>
    <row r="776">
      <c r="R776" s="35" t="n"/>
      <c r="S776" s="35" t="n"/>
      <c r="T776" s="35" t="n"/>
      <c r="U776" s="35" t="n"/>
    </row>
    <row r="777">
      <c r="R777" s="35" t="n"/>
      <c r="S777" s="35" t="n"/>
      <c r="T777" s="35" t="n"/>
      <c r="U777" s="35" t="n"/>
    </row>
    <row r="778">
      <c r="R778" s="35" t="n"/>
      <c r="S778" s="35" t="n"/>
      <c r="T778" s="35" t="n"/>
      <c r="U778" s="35" t="n"/>
    </row>
    <row r="779">
      <c r="R779" s="35" t="n"/>
      <c r="S779" s="35" t="n"/>
      <c r="T779" s="35" t="n"/>
      <c r="U779" s="35" t="n"/>
    </row>
    <row r="780">
      <c r="R780" s="35" t="n"/>
      <c r="S780" s="35" t="n"/>
      <c r="T780" s="35" t="n"/>
      <c r="U780" s="35" t="n"/>
    </row>
    <row r="781">
      <c r="R781" s="35" t="n"/>
      <c r="S781" s="35" t="n"/>
      <c r="T781" s="35" t="n"/>
      <c r="U781" s="35" t="n"/>
    </row>
    <row r="782">
      <c r="R782" s="35" t="n"/>
      <c r="S782" s="35" t="n"/>
      <c r="T782" s="35" t="n"/>
      <c r="U782" s="35" t="n"/>
    </row>
    <row r="783">
      <c r="R783" s="35" t="n"/>
      <c r="S783" s="35" t="n"/>
      <c r="T783" s="35" t="n"/>
      <c r="U783" s="35" t="n"/>
    </row>
    <row r="784">
      <c r="R784" s="35" t="n"/>
      <c r="S784" s="35" t="n"/>
      <c r="T784" s="35" t="n"/>
      <c r="U784" s="35" t="n"/>
    </row>
    <row r="785">
      <c r="R785" s="35" t="n"/>
      <c r="S785" s="35" t="n"/>
      <c r="T785" s="35" t="n"/>
      <c r="U785" s="35" t="n"/>
    </row>
    <row r="786">
      <c r="R786" s="35" t="n"/>
      <c r="S786" s="35" t="n"/>
      <c r="T786" s="35" t="n"/>
      <c r="U786" s="35" t="n"/>
    </row>
    <row r="787">
      <c r="R787" s="35" t="n"/>
      <c r="S787" s="35" t="n"/>
      <c r="T787" s="35" t="n"/>
      <c r="U787" s="35" t="n"/>
    </row>
    <row r="788">
      <c r="R788" s="35" t="n"/>
      <c r="S788" s="35" t="n"/>
      <c r="T788" s="35" t="n"/>
      <c r="U788" s="35" t="n"/>
    </row>
    <row r="789">
      <c r="R789" s="35" t="n"/>
      <c r="S789" s="35" t="n"/>
      <c r="T789" s="35" t="n"/>
      <c r="U789" s="35" t="n"/>
    </row>
    <row r="790">
      <c r="R790" s="35" t="n"/>
      <c r="S790" s="35" t="n"/>
      <c r="T790" s="35" t="n"/>
      <c r="U790" s="35" t="n"/>
    </row>
    <row r="791">
      <c r="R791" s="35" t="n"/>
      <c r="S791" s="35" t="n"/>
      <c r="T791" s="35" t="n"/>
      <c r="U791" s="35" t="n"/>
    </row>
    <row r="792">
      <c r="R792" s="35" t="n"/>
      <c r="S792" s="35" t="n"/>
      <c r="T792" s="35" t="n"/>
      <c r="U792" s="35" t="n"/>
    </row>
    <row r="793">
      <c r="R793" s="35" t="n"/>
      <c r="S793" s="35" t="n"/>
      <c r="T793" s="35" t="n"/>
      <c r="U793" s="35" t="n"/>
    </row>
    <row r="794">
      <c r="R794" s="35" t="n"/>
      <c r="S794" s="35" t="n"/>
      <c r="T794" s="35" t="n"/>
      <c r="U794" s="35" t="n"/>
    </row>
    <row r="795">
      <c r="R795" s="35" t="n"/>
      <c r="S795" s="35" t="n"/>
      <c r="T795" s="35" t="n"/>
      <c r="U795" s="35" t="n"/>
    </row>
    <row r="796">
      <c r="R796" s="35" t="n"/>
      <c r="S796" s="35" t="n"/>
      <c r="T796" s="35" t="n"/>
      <c r="U796" s="35" t="n"/>
    </row>
    <row r="797">
      <c r="R797" s="35" t="n"/>
      <c r="S797" s="35" t="n"/>
      <c r="T797" s="35" t="n"/>
      <c r="U797" s="35" t="n"/>
    </row>
    <row r="798">
      <c r="R798" s="35" t="n"/>
      <c r="S798" s="35" t="n"/>
      <c r="T798" s="35" t="n"/>
      <c r="U798" s="35" t="n"/>
    </row>
    <row r="799">
      <c r="R799" s="35" t="n"/>
      <c r="S799" s="35" t="n"/>
      <c r="T799" s="35" t="n"/>
      <c r="U799" s="35" t="n"/>
    </row>
    <row r="800">
      <c r="R800" s="35" t="n"/>
      <c r="S800" s="35" t="n"/>
      <c r="T800" s="35" t="n"/>
      <c r="U800" s="35" t="n"/>
    </row>
    <row r="801">
      <c r="R801" s="35" t="n"/>
      <c r="S801" s="35" t="n"/>
      <c r="T801" s="35" t="n"/>
      <c r="U801" s="35" t="n"/>
    </row>
    <row r="842">
      <c r="R842" s="35" t="n"/>
      <c r="S842" s="35" t="n"/>
      <c r="T842" s="35" t="n"/>
      <c r="U842" s="35" t="n"/>
    </row>
    <row r="843">
      <c r="R843" s="35" t="n"/>
      <c r="S843" s="35" t="n"/>
      <c r="T843" s="35" t="n"/>
      <c r="U843" s="35" t="n"/>
    </row>
    <row r="844">
      <c r="R844" s="35" t="n"/>
      <c r="S844" s="35" t="n"/>
      <c r="T844" s="35" t="n"/>
      <c r="U844" s="35" t="n"/>
    </row>
    <row r="845">
      <c r="R845" s="35" t="n"/>
      <c r="S845" s="35" t="n"/>
      <c r="T845" s="35" t="n"/>
      <c r="U845" s="35" t="n"/>
    </row>
    <row r="846">
      <c r="R846" s="35" t="n"/>
      <c r="S846" s="35" t="n"/>
      <c r="T846" s="35" t="n"/>
      <c r="U846" s="35" t="n"/>
    </row>
    <row r="847">
      <c r="R847" s="35" t="n"/>
      <c r="S847" s="35" t="n"/>
      <c r="T847" s="35" t="n"/>
      <c r="U847" s="35" t="n"/>
    </row>
    <row r="848">
      <c r="R848" s="35" t="n"/>
      <c r="S848" s="35" t="n"/>
      <c r="T848" s="35" t="n"/>
      <c r="U848" s="35" t="n"/>
    </row>
    <row r="849">
      <c r="R849" s="35" t="n"/>
      <c r="S849" s="35" t="n"/>
      <c r="T849" s="35" t="n"/>
      <c r="U849" s="35" t="n"/>
    </row>
    <row r="850">
      <c r="R850" s="35" t="n"/>
      <c r="S850" s="35" t="n"/>
      <c r="T850" s="35" t="n"/>
      <c r="U850" s="35" t="n"/>
    </row>
    <row r="851">
      <c r="R851" s="35" t="n"/>
      <c r="S851" s="35" t="n"/>
      <c r="T851" s="35" t="n"/>
      <c r="U851" s="35" t="n"/>
    </row>
    <row r="852">
      <c r="R852" s="35" t="n"/>
      <c r="S852" s="35" t="n"/>
      <c r="T852" s="35" t="n"/>
      <c r="U852" s="35" t="n"/>
    </row>
    <row r="853">
      <c r="R853" s="35" t="n"/>
      <c r="S853" s="35" t="n"/>
      <c r="T853" s="35" t="n"/>
      <c r="U853" s="35" t="n"/>
    </row>
    <row r="854">
      <c r="R854" s="35" t="n"/>
      <c r="S854" s="35" t="n"/>
      <c r="T854" s="35" t="n"/>
      <c r="U854" s="35" t="n"/>
    </row>
    <row r="855">
      <c r="R855" s="35" t="n"/>
      <c r="S855" s="35" t="n"/>
      <c r="T855" s="35" t="n"/>
      <c r="U855" s="35" t="n"/>
    </row>
    <row r="856">
      <c r="R856" s="35" t="n"/>
      <c r="S856" s="35" t="n"/>
      <c r="T856" s="35" t="n"/>
      <c r="U856" s="35" t="n"/>
    </row>
    <row r="857">
      <c r="R857" s="35" t="n"/>
      <c r="S857" s="35" t="n"/>
      <c r="T857" s="35" t="n"/>
      <c r="U857" s="35" t="n"/>
    </row>
    <row r="858">
      <c r="R858" s="35" t="n"/>
      <c r="S858" s="35" t="n"/>
      <c r="T858" s="35" t="n"/>
      <c r="U858" s="35" t="n"/>
    </row>
    <row r="859">
      <c r="R859" s="35" t="n"/>
      <c r="S859" s="35" t="n"/>
      <c r="T859" s="35" t="n"/>
      <c r="U859" s="35" t="n"/>
    </row>
    <row r="860">
      <c r="R860" s="35" t="n"/>
      <c r="S860" s="35" t="n"/>
      <c r="T860" s="35" t="n"/>
      <c r="U860" s="35" t="n"/>
    </row>
    <row r="861">
      <c r="R861" s="35" t="n"/>
      <c r="S861" s="35" t="n"/>
      <c r="T861" s="35" t="n"/>
      <c r="U861" s="35" t="n"/>
    </row>
    <row r="862">
      <c r="R862" s="35" t="n"/>
      <c r="S862" s="35" t="n"/>
      <c r="T862" s="35" t="n"/>
      <c r="U862" s="35" t="n"/>
    </row>
    <row r="863">
      <c r="R863" s="35" t="n"/>
      <c r="S863" s="35" t="n"/>
      <c r="T863" s="35" t="n"/>
      <c r="U863" s="35" t="n"/>
    </row>
    <row r="864">
      <c r="R864" s="35" t="n"/>
      <c r="S864" s="35" t="n"/>
      <c r="T864" s="35" t="n"/>
      <c r="U864" s="35" t="n"/>
    </row>
    <row r="865">
      <c r="R865" s="35" t="n"/>
      <c r="S865" s="35" t="n"/>
      <c r="T865" s="35" t="n"/>
      <c r="U865" s="35" t="n"/>
    </row>
    <row r="866">
      <c r="R866" s="35" t="n"/>
      <c r="S866" s="35" t="n"/>
      <c r="T866" s="35" t="n"/>
      <c r="U866" s="35" t="n"/>
    </row>
    <row r="867">
      <c r="R867" s="35" t="n"/>
      <c r="S867" s="35" t="n"/>
      <c r="T867" s="35" t="n"/>
      <c r="U867" s="35" t="n"/>
    </row>
    <row r="868">
      <c r="R868" s="35" t="n"/>
      <c r="S868" s="35" t="n"/>
      <c r="T868" s="35" t="n"/>
      <c r="U868" s="35" t="n"/>
    </row>
    <row r="869">
      <c r="R869" s="35" t="n"/>
      <c r="S869" s="35" t="n"/>
      <c r="T869" s="35" t="n"/>
      <c r="U869" s="35" t="n"/>
    </row>
    <row r="870">
      <c r="R870" s="35" t="n"/>
      <c r="S870" s="35" t="n"/>
      <c r="T870" s="35" t="n"/>
      <c r="U870" s="35" t="n"/>
    </row>
    <row r="871">
      <c r="R871" s="35" t="n"/>
      <c r="S871" s="35" t="n"/>
      <c r="T871" s="35" t="n"/>
      <c r="U871" s="35" t="n"/>
    </row>
    <row r="872">
      <c r="R872" s="35" t="n"/>
      <c r="S872" s="35" t="n"/>
      <c r="T872" s="35" t="n"/>
      <c r="U872" s="35" t="n"/>
    </row>
    <row r="873">
      <c r="R873" s="35" t="n"/>
      <c r="S873" s="35" t="n"/>
      <c r="T873" s="35" t="n"/>
      <c r="U873" s="35" t="n"/>
    </row>
    <row r="874">
      <c r="R874" s="35" t="n"/>
      <c r="S874" s="35" t="n"/>
      <c r="T874" s="35" t="n"/>
      <c r="U874" s="35" t="n"/>
    </row>
    <row r="875">
      <c r="R875" s="35" t="n"/>
      <c r="S875" s="35" t="n"/>
      <c r="T875" s="35" t="n"/>
      <c r="U875" s="35" t="n"/>
    </row>
    <row r="876">
      <c r="R876" s="35" t="n"/>
      <c r="S876" s="35" t="n"/>
      <c r="T876" s="35" t="n"/>
      <c r="U876" s="35" t="n"/>
    </row>
    <row r="877">
      <c r="R877" s="35" t="n"/>
      <c r="S877" s="35" t="n"/>
      <c r="T877" s="35" t="n"/>
      <c r="U877" s="35" t="n"/>
    </row>
    <row r="878">
      <c r="R878" s="35" t="n"/>
      <c r="S878" s="35" t="n"/>
      <c r="T878" s="35" t="n"/>
      <c r="U878" s="35" t="n"/>
    </row>
    <row r="879">
      <c r="R879" s="35" t="n"/>
      <c r="S879" s="35" t="n"/>
      <c r="T879" s="35" t="n"/>
      <c r="U879" s="35" t="n"/>
    </row>
    <row r="880">
      <c r="R880" s="35" t="n"/>
      <c r="S880" s="35" t="n"/>
      <c r="T880" s="35" t="n"/>
      <c r="U880" s="35" t="n"/>
    </row>
    <row r="881">
      <c r="R881" s="35" t="n"/>
      <c r="S881" s="35" t="n"/>
      <c r="T881" s="35" t="n"/>
      <c r="U881" s="35" t="n"/>
    </row>
    <row r="882">
      <c r="R882" s="35" t="n"/>
      <c r="S882" s="35" t="n"/>
      <c r="T882" s="35" t="n"/>
      <c r="U882" s="35" t="n"/>
    </row>
    <row r="883">
      <c r="R883" s="35" t="n"/>
      <c r="S883" s="35" t="n"/>
      <c r="T883" s="35" t="n"/>
      <c r="U883" s="35" t="n"/>
    </row>
    <row r="884">
      <c r="R884" s="35" t="n"/>
      <c r="S884" s="35" t="n"/>
      <c r="T884" s="35" t="n"/>
      <c r="U884" s="35" t="n"/>
    </row>
    <row r="885">
      <c r="R885" s="35" t="n"/>
      <c r="S885" s="35" t="n"/>
      <c r="T885" s="35" t="n"/>
      <c r="U885" s="35" t="n"/>
    </row>
    <row r="886">
      <c r="R886" s="35" t="n"/>
      <c r="S886" s="35" t="n"/>
      <c r="T886" s="35" t="n"/>
      <c r="U886" s="35" t="n"/>
    </row>
    <row r="887">
      <c r="R887" s="35" t="n"/>
      <c r="S887" s="35" t="n"/>
      <c r="T887" s="35" t="n"/>
      <c r="U887" s="35" t="n"/>
    </row>
    <row r="888">
      <c r="R888" s="35" t="n"/>
      <c r="S888" s="35" t="n"/>
      <c r="T888" s="35" t="n"/>
      <c r="U888" s="35" t="n"/>
    </row>
    <row r="889">
      <c r="R889" s="35" t="n"/>
      <c r="S889" s="35" t="n"/>
      <c r="T889" s="35" t="n"/>
      <c r="U889" s="35" t="n"/>
    </row>
    <row r="890">
      <c r="R890" s="35" t="n"/>
      <c r="S890" s="35" t="n"/>
      <c r="T890" s="35" t="n"/>
      <c r="U890" s="35" t="n"/>
    </row>
    <row r="891">
      <c r="R891" s="35" t="n"/>
      <c r="S891" s="35" t="n"/>
      <c r="T891" s="35" t="n"/>
      <c r="U891" s="35" t="n"/>
    </row>
    <row r="892">
      <c r="R892" s="35" t="n"/>
      <c r="S892" s="35" t="n"/>
      <c r="T892" s="35" t="n"/>
      <c r="U892" s="35" t="n"/>
    </row>
    <row r="893">
      <c r="R893" s="35" t="n"/>
      <c r="S893" s="35" t="n"/>
      <c r="T893" s="35" t="n"/>
      <c r="U893" s="35" t="n"/>
    </row>
    <row r="894">
      <c r="R894" s="35" t="n"/>
      <c r="S894" s="35" t="n"/>
      <c r="T894" s="35" t="n"/>
      <c r="U894" s="35" t="n"/>
    </row>
    <row r="895">
      <c r="R895" s="35" t="n"/>
      <c r="S895" s="35" t="n"/>
      <c r="T895" s="35" t="n"/>
      <c r="U895" s="35" t="n"/>
    </row>
    <row r="896">
      <c r="R896" s="35" t="n"/>
      <c r="S896" s="35" t="n"/>
      <c r="T896" s="35" t="n"/>
      <c r="U896" s="35" t="n"/>
    </row>
    <row r="897">
      <c r="R897" s="35" t="n"/>
      <c r="S897" s="35" t="n"/>
      <c r="T897" s="35" t="n"/>
      <c r="U897" s="35" t="n"/>
    </row>
    <row r="898">
      <c r="R898" s="35" t="n"/>
      <c r="S898" s="35" t="n"/>
      <c r="T898" s="35" t="n"/>
      <c r="U898" s="35" t="n"/>
    </row>
    <row r="899">
      <c r="R899" s="35" t="n"/>
      <c r="S899" s="35" t="n"/>
      <c r="T899" s="35" t="n"/>
      <c r="U899" s="35" t="n"/>
    </row>
    <row r="900">
      <c r="R900" s="35" t="n"/>
      <c r="S900" s="35" t="n"/>
      <c r="T900" s="35" t="n"/>
      <c r="U900" s="35" t="n"/>
    </row>
    <row r="901">
      <c r="R901" s="35" t="n"/>
      <c r="S901" s="35" t="n"/>
      <c r="T901" s="35" t="n"/>
      <c r="U901" s="35" t="n"/>
    </row>
    <row r="902">
      <c r="R902" s="35" t="n"/>
      <c r="S902" s="35" t="n"/>
      <c r="T902" s="35" t="n"/>
      <c r="U902" s="35" t="n"/>
    </row>
    <row r="903">
      <c r="R903" s="35" t="n"/>
      <c r="S903" s="35" t="n"/>
      <c r="T903" s="35" t="n"/>
      <c r="U903" s="35" t="n"/>
    </row>
    <row r="904">
      <c r="R904" s="35" t="n"/>
      <c r="S904" s="35" t="n"/>
      <c r="T904" s="35" t="n"/>
      <c r="U904" s="35" t="n"/>
    </row>
    <row r="905">
      <c r="R905" s="35" t="n"/>
      <c r="S905" s="35" t="n"/>
      <c r="T905" s="35" t="n"/>
      <c r="U905" s="35" t="n"/>
    </row>
    <row r="906">
      <c r="R906" s="35" t="n"/>
      <c r="S906" s="35" t="n"/>
      <c r="T906" s="35" t="n"/>
      <c r="U906" s="35" t="n"/>
    </row>
    <row r="907">
      <c r="R907" s="35" t="n"/>
      <c r="S907" s="35" t="n"/>
      <c r="T907" s="35" t="n"/>
      <c r="U907" s="35" t="n"/>
    </row>
    <row r="908">
      <c r="R908" s="35" t="n"/>
      <c r="S908" s="35" t="n"/>
      <c r="T908" s="35" t="n"/>
      <c r="U908" s="35" t="n"/>
    </row>
    <row r="909">
      <c r="R909" s="35" t="n"/>
      <c r="S909" s="35" t="n"/>
      <c r="T909" s="35" t="n"/>
      <c r="U909" s="35" t="n"/>
    </row>
    <row r="910">
      <c r="R910" s="35" t="n"/>
      <c r="S910" s="35" t="n"/>
      <c r="T910" s="35" t="n"/>
      <c r="U910" s="35" t="n"/>
    </row>
    <row r="911">
      <c r="R911" s="35" t="n"/>
      <c r="S911" s="35" t="n"/>
      <c r="T911" s="35" t="n"/>
      <c r="U911" s="35" t="n"/>
    </row>
    <row r="912">
      <c r="R912" s="35" t="n"/>
      <c r="S912" s="35" t="n"/>
      <c r="T912" s="35" t="n"/>
      <c r="U912" s="35" t="n"/>
    </row>
    <row r="913">
      <c r="R913" s="35" t="n"/>
      <c r="S913" s="35" t="n"/>
      <c r="T913" s="35" t="n"/>
      <c r="U913" s="35" t="n"/>
    </row>
    <row r="914">
      <c r="R914" s="35" t="n"/>
      <c r="S914" s="35" t="n"/>
      <c r="T914" s="35" t="n"/>
      <c r="U914" s="35" t="n"/>
    </row>
    <row r="915">
      <c r="R915" s="35" t="n"/>
      <c r="S915" s="35" t="n"/>
      <c r="T915" s="35" t="n"/>
      <c r="U915" s="35" t="n"/>
    </row>
    <row r="916">
      <c r="R916" s="35" t="n"/>
      <c r="S916" s="35" t="n"/>
      <c r="T916" s="35" t="n"/>
      <c r="U916" s="35" t="n"/>
    </row>
    <row r="917">
      <c r="R917" s="35" t="n"/>
      <c r="S917" s="35" t="n"/>
      <c r="T917" s="35" t="n"/>
      <c r="U917" s="35" t="n"/>
    </row>
    <row r="918">
      <c r="R918" s="35" t="n"/>
      <c r="S918" s="35" t="n"/>
      <c r="T918" s="35" t="n"/>
      <c r="U918" s="35" t="n"/>
    </row>
    <row r="919">
      <c r="R919" s="35" t="n"/>
      <c r="S919" s="35" t="n"/>
      <c r="T919" s="35" t="n"/>
      <c r="U919" s="35" t="n"/>
    </row>
    <row r="920">
      <c r="R920" s="35" t="n"/>
      <c r="S920" s="35" t="n"/>
      <c r="T920" s="35" t="n"/>
      <c r="U920" s="35" t="n"/>
    </row>
    <row r="921">
      <c r="R921" s="35" t="n"/>
      <c r="S921" s="35" t="n"/>
      <c r="T921" s="35" t="n"/>
      <c r="U921" s="35" t="n"/>
    </row>
    <row r="922">
      <c r="R922" s="35" t="n"/>
      <c r="S922" s="35" t="n"/>
      <c r="T922" s="35" t="n"/>
      <c r="U922" s="35" t="n"/>
    </row>
    <row r="923">
      <c r="R923" s="35" t="n"/>
      <c r="S923" s="35" t="n"/>
      <c r="T923" s="35" t="n"/>
      <c r="U923" s="35" t="n"/>
    </row>
    <row r="924">
      <c r="R924" s="35" t="n"/>
      <c r="S924" s="35" t="n"/>
      <c r="T924" s="35" t="n"/>
      <c r="U924" s="35" t="n"/>
    </row>
    <row r="925">
      <c r="R925" s="35" t="n"/>
      <c r="S925" s="35" t="n"/>
      <c r="T925" s="35" t="n"/>
      <c r="U925" s="35" t="n"/>
    </row>
    <row r="926">
      <c r="R926" s="35" t="n"/>
      <c r="S926" s="35" t="n"/>
      <c r="T926" s="35" t="n"/>
      <c r="U926" s="35" t="n"/>
    </row>
    <row r="927">
      <c r="R927" s="35" t="n"/>
      <c r="S927" s="35" t="n"/>
      <c r="T927" s="35" t="n"/>
      <c r="U927" s="35" t="n"/>
    </row>
    <row r="928">
      <c r="R928" s="35" t="n"/>
      <c r="S928" s="35" t="n"/>
      <c r="T928" s="35" t="n"/>
      <c r="U928" s="35" t="n"/>
    </row>
    <row r="929">
      <c r="R929" s="35" t="n"/>
      <c r="S929" s="35" t="n"/>
      <c r="T929" s="35" t="n"/>
      <c r="U929" s="35" t="n"/>
    </row>
    <row r="930">
      <c r="R930" s="35" t="n"/>
      <c r="S930" s="35" t="n"/>
      <c r="T930" s="35" t="n"/>
      <c r="U930" s="35" t="n"/>
    </row>
    <row r="931">
      <c r="R931" s="35" t="n"/>
      <c r="S931" s="35" t="n"/>
      <c r="T931" s="35" t="n"/>
      <c r="U931" s="35" t="n"/>
    </row>
    <row r="932">
      <c r="R932" s="35" t="n"/>
      <c r="S932" s="35" t="n"/>
      <c r="T932" s="35" t="n"/>
      <c r="U932" s="35" t="n"/>
    </row>
    <row r="933">
      <c r="R933" s="35" t="n"/>
      <c r="S933" s="35" t="n"/>
      <c r="T933" s="35" t="n"/>
      <c r="U933" s="35" t="n"/>
    </row>
    <row r="934">
      <c r="R934" s="35" t="n"/>
      <c r="S934" s="35" t="n"/>
      <c r="T934" s="35" t="n"/>
      <c r="U934" s="35" t="n"/>
    </row>
    <row r="935">
      <c r="R935" s="35" t="n"/>
      <c r="S935" s="35" t="n"/>
      <c r="T935" s="35" t="n"/>
      <c r="U935" s="35" t="n"/>
    </row>
    <row r="936">
      <c r="R936" s="35" t="n"/>
      <c r="S936" s="35" t="n"/>
      <c r="T936" s="35" t="n"/>
      <c r="U936" s="35" t="n"/>
    </row>
    <row r="937">
      <c r="R937" s="35" t="n"/>
      <c r="S937" s="35" t="n"/>
      <c r="T937" s="35" t="n"/>
      <c r="U937" s="35" t="n"/>
    </row>
    <row r="938">
      <c r="R938" s="35" t="n"/>
      <c r="S938" s="35" t="n"/>
      <c r="T938" s="35" t="n"/>
      <c r="U938" s="35" t="n"/>
    </row>
    <row r="939">
      <c r="R939" s="35" t="n"/>
      <c r="S939" s="35" t="n"/>
      <c r="T939" s="35" t="n"/>
      <c r="U939" s="35" t="n"/>
    </row>
    <row r="940">
      <c r="R940" s="35" t="n"/>
      <c r="S940" s="35" t="n"/>
      <c r="T940" s="35" t="n"/>
      <c r="U940" s="35" t="n"/>
    </row>
    <row r="941">
      <c r="R941" s="35" t="n"/>
      <c r="S941" s="35" t="n"/>
      <c r="T941" s="35" t="n"/>
      <c r="U941" s="35" t="n"/>
    </row>
    <row r="942">
      <c r="R942" s="35" t="n"/>
      <c r="S942" s="35" t="n"/>
      <c r="T942" s="35" t="n"/>
      <c r="U942" s="35" t="n"/>
    </row>
    <row r="943">
      <c r="R943" s="35" t="n"/>
      <c r="S943" s="35" t="n"/>
      <c r="T943" s="35" t="n"/>
      <c r="U943" s="35" t="n"/>
    </row>
    <row r="944">
      <c r="R944" s="35" t="n"/>
      <c r="S944" s="35" t="n"/>
      <c r="T944" s="35" t="n"/>
      <c r="U944" s="35" t="n"/>
    </row>
    <row r="945">
      <c r="R945" s="35" t="n"/>
      <c r="S945" s="35" t="n"/>
      <c r="T945" s="35" t="n"/>
      <c r="U945" s="35" t="n"/>
    </row>
    <row r="946">
      <c r="R946" s="35" t="n"/>
      <c r="S946" s="35" t="n"/>
      <c r="T946" s="35" t="n"/>
      <c r="U946" s="35" t="n"/>
    </row>
    <row r="947">
      <c r="R947" s="35" t="n"/>
      <c r="S947" s="35" t="n"/>
      <c r="T947" s="35" t="n"/>
      <c r="U947" s="35" t="n"/>
    </row>
    <row r="948">
      <c r="R948" s="35" t="n"/>
      <c r="S948" s="35" t="n"/>
      <c r="T948" s="35" t="n"/>
      <c r="U948" s="35" t="n"/>
    </row>
    <row r="949">
      <c r="R949" s="35" t="n"/>
      <c r="S949" s="35" t="n"/>
      <c r="T949" s="35" t="n"/>
      <c r="U949" s="35" t="n"/>
    </row>
    <row r="950">
      <c r="R950" s="35" t="n"/>
      <c r="S950" s="35" t="n"/>
      <c r="T950" s="35" t="n"/>
      <c r="U950" s="35" t="n"/>
    </row>
    <row r="951">
      <c r="R951" s="35" t="n"/>
      <c r="S951" s="35" t="n"/>
      <c r="T951" s="35" t="n"/>
      <c r="U951" s="35" t="n"/>
    </row>
    <row r="952">
      <c r="R952" s="35" t="n"/>
      <c r="S952" s="35" t="n"/>
      <c r="T952" s="35" t="n"/>
      <c r="U952" s="35" t="n"/>
    </row>
    <row r="953">
      <c r="R953" s="35" t="n"/>
      <c r="S953" s="35" t="n"/>
      <c r="T953" s="35" t="n"/>
      <c r="U953" s="35" t="n"/>
    </row>
    <row r="954">
      <c r="R954" s="35" t="n"/>
      <c r="S954" s="35" t="n"/>
      <c r="T954" s="35" t="n"/>
      <c r="U954" s="35" t="n"/>
    </row>
    <row r="955">
      <c r="R955" s="35" t="n"/>
      <c r="S955" s="35" t="n"/>
      <c r="T955" s="35" t="n"/>
      <c r="U955" s="35" t="n"/>
    </row>
    <row r="956">
      <c r="R956" s="35" t="n"/>
      <c r="S956" s="35" t="n"/>
      <c r="T956" s="35" t="n"/>
      <c r="U956" s="35" t="n"/>
    </row>
    <row r="957">
      <c r="R957" s="35" t="n"/>
      <c r="S957" s="35" t="n"/>
      <c r="T957" s="35" t="n"/>
      <c r="U957" s="35" t="n"/>
    </row>
    <row r="958">
      <c r="R958" s="35" t="n"/>
      <c r="S958" s="35" t="n"/>
      <c r="T958" s="35" t="n"/>
      <c r="U958" s="35" t="n"/>
    </row>
    <row r="959">
      <c r="R959" s="35" t="n"/>
      <c r="S959" s="35" t="n"/>
      <c r="T959" s="35" t="n"/>
      <c r="U959" s="35" t="n"/>
    </row>
    <row r="960">
      <c r="R960" s="35" t="n"/>
      <c r="S960" s="35" t="n"/>
      <c r="T960" s="35" t="n"/>
      <c r="U960" s="35" t="n"/>
    </row>
    <row r="961">
      <c r="R961" s="35" t="n"/>
      <c r="S961" s="35" t="n"/>
      <c r="T961" s="35" t="n"/>
      <c r="U961" s="35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85"/>
  <sheetViews>
    <sheetView workbookViewId="0">
      <selection activeCell="A1" sqref="A1"/>
    </sheetView>
  </sheetViews>
  <sheetFormatPr baseColWidth="8" defaultRowHeight="15"/>
  <cols>
    <col width="23.28515625" customWidth="1" style="19" min="2" max="2"/>
    <col width="6.42578125" customWidth="1" style="19" min="3" max="3"/>
    <col width="29.42578125" bestFit="1" customWidth="1" style="19" min="4" max="4"/>
    <col width="10" customWidth="1" style="19" min="5" max="5"/>
    <col width="14.5703125" customWidth="1" style="19" min="7" max="7"/>
  </cols>
  <sheetData>
    <row r="1">
      <c r="A1" s="29" t="inlineStr">
        <is>
          <t>S.NO</t>
        </is>
      </c>
      <c r="B1" s="29" t="inlineStr">
        <is>
          <t>MATTRESS CODE</t>
        </is>
      </c>
      <c r="C1" s="30" t="inlineStr">
        <is>
          <t>PS.NO</t>
        </is>
      </c>
      <c r="D1" s="29" t="inlineStr">
        <is>
          <t>ITEMCODE</t>
        </is>
      </c>
      <c r="E1" s="29" t="inlineStr">
        <is>
          <t>UOM</t>
        </is>
      </c>
      <c r="F1" s="29" t="inlineStr">
        <is>
          <t>OTY</t>
        </is>
      </c>
      <c r="G1" s="30" t="inlineStr">
        <is>
          <t>WH CODE</t>
        </is>
      </c>
    </row>
    <row r="2">
      <c r="A2" t="n">
        <v>1</v>
      </c>
      <c r="B2" t="inlineStr">
        <is>
          <t>RTBNSNMR72X36X06-DSP</t>
        </is>
      </c>
      <c r="C2" t="n">
        <v>10</v>
      </c>
      <c r="D2" t="inlineStr">
        <is>
          <t>OEBOXBNSR71.50X35.50X120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RTBNSNMR72X36X06-DSP</t>
        </is>
      </c>
      <c r="C3" t="n">
        <v>20</v>
      </c>
      <c r="D3" t="inlineStr">
        <is>
          <t>SFG-RTC-SNMR-QUILT</t>
        </is>
      </c>
      <c r="E3" t="inlineStr">
        <is>
          <t>MTR</t>
        </is>
      </c>
      <c r="F3" t="n">
        <v>0.9399999999999999</v>
      </c>
      <c r="G3" t="inlineStr">
        <is>
          <t>CBESFG</t>
        </is>
      </c>
    </row>
    <row r="4">
      <c r="A4" t="n">
        <v>1</v>
      </c>
      <c r="B4" t="inlineStr">
        <is>
          <t>RTBNSNMR72X36X06-DSP</t>
        </is>
      </c>
      <c r="C4" t="n">
        <v>30</v>
      </c>
      <c r="D4" t="inlineStr">
        <is>
          <t>SFG-RTC-SNMR-BP</t>
        </is>
      </c>
      <c r="E4" t="inlineStr">
        <is>
          <t>MTR</t>
        </is>
      </c>
      <c r="F4" t="n">
        <v>0.9399999999999999</v>
      </c>
      <c r="G4" t="inlineStr">
        <is>
          <t>CBESFG</t>
        </is>
      </c>
    </row>
    <row r="5">
      <c r="A5" t="n">
        <v>1</v>
      </c>
      <c r="B5" t="inlineStr">
        <is>
          <t>RTBNSNMR72X36X06-DSP</t>
        </is>
      </c>
      <c r="C5" t="n">
        <v>40</v>
      </c>
      <c r="D5" t="inlineStr">
        <is>
          <t>RML-POLY-GUM</t>
        </is>
      </c>
      <c r="E5" t="inlineStr">
        <is>
          <t>LTR</t>
        </is>
      </c>
      <c r="F5" t="n">
        <v>0.377</v>
      </c>
      <c r="G5" t="inlineStr">
        <is>
          <t>CBEWIP</t>
        </is>
      </c>
    </row>
    <row r="6">
      <c r="A6" t="n">
        <v>1</v>
      </c>
      <c r="B6" t="inlineStr">
        <is>
          <t>RTBNSNMR72X36X06-DSP</t>
        </is>
      </c>
      <c r="C6" t="n">
        <v>50</v>
      </c>
      <c r="D6" t="inlineStr">
        <is>
          <t>RM-NWN-65GSMX6INCH</t>
        </is>
      </c>
      <c r="E6" t="inlineStr">
        <is>
          <t>KGS</t>
        </is>
      </c>
      <c r="F6" t="n">
        <v>0.119</v>
      </c>
      <c r="G6" t="inlineStr">
        <is>
          <t>CBEWIP</t>
        </is>
      </c>
    </row>
    <row r="7">
      <c r="A7" t="n">
        <v>1</v>
      </c>
      <c r="B7" t="inlineStr">
        <is>
          <t>RTBNSNMR72X36X06-DSP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111.252</v>
      </c>
      <c r="G7" t="inlineStr">
        <is>
          <t>CBEWIP</t>
        </is>
      </c>
    </row>
    <row r="8">
      <c r="A8" t="n">
        <v>1</v>
      </c>
      <c r="B8" t="inlineStr">
        <is>
          <t>RTBNSNMR72X36X06-DSP</t>
        </is>
      </c>
      <c r="C8" t="n">
        <v>70</v>
      </c>
      <c r="D8" t="inlineStr">
        <is>
          <t>RML-EDTAPE-MER-KNIT</t>
        </is>
      </c>
      <c r="E8" t="inlineStr">
        <is>
          <t>MTR</t>
        </is>
      </c>
      <c r="F8" t="n">
        <v>11.379</v>
      </c>
      <c r="G8" t="inlineStr">
        <is>
          <t>CBEWIP</t>
        </is>
      </c>
    </row>
    <row r="9">
      <c r="A9" t="n">
        <v>1</v>
      </c>
      <c r="B9" t="inlineStr">
        <is>
          <t>RTBNSNMR72X36X06-DSP</t>
        </is>
      </c>
      <c r="C9" t="n">
        <v>80</v>
      </c>
      <c r="D9" t="inlineStr">
        <is>
          <t>RML-THRD-TKT-40MER</t>
        </is>
      </c>
      <c r="E9" t="inlineStr">
        <is>
          <t>MTR</t>
        </is>
      </c>
      <c r="F9" t="n">
        <v>69.982</v>
      </c>
      <c r="G9" t="inlineStr">
        <is>
          <t>CBEWIP</t>
        </is>
      </c>
    </row>
    <row r="10">
      <c r="A10" t="n">
        <v>1</v>
      </c>
      <c r="B10" t="inlineStr">
        <is>
          <t>RTBNSNMR72X36X06-DSP</t>
        </is>
      </c>
      <c r="C10" t="n">
        <v>90</v>
      </c>
      <c r="D10" t="inlineStr">
        <is>
          <t>RML-CS-RTC-7"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RTBNSNMR72X36X06-DSP</t>
        </is>
      </c>
      <c r="C11" t="n">
        <v>100</v>
      </c>
      <c r="D11" t="inlineStr">
        <is>
          <t>RM-PEPS-MAT-MRP-LBL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RTBNSNMR72X36X06-DSP</t>
        </is>
      </c>
      <c r="C12" t="n">
        <v>110</v>
      </c>
      <c r="D12" t="inlineStr">
        <is>
          <t>RML-OK-ROUND-STK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RTBNSNMR72X36X06-DSP</t>
        </is>
      </c>
      <c r="C13" t="n">
        <v>120</v>
      </c>
      <c r="D13" t="inlineStr">
        <is>
          <t>RML-OK-STICKER</t>
        </is>
      </c>
      <c r="E13" t="inlineStr">
        <is>
          <t>NOS</t>
        </is>
      </c>
      <c r="F13" t="n">
        <v>1</v>
      </c>
      <c r="G13" t="inlineStr">
        <is>
          <t>CBEWIP</t>
        </is>
      </c>
    </row>
    <row r="14">
      <c r="A14" t="n">
        <v>1</v>
      </c>
      <c r="B14" t="inlineStr">
        <is>
          <t>RTBNSNMR72X36X06-DSP</t>
        </is>
      </c>
      <c r="C14" t="n">
        <v>130</v>
      </c>
      <c r="D14" t="inlineStr">
        <is>
          <t>RMI-PVC-50</t>
        </is>
      </c>
      <c r="E14" t="inlineStr">
        <is>
          <t>KGS</t>
        </is>
      </c>
      <c r="F14" t="n">
        <v>0.33</v>
      </c>
      <c r="G14" t="inlineStr">
        <is>
          <t>CBEWIP</t>
        </is>
      </c>
    </row>
    <row r="15">
      <c r="A15" t="n">
        <v>1</v>
      </c>
      <c r="B15" t="inlineStr">
        <is>
          <t>RTBNSNMR72X36X06-DSP</t>
        </is>
      </c>
      <c r="C15" t="n">
        <v>140</v>
      </c>
      <c r="D15" t="inlineStr">
        <is>
          <t>17D-PU-FOAM-71.50X35.50X10MM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RTBNSNMR75X36X06-DSP</t>
        </is>
      </c>
      <c r="C16" t="n">
        <v>10</v>
      </c>
      <c r="D16" t="inlineStr">
        <is>
          <t>OEBOXBNSR74.50X35.50X120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RTBNSNMR75X36X06-DSP</t>
        </is>
      </c>
      <c r="C17" t="n">
        <v>20</v>
      </c>
      <c r="D17" t="inlineStr">
        <is>
          <t>SFG-RTC-SNMR-QUILT</t>
        </is>
      </c>
      <c r="E17" t="inlineStr">
        <is>
          <t>MTR</t>
        </is>
      </c>
      <c r="F17" t="n">
        <v>0.9399999999999999</v>
      </c>
      <c r="G17" t="inlineStr">
        <is>
          <t>CBESFG</t>
        </is>
      </c>
    </row>
    <row r="18">
      <c r="A18" t="n">
        <v>2</v>
      </c>
      <c r="B18" t="inlineStr">
        <is>
          <t>RTBNSNMR75X36X06-DSP</t>
        </is>
      </c>
      <c r="C18" t="n">
        <v>30</v>
      </c>
      <c r="D18" t="inlineStr">
        <is>
          <t>SFG-RTC-SNMR-BP</t>
        </is>
      </c>
      <c r="E18" t="inlineStr">
        <is>
          <t>MTR</t>
        </is>
      </c>
      <c r="F18" t="n">
        <v>0.9399999999999999</v>
      </c>
      <c r="G18" t="inlineStr">
        <is>
          <t>CBESFG</t>
        </is>
      </c>
    </row>
    <row r="19">
      <c r="A19" t="n">
        <v>2</v>
      </c>
      <c r="B19" t="inlineStr">
        <is>
          <t>RTBNSNMR75X36X06-DSP</t>
        </is>
      </c>
      <c r="C19" t="n">
        <v>40</v>
      </c>
      <c r="D19" t="inlineStr">
        <is>
          <t>RML-POLY-GUM</t>
        </is>
      </c>
      <c r="E19" t="inlineStr">
        <is>
          <t>LTR</t>
        </is>
      </c>
      <c r="F19" t="n">
        <v>0.393</v>
      </c>
      <c r="G19" t="inlineStr">
        <is>
          <t>CBEWIP</t>
        </is>
      </c>
    </row>
    <row r="20">
      <c r="A20" t="n">
        <v>2</v>
      </c>
      <c r="B20" t="inlineStr">
        <is>
          <t>RTBNSNMR75X36X06-DSP</t>
        </is>
      </c>
      <c r="C20" t="n">
        <v>50</v>
      </c>
      <c r="D20" t="inlineStr">
        <is>
          <t>RM-NWN-65GSMX6INCH</t>
        </is>
      </c>
      <c r="E20" t="inlineStr">
        <is>
          <t>KGS</t>
        </is>
      </c>
      <c r="F20" t="n">
        <v>0.122</v>
      </c>
      <c r="G20" t="inlineStr">
        <is>
          <t>CBEWIP</t>
        </is>
      </c>
    </row>
    <row r="21">
      <c r="A21" t="n">
        <v>2</v>
      </c>
      <c r="B21" t="inlineStr">
        <is>
          <t>RTBNSNMR75X36X06-DSP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114.3</v>
      </c>
      <c r="G21" t="inlineStr">
        <is>
          <t>CBEWIP</t>
        </is>
      </c>
    </row>
    <row r="22">
      <c r="A22" t="n">
        <v>2</v>
      </c>
      <c r="B22" t="inlineStr">
        <is>
          <t>RTBNSNMR75X36X06-DSP</t>
        </is>
      </c>
      <c r="C22" t="n">
        <v>70</v>
      </c>
      <c r="D22" t="inlineStr">
        <is>
          <t>RML-EDTAPE-MER-KNIT</t>
        </is>
      </c>
      <c r="E22" t="inlineStr">
        <is>
          <t>MTR</t>
        </is>
      </c>
      <c r="F22" t="n">
        <v>11.684</v>
      </c>
      <c r="G22" t="inlineStr">
        <is>
          <t>CBEWIP</t>
        </is>
      </c>
    </row>
    <row r="23">
      <c r="A23" t="n">
        <v>2</v>
      </c>
      <c r="B23" t="inlineStr">
        <is>
          <t>RTBNSNMR75X36X06-DSP</t>
        </is>
      </c>
      <c r="C23" t="n">
        <v>80</v>
      </c>
      <c r="D23" t="inlineStr">
        <is>
          <t>RML-THRD-TKT-40MER</t>
        </is>
      </c>
      <c r="E23" t="inlineStr">
        <is>
          <t>MTR</t>
        </is>
      </c>
      <c r="F23" t="n">
        <v>71.857</v>
      </c>
      <c r="G23" t="inlineStr">
        <is>
          <t>CBEWIP</t>
        </is>
      </c>
    </row>
    <row r="24">
      <c r="A24" t="n">
        <v>2</v>
      </c>
      <c r="B24" t="inlineStr">
        <is>
          <t>RTBNSNMR75X36X06-DSP</t>
        </is>
      </c>
      <c r="C24" t="n">
        <v>90</v>
      </c>
      <c r="D24" t="inlineStr">
        <is>
          <t>RML-CS-RTC-7"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RTBNSNMR75X36X06-DSP</t>
        </is>
      </c>
      <c r="C25" t="n">
        <v>100</v>
      </c>
      <c r="D25" t="inlineStr">
        <is>
          <t>RM-PEPS-MAT-MRP-LBL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RTBNSNMR75X36X06-DSP</t>
        </is>
      </c>
      <c r="C26" t="n">
        <v>110</v>
      </c>
      <c r="D26" t="inlineStr">
        <is>
          <t>RML-OK-ROUND-STK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RTBNSNMR75X36X06-DSP</t>
        </is>
      </c>
      <c r="C27" t="n">
        <v>120</v>
      </c>
      <c r="D27" t="inlineStr">
        <is>
          <t>RML-OK-STICKER</t>
        </is>
      </c>
      <c r="E27" t="inlineStr">
        <is>
          <t>NOS</t>
        </is>
      </c>
      <c r="F27" t="n">
        <v>1</v>
      </c>
      <c r="G27" t="inlineStr">
        <is>
          <t>CBEWIP</t>
        </is>
      </c>
    </row>
    <row r="28">
      <c r="A28" t="n">
        <v>2</v>
      </c>
      <c r="B28" t="inlineStr">
        <is>
          <t>RTBNSNMR75X36X06-DSP</t>
        </is>
      </c>
      <c r="C28" t="n">
        <v>130</v>
      </c>
      <c r="D28" t="inlineStr">
        <is>
          <t>RMI-PVC-50</t>
        </is>
      </c>
      <c r="E28" t="inlineStr">
        <is>
          <t>KGS</t>
        </is>
      </c>
      <c r="F28" t="n">
        <v>0.33</v>
      </c>
      <c r="G28" t="inlineStr">
        <is>
          <t>CBEWIP</t>
        </is>
      </c>
    </row>
    <row r="29">
      <c r="A29" t="n">
        <v>2</v>
      </c>
      <c r="B29" t="inlineStr">
        <is>
          <t>RTBNSNMR75X36X06-DSP</t>
        </is>
      </c>
      <c r="C29" t="n">
        <v>140</v>
      </c>
      <c r="D29" t="inlineStr">
        <is>
          <t>17D-PU-FOAM-74.50X35.50X10MM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RTBNSNMR75X60X06-DSP</t>
        </is>
      </c>
      <c r="C30" t="n">
        <v>10</v>
      </c>
      <c r="D30" t="inlineStr">
        <is>
          <t>OEBOXBNSR74.50X59.50X120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RTBNSNMR75X60X06-DSP</t>
        </is>
      </c>
      <c r="C31" t="n">
        <v>20</v>
      </c>
      <c r="D31" t="inlineStr">
        <is>
          <t>SFG-RTC-SNMR-QUILT</t>
        </is>
      </c>
      <c r="E31" t="inlineStr">
        <is>
          <t>MTR</t>
        </is>
      </c>
      <c r="F31" t="n">
        <v>1.549</v>
      </c>
      <c r="G31" t="inlineStr">
        <is>
          <t>CBESFG</t>
        </is>
      </c>
    </row>
    <row r="32">
      <c r="A32" t="n">
        <v>3</v>
      </c>
      <c r="B32" t="inlineStr">
        <is>
          <t>RTBNSNMR75X60X06-DSP</t>
        </is>
      </c>
      <c r="C32" t="n">
        <v>30</v>
      </c>
      <c r="D32" t="inlineStr">
        <is>
          <t>SFG-RTC-SNMR-BP</t>
        </is>
      </c>
      <c r="E32" t="inlineStr">
        <is>
          <t>MTR</t>
        </is>
      </c>
      <c r="F32" t="n">
        <v>1.549</v>
      </c>
      <c r="G32" t="inlineStr">
        <is>
          <t>CBESFG</t>
        </is>
      </c>
    </row>
    <row r="33">
      <c r="A33" t="n">
        <v>3</v>
      </c>
      <c r="B33" t="inlineStr">
        <is>
          <t>RTBNSNMR75X60X06-DSP</t>
        </is>
      </c>
      <c r="C33" t="n">
        <v>40</v>
      </c>
      <c r="D33" t="inlineStr">
        <is>
          <t>RML-POLY-GUM</t>
        </is>
      </c>
      <c r="E33" t="inlineStr">
        <is>
          <t>LTR</t>
        </is>
      </c>
      <c r="F33" t="n">
        <v>0.663</v>
      </c>
      <c r="G33" t="inlineStr">
        <is>
          <t>CBEWIP</t>
        </is>
      </c>
    </row>
    <row r="34">
      <c r="A34" t="n">
        <v>3</v>
      </c>
      <c r="B34" t="inlineStr">
        <is>
          <t>RTBNSNMR75X60X06-DSP</t>
        </is>
      </c>
      <c r="C34" t="n">
        <v>50</v>
      </c>
      <c r="D34" t="inlineStr">
        <is>
          <t>RM-NWN-65GSMX6INCH</t>
        </is>
      </c>
      <c r="E34" t="inlineStr">
        <is>
          <t>KGS</t>
        </is>
      </c>
      <c r="F34" t="n">
        <v>0.148</v>
      </c>
      <c r="G34" t="inlineStr">
        <is>
          <t>CBEWIP</t>
        </is>
      </c>
    </row>
    <row r="35">
      <c r="A35" t="n">
        <v>3</v>
      </c>
      <c r="B35" t="inlineStr">
        <is>
          <t>RTBNSNMR75X60X06-DSP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138.684</v>
      </c>
      <c r="G35" t="inlineStr">
        <is>
          <t>CBEWIP</t>
        </is>
      </c>
    </row>
    <row r="36">
      <c r="A36" t="n">
        <v>3</v>
      </c>
      <c r="B36" t="inlineStr">
        <is>
          <t>RTBNSNMR75X60X06-DSP</t>
        </is>
      </c>
      <c r="C36" t="n">
        <v>70</v>
      </c>
      <c r="D36" t="inlineStr">
        <is>
          <t>RML-EDTAPE-MER-KNIT</t>
        </is>
      </c>
      <c r="E36" t="inlineStr">
        <is>
          <t>MTR</t>
        </is>
      </c>
      <c r="F36" t="n">
        <v>14.122</v>
      </c>
      <c r="G36" t="inlineStr">
        <is>
          <t>CBEWIP</t>
        </is>
      </c>
    </row>
    <row r="37">
      <c r="A37" t="n">
        <v>3</v>
      </c>
      <c r="B37" t="inlineStr">
        <is>
          <t>RTBNSNMR75X60X06-DSP</t>
        </is>
      </c>
      <c r="C37" t="n">
        <v>80</v>
      </c>
      <c r="D37" t="inlineStr">
        <is>
          <t>RML-THRD-TKT-40MER</t>
        </is>
      </c>
      <c r="E37" t="inlineStr">
        <is>
          <t>MTR</t>
        </is>
      </c>
      <c r="F37" t="n">
        <v>86.85299999999999</v>
      </c>
      <c r="G37" t="inlineStr">
        <is>
          <t>CBEWIP</t>
        </is>
      </c>
    </row>
    <row r="38">
      <c r="A38" t="n">
        <v>3</v>
      </c>
      <c r="B38" t="inlineStr">
        <is>
          <t>RTBNSNMR75X60X06-DSP</t>
        </is>
      </c>
      <c r="C38" t="n">
        <v>90</v>
      </c>
      <c r="D38" t="inlineStr">
        <is>
          <t>RML-CS-RTC-7"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RTBNSNMR75X60X06-DSP</t>
        </is>
      </c>
      <c r="C39" t="n">
        <v>100</v>
      </c>
      <c r="D39" t="inlineStr">
        <is>
          <t>RM-PEPS-MAT-MRP-LBL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RTBNSNMR75X60X06-DSP</t>
        </is>
      </c>
      <c r="C40" t="n">
        <v>110</v>
      </c>
      <c r="D40" t="inlineStr">
        <is>
          <t>RML-OK-ROUND-STK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RTBNSNMR75X60X06-DSP</t>
        </is>
      </c>
      <c r="C41" t="n">
        <v>120</v>
      </c>
      <c r="D41" t="inlineStr">
        <is>
          <t>RML-OK-STICKER</t>
        </is>
      </c>
      <c r="E41" t="inlineStr">
        <is>
          <t>NOS</t>
        </is>
      </c>
      <c r="F41" t="n">
        <v>1</v>
      </c>
      <c r="G41" t="inlineStr">
        <is>
          <t>CBEWIP</t>
        </is>
      </c>
    </row>
    <row r="42">
      <c r="A42" t="n">
        <v>3</v>
      </c>
      <c r="B42" t="inlineStr">
        <is>
          <t>RTBNSNMR75X60X06-DSP</t>
        </is>
      </c>
      <c r="C42" t="n">
        <v>130</v>
      </c>
      <c r="D42" t="inlineStr">
        <is>
          <t>RMI-PVC-50</t>
        </is>
      </c>
      <c r="E42" t="inlineStr">
        <is>
          <t>KGS</t>
        </is>
      </c>
      <c r="F42" t="n">
        <v>0.51</v>
      </c>
      <c r="G42" t="inlineStr">
        <is>
          <t>CBEWIP</t>
        </is>
      </c>
    </row>
    <row r="43">
      <c r="A43" t="n">
        <v>3</v>
      </c>
      <c r="B43" t="inlineStr">
        <is>
          <t>RTBNSNMR75X60X06-DSP</t>
        </is>
      </c>
      <c r="C43" t="n">
        <v>140</v>
      </c>
      <c r="D43" t="inlineStr">
        <is>
          <t>17D-PU-FOAM-74.50X59.50X10MM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RTBNSNMR75X72X06-DSP</t>
        </is>
      </c>
      <c r="C44" t="n">
        <v>10</v>
      </c>
      <c r="D44" t="inlineStr">
        <is>
          <t>OEBOXBNSR74.50X71.50X120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RTBNSNMR75X72X06-DSP</t>
        </is>
      </c>
      <c r="C45" t="n">
        <v>20</v>
      </c>
      <c r="D45" t="inlineStr">
        <is>
          <t>SFG-RTC-SNMR-QUILT</t>
        </is>
      </c>
      <c r="E45" t="inlineStr">
        <is>
          <t>MTR</t>
        </is>
      </c>
      <c r="F45" t="n">
        <v>1.854</v>
      </c>
      <c r="G45" t="inlineStr">
        <is>
          <t>CBESFG</t>
        </is>
      </c>
    </row>
    <row r="46">
      <c r="A46" t="n">
        <v>4</v>
      </c>
      <c r="B46" t="inlineStr">
        <is>
          <t>RTBNSNMR75X72X06-DSP</t>
        </is>
      </c>
      <c r="C46" t="n">
        <v>30</v>
      </c>
      <c r="D46" t="inlineStr">
        <is>
          <t>SFG-RTC-SNMR-BP</t>
        </is>
      </c>
      <c r="E46" t="inlineStr">
        <is>
          <t>MTR</t>
        </is>
      </c>
      <c r="F46" t="n">
        <v>1.854</v>
      </c>
      <c r="G46" t="inlineStr">
        <is>
          <t>CBESFG</t>
        </is>
      </c>
    </row>
    <row r="47">
      <c r="A47" t="n">
        <v>4</v>
      </c>
      <c r="B47" t="inlineStr">
        <is>
          <t>RTBNSNMR75X72X06-DSP</t>
        </is>
      </c>
      <c r="C47" t="n">
        <v>40</v>
      </c>
      <c r="D47" t="inlineStr">
        <is>
          <t>RML-POLY-GUM</t>
        </is>
      </c>
      <c r="E47" t="inlineStr">
        <is>
          <t>LTR</t>
        </is>
      </c>
      <c r="F47" t="n">
        <v>0.798</v>
      </c>
      <c r="G47" t="inlineStr">
        <is>
          <t>CBEWIP</t>
        </is>
      </c>
    </row>
    <row r="48">
      <c r="A48" t="n">
        <v>4</v>
      </c>
      <c r="B48" t="inlineStr">
        <is>
          <t>RTBNSNMR75X72X06-DSP</t>
        </is>
      </c>
      <c r="C48" t="n">
        <v>50</v>
      </c>
      <c r="D48" t="inlineStr">
        <is>
          <t>RM-NWN-65GSMX6INCH</t>
        </is>
      </c>
      <c r="E48" t="inlineStr">
        <is>
          <t>KGS</t>
        </is>
      </c>
      <c r="F48" t="n">
        <v>0.161</v>
      </c>
      <c r="G48" t="inlineStr">
        <is>
          <t>CBEWIP</t>
        </is>
      </c>
    </row>
    <row r="49">
      <c r="A49" t="n">
        <v>4</v>
      </c>
      <c r="B49" t="inlineStr">
        <is>
          <t>RTBNSNMR75X72X06-DSP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150.876</v>
      </c>
      <c r="G49" t="inlineStr">
        <is>
          <t>CBEWIP</t>
        </is>
      </c>
    </row>
    <row r="50">
      <c r="A50" t="n">
        <v>4</v>
      </c>
      <c r="B50" t="inlineStr">
        <is>
          <t>RTBNSNMR75X72X06-DSP</t>
        </is>
      </c>
      <c r="C50" t="n">
        <v>70</v>
      </c>
      <c r="D50" t="inlineStr">
        <is>
          <t>RML-EDTAPE-MER-KNIT</t>
        </is>
      </c>
      <c r="E50" t="inlineStr">
        <is>
          <t>MTR</t>
        </is>
      </c>
      <c r="F50" t="n">
        <v>15.342</v>
      </c>
      <c r="G50" t="inlineStr">
        <is>
          <t>CBEWIP</t>
        </is>
      </c>
    </row>
    <row r="51">
      <c r="A51" t="n">
        <v>4</v>
      </c>
      <c r="B51" t="inlineStr">
        <is>
          <t>RTBNSNMR75X72X06-DSP</t>
        </is>
      </c>
      <c r="C51" t="n">
        <v>80</v>
      </c>
      <c r="D51" t="inlineStr">
        <is>
          <t>RML-THRD-TKT-40MER</t>
        </is>
      </c>
      <c r="E51" t="inlineStr">
        <is>
          <t>MTR</t>
        </is>
      </c>
      <c r="F51" t="n">
        <v>94.351</v>
      </c>
      <c r="G51" t="inlineStr">
        <is>
          <t>CBEWIP</t>
        </is>
      </c>
    </row>
    <row r="52">
      <c r="A52" t="n">
        <v>4</v>
      </c>
      <c r="B52" t="inlineStr">
        <is>
          <t>RTBNSNMR75X72X06-DSP</t>
        </is>
      </c>
      <c r="C52" t="n">
        <v>90</v>
      </c>
      <c r="D52" t="inlineStr">
        <is>
          <t>RML-CS-RTC-7"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RTBNSNMR75X72X06-DSP</t>
        </is>
      </c>
      <c r="C53" t="n">
        <v>100</v>
      </c>
      <c r="D53" t="inlineStr">
        <is>
          <t>RM-PEPS-MAT-MRP-LBL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RTBNSNMR75X72X06-DSP</t>
        </is>
      </c>
      <c r="C54" t="n">
        <v>110</v>
      </c>
      <c r="D54" t="inlineStr">
        <is>
          <t>RML-OK-ROUND-STK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RTBNSNMR75X72X06-DSP</t>
        </is>
      </c>
      <c r="C55" t="n">
        <v>120</v>
      </c>
      <c r="D55" t="inlineStr">
        <is>
          <t>RML-OK-STICKER</t>
        </is>
      </c>
      <c r="E55" t="inlineStr">
        <is>
          <t>NOS</t>
        </is>
      </c>
      <c r="F55" t="n">
        <v>1</v>
      </c>
      <c r="G55" t="inlineStr">
        <is>
          <t>CBEWIP</t>
        </is>
      </c>
    </row>
    <row r="56">
      <c r="A56" t="n">
        <v>4</v>
      </c>
      <c r="B56" t="inlineStr">
        <is>
          <t>RTBNSNMR75X72X06-DSP</t>
        </is>
      </c>
      <c r="C56" t="n">
        <v>130</v>
      </c>
      <c r="D56" t="inlineStr">
        <is>
          <t>RMI-PVC-50</t>
        </is>
      </c>
      <c r="E56" t="inlineStr">
        <is>
          <t>KGS</t>
        </is>
      </c>
      <c r="F56" t="n">
        <v>0.601</v>
      </c>
      <c r="G56" t="inlineStr">
        <is>
          <t>CBEWIP</t>
        </is>
      </c>
    </row>
    <row r="57">
      <c r="A57" t="n">
        <v>4</v>
      </c>
      <c r="B57" t="inlineStr">
        <is>
          <t>RTBNSNMR75X72X06-DSP</t>
        </is>
      </c>
      <c r="C57" t="n">
        <v>140</v>
      </c>
      <c r="D57" t="inlineStr">
        <is>
          <t>17D-PU-FOAM-74.50X71.50X10MM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RTBNSNMR78X60X06-DSP</t>
        </is>
      </c>
      <c r="C58" t="n">
        <v>10</v>
      </c>
      <c r="D58" t="inlineStr">
        <is>
          <t>OEBOXBNSR77.50X59.50X120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RTBNSNMR78X60X06-DSP</t>
        </is>
      </c>
      <c r="C59" t="n">
        <v>20</v>
      </c>
      <c r="D59" t="inlineStr">
        <is>
          <t>SFG-RTC-SNMR-QUILT</t>
        </is>
      </c>
      <c r="E59" t="inlineStr">
        <is>
          <t>MTR</t>
        </is>
      </c>
      <c r="F59" t="n">
        <v>1.549</v>
      </c>
      <c r="G59" t="inlineStr">
        <is>
          <t>CBESFG</t>
        </is>
      </c>
    </row>
    <row r="60">
      <c r="A60" t="n">
        <v>5</v>
      </c>
      <c r="B60" t="inlineStr">
        <is>
          <t>RTBNSNMR78X60X06-DSP</t>
        </is>
      </c>
      <c r="C60" t="n">
        <v>30</v>
      </c>
      <c r="D60" t="inlineStr">
        <is>
          <t>SFG-RTC-SNMR-BP</t>
        </is>
      </c>
      <c r="E60" t="inlineStr">
        <is>
          <t>MTR</t>
        </is>
      </c>
      <c r="F60" t="n">
        <v>1.549</v>
      </c>
      <c r="G60" t="inlineStr">
        <is>
          <t>CBESFG</t>
        </is>
      </c>
    </row>
    <row r="61">
      <c r="A61" t="n">
        <v>5</v>
      </c>
      <c r="B61" t="inlineStr">
        <is>
          <t>RTBNSNMR78X60X06-DSP</t>
        </is>
      </c>
      <c r="C61" t="n">
        <v>40</v>
      </c>
      <c r="D61" t="inlineStr">
        <is>
          <t>RML-POLY-GUM</t>
        </is>
      </c>
      <c r="E61" t="inlineStr">
        <is>
          <t>LTR</t>
        </is>
      </c>
      <c r="F61" t="n">
        <v>0.6899999999999999</v>
      </c>
      <c r="G61" t="inlineStr">
        <is>
          <t>CBEWIP</t>
        </is>
      </c>
    </row>
    <row r="62">
      <c r="A62" t="n">
        <v>5</v>
      </c>
      <c r="B62" t="inlineStr">
        <is>
          <t>RTBNSNMR78X60X06-DSP</t>
        </is>
      </c>
      <c r="C62" t="n">
        <v>50</v>
      </c>
      <c r="D62" t="inlineStr">
        <is>
          <t>RM-NWN-65GSMX6INCH</t>
        </is>
      </c>
      <c r="E62" t="inlineStr">
        <is>
          <t>KGS</t>
        </is>
      </c>
      <c r="F62" t="n">
        <v>0.152</v>
      </c>
      <c r="G62" t="inlineStr">
        <is>
          <t>CBEWIP</t>
        </is>
      </c>
    </row>
    <row r="63">
      <c r="A63" t="n">
        <v>5</v>
      </c>
      <c r="B63" t="inlineStr">
        <is>
          <t>RTBNSNMR78X60X06-DSP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141.732</v>
      </c>
      <c r="G63" t="inlineStr">
        <is>
          <t>CBEWIP</t>
        </is>
      </c>
    </row>
    <row r="64">
      <c r="A64" t="n">
        <v>5</v>
      </c>
      <c r="B64" t="inlineStr">
        <is>
          <t>RTBNSNMR78X60X06-DSP</t>
        </is>
      </c>
      <c r="C64" t="n">
        <v>70</v>
      </c>
      <c r="D64" t="inlineStr">
        <is>
          <t>RML-EDTAPE-MER-KNIT</t>
        </is>
      </c>
      <c r="E64" t="inlineStr">
        <is>
          <t>MTR</t>
        </is>
      </c>
      <c r="F64" t="n">
        <v>14.427</v>
      </c>
      <c r="G64" t="inlineStr">
        <is>
          <t>CBEWIP</t>
        </is>
      </c>
    </row>
    <row r="65">
      <c r="A65" t="n">
        <v>5</v>
      </c>
      <c r="B65" t="inlineStr">
        <is>
          <t>RTBNSNMR78X60X06-DSP</t>
        </is>
      </c>
      <c r="C65" t="n">
        <v>80</v>
      </c>
      <c r="D65" t="inlineStr">
        <is>
          <t>RML-THRD-TKT-40MER</t>
        </is>
      </c>
      <c r="E65" t="inlineStr">
        <is>
          <t>MTR</t>
        </is>
      </c>
      <c r="F65" t="n">
        <v>88.727</v>
      </c>
      <c r="G65" t="inlineStr">
        <is>
          <t>CBEWIP</t>
        </is>
      </c>
    </row>
    <row r="66">
      <c r="A66" t="n">
        <v>5</v>
      </c>
      <c r="B66" t="inlineStr">
        <is>
          <t>RTBNSNMR78X60X06-DSP</t>
        </is>
      </c>
      <c r="C66" t="n">
        <v>90</v>
      </c>
      <c r="D66" t="inlineStr">
        <is>
          <t>RML-CS-RTC-7"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RTBNSNMR78X60X06-DSP</t>
        </is>
      </c>
      <c r="C67" t="n">
        <v>100</v>
      </c>
      <c r="D67" t="inlineStr">
        <is>
          <t>RM-PEPS-MAT-MRP-LBL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RTBNSNMR78X60X06-DSP</t>
        </is>
      </c>
      <c r="C68" t="n">
        <v>110</v>
      </c>
      <c r="D68" t="inlineStr">
        <is>
          <t>RML-OK-ROUND-STK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RTBNSNMR78X60X06-DSP</t>
        </is>
      </c>
      <c r="C69" t="n">
        <v>120</v>
      </c>
      <c r="D69" t="inlineStr">
        <is>
          <t>RML-OK-STICKER</t>
        </is>
      </c>
      <c r="E69" t="inlineStr">
        <is>
          <t>NOS</t>
        </is>
      </c>
      <c r="F69" t="n">
        <v>1</v>
      </c>
      <c r="G69" t="inlineStr">
        <is>
          <t>CBEWIP</t>
        </is>
      </c>
    </row>
    <row r="70">
      <c r="A70" t="n">
        <v>5</v>
      </c>
      <c r="B70" t="inlineStr">
        <is>
          <t>RTBNSNMR78X60X06-DSP</t>
        </is>
      </c>
      <c r="C70" t="n">
        <v>130</v>
      </c>
      <c r="D70" t="inlineStr">
        <is>
          <t>RMI-PVC-50</t>
        </is>
      </c>
      <c r="E70" t="inlineStr">
        <is>
          <t>KGS</t>
        </is>
      </c>
      <c r="F70" t="n">
        <v>0.51</v>
      </c>
      <c r="G70" t="inlineStr">
        <is>
          <t>CBEWIP</t>
        </is>
      </c>
    </row>
    <row r="71">
      <c r="A71" t="n">
        <v>5</v>
      </c>
      <c r="B71" t="inlineStr">
        <is>
          <t>RTBNSNMR78X60X06-DSP</t>
        </is>
      </c>
      <c r="C71" t="n">
        <v>140</v>
      </c>
      <c r="D71" t="inlineStr">
        <is>
          <t>17D-PU-FOAM-77.50X59.50X10MM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RTBNSNMR78X72X06-DSP</t>
        </is>
      </c>
      <c r="C72" t="n">
        <v>10</v>
      </c>
      <c r="D72" t="inlineStr">
        <is>
          <t>OEBOXBNSR77.50X71.50X120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RTBNSNMR78X72X06-DSP</t>
        </is>
      </c>
      <c r="C73" t="n">
        <v>20</v>
      </c>
      <c r="D73" t="inlineStr">
        <is>
          <t>SFG-RTC-SNMR-QUILT</t>
        </is>
      </c>
      <c r="E73" t="inlineStr">
        <is>
          <t>MTR</t>
        </is>
      </c>
      <c r="F73" t="n">
        <v>1.854</v>
      </c>
      <c r="G73" t="inlineStr">
        <is>
          <t>CBESFG</t>
        </is>
      </c>
    </row>
    <row r="74">
      <c r="A74" t="n">
        <v>6</v>
      </c>
      <c r="B74" t="inlineStr">
        <is>
          <t>RTBNSNMR78X72X06-DSP</t>
        </is>
      </c>
      <c r="C74" t="n">
        <v>30</v>
      </c>
      <c r="D74" t="inlineStr">
        <is>
          <t>SFG-RTC-SNMR-BP</t>
        </is>
      </c>
      <c r="E74" t="inlineStr">
        <is>
          <t>MTR</t>
        </is>
      </c>
      <c r="F74" t="n">
        <v>1.854</v>
      </c>
      <c r="G74" t="inlineStr">
        <is>
          <t>CBESFG</t>
        </is>
      </c>
    </row>
    <row r="75">
      <c r="A75" t="n">
        <v>6</v>
      </c>
      <c r="B75" t="inlineStr">
        <is>
          <t>RTBNSNMR78X72X06-DSP</t>
        </is>
      </c>
      <c r="C75" t="n">
        <v>40</v>
      </c>
      <c r="D75" t="inlineStr">
        <is>
          <t>RML-POLY-GUM</t>
        </is>
      </c>
      <c r="E75" t="inlineStr">
        <is>
          <t>LTR</t>
        </is>
      </c>
      <c r="F75" t="n">
        <v>0.83</v>
      </c>
      <c r="G75" t="inlineStr">
        <is>
          <t>CBEWIP</t>
        </is>
      </c>
    </row>
    <row r="76">
      <c r="A76" t="n">
        <v>6</v>
      </c>
      <c r="B76" t="inlineStr">
        <is>
          <t>RTBNSNMR78X72X06-DSP</t>
        </is>
      </c>
      <c r="C76" t="n">
        <v>50</v>
      </c>
      <c r="D76" t="inlineStr">
        <is>
          <t>RM-NWN-65GSMX6INCH</t>
        </is>
      </c>
      <c r="E76" t="inlineStr">
        <is>
          <t>KGS</t>
        </is>
      </c>
      <c r="F76" t="n">
        <v>0.165</v>
      </c>
      <c r="G76" t="inlineStr">
        <is>
          <t>CBEWIP</t>
        </is>
      </c>
    </row>
    <row r="77">
      <c r="A77" t="n">
        <v>6</v>
      </c>
      <c r="B77" t="inlineStr">
        <is>
          <t>RTBNSNMR78X72X06-DSP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153.924</v>
      </c>
      <c r="G77" t="inlineStr">
        <is>
          <t>CBEWIP</t>
        </is>
      </c>
    </row>
    <row r="78">
      <c r="A78" t="n">
        <v>6</v>
      </c>
      <c r="B78" t="inlineStr">
        <is>
          <t>RTBNSNMR78X72X06-DSP</t>
        </is>
      </c>
      <c r="C78" t="n">
        <v>70</v>
      </c>
      <c r="D78" t="inlineStr">
        <is>
          <t>RML-EDTAPE-MER-KNIT</t>
        </is>
      </c>
      <c r="E78" t="inlineStr">
        <is>
          <t>MTR</t>
        </is>
      </c>
      <c r="F78" t="n">
        <v>15.646</v>
      </c>
      <c r="G78" t="inlineStr">
        <is>
          <t>CBEWIP</t>
        </is>
      </c>
    </row>
    <row r="79">
      <c r="A79" t="n">
        <v>6</v>
      </c>
      <c r="B79" t="inlineStr">
        <is>
          <t>RTBNSNMR78X72X06-DSP</t>
        </is>
      </c>
      <c r="C79" t="n">
        <v>80</v>
      </c>
      <c r="D79" t="inlineStr">
        <is>
          <t>RML-THRD-TKT-40MER</t>
        </is>
      </c>
      <c r="E79" t="inlineStr">
        <is>
          <t>MTR</t>
        </is>
      </c>
      <c r="F79" t="n">
        <v>96.22499999999999</v>
      </c>
      <c r="G79" t="inlineStr">
        <is>
          <t>CBEWIP</t>
        </is>
      </c>
    </row>
    <row r="80">
      <c r="A80" t="n">
        <v>6</v>
      </c>
      <c r="B80" t="inlineStr">
        <is>
          <t>RTBNSNMR78X72X06-DSP</t>
        </is>
      </c>
      <c r="C80" t="n">
        <v>90</v>
      </c>
      <c r="D80" t="inlineStr">
        <is>
          <t>RML-CS-RTC-7"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RTBNSNMR78X72X06-DSP</t>
        </is>
      </c>
      <c r="C81" t="n">
        <v>100</v>
      </c>
      <c r="D81" t="inlineStr">
        <is>
          <t>RM-PEPS-MAT-MRP-LBL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RTBNSNMR78X72X06-DSP</t>
        </is>
      </c>
      <c r="C82" t="n">
        <v>110</v>
      </c>
      <c r="D82" t="inlineStr">
        <is>
          <t>RML-OK-ROUND-STK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RTBNSNMR78X72X06-DSP</t>
        </is>
      </c>
      <c r="C83" t="n">
        <v>120</v>
      </c>
      <c r="D83" t="inlineStr">
        <is>
          <t>RML-OK-STICKER</t>
        </is>
      </c>
      <c r="E83" t="inlineStr">
        <is>
          <t>NOS</t>
        </is>
      </c>
      <c r="F83" t="n">
        <v>1</v>
      </c>
      <c r="G83" t="inlineStr">
        <is>
          <t>CBEWIP</t>
        </is>
      </c>
    </row>
    <row r="84">
      <c r="A84" t="n">
        <v>6</v>
      </c>
      <c r="B84" t="inlineStr">
        <is>
          <t>RTBNSNMR78X72X06-DSP</t>
        </is>
      </c>
      <c r="C84" t="n">
        <v>130</v>
      </c>
      <c r="D84" t="inlineStr">
        <is>
          <t>RMI-PVC-50</t>
        </is>
      </c>
      <c r="E84" t="inlineStr">
        <is>
          <t>KGS</t>
        </is>
      </c>
      <c r="F84" t="n">
        <v>0.601</v>
      </c>
      <c r="G84" t="inlineStr">
        <is>
          <t>CBEWIP</t>
        </is>
      </c>
    </row>
    <row r="85">
      <c r="A85" t="n">
        <v>6</v>
      </c>
      <c r="B85" t="inlineStr">
        <is>
          <t>RTBNSNMR78X72X06-DSP</t>
        </is>
      </c>
      <c r="C85" t="n">
        <v>140</v>
      </c>
      <c r="D85" t="inlineStr">
        <is>
          <t>17D-PU-FOAM-77.50X71.50X10MM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88"/>
  <sheetViews>
    <sheetView zoomScale="85" zoomScaleNormal="85" workbookViewId="0">
      <selection activeCell="N15" sqref="N15"/>
    </sheetView>
  </sheetViews>
  <sheetFormatPr baseColWidth="8" defaultRowHeight="15"/>
  <cols>
    <col width="7.42578125" bestFit="1" customWidth="1" style="19" min="1" max="1"/>
    <col width="9.7109375" customWidth="1" style="19" min="2" max="2"/>
    <col width="25.85546875" customWidth="1" style="19" min="3" max="3"/>
    <col width="12.28515625" customWidth="1" style="19" min="4" max="4"/>
    <col width="25.85546875" customWidth="1" style="19" min="5" max="5"/>
    <col hidden="1" width="12.85546875" customWidth="1" style="19" min="6" max="6"/>
    <col hidden="1" width="14" customWidth="1" style="19" min="7" max="7"/>
    <col hidden="1" width="16.42578125" customWidth="1" style="19" min="8" max="8"/>
    <col hidden="1" width="12.140625" customWidth="1" style="19" min="9" max="9"/>
    <col hidden="1" width="16.28515625" customWidth="1" style="19" min="10" max="10"/>
    <col hidden="1" width="16" customWidth="1" style="19" min="11" max="11"/>
    <col width="11.42578125" bestFit="1" customWidth="1" style="19" min="12" max="12"/>
    <col width="10" bestFit="1" customWidth="1" style="19" min="13" max="13"/>
    <col width="31.85546875" bestFit="1" customWidth="1" style="19" min="14" max="14"/>
    <col hidden="1" width="12.85546875" customWidth="1" style="19" min="15" max="15"/>
    <col hidden="1" width="12.140625" customWidth="1" style="19" min="16" max="16"/>
    <col width="12.140625" bestFit="1" customWidth="1" style="19" min="17" max="18"/>
    <col hidden="1" width="12.140625" customWidth="1" style="19" min="19" max="19"/>
    <col width="10" bestFit="1" customWidth="1" style="19" min="20" max="20"/>
    <col hidden="1" width="12.140625" customWidth="1" style="19" min="21" max="21"/>
    <col width="13.28515625" customWidth="1" style="19" min="22" max="22"/>
    <col hidden="1" width="12.140625" customWidth="1" style="19" min="23" max="25"/>
    <col hidden="1" width="10.5703125" customWidth="1" style="19" min="26" max="26"/>
    <col hidden="1" width="11" customWidth="1" style="19" min="27" max="27"/>
    <col hidden="1" width="10.5703125" customWidth="1" style="19" min="28" max="28"/>
    <col hidden="1" width="12.140625" customWidth="1" style="19" min="29" max="30"/>
    <col hidden="1" width="15.42578125" customWidth="1" style="19" min="31" max="31"/>
    <col hidden="1" width="16.7109375" customWidth="1" style="19" min="32" max="32"/>
    <col hidden="1" width="12.140625" customWidth="1" style="19" min="33" max="33"/>
    <col hidden="1" width="10.5703125" customWidth="1" style="19" min="34" max="34"/>
    <col hidden="1" width="14.7109375" customWidth="1" style="19" min="35" max="35"/>
    <col hidden="1" width="15.7109375" customWidth="1" style="19" min="36" max="36"/>
    <col hidden="1" width="18.42578125" customWidth="1" style="19" min="37" max="37"/>
    <col width="10.42578125" bestFit="1" customWidth="1" style="19" min="38" max="38"/>
  </cols>
  <sheetData>
    <row r="1">
      <c r="A1" s="48" t="inlineStr">
        <is>
          <t>Rec.No</t>
        </is>
      </c>
      <c r="B1" s="49" t="inlineStr">
        <is>
          <t>"Edit Product Structure"</t>
        </is>
      </c>
      <c r="C1" s="52" t="n"/>
      <c r="D1" s="52" t="n"/>
      <c r="E1" s="52" t="n"/>
      <c r="F1" s="52" t="n"/>
      <c r="G1" s="52" t="n"/>
      <c r="H1" s="52" t="n"/>
      <c r="I1" s="52" t="n"/>
      <c r="J1" s="52" t="n"/>
      <c r="K1" s="52" t="n"/>
      <c r="L1" s="53" t="n"/>
      <c r="M1" s="50" t="inlineStr">
        <is>
          <t>Component Details-"Edit Product Structure"</t>
        </is>
      </c>
      <c r="N1" s="52" t="n"/>
      <c r="O1" s="52" t="n"/>
      <c r="P1" s="52" t="n"/>
      <c r="Q1" s="52" t="n"/>
      <c r="R1" s="52" t="n"/>
      <c r="S1" s="52" t="n"/>
      <c r="T1" s="52" t="n"/>
      <c r="U1" s="52" t="n"/>
      <c r="V1" s="52" t="n"/>
      <c r="W1" s="52" t="n"/>
      <c r="X1" s="52" t="n"/>
      <c r="Y1" s="52" t="n"/>
      <c r="Z1" s="52" t="n"/>
      <c r="AA1" s="52" t="n"/>
      <c r="AB1" s="52" t="n"/>
      <c r="AC1" s="52" t="n"/>
      <c r="AD1" s="52" t="n"/>
      <c r="AE1" s="52" t="n"/>
      <c r="AF1" s="52" t="n"/>
      <c r="AG1" s="52" t="n"/>
      <c r="AH1" s="52" t="n"/>
      <c r="AI1" s="52" t="n"/>
      <c r="AJ1" s="52" t="n"/>
      <c r="AK1" s="52" t="n"/>
      <c r="AL1" s="53" t="n"/>
    </row>
    <row r="2">
      <c r="A2" s="54" t="n"/>
      <c r="B2" s="49" t="inlineStr">
        <is>
          <t>Combo</t>
        </is>
      </c>
      <c r="C2" s="49" t="inlineStr">
        <is>
          <t>EDIT</t>
        </is>
      </c>
      <c r="D2" s="49" t="inlineStr">
        <is>
          <t>Edit</t>
        </is>
      </c>
      <c r="E2" s="49" t="inlineStr">
        <is>
          <t>EDIT</t>
        </is>
      </c>
      <c r="F2" s="49" t="inlineStr">
        <is>
          <t>Edit</t>
        </is>
      </c>
      <c r="G2" s="49" t="inlineStr">
        <is>
          <t>Combo</t>
        </is>
      </c>
      <c r="H2" s="49" t="inlineStr">
        <is>
          <t>Edit</t>
        </is>
      </c>
      <c r="I2" s="49" t="inlineStr">
        <is>
          <t>Edit</t>
        </is>
      </c>
      <c r="J2" s="49" t="inlineStr">
        <is>
          <t>Edit</t>
        </is>
      </c>
      <c r="K2" s="49" t="inlineStr">
        <is>
          <t>Edit</t>
        </is>
      </c>
      <c r="L2" s="49" t="inlineStr">
        <is>
          <t>Combo</t>
        </is>
      </c>
      <c r="M2" s="50" t="inlineStr">
        <is>
          <t>EditBox</t>
        </is>
      </c>
      <c r="N2" s="25" t="inlineStr">
        <is>
          <t>EditBox</t>
        </is>
      </c>
      <c r="O2" s="50" t="inlineStr">
        <is>
          <t>EditBox</t>
        </is>
      </c>
      <c r="P2" s="50" t="inlineStr">
        <is>
          <t>DisplayOnly</t>
        </is>
      </c>
      <c r="Q2" s="50" t="inlineStr">
        <is>
          <t>EditBox</t>
        </is>
      </c>
      <c r="R2" s="50" t="inlineStr">
        <is>
          <t>DisplayOnly</t>
        </is>
      </c>
      <c r="S2" s="50" t="inlineStr">
        <is>
          <t>EditBox</t>
        </is>
      </c>
      <c r="T2" s="50" t="inlineStr">
        <is>
          <t>EditBox</t>
        </is>
      </c>
      <c r="U2" s="50" t="inlineStr">
        <is>
          <t>DisplayOnly</t>
        </is>
      </c>
      <c r="V2" s="50" t="inlineStr">
        <is>
          <t>EditBox</t>
        </is>
      </c>
      <c r="W2" s="50" t="inlineStr">
        <is>
          <t>EditBox</t>
        </is>
      </c>
      <c r="X2" s="50" t="inlineStr">
        <is>
          <t>EditBox</t>
        </is>
      </c>
      <c r="Y2" s="50" t="inlineStr">
        <is>
          <t>DisplayOnly</t>
        </is>
      </c>
      <c r="Z2" s="50" t="inlineStr">
        <is>
          <t>ComboBox</t>
        </is>
      </c>
      <c r="AA2" s="50" t="inlineStr">
        <is>
          <t>EditBox</t>
        </is>
      </c>
      <c r="AB2" s="50" t="inlineStr">
        <is>
          <t>EditBox</t>
        </is>
      </c>
      <c r="AC2" s="50" t="inlineStr">
        <is>
          <t>EditBox</t>
        </is>
      </c>
      <c r="AD2" s="50" t="inlineStr">
        <is>
          <t>EditBox</t>
        </is>
      </c>
      <c r="AE2" s="50" t="inlineStr">
        <is>
          <t>EditBox</t>
        </is>
      </c>
      <c r="AF2" s="50" t="inlineStr">
        <is>
          <t>EditBox</t>
        </is>
      </c>
      <c r="AG2" s="50" t="inlineStr">
        <is>
          <t>ComboBox</t>
        </is>
      </c>
      <c r="AH2" s="50" t="inlineStr">
        <is>
          <t>ComboBox</t>
        </is>
      </c>
      <c r="AI2" s="50" t="inlineStr">
        <is>
          <t>ComboBox</t>
        </is>
      </c>
      <c r="AJ2" s="50" t="inlineStr">
        <is>
          <t>EditBox</t>
        </is>
      </c>
      <c r="AK2" s="50" t="inlineStr">
        <is>
          <t>EditBox</t>
        </is>
      </c>
      <c r="AL2" s="50" t="inlineStr">
        <is>
          <t>EditBox</t>
        </is>
      </c>
    </row>
    <row r="3">
      <c r="A3" s="54" t="n"/>
      <c r="B3" s="49" t="inlineStr">
        <is>
          <t>String(25)</t>
        </is>
      </c>
      <c r="C3" s="49" t="inlineStr">
        <is>
          <t>String(32)</t>
        </is>
      </c>
      <c r="D3" s="49" t="inlineStr">
        <is>
          <t>String(1000)</t>
        </is>
      </c>
      <c r="E3" s="49" t="inlineStr">
        <is>
          <t>String(32)</t>
        </is>
      </c>
      <c r="F3" s="49" t="inlineStr">
        <is>
          <t>String(8)</t>
        </is>
      </c>
      <c r="G3" s="49" t="inlineStr">
        <is>
          <t>String(6)</t>
        </is>
      </c>
      <c r="H3" s="49" t="inlineStr">
        <is>
          <t>String(10)</t>
        </is>
      </c>
      <c r="I3" s="49" t="inlineStr">
        <is>
          <t>Numeric(29)</t>
        </is>
      </c>
      <c r="J3" s="49" t="inlineStr">
        <is>
          <t>String(32)</t>
        </is>
      </c>
      <c r="K3" s="49" t="inlineStr">
        <is>
          <t>String(32)</t>
        </is>
      </c>
      <c r="L3" s="49" t="inlineStr">
        <is>
          <t>String(20)</t>
        </is>
      </c>
      <c r="M3" s="50" t="inlineStr">
        <is>
          <t>Integer(4)</t>
        </is>
      </c>
      <c r="N3" s="25" t="inlineStr">
        <is>
          <t>String(32)</t>
        </is>
      </c>
      <c r="O3" s="50" t="inlineStr">
        <is>
          <t>String(8)</t>
        </is>
      </c>
      <c r="P3" s="50" t="inlineStr">
        <is>
          <t>String(150)</t>
        </is>
      </c>
      <c r="Q3" s="50" t="inlineStr">
        <is>
          <t>Numeric(29)</t>
        </is>
      </c>
      <c r="R3" s="50" t="inlineStr">
        <is>
          <t>String(10)</t>
        </is>
      </c>
      <c r="S3" s="50" t="inlineStr">
        <is>
          <t>Numeric(10)</t>
        </is>
      </c>
      <c r="T3" s="50" t="inlineStr">
        <is>
          <t>Integer(4)</t>
        </is>
      </c>
      <c r="U3" s="50" t="inlineStr">
        <is>
          <t>String(16)</t>
        </is>
      </c>
      <c r="V3" s="50" t="inlineStr">
        <is>
          <t>String(10)</t>
        </is>
      </c>
      <c r="W3" s="50" t="inlineStr">
        <is>
          <t>Numeric(29)</t>
        </is>
      </c>
      <c r="X3" s="50" t="inlineStr">
        <is>
          <t>Numeric(29)</t>
        </is>
      </c>
      <c r="Y3" s="50" t="inlineStr">
        <is>
          <t>String(25)</t>
        </is>
      </c>
      <c r="Z3" s="50" t="inlineStr">
        <is>
          <t>String(20)</t>
        </is>
      </c>
      <c r="AA3" s="50" t="inlineStr">
        <is>
          <t>Date(11)</t>
        </is>
      </c>
      <c r="AB3" s="50" t="inlineStr">
        <is>
          <t>Date(11)</t>
        </is>
      </c>
      <c r="AC3" s="50" t="inlineStr">
        <is>
          <t>Numeric(29)</t>
        </is>
      </c>
      <c r="AD3" s="50" t="inlineStr">
        <is>
          <t>Numeric(29)</t>
        </is>
      </c>
      <c r="AE3" s="50" t="inlineStr">
        <is>
          <t>String(16)</t>
        </is>
      </c>
      <c r="AF3" s="50" t="inlineStr">
        <is>
          <t>Numeric(10)</t>
        </is>
      </c>
      <c r="AG3" s="50" t="inlineStr">
        <is>
          <t>String(25)</t>
        </is>
      </c>
      <c r="AH3" s="50" t="inlineStr">
        <is>
          <t>String(20)</t>
        </is>
      </c>
      <c r="AI3" s="50" t="inlineStr">
        <is>
          <t>String(20)</t>
        </is>
      </c>
      <c r="AJ3" s="50" t="inlineStr">
        <is>
          <t>String(32)</t>
        </is>
      </c>
      <c r="AK3" s="50" t="inlineStr">
        <is>
          <t>String(8)</t>
        </is>
      </c>
      <c r="AL3" s="50" t="inlineStr">
        <is>
          <t>String(80)</t>
        </is>
      </c>
    </row>
    <row r="4">
      <c r="A4" s="55" t="n"/>
      <c r="B4" s="26" t="inlineStr">
        <is>
          <t>Status</t>
        </is>
      </c>
      <c r="C4" s="26" t="inlineStr">
        <is>
          <t>PS No.</t>
        </is>
      </c>
      <c r="D4" s="49" t="inlineStr">
        <is>
          <t>PS Desc.</t>
        </is>
      </c>
      <c r="E4" s="26" t="inlineStr">
        <is>
          <t>Item Code</t>
        </is>
      </c>
      <c r="F4" s="49" t="inlineStr">
        <is>
          <t>Variant Code</t>
        </is>
      </c>
      <c r="G4" s="26" t="inlineStr">
        <is>
          <t>Maintained By</t>
        </is>
      </c>
      <c r="H4" s="26" t="inlineStr">
        <is>
          <t>Warehouse Code</t>
        </is>
      </c>
      <c r="I4" s="26" t="inlineStr">
        <is>
          <t>Parent Qty.</t>
        </is>
      </c>
      <c r="J4" s="49" t="inlineStr">
        <is>
          <t>Process Plan No.</t>
        </is>
      </c>
      <c r="K4" s="49" t="inlineStr">
        <is>
          <t>Bill Of Resource</t>
        </is>
      </c>
      <c r="L4" s="49" t="inlineStr">
        <is>
          <t>Default For</t>
        </is>
      </c>
      <c r="M4" s="27" t="inlineStr">
        <is>
          <t>PS Seq.</t>
        </is>
      </c>
      <c r="N4" s="28" t="inlineStr">
        <is>
          <t>Item Code</t>
        </is>
      </c>
      <c r="O4" s="50" t="inlineStr">
        <is>
          <t>Variant Code</t>
        </is>
      </c>
      <c r="P4" s="50" t="inlineStr">
        <is>
          <t>Desc.</t>
        </is>
      </c>
      <c r="Q4" s="50" t="inlineStr">
        <is>
          <t>Qty.</t>
        </is>
      </c>
      <c r="R4" s="50" t="inlineStr">
        <is>
          <t>UOM</t>
        </is>
      </c>
      <c r="S4" s="50" t="inlineStr">
        <is>
          <t>Scrap %</t>
        </is>
      </c>
      <c r="T4" s="50" t="inlineStr">
        <is>
          <t>PP Seq.</t>
        </is>
      </c>
      <c r="U4" s="50" t="inlineStr">
        <is>
          <t>Plant</t>
        </is>
      </c>
      <c r="V4" s="50" t="inlineStr">
        <is>
          <t>Warehouse Code</t>
        </is>
      </c>
      <c r="W4" s="50" t="inlineStr">
        <is>
          <t>Setup Qty.</t>
        </is>
      </c>
      <c r="X4" s="50" t="inlineStr">
        <is>
          <t>Batch Qty.</t>
        </is>
      </c>
      <c r="Y4" s="50" t="inlineStr">
        <is>
          <t>Item Type</t>
        </is>
      </c>
      <c r="Z4" s="50" t="inlineStr">
        <is>
          <t>I/O</t>
        </is>
      </c>
      <c r="AA4" s="50" t="inlineStr">
        <is>
          <t>Valid From</t>
        </is>
      </c>
      <c r="AB4" s="50" t="inlineStr">
        <is>
          <t>Valid To</t>
        </is>
      </c>
      <c r="AC4" s="50" t="inlineStr">
        <is>
          <t>Min. Qty.</t>
        </is>
      </c>
      <c r="AD4" s="50" t="inlineStr">
        <is>
          <t>Max. Qty.</t>
        </is>
      </c>
      <c r="AE4" s="50" t="inlineStr">
        <is>
          <t>Ref. Designator</t>
        </is>
      </c>
      <c r="AF4" s="50" t="inlineStr">
        <is>
          <t>Lead Time Offset</t>
        </is>
      </c>
      <c r="AG4" s="50" t="inlineStr">
        <is>
          <t>Stock Status</t>
        </is>
      </c>
      <c r="AH4" s="50" t="inlineStr">
        <is>
          <t>Critical</t>
        </is>
      </c>
      <c r="AI4" s="50" t="inlineStr">
        <is>
          <t>Use-Up Option</t>
        </is>
      </c>
      <c r="AJ4" s="50" t="inlineStr">
        <is>
          <t>Repl. Item Code</t>
        </is>
      </c>
      <c r="AK4" s="50" t="inlineStr">
        <is>
          <t>Repl. Variant Code</t>
        </is>
      </c>
      <c r="AL4" s="50" t="inlineStr">
        <is>
          <t>Seq. Desc.</t>
        </is>
      </c>
    </row>
    <row r="5">
      <c r="A5" s="43" t="n">
        <v>1</v>
      </c>
      <c r="B5" s="43" t="inlineStr">
        <is>
          <t>Active</t>
        </is>
      </c>
      <c r="C5" s="43" t="inlineStr">
        <is>
          <t>RTBNSNMR72X36X06-DSP</t>
        </is>
      </c>
      <c r="D5" s="43" t="n"/>
      <c r="E5" s="43" t="inlineStr">
        <is>
          <t>RTBNSNMR72X36X06-DSP</t>
        </is>
      </c>
      <c r="F5" s="43" t="n"/>
      <c r="G5" s="43" t="n"/>
      <c r="H5" s="43" t="n"/>
      <c r="I5" s="43" t="n"/>
      <c r="J5" s="43" t="n"/>
      <c r="K5" s="43" t="n"/>
      <c r="L5" s="43" t="inlineStr">
        <is>
          <t>MRP</t>
        </is>
      </c>
      <c r="M5" s="43" t="n">
        <v>10</v>
      </c>
      <c r="N5" s="43" t="inlineStr">
        <is>
          <t>OEBOXBNSR71.50X35.50X120</t>
        </is>
      </c>
      <c r="O5" s="43" t="n"/>
      <c r="P5" s="43" t="n"/>
      <c r="Q5" s="43" t="n">
        <v>1</v>
      </c>
      <c r="R5" s="43" t="inlineStr">
        <is>
          <t>NOS</t>
        </is>
      </c>
      <c r="S5" s="43" t="n"/>
      <c r="T5" s="43" t="n">
        <v>10</v>
      </c>
      <c r="U5" s="43" t="n"/>
      <c r="V5" s="43" t="inlineStr">
        <is>
          <t>CBESFG</t>
        </is>
      </c>
      <c r="W5" s="43" t="n"/>
      <c r="X5" s="43" t="n"/>
      <c r="Y5" s="43" t="n"/>
      <c r="Z5" s="43" t="n"/>
      <c r="AA5" s="43" t="n"/>
      <c r="AB5" s="43" t="n"/>
      <c r="AC5" s="43" t="n"/>
      <c r="AD5" s="43" t="n"/>
      <c r="AE5" s="43" t="n"/>
      <c r="AF5" s="43" t="n"/>
      <c r="AG5" s="43" t="n"/>
      <c r="AH5" s="43" t="n"/>
      <c r="AI5" s="43" t="n"/>
      <c r="AJ5" s="43" t="n"/>
      <c r="AK5" s="43" t="n"/>
      <c r="AL5" s="43" t="n"/>
    </row>
    <row r="6">
      <c r="A6" s="43" t="n">
        <v>1</v>
      </c>
      <c r="B6" s="43" t="inlineStr">
        <is>
          <t>Active</t>
        </is>
      </c>
      <c r="C6" s="43" t="inlineStr">
        <is>
          <t>RTBNSNMR72X36X06-DSP</t>
        </is>
      </c>
      <c r="D6" s="43" t="n"/>
      <c r="E6" s="43" t="inlineStr">
        <is>
          <t>RTBNSNMR72X36X06-DSP</t>
        </is>
      </c>
      <c r="F6" s="43" t="n"/>
      <c r="G6" s="43" t="n"/>
      <c r="H6" s="43" t="n"/>
      <c r="I6" s="43" t="n"/>
      <c r="J6" s="43" t="n"/>
      <c r="K6" s="43" t="n"/>
      <c r="L6" s="43" t="inlineStr">
        <is>
          <t>MRP</t>
        </is>
      </c>
      <c r="M6" s="43" t="n">
        <v>20</v>
      </c>
      <c r="N6" s="43" t="inlineStr">
        <is>
          <t>SFG-RTC-SNMR-QUILT</t>
        </is>
      </c>
      <c r="O6" s="43" t="n"/>
      <c r="P6" s="43" t="n"/>
      <c r="Q6" s="43" t="n">
        <v>0.9399999999999999</v>
      </c>
      <c r="R6" s="43" t="inlineStr">
        <is>
          <t>MTR</t>
        </is>
      </c>
      <c r="S6" s="43" t="n"/>
      <c r="T6" s="43" t="n">
        <v>10</v>
      </c>
      <c r="U6" s="43" t="n"/>
      <c r="V6" s="43" t="inlineStr">
        <is>
          <t>CBESFG</t>
        </is>
      </c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43" t="n"/>
      <c r="AH6" s="43" t="n"/>
      <c r="AI6" s="43" t="n"/>
      <c r="AJ6" s="43" t="n"/>
      <c r="AK6" s="43" t="n"/>
      <c r="AL6" s="43" t="n"/>
    </row>
    <row r="7">
      <c r="A7" s="43" t="n">
        <v>1</v>
      </c>
      <c r="B7" s="43" t="inlineStr">
        <is>
          <t>Active</t>
        </is>
      </c>
      <c r="C7" s="43" t="inlineStr">
        <is>
          <t>RTBNSNMR72X36X06-DSP</t>
        </is>
      </c>
      <c r="D7" s="43" t="n"/>
      <c r="E7" s="43" t="inlineStr">
        <is>
          <t>RTBNSNMR72X36X06-DSP</t>
        </is>
      </c>
      <c r="F7" s="43" t="n"/>
      <c r="G7" s="43" t="n"/>
      <c r="H7" s="43" t="n"/>
      <c r="I7" s="43" t="n"/>
      <c r="J7" s="43" t="n"/>
      <c r="K7" s="43" t="n"/>
      <c r="L7" s="43" t="inlineStr">
        <is>
          <t>MRP</t>
        </is>
      </c>
      <c r="M7" s="43" t="n">
        <v>30</v>
      </c>
      <c r="N7" s="43" t="inlineStr">
        <is>
          <t>SFG-RTC-SNMR-BP</t>
        </is>
      </c>
      <c r="O7" s="43" t="n"/>
      <c r="P7" s="43" t="n"/>
      <c r="Q7" s="43" t="n">
        <v>0.9399999999999999</v>
      </c>
      <c r="R7" s="43" t="inlineStr">
        <is>
          <t>MTR</t>
        </is>
      </c>
      <c r="S7" s="43" t="n"/>
      <c r="T7" s="43" t="n">
        <v>10</v>
      </c>
      <c r="U7" s="43" t="n"/>
      <c r="V7" s="43" t="inlineStr">
        <is>
          <t>CBESFG</t>
        </is>
      </c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43" t="n"/>
      <c r="AH7" s="43" t="n"/>
      <c r="AI7" s="43" t="n"/>
      <c r="AJ7" s="43" t="n"/>
      <c r="AK7" s="43" t="n"/>
      <c r="AL7" s="43" t="n"/>
    </row>
    <row r="8">
      <c r="A8" s="43" t="n">
        <v>1</v>
      </c>
      <c r="B8" s="43" t="inlineStr">
        <is>
          <t>Active</t>
        </is>
      </c>
      <c r="C8" s="43" t="inlineStr">
        <is>
          <t>RTBNSNMR72X36X06-DSP</t>
        </is>
      </c>
      <c r="D8" s="43" t="n"/>
      <c r="E8" s="43" t="inlineStr">
        <is>
          <t>RTBNSNMR72X36X06-DSP</t>
        </is>
      </c>
      <c r="F8" s="43" t="n"/>
      <c r="G8" s="43" t="n"/>
      <c r="H8" s="43" t="n"/>
      <c r="I8" s="43" t="n"/>
      <c r="J8" s="43" t="n"/>
      <c r="K8" s="43" t="n"/>
      <c r="L8" s="43" t="inlineStr">
        <is>
          <t>MRP</t>
        </is>
      </c>
      <c r="M8" s="43" t="n">
        <v>40</v>
      </c>
      <c r="N8" s="43" t="inlineStr">
        <is>
          <t>RML-POLY-GUM</t>
        </is>
      </c>
      <c r="O8" s="43" t="n"/>
      <c r="P8" s="43" t="n"/>
      <c r="Q8" s="43" t="n">
        <v>0.377</v>
      </c>
      <c r="R8" s="43" t="inlineStr">
        <is>
          <t>LTR</t>
        </is>
      </c>
      <c r="S8" s="43" t="n"/>
      <c r="T8" s="43" t="n">
        <v>10</v>
      </c>
      <c r="U8" s="43" t="n"/>
      <c r="V8" s="43" t="inlineStr">
        <is>
          <t>CBEWIP</t>
        </is>
      </c>
      <c r="W8" s="43" t="n"/>
      <c r="X8" s="43" t="n"/>
      <c r="Y8" s="43" t="n"/>
      <c r="Z8" s="43" t="n"/>
      <c r="AA8" s="43" t="n"/>
      <c r="AB8" s="43" t="n"/>
      <c r="AC8" s="43" t="n"/>
      <c r="AD8" s="43" t="n"/>
      <c r="AE8" s="43" t="n"/>
      <c r="AF8" s="43" t="n"/>
      <c r="AG8" s="43" t="n"/>
      <c r="AH8" s="43" t="n"/>
      <c r="AI8" s="43" t="n"/>
      <c r="AJ8" s="43" t="n"/>
      <c r="AK8" s="43" t="n"/>
      <c r="AL8" s="43" t="n"/>
    </row>
    <row r="9">
      <c r="A9" s="43" t="n">
        <v>1</v>
      </c>
      <c r="B9" s="43" t="inlineStr">
        <is>
          <t>Active</t>
        </is>
      </c>
      <c r="C9" s="43" t="inlineStr">
        <is>
          <t>RTBNSNMR72X36X06-DSP</t>
        </is>
      </c>
      <c r="D9" s="43" t="n"/>
      <c r="E9" s="43" t="inlineStr">
        <is>
          <t>RTBNSNMR72X36X06-DSP</t>
        </is>
      </c>
      <c r="F9" s="43" t="n"/>
      <c r="G9" s="43" t="n"/>
      <c r="H9" s="43" t="n"/>
      <c r="I9" s="43" t="n"/>
      <c r="J9" s="43" t="n"/>
      <c r="K9" s="43" t="n"/>
      <c r="L9" s="43" t="inlineStr">
        <is>
          <t>MRP</t>
        </is>
      </c>
      <c r="M9" s="43" t="n">
        <v>50</v>
      </c>
      <c r="N9" s="43" t="inlineStr">
        <is>
          <t>RM-NWN-70GSMX6INCH</t>
        </is>
      </c>
      <c r="O9" s="43" t="n"/>
      <c r="P9" s="43" t="n"/>
      <c r="Q9" s="43" t="n">
        <v>0.119</v>
      </c>
      <c r="R9" s="43" t="inlineStr">
        <is>
          <t>KGS</t>
        </is>
      </c>
      <c r="S9" s="43" t="n"/>
      <c r="T9" s="43" t="n">
        <v>10</v>
      </c>
      <c r="U9" s="43" t="n"/>
      <c r="V9" s="43" t="inlineStr">
        <is>
          <t>CBEWIP</t>
        </is>
      </c>
      <c r="W9" s="43" t="n"/>
      <c r="X9" s="43" t="n"/>
      <c r="Y9" s="43" t="n"/>
      <c r="Z9" s="43" t="n"/>
      <c r="AA9" s="43" t="n"/>
      <c r="AB9" s="43" t="n"/>
      <c r="AC9" s="43" t="n"/>
      <c r="AD9" s="43" t="n"/>
      <c r="AE9" s="43" t="n"/>
      <c r="AF9" s="43" t="n"/>
      <c r="AG9" s="43" t="n"/>
      <c r="AH9" s="43" t="n"/>
      <c r="AI9" s="43" t="n"/>
      <c r="AJ9" s="43" t="n"/>
      <c r="AK9" s="43" t="n"/>
      <c r="AL9" s="43" t="n"/>
    </row>
    <row r="10">
      <c r="A10" s="43" t="n">
        <v>1</v>
      </c>
      <c r="B10" s="43" t="inlineStr">
        <is>
          <t>Active</t>
        </is>
      </c>
      <c r="C10" s="43" t="inlineStr">
        <is>
          <t>RTBNSNMR72X36X06-DSP</t>
        </is>
      </c>
      <c r="D10" s="43" t="n"/>
      <c r="E10" s="43" t="inlineStr">
        <is>
          <t>RTBNSNMR72X36X06-DSP</t>
        </is>
      </c>
      <c r="F10" s="43" t="n"/>
      <c r="G10" s="43" t="n"/>
      <c r="H10" s="43" t="n"/>
      <c r="I10" s="43" t="n"/>
      <c r="J10" s="43" t="n"/>
      <c r="K10" s="43" t="n"/>
      <c r="L10" s="43" t="inlineStr">
        <is>
          <t>MRP</t>
        </is>
      </c>
      <c r="M10" s="43" t="n">
        <v>60</v>
      </c>
      <c r="N10" s="43" t="inlineStr">
        <is>
          <t>RM-THRD-QS-TKT40</t>
        </is>
      </c>
      <c r="O10" s="43" t="n"/>
      <c r="P10" s="43" t="n"/>
      <c r="Q10" s="43" t="n">
        <v>111.252</v>
      </c>
      <c r="R10" s="43" t="inlineStr">
        <is>
          <t>MTR</t>
        </is>
      </c>
      <c r="S10" s="43" t="n"/>
      <c r="T10" s="43" t="n">
        <v>10</v>
      </c>
      <c r="U10" s="43" t="n"/>
      <c r="V10" s="43" t="inlineStr">
        <is>
          <t>CBEWIP</t>
        </is>
      </c>
      <c r="W10" s="43" t="n"/>
      <c r="X10" s="43" t="n"/>
      <c r="Y10" s="43" t="n"/>
      <c r="Z10" s="43" t="n"/>
      <c r="AA10" s="43" t="n"/>
      <c r="AB10" s="43" t="n"/>
      <c r="AC10" s="43" t="n"/>
      <c r="AD10" s="43" t="n"/>
      <c r="AE10" s="43" t="n"/>
      <c r="AF10" s="43" t="n"/>
      <c r="AG10" s="43" t="n"/>
      <c r="AH10" s="43" t="n"/>
      <c r="AI10" s="43" t="n"/>
      <c r="AJ10" s="43" t="n"/>
      <c r="AK10" s="43" t="n"/>
      <c r="AL10" s="43" t="n"/>
    </row>
    <row r="11">
      <c r="A11" s="43" t="n">
        <v>1</v>
      </c>
      <c r="B11" s="43" t="inlineStr">
        <is>
          <t>Active</t>
        </is>
      </c>
      <c r="C11" s="43" t="inlineStr">
        <is>
          <t>RTBNSNMR72X36X06-DSP</t>
        </is>
      </c>
      <c r="D11" s="43" t="n"/>
      <c r="E11" s="43" t="inlineStr">
        <is>
          <t>RTBNSNMR72X36X06-DSP</t>
        </is>
      </c>
      <c r="F11" s="43" t="n"/>
      <c r="G11" s="43" t="n"/>
      <c r="H11" s="43" t="n"/>
      <c r="I11" s="43" t="n"/>
      <c r="J11" s="43" t="n"/>
      <c r="K11" s="43" t="n"/>
      <c r="L11" s="43" t="inlineStr">
        <is>
          <t>MRP</t>
        </is>
      </c>
      <c r="M11" s="43" t="n">
        <v>70</v>
      </c>
      <c r="N11" s="43" t="inlineStr">
        <is>
          <t>RML-EDTAPE-MER-KNIT</t>
        </is>
      </c>
      <c r="O11" s="43" t="n"/>
      <c r="P11" s="43" t="n"/>
      <c r="Q11" s="43" t="n">
        <v>11.379</v>
      </c>
      <c r="R11" s="43" t="inlineStr">
        <is>
          <t>MTR</t>
        </is>
      </c>
      <c r="S11" s="43" t="n"/>
      <c r="T11" s="43" t="n">
        <v>10</v>
      </c>
      <c r="U11" s="43" t="n"/>
      <c r="V11" s="43" t="inlineStr">
        <is>
          <t>CBEWIP</t>
        </is>
      </c>
      <c r="W11" s="43" t="n"/>
      <c r="X11" s="43" t="n"/>
      <c r="Y11" s="43" t="n"/>
      <c r="Z11" s="43" t="n"/>
      <c r="AA11" s="43" t="n"/>
      <c r="AB11" s="43" t="n"/>
      <c r="AC11" s="43" t="n"/>
      <c r="AD11" s="43" t="n"/>
      <c r="AE11" s="43" t="n"/>
      <c r="AF11" s="43" t="n"/>
      <c r="AG11" s="43" t="n"/>
      <c r="AH11" s="43" t="n"/>
      <c r="AI11" s="43" t="n"/>
      <c r="AJ11" s="43" t="n"/>
      <c r="AK11" s="43" t="n"/>
      <c r="AL11" s="43" t="n"/>
    </row>
    <row r="12">
      <c r="A12" s="43" t="n">
        <v>1</v>
      </c>
      <c r="B12" s="43" t="inlineStr">
        <is>
          <t>Active</t>
        </is>
      </c>
      <c r="C12" s="43" t="inlineStr">
        <is>
          <t>RTBNSNMR72X36X06-DSP</t>
        </is>
      </c>
      <c r="D12" s="43" t="n"/>
      <c r="E12" s="43" t="inlineStr">
        <is>
          <t>RTBNSNMR72X36X06-DSP</t>
        </is>
      </c>
      <c r="F12" s="43" t="n"/>
      <c r="G12" s="43" t="n"/>
      <c r="H12" s="43" t="n"/>
      <c r="I12" s="43" t="n"/>
      <c r="J12" s="43" t="n"/>
      <c r="K12" s="43" t="n"/>
      <c r="L12" s="43" t="inlineStr">
        <is>
          <t>MRP</t>
        </is>
      </c>
      <c r="M12" s="43" t="n">
        <v>80</v>
      </c>
      <c r="N12" s="43" t="inlineStr">
        <is>
          <t>RML-THRD-TKT-40MER</t>
        </is>
      </c>
      <c r="O12" s="43" t="n"/>
      <c r="P12" s="43" t="n"/>
      <c r="Q12" s="43" t="n">
        <v>69.982</v>
      </c>
      <c r="R12" s="43" t="inlineStr">
        <is>
          <t>MTR</t>
        </is>
      </c>
      <c r="S12" s="43" t="n"/>
      <c r="T12" s="43" t="n">
        <v>10</v>
      </c>
      <c r="U12" s="43" t="n"/>
      <c r="V12" s="43" t="inlineStr">
        <is>
          <t>CBEWIP</t>
        </is>
      </c>
      <c r="W12" s="43" t="n"/>
      <c r="X12" s="43" t="n"/>
      <c r="Y12" s="43" t="n"/>
      <c r="Z12" s="43" t="n"/>
      <c r="AA12" s="43" t="n"/>
      <c r="AB12" s="43" t="n"/>
      <c r="AC12" s="43" t="n"/>
      <c r="AD12" s="43" t="n"/>
      <c r="AE12" s="43" t="n"/>
      <c r="AF12" s="43" t="n"/>
      <c r="AG12" s="43" t="n"/>
      <c r="AH12" s="43" t="n"/>
      <c r="AI12" s="43" t="n"/>
      <c r="AJ12" s="43" t="n"/>
      <c r="AK12" s="43" t="n"/>
      <c r="AL12" s="43" t="n"/>
    </row>
    <row r="13">
      <c r="A13" s="43" t="n">
        <v>1</v>
      </c>
      <c r="B13" s="43" t="inlineStr">
        <is>
          <t>Active</t>
        </is>
      </c>
      <c r="C13" s="43" t="inlineStr">
        <is>
          <t>RTBNSNMR72X36X06-DSP</t>
        </is>
      </c>
      <c r="D13" s="43" t="n"/>
      <c r="E13" s="43" t="inlineStr">
        <is>
          <t>RTBNSNMR72X36X06-DSP</t>
        </is>
      </c>
      <c r="F13" s="43" t="n"/>
      <c r="G13" s="43" t="n"/>
      <c r="H13" s="43" t="n"/>
      <c r="I13" s="43" t="n"/>
      <c r="J13" s="43" t="n"/>
      <c r="K13" s="43" t="n"/>
      <c r="L13" s="43" t="inlineStr">
        <is>
          <t>MRP</t>
        </is>
      </c>
      <c r="M13" s="43" t="n">
        <v>90</v>
      </c>
      <c r="N13" s="43" t="inlineStr">
        <is>
          <t>RML-CS-RTC-7"</t>
        </is>
      </c>
      <c r="O13" s="43" t="n"/>
      <c r="P13" s="43" t="n"/>
      <c r="Q13" s="43" t="n">
        <v>4</v>
      </c>
      <c r="R13" s="43" t="inlineStr">
        <is>
          <t>NOS</t>
        </is>
      </c>
      <c r="S13" s="43" t="n"/>
      <c r="T13" s="43" t="n">
        <v>10</v>
      </c>
      <c r="U13" s="43" t="n"/>
      <c r="V13" s="43" t="inlineStr">
        <is>
          <t>CBEWIP</t>
        </is>
      </c>
      <c r="W13" s="43" t="n"/>
      <c r="X13" s="43" t="n"/>
      <c r="Y13" s="43" t="n"/>
      <c r="Z13" s="43" t="n"/>
      <c r="AA13" s="43" t="n"/>
      <c r="AB13" s="43" t="n"/>
      <c r="AC13" s="43" t="n"/>
      <c r="AD13" s="43" t="n"/>
      <c r="AE13" s="43" t="n"/>
      <c r="AF13" s="43" t="n"/>
      <c r="AG13" s="43" t="n"/>
      <c r="AH13" s="43" t="n"/>
      <c r="AI13" s="43" t="n"/>
      <c r="AJ13" s="43" t="n"/>
      <c r="AK13" s="43" t="n"/>
      <c r="AL13" s="43" t="n"/>
    </row>
    <row r="14">
      <c r="A14" s="43" t="n">
        <v>1</v>
      </c>
      <c r="B14" s="43" t="inlineStr">
        <is>
          <t>Active</t>
        </is>
      </c>
      <c r="C14" s="43" t="inlineStr">
        <is>
          <t>RTBNSNMR72X36X06-DSP</t>
        </is>
      </c>
      <c r="D14" s="43" t="n"/>
      <c r="E14" s="43" t="inlineStr">
        <is>
          <t>RTBNSNMR72X36X06-DSP</t>
        </is>
      </c>
      <c r="F14" s="43" t="n"/>
      <c r="G14" s="43" t="n"/>
      <c r="H14" s="43" t="n"/>
      <c r="I14" s="43" t="n"/>
      <c r="J14" s="43" t="n"/>
      <c r="K14" s="43" t="n"/>
      <c r="L14" s="43" t="inlineStr">
        <is>
          <t>MRP</t>
        </is>
      </c>
      <c r="M14" s="43" t="n">
        <v>100</v>
      </c>
      <c r="N14" s="43" t="inlineStr">
        <is>
          <t>RM-PEPS-MAT-MRP-LBL</t>
        </is>
      </c>
      <c r="O14" s="43" t="n"/>
      <c r="P14" s="43" t="n"/>
      <c r="Q14" s="43" t="n">
        <v>1</v>
      </c>
      <c r="R14" s="43" t="inlineStr">
        <is>
          <t>NOS</t>
        </is>
      </c>
      <c r="S14" s="43" t="n"/>
      <c r="T14" s="43" t="n">
        <v>10</v>
      </c>
      <c r="U14" s="43" t="n"/>
      <c r="V14" s="43" t="inlineStr">
        <is>
          <t>CBEWIP</t>
        </is>
      </c>
      <c r="W14" s="43" t="n"/>
      <c r="X14" s="43" t="n"/>
      <c r="Y14" s="43" t="n"/>
      <c r="Z14" s="43" t="n"/>
      <c r="AA14" s="43" t="n"/>
      <c r="AB14" s="43" t="n"/>
      <c r="AC14" s="43" t="n"/>
      <c r="AD14" s="43" t="n"/>
      <c r="AE14" s="43" t="n"/>
      <c r="AF14" s="43" t="n"/>
      <c r="AG14" s="43" t="n"/>
      <c r="AH14" s="43" t="n"/>
      <c r="AI14" s="43" t="n"/>
      <c r="AJ14" s="43" t="n"/>
      <c r="AK14" s="43" t="n"/>
      <c r="AL14" s="43" t="n"/>
    </row>
    <row r="15">
      <c r="A15" s="43" t="n">
        <v>1</v>
      </c>
      <c r="B15" s="43" t="inlineStr">
        <is>
          <t>Active</t>
        </is>
      </c>
      <c r="C15" s="43" t="inlineStr">
        <is>
          <t>RTBNSNMR72X36X06-DSP</t>
        </is>
      </c>
      <c r="D15" s="43" t="n"/>
      <c r="E15" s="43" t="inlineStr">
        <is>
          <t>RTBNSNMR72X36X06-DSP</t>
        </is>
      </c>
      <c r="F15" s="43" t="n"/>
      <c r="G15" s="43" t="n"/>
      <c r="H15" s="43" t="n"/>
      <c r="I15" s="43" t="n"/>
      <c r="J15" s="43" t="n"/>
      <c r="K15" s="43" t="n"/>
      <c r="L15" s="43" t="inlineStr">
        <is>
          <t>MRP</t>
        </is>
      </c>
      <c r="M15" s="43" t="n">
        <v>110</v>
      </c>
      <c r="N15" s="43" t="inlineStr">
        <is>
          <t>RML-OK-ROUND-STK</t>
        </is>
      </c>
      <c r="O15" s="43" t="n"/>
      <c r="P15" s="43" t="n"/>
      <c r="Q15" s="43" t="n">
        <v>1</v>
      </c>
      <c r="R15" s="43" t="inlineStr">
        <is>
          <t>NOS</t>
        </is>
      </c>
      <c r="S15" s="43" t="n"/>
      <c r="T15" s="43" t="n">
        <v>10</v>
      </c>
      <c r="U15" s="43" t="n"/>
      <c r="V15" s="43" t="inlineStr">
        <is>
          <t>CBEWIP</t>
        </is>
      </c>
      <c r="W15" s="43" t="n"/>
      <c r="X15" s="43" t="n"/>
      <c r="Y15" s="43" t="n"/>
      <c r="Z15" s="43" t="n"/>
      <c r="AA15" s="43" t="n"/>
      <c r="AB15" s="43" t="n"/>
      <c r="AC15" s="43" t="n"/>
      <c r="AD15" s="43" t="n"/>
      <c r="AE15" s="43" t="n"/>
      <c r="AF15" s="43" t="n"/>
      <c r="AG15" s="43" t="n"/>
      <c r="AH15" s="43" t="n"/>
      <c r="AI15" s="43" t="n"/>
      <c r="AJ15" s="43" t="n"/>
      <c r="AK15" s="43" t="n"/>
      <c r="AL15" s="43" t="n"/>
    </row>
    <row r="16">
      <c r="A16" s="43" t="n">
        <v>1</v>
      </c>
      <c r="B16" s="43" t="inlineStr">
        <is>
          <t>Active</t>
        </is>
      </c>
      <c r="C16" s="43" t="inlineStr">
        <is>
          <t>RTBNSNMR72X36X06-DSP</t>
        </is>
      </c>
      <c r="D16" s="43" t="n"/>
      <c r="E16" s="43" t="inlineStr">
        <is>
          <t>RTBNSNMR72X36X06-DSP</t>
        </is>
      </c>
      <c r="F16" s="43" t="n"/>
      <c r="G16" s="43" t="n"/>
      <c r="H16" s="43" t="n"/>
      <c r="I16" s="43" t="n"/>
      <c r="J16" s="43" t="n"/>
      <c r="K16" s="43" t="n"/>
      <c r="L16" s="43" t="inlineStr">
        <is>
          <t>MRP</t>
        </is>
      </c>
      <c r="M16" s="43" t="n">
        <v>120</v>
      </c>
      <c r="N16" s="43" t="inlineStr">
        <is>
          <t>RML-OK-STICKER</t>
        </is>
      </c>
      <c r="O16" s="43" t="n"/>
      <c r="P16" s="43" t="n"/>
      <c r="Q16" s="43" t="n">
        <v>1</v>
      </c>
      <c r="R16" s="43" t="inlineStr">
        <is>
          <t>NOS</t>
        </is>
      </c>
      <c r="S16" s="43" t="n"/>
      <c r="T16" s="43" t="n">
        <v>10</v>
      </c>
      <c r="U16" s="43" t="n"/>
      <c r="V16" s="43" t="inlineStr">
        <is>
          <t>CBEWIP</t>
        </is>
      </c>
      <c r="W16" s="43" t="n"/>
      <c r="X16" s="43" t="n"/>
      <c r="Y16" s="43" t="n"/>
      <c r="Z16" s="43" t="n"/>
      <c r="AA16" s="43" t="n"/>
      <c r="AB16" s="43" t="n"/>
      <c r="AC16" s="43" t="n"/>
      <c r="AD16" s="43" t="n"/>
      <c r="AE16" s="43" t="n"/>
      <c r="AF16" s="43" t="n"/>
      <c r="AG16" s="43" t="n"/>
      <c r="AH16" s="43" t="n"/>
      <c r="AI16" s="43" t="n"/>
      <c r="AJ16" s="43" t="n"/>
      <c r="AK16" s="43" t="n"/>
      <c r="AL16" s="43" t="n"/>
    </row>
    <row r="17">
      <c r="A17" s="43" t="n">
        <v>1</v>
      </c>
      <c r="B17" s="43" t="inlineStr">
        <is>
          <t>Active</t>
        </is>
      </c>
      <c r="C17" s="43" t="inlineStr">
        <is>
          <t>RTBNSNMR72X36X06-DSP</t>
        </is>
      </c>
      <c r="D17" s="43" t="n"/>
      <c r="E17" s="43" t="inlineStr">
        <is>
          <t>RTBNSNMR72X36X06-DSP</t>
        </is>
      </c>
      <c r="F17" s="43" t="n"/>
      <c r="G17" s="43" t="n"/>
      <c r="H17" s="43" t="n"/>
      <c r="I17" s="43" t="n"/>
      <c r="J17" s="43" t="n"/>
      <c r="K17" s="43" t="n"/>
      <c r="L17" s="43" t="inlineStr">
        <is>
          <t>MRP</t>
        </is>
      </c>
      <c r="M17" s="43" t="n">
        <v>130</v>
      </c>
      <c r="N17" s="43" t="inlineStr">
        <is>
          <t>RMI-PVC-50</t>
        </is>
      </c>
      <c r="O17" s="43" t="n"/>
      <c r="P17" s="43" t="n"/>
      <c r="Q17" s="43" t="n">
        <v>0.33</v>
      </c>
      <c r="R17" s="43" t="inlineStr">
        <is>
          <t>KGS</t>
        </is>
      </c>
      <c r="S17" s="43" t="n"/>
      <c r="T17" s="43" t="n">
        <v>10</v>
      </c>
      <c r="U17" s="43" t="n"/>
      <c r="V17" s="43" t="inlineStr">
        <is>
          <t>CBEWIP</t>
        </is>
      </c>
      <c r="W17" s="43" t="n"/>
      <c r="X17" s="43" t="n"/>
      <c r="Y17" s="43" t="n"/>
      <c r="Z17" s="43" t="n"/>
      <c r="AA17" s="43" t="n"/>
      <c r="AB17" s="43" t="n"/>
      <c r="AC17" s="43" t="n"/>
      <c r="AD17" s="43" t="n"/>
      <c r="AE17" s="43" t="n"/>
      <c r="AF17" s="43" t="n"/>
      <c r="AG17" s="43" t="n"/>
      <c r="AH17" s="43" t="n"/>
      <c r="AI17" s="43" t="n"/>
      <c r="AJ17" s="43" t="n"/>
      <c r="AK17" s="43" t="n"/>
      <c r="AL17" s="43" t="n"/>
    </row>
    <row r="18">
      <c r="A18" s="43" t="n">
        <v>1</v>
      </c>
      <c r="B18" s="43" t="inlineStr">
        <is>
          <t>Active</t>
        </is>
      </c>
      <c r="C18" s="43" t="inlineStr">
        <is>
          <t>RTBNSNMR72X36X06-DSP</t>
        </is>
      </c>
      <c r="D18" s="43" t="n"/>
      <c r="E18" s="43" t="inlineStr">
        <is>
          <t>RTBNSNMR72X36X06-DSP</t>
        </is>
      </c>
      <c r="F18" s="43" t="n"/>
      <c r="G18" s="43" t="n"/>
      <c r="H18" s="43" t="n"/>
      <c r="I18" s="43" t="n"/>
      <c r="J18" s="43" t="n"/>
      <c r="K18" s="43" t="n"/>
      <c r="L18" s="43" t="inlineStr">
        <is>
          <t>MRP</t>
        </is>
      </c>
      <c r="M18" s="43" t="n">
        <v>140</v>
      </c>
      <c r="N18" s="43" t="inlineStr">
        <is>
          <t>17D-PU-FOAM-71.50X35.50X10MM</t>
        </is>
      </c>
      <c r="O18" s="43" t="n"/>
      <c r="P18" s="43" t="n"/>
      <c r="Q18" s="43" t="n">
        <v>1</v>
      </c>
      <c r="R18" s="43" t="inlineStr">
        <is>
          <t>NOS</t>
        </is>
      </c>
      <c r="S18" s="43" t="n"/>
      <c r="T18" s="43" t="n">
        <v>10</v>
      </c>
      <c r="U18" s="43" t="n"/>
      <c r="V18" s="43" t="inlineStr">
        <is>
          <t>CBESFG</t>
        </is>
      </c>
      <c r="W18" s="43" t="n"/>
      <c r="X18" s="43" t="n"/>
      <c r="Y18" s="43" t="n"/>
      <c r="Z18" s="43" t="n"/>
      <c r="AA18" s="43" t="n"/>
      <c r="AB18" s="43" t="n"/>
      <c r="AC18" s="43" t="n"/>
      <c r="AD18" s="43" t="n"/>
      <c r="AE18" s="43" t="n"/>
      <c r="AF18" s="43" t="n"/>
      <c r="AG18" s="43" t="n"/>
      <c r="AH18" s="43" t="n"/>
      <c r="AI18" s="43" t="n"/>
      <c r="AJ18" s="43" t="n"/>
      <c r="AK18" s="43" t="n"/>
      <c r="AL18" s="43" t="n"/>
    </row>
    <row r="19">
      <c r="A19" s="43" t="n">
        <v>2</v>
      </c>
      <c r="B19" s="43" t="inlineStr">
        <is>
          <t>Active</t>
        </is>
      </c>
      <c r="C19" s="43" t="inlineStr">
        <is>
          <t>RTBNSNMR75X36X06-DSP</t>
        </is>
      </c>
      <c r="D19" s="43" t="n"/>
      <c r="E19" s="43" t="inlineStr">
        <is>
          <t>RTBNSNMR75X36X06-DSP</t>
        </is>
      </c>
      <c r="F19" s="43" t="n"/>
      <c r="G19" s="43" t="n"/>
      <c r="H19" s="43" t="n"/>
      <c r="I19" s="43" t="n"/>
      <c r="J19" s="43" t="n"/>
      <c r="K19" s="43" t="n"/>
      <c r="L19" s="43" t="inlineStr">
        <is>
          <t>MRP</t>
        </is>
      </c>
      <c r="M19" s="43" t="n">
        <v>10</v>
      </c>
      <c r="N19" s="43" t="inlineStr">
        <is>
          <t>OEBOXBNSR74.50X35.50X120</t>
        </is>
      </c>
      <c r="O19" s="43" t="n"/>
      <c r="P19" s="43" t="n"/>
      <c r="Q19" s="43" t="n">
        <v>1</v>
      </c>
      <c r="R19" s="43" t="inlineStr">
        <is>
          <t>NOS</t>
        </is>
      </c>
      <c r="S19" s="43" t="n"/>
      <c r="T19" s="43" t="n">
        <v>10</v>
      </c>
      <c r="U19" s="43" t="n"/>
      <c r="V19" s="43" t="inlineStr">
        <is>
          <t>CBESFG</t>
        </is>
      </c>
      <c r="W19" s="43" t="n"/>
      <c r="X19" s="43" t="n"/>
      <c r="Y19" s="43" t="n"/>
      <c r="Z19" s="43" t="n"/>
      <c r="AA19" s="43" t="n"/>
      <c r="AB19" s="43" t="n"/>
      <c r="AC19" s="43" t="n"/>
      <c r="AD19" s="43" t="n"/>
      <c r="AE19" s="43" t="n"/>
      <c r="AF19" s="43" t="n"/>
      <c r="AG19" s="43" t="n"/>
      <c r="AH19" s="43" t="n"/>
      <c r="AI19" s="43" t="n"/>
      <c r="AJ19" s="43" t="n"/>
      <c r="AK19" s="43" t="n"/>
      <c r="AL19" s="43" t="n"/>
    </row>
    <row r="20">
      <c r="A20" s="43" t="n">
        <v>2</v>
      </c>
      <c r="B20" s="43" t="inlineStr">
        <is>
          <t>Active</t>
        </is>
      </c>
      <c r="C20" s="43" t="inlineStr">
        <is>
          <t>RTBNSNMR75X36X06-DSP</t>
        </is>
      </c>
      <c r="D20" s="43" t="n"/>
      <c r="E20" s="43" t="inlineStr">
        <is>
          <t>RTBNSNMR75X36X06-DSP</t>
        </is>
      </c>
      <c r="F20" s="43" t="n"/>
      <c r="G20" s="43" t="n"/>
      <c r="H20" s="43" t="n"/>
      <c r="I20" s="43" t="n"/>
      <c r="J20" s="43" t="n"/>
      <c r="K20" s="43" t="n"/>
      <c r="L20" s="43" t="inlineStr">
        <is>
          <t>MRP</t>
        </is>
      </c>
      <c r="M20" s="43" t="n">
        <v>20</v>
      </c>
      <c r="N20" s="43" t="inlineStr">
        <is>
          <t>SFG-RTC-SNMR-QUILT</t>
        </is>
      </c>
      <c r="O20" s="43" t="n"/>
      <c r="P20" s="43" t="n"/>
      <c r="Q20" s="43" t="n">
        <v>0.9399999999999999</v>
      </c>
      <c r="R20" s="43" t="inlineStr">
        <is>
          <t>MTR</t>
        </is>
      </c>
      <c r="S20" s="43" t="n"/>
      <c r="T20" s="43" t="n">
        <v>10</v>
      </c>
      <c r="U20" s="43" t="n"/>
      <c r="V20" s="43" t="inlineStr">
        <is>
          <t>CBESFG</t>
        </is>
      </c>
      <c r="W20" s="43" t="n"/>
      <c r="X20" s="43" t="n"/>
      <c r="Y20" s="43" t="n"/>
      <c r="Z20" s="43" t="n"/>
      <c r="AA20" s="43" t="n"/>
      <c r="AB20" s="43" t="n"/>
      <c r="AC20" s="43" t="n"/>
      <c r="AD20" s="43" t="n"/>
      <c r="AE20" s="43" t="n"/>
      <c r="AF20" s="43" t="n"/>
      <c r="AG20" s="43" t="n"/>
      <c r="AH20" s="43" t="n"/>
      <c r="AI20" s="43" t="n"/>
      <c r="AJ20" s="43" t="n"/>
      <c r="AK20" s="43" t="n"/>
      <c r="AL20" s="43" t="n"/>
    </row>
    <row r="21">
      <c r="A21" s="43" t="n">
        <v>2</v>
      </c>
      <c r="B21" s="43" t="inlineStr">
        <is>
          <t>Active</t>
        </is>
      </c>
      <c r="C21" s="43" t="inlineStr">
        <is>
          <t>RTBNSNMR75X36X06-DSP</t>
        </is>
      </c>
      <c r="D21" s="43" t="n"/>
      <c r="E21" s="43" t="inlineStr">
        <is>
          <t>RTBNSNMR75X36X06-DSP</t>
        </is>
      </c>
      <c r="F21" s="43" t="n"/>
      <c r="G21" s="43" t="n"/>
      <c r="H21" s="43" t="n"/>
      <c r="I21" s="43" t="n"/>
      <c r="J21" s="43" t="n"/>
      <c r="K21" s="43" t="n"/>
      <c r="L21" s="43" t="inlineStr">
        <is>
          <t>MRP</t>
        </is>
      </c>
      <c r="M21" s="43" t="n">
        <v>30</v>
      </c>
      <c r="N21" s="43" t="inlineStr">
        <is>
          <t>SFG-RTC-SNMR-BP</t>
        </is>
      </c>
      <c r="O21" s="43" t="n"/>
      <c r="P21" s="43" t="n"/>
      <c r="Q21" s="43" t="n">
        <v>0.9399999999999999</v>
      </c>
      <c r="R21" s="43" t="inlineStr">
        <is>
          <t>MTR</t>
        </is>
      </c>
      <c r="S21" s="43" t="n"/>
      <c r="T21" s="43" t="n">
        <v>10</v>
      </c>
      <c r="U21" s="43" t="n"/>
      <c r="V21" s="43" t="inlineStr">
        <is>
          <t>CBESFG</t>
        </is>
      </c>
      <c r="W21" s="43" t="n"/>
      <c r="X21" s="43" t="n"/>
      <c r="Y21" s="43" t="n"/>
      <c r="Z21" s="43" t="n"/>
      <c r="AA21" s="43" t="n"/>
      <c r="AB21" s="43" t="n"/>
      <c r="AC21" s="43" t="n"/>
      <c r="AD21" s="43" t="n"/>
      <c r="AE21" s="43" t="n"/>
      <c r="AF21" s="43" t="n"/>
      <c r="AG21" s="43" t="n"/>
      <c r="AH21" s="43" t="n"/>
      <c r="AI21" s="43" t="n"/>
      <c r="AJ21" s="43" t="n"/>
      <c r="AK21" s="43" t="n"/>
      <c r="AL21" s="43" t="n"/>
    </row>
    <row r="22">
      <c r="A22" s="43" t="n">
        <v>2</v>
      </c>
      <c r="B22" s="43" t="inlineStr">
        <is>
          <t>Active</t>
        </is>
      </c>
      <c r="C22" s="43" t="inlineStr">
        <is>
          <t>RTBNSNMR75X36X06-DSP</t>
        </is>
      </c>
      <c r="D22" s="43" t="n"/>
      <c r="E22" s="43" t="inlineStr">
        <is>
          <t>RTBNSNMR75X36X06-DSP</t>
        </is>
      </c>
      <c r="F22" s="43" t="n"/>
      <c r="G22" s="43" t="n"/>
      <c r="H22" s="43" t="n"/>
      <c r="I22" s="43" t="n"/>
      <c r="J22" s="43" t="n"/>
      <c r="K22" s="43" t="n"/>
      <c r="L22" s="43" t="inlineStr">
        <is>
          <t>MRP</t>
        </is>
      </c>
      <c r="M22" s="43" t="n">
        <v>40</v>
      </c>
      <c r="N22" s="43" t="inlineStr">
        <is>
          <t>RML-POLY-GUM</t>
        </is>
      </c>
      <c r="O22" s="43" t="n"/>
      <c r="P22" s="43" t="n"/>
      <c r="Q22" s="43" t="n">
        <v>0.393</v>
      </c>
      <c r="R22" s="43" t="inlineStr">
        <is>
          <t>LTR</t>
        </is>
      </c>
      <c r="S22" s="43" t="n"/>
      <c r="T22" s="43" t="n">
        <v>10</v>
      </c>
      <c r="U22" s="43" t="n"/>
      <c r="V22" s="43" t="inlineStr">
        <is>
          <t>CBEWIP</t>
        </is>
      </c>
      <c r="W22" s="43" t="n"/>
      <c r="X22" s="43" t="n"/>
      <c r="Y22" s="43" t="n"/>
      <c r="Z22" s="43" t="n"/>
      <c r="AA22" s="43" t="n"/>
      <c r="AB22" s="43" t="n"/>
      <c r="AC22" s="43" t="n"/>
      <c r="AD22" s="43" t="n"/>
      <c r="AE22" s="43" t="n"/>
      <c r="AF22" s="43" t="n"/>
      <c r="AG22" s="43" t="n"/>
      <c r="AH22" s="43" t="n"/>
      <c r="AI22" s="43" t="n"/>
      <c r="AJ22" s="43" t="n"/>
      <c r="AK22" s="43" t="n"/>
      <c r="AL22" s="43" t="n"/>
    </row>
    <row r="23">
      <c r="A23" s="43" t="n">
        <v>2</v>
      </c>
      <c r="B23" s="43" t="inlineStr">
        <is>
          <t>Active</t>
        </is>
      </c>
      <c r="C23" s="43" t="inlineStr">
        <is>
          <t>RTBNSNMR75X36X06-DSP</t>
        </is>
      </c>
      <c r="D23" s="43" t="n"/>
      <c r="E23" s="43" t="inlineStr">
        <is>
          <t>RTBNSNMR75X36X06-DSP</t>
        </is>
      </c>
      <c r="F23" s="43" t="n"/>
      <c r="G23" s="43" t="n"/>
      <c r="H23" s="43" t="n"/>
      <c r="I23" s="43" t="n"/>
      <c r="J23" s="43" t="n"/>
      <c r="K23" s="43" t="n"/>
      <c r="L23" s="43" t="inlineStr">
        <is>
          <t>MRP</t>
        </is>
      </c>
      <c r="M23" s="43" t="n">
        <v>50</v>
      </c>
      <c r="N23" s="43" t="inlineStr">
        <is>
          <t>RM-NWN-70GSMX6INCH</t>
        </is>
      </c>
      <c r="O23" s="43" t="n"/>
      <c r="P23" s="43" t="n"/>
      <c r="Q23" s="43" t="n">
        <v>0.122</v>
      </c>
      <c r="R23" s="43" t="inlineStr">
        <is>
          <t>KGS</t>
        </is>
      </c>
      <c r="S23" s="43" t="n"/>
      <c r="T23" s="43" t="n">
        <v>10</v>
      </c>
      <c r="U23" s="43" t="n"/>
      <c r="V23" s="43" t="inlineStr">
        <is>
          <t>CBEWIP</t>
        </is>
      </c>
      <c r="W23" s="43" t="n"/>
      <c r="X23" s="43" t="n"/>
      <c r="Y23" s="43" t="n"/>
      <c r="Z23" s="43" t="n"/>
      <c r="AA23" s="43" t="n"/>
      <c r="AB23" s="43" t="n"/>
      <c r="AC23" s="43" t="n"/>
      <c r="AD23" s="43" t="n"/>
      <c r="AE23" s="43" t="n"/>
      <c r="AF23" s="43" t="n"/>
      <c r="AG23" s="43" t="n"/>
      <c r="AH23" s="43" t="n"/>
      <c r="AI23" s="43" t="n"/>
      <c r="AJ23" s="43" t="n"/>
      <c r="AK23" s="43" t="n"/>
      <c r="AL23" s="43" t="n"/>
    </row>
    <row r="24">
      <c r="A24" s="43" t="n">
        <v>2</v>
      </c>
      <c r="B24" s="43" t="inlineStr">
        <is>
          <t>Active</t>
        </is>
      </c>
      <c r="C24" s="43" t="inlineStr">
        <is>
          <t>RTBNSNMR75X36X06-DSP</t>
        </is>
      </c>
      <c r="D24" s="43" t="n"/>
      <c r="E24" s="43" t="inlineStr">
        <is>
          <t>RTBNSNMR75X36X06-DSP</t>
        </is>
      </c>
      <c r="F24" s="43" t="n"/>
      <c r="G24" s="43" t="n"/>
      <c r="H24" s="43" t="n"/>
      <c r="I24" s="43" t="n"/>
      <c r="J24" s="43" t="n"/>
      <c r="K24" s="43" t="n"/>
      <c r="L24" s="43" t="inlineStr">
        <is>
          <t>MRP</t>
        </is>
      </c>
      <c r="M24" s="43" t="n">
        <v>60</v>
      </c>
      <c r="N24" s="43" t="inlineStr">
        <is>
          <t>RM-THRD-QS-TKT40</t>
        </is>
      </c>
      <c r="O24" s="43" t="n"/>
      <c r="P24" s="43" t="n"/>
      <c r="Q24" s="43" t="n">
        <v>114.3</v>
      </c>
      <c r="R24" s="43" t="inlineStr">
        <is>
          <t>MTR</t>
        </is>
      </c>
      <c r="S24" s="43" t="n"/>
      <c r="T24" s="43" t="n">
        <v>10</v>
      </c>
      <c r="U24" s="43" t="n"/>
      <c r="V24" s="43" t="inlineStr">
        <is>
          <t>CBEWIP</t>
        </is>
      </c>
      <c r="W24" s="43" t="n"/>
      <c r="X24" s="43" t="n"/>
      <c r="Y24" s="43" t="n"/>
      <c r="Z24" s="43" t="n"/>
      <c r="AA24" s="43" t="n"/>
      <c r="AB24" s="43" t="n"/>
      <c r="AC24" s="43" t="n"/>
      <c r="AD24" s="43" t="n"/>
      <c r="AE24" s="43" t="n"/>
      <c r="AF24" s="43" t="n"/>
      <c r="AG24" s="43" t="n"/>
      <c r="AH24" s="43" t="n"/>
      <c r="AI24" s="43" t="n"/>
      <c r="AJ24" s="43" t="n"/>
      <c r="AK24" s="43" t="n"/>
      <c r="AL24" s="43" t="n"/>
    </row>
    <row r="25">
      <c r="A25" s="43" t="n">
        <v>2</v>
      </c>
      <c r="B25" s="43" t="inlineStr">
        <is>
          <t>Active</t>
        </is>
      </c>
      <c r="C25" s="43" t="inlineStr">
        <is>
          <t>RTBNSNMR75X36X06-DSP</t>
        </is>
      </c>
      <c r="D25" s="43" t="n"/>
      <c r="E25" s="43" t="inlineStr">
        <is>
          <t>RTBNSNMR75X36X06-DSP</t>
        </is>
      </c>
      <c r="F25" s="43" t="n"/>
      <c r="G25" s="43" t="n"/>
      <c r="H25" s="43" t="n"/>
      <c r="I25" s="43" t="n"/>
      <c r="J25" s="43" t="n"/>
      <c r="K25" s="43" t="n"/>
      <c r="L25" s="43" t="inlineStr">
        <is>
          <t>MRP</t>
        </is>
      </c>
      <c r="M25" s="43" t="n">
        <v>70</v>
      </c>
      <c r="N25" s="43" t="inlineStr">
        <is>
          <t>RML-EDTAPE-MER-KNIT</t>
        </is>
      </c>
      <c r="O25" s="43" t="n"/>
      <c r="P25" s="43" t="n"/>
      <c r="Q25" s="43" t="n">
        <v>11.684</v>
      </c>
      <c r="R25" s="43" t="inlineStr">
        <is>
          <t>MTR</t>
        </is>
      </c>
      <c r="S25" s="43" t="n"/>
      <c r="T25" s="43" t="n">
        <v>10</v>
      </c>
      <c r="U25" s="43" t="n"/>
      <c r="V25" s="43" t="inlineStr">
        <is>
          <t>CBEWIP</t>
        </is>
      </c>
      <c r="W25" s="43" t="n"/>
      <c r="X25" s="43" t="n"/>
      <c r="Y25" s="43" t="n"/>
      <c r="Z25" s="43" t="n"/>
      <c r="AA25" s="43" t="n"/>
      <c r="AB25" s="43" t="n"/>
      <c r="AC25" s="43" t="n"/>
      <c r="AD25" s="43" t="n"/>
      <c r="AE25" s="43" t="n"/>
      <c r="AF25" s="43" t="n"/>
      <c r="AG25" s="43" t="n"/>
      <c r="AH25" s="43" t="n"/>
      <c r="AI25" s="43" t="n"/>
      <c r="AJ25" s="43" t="n"/>
      <c r="AK25" s="43" t="n"/>
      <c r="AL25" s="43" t="n"/>
    </row>
    <row r="26">
      <c r="A26" s="43" t="n">
        <v>2</v>
      </c>
      <c r="B26" s="43" t="inlineStr">
        <is>
          <t>Active</t>
        </is>
      </c>
      <c r="C26" s="43" t="inlineStr">
        <is>
          <t>RTBNSNMR75X36X06-DSP</t>
        </is>
      </c>
      <c r="D26" s="43" t="n"/>
      <c r="E26" s="43" t="inlineStr">
        <is>
          <t>RTBNSNMR75X36X06-DSP</t>
        </is>
      </c>
      <c r="F26" s="43" t="n"/>
      <c r="G26" s="43" t="n"/>
      <c r="H26" s="43" t="n"/>
      <c r="I26" s="43" t="n"/>
      <c r="J26" s="43" t="n"/>
      <c r="K26" s="43" t="n"/>
      <c r="L26" s="43" t="inlineStr">
        <is>
          <t>MRP</t>
        </is>
      </c>
      <c r="M26" s="43" t="n">
        <v>80</v>
      </c>
      <c r="N26" s="43" t="inlineStr">
        <is>
          <t>RML-THRD-TKT-40MER</t>
        </is>
      </c>
      <c r="O26" s="43" t="n"/>
      <c r="P26" s="43" t="n"/>
      <c r="Q26" s="43" t="n">
        <v>71.857</v>
      </c>
      <c r="R26" s="43" t="inlineStr">
        <is>
          <t>MTR</t>
        </is>
      </c>
      <c r="S26" s="43" t="n"/>
      <c r="T26" s="43" t="n">
        <v>10</v>
      </c>
      <c r="U26" s="43" t="n"/>
      <c r="V26" s="43" t="inlineStr">
        <is>
          <t>CBEWIP</t>
        </is>
      </c>
      <c r="W26" s="43" t="n"/>
      <c r="X26" s="43" t="n"/>
      <c r="Y26" s="43" t="n"/>
      <c r="Z26" s="43" t="n"/>
      <c r="AA26" s="43" t="n"/>
      <c r="AB26" s="43" t="n"/>
      <c r="AC26" s="43" t="n"/>
      <c r="AD26" s="43" t="n"/>
      <c r="AE26" s="43" t="n"/>
      <c r="AF26" s="43" t="n"/>
      <c r="AG26" s="43" t="n"/>
      <c r="AH26" s="43" t="n"/>
      <c r="AI26" s="43" t="n"/>
      <c r="AJ26" s="43" t="n"/>
      <c r="AK26" s="43" t="n"/>
      <c r="AL26" s="43" t="n"/>
    </row>
    <row r="27">
      <c r="A27" s="43" t="n">
        <v>2</v>
      </c>
      <c r="B27" s="43" t="inlineStr">
        <is>
          <t>Active</t>
        </is>
      </c>
      <c r="C27" s="43" t="inlineStr">
        <is>
          <t>RTBNSNMR75X36X06-DSP</t>
        </is>
      </c>
      <c r="D27" s="43" t="n"/>
      <c r="E27" s="43" t="inlineStr">
        <is>
          <t>RTBNSNMR75X36X06-DSP</t>
        </is>
      </c>
      <c r="F27" s="43" t="n"/>
      <c r="G27" s="43" t="n"/>
      <c r="H27" s="43" t="n"/>
      <c r="I27" s="43" t="n"/>
      <c r="J27" s="43" t="n"/>
      <c r="K27" s="43" t="n"/>
      <c r="L27" s="43" t="inlineStr">
        <is>
          <t>MRP</t>
        </is>
      </c>
      <c r="M27" s="43" t="n">
        <v>90</v>
      </c>
      <c r="N27" s="43" t="inlineStr">
        <is>
          <t>RML-CS-RTC-7"</t>
        </is>
      </c>
      <c r="O27" s="43" t="n"/>
      <c r="P27" s="43" t="n"/>
      <c r="Q27" s="43" t="n">
        <v>4</v>
      </c>
      <c r="R27" s="43" t="inlineStr">
        <is>
          <t>NOS</t>
        </is>
      </c>
      <c r="S27" s="43" t="n"/>
      <c r="T27" s="43" t="n">
        <v>10</v>
      </c>
      <c r="U27" s="43" t="n"/>
      <c r="V27" s="43" t="inlineStr">
        <is>
          <t>CBEWIP</t>
        </is>
      </c>
      <c r="W27" s="43" t="n"/>
      <c r="X27" s="43" t="n"/>
      <c r="Y27" s="43" t="n"/>
      <c r="Z27" s="43" t="n"/>
      <c r="AA27" s="43" t="n"/>
      <c r="AB27" s="43" t="n"/>
      <c r="AC27" s="43" t="n"/>
      <c r="AD27" s="43" t="n"/>
      <c r="AE27" s="43" t="n"/>
      <c r="AF27" s="43" t="n"/>
      <c r="AG27" s="43" t="n"/>
      <c r="AH27" s="43" t="n"/>
      <c r="AI27" s="43" t="n"/>
      <c r="AJ27" s="43" t="n"/>
      <c r="AK27" s="43" t="n"/>
      <c r="AL27" s="43" t="n"/>
    </row>
    <row r="28">
      <c r="A28" s="43" t="n">
        <v>2</v>
      </c>
      <c r="B28" s="43" t="inlineStr">
        <is>
          <t>Active</t>
        </is>
      </c>
      <c r="C28" s="43" t="inlineStr">
        <is>
          <t>RTBNSNMR75X36X06-DSP</t>
        </is>
      </c>
      <c r="D28" s="43" t="n"/>
      <c r="E28" s="43" t="inlineStr">
        <is>
          <t>RTBNSNMR75X36X06-DSP</t>
        </is>
      </c>
      <c r="F28" s="43" t="n"/>
      <c r="G28" s="43" t="n"/>
      <c r="H28" s="43" t="n"/>
      <c r="I28" s="43" t="n"/>
      <c r="J28" s="43" t="n"/>
      <c r="K28" s="43" t="n"/>
      <c r="L28" s="43" t="inlineStr">
        <is>
          <t>MRP</t>
        </is>
      </c>
      <c r="M28" s="43" t="n">
        <v>100</v>
      </c>
      <c r="N28" s="43" t="inlineStr">
        <is>
          <t>RM-PEPS-MAT-MRP-LBL</t>
        </is>
      </c>
      <c r="O28" s="43" t="n"/>
      <c r="P28" s="43" t="n"/>
      <c r="Q28" s="43" t="n">
        <v>1</v>
      </c>
      <c r="R28" s="43" t="inlineStr">
        <is>
          <t>NOS</t>
        </is>
      </c>
      <c r="S28" s="43" t="n"/>
      <c r="T28" s="43" t="n">
        <v>10</v>
      </c>
      <c r="U28" s="43" t="n"/>
      <c r="V28" s="43" t="inlineStr">
        <is>
          <t>CBEWIP</t>
        </is>
      </c>
      <c r="W28" s="43" t="n"/>
      <c r="X28" s="43" t="n"/>
      <c r="Y28" s="43" t="n"/>
      <c r="Z28" s="43" t="n"/>
      <c r="AA28" s="43" t="n"/>
      <c r="AB28" s="43" t="n"/>
      <c r="AC28" s="43" t="n"/>
      <c r="AD28" s="43" t="n"/>
      <c r="AE28" s="43" t="n"/>
      <c r="AF28" s="43" t="n"/>
      <c r="AG28" s="43" t="n"/>
      <c r="AH28" s="43" t="n"/>
      <c r="AI28" s="43" t="n"/>
      <c r="AJ28" s="43" t="n"/>
      <c r="AK28" s="43" t="n"/>
      <c r="AL28" s="43" t="n"/>
    </row>
    <row r="29">
      <c r="A29" s="43" t="n">
        <v>2</v>
      </c>
      <c r="B29" s="43" t="inlineStr">
        <is>
          <t>Active</t>
        </is>
      </c>
      <c r="C29" s="43" t="inlineStr">
        <is>
          <t>RTBNSNMR75X36X06-DSP</t>
        </is>
      </c>
      <c r="D29" s="43" t="n"/>
      <c r="E29" s="43" t="inlineStr">
        <is>
          <t>RTBNSNMR75X36X06-DSP</t>
        </is>
      </c>
      <c r="F29" s="43" t="n"/>
      <c r="G29" s="43" t="n"/>
      <c r="H29" s="43" t="n"/>
      <c r="I29" s="43" t="n"/>
      <c r="J29" s="43" t="n"/>
      <c r="K29" s="43" t="n"/>
      <c r="L29" s="43" t="inlineStr">
        <is>
          <t>MRP</t>
        </is>
      </c>
      <c r="M29" s="43" t="n">
        <v>110</v>
      </c>
      <c r="N29" s="43" t="inlineStr">
        <is>
          <t>RML-OK-ROUND-STK</t>
        </is>
      </c>
      <c r="O29" s="43" t="n"/>
      <c r="P29" s="43" t="n"/>
      <c r="Q29" s="43" t="n">
        <v>1</v>
      </c>
      <c r="R29" s="43" t="inlineStr">
        <is>
          <t>NOS</t>
        </is>
      </c>
      <c r="S29" s="43" t="n"/>
      <c r="T29" s="43" t="n">
        <v>10</v>
      </c>
      <c r="U29" s="43" t="n"/>
      <c r="V29" s="43" t="inlineStr">
        <is>
          <t>CBEWIP</t>
        </is>
      </c>
      <c r="W29" s="43" t="n"/>
      <c r="X29" s="43" t="n"/>
      <c r="Y29" s="43" t="n"/>
      <c r="Z29" s="43" t="n"/>
      <c r="AA29" s="43" t="n"/>
      <c r="AB29" s="43" t="n"/>
      <c r="AC29" s="43" t="n"/>
      <c r="AD29" s="43" t="n"/>
      <c r="AE29" s="43" t="n"/>
      <c r="AF29" s="43" t="n"/>
      <c r="AG29" s="43" t="n"/>
      <c r="AH29" s="43" t="n"/>
      <c r="AI29" s="43" t="n"/>
      <c r="AJ29" s="43" t="n"/>
      <c r="AK29" s="43" t="n"/>
      <c r="AL29" s="43" t="n"/>
    </row>
    <row r="30">
      <c r="A30" s="43" t="n">
        <v>2</v>
      </c>
      <c r="B30" s="43" t="inlineStr">
        <is>
          <t>Active</t>
        </is>
      </c>
      <c r="C30" s="43" t="inlineStr">
        <is>
          <t>RTBNSNMR75X36X06-DSP</t>
        </is>
      </c>
      <c r="D30" s="43" t="n"/>
      <c r="E30" s="43" t="inlineStr">
        <is>
          <t>RTBNSNMR75X36X06-DSP</t>
        </is>
      </c>
      <c r="F30" s="43" t="n"/>
      <c r="G30" s="43" t="n"/>
      <c r="H30" s="43" t="n"/>
      <c r="I30" s="43" t="n"/>
      <c r="J30" s="43" t="n"/>
      <c r="K30" s="43" t="n"/>
      <c r="L30" s="43" t="inlineStr">
        <is>
          <t>MRP</t>
        </is>
      </c>
      <c r="M30" s="43" t="n">
        <v>120</v>
      </c>
      <c r="N30" s="43" t="inlineStr">
        <is>
          <t>RML-OK-STICKER</t>
        </is>
      </c>
      <c r="O30" s="43" t="n"/>
      <c r="P30" s="43" t="n"/>
      <c r="Q30" s="43" t="n">
        <v>1</v>
      </c>
      <c r="R30" s="43" t="inlineStr">
        <is>
          <t>NOS</t>
        </is>
      </c>
      <c r="S30" s="43" t="n"/>
      <c r="T30" s="43" t="n">
        <v>10</v>
      </c>
      <c r="U30" s="43" t="n"/>
      <c r="V30" s="43" t="inlineStr">
        <is>
          <t>CBEWIP</t>
        </is>
      </c>
      <c r="W30" s="43" t="n"/>
      <c r="X30" s="43" t="n"/>
      <c r="Y30" s="43" t="n"/>
      <c r="Z30" s="43" t="n"/>
      <c r="AA30" s="43" t="n"/>
      <c r="AB30" s="43" t="n"/>
      <c r="AC30" s="43" t="n"/>
      <c r="AD30" s="43" t="n"/>
      <c r="AE30" s="43" t="n"/>
      <c r="AF30" s="43" t="n"/>
      <c r="AG30" s="43" t="n"/>
      <c r="AH30" s="43" t="n"/>
      <c r="AI30" s="43" t="n"/>
      <c r="AJ30" s="43" t="n"/>
      <c r="AK30" s="43" t="n"/>
      <c r="AL30" s="43" t="n"/>
    </row>
    <row r="31">
      <c r="A31" s="43" t="n">
        <v>2</v>
      </c>
      <c r="B31" s="43" t="inlineStr">
        <is>
          <t>Active</t>
        </is>
      </c>
      <c r="C31" s="43" t="inlineStr">
        <is>
          <t>RTBNSNMR75X36X06-DSP</t>
        </is>
      </c>
      <c r="D31" s="43" t="n"/>
      <c r="E31" s="43" t="inlineStr">
        <is>
          <t>RTBNSNMR75X36X06-DSP</t>
        </is>
      </c>
      <c r="F31" s="43" t="n"/>
      <c r="G31" s="43" t="n"/>
      <c r="H31" s="43" t="n"/>
      <c r="I31" s="43" t="n"/>
      <c r="J31" s="43" t="n"/>
      <c r="K31" s="43" t="n"/>
      <c r="L31" s="43" t="inlineStr">
        <is>
          <t>MRP</t>
        </is>
      </c>
      <c r="M31" s="43" t="n">
        <v>130</v>
      </c>
      <c r="N31" s="43" t="inlineStr">
        <is>
          <t>RMI-PVC-50</t>
        </is>
      </c>
      <c r="O31" s="43" t="n"/>
      <c r="P31" s="43" t="n"/>
      <c r="Q31" s="43" t="n">
        <v>0.33</v>
      </c>
      <c r="R31" s="43" t="inlineStr">
        <is>
          <t>KGS</t>
        </is>
      </c>
      <c r="S31" s="43" t="n"/>
      <c r="T31" s="43" t="n">
        <v>10</v>
      </c>
      <c r="U31" s="43" t="n"/>
      <c r="V31" s="43" t="inlineStr">
        <is>
          <t>CBEWIP</t>
        </is>
      </c>
      <c r="W31" s="43" t="n"/>
      <c r="X31" s="43" t="n"/>
      <c r="Y31" s="43" t="n"/>
      <c r="Z31" s="43" t="n"/>
      <c r="AA31" s="43" t="n"/>
      <c r="AB31" s="43" t="n"/>
      <c r="AC31" s="43" t="n"/>
      <c r="AD31" s="43" t="n"/>
      <c r="AE31" s="43" t="n"/>
      <c r="AF31" s="43" t="n"/>
      <c r="AG31" s="43" t="n"/>
      <c r="AH31" s="43" t="n"/>
      <c r="AI31" s="43" t="n"/>
      <c r="AJ31" s="43" t="n"/>
      <c r="AK31" s="43" t="n"/>
      <c r="AL31" s="43" t="n"/>
    </row>
    <row r="32">
      <c r="A32" s="43" t="n">
        <v>2</v>
      </c>
      <c r="B32" s="43" t="inlineStr">
        <is>
          <t>Active</t>
        </is>
      </c>
      <c r="C32" s="43" t="inlineStr">
        <is>
          <t>RTBNSNMR75X36X06-DSP</t>
        </is>
      </c>
      <c r="D32" s="43" t="n"/>
      <c r="E32" s="43" t="inlineStr">
        <is>
          <t>RTBNSNMR75X36X06-DSP</t>
        </is>
      </c>
      <c r="F32" s="43" t="n"/>
      <c r="G32" s="43" t="n"/>
      <c r="H32" s="43" t="n"/>
      <c r="I32" s="43" t="n"/>
      <c r="J32" s="43" t="n"/>
      <c r="K32" s="43" t="n"/>
      <c r="L32" s="43" t="inlineStr">
        <is>
          <t>MRP</t>
        </is>
      </c>
      <c r="M32" s="43" t="n">
        <v>140</v>
      </c>
      <c r="N32" s="43" t="inlineStr">
        <is>
          <t>17D-PU-FOAM-74.50X35.50X10MM</t>
        </is>
      </c>
      <c r="O32" s="43" t="n"/>
      <c r="P32" s="43" t="n"/>
      <c r="Q32" s="43" t="n">
        <v>1</v>
      </c>
      <c r="R32" s="43" t="inlineStr">
        <is>
          <t>NOS</t>
        </is>
      </c>
      <c r="S32" s="43" t="n"/>
      <c r="T32" s="43" t="n">
        <v>10</v>
      </c>
      <c r="U32" s="43" t="n"/>
      <c r="V32" s="43" t="inlineStr">
        <is>
          <t>CBESFG</t>
        </is>
      </c>
      <c r="W32" s="43" t="n"/>
      <c r="X32" s="43" t="n"/>
      <c r="Y32" s="43" t="n"/>
      <c r="Z32" s="43" t="n"/>
      <c r="AA32" s="43" t="n"/>
      <c r="AB32" s="43" t="n"/>
      <c r="AC32" s="43" t="n"/>
      <c r="AD32" s="43" t="n"/>
      <c r="AE32" s="43" t="n"/>
      <c r="AF32" s="43" t="n"/>
      <c r="AG32" s="43" t="n"/>
      <c r="AH32" s="43" t="n"/>
      <c r="AI32" s="43" t="n"/>
      <c r="AJ32" s="43" t="n"/>
      <c r="AK32" s="43" t="n"/>
      <c r="AL32" s="43" t="n"/>
    </row>
    <row r="33">
      <c r="A33" s="43" t="n">
        <v>3</v>
      </c>
      <c r="B33" s="43" t="inlineStr">
        <is>
          <t>Active</t>
        </is>
      </c>
      <c r="C33" s="43" t="inlineStr">
        <is>
          <t>RTBNSNMR75X60X06-DSP</t>
        </is>
      </c>
      <c r="D33" s="43" t="n"/>
      <c r="E33" s="43" t="inlineStr">
        <is>
          <t>RTBNSNMR75X60X06-DSP</t>
        </is>
      </c>
      <c r="F33" s="43" t="n"/>
      <c r="G33" s="43" t="n"/>
      <c r="H33" s="43" t="n"/>
      <c r="I33" s="43" t="n"/>
      <c r="J33" s="43" t="n"/>
      <c r="K33" s="43" t="n"/>
      <c r="L33" s="43" t="inlineStr">
        <is>
          <t>MRP</t>
        </is>
      </c>
      <c r="M33" s="43" t="n">
        <v>10</v>
      </c>
      <c r="N33" s="43" t="inlineStr">
        <is>
          <t>OEBOXBNSR74.50X59.50X120</t>
        </is>
      </c>
      <c r="O33" s="43" t="n"/>
      <c r="P33" s="43" t="n"/>
      <c r="Q33" s="43" t="n">
        <v>1</v>
      </c>
      <c r="R33" s="43" t="inlineStr">
        <is>
          <t>NOS</t>
        </is>
      </c>
      <c r="S33" s="43" t="n"/>
      <c r="T33" s="43" t="n">
        <v>10</v>
      </c>
      <c r="U33" s="43" t="n"/>
      <c r="V33" s="43" t="inlineStr">
        <is>
          <t>CBESFG</t>
        </is>
      </c>
      <c r="W33" s="43" t="n"/>
      <c r="X33" s="43" t="n"/>
      <c r="Y33" s="43" t="n"/>
      <c r="Z33" s="43" t="n"/>
      <c r="AA33" s="43" t="n"/>
      <c r="AB33" s="43" t="n"/>
      <c r="AC33" s="43" t="n"/>
      <c r="AD33" s="43" t="n"/>
      <c r="AE33" s="43" t="n"/>
      <c r="AF33" s="43" t="n"/>
      <c r="AG33" s="43" t="n"/>
      <c r="AH33" s="43" t="n"/>
      <c r="AI33" s="43" t="n"/>
      <c r="AJ33" s="43" t="n"/>
      <c r="AK33" s="43" t="n"/>
      <c r="AL33" s="43" t="n"/>
    </row>
    <row r="34">
      <c r="A34" s="43" t="n">
        <v>3</v>
      </c>
      <c r="B34" s="43" t="inlineStr">
        <is>
          <t>Active</t>
        </is>
      </c>
      <c r="C34" s="43" t="inlineStr">
        <is>
          <t>RTBNSNMR75X60X06-DSP</t>
        </is>
      </c>
      <c r="D34" s="43" t="n"/>
      <c r="E34" s="43" t="inlineStr">
        <is>
          <t>RTBNSNMR75X60X06-DSP</t>
        </is>
      </c>
      <c r="F34" s="43" t="n"/>
      <c r="G34" s="43" t="n"/>
      <c r="H34" s="43" t="n"/>
      <c r="I34" s="43" t="n"/>
      <c r="J34" s="43" t="n"/>
      <c r="K34" s="43" t="n"/>
      <c r="L34" s="43" t="inlineStr">
        <is>
          <t>MRP</t>
        </is>
      </c>
      <c r="M34" s="43" t="n">
        <v>20</v>
      </c>
      <c r="N34" s="43" t="inlineStr">
        <is>
          <t>SFG-RTC-SNMR-QUILT</t>
        </is>
      </c>
      <c r="O34" s="43" t="n"/>
      <c r="P34" s="43" t="n"/>
      <c r="Q34" s="43" t="n">
        <v>1.549</v>
      </c>
      <c r="R34" s="43" t="inlineStr">
        <is>
          <t>MTR</t>
        </is>
      </c>
      <c r="S34" s="43" t="n"/>
      <c r="T34" s="43" t="n">
        <v>10</v>
      </c>
      <c r="U34" s="43" t="n"/>
      <c r="V34" s="43" t="inlineStr">
        <is>
          <t>CBESFG</t>
        </is>
      </c>
      <c r="W34" s="43" t="n"/>
      <c r="X34" s="43" t="n"/>
      <c r="Y34" s="43" t="n"/>
      <c r="Z34" s="43" t="n"/>
      <c r="AA34" s="43" t="n"/>
      <c r="AB34" s="43" t="n"/>
      <c r="AC34" s="43" t="n"/>
      <c r="AD34" s="43" t="n"/>
      <c r="AE34" s="43" t="n"/>
      <c r="AF34" s="43" t="n"/>
      <c r="AG34" s="43" t="n"/>
      <c r="AH34" s="43" t="n"/>
      <c r="AI34" s="43" t="n"/>
      <c r="AJ34" s="43" t="n"/>
      <c r="AK34" s="43" t="n"/>
      <c r="AL34" s="43" t="n"/>
    </row>
    <row r="35">
      <c r="A35" s="43" t="n">
        <v>3</v>
      </c>
      <c r="B35" s="43" t="inlineStr">
        <is>
          <t>Active</t>
        </is>
      </c>
      <c r="C35" s="43" t="inlineStr">
        <is>
          <t>RTBNSNMR75X60X06-DSP</t>
        </is>
      </c>
      <c r="D35" s="43" t="n"/>
      <c r="E35" s="43" t="inlineStr">
        <is>
          <t>RTBNSNMR75X60X06-DSP</t>
        </is>
      </c>
      <c r="F35" s="43" t="n"/>
      <c r="G35" s="43" t="n"/>
      <c r="H35" s="43" t="n"/>
      <c r="I35" s="43" t="n"/>
      <c r="J35" s="43" t="n"/>
      <c r="K35" s="43" t="n"/>
      <c r="L35" s="43" t="inlineStr">
        <is>
          <t>MRP</t>
        </is>
      </c>
      <c r="M35" s="43" t="n">
        <v>30</v>
      </c>
      <c r="N35" s="43" t="inlineStr">
        <is>
          <t>SFG-RTC-SNMR-BP</t>
        </is>
      </c>
      <c r="O35" s="43" t="n"/>
      <c r="P35" s="43" t="n"/>
      <c r="Q35" s="43" t="n">
        <v>1.549</v>
      </c>
      <c r="R35" s="43" t="inlineStr">
        <is>
          <t>MTR</t>
        </is>
      </c>
      <c r="S35" s="43" t="n"/>
      <c r="T35" s="43" t="n">
        <v>10</v>
      </c>
      <c r="U35" s="43" t="n"/>
      <c r="V35" s="43" t="inlineStr">
        <is>
          <t>CBESFG</t>
        </is>
      </c>
      <c r="W35" s="43" t="n"/>
      <c r="X35" s="43" t="n"/>
      <c r="Y35" s="43" t="n"/>
      <c r="Z35" s="43" t="n"/>
      <c r="AA35" s="43" t="n"/>
      <c r="AB35" s="43" t="n"/>
      <c r="AC35" s="43" t="n"/>
      <c r="AD35" s="43" t="n"/>
      <c r="AE35" s="43" t="n"/>
      <c r="AF35" s="43" t="n"/>
      <c r="AG35" s="43" t="n"/>
      <c r="AH35" s="43" t="n"/>
      <c r="AI35" s="43" t="n"/>
      <c r="AJ35" s="43" t="n"/>
      <c r="AK35" s="43" t="n"/>
      <c r="AL35" s="43" t="n"/>
    </row>
    <row r="36">
      <c r="A36" s="43" t="n">
        <v>3</v>
      </c>
      <c r="B36" s="43" t="inlineStr">
        <is>
          <t>Active</t>
        </is>
      </c>
      <c r="C36" s="43" t="inlineStr">
        <is>
          <t>RTBNSNMR75X60X06-DSP</t>
        </is>
      </c>
      <c r="D36" s="43" t="n"/>
      <c r="E36" s="43" t="inlineStr">
        <is>
          <t>RTBNSNMR75X60X06-DSP</t>
        </is>
      </c>
      <c r="F36" s="43" t="n"/>
      <c r="G36" s="43" t="n"/>
      <c r="H36" s="43" t="n"/>
      <c r="I36" s="43" t="n"/>
      <c r="J36" s="43" t="n"/>
      <c r="K36" s="43" t="n"/>
      <c r="L36" s="43" t="inlineStr">
        <is>
          <t>MRP</t>
        </is>
      </c>
      <c r="M36" s="43" t="n">
        <v>40</v>
      </c>
      <c r="N36" s="43" t="inlineStr">
        <is>
          <t>RML-POLY-GUM</t>
        </is>
      </c>
      <c r="O36" s="43" t="n"/>
      <c r="P36" s="43" t="n"/>
      <c r="Q36" s="43" t="n">
        <v>0.663</v>
      </c>
      <c r="R36" s="43" t="inlineStr">
        <is>
          <t>LTR</t>
        </is>
      </c>
      <c r="S36" s="43" t="n"/>
      <c r="T36" s="43" t="n">
        <v>10</v>
      </c>
      <c r="U36" s="43" t="n"/>
      <c r="V36" s="43" t="inlineStr">
        <is>
          <t>CBEWIP</t>
        </is>
      </c>
      <c r="W36" s="43" t="n"/>
      <c r="X36" s="43" t="n"/>
      <c r="Y36" s="43" t="n"/>
      <c r="Z36" s="43" t="n"/>
      <c r="AA36" s="43" t="n"/>
      <c r="AB36" s="43" t="n"/>
      <c r="AC36" s="43" t="n"/>
      <c r="AD36" s="43" t="n"/>
      <c r="AE36" s="43" t="n"/>
      <c r="AF36" s="43" t="n"/>
      <c r="AG36" s="43" t="n"/>
      <c r="AH36" s="43" t="n"/>
      <c r="AI36" s="43" t="n"/>
      <c r="AJ36" s="43" t="n"/>
      <c r="AK36" s="43" t="n"/>
      <c r="AL36" s="43" t="n"/>
    </row>
    <row r="37">
      <c r="A37" s="43" t="n">
        <v>3</v>
      </c>
      <c r="B37" s="43" t="inlineStr">
        <is>
          <t>Active</t>
        </is>
      </c>
      <c r="C37" s="43" t="inlineStr">
        <is>
          <t>RTBNSNMR75X60X06-DSP</t>
        </is>
      </c>
      <c r="D37" s="43" t="n"/>
      <c r="E37" s="43" t="inlineStr">
        <is>
          <t>RTBNSNMR75X60X06-DSP</t>
        </is>
      </c>
      <c r="F37" s="43" t="n"/>
      <c r="G37" s="43" t="n"/>
      <c r="H37" s="43" t="n"/>
      <c r="I37" s="43" t="n"/>
      <c r="J37" s="43" t="n"/>
      <c r="K37" s="43" t="n"/>
      <c r="L37" s="43" t="inlineStr">
        <is>
          <t>MRP</t>
        </is>
      </c>
      <c r="M37" s="43" t="n">
        <v>50</v>
      </c>
      <c r="N37" s="43" t="inlineStr">
        <is>
          <t>RM-NWN-70GSMX6INCH</t>
        </is>
      </c>
      <c r="O37" s="43" t="n"/>
      <c r="P37" s="43" t="n"/>
      <c r="Q37" s="43" t="n">
        <v>0.148</v>
      </c>
      <c r="R37" s="43" t="inlineStr">
        <is>
          <t>KGS</t>
        </is>
      </c>
      <c r="S37" s="43" t="n"/>
      <c r="T37" s="43" t="n">
        <v>10</v>
      </c>
      <c r="U37" s="43" t="n"/>
      <c r="V37" s="43" t="inlineStr">
        <is>
          <t>CBEWIP</t>
        </is>
      </c>
      <c r="W37" s="43" t="n"/>
      <c r="X37" s="43" t="n"/>
      <c r="Y37" s="43" t="n"/>
      <c r="Z37" s="43" t="n"/>
      <c r="AA37" s="43" t="n"/>
      <c r="AB37" s="43" t="n"/>
      <c r="AC37" s="43" t="n"/>
      <c r="AD37" s="43" t="n"/>
      <c r="AE37" s="43" t="n"/>
      <c r="AF37" s="43" t="n"/>
      <c r="AG37" s="43" t="n"/>
      <c r="AH37" s="43" t="n"/>
      <c r="AI37" s="43" t="n"/>
      <c r="AJ37" s="43" t="n"/>
      <c r="AK37" s="43" t="n"/>
      <c r="AL37" s="43" t="n"/>
    </row>
    <row r="38">
      <c r="A38" s="43" t="n">
        <v>3</v>
      </c>
      <c r="B38" s="43" t="inlineStr">
        <is>
          <t>Active</t>
        </is>
      </c>
      <c r="C38" s="43" t="inlineStr">
        <is>
          <t>RTBNSNMR75X60X06-DSP</t>
        </is>
      </c>
      <c r="D38" s="43" t="n"/>
      <c r="E38" s="43" t="inlineStr">
        <is>
          <t>RTBNSNMR75X60X06-DSP</t>
        </is>
      </c>
      <c r="F38" s="43" t="n"/>
      <c r="G38" s="43" t="n"/>
      <c r="H38" s="43" t="n"/>
      <c r="I38" s="43" t="n"/>
      <c r="J38" s="43" t="n"/>
      <c r="K38" s="43" t="n"/>
      <c r="L38" s="43" t="inlineStr">
        <is>
          <t>MRP</t>
        </is>
      </c>
      <c r="M38" s="43" t="n">
        <v>60</v>
      </c>
      <c r="N38" s="43" t="inlineStr">
        <is>
          <t>RM-THRD-QS-TKT40</t>
        </is>
      </c>
      <c r="O38" s="43" t="n"/>
      <c r="P38" s="43" t="n"/>
      <c r="Q38" s="43" t="n">
        <v>138.684</v>
      </c>
      <c r="R38" s="43" t="inlineStr">
        <is>
          <t>MTR</t>
        </is>
      </c>
      <c r="S38" s="43" t="n"/>
      <c r="T38" s="43" t="n">
        <v>10</v>
      </c>
      <c r="U38" s="43" t="n"/>
      <c r="V38" s="43" t="inlineStr">
        <is>
          <t>CBEWIP</t>
        </is>
      </c>
      <c r="W38" s="43" t="n"/>
      <c r="X38" s="43" t="n"/>
      <c r="Y38" s="43" t="n"/>
      <c r="Z38" s="43" t="n"/>
      <c r="AA38" s="43" t="n"/>
      <c r="AB38" s="43" t="n"/>
      <c r="AC38" s="43" t="n"/>
      <c r="AD38" s="43" t="n"/>
      <c r="AE38" s="43" t="n"/>
      <c r="AF38" s="43" t="n"/>
      <c r="AG38" s="43" t="n"/>
      <c r="AH38" s="43" t="n"/>
      <c r="AI38" s="43" t="n"/>
      <c r="AJ38" s="43" t="n"/>
      <c r="AK38" s="43" t="n"/>
      <c r="AL38" s="43" t="n"/>
    </row>
    <row r="39">
      <c r="A39" s="43" t="n">
        <v>3</v>
      </c>
      <c r="B39" s="43" t="inlineStr">
        <is>
          <t>Active</t>
        </is>
      </c>
      <c r="C39" s="43" t="inlineStr">
        <is>
          <t>RTBNSNMR75X60X06-DSP</t>
        </is>
      </c>
      <c r="D39" s="43" t="n"/>
      <c r="E39" s="43" t="inlineStr">
        <is>
          <t>RTBNSNMR75X60X06-DSP</t>
        </is>
      </c>
      <c r="F39" s="43" t="n"/>
      <c r="G39" s="43" t="n"/>
      <c r="H39" s="43" t="n"/>
      <c r="I39" s="43" t="n"/>
      <c r="J39" s="43" t="n"/>
      <c r="K39" s="43" t="n"/>
      <c r="L39" s="43" t="inlineStr">
        <is>
          <t>MRP</t>
        </is>
      </c>
      <c r="M39" s="43" t="n">
        <v>70</v>
      </c>
      <c r="N39" s="43" t="inlineStr">
        <is>
          <t>RML-EDTAPE-MER-KNIT</t>
        </is>
      </c>
      <c r="O39" s="43" t="n"/>
      <c r="P39" s="43" t="n"/>
      <c r="Q39" s="43" t="n">
        <v>14.122</v>
      </c>
      <c r="R39" s="43" t="inlineStr">
        <is>
          <t>MTR</t>
        </is>
      </c>
      <c r="S39" s="43" t="n"/>
      <c r="T39" s="43" t="n">
        <v>10</v>
      </c>
      <c r="U39" s="43" t="n"/>
      <c r="V39" s="43" t="inlineStr">
        <is>
          <t>CBEWIP</t>
        </is>
      </c>
      <c r="W39" s="43" t="n"/>
      <c r="X39" s="43" t="n"/>
      <c r="Y39" s="43" t="n"/>
      <c r="Z39" s="43" t="n"/>
      <c r="AA39" s="43" t="n"/>
      <c r="AB39" s="43" t="n"/>
      <c r="AC39" s="43" t="n"/>
      <c r="AD39" s="43" t="n"/>
      <c r="AE39" s="43" t="n"/>
      <c r="AF39" s="43" t="n"/>
      <c r="AG39" s="43" t="n"/>
      <c r="AH39" s="43" t="n"/>
      <c r="AI39" s="43" t="n"/>
      <c r="AJ39" s="43" t="n"/>
      <c r="AK39" s="43" t="n"/>
      <c r="AL39" s="43" t="n"/>
    </row>
    <row r="40">
      <c r="A40" s="43" t="n">
        <v>3</v>
      </c>
      <c r="B40" s="43" t="inlineStr">
        <is>
          <t>Active</t>
        </is>
      </c>
      <c r="C40" s="43" t="inlineStr">
        <is>
          <t>RTBNSNMR75X60X06-DSP</t>
        </is>
      </c>
      <c r="D40" s="43" t="n"/>
      <c r="E40" s="43" t="inlineStr">
        <is>
          <t>RTBNSNMR75X60X06-DSP</t>
        </is>
      </c>
      <c r="F40" s="43" t="n"/>
      <c r="G40" s="43" t="n"/>
      <c r="H40" s="43" t="n"/>
      <c r="I40" s="43" t="n"/>
      <c r="J40" s="43" t="n"/>
      <c r="K40" s="43" t="n"/>
      <c r="L40" s="43" t="inlineStr">
        <is>
          <t>MRP</t>
        </is>
      </c>
      <c r="M40" s="43" t="n">
        <v>80</v>
      </c>
      <c r="N40" s="43" t="inlineStr">
        <is>
          <t>RML-THRD-TKT-40MER</t>
        </is>
      </c>
      <c r="O40" s="43" t="n"/>
      <c r="P40" s="43" t="n"/>
      <c r="Q40" s="43" t="n">
        <v>86.85299999999999</v>
      </c>
      <c r="R40" s="43" t="inlineStr">
        <is>
          <t>MTR</t>
        </is>
      </c>
      <c r="S40" s="43" t="n"/>
      <c r="T40" s="43" t="n">
        <v>10</v>
      </c>
      <c r="U40" s="43" t="n"/>
      <c r="V40" s="43" t="inlineStr">
        <is>
          <t>CBEWIP</t>
        </is>
      </c>
      <c r="W40" s="43" t="n"/>
      <c r="X40" s="43" t="n"/>
      <c r="Y40" s="43" t="n"/>
      <c r="Z40" s="43" t="n"/>
      <c r="AA40" s="43" t="n"/>
      <c r="AB40" s="43" t="n"/>
      <c r="AC40" s="43" t="n"/>
      <c r="AD40" s="43" t="n"/>
      <c r="AE40" s="43" t="n"/>
      <c r="AF40" s="43" t="n"/>
      <c r="AG40" s="43" t="n"/>
      <c r="AH40" s="43" t="n"/>
      <c r="AI40" s="43" t="n"/>
      <c r="AJ40" s="43" t="n"/>
      <c r="AK40" s="43" t="n"/>
      <c r="AL40" s="43" t="n"/>
    </row>
    <row r="41">
      <c r="A41" s="43" t="n">
        <v>3</v>
      </c>
      <c r="B41" s="43" t="inlineStr">
        <is>
          <t>Active</t>
        </is>
      </c>
      <c r="C41" s="43" t="inlineStr">
        <is>
          <t>RTBNSNMR75X60X06-DSP</t>
        </is>
      </c>
      <c r="D41" s="43" t="n"/>
      <c r="E41" s="43" t="inlineStr">
        <is>
          <t>RTBNSNMR75X60X06-DSP</t>
        </is>
      </c>
      <c r="F41" s="43" t="n"/>
      <c r="G41" s="43" t="n"/>
      <c r="H41" s="43" t="n"/>
      <c r="I41" s="43" t="n"/>
      <c r="J41" s="43" t="n"/>
      <c r="K41" s="43" t="n"/>
      <c r="L41" s="43" t="inlineStr">
        <is>
          <t>MRP</t>
        </is>
      </c>
      <c r="M41" s="43" t="n">
        <v>90</v>
      </c>
      <c r="N41" s="43" t="inlineStr">
        <is>
          <t>RML-CS-RTC-7"</t>
        </is>
      </c>
      <c r="O41" s="43" t="n"/>
      <c r="P41" s="43" t="n"/>
      <c r="Q41" s="43" t="n">
        <v>4</v>
      </c>
      <c r="R41" s="43" t="inlineStr">
        <is>
          <t>NOS</t>
        </is>
      </c>
      <c r="S41" s="43" t="n"/>
      <c r="T41" s="43" t="n">
        <v>10</v>
      </c>
      <c r="U41" s="43" t="n"/>
      <c r="V41" s="43" t="inlineStr">
        <is>
          <t>CBEWIP</t>
        </is>
      </c>
      <c r="W41" s="43" t="n"/>
      <c r="X41" s="43" t="n"/>
      <c r="Y41" s="43" t="n"/>
      <c r="Z41" s="43" t="n"/>
      <c r="AA41" s="43" t="n"/>
      <c r="AB41" s="43" t="n"/>
      <c r="AC41" s="43" t="n"/>
      <c r="AD41" s="43" t="n"/>
      <c r="AE41" s="43" t="n"/>
      <c r="AF41" s="43" t="n"/>
      <c r="AG41" s="43" t="n"/>
      <c r="AH41" s="43" t="n"/>
      <c r="AI41" s="43" t="n"/>
      <c r="AJ41" s="43" t="n"/>
      <c r="AK41" s="43" t="n"/>
      <c r="AL41" s="43" t="n"/>
    </row>
    <row r="42">
      <c r="A42" s="43" t="n">
        <v>3</v>
      </c>
      <c r="B42" s="43" t="inlineStr">
        <is>
          <t>Active</t>
        </is>
      </c>
      <c r="C42" s="43" t="inlineStr">
        <is>
          <t>RTBNSNMR75X60X06-DSP</t>
        </is>
      </c>
      <c r="D42" s="43" t="n"/>
      <c r="E42" s="43" t="inlineStr">
        <is>
          <t>RTBNSNMR75X60X06-DSP</t>
        </is>
      </c>
      <c r="F42" s="43" t="n"/>
      <c r="G42" s="43" t="n"/>
      <c r="H42" s="43" t="n"/>
      <c r="I42" s="43" t="n"/>
      <c r="J42" s="43" t="n"/>
      <c r="K42" s="43" t="n"/>
      <c r="L42" s="43" t="inlineStr">
        <is>
          <t>MRP</t>
        </is>
      </c>
      <c r="M42" s="43" t="n">
        <v>100</v>
      </c>
      <c r="N42" s="43" t="inlineStr">
        <is>
          <t>RM-PEPS-MAT-MRP-LBL</t>
        </is>
      </c>
      <c r="O42" s="43" t="n"/>
      <c r="P42" s="43" t="n"/>
      <c r="Q42" s="43" t="n">
        <v>1</v>
      </c>
      <c r="R42" s="43" t="inlineStr">
        <is>
          <t>NOS</t>
        </is>
      </c>
      <c r="S42" s="43" t="n"/>
      <c r="T42" s="43" t="n">
        <v>10</v>
      </c>
      <c r="U42" s="43" t="n"/>
      <c r="V42" s="43" t="inlineStr">
        <is>
          <t>CBEWIP</t>
        </is>
      </c>
      <c r="W42" s="43" t="n"/>
      <c r="X42" s="43" t="n"/>
      <c r="Y42" s="43" t="n"/>
      <c r="Z42" s="43" t="n"/>
      <c r="AA42" s="43" t="n"/>
      <c r="AB42" s="43" t="n"/>
      <c r="AC42" s="43" t="n"/>
      <c r="AD42" s="43" t="n"/>
      <c r="AE42" s="43" t="n"/>
      <c r="AF42" s="43" t="n"/>
      <c r="AG42" s="43" t="n"/>
      <c r="AH42" s="43" t="n"/>
      <c r="AI42" s="43" t="n"/>
      <c r="AJ42" s="43" t="n"/>
      <c r="AK42" s="43" t="n"/>
      <c r="AL42" s="43" t="n"/>
    </row>
    <row r="43">
      <c r="A43" s="43" t="n">
        <v>3</v>
      </c>
      <c r="B43" s="43" t="inlineStr">
        <is>
          <t>Active</t>
        </is>
      </c>
      <c r="C43" s="43" t="inlineStr">
        <is>
          <t>RTBNSNMR75X60X06-DSP</t>
        </is>
      </c>
      <c r="D43" s="43" t="n"/>
      <c r="E43" s="43" t="inlineStr">
        <is>
          <t>RTBNSNMR75X60X06-DSP</t>
        </is>
      </c>
      <c r="F43" s="43" t="n"/>
      <c r="G43" s="43" t="n"/>
      <c r="H43" s="43" t="n"/>
      <c r="I43" s="43" t="n"/>
      <c r="J43" s="43" t="n"/>
      <c r="K43" s="43" t="n"/>
      <c r="L43" s="43" t="inlineStr">
        <is>
          <t>MRP</t>
        </is>
      </c>
      <c r="M43" s="43" t="n">
        <v>110</v>
      </c>
      <c r="N43" s="43" t="inlineStr">
        <is>
          <t>RML-OK-ROUND-STK</t>
        </is>
      </c>
      <c r="O43" s="43" t="n"/>
      <c r="P43" s="43" t="n"/>
      <c r="Q43" s="43" t="n">
        <v>1</v>
      </c>
      <c r="R43" s="43" t="inlineStr">
        <is>
          <t>NOS</t>
        </is>
      </c>
      <c r="S43" s="43" t="n"/>
      <c r="T43" s="43" t="n">
        <v>10</v>
      </c>
      <c r="U43" s="43" t="n"/>
      <c r="V43" s="43" t="inlineStr">
        <is>
          <t>CBEWIP</t>
        </is>
      </c>
      <c r="W43" s="43" t="n"/>
      <c r="X43" s="43" t="n"/>
      <c r="Y43" s="43" t="n"/>
      <c r="Z43" s="43" t="n"/>
      <c r="AA43" s="43" t="n"/>
      <c r="AB43" s="43" t="n"/>
      <c r="AC43" s="43" t="n"/>
      <c r="AD43" s="43" t="n"/>
      <c r="AE43" s="43" t="n"/>
      <c r="AF43" s="43" t="n"/>
      <c r="AG43" s="43" t="n"/>
      <c r="AH43" s="43" t="n"/>
      <c r="AI43" s="43" t="n"/>
      <c r="AJ43" s="43" t="n"/>
      <c r="AK43" s="43" t="n"/>
      <c r="AL43" s="43" t="n"/>
    </row>
    <row r="44">
      <c r="A44" s="43" t="n">
        <v>3</v>
      </c>
      <c r="B44" s="43" t="inlineStr">
        <is>
          <t>Active</t>
        </is>
      </c>
      <c r="C44" s="43" t="inlineStr">
        <is>
          <t>RTBNSNMR75X60X06-DSP</t>
        </is>
      </c>
      <c r="D44" s="43" t="n"/>
      <c r="E44" s="43" t="inlineStr">
        <is>
          <t>RTBNSNMR75X60X06-DSP</t>
        </is>
      </c>
      <c r="F44" s="43" t="n"/>
      <c r="G44" s="43" t="n"/>
      <c r="H44" s="43" t="n"/>
      <c r="I44" s="43" t="n"/>
      <c r="J44" s="43" t="n"/>
      <c r="K44" s="43" t="n"/>
      <c r="L44" s="43" t="inlineStr">
        <is>
          <t>MRP</t>
        </is>
      </c>
      <c r="M44" s="43" t="n">
        <v>120</v>
      </c>
      <c r="N44" s="43" t="inlineStr">
        <is>
          <t>RML-OK-STICKER</t>
        </is>
      </c>
      <c r="O44" s="43" t="n"/>
      <c r="P44" s="43" t="n"/>
      <c r="Q44" s="43" t="n">
        <v>1</v>
      </c>
      <c r="R44" s="43" t="inlineStr">
        <is>
          <t>NOS</t>
        </is>
      </c>
      <c r="S44" s="43" t="n"/>
      <c r="T44" s="43" t="n">
        <v>10</v>
      </c>
      <c r="U44" s="43" t="n"/>
      <c r="V44" s="43" t="inlineStr">
        <is>
          <t>CBEWIP</t>
        </is>
      </c>
      <c r="W44" s="43" t="n"/>
      <c r="X44" s="43" t="n"/>
      <c r="Y44" s="43" t="n"/>
      <c r="Z44" s="43" t="n"/>
      <c r="AA44" s="43" t="n"/>
      <c r="AB44" s="43" t="n"/>
      <c r="AC44" s="43" t="n"/>
      <c r="AD44" s="43" t="n"/>
      <c r="AE44" s="43" t="n"/>
      <c r="AF44" s="43" t="n"/>
      <c r="AG44" s="43" t="n"/>
      <c r="AH44" s="43" t="n"/>
      <c r="AI44" s="43" t="n"/>
      <c r="AJ44" s="43" t="n"/>
      <c r="AK44" s="43" t="n"/>
      <c r="AL44" s="43" t="n"/>
    </row>
    <row r="45">
      <c r="A45" s="43" t="n">
        <v>3</v>
      </c>
      <c r="B45" s="43" t="inlineStr">
        <is>
          <t>Active</t>
        </is>
      </c>
      <c r="C45" s="43" t="inlineStr">
        <is>
          <t>RTBNSNMR75X60X06-DSP</t>
        </is>
      </c>
      <c r="D45" s="43" t="n"/>
      <c r="E45" s="43" t="inlineStr">
        <is>
          <t>RTBNSNMR75X60X06-DSP</t>
        </is>
      </c>
      <c r="F45" s="43" t="n"/>
      <c r="G45" s="43" t="n"/>
      <c r="H45" s="43" t="n"/>
      <c r="I45" s="43" t="n"/>
      <c r="J45" s="43" t="n"/>
      <c r="K45" s="43" t="n"/>
      <c r="L45" s="43" t="inlineStr">
        <is>
          <t>MRP</t>
        </is>
      </c>
      <c r="M45" s="43" t="n">
        <v>130</v>
      </c>
      <c r="N45" s="43" t="inlineStr">
        <is>
          <t>RMI-PVC-50</t>
        </is>
      </c>
      <c r="O45" s="43" t="n"/>
      <c r="P45" s="43" t="n"/>
      <c r="Q45" s="43" t="n">
        <v>0.51</v>
      </c>
      <c r="R45" s="43" t="inlineStr">
        <is>
          <t>KGS</t>
        </is>
      </c>
      <c r="S45" s="43" t="n"/>
      <c r="T45" s="43" t="n">
        <v>10</v>
      </c>
      <c r="U45" s="43" t="n"/>
      <c r="V45" s="43" t="inlineStr">
        <is>
          <t>CBEWIP</t>
        </is>
      </c>
      <c r="W45" s="43" t="n"/>
      <c r="X45" s="43" t="n"/>
      <c r="Y45" s="43" t="n"/>
      <c r="Z45" s="43" t="n"/>
      <c r="AA45" s="43" t="n"/>
      <c r="AB45" s="43" t="n"/>
      <c r="AC45" s="43" t="n"/>
      <c r="AD45" s="43" t="n"/>
      <c r="AE45" s="43" t="n"/>
      <c r="AF45" s="43" t="n"/>
      <c r="AG45" s="43" t="n"/>
      <c r="AH45" s="43" t="n"/>
      <c r="AI45" s="43" t="n"/>
      <c r="AJ45" s="43" t="n"/>
      <c r="AK45" s="43" t="n"/>
      <c r="AL45" s="43" t="n"/>
    </row>
    <row r="46">
      <c r="A46" s="43" t="n">
        <v>3</v>
      </c>
      <c r="B46" s="43" t="inlineStr">
        <is>
          <t>Active</t>
        </is>
      </c>
      <c r="C46" s="43" t="inlineStr">
        <is>
          <t>RTBNSNMR75X60X06-DSP</t>
        </is>
      </c>
      <c r="D46" s="43" t="n"/>
      <c r="E46" s="43" t="inlineStr">
        <is>
          <t>RTBNSNMR75X60X06-DSP</t>
        </is>
      </c>
      <c r="F46" s="43" t="n"/>
      <c r="G46" s="43" t="n"/>
      <c r="H46" s="43" t="n"/>
      <c r="I46" s="43" t="n"/>
      <c r="J46" s="43" t="n"/>
      <c r="K46" s="43" t="n"/>
      <c r="L46" s="43" t="inlineStr">
        <is>
          <t>MRP</t>
        </is>
      </c>
      <c r="M46" s="43" t="n">
        <v>140</v>
      </c>
      <c r="N46" s="43" t="inlineStr">
        <is>
          <t>17D-PU-FOAM-74.50X59.50X10MM</t>
        </is>
      </c>
      <c r="O46" s="43" t="n"/>
      <c r="P46" s="43" t="n"/>
      <c r="Q46" s="43" t="n">
        <v>1</v>
      </c>
      <c r="R46" s="43" t="inlineStr">
        <is>
          <t>NOS</t>
        </is>
      </c>
      <c r="S46" s="43" t="n"/>
      <c r="T46" s="43" t="n">
        <v>10</v>
      </c>
      <c r="U46" s="43" t="n"/>
      <c r="V46" s="43" t="inlineStr">
        <is>
          <t>CBESFG</t>
        </is>
      </c>
      <c r="W46" s="43" t="n"/>
      <c r="X46" s="43" t="n"/>
      <c r="Y46" s="43" t="n"/>
      <c r="Z46" s="43" t="n"/>
      <c r="AA46" s="43" t="n"/>
      <c r="AB46" s="43" t="n"/>
      <c r="AC46" s="43" t="n"/>
      <c r="AD46" s="43" t="n"/>
      <c r="AE46" s="43" t="n"/>
      <c r="AF46" s="43" t="n"/>
      <c r="AG46" s="43" t="n"/>
      <c r="AH46" s="43" t="n"/>
      <c r="AI46" s="43" t="n"/>
      <c r="AJ46" s="43" t="n"/>
      <c r="AK46" s="43" t="n"/>
      <c r="AL46" s="43" t="n"/>
    </row>
    <row r="47">
      <c r="A47" s="43" t="n">
        <v>4</v>
      </c>
      <c r="B47" s="43" t="inlineStr">
        <is>
          <t>Active</t>
        </is>
      </c>
      <c r="C47" s="43" t="inlineStr">
        <is>
          <t>RTBNSNMR75X72X06-DSP</t>
        </is>
      </c>
      <c r="D47" s="43" t="n"/>
      <c r="E47" s="43" t="inlineStr">
        <is>
          <t>RTBNSNMR75X72X06-DSP</t>
        </is>
      </c>
      <c r="F47" s="43" t="n"/>
      <c r="G47" s="43" t="n"/>
      <c r="H47" s="43" t="n"/>
      <c r="I47" s="43" t="n"/>
      <c r="J47" s="43" t="n"/>
      <c r="K47" s="43" t="n"/>
      <c r="L47" s="43" t="inlineStr">
        <is>
          <t>MRP</t>
        </is>
      </c>
      <c r="M47" s="43" t="n">
        <v>10</v>
      </c>
      <c r="N47" s="43" t="inlineStr">
        <is>
          <t>OEBOXBNSR74.50X71.50X120</t>
        </is>
      </c>
      <c r="O47" s="43" t="n"/>
      <c r="P47" s="43" t="n"/>
      <c r="Q47" s="43" t="n">
        <v>1</v>
      </c>
      <c r="R47" s="43" t="inlineStr">
        <is>
          <t>NOS</t>
        </is>
      </c>
      <c r="S47" s="43" t="n"/>
      <c r="T47" s="43" t="n">
        <v>10</v>
      </c>
      <c r="U47" s="43" t="n"/>
      <c r="V47" s="43" t="inlineStr">
        <is>
          <t>CBESFG</t>
        </is>
      </c>
      <c r="W47" s="43" t="n"/>
      <c r="X47" s="43" t="n"/>
      <c r="Y47" s="43" t="n"/>
      <c r="Z47" s="43" t="n"/>
      <c r="AA47" s="43" t="n"/>
      <c r="AB47" s="43" t="n"/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</row>
    <row r="48">
      <c r="A48" s="43" t="n">
        <v>4</v>
      </c>
      <c r="B48" s="43" t="inlineStr">
        <is>
          <t>Active</t>
        </is>
      </c>
      <c r="C48" s="43" t="inlineStr">
        <is>
          <t>RTBNSNMR75X72X06-DSP</t>
        </is>
      </c>
      <c r="D48" s="43" t="n"/>
      <c r="E48" s="43" t="inlineStr">
        <is>
          <t>RTBNSNMR75X72X06-DSP</t>
        </is>
      </c>
      <c r="F48" s="43" t="n"/>
      <c r="G48" s="43" t="n"/>
      <c r="H48" s="43" t="n"/>
      <c r="I48" s="43" t="n"/>
      <c r="J48" s="43" t="n"/>
      <c r="K48" s="43" t="n"/>
      <c r="L48" s="43" t="inlineStr">
        <is>
          <t>MRP</t>
        </is>
      </c>
      <c r="M48" s="43" t="n">
        <v>20</v>
      </c>
      <c r="N48" s="43" t="inlineStr">
        <is>
          <t>SFG-RTC-SNMR-QUILT</t>
        </is>
      </c>
      <c r="O48" s="43" t="n"/>
      <c r="P48" s="43" t="n"/>
      <c r="Q48" s="43" t="n">
        <v>1.854</v>
      </c>
      <c r="R48" s="43" t="inlineStr">
        <is>
          <t>MTR</t>
        </is>
      </c>
      <c r="S48" s="43" t="n"/>
      <c r="T48" s="43" t="n">
        <v>10</v>
      </c>
      <c r="U48" s="43" t="n"/>
      <c r="V48" s="43" t="inlineStr">
        <is>
          <t>CBESFG</t>
        </is>
      </c>
      <c r="W48" s="43" t="n"/>
      <c r="X48" s="43" t="n"/>
      <c r="Y48" s="43" t="n"/>
      <c r="Z48" s="43" t="n"/>
      <c r="AA48" s="43" t="n"/>
      <c r="AB48" s="43" t="n"/>
      <c r="AC48" s="43" t="n"/>
      <c r="AD48" s="43" t="n"/>
      <c r="AE48" s="43" t="n"/>
      <c r="AF48" s="43" t="n"/>
      <c r="AG48" s="43" t="n"/>
      <c r="AH48" s="43" t="n"/>
      <c r="AI48" s="43" t="n"/>
      <c r="AJ48" s="43" t="n"/>
      <c r="AK48" s="43" t="n"/>
      <c r="AL48" s="43" t="n"/>
    </row>
    <row r="49">
      <c r="A49" s="43" t="n">
        <v>4</v>
      </c>
      <c r="B49" s="43" t="inlineStr">
        <is>
          <t>Active</t>
        </is>
      </c>
      <c r="C49" s="43" t="inlineStr">
        <is>
          <t>RTBNSNMR75X72X06-DSP</t>
        </is>
      </c>
      <c r="D49" s="43" t="n"/>
      <c r="E49" s="43" t="inlineStr">
        <is>
          <t>RTBNSNMR75X72X06-DSP</t>
        </is>
      </c>
      <c r="F49" s="43" t="n"/>
      <c r="G49" s="43" t="n"/>
      <c r="H49" s="43" t="n"/>
      <c r="I49" s="43" t="n"/>
      <c r="J49" s="43" t="n"/>
      <c r="K49" s="43" t="n"/>
      <c r="L49" s="43" t="inlineStr">
        <is>
          <t>MRP</t>
        </is>
      </c>
      <c r="M49" s="43" t="n">
        <v>30</v>
      </c>
      <c r="N49" s="43" t="inlineStr">
        <is>
          <t>SFG-RTC-SNMR-BP</t>
        </is>
      </c>
      <c r="O49" s="43" t="n"/>
      <c r="P49" s="43" t="n"/>
      <c r="Q49" s="43" t="n">
        <v>1.854</v>
      </c>
      <c r="R49" s="43" t="inlineStr">
        <is>
          <t>MTR</t>
        </is>
      </c>
      <c r="S49" s="43" t="n"/>
      <c r="T49" s="43" t="n">
        <v>10</v>
      </c>
      <c r="U49" s="43" t="n"/>
      <c r="V49" s="43" t="inlineStr">
        <is>
          <t>CBESFG</t>
        </is>
      </c>
      <c r="W49" s="43" t="n"/>
      <c r="X49" s="43" t="n"/>
      <c r="Y49" s="43" t="n"/>
      <c r="Z49" s="43" t="n"/>
      <c r="AA49" s="43" t="n"/>
      <c r="AB49" s="43" t="n"/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</row>
    <row r="50">
      <c r="A50" s="43" t="n">
        <v>4</v>
      </c>
      <c r="B50" s="43" t="inlineStr">
        <is>
          <t>Active</t>
        </is>
      </c>
      <c r="C50" s="43" t="inlineStr">
        <is>
          <t>RTBNSNMR75X72X06-DSP</t>
        </is>
      </c>
      <c r="D50" s="43" t="n"/>
      <c r="E50" s="43" t="inlineStr">
        <is>
          <t>RTBNSNMR75X72X06-DSP</t>
        </is>
      </c>
      <c r="F50" s="43" t="n"/>
      <c r="G50" s="43" t="n"/>
      <c r="H50" s="43" t="n"/>
      <c r="I50" s="43" t="n"/>
      <c r="J50" s="43" t="n"/>
      <c r="K50" s="43" t="n"/>
      <c r="L50" s="43" t="inlineStr">
        <is>
          <t>MRP</t>
        </is>
      </c>
      <c r="M50" s="43" t="n">
        <v>40</v>
      </c>
      <c r="N50" s="43" t="inlineStr">
        <is>
          <t>RML-POLY-GUM</t>
        </is>
      </c>
      <c r="O50" s="43" t="n"/>
      <c r="P50" s="43" t="n"/>
      <c r="Q50" s="43" t="n">
        <v>0.798</v>
      </c>
      <c r="R50" s="43" t="inlineStr">
        <is>
          <t>LTR</t>
        </is>
      </c>
      <c r="S50" s="43" t="n"/>
      <c r="T50" s="43" t="n">
        <v>10</v>
      </c>
      <c r="U50" s="43" t="n"/>
      <c r="V50" s="43" t="inlineStr">
        <is>
          <t>CBEWIP</t>
        </is>
      </c>
      <c r="W50" s="43" t="n"/>
      <c r="X50" s="43" t="n"/>
      <c r="Y50" s="43" t="n"/>
      <c r="Z50" s="43" t="n"/>
      <c r="AA50" s="43" t="n"/>
      <c r="AB50" s="43" t="n"/>
      <c r="AC50" s="43" t="n"/>
      <c r="AD50" s="43" t="n"/>
      <c r="AE50" s="43" t="n"/>
      <c r="AF50" s="43" t="n"/>
      <c r="AG50" s="43" t="n"/>
      <c r="AH50" s="43" t="n"/>
      <c r="AI50" s="43" t="n"/>
      <c r="AJ50" s="43" t="n"/>
      <c r="AK50" s="43" t="n"/>
      <c r="AL50" s="43" t="n"/>
    </row>
    <row r="51">
      <c r="A51" s="43" t="n">
        <v>4</v>
      </c>
      <c r="B51" s="43" t="inlineStr">
        <is>
          <t>Active</t>
        </is>
      </c>
      <c r="C51" s="43" t="inlineStr">
        <is>
          <t>RTBNSNMR75X72X06-DSP</t>
        </is>
      </c>
      <c r="D51" s="43" t="n"/>
      <c r="E51" s="43" t="inlineStr">
        <is>
          <t>RTBNSNMR75X72X06-DSP</t>
        </is>
      </c>
      <c r="F51" s="43" t="n"/>
      <c r="G51" s="43" t="n"/>
      <c r="H51" s="43" t="n"/>
      <c r="I51" s="43" t="n"/>
      <c r="J51" s="43" t="n"/>
      <c r="K51" s="43" t="n"/>
      <c r="L51" s="43" t="inlineStr">
        <is>
          <t>MRP</t>
        </is>
      </c>
      <c r="M51" s="43" t="n">
        <v>50</v>
      </c>
      <c r="N51" s="43" t="inlineStr">
        <is>
          <t>RM-NWN-70GSMX6INCH</t>
        </is>
      </c>
      <c r="O51" s="43" t="n"/>
      <c r="P51" s="43" t="n"/>
      <c r="Q51" s="43" t="n">
        <v>0.161</v>
      </c>
      <c r="R51" s="43" t="inlineStr">
        <is>
          <t>KGS</t>
        </is>
      </c>
      <c r="S51" s="43" t="n"/>
      <c r="T51" s="43" t="n">
        <v>10</v>
      </c>
      <c r="U51" s="43" t="n"/>
      <c r="V51" s="43" t="inlineStr">
        <is>
          <t>CBEWIP</t>
        </is>
      </c>
      <c r="W51" s="43" t="n"/>
      <c r="X51" s="43" t="n"/>
      <c r="Y51" s="43" t="n"/>
      <c r="Z51" s="43" t="n"/>
      <c r="AA51" s="43" t="n"/>
      <c r="AB51" s="43" t="n"/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</row>
    <row r="52">
      <c r="A52" s="43" t="n">
        <v>4</v>
      </c>
      <c r="B52" s="43" t="inlineStr">
        <is>
          <t>Active</t>
        </is>
      </c>
      <c r="C52" s="43" t="inlineStr">
        <is>
          <t>RTBNSNMR75X72X06-DSP</t>
        </is>
      </c>
      <c r="D52" s="43" t="n"/>
      <c r="E52" s="43" t="inlineStr">
        <is>
          <t>RTBNSNMR75X72X06-DSP</t>
        </is>
      </c>
      <c r="F52" s="43" t="n"/>
      <c r="G52" s="43" t="n"/>
      <c r="H52" s="43" t="n"/>
      <c r="I52" s="43" t="n"/>
      <c r="J52" s="43" t="n"/>
      <c r="K52" s="43" t="n"/>
      <c r="L52" s="43" t="inlineStr">
        <is>
          <t>MRP</t>
        </is>
      </c>
      <c r="M52" s="43" t="n">
        <v>60</v>
      </c>
      <c r="N52" s="43" t="inlineStr">
        <is>
          <t>RM-THRD-QS-TKT40</t>
        </is>
      </c>
      <c r="O52" s="43" t="n"/>
      <c r="P52" s="43" t="n"/>
      <c r="Q52" s="43" t="n">
        <v>150.876</v>
      </c>
      <c r="R52" s="43" t="inlineStr">
        <is>
          <t>MTR</t>
        </is>
      </c>
      <c r="S52" s="43" t="n"/>
      <c r="T52" s="43" t="n">
        <v>10</v>
      </c>
      <c r="U52" s="43" t="n"/>
      <c r="V52" s="43" t="inlineStr">
        <is>
          <t>CBEWIP</t>
        </is>
      </c>
      <c r="W52" s="43" t="n"/>
      <c r="X52" s="43" t="n"/>
      <c r="Y52" s="43" t="n"/>
      <c r="Z52" s="43" t="n"/>
      <c r="AA52" s="43" t="n"/>
      <c r="AB52" s="43" t="n"/>
      <c r="AC52" s="43" t="n"/>
      <c r="AD52" s="43" t="n"/>
      <c r="AE52" s="43" t="n"/>
      <c r="AF52" s="43" t="n"/>
      <c r="AG52" s="43" t="n"/>
      <c r="AH52" s="43" t="n"/>
      <c r="AI52" s="43" t="n"/>
      <c r="AJ52" s="43" t="n"/>
      <c r="AK52" s="43" t="n"/>
      <c r="AL52" s="43" t="n"/>
    </row>
    <row r="53">
      <c r="A53" s="43" t="n">
        <v>4</v>
      </c>
      <c r="B53" s="43" t="inlineStr">
        <is>
          <t>Active</t>
        </is>
      </c>
      <c r="C53" s="43" t="inlineStr">
        <is>
          <t>RTBNSNMR75X72X06-DSP</t>
        </is>
      </c>
      <c r="D53" s="43" t="n"/>
      <c r="E53" s="43" t="inlineStr">
        <is>
          <t>RTBNSNMR75X72X06-DSP</t>
        </is>
      </c>
      <c r="F53" s="43" t="n"/>
      <c r="G53" s="43" t="n"/>
      <c r="H53" s="43" t="n"/>
      <c r="I53" s="43" t="n"/>
      <c r="J53" s="43" t="n"/>
      <c r="K53" s="43" t="n"/>
      <c r="L53" s="43" t="inlineStr">
        <is>
          <t>MRP</t>
        </is>
      </c>
      <c r="M53" s="43" t="n">
        <v>70</v>
      </c>
      <c r="N53" s="43" t="inlineStr">
        <is>
          <t>RML-EDTAPE-MER-KNIT</t>
        </is>
      </c>
      <c r="O53" s="43" t="n"/>
      <c r="P53" s="43" t="n"/>
      <c r="Q53" s="43" t="n">
        <v>15.342</v>
      </c>
      <c r="R53" s="43" t="inlineStr">
        <is>
          <t>MTR</t>
        </is>
      </c>
      <c r="S53" s="43" t="n"/>
      <c r="T53" s="43" t="n">
        <v>10</v>
      </c>
      <c r="U53" s="43" t="n"/>
      <c r="V53" s="43" t="inlineStr">
        <is>
          <t>CBEWIP</t>
        </is>
      </c>
      <c r="W53" s="43" t="n"/>
      <c r="X53" s="43" t="n"/>
      <c r="Y53" s="43" t="n"/>
      <c r="Z53" s="43" t="n"/>
      <c r="AA53" s="43" t="n"/>
      <c r="AB53" s="43" t="n"/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</row>
    <row r="54">
      <c r="A54" s="43" t="n">
        <v>4</v>
      </c>
      <c r="B54" s="43" t="inlineStr">
        <is>
          <t>Active</t>
        </is>
      </c>
      <c r="C54" s="43" t="inlineStr">
        <is>
          <t>RTBNSNMR75X72X06-DSP</t>
        </is>
      </c>
      <c r="D54" s="43" t="n"/>
      <c r="E54" s="43" t="inlineStr">
        <is>
          <t>RTBNSNMR75X72X06-DSP</t>
        </is>
      </c>
      <c r="F54" s="43" t="n"/>
      <c r="G54" s="43" t="n"/>
      <c r="H54" s="43" t="n"/>
      <c r="I54" s="43" t="n"/>
      <c r="J54" s="43" t="n"/>
      <c r="K54" s="43" t="n"/>
      <c r="L54" s="43" t="inlineStr">
        <is>
          <t>MRP</t>
        </is>
      </c>
      <c r="M54" s="43" t="n">
        <v>80</v>
      </c>
      <c r="N54" s="43" t="inlineStr">
        <is>
          <t>RML-THRD-TKT-40MER</t>
        </is>
      </c>
      <c r="O54" s="43" t="n"/>
      <c r="P54" s="43" t="n"/>
      <c r="Q54" s="43" t="n">
        <v>94.351</v>
      </c>
      <c r="R54" s="43" t="inlineStr">
        <is>
          <t>MTR</t>
        </is>
      </c>
      <c r="S54" s="43" t="n"/>
      <c r="T54" s="43" t="n">
        <v>10</v>
      </c>
      <c r="U54" s="43" t="n"/>
      <c r="V54" s="43" t="inlineStr">
        <is>
          <t>CBEWIP</t>
        </is>
      </c>
      <c r="W54" s="43" t="n"/>
      <c r="X54" s="43" t="n"/>
      <c r="Y54" s="43" t="n"/>
      <c r="Z54" s="43" t="n"/>
      <c r="AA54" s="43" t="n"/>
      <c r="AB54" s="43" t="n"/>
      <c r="AC54" s="43" t="n"/>
      <c r="AD54" s="43" t="n"/>
      <c r="AE54" s="43" t="n"/>
      <c r="AF54" s="43" t="n"/>
      <c r="AG54" s="43" t="n"/>
      <c r="AH54" s="43" t="n"/>
      <c r="AI54" s="43" t="n"/>
      <c r="AJ54" s="43" t="n"/>
      <c r="AK54" s="43" t="n"/>
      <c r="AL54" s="43" t="n"/>
    </row>
    <row r="55">
      <c r="A55" s="43" t="n">
        <v>4</v>
      </c>
      <c r="B55" s="43" t="inlineStr">
        <is>
          <t>Active</t>
        </is>
      </c>
      <c r="C55" s="43" t="inlineStr">
        <is>
          <t>RTBNSNMR75X72X06-DSP</t>
        </is>
      </c>
      <c r="D55" s="43" t="n"/>
      <c r="E55" s="43" t="inlineStr">
        <is>
          <t>RTBNSNMR75X72X06-DSP</t>
        </is>
      </c>
      <c r="F55" s="43" t="n"/>
      <c r="G55" s="43" t="n"/>
      <c r="H55" s="43" t="n"/>
      <c r="I55" s="43" t="n"/>
      <c r="J55" s="43" t="n"/>
      <c r="K55" s="43" t="n"/>
      <c r="L55" s="43" t="inlineStr">
        <is>
          <t>MRP</t>
        </is>
      </c>
      <c r="M55" s="43" t="n">
        <v>90</v>
      </c>
      <c r="N55" s="43" t="inlineStr">
        <is>
          <t>RML-CS-RTC-7"</t>
        </is>
      </c>
      <c r="O55" s="43" t="n"/>
      <c r="P55" s="43" t="n"/>
      <c r="Q55" s="43" t="n">
        <v>4</v>
      </c>
      <c r="R55" s="43" t="inlineStr">
        <is>
          <t>NOS</t>
        </is>
      </c>
      <c r="S55" s="43" t="n"/>
      <c r="T55" s="43" t="n">
        <v>10</v>
      </c>
      <c r="U55" s="43" t="n"/>
      <c r="V55" s="43" t="inlineStr">
        <is>
          <t>CBEWIP</t>
        </is>
      </c>
      <c r="W55" s="43" t="n"/>
      <c r="X55" s="43" t="n"/>
      <c r="Y55" s="43" t="n"/>
      <c r="Z55" s="43" t="n"/>
      <c r="AA55" s="43" t="n"/>
      <c r="AB55" s="43" t="n"/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</row>
    <row r="56">
      <c r="A56" s="43" t="n">
        <v>4</v>
      </c>
      <c r="B56" s="43" t="inlineStr">
        <is>
          <t>Active</t>
        </is>
      </c>
      <c r="C56" s="43" t="inlineStr">
        <is>
          <t>RTBNSNMR75X72X06-DSP</t>
        </is>
      </c>
      <c r="D56" s="43" t="n"/>
      <c r="E56" s="43" t="inlineStr">
        <is>
          <t>RTBNSNMR75X72X06-DSP</t>
        </is>
      </c>
      <c r="F56" s="43" t="n"/>
      <c r="G56" s="43" t="n"/>
      <c r="H56" s="43" t="n"/>
      <c r="I56" s="43" t="n"/>
      <c r="J56" s="43" t="n"/>
      <c r="K56" s="43" t="n"/>
      <c r="L56" s="43" t="inlineStr">
        <is>
          <t>MRP</t>
        </is>
      </c>
      <c r="M56" s="43" t="n">
        <v>100</v>
      </c>
      <c r="N56" s="43" t="inlineStr">
        <is>
          <t>RM-PEPS-MAT-MRP-LBL</t>
        </is>
      </c>
      <c r="O56" s="43" t="n"/>
      <c r="P56" s="43" t="n"/>
      <c r="Q56" s="43" t="n">
        <v>1</v>
      </c>
      <c r="R56" s="43" t="inlineStr">
        <is>
          <t>NOS</t>
        </is>
      </c>
      <c r="S56" s="43" t="n"/>
      <c r="T56" s="43" t="n">
        <v>10</v>
      </c>
      <c r="U56" s="43" t="n"/>
      <c r="V56" s="43" t="inlineStr">
        <is>
          <t>CBEWIP</t>
        </is>
      </c>
      <c r="W56" s="43" t="n"/>
      <c r="X56" s="43" t="n"/>
      <c r="Y56" s="43" t="n"/>
      <c r="Z56" s="43" t="n"/>
      <c r="AA56" s="43" t="n"/>
      <c r="AB56" s="43" t="n"/>
      <c r="AC56" s="43" t="n"/>
      <c r="AD56" s="43" t="n"/>
      <c r="AE56" s="43" t="n"/>
      <c r="AF56" s="43" t="n"/>
      <c r="AG56" s="43" t="n"/>
      <c r="AH56" s="43" t="n"/>
      <c r="AI56" s="43" t="n"/>
      <c r="AJ56" s="43" t="n"/>
      <c r="AK56" s="43" t="n"/>
      <c r="AL56" s="43" t="n"/>
    </row>
    <row r="57">
      <c r="A57" s="43" t="n">
        <v>4</v>
      </c>
      <c r="B57" s="43" t="inlineStr">
        <is>
          <t>Active</t>
        </is>
      </c>
      <c r="C57" s="43" t="inlineStr">
        <is>
          <t>RTBNSNMR75X72X06-DSP</t>
        </is>
      </c>
      <c r="D57" s="43" t="n"/>
      <c r="E57" s="43" t="inlineStr">
        <is>
          <t>RTBNSNMR75X72X06-DSP</t>
        </is>
      </c>
      <c r="F57" s="43" t="n"/>
      <c r="G57" s="43" t="n"/>
      <c r="H57" s="43" t="n"/>
      <c r="I57" s="43" t="n"/>
      <c r="J57" s="43" t="n"/>
      <c r="K57" s="43" t="n"/>
      <c r="L57" s="43" t="inlineStr">
        <is>
          <t>MRP</t>
        </is>
      </c>
      <c r="M57" s="43" t="n">
        <v>110</v>
      </c>
      <c r="N57" s="43" t="inlineStr">
        <is>
          <t>RML-OK-ROUND-STK</t>
        </is>
      </c>
      <c r="O57" s="43" t="n"/>
      <c r="P57" s="43" t="n"/>
      <c r="Q57" s="43" t="n">
        <v>1</v>
      </c>
      <c r="R57" s="43" t="inlineStr">
        <is>
          <t>NOS</t>
        </is>
      </c>
      <c r="S57" s="43" t="n"/>
      <c r="T57" s="43" t="n">
        <v>10</v>
      </c>
      <c r="U57" s="43" t="n"/>
      <c r="V57" s="43" t="inlineStr">
        <is>
          <t>CBEWIP</t>
        </is>
      </c>
      <c r="W57" s="43" t="n"/>
      <c r="X57" s="43" t="n"/>
      <c r="Y57" s="43" t="n"/>
      <c r="Z57" s="43" t="n"/>
      <c r="AA57" s="43" t="n"/>
      <c r="AB57" s="43" t="n"/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</row>
    <row r="58">
      <c r="A58" s="43" t="n">
        <v>4</v>
      </c>
      <c r="B58" s="43" t="inlineStr">
        <is>
          <t>Active</t>
        </is>
      </c>
      <c r="C58" s="43" t="inlineStr">
        <is>
          <t>RTBNSNMR75X72X06-DSP</t>
        </is>
      </c>
      <c r="D58" s="43" t="n"/>
      <c r="E58" s="43" t="inlineStr">
        <is>
          <t>RTBNSNMR75X72X06-DSP</t>
        </is>
      </c>
      <c r="F58" s="43" t="n"/>
      <c r="G58" s="43" t="n"/>
      <c r="H58" s="43" t="n"/>
      <c r="I58" s="43" t="n"/>
      <c r="J58" s="43" t="n"/>
      <c r="K58" s="43" t="n"/>
      <c r="L58" s="43" t="inlineStr">
        <is>
          <t>MRP</t>
        </is>
      </c>
      <c r="M58" s="43" t="n">
        <v>120</v>
      </c>
      <c r="N58" s="43" t="inlineStr">
        <is>
          <t>RML-OK-STICKER</t>
        </is>
      </c>
      <c r="O58" s="43" t="n"/>
      <c r="P58" s="43" t="n"/>
      <c r="Q58" s="43" t="n">
        <v>1</v>
      </c>
      <c r="R58" s="43" t="inlineStr">
        <is>
          <t>NOS</t>
        </is>
      </c>
      <c r="S58" s="43" t="n"/>
      <c r="T58" s="43" t="n">
        <v>10</v>
      </c>
      <c r="U58" s="43" t="n"/>
      <c r="V58" s="43" t="inlineStr">
        <is>
          <t>CBEWIP</t>
        </is>
      </c>
      <c r="W58" s="43" t="n"/>
      <c r="X58" s="43" t="n"/>
      <c r="Y58" s="43" t="n"/>
      <c r="Z58" s="43" t="n"/>
      <c r="AA58" s="43" t="n"/>
      <c r="AB58" s="43" t="n"/>
      <c r="AC58" s="43" t="n"/>
      <c r="AD58" s="43" t="n"/>
      <c r="AE58" s="43" t="n"/>
      <c r="AF58" s="43" t="n"/>
      <c r="AG58" s="43" t="n"/>
      <c r="AH58" s="43" t="n"/>
      <c r="AI58" s="43" t="n"/>
      <c r="AJ58" s="43" t="n"/>
      <c r="AK58" s="43" t="n"/>
      <c r="AL58" s="43" t="n"/>
    </row>
    <row r="59">
      <c r="A59" s="43" t="n">
        <v>4</v>
      </c>
      <c r="B59" s="43" t="inlineStr">
        <is>
          <t>Active</t>
        </is>
      </c>
      <c r="C59" s="43" t="inlineStr">
        <is>
          <t>RTBNSNMR75X72X06-DSP</t>
        </is>
      </c>
      <c r="D59" s="43" t="n"/>
      <c r="E59" s="43" t="inlineStr">
        <is>
          <t>RTBNSNMR75X72X06-DSP</t>
        </is>
      </c>
      <c r="F59" s="43" t="n"/>
      <c r="G59" s="43" t="n"/>
      <c r="H59" s="43" t="n"/>
      <c r="I59" s="43" t="n"/>
      <c r="J59" s="43" t="n"/>
      <c r="K59" s="43" t="n"/>
      <c r="L59" s="43" t="inlineStr">
        <is>
          <t>MRP</t>
        </is>
      </c>
      <c r="M59" s="43" t="n">
        <v>130</v>
      </c>
      <c r="N59" s="43" t="inlineStr">
        <is>
          <t>RMI-PVC-50</t>
        </is>
      </c>
      <c r="O59" s="43" t="n"/>
      <c r="P59" s="43" t="n"/>
      <c r="Q59" s="43" t="n">
        <v>0.601</v>
      </c>
      <c r="R59" s="43" t="inlineStr">
        <is>
          <t>KGS</t>
        </is>
      </c>
      <c r="S59" s="43" t="n"/>
      <c r="T59" s="43" t="n">
        <v>10</v>
      </c>
      <c r="U59" s="43" t="n"/>
      <c r="V59" s="43" t="inlineStr">
        <is>
          <t>CBEWIP</t>
        </is>
      </c>
      <c r="W59" s="43" t="n"/>
      <c r="X59" s="43" t="n"/>
      <c r="Y59" s="43" t="n"/>
      <c r="Z59" s="43" t="n"/>
      <c r="AA59" s="43" t="n"/>
      <c r="AB59" s="43" t="n"/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</row>
    <row r="60">
      <c r="A60" s="43" t="n">
        <v>4</v>
      </c>
      <c r="B60" s="43" t="inlineStr">
        <is>
          <t>Active</t>
        </is>
      </c>
      <c r="C60" s="43" t="inlineStr">
        <is>
          <t>RTBNSNMR75X72X06-DSP</t>
        </is>
      </c>
      <c r="D60" s="43" t="n"/>
      <c r="E60" s="43" t="inlineStr">
        <is>
          <t>RTBNSNMR75X72X06-DSP</t>
        </is>
      </c>
      <c r="F60" s="43" t="n"/>
      <c r="G60" s="43" t="n"/>
      <c r="H60" s="43" t="n"/>
      <c r="I60" s="43" t="n"/>
      <c r="J60" s="43" t="n"/>
      <c r="K60" s="43" t="n"/>
      <c r="L60" s="43" t="inlineStr">
        <is>
          <t>MRP</t>
        </is>
      </c>
      <c r="M60" s="43" t="n">
        <v>140</v>
      </c>
      <c r="N60" s="43" t="inlineStr">
        <is>
          <t>17D-PU-FOAM-74.50X71.50X10MM</t>
        </is>
      </c>
      <c r="O60" s="43" t="n"/>
      <c r="P60" s="43" t="n"/>
      <c r="Q60" s="43" t="n">
        <v>1</v>
      </c>
      <c r="R60" s="43" t="inlineStr">
        <is>
          <t>NOS</t>
        </is>
      </c>
      <c r="S60" s="43" t="n"/>
      <c r="T60" s="43" t="n">
        <v>10</v>
      </c>
      <c r="U60" s="43" t="n"/>
      <c r="V60" s="43" t="inlineStr">
        <is>
          <t>CBESFG</t>
        </is>
      </c>
      <c r="W60" s="43" t="n"/>
      <c r="X60" s="43" t="n"/>
      <c r="Y60" s="43" t="n"/>
      <c r="Z60" s="43" t="n"/>
      <c r="AA60" s="43" t="n"/>
      <c r="AB60" s="43" t="n"/>
      <c r="AC60" s="43" t="n"/>
      <c r="AD60" s="43" t="n"/>
      <c r="AE60" s="43" t="n"/>
      <c r="AF60" s="43" t="n"/>
      <c r="AG60" s="43" t="n"/>
      <c r="AH60" s="43" t="n"/>
      <c r="AI60" s="43" t="n"/>
      <c r="AJ60" s="43" t="n"/>
      <c r="AK60" s="43" t="n"/>
      <c r="AL60" s="43" t="n"/>
    </row>
    <row r="61">
      <c r="A61" s="43" t="n">
        <v>5</v>
      </c>
      <c r="B61" s="43" t="inlineStr">
        <is>
          <t>Active</t>
        </is>
      </c>
      <c r="C61" s="43" t="inlineStr">
        <is>
          <t>RTBNSNMR78X60X06-DSP</t>
        </is>
      </c>
      <c r="D61" s="43" t="n"/>
      <c r="E61" s="43" t="inlineStr">
        <is>
          <t>RTBNSNMR78X60X06-DSP</t>
        </is>
      </c>
      <c r="F61" s="43" t="n"/>
      <c r="G61" s="43" t="n"/>
      <c r="H61" s="43" t="n"/>
      <c r="I61" s="43" t="n"/>
      <c r="J61" s="43" t="n"/>
      <c r="K61" s="43" t="n"/>
      <c r="L61" s="43" t="inlineStr">
        <is>
          <t>MRP</t>
        </is>
      </c>
      <c r="M61" s="43" t="n">
        <v>10</v>
      </c>
      <c r="N61" s="43" t="inlineStr">
        <is>
          <t>OEBOXBNSR77.50X59.50X120</t>
        </is>
      </c>
      <c r="O61" s="43" t="n"/>
      <c r="P61" s="43" t="n"/>
      <c r="Q61" s="43" t="n">
        <v>1</v>
      </c>
      <c r="R61" s="43" t="inlineStr">
        <is>
          <t>NOS</t>
        </is>
      </c>
      <c r="S61" s="43" t="n"/>
      <c r="T61" s="43" t="n">
        <v>10</v>
      </c>
      <c r="U61" s="43" t="n"/>
      <c r="V61" s="43" t="inlineStr">
        <is>
          <t>CBESFG</t>
        </is>
      </c>
      <c r="W61" s="43" t="n"/>
      <c r="X61" s="43" t="n"/>
      <c r="Y61" s="43" t="n"/>
      <c r="Z61" s="43" t="n"/>
      <c r="AA61" s="43" t="n"/>
      <c r="AB61" s="43" t="n"/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</row>
    <row r="62">
      <c r="A62" s="43" t="n">
        <v>5</v>
      </c>
      <c r="B62" s="43" t="inlineStr">
        <is>
          <t>Active</t>
        </is>
      </c>
      <c r="C62" s="43" t="inlineStr">
        <is>
          <t>RTBNSNMR78X60X06-DSP</t>
        </is>
      </c>
      <c r="D62" s="43" t="n"/>
      <c r="E62" s="43" t="inlineStr">
        <is>
          <t>RTBNSNMR78X60X06-DSP</t>
        </is>
      </c>
      <c r="F62" s="43" t="n"/>
      <c r="G62" s="43" t="n"/>
      <c r="H62" s="43" t="n"/>
      <c r="I62" s="43" t="n"/>
      <c r="J62" s="43" t="n"/>
      <c r="K62" s="43" t="n"/>
      <c r="L62" s="43" t="inlineStr">
        <is>
          <t>MRP</t>
        </is>
      </c>
      <c r="M62" s="43" t="n">
        <v>20</v>
      </c>
      <c r="N62" s="43" t="inlineStr">
        <is>
          <t>SFG-RTC-SNMR-QUILT</t>
        </is>
      </c>
      <c r="O62" s="43" t="n"/>
      <c r="P62" s="43" t="n"/>
      <c r="Q62" s="43" t="n">
        <v>1.549</v>
      </c>
      <c r="R62" s="43" t="inlineStr">
        <is>
          <t>MTR</t>
        </is>
      </c>
      <c r="S62" s="43" t="n"/>
      <c r="T62" s="43" t="n">
        <v>10</v>
      </c>
      <c r="U62" s="43" t="n"/>
      <c r="V62" s="43" t="inlineStr">
        <is>
          <t>CBESFG</t>
        </is>
      </c>
      <c r="W62" s="43" t="n"/>
      <c r="X62" s="43" t="n"/>
      <c r="Y62" s="43" t="n"/>
      <c r="Z62" s="43" t="n"/>
      <c r="AA62" s="43" t="n"/>
      <c r="AB62" s="43" t="n"/>
      <c r="AC62" s="43" t="n"/>
      <c r="AD62" s="43" t="n"/>
      <c r="AE62" s="43" t="n"/>
      <c r="AF62" s="43" t="n"/>
      <c r="AG62" s="43" t="n"/>
      <c r="AH62" s="43" t="n"/>
      <c r="AI62" s="43" t="n"/>
      <c r="AJ62" s="43" t="n"/>
      <c r="AK62" s="43" t="n"/>
      <c r="AL62" s="43" t="n"/>
    </row>
    <row r="63">
      <c r="A63" s="43" t="n">
        <v>5</v>
      </c>
      <c r="B63" s="43" t="inlineStr">
        <is>
          <t>Active</t>
        </is>
      </c>
      <c r="C63" s="43" t="inlineStr">
        <is>
          <t>RTBNSNMR78X60X06-DSP</t>
        </is>
      </c>
      <c r="D63" s="43" t="n"/>
      <c r="E63" s="43" t="inlineStr">
        <is>
          <t>RTBNSNMR78X60X06-DSP</t>
        </is>
      </c>
      <c r="F63" s="43" t="n"/>
      <c r="G63" s="43" t="n"/>
      <c r="H63" s="43" t="n"/>
      <c r="I63" s="43" t="n"/>
      <c r="J63" s="43" t="n"/>
      <c r="K63" s="43" t="n"/>
      <c r="L63" s="43" t="inlineStr">
        <is>
          <t>MRP</t>
        </is>
      </c>
      <c r="M63" s="43" t="n">
        <v>30</v>
      </c>
      <c r="N63" s="43" t="inlineStr">
        <is>
          <t>SFG-RTC-SNMR-BP</t>
        </is>
      </c>
      <c r="O63" s="43" t="n"/>
      <c r="P63" s="43" t="n"/>
      <c r="Q63" s="43" t="n">
        <v>1.549</v>
      </c>
      <c r="R63" s="43" t="inlineStr">
        <is>
          <t>MTR</t>
        </is>
      </c>
      <c r="S63" s="43" t="n"/>
      <c r="T63" s="43" t="n">
        <v>10</v>
      </c>
      <c r="U63" s="43" t="n"/>
      <c r="V63" s="43" t="inlineStr">
        <is>
          <t>CBESFG</t>
        </is>
      </c>
      <c r="W63" s="43" t="n"/>
      <c r="X63" s="43" t="n"/>
      <c r="Y63" s="43" t="n"/>
      <c r="Z63" s="43" t="n"/>
      <c r="AA63" s="43" t="n"/>
      <c r="AB63" s="43" t="n"/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</row>
    <row r="64">
      <c r="A64" s="43" t="n">
        <v>5</v>
      </c>
      <c r="B64" s="43" t="inlineStr">
        <is>
          <t>Active</t>
        </is>
      </c>
      <c r="C64" s="43" t="inlineStr">
        <is>
          <t>RTBNSNMR78X60X06-DSP</t>
        </is>
      </c>
      <c r="D64" s="43" t="n"/>
      <c r="E64" s="43" t="inlineStr">
        <is>
          <t>RTBNSNMR78X60X06-DSP</t>
        </is>
      </c>
      <c r="F64" s="43" t="n"/>
      <c r="G64" s="43" t="n"/>
      <c r="H64" s="43" t="n"/>
      <c r="I64" s="43" t="n"/>
      <c r="J64" s="43" t="n"/>
      <c r="K64" s="43" t="n"/>
      <c r="L64" s="43" t="inlineStr">
        <is>
          <t>MRP</t>
        </is>
      </c>
      <c r="M64" s="43" t="n">
        <v>40</v>
      </c>
      <c r="N64" s="43" t="inlineStr">
        <is>
          <t>RML-POLY-GUM</t>
        </is>
      </c>
      <c r="O64" s="43" t="n"/>
      <c r="P64" s="43" t="n"/>
      <c r="Q64" s="43" t="n">
        <v>0.6899999999999999</v>
      </c>
      <c r="R64" s="43" t="inlineStr">
        <is>
          <t>LTR</t>
        </is>
      </c>
      <c r="S64" s="43" t="n"/>
      <c r="T64" s="43" t="n">
        <v>10</v>
      </c>
      <c r="U64" s="43" t="n"/>
      <c r="V64" s="43" t="inlineStr">
        <is>
          <t>CBEWIP</t>
        </is>
      </c>
      <c r="W64" s="43" t="n"/>
      <c r="X64" s="43" t="n"/>
      <c r="Y64" s="43" t="n"/>
      <c r="Z64" s="43" t="n"/>
      <c r="AA64" s="43" t="n"/>
      <c r="AB64" s="43" t="n"/>
      <c r="AC64" s="43" t="n"/>
      <c r="AD64" s="43" t="n"/>
      <c r="AE64" s="43" t="n"/>
      <c r="AF64" s="43" t="n"/>
      <c r="AG64" s="43" t="n"/>
      <c r="AH64" s="43" t="n"/>
      <c r="AI64" s="43" t="n"/>
      <c r="AJ64" s="43" t="n"/>
      <c r="AK64" s="43" t="n"/>
      <c r="AL64" s="43" t="n"/>
    </row>
    <row r="65">
      <c r="A65" s="43" t="n">
        <v>5</v>
      </c>
      <c r="B65" s="43" t="inlineStr">
        <is>
          <t>Active</t>
        </is>
      </c>
      <c r="C65" s="43" t="inlineStr">
        <is>
          <t>RTBNSNMR78X60X06-DSP</t>
        </is>
      </c>
      <c r="D65" s="43" t="n"/>
      <c r="E65" s="43" t="inlineStr">
        <is>
          <t>RTBNSNMR78X60X06-DSP</t>
        </is>
      </c>
      <c r="F65" s="43" t="n"/>
      <c r="G65" s="43" t="n"/>
      <c r="H65" s="43" t="n"/>
      <c r="I65" s="43" t="n"/>
      <c r="J65" s="43" t="n"/>
      <c r="K65" s="43" t="n"/>
      <c r="L65" s="43" t="inlineStr">
        <is>
          <t>MRP</t>
        </is>
      </c>
      <c r="M65" s="43" t="n">
        <v>50</v>
      </c>
      <c r="N65" s="43" t="inlineStr">
        <is>
          <t>RM-NWN-70GSMX6INCH</t>
        </is>
      </c>
      <c r="O65" s="43" t="n"/>
      <c r="P65" s="43" t="n"/>
      <c r="Q65" s="43" t="n">
        <v>0.152</v>
      </c>
      <c r="R65" s="43" t="inlineStr">
        <is>
          <t>KGS</t>
        </is>
      </c>
      <c r="S65" s="43" t="n"/>
      <c r="T65" s="43" t="n">
        <v>10</v>
      </c>
      <c r="U65" s="43" t="n"/>
      <c r="V65" s="43" t="inlineStr">
        <is>
          <t>CBEWIP</t>
        </is>
      </c>
      <c r="W65" s="43" t="n"/>
      <c r="X65" s="43" t="n"/>
      <c r="Y65" s="43" t="n"/>
      <c r="Z65" s="43" t="n"/>
      <c r="AA65" s="43" t="n"/>
      <c r="AB65" s="43" t="n"/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</row>
    <row r="66">
      <c r="A66" s="43" t="n">
        <v>5</v>
      </c>
      <c r="B66" s="43" t="inlineStr">
        <is>
          <t>Active</t>
        </is>
      </c>
      <c r="C66" s="43" t="inlineStr">
        <is>
          <t>RTBNSNMR78X60X06-DSP</t>
        </is>
      </c>
      <c r="D66" s="43" t="n"/>
      <c r="E66" s="43" t="inlineStr">
        <is>
          <t>RTBNSNMR78X60X06-DSP</t>
        </is>
      </c>
      <c r="F66" s="43" t="n"/>
      <c r="G66" s="43" t="n"/>
      <c r="H66" s="43" t="n"/>
      <c r="I66" s="43" t="n"/>
      <c r="J66" s="43" t="n"/>
      <c r="K66" s="43" t="n"/>
      <c r="L66" s="43" t="inlineStr">
        <is>
          <t>MRP</t>
        </is>
      </c>
      <c r="M66" s="43" t="n">
        <v>60</v>
      </c>
      <c r="N66" s="43" t="inlineStr">
        <is>
          <t>RM-THRD-QS-TKT40</t>
        </is>
      </c>
      <c r="O66" s="43" t="n"/>
      <c r="P66" s="43" t="n"/>
      <c r="Q66" s="43" t="n">
        <v>141.732</v>
      </c>
      <c r="R66" s="43" t="inlineStr">
        <is>
          <t>MTR</t>
        </is>
      </c>
      <c r="S66" s="43" t="n"/>
      <c r="T66" s="43" t="n">
        <v>10</v>
      </c>
      <c r="U66" s="43" t="n"/>
      <c r="V66" s="43" t="inlineStr">
        <is>
          <t>CBEWIP</t>
        </is>
      </c>
      <c r="W66" s="43" t="n"/>
      <c r="X66" s="43" t="n"/>
      <c r="Y66" s="43" t="n"/>
      <c r="Z66" s="43" t="n"/>
      <c r="AA66" s="43" t="n"/>
      <c r="AB66" s="43" t="n"/>
      <c r="AC66" s="43" t="n"/>
      <c r="AD66" s="43" t="n"/>
      <c r="AE66" s="43" t="n"/>
      <c r="AF66" s="43" t="n"/>
      <c r="AG66" s="43" t="n"/>
      <c r="AH66" s="43" t="n"/>
      <c r="AI66" s="43" t="n"/>
      <c r="AJ66" s="43" t="n"/>
      <c r="AK66" s="43" t="n"/>
      <c r="AL66" s="43" t="n"/>
    </row>
    <row r="67">
      <c r="A67" s="43" t="n">
        <v>5</v>
      </c>
      <c r="B67" s="43" t="inlineStr">
        <is>
          <t>Active</t>
        </is>
      </c>
      <c r="C67" s="43" t="inlineStr">
        <is>
          <t>RTBNSNMR78X60X06-DSP</t>
        </is>
      </c>
      <c r="D67" s="43" t="n"/>
      <c r="E67" s="43" t="inlineStr">
        <is>
          <t>RTBNSNMR78X60X06-DSP</t>
        </is>
      </c>
      <c r="F67" s="43" t="n"/>
      <c r="G67" s="43" t="n"/>
      <c r="H67" s="43" t="n"/>
      <c r="I67" s="43" t="n"/>
      <c r="J67" s="43" t="n"/>
      <c r="K67" s="43" t="n"/>
      <c r="L67" s="43" t="inlineStr">
        <is>
          <t>MRP</t>
        </is>
      </c>
      <c r="M67" s="43" t="n">
        <v>70</v>
      </c>
      <c r="N67" s="43" t="inlineStr">
        <is>
          <t>RML-EDTAPE-MER-KNIT</t>
        </is>
      </c>
      <c r="O67" s="43" t="n"/>
      <c r="P67" s="43" t="n"/>
      <c r="Q67" s="43" t="n">
        <v>14.427</v>
      </c>
      <c r="R67" s="43" t="inlineStr">
        <is>
          <t>MTR</t>
        </is>
      </c>
      <c r="S67" s="43" t="n"/>
      <c r="T67" s="43" t="n">
        <v>10</v>
      </c>
      <c r="U67" s="43" t="n"/>
      <c r="V67" s="43" t="inlineStr">
        <is>
          <t>CBEWIP</t>
        </is>
      </c>
      <c r="W67" s="43" t="n"/>
      <c r="X67" s="43" t="n"/>
      <c r="Y67" s="43" t="n"/>
      <c r="Z67" s="43" t="n"/>
      <c r="AA67" s="43" t="n"/>
      <c r="AB67" s="43" t="n"/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</row>
    <row r="68">
      <c r="A68" s="43" t="n">
        <v>5</v>
      </c>
      <c r="B68" s="43" t="inlineStr">
        <is>
          <t>Active</t>
        </is>
      </c>
      <c r="C68" s="43" t="inlineStr">
        <is>
          <t>RTBNSNMR78X60X06-DSP</t>
        </is>
      </c>
      <c r="D68" s="43" t="n"/>
      <c r="E68" s="43" t="inlineStr">
        <is>
          <t>RTBNSNMR78X60X06-DSP</t>
        </is>
      </c>
      <c r="F68" s="43" t="n"/>
      <c r="G68" s="43" t="n"/>
      <c r="H68" s="43" t="n"/>
      <c r="I68" s="43" t="n"/>
      <c r="J68" s="43" t="n"/>
      <c r="K68" s="43" t="n"/>
      <c r="L68" s="43" t="inlineStr">
        <is>
          <t>MRP</t>
        </is>
      </c>
      <c r="M68" s="43" t="n">
        <v>80</v>
      </c>
      <c r="N68" s="43" t="inlineStr">
        <is>
          <t>RML-THRD-TKT-40MER</t>
        </is>
      </c>
      <c r="O68" s="43" t="n"/>
      <c r="P68" s="43" t="n"/>
      <c r="Q68" s="43" t="n">
        <v>88.727</v>
      </c>
      <c r="R68" s="43" t="inlineStr">
        <is>
          <t>MTR</t>
        </is>
      </c>
      <c r="S68" s="43" t="n"/>
      <c r="T68" s="43" t="n">
        <v>10</v>
      </c>
      <c r="U68" s="43" t="n"/>
      <c r="V68" s="43" t="inlineStr">
        <is>
          <t>CBEWIP</t>
        </is>
      </c>
      <c r="W68" s="43" t="n"/>
      <c r="X68" s="43" t="n"/>
      <c r="Y68" s="43" t="n"/>
      <c r="Z68" s="43" t="n"/>
      <c r="AA68" s="43" t="n"/>
      <c r="AB68" s="43" t="n"/>
      <c r="AC68" s="43" t="n"/>
      <c r="AD68" s="43" t="n"/>
      <c r="AE68" s="43" t="n"/>
      <c r="AF68" s="43" t="n"/>
      <c r="AG68" s="43" t="n"/>
      <c r="AH68" s="43" t="n"/>
      <c r="AI68" s="43" t="n"/>
      <c r="AJ68" s="43" t="n"/>
      <c r="AK68" s="43" t="n"/>
      <c r="AL68" s="43" t="n"/>
    </row>
    <row r="69">
      <c r="A69" s="43" t="n">
        <v>5</v>
      </c>
      <c r="B69" s="43" t="inlineStr">
        <is>
          <t>Active</t>
        </is>
      </c>
      <c r="C69" s="43" t="inlineStr">
        <is>
          <t>RTBNSNMR78X60X06-DSP</t>
        </is>
      </c>
      <c r="D69" s="43" t="n"/>
      <c r="E69" s="43" t="inlineStr">
        <is>
          <t>RTBNSNMR78X60X06-DSP</t>
        </is>
      </c>
      <c r="F69" s="43" t="n"/>
      <c r="G69" s="43" t="n"/>
      <c r="H69" s="43" t="n"/>
      <c r="I69" s="43" t="n"/>
      <c r="J69" s="43" t="n"/>
      <c r="K69" s="43" t="n"/>
      <c r="L69" s="43" t="inlineStr">
        <is>
          <t>MRP</t>
        </is>
      </c>
      <c r="M69" s="43" t="n">
        <v>90</v>
      </c>
      <c r="N69" s="43" t="inlineStr">
        <is>
          <t>RML-CS-RTC-7"</t>
        </is>
      </c>
      <c r="O69" s="43" t="n"/>
      <c r="P69" s="43" t="n"/>
      <c r="Q69" s="43" t="n">
        <v>4</v>
      </c>
      <c r="R69" s="43" t="inlineStr">
        <is>
          <t>NOS</t>
        </is>
      </c>
      <c r="S69" s="43" t="n"/>
      <c r="T69" s="43" t="n">
        <v>10</v>
      </c>
      <c r="U69" s="43" t="n"/>
      <c r="V69" s="43" t="inlineStr">
        <is>
          <t>CBEWIP</t>
        </is>
      </c>
      <c r="W69" s="43" t="n"/>
      <c r="X69" s="43" t="n"/>
      <c r="Y69" s="43" t="n"/>
      <c r="Z69" s="43" t="n"/>
      <c r="AA69" s="43" t="n"/>
      <c r="AB69" s="43" t="n"/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</row>
    <row r="70">
      <c r="A70" s="43" t="n">
        <v>5</v>
      </c>
      <c r="B70" s="43" t="inlineStr">
        <is>
          <t>Active</t>
        </is>
      </c>
      <c r="C70" s="43" t="inlineStr">
        <is>
          <t>RTBNSNMR78X60X06-DSP</t>
        </is>
      </c>
      <c r="D70" s="43" t="n"/>
      <c r="E70" s="43" t="inlineStr">
        <is>
          <t>RTBNSNMR78X60X06-DSP</t>
        </is>
      </c>
      <c r="F70" s="43" t="n"/>
      <c r="G70" s="43" t="n"/>
      <c r="H70" s="43" t="n"/>
      <c r="I70" s="43" t="n"/>
      <c r="J70" s="43" t="n"/>
      <c r="K70" s="43" t="n"/>
      <c r="L70" s="43" t="inlineStr">
        <is>
          <t>MRP</t>
        </is>
      </c>
      <c r="M70" s="43" t="n">
        <v>100</v>
      </c>
      <c r="N70" s="43" t="inlineStr">
        <is>
          <t>RM-PEPS-MAT-MRP-LBL</t>
        </is>
      </c>
      <c r="O70" s="43" t="n"/>
      <c r="P70" s="43" t="n"/>
      <c r="Q70" s="43" t="n">
        <v>1</v>
      </c>
      <c r="R70" s="43" t="inlineStr">
        <is>
          <t>NOS</t>
        </is>
      </c>
      <c r="S70" s="43" t="n"/>
      <c r="T70" s="43" t="n">
        <v>10</v>
      </c>
      <c r="U70" s="43" t="n"/>
      <c r="V70" s="43" t="inlineStr">
        <is>
          <t>CBEWIP</t>
        </is>
      </c>
      <c r="W70" s="43" t="n"/>
      <c r="X70" s="43" t="n"/>
      <c r="Y70" s="43" t="n"/>
      <c r="Z70" s="43" t="n"/>
      <c r="AA70" s="43" t="n"/>
      <c r="AB70" s="43" t="n"/>
      <c r="AC70" s="43" t="n"/>
      <c r="AD70" s="43" t="n"/>
      <c r="AE70" s="43" t="n"/>
      <c r="AF70" s="43" t="n"/>
      <c r="AG70" s="43" t="n"/>
      <c r="AH70" s="43" t="n"/>
      <c r="AI70" s="43" t="n"/>
      <c r="AJ70" s="43" t="n"/>
      <c r="AK70" s="43" t="n"/>
      <c r="AL70" s="43" t="n"/>
    </row>
    <row r="71">
      <c r="A71" s="43" t="n">
        <v>5</v>
      </c>
      <c r="B71" s="43" t="inlineStr">
        <is>
          <t>Active</t>
        </is>
      </c>
      <c r="C71" s="43" t="inlineStr">
        <is>
          <t>RTBNSNMR78X60X06-DSP</t>
        </is>
      </c>
      <c r="D71" s="43" t="n"/>
      <c r="E71" s="43" t="inlineStr">
        <is>
          <t>RTBNSNMR78X60X06-DSP</t>
        </is>
      </c>
      <c r="F71" s="43" t="n"/>
      <c r="G71" s="43" t="n"/>
      <c r="H71" s="43" t="n"/>
      <c r="I71" s="43" t="n"/>
      <c r="J71" s="43" t="n"/>
      <c r="K71" s="43" t="n"/>
      <c r="L71" s="43" t="inlineStr">
        <is>
          <t>MRP</t>
        </is>
      </c>
      <c r="M71" s="43" t="n">
        <v>110</v>
      </c>
      <c r="N71" s="43" t="inlineStr">
        <is>
          <t>RML-OK-ROUND-STK</t>
        </is>
      </c>
      <c r="O71" s="43" t="n"/>
      <c r="P71" s="43" t="n"/>
      <c r="Q71" s="43" t="n">
        <v>1</v>
      </c>
      <c r="R71" s="43" t="inlineStr">
        <is>
          <t>NOS</t>
        </is>
      </c>
      <c r="S71" s="43" t="n"/>
      <c r="T71" s="43" t="n">
        <v>10</v>
      </c>
      <c r="U71" s="43" t="n"/>
      <c r="V71" s="43" t="inlineStr">
        <is>
          <t>CBEWIP</t>
        </is>
      </c>
      <c r="W71" s="43" t="n"/>
      <c r="X71" s="43" t="n"/>
      <c r="Y71" s="43" t="n"/>
      <c r="Z71" s="43" t="n"/>
      <c r="AA71" s="43" t="n"/>
      <c r="AB71" s="43" t="n"/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</row>
    <row r="72">
      <c r="A72" s="43" t="n">
        <v>5</v>
      </c>
      <c r="B72" s="43" t="inlineStr">
        <is>
          <t>Active</t>
        </is>
      </c>
      <c r="C72" s="43" t="inlineStr">
        <is>
          <t>RTBNSNMR78X60X06-DSP</t>
        </is>
      </c>
      <c r="D72" s="43" t="n"/>
      <c r="E72" s="43" t="inlineStr">
        <is>
          <t>RTBNSNMR78X60X06-DSP</t>
        </is>
      </c>
      <c r="F72" s="43" t="n"/>
      <c r="G72" s="43" t="n"/>
      <c r="H72" s="43" t="n"/>
      <c r="I72" s="43" t="n"/>
      <c r="J72" s="43" t="n"/>
      <c r="K72" s="43" t="n"/>
      <c r="L72" s="43" t="inlineStr">
        <is>
          <t>MRP</t>
        </is>
      </c>
      <c r="M72" s="43" t="n">
        <v>120</v>
      </c>
      <c r="N72" s="43" t="inlineStr">
        <is>
          <t>RML-OK-STICKER</t>
        </is>
      </c>
      <c r="O72" s="43" t="n"/>
      <c r="P72" s="43" t="n"/>
      <c r="Q72" s="43" t="n">
        <v>1</v>
      </c>
      <c r="R72" s="43" t="inlineStr">
        <is>
          <t>NOS</t>
        </is>
      </c>
      <c r="S72" s="43" t="n"/>
      <c r="T72" s="43" t="n">
        <v>10</v>
      </c>
      <c r="U72" s="43" t="n"/>
      <c r="V72" s="43" t="inlineStr">
        <is>
          <t>CBEWIP</t>
        </is>
      </c>
      <c r="W72" s="43" t="n"/>
      <c r="X72" s="43" t="n"/>
      <c r="Y72" s="43" t="n"/>
      <c r="Z72" s="43" t="n"/>
      <c r="AA72" s="43" t="n"/>
      <c r="AB72" s="43" t="n"/>
      <c r="AC72" s="43" t="n"/>
      <c r="AD72" s="43" t="n"/>
      <c r="AE72" s="43" t="n"/>
      <c r="AF72" s="43" t="n"/>
      <c r="AG72" s="43" t="n"/>
      <c r="AH72" s="43" t="n"/>
      <c r="AI72" s="43" t="n"/>
      <c r="AJ72" s="43" t="n"/>
      <c r="AK72" s="43" t="n"/>
      <c r="AL72" s="43" t="n"/>
    </row>
    <row r="73">
      <c r="A73" s="43" t="n">
        <v>5</v>
      </c>
      <c r="B73" s="43" t="inlineStr">
        <is>
          <t>Active</t>
        </is>
      </c>
      <c r="C73" s="43" t="inlineStr">
        <is>
          <t>RTBNSNMR78X60X06-DSP</t>
        </is>
      </c>
      <c r="D73" s="43" t="n"/>
      <c r="E73" s="43" t="inlineStr">
        <is>
          <t>RTBNSNMR78X60X06-DSP</t>
        </is>
      </c>
      <c r="F73" s="43" t="n"/>
      <c r="G73" s="43" t="n"/>
      <c r="H73" s="43" t="n"/>
      <c r="I73" s="43" t="n"/>
      <c r="J73" s="43" t="n"/>
      <c r="K73" s="43" t="n"/>
      <c r="L73" s="43" t="inlineStr">
        <is>
          <t>MRP</t>
        </is>
      </c>
      <c r="M73" s="43" t="n">
        <v>130</v>
      </c>
      <c r="N73" s="43" t="inlineStr">
        <is>
          <t>RMI-PVC-50</t>
        </is>
      </c>
      <c r="O73" s="43" t="n"/>
      <c r="P73" s="43" t="n"/>
      <c r="Q73" s="43" t="n">
        <v>0.51</v>
      </c>
      <c r="R73" s="43" t="inlineStr">
        <is>
          <t>KGS</t>
        </is>
      </c>
      <c r="S73" s="43" t="n"/>
      <c r="T73" s="43" t="n">
        <v>10</v>
      </c>
      <c r="U73" s="43" t="n"/>
      <c r="V73" s="43" t="inlineStr">
        <is>
          <t>CBEWIP</t>
        </is>
      </c>
      <c r="W73" s="43" t="n"/>
      <c r="X73" s="43" t="n"/>
      <c r="Y73" s="43" t="n"/>
      <c r="Z73" s="43" t="n"/>
      <c r="AA73" s="43" t="n"/>
      <c r="AB73" s="43" t="n"/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</row>
    <row r="74">
      <c r="A74" s="43" t="n">
        <v>5</v>
      </c>
      <c r="B74" s="43" t="inlineStr">
        <is>
          <t>Active</t>
        </is>
      </c>
      <c r="C74" s="43" t="inlineStr">
        <is>
          <t>RTBNSNMR78X60X06-DSP</t>
        </is>
      </c>
      <c r="D74" s="43" t="n"/>
      <c r="E74" s="43" t="inlineStr">
        <is>
          <t>RTBNSNMR78X60X06-DSP</t>
        </is>
      </c>
      <c r="F74" s="43" t="n"/>
      <c r="G74" s="43" t="n"/>
      <c r="H74" s="43" t="n"/>
      <c r="I74" s="43" t="n"/>
      <c r="J74" s="43" t="n"/>
      <c r="K74" s="43" t="n"/>
      <c r="L74" s="43" t="inlineStr">
        <is>
          <t>MRP</t>
        </is>
      </c>
      <c r="M74" s="43" t="n">
        <v>140</v>
      </c>
      <c r="N74" s="43" t="inlineStr">
        <is>
          <t>17D-PU-FOAM-77.50X59.50X10MM</t>
        </is>
      </c>
      <c r="O74" s="43" t="n"/>
      <c r="P74" s="43" t="n"/>
      <c r="Q74" s="43" t="n">
        <v>1</v>
      </c>
      <c r="R74" s="43" t="inlineStr">
        <is>
          <t>NOS</t>
        </is>
      </c>
      <c r="S74" s="43" t="n"/>
      <c r="T74" s="43" t="n">
        <v>10</v>
      </c>
      <c r="U74" s="43" t="n"/>
      <c r="V74" s="43" t="inlineStr">
        <is>
          <t>CBESFG</t>
        </is>
      </c>
      <c r="W74" s="43" t="n"/>
      <c r="X74" s="43" t="n"/>
      <c r="Y74" s="43" t="n"/>
      <c r="Z74" s="43" t="n"/>
      <c r="AA74" s="43" t="n"/>
      <c r="AB74" s="43" t="n"/>
      <c r="AC74" s="43" t="n"/>
      <c r="AD74" s="43" t="n"/>
      <c r="AE74" s="43" t="n"/>
      <c r="AF74" s="43" t="n"/>
      <c r="AG74" s="43" t="n"/>
      <c r="AH74" s="43" t="n"/>
      <c r="AI74" s="43" t="n"/>
      <c r="AJ74" s="43" t="n"/>
      <c r="AK74" s="43" t="n"/>
      <c r="AL74" s="43" t="n"/>
    </row>
    <row r="75">
      <c r="A75" s="43" t="n">
        <v>6</v>
      </c>
      <c r="B75" s="43" t="inlineStr">
        <is>
          <t>Active</t>
        </is>
      </c>
      <c r="C75" s="43" t="inlineStr">
        <is>
          <t>RTBNSNMR78X72X06-DSP</t>
        </is>
      </c>
      <c r="D75" s="43" t="n"/>
      <c r="E75" s="43" t="inlineStr">
        <is>
          <t>RTBNSNMR78X72X06-DSP</t>
        </is>
      </c>
      <c r="F75" s="43" t="n"/>
      <c r="G75" s="43" t="n"/>
      <c r="H75" s="43" t="n"/>
      <c r="I75" s="43" t="n"/>
      <c r="J75" s="43" t="n"/>
      <c r="K75" s="43" t="n"/>
      <c r="L75" s="43" t="inlineStr">
        <is>
          <t>MRP</t>
        </is>
      </c>
      <c r="M75" s="43" t="n">
        <v>10</v>
      </c>
      <c r="N75" s="43" t="inlineStr">
        <is>
          <t>OEBOXBNSR77.50X71.50X120</t>
        </is>
      </c>
      <c r="O75" s="43" t="n"/>
      <c r="P75" s="43" t="n"/>
      <c r="Q75" s="43" t="n">
        <v>1</v>
      </c>
      <c r="R75" s="43" t="inlineStr">
        <is>
          <t>NOS</t>
        </is>
      </c>
      <c r="S75" s="43" t="n"/>
      <c r="T75" s="43" t="n">
        <v>10</v>
      </c>
      <c r="U75" s="43" t="n"/>
      <c r="V75" s="43" t="inlineStr">
        <is>
          <t>CBESFG</t>
        </is>
      </c>
      <c r="W75" s="43" t="n"/>
      <c r="X75" s="43" t="n"/>
      <c r="Y75" s="43" t="n"/>
      <c r="Z75" s="43" t="n"/>
      <c r="AA75" s="43" t="n"/>
      <c r="AB75" s="43" t="n"/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</row>
    <row r="76">
      <c r="A76" s="43" t="n">
        <v>6</v>
      </c>
      <c r="B76" s="43" t="inlineStr">
        <is>
          <t>Active</t>
        </is>
      </c>
      <c r="C76" s="43" t="inlineStr">
        <is>
          <t>RTBNSNMR78X72X06-DSP</t>
        </is>
      </c>
      <c r="D76" s="43" t="n"/>
      <c r="E76" s="43" t="inlineStr">
        <is>
          <t>RTBNSNMR78X72X06-DSP</t>
        </is>
      </c>
      <c r="F76" s="43" t="n"/>
      <c r="G76" s="43" t="n"/>
      <c r="H76" s="43" t="n"/>
      <c r="I76" s="43" t="n"/>
      <c r="J76" s="43" t="n"/>
      <c r="K76" s="43" t="n"/>
      <c r="L76" s="43" t="inlineStr">
        <is>
          <t>MRP</t>
        </is>
      </c>
      <c r="M76" s="43" t="n">
        <v>20</v>
      </c>
      <c r="N76" s="43" t="inlineStr">
        <is>
          <t>SFG-RTC-SNMR-QUILT</t>
        </is>
      </c>
      <c r="O76" s="43" t="n"/>
      <c r="P76" s="43" t="n"/>
      <c r="Q76" s="43" t="n">
        <v>1.854</v>
      </c>
      <c r="R76" s="43" t="inlineStr">
        <is>
          <t>MTR</t>
        </is>
      </c>
      <c r="S76" s="43" t="n"/>
      <c r="T76" s="43" t="n">
        <v>10</v>
      </c>
      <c r="U76" s="43" t="n"/>
      <c r="V76" s="43" t="inlineStr">
        <is>
          <t>CBESFG</t>
        </is>
      </c>
      <c r="W76" s="43" t="n"/>
      <c r="X76" s="43" t="n"/>
      <c r="Y76" s="43" t="n"/>
      <c r="Z76" s="43" t="n"/>
      <c r="AA76" s="43" t="n"/>
      <c r="AB76" s="43" t="n"/>
      <c r="AC76" s="43" t="n"/>
      <c r="AD76" s="43" t="n"/>
      <c r="AE76" s="43" t="n"/>
      <c r="AF76" s="43" t="n"/>
      <c r="AG76" s="43" t="n"/>
      <c r="AH76" s="43" t="n"/>
      <c r="AI76" s="43" t="n"/>
      <c r="AJ76" s="43" t="n"/>
      <c r="AK76" s="43" t="n"/>
      <c r="AL76" s="43" t="n"/>
    </row>
    <row r="77">
      <c r="A77" s="43" t="n">
        <v>6</v>
      </c>
      <c r="B77" s="43" t="inlineStr">
        <is>
          <t>Active</t>
        </is>
      </c>
      <c r="C77" s="43" t="inlineStr">
        <is>
          <t>RTBNSNMR78X72X06-DSP</t>
        </is>
      </c>
      <c r="D77" s="43" t="n"/>
      <c r="E77" s="43" t="inlineStr">
        <is>
          <t>RTBNSNMR78X72X06-DSP</t>
        </is>
      </c>
      <c r="F77" s="43" t="n"/>
      <c r="G77" s="43" t="n"/>
      <c r="H77" s="43" t="n"/>
      <c r="I77" s="43" t="n"/>
      <c r="J77" s="43" t="n"/>
      <c r="K77" s="43" t="n"/>
      <c r="L77" s="43" t="inlineStr">
        <is>
          <t>MRP</t>
        </is>
      </c>
      <c r="M77" s="43" t="n">
        <v>30</v>
      </c>
      <c r="N77" s="43" t="inlineStr">
        <is>
          <t>SFG-RTC-SNMR-BP</t>
        </is>
      </c>
      <c r="O77" s="43" t="n"/>
      <c r="P77" s="43" t="n"/>
      <c r="Q77" s="43" t="n">
        <v>1.854</v>
      </c>
      <c r="R77" s="43" t="inlineStr">
        <is>
          <t>MTR</t>
        </is>
      </c>
      <c r="S77" s="43" t="n"/>
      <c r="T77" s="43" t="n">
        <v>10</v>
      </c>
      <c r="U77" s="43" t="n"/>
      <c r="V77" s="43" t="inlineStr">
        <is>
          <t>CBESFG</t>
        </is>
      </c>
      <c r="W77" s="43" t="n"/>
      <c r="X77" s="43" t="n"/>
      <c r="Y77" s="43" t="n"/>
      <c r="Z77" s="43" t="n"/>
      <c r="AA77" s="43" t="n"/>
      <c r="AB77" s="43" t="n"/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</row>
    <row r="78">
      <c r="A78" s="43" t="n">
        <v>6</v>
      </c>
      <c r="B78" s="43" t="inlineStr">
        <is>
          <t>Active</t>
        </is>
      </c>
      <c r="C78" s="43" t="inlineStr">
        <is>
          <t>RTBNSNMR78X72X06-DSP</t>
        </is>
      </c>
      <c r="D78" s="43" t="n"/>
      <c r="E78" s="43" t="inlineStr">
        <is>
          <t>RTBNSNMR78X72X06-DSP</t>
        </is>
      </c>
      <c r="F78" s="43" t="n"/>
      <c r="G78" s="43" t="n"/>
      <c r="H78" s="43" t="n"/>
      <c r="I78" s="43" t="n"/>
      <c r="J78" s="43" t="n"/>
      <c r="K78" s="43" t="n"/>
      <c r="L78" s="43" t="inlineStr">
        <is>
          <t>MRP</t>
        </is>
      </c>
      <c r="M78" s="43" t="n">
        <v>40</v>
      </c>
      <c r="N78" s="43" t="inlineStr">
        <is>
          <t>RML-POLY-GUM</t>
        </is>
      </c>
      <c r="O78" s="43" t="n"/>
      <c r="P78" s="43" t="n"/>
      <c r="Q78" s="43" t="n">
        <v>0.83</v>
      </c>
      <c r="R78" s="43" t="inlineStr">
        <is>
          <t>LTR</t>
        </is>
      </c>
      <c r="S78" s="43" t="n"/>
      <c r="T78" s="43" t="n">
        <v>10</v>
      </c>
      <c r="U78" s="43" t="n"/>
      <c r="V78" s="43" t="inlineStr">
        <is>
          <t>CBEWIP</t>
        </is>
      </c>
      <c r="W78" s="43" t="n"/>
      <c r="X78" s="43" t="n"/>
      <c r="Y78" s="43" t="n"/>
      <c r="Z78" s="43" t="n"/>
      <c r="AA78" s="43" t="n"/>
      <c r="AB78" s="43" t="n"/>
      <c r="AC78" s="43" t="n"/>
      <c r="AD78" s="43" t="n"/>
      <c r="AE78" s="43" t="n"/>
      <c r="AF78" s="43" t="n"/>
      <c r="AG78" s="43" t="n"/>
      <c r="AH78" s="43" t="n"/>
      <c r="AI78" s="43" t="n"/>
      <c r="AJ78" s="43" t="n"/>
      <c r="AK78" s="43" t="n"/>
      <c r="AL78" s="43" t="n"/>
    </row>
    <row r="79">
      <c r="A79" s="43" t="n">
        <v>6</v>
      </c>
      <c r="B79" s="43" t="inlineStr">
        <is>
          <t>Active</t>
        </is>
      </c>
      <c r="C79" s="43" t="inlineStr">
        <is>
          <t>RTBNSNMR78X72X06-DSP</t>
        </is>
      </c>
      <c r="D79" s="43" t="n"/>
      <c r="E79" s="43" t="inlineStr">
        <is>
          <t>RTBNSNMR78X72X06-DSP</t>
        </is>
      </c>
      <c r="F79" s="43" t="n"/>
      <c r="G79" s="43" t="n"/>
      <c r="H79" s="43" t="n"/>
      <c r="I79" s="43" t="n"/>
      <c r="J79" s="43" t="n"/>
      <c r="K79" s="43" t="n"/>
      <c r="L79" s="43" t="inlineStr">
        <is>
          <t>MRP</t>
        </is>
      </c>
      <c r="M79" s="43" t="n">
        <v>50</v>
      </c>
      <c r="N79" s="43" t="inlineStr">
        <is>
          <t>RM-NWN-70GSMX6INCH</t>
        </is>
      </c>
      <c r="O79" s="43" t="n"/>
      <c r="P79" s="43" t="n"/>
      <c r="Q79" s="43" t="n">
        <v>0.165</v>
      </c>
      <c r="R79" s="43" t="inlineStr">
        <is>
          <t>KGS</t>
        </is>
      </c>
      <c r="S79" s="43" t="n"/>
      <c r="T79" s="43" t="n">
        <v>10</v>
      </c>
      <c r="U79" s="43" t="n"/>
      <c r="V79" s="43" t="inlineStr">
        <is>
          <t>CBEWIP</t>
        </is>
      </c>
      <c r="W79" s="43" t="n"/>
      <c r="X79" s="43" t="n"/>
      <c r="Y79" s="43" t="n"/>
      <c r="Z79" s="43" t="n"/>
      <c r="AA79" s="43" t="n"/>
      <c r="AB79" s="43" t="n"/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</row>
    <row r="80">
      <c r="A80" s="43" t="n">
        <v>6</v>
      </c>
      <c r="B80" s="43" t="inlineStr">
        <is>
          <t>Active</t>
        </is>
      </c>
      <c r="C80" s="43" t="inlineStr">
        <is>
          <t>RTBNSNMR78X72X06-DSP</t>
        </is>
      </c>
      <c r="D80" s="43" t="n"/>
      <c r="E80" s="43" t="inlineStr">
        <is>
          <t>RTBNSNMR78X72X06-DSP</t>
        </is>
      </c>
      <c r="F80" s="43" t="n"/>
      <c r="G80" s="43" t="n"/>
      <c r="H80" s="43" t="n"/>
      <c r="I80" s="43" t="n"/>
      <c r="J80" s="43" t="n"/>
      <c r="K80" s="43" t="n"/>
      <c r="L80" s="43" t="inlineStr">
        <is>
          <t>MRP</t>
        </is>
      </c>
      <c r="M80" s="43" t="n">
        <v>60</v>
      </c>
      <c r="N80" s="43" t="inlineStr">
        <is>
          <t>RM-THRD-QS-TKT40</t>
        </is>
      </c>
      <c r="O80" s="43" t="n"/>
      <c r="P80" s="43" t="n"/>
      <c r="Q80" s="43" t="n">
        <v>153.924</v>
      </c>
      <c r="R80" s="43" t="inlineStr">
        <is>
          <t>MTR</t>
        </is>
      </c>
      <c r="S80" s="43" t="n"/>
      <c r="T80" s="43" t="n">
        <v>10</v>
      </c>
      <c r="U80" s="43" t="n"/>
      <c r="V80" s="43" t="inlineStr">
        <is>
          <t>CBEWIP</t>
        </is>
      </c>
      <c r="W80" s="43" t="n"/>
      <c r="X80" s="43" t="n"/>
      <c r="Y80" s="43" t="n"/>
      <c r="Z80" s="43" t="n"/>
      <c r="AA80" s="43" t="n"/>
      <c r="AB80" s="43" t="n"/>
      <c r="AC80" s="43" t="n"/>
      <c r="AD80" s="43" t="n"/>
      <c r="AE80" s="43" t="n"/>
      <c r="AF80" s="43" t="n"/>
      <c r="AG80" s="43" t="n"/>
      <c r="AH80" s="43" t="n"/>
      <c r="AI80" s="43" t="n"/>
      <c r="AJ80" s="43" t="n"/>
      <c r="AK80" s="43" t="n"/>
      <c r="AL80" s="43" t="n"/>
    </row>
    <row r="81">
      <c r="A81" s="43" t="n">
        <v>6</v>
      </c>
      <c r="B81" s="43" t="inlineStr">
        <is>
          <t>Active</t>
        </is>
      </c>
      <c r="C81" s="43" t="inlineStr">
        <is>
          <t>RTBNSNMR78X72X06-DSP</t>
        </is>
      </c>
      <c r="D81" s="43" t="n"/>
      <c r="E81" s="43" t="inlineStr">
        <is>
          <t>RTBNSNMR78X72X06-DSP</t>
        </is>
      </c>
      <c r="F81" s="43" t="n"/>
      <c r="G81" s="43" t="n"/>
      <c r="H81" s="43" t="n"/>
      <c r="I81" s="43" t="n"/>
      <c r="J81" s="43" t="n"/>
      <c r="K81" s="43" t="n"/>
      <c r="L81" s="43" t="inlineStr">
        <is>
          <t>MRP</t>
        </is>
      </c>
      <c r="M81" s="43" t="n">
        <v>70</v>
      </c>
      <c r="N81" s="43" t="inlineStr">
        <is>
          <t>RML-EDTAPE-MER-KNIT</t>
        </is>
      </c>
      <c r="O81" s="43" t="n"/>
      <c r="P81" s="43" t="n"/>
      <c r="Q81" s="43" t="n">
        <v>15.646</v>
      </c>
      <c r="R81" s="43" t="inlineStr">
        <is>
          <t>MTR</t>
        </is>
      </c>
      <c r="S81" s="43" t="n"/>
      <c r="T81" s="43" t="n">
        <v>10</v>
      </c>
      <c r="U81" s="43" t="n"/>
      <c r="V81" s="43" t="inlineStr">
        <is>
          <t>CBEWIP</t>
        </is>
      </c>
      <c r="W81" s="43" t="n"/>
      <c r="X81" s="43" t="n"/>
      <c r="Y81" s="43" t="n"/>
      <c r="Z81" s="43" t="n"/>
      <c r="AA81" s="43" t="n"/>
      <c r="AB81" s="43" t="n"/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</row>
    <row r="82">
      <c r="A82" s="43" t="n">
        <v>6</v>
      </c>
      <c r="B82" s="43" t="inlineStr">
        <is>
          <t>Active</t>
        </is>
      </c>
      <c r="C82" s="43" t="inlineStr">
        <is>
          <t>RTBNSNMR78X72X06-DSP</t>
        </is>
      </c>
      <c r="D82" s="43" t="n"/>
      <c r="E82" s="43" t="inlineStr">
        <is>
          <t>RTBNSNMR78X72X06-DSP</t>
        </is>
      </c>
      <c r="F82" s="43" t="n"/>
      <c r="G82" s="43" t="n"/>
      <c r="H82" s="43" t="n"/>
      <c r="I82" s="43" t="n"/>
      <c r="J82" s="43" t="n"/>
      <c r="K82" s="43" t="n"/>
      <c r="L82" s="43" t="inlineStr">
        <is>
          <t>MRP</t>
        </is>
      </c>
      <c r="M82" s="43" t="n">
        <v>80</v>
      </c>
      <c r="N82" s="43" t="inlineStr">
        <is>
          <t>RML-THRD-TKT-40MER</t>
        </is>
      </c>
      <c r="O82" s="43" t="n"/>
      <c r="P82" s="43" t="n"/>
      <c r="Q82" s="43" t="n">
        <v>96.22499999999999</v>
      </c>
      <c r="R82" s="43" t="inlineStr">
        <is>
          <t>MTR</t>
        </is>
      </c>
      <c r="S82" s="43" t="n"/>
      <c r="T82" s="43" t="n">
        <v>10</v>
      </c>
      <c r="U82" s="43" t="n"/>
      <c r="V82" s="43" t="inlineStr">
        <is>
          <t>CBEWIP</t>
        </is>
      </c>
      <c r="W82" s="43" t="n"/>
      <c r="X82" s="43" t="n"/>
      <c r="Y82" s="43" t="n"/>
      <c r="Z82" s="43" t="n"/>
      <c r="AA82" s="43" t="n"/>
      <c r="AB82" s="43" t="n"/>
      <c r="AC82" s="43" t="n"/>
      <c r="AD82" s="43" t="n"/>
      <c r="AE82" s="43" t="n"/>
      <c r="AF82" s="43" t="n"/>
      <c r="AG82" s="43" t="n"/>
      <c r="AH82" s="43" t="n"/>
      <c r="AI82" s="43" t="n"/>
      <c r="AJ82" s="43" t="n"/>
      <c r="AK82" s="43" t="n"/>
      <c r="AL82" s="43" t="n"/>
    </row>
    <row r="83">
      <c r="A83" s="43" t="n">
        <v>6</v>
      </c>
      <c r="B83" s="43" t="inlineStr">
        <is>
          <t>Active</t>
        </is>
      </c>
      <c r="C83" s="43" t="inlineStr">
        <is>
          <t>RTBNSNMR78X72X06-DSP</t>
        </is>
      </c>
      <c r="D83" s="43" t="n"/>
      <c r="E83" s="43" t="inlineStr">
        <is>
          <t>RTBNSNMR78X72X06-DSP</t>
        </is>
      </c>
      <c r="F83" s="43" t="n"/>
      <c r="G83" s="43" t="n"/>
      <c r="H83" s="43" t="n"/>
      <c r="I83" s="43" t="n"/>
      <c r="J83" s="43" t="n"/>
      <c r="K83" s="43" t="n"/>
      <c r="L83" s="43" t="inlineStr">
        <is>
          <t>MRP</t>
        </is>
      </c>
      <c r="M83" s="43" t="n">
        <v>90</v>
      </c>
      <c r="N83" s="43" t="inlineStr">
        <is>
          <t>RML-CS-RTC-7"</t>
        </is>
      </c>
      <c r="O83" s="43" t="n"/>
      <c r="P83" s="43" t="n"/>
      <c r="Q83" s="43" t="n">
        <v>4</v>
      </c>
      <c r="R83" s="43" t="inlineStr">
        <is>
          <t>NOS</t>
        </is>
      </c>
      <c r="S83" s="43" t="n"/>
      <c r="T83" s="43" t="n">
        <v>10</v>
      </c>
      <c r="U83" s="43" t="n"/>
      <c r="V83" s="43" t="inlineStr">
        <is>
          <t>CBEWIP</t>
        </is>
      </c>
      <c r="W83" s="43" t="n"/>
      <c r="X83" s="43" t="n"/>
      <c r="Y83" s="43" t="n"/>
      <c r="Z83" s="43" t="n"/>
      <c r="AA83" s="43" t="n"/>
      <c r="AB83" s="43" t="n"/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</row>
    <row r="84">
      <c r="A84" s="43" t="n">
        <v>6</v>
      </c>
      <c r="B84" s="43" t="inlineStr">
        <is>
          <t>Active</t>
        </is>
      </c>
      <c r="C84" s="43" t="inlineStr">
        <is>
          <t>RTBNSNMR78X72X06-DSP</t>
        </is>
      </c>
      <c r="D84" s="43" t="n"/>
      <c r="E84" s="43" t="inlineStr">
        <is>
          <t>RTBNSNMR78X72X06-DSP</t>
        </is>
      </c>
      <c r="F84" s="43" t="n"/>
      <c r="G84" s="43" t="n"/>
      <c r="H84" s="43" t="n"/>
      <c r="I84" s="43" t="n"/>
      <c r="J84" s="43" t="n"/>
      <c r="K84" s="43" t="n"/>
      <c r="L84" s="43" t="inlineStr">
        <is>
          <t>MRP</t>
        </is>
      </c>
      <c r="M84" s="43" t="n">
        <v>100</v>
      </c>
      <c r="N84" s="43" t="inlineStr">
        <is>
          <t>RM-PEPS-MAT-MRP-LBL</t>
        </is>
      </c>
      <c r="O84" s="43" t="n"/>
      <c r="P84" s="43" t="n"/>
      <c r="Q84" s="43" t="n">
        <v>1</v>
      </c>
      <c r="R84" s="43" t="inlineStr">
        <is>
          <t>NOS</t>
        </is>
      </c>
      <c r="S84" s="43" t="n"/>
      <c r="T84" s="43" t="n">
        <v>10</v>
      </c>
      <c r="U84" s="43" t="n"/>
      <c r="V84" s="43" t="inlineStr">
        <is>
          <t>CBEWIP</t>
        </is>
      </c>
      <c r="W84" s="43" t="n"/>
      <c r="X84" s="43" t="n"/>
      <c r="Y84" s="43" t="n"/>
      <c r="Z84" s="43" t="n"/>
      <c r="AA84" s="43" t="n"/>
      <c r="AB84" s="43" t="n"/>
      <c r="AC84" s="43" t="n"/>
      <c r="AD84" s="43" t="n"/>
      <c r="AE84" s="43" t="n"/>
      <c r="AF84" s="43" t="n"/>
      <c r="AG84" s="43" t="n"/>
      <c r="AH84" s="43" t="n"/>
      <c r="AI84" s="43" t="n"/>
      <c r="AJ84" s="43" t="n"/>
      <c r="AK84" s="43" t="n"/>
      <c r="AL84" s="43" t="n"/>
    </row>
    <row r="85">
      <c r="A85" s="43" t="n">
        <v>6</v>
      </c>
      <c r="B85" s="43" t="inlineStr">
        <is>
          <t>Active</t>
        </is>
      </c>
      <c r="C85" s="43" t="inlineStr">
        <is>
          <t>RTBNSNMR78X72X06-DSP</t>
        </is>
      </c>
      <c r="D85" s="43" t="n"/>
      <c r="E85" s="43" t="inlineStr">
        <is>
          <t>RTBNSNMR78X72X06-DSP</t>
        </is>
      </c>
      <c r="F85" s="43" t="n"/>
      <c r="G85" s="43" t="n"/>
      <c r="H85" s="43" t="n"/>
      <c r="I85" s="43" t="n"/>
      <c r="J85" s="43" t="n"/>
      <c r="K85" s="43" t="n"/>
      <c r="L85" s="43" t="inlineStr">
        <is>
          <t>MRP</t>
        </is>
      </c>
      <c r="M85" s="43" t="n">
        <v>110</v>
      </c>
      <c r="N85" s="43" t="inlineStr">
        <is>
          <t>RML-OK-ROUND-STK</t>
        </is>
      </c>
      <c r="O85" s="43" t="n"/>
      <c r="P85" s="43" t="n"/>
      <c r="Q85" s="43" t="n">
        <v>1</v>
      </c>
      <c r="R85" s="43" t="inlineStr">
        <is>
          <t>NOS</t>
        </is>
      </c>
      <c r="S85" s="43" t="n"/>
      <c r="T85" s="43" t="n">
        <v>10</v>
      </c>
      <c r="U85" s="43" t="n"/>
      <c r="V85" s="43" t="inlineStr">
        <is>
          <t>CBEWIP</t>
        </is>
      </c>
      <c r="W85" s="43" t="n"/>
      <c r="X85" s="43" t="n"/>
      <c r="Y85" s="43" t="n"/>
      <c r="Z85" s="43" t="n"/>
      <c r="AA85" s="43" t="n"/>
      <c r="AB85" s="43" t="n"/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</row>
    <row r="86">
      <c r="A86" s="43" t="n">
        <v>6</v>
      </c>
      <c r="B86" s="43" t="inlineStr">
        <is>
          <t>Active</t>
        </is>
      </c>
      <c r="C86" s="43" t="inlineStr">
        <is>
          <t>RTBNSNMR78X72X06-DSP</t>
        </is>
      </c>
      <c r="D86" s="43" t="n"/>
      <c r="E86" s="43" t="inlineStr">
        <is>
          <t>RTBNSNMR78X72X06-DSP</t>
        </is>
      </c>
      <c r="F86" s="43" t="n"/>
      <c r="G86" s="43" t="n"/>
      <c r="H86" s="43" t="n"/>
      <c r="I86" s="43" t="n"/>
      <c r="J86" s="43" t="n"/>
      <c r="K86" s="43" t="n"/>
      <c r="L86" s="43" t="inlineStr">
        <is>
          <t>MRP</t>
        </is>
      </c>
      <c r="M86" s="43" t="n">
        <v>120</v>
      </c>
      <c r="N86" s="43" t="inlineStr">
        <is>
          <t>RML-OK-STICKER</t>
        </is>
      </c>
      <c r="O86" s="43" t="n"/>
      <c r="P86" s="43" t="n"/>
      <c r="Q86" s="43" t="n">
        <v>1</v>
      </c>
      <c r="R86" s="43" t="inlineStr">
        <is>
          <t>NOS</t>
        </is>
      </c>
      <c r="S86" s="43" t="n"/>
      <c r="T86" s="43" t="n">
        <v>10</v>
      </c>
      <c r="U86" s="43" t="n"/>
      <c r="V86" s="43" t="inlineStr">
        <is>
          <t>CBEWIP</t>
        </is>
      </c>
      <c r="W86" s="43" t="n"/>
      <c r="X86" s="43" t="n"/>
      <c r="Y86" s="43" t="n"/>
      <c r="Z86" s="43" t="n"/>
      <c r="AA86" s="43" t="n"/>
      <c r="AB86" s="43" t="n"/>
      <c r="AC86" s="43" t="n"/>
      <c r="AD86" s="43" t="n"/>
      <c r="AE86" s="43" t="n"/>
      <c r="AF86" s="43" t="n"/>
      <c r="AG86" s="43" t="n"/>
      <c r="AH86" s="43" t="n"/>
      <c r="AI86" s="43" t="n"/>
      <c r="AJ86" s="43" t="n"/>
      <c r="AK86" s="43" t="n"/>
      <c r="AL86" s="43" t="n"/>
    </row>
    <row r="87">
      <c r="A87" s="43" t="n">
        <v>6</v>
      </c>
      <c r="B87" s="43" t="inlineStr">
        <is>
          <t>Active</t>
        </is>
      </c>
      <c r="C87" s="43" t="inlineStr">
        <is>
          <t>RTBNSNMR78X72X06-DSP</t>
        </is>
      </c>
      <c r="D87" s="43" t="n"/>
      <c r="E87" s="43" t="inlineStr">
        <is>
          <t>RTBNSNMR78X72X06-DSP</t>
        </is>
      </c>
      <c r="F87" s="43" t="n"/>
      <c r="G87" s="43" t="n"/>
      <c r="H87" s="43" t="n"/>
      <c r="I87" s="43" t="n"/>
      <c r="J87" s="43" t="n"/>
      <c r="K87" s="43" t="n"/>
      <c r="L87" s="43" t="inlineStr">
        <is>
          <t>MRP</t>
        </is>
      </c>
      <c r="M87" s="43" t="n">
        <v>130</v>
      </c>
      <c r="N87" s="43" t="inlineStr">
        <is>
          <t>RMI-PVC-50</t>
        </is>
      </c>
      <c r="O87" s="43" t="n"/>
      <c r="P87" s="43" t="n"/>
      <c r="Q87" s="43" t="n">
        <v>0.601</v>
      </c>
      <c r="R87" s="43" t="inlineStr">
        <is>
          <t>KGS</t>
        </is>
      </c>
      <c r="S87" s="43" t="n"/>
      <c r="T87" s="43" t="n">
        <v>10</v>
      </c>
      <c r="U87" s="43" t="n"/>
      <c r="V87" s="43" t="inlineStr">
        <is>
          <t>CBEWIP</t>
        </is>
      </c>
      <c r="W87" s="43" t="n"/>
      <c r="X87" s="43" t="n"/>
      <c r="Y87" s="43" t="n"/>
      <c r="Z87" s="43" t="n"/>
      <c r="AA87" s="43" t="n"/>
      <c r="AB87" s="43" t="n"/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</row>
    <row r="88">
      <c r="A88" s="43" t="n">
        <v>6</v>
      </c>
      <c r="B88" s="43" t="inlineStr">
        <is>
          <t>Active</t>
        </is>
      </c>
      <c r="C88" s="43" t="inlineStr">
        <is>
          <t>RTBNSNMR78X72X06-DSP</t>
        </is>
      </c>
      <c r="D88" s="43" t="n"/>
      <c r="E88" s="43" t="inlineStr">
        <is>
          <t>RTBNSNMR78X72X06-DSP</t>
        </is>
      </c>
      <c r="F88" s="43" t="n"/>
      <c r="G88" s="43" t="n"/>
      <c r="H88" s="43" t="n"/>
      <c r="I88" s="43" t="n"/>
      <c r="J88" s="43" t="n"/>
      <c r="K88" s="43" t="n"/>
      <c r="L88" s="43" t="inlineStr">
        <is>
          <t>MRP</t>
        </is>
      </c>
      <c r="M88" s="43" t="n">
        <v>140</v>
      </c>
      <c r="N88" s="43" t="inlineStr">
        <is>
          <t>17D-PU-FOAM-77.50X71.50X10MM</t>
        </is>
      </c>
      <c r="O88" s="43" t="n"/>
      <c r="P88" s="43" t="n"/>
      <c r="Q88" s="43" t="n">
        <v>1</v>
      </c>
      <c r="R88" s="43" t="inlineStr">
        <is>
          <t>NOS</t>
        </is>
      </c>
      <c r="S88" s="43" t="n"/>
      <c r="T88" s="43" t="n">
        <v>10</v>
      </c>
      <c r="U88" s="43" t="n"/>
      <c r="V88" s="43" t="inlineStr">
        <is>
          <t>CBESFG</t>
        </is>
      </c>
      <c r="W88" s="43" t="n"/>
      <c r="X88" s="43" t="n"/>
      <c r="Y88" s="43" t="n"/>
      <c r="Z88" s="43" t="n"/>
      <c r="AA88" s="43" t="n"/>
      <c r="AB88" s="43" t="n"/>
      <c r="AC88" s="43" t="n"/>
      <c r="AD88" s="43" t="n"/>
      <c r="AE88" s="43" t="n"/>
      <c r="AF88" s="43" t="n"/>
      <c r="AG88" s="43" t="n"/>
      <c r="AH88" s="43" t="n"/>
      <c r="AI88" s="43" t="n"/>
      <c r="AJ88" s="43" t="n"/>
      <c r="AK88" s="43" t="n"/>
      <c r="AL88" s="4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2026-07-28T08:39:31Z</dcterms:modified>
  <cp:lastModifiedBy>QUILTING</cp:lastModifiedBy>
  <cp:lastPrinted>2022-05-27T11:55:11Z</cp:lastPrinted>
</cp:coreProperties>
</file>