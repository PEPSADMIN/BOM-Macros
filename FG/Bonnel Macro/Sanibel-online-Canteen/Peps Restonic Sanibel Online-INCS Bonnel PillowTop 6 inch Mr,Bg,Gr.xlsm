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Sanibel-online-Canteen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DEST!$A$2:$AM$544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2" i="13" l="1"/>
  <c r="E15" i="13" l="1"/>
  <c r="D15" i="13" l="1"/>
  <c r="H15" i="13"/>
  <c r="G13" i="13"/>
  <c r="H13" i="13" s="1"/>
  <c r="G4" i="13"/>
  <c r="H4" i="13" s="1"/>
  <c r="G3" i="13"/>
  <c r="E4" i="13"/>
  <c r="E3" i="13"/>
  <c r="D4" i="13"/>
  <c r="D3" i="13" l="1"/>
  <c r="D5" i="13"/>
  <c r="D6" i="13"/>
  <c r="D7" i="13"/>
  <c r="D8" i="13"/>
  <c r="D9" i="13"/>
  <c r="D10" i="13"/>
  <c r="D11" i="13"/>
  <c r="D12" i="13"/>
  <c r="D13" i="13"/>
  <c r="D14" i="13"/>
  <c r="D2" i="13"/>
  <c r="H14" i="13" l="1"/>
  <c r="H12" i="13"/>
  <c r="H11" i="13"/>
  <c r="H10" i="13"/>
  <c r="H9" i="13"/>
  <c r="G8" i="13"/>
  <c r="H8" i="13" s="1"/>
  <c r="E8" i="13"/>
  <c r="G7" i="13"/>
  <c r="H7" i="13" s="1"/>
  <c r="E7" i="13"/>
  <c r="G6" i="13"/>
  <c r="H6" i="13" s="1"/>
  <c r="G5" i="13"/>
  <c r="H5" i="13" s="1"/>
  <c r="H3" i="13"/>
  <c r="H2" i="13"/>
</calcChain>
</file>

<file path=xl/sharedStrings.xml><?xml version="1.0" encoding="utf-8"?>
<sst xmlns="http://schemas.openxmlformats.org/spreadsheetml/2006/main" count="4942" uniqueCount="176">
  <si>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</si>
  <si>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</si>
  <si>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</si>
  <si>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</si>
  <si>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</si>
  <si>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</si>
  <si>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</si>
  <si>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</si>
  <si>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</si>
  <si>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</si>
  <si>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</si>
  <si>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</si>
  <si>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</si>
  <si>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</si>
  <si>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</si>
  <si>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</si>
  <si>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</si>
  <si>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</si>
  <si>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</si>
  <si>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</si>
  <si>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</si>
  <si>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</si>
  <si>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</si>
  <si>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</si>
  <si>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</si>
  <si>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</si>
  <si>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</si>
  <si>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</si>
  <si>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</si>
  <si>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</si>
  <si>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</si>
  <si>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</si>
  <si>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</si>
  <si>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</si>
  <si>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</si>
  <si>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</si>
  <si>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</si>
  <si>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</si>
  <si>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</si>
  <si>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</si>
  <si>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</si>
  <si>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</si>
  <si>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</si>
  <si>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</si>
  <si>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</si>
  <si>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</si>
  <si>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</si>
  <si>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</si>
  <si>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</si>
  <si>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</si>
  <si>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</si>
  <si>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</si>
  <si>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</si>
  <si>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</si>
  <si>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</si>
  <si>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</si>
  <si>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</si>
  <si>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</si>
  <si>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</si>
  <si>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</si>
  <si>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</si>
  <si>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</si>
  <si>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</si>
  <si>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</si>
  <si>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</si>
  <si>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</si>
  <si>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</si>
  <si>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</si>
  <si>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</si>
  <si>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</si>
  <si>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</si>
  <si>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</si>
  <si>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</si>
  <si>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</si>
  <si>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</si>
  <si>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</si>
  <si>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</si>
  <si>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</si>
  <si>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</si>
  <si>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</si>
  <si>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</si>
  <si>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</si>
  <si>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</si>
  <si>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</si>
  <si>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</si>
  <si>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</si>
  <si>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</si>
  <si>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</si>
  <si>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</si>
  <si>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</si>
  <si>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</si>
  <si>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</si>
  <si>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</si>
  <si>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</si>
  <si>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BG</t>
  </si>
  <si>
    <t>RML-EDTAPE-WHT-KNIT</t>
  </si>
  <si>
    <t>GR</t>
  </si>
  <si>
    <t>MR</t>
  </si>
  <si>
    <t>SFG-RTC-SNBG-QUILT</t>
  </si>
  <si>
    <t>SFG-RTC-SNGR-QUILT</t>
  </si>
  <si>
    <t>RML-EDTAPE-SANI-GREY</t>
  </si>
  <si>
    <t>RML-THRD-TKT-40GREY</t>
  </si>
  <si>
    <t>SFG-RTC-SNMR-QUILT</t>
  </si>
  <si>
    <t>RML-EDTAPE-MER-KNIT</t>
  </si>
  <si>
    <t>RML-THRD-TKT-40MER</t>
  </si>
  <si>
    <t>RML-POLY-GUM</t>
  </si>
  <si>
    <t>LTR</t>
  </si>
  <si>
    <t>RML-CS-RTC-5.5"</t>
  </si>
  <si>
    <t>36</t>
  </si>
  <si>
    <t>06</t>
  </si>
  <si>
    <t>48</t>
  </si>
  <si>
    <t>60</t>
  </si>
  <si>
    <t>RMI-PVC-50</t>
  </si>
  <si>
    <t>RTBNSNPTBG72X36X06-INCS</t>
  </si>
  <si>
    <t>SFG-RTC-SNBG-BP</t>
  </si>
  <si>
    <t>RTBNSNPTBG72X48X06-INCS</t>
  </si>
  <si>
    <t>RTBNSNPTBG72X60X06-INCS</t>
  </si>
  <si>
    <t>RTBNSNPTBG72X72X06-INCS</t>
  </si>
  <si>
    <t>RTBNSNPTBG75X36X06-INCS</t>
  </si>
  <si>
    <t>RTBNSNPTBG75X48X06-INCS</t>
  </si>
  <si>
    <t>RTBNSNPTBG75X60X06-INCS</t>
  </si>
  <si>
    <t>RTBNSNPTBG75X72X06-INCS</t>
  </si>
  <si>
    <t>RTBNSNPTBG78X60X06-INCS</t>
  </si>
  <si>
    <t>RTBNSNPTBG78X72X06-INCS</t>
  </si>
  <si>
    <t>RTBNSNPTGR72X36X06-INCS</t>
  </si>
  <si>
    <t>SFG-RTC-SNGR-BP</t>
  </si>
  <si>
    <t>RTBNSNPTGR72X48X06-INCS</t>
  </si>
  <si>
    <t>RTBNSNPTGR72X60X06-INCS</t>
  </si>
  <si>
    <t>RTBNSNPTGR72X72X06-INCS</t>
  </si>
  <si>
    <t>RTBNSNPTGR75X36X06-INCS</t>
  </si>
  <si>
    <t>RTBNSNPTGR75X48X06-INCS</t>
  </si>
  <si>
    <t>RTBNSNPTGR75X60X06-INCS</t>
  </si>
  <si>
    <t>RTBNSNPTGR75X72X06-INCS</t>
  </si>
  <si>
    <t>RTBNSNPTGR78X60X06-INCS</t>
  </si>
  <si>
    <t>RTBNSNPTGR78X72X06-INCS</t>
  </si>
  <si>
    <t>RTBNSNPTMR72X36X06-INCS</t>
  </si>
  <si>
    <t>SFG-RTC-SNMR-BP</t>
  </si>
  <si>
    <t>RTBNSNPTMR72X48X06-INCS</t>
  </si>
  <si>
    <t>RTBNSNPTMR72X60X06-INCS</t>
  </si>
  <si>
    <t>RTBNSNPTMR72X72X06-INCS</t>
  </si>
  <si>
    <t>RTBNSNPTMR75X36X06-INCS</t>
  </si>
  <si>
    <t>RTBNSNPTMR75X48X06-INCS</t>
  </si>
  <si>
    <t>RTBNSNPTMR75X60X06-INCS</t>
  </si>
  <si>
    <t>RTBNSNPTMR75X72X06-INCS</t>
  </si>
  <si>
    <t>RTBNSNPTMR78X60X06-INCS</t>
  </si>
  <si>
    <t>RTBNSNPTMR78X72X06-INCS</t>
  </si>
  <si>
    <t>OEBOXBNSR71.50X35.50X120</t>
  </si>
  <si>
    <t>25D-HELIXA-FOAM-69X33X25MM</t>
  </si>
  <si>
    <t>17D-PU-FOAM-67X31X10MM</t>
  </si>
  <si>
    <t>OEBOXBNSR71.50X47.50X120</t>
  </si>
  <si>
    <t>25D-HELIXA-FOAM-69X45X25MM</t>
  </si>
  <si>
    <t>17D-PU-FOAM-67X43X10MM</t>
  </si>
  <si>
    <t>OEBOXBNSR71.50X59.50X120</t>
  </si>
  <si>
    <t>25D-HELIXA-FOAM-69X57X25MM</t>
  </si>
  <si>
    <t>17D-PU-FOAM-67X55X10MM</t>
  </si>
  <si>
    <t>OEBOXBNSR71.50X71.50X120</t>
  </si>
  <si>
    <t>25D-HELIXA-FOAM-69X69X25MM</t>
  </si>
  <si>
    <t>17D-PU-FOAM-67X67X10MM</t>
  </si>
  <si>
    <t>OEBOXBNSR74.50X35.50X120</t>
  </si>
  <si>
    <t>25D-HELIXA-FOAM-72X33X25MM</t>
  </si>
  <si>
    <t>17D-PU-FOAM-70X31X10MM</t>
  </si>
  <si>
    <t>OEBOXBNSR74.50X47.50X120</t>
  </si>
  <si>
    <t>25D-HELIXA-FOAM-72X45X25MM</t>
  </si>
  <si>
    <t>17D-PU-FOAM-70X43X10MM</t>
  </si>
  <si>
    <t>OEBOXBNSR74.50X59.50X120</t>
  </si>
  <si>
    <t>25D-HELIXA-FOAM-72X57X25MM</t>
  </si>
  <si>
    <t>17D-PU-FOAM-70X55X10MM</t>
  </si>
  <si>
    <t>OEBOXBNSR74.50X71.50X120</t>
  </si>
  <si>
    <t>25D-HELIXA-FOAM-72X69X25MM</t>
  </si>
  <si>
    <t>17D-PU-FOAM-70X67X10MM</t>
  </si>
  <si>
    <t>OEBOXBNSR77.50X59.50X120</t>
  </si>
  <si>
    <t>25D-HELIXA-FOAM-75X57X25MM</t>
  </si>
  <si>
    <t>17D-PU-FOAM-73X55X10MM</t>
  </si>
  <si>
    <t>OEBOXBNSR77.50X71.50X120</t>
  </si>
  <si>
    <t>25D-HELIXA-FOAM-75X69X25MM</t>
  </si>
  <si>
    <t>17D-PU-FOAM-73X67X10MM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</si>
</sst>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3" fillId="0" borderId="1" xfId="0" applyNumberFormat="1" applyFont="1" applyFill="1" applyBorder="1" applyAlignment="1" applyProtection="1">
      <alignment vertical="center"/>
    </xf>
    <xf numFmtId="0" fontId="4" fillId="0" borderId="0" xfId="0" applyFont="1" applyAlignment="1">
      <alignment horizontal="center"/>
    </xf>
    <xf numFmtId="49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0" sqref="E20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6.85546875" style="17" bestFit="1" customWidth="1"/>
    <col min="5" max="5" width="30.4257812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7">
        <v>1</v>
      </c>
      <c r="B2" s="7" t="s">
        <v>12</v>
      </c>
      <c r="C2" s="7" t="s">
        <v>12</v>
      </c>
      <c r="D2" s="7" t="str">
        <f>"RTBNSNPT"&amp;IF($N$2="BG","BG",IF($N$2="GR","GR","MR"))&amp;$K$2&amp;"X"&amp;$L$2&amp;"X06"&amp;"-"&amp;"INCS"</f>
        <v>RTBNSNPTMR75X36X06-INCS</v>
      </c>
      <c r="E2" s="1" t="str">
        <f>"OEBOXBNSR"&amp;(K2-0.5)&amp;"0"&amp;"X"&amp;(L2-0.5)&amp;"0"&amp;"X120"</f>
        <v>OEBOXBNSR74.50X35.50X120</v>
      </c>
      <c r="F2" s="39" t="s">
        <v>11</v>
      </c>
      <c r="G2" s="37">
        <v>1</v>
      </c>
      <c r="H2" s="37">
        <f>ROUND(G2,3)</f>
        <v>1</v>
      </c>
      <c r="I2" s="21" t="s">
        <v>16</v>
      </c>
      <c r="J2" s="5"/>
      <c r="K2" s="6">
        <v>75</v>
      </c>
      <c r="L2" s="6">
        <v>36</v>
      </c>
      <c r="M2" s="36">
        <v>6</v>
      </c>
      <c r="N2" s="6" t="s">
        <v>97</v>
      </c>
      <c r="P2" s="4">
        <v>6</v>
      </c>
      <c r="R2" s="34" t="s">
        <v>91</v>
      </c>
      <c r="S2" s="34" t="s">
        <v>108</v>
      </c>
      <c r="T2" s="34" t="s">
        <v>109</v>
      </c>
      <c r="U2" s="35" t="s">
        <v>94</v>
      </c>
    </row>
    <row r="3" spans="1:21" s="19" customFormat="1" x14ac:dyDescent="0.25">
      <c r="A3" s="7">
        <v>2</v>
      </c>
      <c r="B3" s="7" t="s">
        <v>17</v>
      </c>
      <c r="C3" s="7" t="s">
        <v>17</v>
      </c>
      <c r="D3" s="7" t="str">
        <f t="shared" ref="D3:D15" si="0">"RTBNSNPT"&amp;IF($N$2="BG","BG",IF($N$2="GR","GR","MR"))&amp;$K$2&amp;"X"&amp;$L$2&amp;"X06"&amp;"-"&amp;"INCS"</f>
        <v>RTBNSNPTMR75X36X06-INCS</v>
      </c>
      <c r="E3" s="20" t="str">
        <f>IF(N2="MR","SFG-RTC-SNMR-QUILT",IF(N2="BG","SFG-RTC-SNBG-QUILT",IF(N2="GR","SFG-RTC-SNGR-QUILT",0)))</f>
        <v>SFG-RTC-SNMR-QUILT</v>
      </c>
      <c r="F3" s="11" t="s">
        <v>15</v>
      </c>
      <c r="G3" s="10">
        <f>IF(K2&lt;79,(L2+1),IF(L2&lt;37,(K2+1),(K2+1)))*0.0254</f>
        <v>0.93979999999999997</v>
      </c>
      <c r="H3" s="37">
        <f t="shared" ref="H3:H4" si="1">ROUND(G3,3)</f>
        <v>0.94</v>
      </c>
      <c r="I3" s="21" t="s">
        <v>16</v>
      </c>
      <c r="J3" s="5"/>
      <c r="K3" s="18"/>
      <c r="L3" s="18"/>
      <c r="M3" s="18"/>
      <c r="N3" s="18"/>
      <c r="O3" s="4"/>
      <c r="R3" s="34" t="s">
        <v>91</v>
      </c>
      <c r="S3" s="34" t="s">
        <v>110</v>
      </c>
      <c r="T3" s="34" t="s">
        <v>109</v>
      </c>
      <c r="U3" s="35" t="s">
        <v>94</v>
      </c>
    </row>
    <row r="4" spans="1:21" x14ac:dyDescent="0.25">
      <c r="A4" s="7">
        <v>3</v>
      </c>
      <c r="B4" s="7" t="s">
        <v>17</v>
      </c>
      <c r="C4" s="7" t="s">
        <v>17</v>
      </c>
      <c r="D4" s="7" t="str">
        <f t="shared" si="0"/>
        <v>RTBNSNPTMR75X36X06-INCS</v>
      </c>
      <c r="E4" s="20" t="str">
        <f>IF(N2="MR","SFG-RTC-SNMR-BP",IF(N2="BG","SFG-RTC-SNBG-BP",IF(N2="GR","SFG-RTC-SNGR-BP",0)))</f>
        <v>SFG-RTC-SNMR-BP</v>
      </c>
      <c r="F4" s="11" t="s">
        <v>15</v>
      </c>
      <c r="G4" s="10">
        <f>IF(K2&lt;79,(L2+1),IF(L2&lt;37,(K2+1),(K2+1)))*0.0254</f>
        <v>0.93979999999999997</v>
      </c>
      <c r="H4" s="37">
        <f t="shared" si="1"/>
        <v>0.94</v>
      </c>
      <c r="I4" s="21" t="s">
        <v>16</v>
      </c>
      <c r="J4" s="12"/>
      <c r="O4" s="19"/>
      <c r="R4" s="34" t="s">
        <v>91</v>
      </c>
      <c r="S4" s="34" t="s">
        <v>111</v>
      </c>
      <c r="T4" s="34" t="s">
        <v>109</v>
      </c>
      <c r="U4" s="35" t="s">
        <v>94</v>
      </c>
    </row>
    <row r="5" spans="1:21" x14ac:dyDescent="0.25">
      <c r="A5" s="7">
        <v>4</v>
      </c>
      <c r="B5" s="7" t="s">
        <v>19</v>
      </c>
      <c r="C5" s="7" t="s">
        <v>19</v>
      </c>
      <c r="D5" s="7" t="str">
        <f t="shared" si="0"/>
        <v>RTBNSNPTMR75X36X06-INCS</v>
      </c>
      <c r="E5" s="9" t="s">
        <v>105</v>
      </c>
      <c r="F5" s="11" t="s">
        <v>106</v>
      </c>
      <c r="G5" s="10">
        <f>((K2-5)*(L2-5)/144)*0.00729*4</f>
        <v>0.43942499999999995</v>
      </c>
      <c r="H5" s="37">
        <f t="shared" ref="H5:H15" si="2">ROUND(G5,3)</f>
        <v>0.439</v>
      </c>
      <c r="I5" s="8" t="s">
        <v>14</v>
      </c>
      <c r="J5" s="12"/>
      <c r="O5" s="19"/>
      <c r="R5" s="34" t="s">
        <v>91</v>
      </c>
      <c r="S5" s="34" t="s">
        <v>91</v>
      </c>
      <c r="T5" s="34" t="s">
        <v>109</v>
      </c>
      <c r="U5" s="35" t="s">
        <v>94</v>
      </c>
    </row>
    <row r="6" spans="1:21" x14ac:dyDescent="0.25">
      <c r="A6" s="7">
        <v>5</v>
      </c>
      <c r="B6" s="7" t="s">
        <v>17</v>
      </c>
      <c r="C6" s="7" t="s">
        <v>17</v>
      </c>
      <c r="D6" s="7" t="str">
        <f t="shared" si="0"/>
        <v>RTBNSNPTMR75X36X06-INCS</v>
      </c>
      <c r="E6" s="15" t="s">
        <v>18</v>
      </c>
      <c r="F6" s="16" t="s">
        <v>15</v>
      </c>
      <c r="G6" s="10">
        <f>(K2+L2+1.5)*4*0.0254*8</f>
        <v>91.44</v>
      </c>
      <c r="H6" s="37">
        <f t="shared" si="2"/>
        <v>91.44</v>
      </c>
      <c r="I6" s="8" t="s">
        <v>14</v>
      </c>
      <c r="J6" s="12"/>
      <c r="R6" s="34" t="s">
        <v>92</v>
      </c>
      <c r="S6" s="34" t="s">
        <v>108</v>
      </c>
      <c r="T6" s="34" t="s">
        <v>109</v>
      </c>
      <c r="U6" s="35" t="s">
        <v>94</v>
      </c>
    </row>
    <row r="7" spans="1:21" x14ac:dyDescent="0.25">
      <c r="A7" s="7">
        <v>6</v>
      </c>
      <c r="B7" s="7" t="s">
        <v>19</v>
      </c>
      <c r="C7" s="7" t="s">
        <v>19</v>
      </c>
      <c r="D7" s="7" t="str">
        <f t="shared" si="0"/>
        <v>RTBNSNPTMR75X36X06-INCS</v>
      </c>
      <c r="E7" s="15" t="str">
        <f>IF(N2="BG","RML-EDTAPE-WHT-KNIT",IF(N2="GR","RML-EDTAPE-SANI-GREY",IF(N2="MR","RML-EDTAPE-MER-KNIT",0)))</f>
        <v>RML-EDTAPE-MER-KNIT</v>
      </c>
      <c r="F7" s="16" t="s">
        <v>15</v>
      </c>
      <c r="G7" s="10">
        <f>(K2+L2+4)*2*0.0254*4</f>
        <v>23.367999999999999</v>
      </c>
      <c r="H7" s="37">
        <f t="shared" si="2"/>
        <v>23.367999999999999</v>
      </c>
      <c r="I7" s="8" t="s">
        <v>14</v>
      </c>
      <c r="J7" s="12"/>
      <c r="K7" s="19"/>
      <c r="L7" s="19"/>
      <c r="M7" s="19"/>
      <c r="N7" s="19"/>
      <c r="O7" s="19"/>
      <c r="P7" s="19"/>
      <c r="Q7" s="19"/>
      <c r="R7" s="34" t="s">
        <v>92</v>
      </c>
      <c r="S7" s="34" t="s">
        <v>110</v>
      </c>
      <c r="T7" s="34" t="s">
        <v>109</v>
      </c>
      <c r="U7" s="35" t="s">
        <v>94</v>
      </c>
    </row>
    <row r="8" spans="1:21" x14ac:dyDescent="0.25">
      <c r="A8" s="7">
        <v>7</v>
      </c>
      <c r="B8" s="7" t="s">
        <v>19</v>
      </c>
      <c r="C8" s="7" t="s">
        <v>19</v>
      </c>
      <c r="D8" s="7" t="str">
        <f t="shared" si="0"/>
        <v>RTBNSNPTMR75X36X06-INCS</v>
      </c>
      <c r="E8" s="15" t="str">
        <f>IF(N2="BG","RM-THRD-QS-TKT40",IF(N2="GR","RML-THRD-TKT-40GREY",IF(N2="MR","RML-THRD-TKT-40MER",0)))</f>
        <v>RML-THRD-TKT-40MER</v>
      </c>
      <c r="F8" s="16" t="s">
        <v>15</v>
      </c>
      <c r="G8" s="10">
        <f>(K2+L2+4)*2*0.0254*(4.73+1.42)*4</f>
        <v>143.7132</v>
      </c>
      <c r="H8" s="37">
        <f t="shared" si="2"/>
        <v>143.71299999999999</v>
      </c>
      <c r="I8" s="8" t="s">
        <v>14</v>
      </c>
      <c r="J8" s="12"/>
      <c r="K8" s="19"/>
      <c r="L8" s="19"/>
      <c r="M8" s="19"/>
      <c r="N8" s="19"/>
      <c r="O8" s="19"/>
      <c r="P8" s="19"/>
      <c r="Q8" s="19"/>
      <c r="R8" s="34" t="s">
        <v>92</v>
      </c>
      <c r="S8" s="34" t="s">
        <v>111</v>
      </c>
      <c r="T8" s="34" t="s">
        <v>109</v>
      </c>
      <c r="U8" s="35" t="s">
        <v>94</v>
      </c>
    </row>
    <row r="9" spans="1:21" x14ac:dyDescent="0.25">
      <c r="A9" s="7">
        <v>8</v>
      </c>
      <c r="B9" s="7" t="s">
        <v>20</v>
      </c>
      <c r="C9" s="15" t="s">
        <v>20</v>
      </c>
      <c r="D9" s="7" t="str">
        <f t="shared" si="0"/>
        <v>RTBNSNPTMR75X36X06-INCS</v>
      </c>
      <c r="E9" s="15" t="s">
        <v>107</v>
      </c>
      <c r="F9" s="16" t="s">
        <v>11</v>
      </c>
      <c r="G9" s="10">
        <v>4</v>
      </c>
      <c r="H9" s="37">
        <f t="shared" si="2"/>
        <v>4</v>
      </c>
      <c r="I9" s="8" t="s">
        <v>14</v>
      </c>
      <c r="J9" s="12"/>
      <c r="K9" s="19"/>
      <c r="L9" s="19"/>
      <c r="M9" s="19"/>
      <c r="N9" s="19"/>
      <c r="O9" s="19"/>
      <c r="P9" s="23"/>
      <c r="Q9" s="19"/>
      <c r="R9" s="34" t="s">
        <v>92</v>
      </c>
      <c r="S9" s="34" t="s">
        <v>91</v>
      </c>
      <c r="T9" s="34" t="s">
        <v>109</v>
      </c>
      <c r="U9" s="35" t="s">
        <v>94</v>
      </c>
    </row>
    <row r="10" spans="1:21" x14ac:dyDescent="0.25">
      <c r="A10" s="7">
        <v>9</v>
      </c>
      <c r="B10" s="7" t="s">
        <v>19</v>
      </c>
      <c r="C10" s="7" t="s">
        <v>19</v>
      </c>
      <c r="D10" s="7" t="str">
        <f t="shared" si="0"/>
        <v>RTBNSNPTMR75X36X06-INCS</v>
      </c>
      <c r="E10" s="15" t="s">
        <v>21</v>
      </c>
      <c r="F10" s="16" t="s">
        <v>11</v>
      </c>
      <c r="G10" s="10">
        <v>1</v>
      </c>
      <c r="H10" s="37">
        <f t="shared" si="2"/>
        <v>1</v>
      </c>
      <c r="I10" s="8" t="s">
        <v>14</v>
      </c>
      <c r="J10" s="12"/>
      <c r="K10" s="19"/>
      <c r="L10" s="19"/>
      <c r="M10" s="19"/>
      <c r="N10" s="19"/>
      <c r="O10" s="19"/>
      <c r="P10" s="19"/>
      <c r="Q10" s="19"/>
      <c r="R10" s="34" t="s">
        <v>93</v>
      </c>
      <c r="S10" s="34" t="s">
        <v>111</v>
      </c>
      <c r="T10" s="34" t="s">
        <v>109</v>
      </c>
      <c r="U10" s="35" t="s">
        <v>94</v>
      </c>
    </row>
    <row r="11" spans="1:21" x14ac:dyDescent="0.25">
      <c r="A11" s="7">
        <v>10</v>
      </c>
      <c r="B11" s="7" t="s">
        <v>20</v>
      </c>
      <c r="C11" s="15" t="s">
        <v>20</v>
      </c>
      <c r="D11" s="7" t="str">
        <f t="shared" si="0"/>
        <v>RTBNSNPTMR75X36X06-INCS</v>
      </c>
      <c r="E11" s="15" t="s">
        <v>22</v>
      </c>
      <c r="F11" s="16" t="s">
        <v>11</v>
      </c>
      <c r="G11" s="14">
        <v>1</v>
      </c>
      <c r="H11" s="37">
        <f t="shared" si="2"/>
        <v>1</v>
      </c>
      <c r="I11" s="8" t="s">
        <v>14</v>
      </c>
      <c r="J11" s="12"/>
      <c r="K11" s="24"/>
      <c r="L11" s="24"/>
      <c r="M11" s="19"/>
      <c r="N11" s="23"/>
      <c r="O11" s="19"/>
      <c r="P11" s="19"/>
      <c r="Q11" s="19"/>
      <c r="R11" s="34" t="s">
        <v>93</v>
      </c>
      <c r="S11" s="34" t="s">
        <v>91</v>
      </c>
      <c r="T11" s="34" t="s">
        <v>109</v>
      </c>
      <c r="U11" s="35" t="s">
        <v>94</v>
      </c>
    </row>
    <row r="12" spans="1:21" x14ac:dyDescent="0.25">
      <c r="A12" s="7">
        <v>11</v>
      </c>
      <c r="B12" s="7" t="s">
        <v>20</v>
      </c>
      <c r="C12" s="9" t="s">
        <v>20</v>
      </c>
      <c r="D12" s="7" t="str">
        <f t="shared" si="0"/>
        <v>RTBNSNPTMR75X36X06-INCS</v>
      </c>
      <c r="E12" s="9" t="s">
        <v>23</v>
      </c>
      <c r="F12" s="11" t="s">
        <v>11</v>
      </c>
      <c r="G12" s="14">
        <v>1</v>
      </c>
      <c r="H12" s="37">
        <f t="shared" si="2"/>
        <v>1</v>
      </c>
      <c r="I12" s="8" t="s">
        <v>14</v>
      </c>
      <c r="J12" s="12"/>
      <c r="K12" s="19"/>
      <c r="L12" s="19"/>
      <c r="M12" s="19"/>
      <c r="N12" s="19"/>
      <c r="O12" s="19"/>
      <c r="P12" s="19"/>
      <c r="Q12" s="19"/>
      <c r="R12" s="34" t="s">
        <v>91</v>
      </c>
      <c r="S12" s="34" t="s">
        <v>108</v>
      </c>
      <c r="T12" s="34" t="s">
        <v>109</v>
      </c>
      <c r="U12" s="35" t="s">
        <v>96</v>
      </c>
    </row>
    <row r="13" spans="1:21" x14ac:dyDescent="0.25">
      <c r="A13" s="7">
        <v>12</v>
      </c>
      <c r="B13" s="7" t="s">
        <v>20</v>
      </c>
      <c r="C13" s="9" t="s">
        <v>20</v>
      </c>
      <c r="D13" s="7" t="str">
        <f t="shared" si="0"/>
        <v>RTBNSNPTMR75X36X06-INCS</v>
      </c>
      <c r="E13" s="9" t="s">
        <v>112</v>
      </c>
      <c r="F13" s="11" t="s">
        <v>13</v>
      </c>
      <c r="G13" s="10">
        <f>IF(K2&lt;79,((L2*2)+(M2*2)+4),((K2*2)+(M2*2)+4))*0.0254*89.5*0.0254*0.00005*1300</f>
        <v>0.33028321039999997</v>
      </c>
      <c r="H13" s="37">
        <f t="shared" si="2"/>
        <v>0.33</v>
      </c>
      <c r="I13" s="8" t="s">
        <v>14</v>
      </c>
      <c r="J13" s="12"/>
      <c r="K13" s="22"/>
      <c r="R13" s="34" t="s">
        <v>91</v>
      </c>
      <c r="S13" s="34" t="s">
        <v>110</v>
      </c>
      <c r="T13" s="34" t="s">
        <v>109</v>
      </c>
      <c r="U13" s="35" t="s">
        <v>96</v>
      </c>
    </row>
    <row r="14" spans="1:21" x14ac:dyDescent="0.25">
      <c r="A14" s="7">
        <v>13</v>
      </c>
      <c r="B14" s="7" t="s">
        <v>19</v>
      </c>
      <c r="C14" s="7" t="s">
        <v>19</v>
      </c>
      <c r="D14" s="7" t="str">
        <f t="shared" si="0"/>
        <v>RTBNSNPTMR75X36X06-INCS</v>
      </c>
      <c r="E14" s="40" t="str">
        <f>"25D-HELIXA-FOAM-"&amp;(K2-3)&amp;"X"&amp;(L2-3)&amp;"X15MM"</f>
        <v>25D-HELIXA-FOAM-72X33X15MM</v>
      </c>
      <c r="F14" s="8" t="s">
        <v>11</v>
      </c>
      <c r="G14" s="14">
        <v>1</v>
      </c>
      <c r="H14" s="37">
        <f t="shared" si="2"/>
        <v>1</v>
      </c>
      <c r="I14" s="21" t="s">
        <v>16</v>
      </c>
      <c r="J14" s="12"/>
      <c r="M14" s="22"/>
      <c r="O14" s="22"/>
      <c r="R14" s="34" t="s">
        <v>91</v>
      </c>
      <c r="S14" s="34" t="s">
        <v>111</v>
      </c>
      <c r="T14" s="34" t="s">
        <v>109</v>
      </c>
      <c r="U14" s="35" t="s">
        <v>96</v>
      </c>
    </row>
    <row r="15" spans="1:21" x14ac:dyDescent="0.25">
      <c r="A15" s="7">
        <v>14</v>
      </c>
      <c r="B15" s="7" t="s">
        <v>19</v>
      </c>
      <c r="C15" s="7" t="s">
        <v>19</v>
      </c>
      <c r="D15" s="7" t="str">
        <f t="shared" si="0"/>
        <v>RTBNSNPTMR75X36X06-INCS</v>
      </c>
      <c r="E15" s="40" t="str">
        <f>"17D-PU-FOAM-"&amp;(K2-5)&amp;"X"&amp;(L2-5)&amp;"X10MM"</f>
        <v>17D-PU-FOAM-70X31X10MM</v>
      </c>
      <c r="F15" s="8" t="s">
        <v>11</v>
      </c>
      <c r="G15" s="14">
        <v>1</v>
      </c>
      <c r="H15" s="37">
        <f t="shared" si="2"/>
        <v>1</v>
      </c>
      <c r="I15" s="21" t="s">
        <v>16</v>
      </c>
      <c r="J15" s="12"/>
      <c r="N15"/>
      <c r="O15"/>
      <c r="R15" s="34" t="s">
        <v>91</v>
      </c>
      <c r="S15" s="34" t="s">
        <v>91</v>
      </c>
      <c r="T15" s="34" t="s">
        <v>109</v>
      </c>
      <c r="U15" s="35" t="s">
        <v>96</v>
      </c>
    </row>
    <row r="16" spans="1:21" x14ac:dyDescent="0.25">
      <c r="J16" s="12"/>
      <c r="M16" s="22"/>
      <c r="N16"/>
      <c r="O16"/>
      <c r="R16" s="34" t="s">
        <v>92</v>
      </c>
      <c r="S16" s="34" t="s">
        <v>108</v>
      </c>
      <c r="T16" s="34" t="s">
        <v>109</v>
      </c>
      <c r="U16" s="35" t="s">
        <v>96</v>
      </c>
    </row>
    <row r="17" spans="5:21" x14ac:dyDescent="0.25">
      <c r="J17" s="12"/>
      <c r="N17"/>
      <c r="O17"/>
      <c r="R17" s="34" t="s">
        <v>92</v>
      </c>
      <c r="S17" s="34" t="s">
        <v>110</v>
      </c>
      <c r="T17" s="34" t="s">
        <v>109</v>
      </c>
      <c r="U17" s="35" t="s">
        <v>96</v>
      </c>
    </row>
    <row r="18" spans="5:21" x14ac:dyDescent="0.25">
      <c r="J18" s="12"/>
      <c r="N18"/>
      <c r="O18"/>
      <c r="R18" s="34" t="s">
        <v>92</v>
      </c>
      <c r="S18" s="34" t="s">
        <v>111</v>
      </c>
      <c r="T18" s="34" t="s">
        <v>109</v>
      </c>
      <c r="U18" s="35" t="s">
        <v>96</v>
      </c>
    </row>
    <row r="19" spans="5:21" x14ac:dyDescent="0.25">
      <c r="J19" s="12"/>
      <c r="N19"/>
      <c r="O19"/>
      <c r="R19" s="34" t="s">
        <v>92</v>
      </c>
      <c r="S19" s="34" t="s">
        <v>91</v>
      </c>
      <c r="T19" s="34" t="s">
        <v>109</v>
      </c>
      <c r="U19" s="35" t="s">
        <v>96</v>
      </c>
    </row>
    <row r="20" spans="5:21" x14ac:dyDescent="0.25">
      <c r="J20" s="12"/>
      <c r="N20" s="31"/>
      <c r="O20"/>
      <c r="R20" s="34" t="s">
        <v>93</v>
      </c>
      <c r="S20" s="34" t="s">
        <v>111</v>
      </c>
      <c r="T20" s="34" t="s">
        <v>109</v>
      </c>
      <c r="U20" s="35" t="s">
        <v>96</v>
      </c>
    </row>
    <row r="21" spans="5:21" x14ac:dyDescent="0.25">
      <c r="J21" s="12"/>
      <c r="N21"/>
      <c r="O21"/>
      <c r="R21" s="34" t="s">
        <v>93</v>
      </c>
      <c r="S21" s="34" t="s">
        <v>91</v>
      </c>
      <c r="T21" s="34" t="s">
        <v>109</v>
      </c>
      <c r="U21" s="35" t="s">
        <v>96</v>
      </c>
    </row>
    <row r="22" spans="5:21" x14ac:dyDescent="0.25">
      <c r="J22" s="12"/>
      <c r="N22"/>
      <c r="O22"/>
      <c r="R22" s="34" t="s">
        <v>91</v>
      </c>
      <c r="S22" s="34" t="s">
        <v>108</v>
      </c>
      <c r="T22" s="34" t="s">
        <v>109</v>
      </c>
      <c r="U22" s="35" t="s">
        <v>97</v>
      </c>
    </row>
    <row r="23" spans="5:21" x14ac:dyDescent="0.25">
      <c r="J23" s="13"/>
      <c r="K23" s="19"/>
      <c r="L23" s="19"/>
      <c r="M23" s="19"/>
      <c r="N23"/>
      <c r="O23"/>
      <c r="P23" s="19"/>
      <c r="Q23" s="19"/>
      <c r="R23" s="34" t="s">
        <v>91</v>
      </c>
      <c r="S23" s="34" t="s">
        <v>110</v>
      </c>
      <c r="T23" s="34" t="s">
        <v>109</v>
      </c>
      <c r="U23" s="35" t="s">
        <v>97</v>
      </c>
    </row>
    <row r="24" spans="5:21" x14ac:dyDescent="0.25">
      <c r="J24" s="13"/>
      <c r="K24" s="19"/>
      <c r="L24" s="19"/>
      <c r="M24" s="19"/>
      <c r="N24" s="31"/>
      <c r="O24"/>
      <c r="P24" s="19"/>
      <c r="Q24" s="19"/>
      <c r="R24" s="34" t="s">
        <v>91</v>
      </c>
      <c r="S24" s="34" t="s">
        <v>111</v>
      </c>
      <c r="T24" s="34" t="s">
        <v>109</v>
      </c>
      <c r="U24" s="35" t="s">
        <v>97</v>
      </c>
    </row>
    <row r="25" spans="5:21" x14ac:dyDescent="0.25">
      <c r="G25" s="22"/>
      <c r="H25" s="32"/>
      <c r="I25" s="33"/>
      <c r="N25"/>
      <c r="O25"/>
      <c r="R25" s="34" t="s">
        <v>91</v>
      </c>
      <c r="S25" s="34" t="s">
        <v>91</v>
      </c>
      <c r="T25" s="34" t="s">
        <v>109</v>
      </c>
      <c r="U25" s="35" t="s">
        <v>97</v>
      </c>
    </row>
    <row r="26" spans="5:21" x14ac:dyDescent="0.25">
      <c r="G26" s="22"/>
      <c r="N26"/>
      <c r="O26"/>
      <c r="R26" s="34" t="s">
        <v>92</v>
      </c>
      <c r="S26" s="34" t="s">
        <v>108</v>
      </c>
      <c r="T26" s="34" t="s">
        <v>109</v>
      </c>
      <c r="U26" s="35" t="s">
        <v>97</v>
      </c>
    </row>
    <row r="27" spans="5:21" x14ac:dyDescent="0.25">
      <c r="G27" s="22"/>
      <c r="I27" s="22"/>
      <c r="N27"/>
      <c r="O27"/>
      <c r="R27" s="34" t="s">
        <v>92</v>
      </c>
      <c r="S27" s="34" t="s">
        <v>110</v>
      </c>
      <c r="T27" s="34" t="s">
        <v>109</v>
      </c>
      <c r="U27" s="35" t="s">
        <v>97</v>
      </c>
    </row>
    <row r="28" spans="5:21" x14ac:dyDescent="0.25">
      <c r="E28" s="22"/>
      <c r="I28" s="22"/>
      <c r="M28" s="22"/>
      <c r="N28"/>
      <c r="O28"/>
      <c r="R28" s="34" t="s">
        <v>92</v>
      </c>
      <c r="S28" s="34" t="s">
        <v>111</v>
      </c>
      <c r="T28" s="34" t="s">
        <v>109</v>
      </c>
      <c r="U28" s="35" t="s">
        <v>97</v>
      </c>
    </row>
    <row r="29" spans="5:21" x14ac:dyDescent="0.25">
      <c r="E29" s="22"/>
      <c r="N29"/>
      <c r="O29"/>
      <c r="R29" s="34" t="s">
        <v>92</v>
      </c>
      <c r="S29" s="34" t="s">
        <v>91</v>
      </c>
      <c r="T29" s="34" t="s">
        <v>109</v>
      </c>
      <c r="U29" s="35" t="s">
        <v>97</v>
      </c>
    </row>
    <row r="30" spans="5:21" x14ac:dyDescent="0.25">
      <c r="H30" s="22"/>
      <c r="N30"/>
      <c r="O30"/>
      <c r="R30" s="34" t="s">
        <v>93</v>
      </c>
      <c r="S30" s="34" t="s">
        <v>111</v>
      </c>
      <c r="T30" s="34" t="s">
        <v>109</v>
      </c>
      <c r="U30" s="35" t="s">
        <v>97</v>
      </c>
    </row>
    <row r="31" spans="5:21" x14ac:dyDescent="0.25">
      <c r="N31"/>
      <c r="O31"/>
      <c r="R31" s="34" t="s">
        <v>93</v>
      </c>
      <c r="S31" s="34" t="s">
        <v>91</v>
      </c>
      <c r="T31" s="34" t="s">
        <v>109</v>
      </c>
      <c r="U31" s="35" t="s">
        <v>97</v>
      </c>
    </row>
    <row r="32" spans="5:21" x14ac:dyDescent="0.25">
      <c r="N32"/>
      <c r="O32"/>
      <c r="R32" s="34"/>
      <c r="S32" s="34"/>
      <c r="T32" s="34"/>
      <c r="U32" s="35"/>
    </row>
    <row r="33" spans="14:21" x14ac:dyDescent="0.25">
      <c r="N33"/>
      <c r="O33"/>
      <c r="R33" s="34"/>
      <c r="S33" s="34"/>
      <c r="T33" s="34"/>
      <c r="U33" s="35"/>
    </row>
    <row r="34" spans="14:21" x14ac:dyDescent="0.25">
      <c r="N34"/>
      <c r="O34"/>
      <c r="R34" s="34"/>
      <c r="S34" s="34"/>
      <c r="T34" s="34"/>
      <c r="U34" s="35"/>
    </row>
    <row r="35" spans="14:21" x14ac:dyDescent="0.25">
      <c r="N35"/>
      <c r="O35"/>
      <c r="R35" s="34"/>
      <c r="S35" s="34"/>
      <c r="T35" s="34"/>
      <c r="U35" s="35"/>
    </row>
    <row r="36" spans="14:21" x14ac:dyDescent="0.25">
      <c r="N36"/>
      <c r="O36"/>
      <c r="R36" s="34"/>
      <c r="S36" s="34"/>
      <c r="T36" s="34"/>
      <c r="U36" s="35"/>
    </row>
    <row r="37" spans="14:21" x14ac:dyDescent="0.25">
      <c r="N37"/>
      <c r="O37"/>
      <c r="R37" s="34"/>
      <c r="S37" s="34"/>
      <c r="T37" s="34"/>
      <c r="U37" s="35"/>
    </row>
    <row r="38" spans="14:21" x14ac:dyDescent="0.25">
      <c r="N38"/>
      <c r="O38"/>
      <c r="R38" s="34"/>
      <c r="S38" s="34"/>
      <c r="T38" s="34"/>
      <c r="U38" s="35"/>
    </row>
    <row r="39" spans="14:21" x14ac:dyDescent="0.25">
      <c r="N39"/>
      <c r="O39"/>
      <c r="R39" s="34"/>
      <c r="S39" s="34"/>
      <c r="T39" s="34"/>
      <c r="U39" s="35"/>
    </row>
    <row r="40" spans="14:21" x14ac:dyDescent="0.25">
      <c r="N40"/>
      <c r="O40"/>
      <c r="R40" s="34"/>
      <c r="S40" s="34"/>
      <c r="T40" s="34"/>
      <c r="U40" s="35"/>
    </row>
    <row r="41" spans="14:21" x14ac:dyDescent="0.25">
      <c r="N41"/>
      <c r="O41"/>
      <c r="R41" s="34"/>
      <c r="S41" s="34"/>
      <c r="T41" s="34"/>
      <c r="U41" s="35"/>
    </row>
    <row r="42" spans="14:21" x14ac:dyDescent="0.25">
      <c r="N42"/>
      <c r="O42"/>
      <c r="R42" s="34"/>
      <c r="S42" s="34"/>
      <c r="T42" s="34"/>
      <c r="U42" s="35"/>
    </row>
    <row r="43" spans="14:21" x14ac:dyDescent="0.25">
      <c r="N43"/>
      <c r="O43"/>
      <c r="R43" s="34"/>
      <c r="S43" s="34"/>
      <c r="T43" s="34"/>
      <c r="U43" s="35"/>
    </row>
    <row r="44" spans="14:21" x14ac:dyDescent="0.25">
      <c r="N44"/>
      <c r="O44"/>
      <c r="R44" s="34"/>
      <c r="S44" s="34"/>
      <c r="T44" s="34"/>
      <c r="U44" s="35"/>
    </row>
    <row r="45" spans="14:21" x14ac:dyDescent="0.25">
      <c r="N45"/>
      <c r="O45"/>
      <c r="R45" s="34"/>
      <c r="S45" s="34"/>
      <c r="T45" s="34"/>
      <c r="U45" s="35"/>
    </row>
    <row r="46" spans="14:21" x14ac:dyDescent="0.25">
      <c r="N46"/>
      <c r="O46"/>
      <c r="R46" s="34"/>
      <c r="S46" s="34"/>
      <c r="T46" s="34"/>
      <c r="U46" s="35"/>
    </row>
    <row r="47" spans="14:21" x14ac:dyDescent="0.25">
      <c r="N47"/>
      <c r="O47"/>
      <c r="R47" s="34"/>
      <c r="S47" s="34"/>
      <c r="T47" s="34"/>
      <c r="U47" s="35"/>
    </row>
    <row r="48" spans="14:21" x14ac:dyDescent="0.25">
      <c r="N48"/>
      <c r="O48"/>
      <c r="R48" s="34"/>
      <c r="S48" s="34"/>
      <c r="T48" s="34"/>
      <c r="U48" s="35"/>
    </row>
    <row r="49" spans="14:21" x14ac:dyDescent="0.25">
      <c r="N49"/>
      <c r="O49"/>
      <c r="R49" s="34"/>
      <c r="S49" s="34"/>
      <c r="T49" s="34"/>
      <c r="U49" s="35"/>
    </row>
    <row r="50" spans="14:21" x14ac:dyDescent="0.25">
      <c r="R50" s="34"/>
      <c r="S50" s="34"/>
      <c r="T50" s="34"/>
      <c r="U50" s="35"/>
    </row>
    <row r="51" spans="14:21" x14ac:dyDescent="0.25">
      <c r="R51" s="34"/>
      <c r="S51" s="34"/>
      <c r="T51" s="34"/>
      <c r="U51" s="35"/>
    </row>
    <row r="52" spans="14:21" x14ac:dyDescent="0.25">
      <c r="R52" s="34"/>
      <c r="S52" s="34"/>
      <c r="T52" s="34"/>
      <c r="U52" s="35"/>
    </row>
    <row r="53" spans="14:21" x14ac:dyDescent="0.25">
      <c r="R53" s="34"/>
      <c r="S53" s="34"/>
      <c r="T53" s="34"/>
      <c r="U53" s="35"/>
    </row>
    <row r="54" spans="14:21" x14ac:dyDescent="0.25">
      <c r="R54" s="34"/>
      <c r="S54" s="34"/>
      <c r="T54" s="34"/>
      <c r="U54" s="35"/>
    </row>
    <row r="55" spans="14:21" x14ac:dyDescent="0.25">
      <c r="R55" s="34"/>
      <c r="S55" s="34"/>
      <c r="T55" s="34"/>
      <c r="U55" s="35"/>
    </row>
    <row r="56" spans="14:21" x14ac:dyDescent="0.25">
      <c r="R56" s="34"/>
      <c r="S56" s="34"/>
      <c r="T56" s="34"/>
      <c r="U56" s="35"/>
    </row>
    <row r="57" spans="14:21" x14ac:dyDescent="0.25">
      <c r="R57" s="34"/>
      <c r="S57" s="34"/>
      <c r="T57" s="34"/>
      <c r="U57" s="35"/>
    </row>
    <row r="58" spans="14:21" x14ac:dyDescent="0.25">
      <c r="R58" s="34"/>
      <c r="S58" s="34"/>
      <c r="T58" s="34"/>
      <c r="U58" s="35"/>
    </row>
    <row r="59" spans="14:21" x14ac:dyDescent="0.25">
      <c r="R59" s="34"/>
      <c r="S59" s="34"/>
      <c r="T59" s="34"/>
      <c r="U59" s="35"/>
    </row>
    <row r="60" spans="14:21" x14ac:dyDescent="0.25">
      <c r="R60" s="34"/>
      <c r="S60" s="34"/>
      <c r="T60" s="34"/>
      <c r="U60" s="35"/>
    </row>
    <row r="61" spans="14:21" x14ac:dyDescent="0.25">
      <c r="R61" s="34"/>
      <c r="S61" s="34"/>
      <c r="T61" s="34"/>
      <c r="U61" s="35"/>
    </row>
    <row r="62" spans="14:21" x14ac:dyDescent="0.25">
      <c r="R62" s="34"/>
      <c r="S62" s="34"/>
      <c r="T62" s="34"/>
      <c r="U62" s="35"/>
    </row>
    <row r="63" spans="14:21" x14ac:dyDescent="0.25">
      <c r="R63" s="34"/>
      <c r="S63" s="34"/>
      <c r="T63" s="34"/>
      <c r="U63" s="35"/>
    </row>
    <row r="64" spans="14:21" x14ac:dyDescent="0.25">
      <c r="R64" s="34"/>
      <c r="S64" s="34"/>
      <c r="T64" s="34"/>
      <c r="U64" s="35"/>
    </row>
    <row r="65" spans="18:21" x14ac:dyDescent="0.25">
      <c r="R65" s="34"/>
      <c r="S65" s="34"/>
      <c r="T65" s="34"/>
      <c r="U65" s="35"/>
    </row>
    <row r="66" spans="18:21" x14ac:dyDescent="0.25">
      <c r="R66" s="34"/>
      <c r="S66" s="34"/>
      <c r="T66" s="34"/>
      <c r="U66" s="35"/>
    </row>
    <row r="67" spans="18:21" x14ac:dyDescent="0.25">
      <c r="R67" s="34"/>
      <c r="S67" s="34"/>
      <c r="T67" s="34"/>
      <c r="U67" s="35"/>
    </row>
    <row r="68" spans="18:21" x14ac:dyDescent="0.25">
      <c r="R68" s="34"/>
      <c r="S68" s="34"/>
      <c r="T68" s="34"/>
      <c r="U68" s="35"/>
    </row>
    <row r="69" spans="18:21" x14ac:dyDescent="0.25">
      <c r="R69" s="34"/>
      <c r="S69" s="34"/>
      <c r="T69" s="34"/>
      <c r="U69" s="35"/>
    </row>
    <row r="70" spans="18:21" x14ac:dyDescent="0.25">
      <c r="R70" s="34"/>
      <c r="S70" s="34"/>
      <c r="T70" s="34"/>
      <c r="U70" s="35"/>
    </row>
    <row r="71" spans="18:21" x14ac:dyDescent="0.25">
      <c r="R71" s="34"/>
      <c r="S71" s="34"/>
      <c r="T71" s="34"/>
      <c r="U71" s="35"/>
    </row>
    <row r="72" spans="18:21" x14ac:dyDescent="0.25">
      <c r="R72" s="34"/>
      <c r="S72" s="34"/>
      <c r="T72" s="34"/>
      <c r="U72" s="35"/>
    </row>
    <row r="73" spans="18:21" x14ac:dyDescent="0.25">
      <c r="R73" s="34"/>
      <c r="S73" s="34"/>
      <c r="T73" s="34"/>
      <c r="U73" s="35"/>
    </row>
    <row r="74" spans="18:21" x14ac:dyDescent="0.25">
      <c r="R74" s="34"/>
      <c r="S74" s="34"/>
      <c r="T74" s="34"/>
      <c r="U74" s="35"/>
    </row>
    <row r="75" spans="18:21" x14ac:dyDescent="0.25">
      <c r="R75" s="34"/>
      <c r="S75" s="34"/>
      <c r="T75" s="34"/>
      <c r="U75" s="35"/>
    </row>
    <row r="76" spans="18:21" x14ac:dyDescent="0.25">
      <c r="R76" s="34"/>
      <c r="S76" s="34"/>
      <c r="T76" s="34"/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4"/>
      <c r="U112" s="35"/>
    </row>
    <row r="113" spans="18:21" x14ac:dyDescent="0.25">
      <c r="R113" s="34"/>
      <c r="S113" s="34"/>
      <c r="T113" s="34"/>
      <c r="U113" s="35"/>
    </row>
    <row r="114" spans="18:21" x14ac:dyDescent="0.25">
      <c r="R114" s="34"/>
      <c r="S114" s="34"/>
      <c r="T114" s="34"/>
      <c r="U114" s="35"/>
    </row>
    <row r="115" spans="18:21" x14ac:dyDescent="0.25">
      <c r="R115" s="34"/>
      <c r="S115" s="34"/>
      <c r="T115" s="34"/>
      <c r="U115" s="35"/>
    </row>
    <row r="116" spans="18:21" x14ac:dyDescent="0.25">
      <c r="R116" s="34"/>
      <c r="S116" s="34"/>
      <c r="T116" s="34"/>
      <c r="U116" s="35"/>
    </row>
    <row r="117" spans="18:21" x14ac:dyDescent="0.25">
      <c r="R117" s="34"/>
      <c r="S117" s="34"/>
      <c r="T117" s="34"/>
      <c r="U117" s="35"/>
    </row>
    <row r="118" spans="18:21" x14ac:dyDescent="0.25">
      <c r="R118" s="34"/>
      <c r="S118" s="34"/>
      <c r="T118" s="34"/>
      <c r="U118" s="35"/>
    </row>
    <row r="119" spans="18:21" x14ac:dyDescent="0.25">
      <c r="R119" s="34"/>
      <c r="S119" s="34"/>
      <c r="T119" s="34"/>
      <c r="U119" s="35"/>
    </row>
    <row r="120" spans="18:21" x14ac:dyDescent="0.25">
      <c r="R120" s="34"/>
      <c r="S120" s="34"/>
      <c r="T120" s="34"/>
      <c r="U120" s="35"/>
    </row>
    <row r="121" spans="18:21" x14ac:dyDescent="0.25">
      <c r="R121" s="34"/>
      <c r="S121" s="34"/>
      <c r="T121" s="34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2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9" t="s">
        <v>80</v>
      </c>
      <c r="B1" s="29" t="s">
        <v>81</v>
      </c>
      <c r="C1" s="30" t="s">
        <v>82</v>
      </c>
      <c r="D1" s="29" t="s">
        <v>83</v>
      </c>
      <c r="E1" s="29" t="s">
        <v>4</v>
      </c>
      <c r="F1" s="29" t="s">
        <v>84</v>
      </c>
      <c r="G1" s="30" t="s">
        <v>85</v>
      </c>
    </row>
    <row r="2" spans="1:7" x14ac:dyDescent="0.25">
      <c r="A2">
        <v>1</v>
      </c>
      <c r="B2" t="s">
        <v>113</v>
      </c>
      <c r="C2">
        <v>10</v>
      </c>
      <c r="D2" t="s">
        <v>146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98</v>
      </c>
      <c r="E3" t="s">
        <v>15</v>
      </c>
      <c r="F3">
        <v>0.94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114</v>
      </c>
      <c r="E4" t="s">
        <v>15</v>
      </c>
      <c r="F4">
        <v>0.94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105</v>
      </c>
      <c r="E5" t="s">
        <v>106</v>
      </c>
      <c r="F5">
        <v>0.42099999999999999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18</v>
      </c>
      <c r="E6" t="s">
        <v>15</v>
      </c>
      <c r="F6">
        <v>89.001999999999995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95</v>
      </c>
      <c r="E7" t="s">
        <v>15</v>
      </c>
      <c r="F7">
        <v>22.757999999999999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139.964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107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112</v>
      </c>
      <c r="E13" t="s">
        <v>13</v>
      </c>
      <c r="F13">
        <v>0.33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147</v>
      </c>
      <c r="E14" t="s">
        <v>11</v>
      </c>
      <c r="F14">
        <v>1</v>
      </c>
      <c r="G14" t="s">
        <v>16</v>
      </c>
    </row>
    <row r="15" spans="1:7" x14ac:dyDescent="0.25">
      <c r="A15">
        <v>1</v>
      </c>
      <c r="B15" t="s">
        <v>113</v>
      </c>
      <c r="C15">
        <v>140</v>
      </c>
      <c r="D15" t="s">
        <v>148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115</v>
      </c>
      <c r="C16">
        <v>10</v>
      </c>
      <c r="D16" t="s">
        <v>149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115</v>
      </c>
      <c r="C17">
        <v>20</v>
      </c>
      <c r="D17" t="s">
        <v>98</v>
      </c>
      <c r="E17" t="s">
        <v>15</v>
      </c>
      <c r="F17">
        <v>1.2450000000000001</v>
      </c>
      <c r="G17" t="s">
        <v>16</v>
      </c>
    </row>
    <row r="18" spans="1:7" x14ac:dyDescent="0.25">
      <c r="A18">
        <v>2</v>
      </c>
      <c r="B18" t="s">
        <v>115</v>
      </c>
      <c r="C18">
        <v>30</v>
      </c>
      <c r="D18" t="s">
        <v>114</v>
      </c>
      <c r="E18" t="s">
        <v>15</v>
      </c>
      <c r="F18">
        <v>1.2450000000000001</v>
      </c>
      <c r="G18" t="s">
        <v>16</v>
      </c>
    </row>
    <row r="19" spans="1:7" x14ac:dyDescent="0.25">
      <c r="A19">
        <v>2</v>
      </c>
      <c r="B19" t="s">
        <v>115</v>
      </c>
      <c r="C19">
        <v>40</v>
      </c>
      <c r="D19" t="s">
        <v>105</v>
      </c>
      <c r="E19" t="s">
        <v>106</v>
      </c>
      <c r="F19">
        <v>0.58299999999999996</v>
      </c>
      <c r="G19" t="s">
        <v>14</v>
      </c>
    </row>
    <row r="20" spans="1:7" x14ac:dyDescent="0.25">
      <c r="A20">
        <v>2</v>
      </c>
      <c r="B20" t="s">
        <v>115</v>
      </c>
      <c r="C20">
        <v>50</v>
      </c>
      <c r="D20" t="s">
        <v>18</v>
      </c>
      <c r="E20" t="s">
        <v>15</v>
      </c>
      <c r="F20">
        <v>98.754999999999995</v>
      </c>
      <c r="G20" t="s">
        <v>14</v>
      </c>
    </row>
    <row r="21" spans="1:7" x14ac:dyDescent="0.25">
      <c r="A21">
        <v>2</v>
      </c>
      <c r="B21" t="s">
        <v>115</v>
      </c>
      <c r="C21">
        <v>60</v>
      </c>
      <c r="D21" t="s">
        <v>95</v>
      </c>
      <c r="E21" t="s">
        <v>15</v>
      </c>
      <c r="F21">
        <v>25.196999999999999</v>
      </c>
      <c r="G21" t="s">
        <v>14</v>
      </c>
    </row>
    <row r="22" spans="1:7" x14ac:dyDescent="0.25">
      <c r="A22">
        <v>2</v>
      </c>
      <c r="B22" t="s">
        <v>115</v>
      </c>
      <c r="C22">
        <v>70</v>
      </c>
      <c r="D22" t="s">
        <v>18</v>
      </c>
      <c r="E22" t="s">
        <v>15</v>
      </c>
      <c r="F22">
        <v>154.96</v>
      </c>
      <c r="G22" t="s">
        <v>14</v>
      </c>
    </row>
    <row r="23" spans="1:7" x14ac:dyDescent="0.25">
      <c r="A23">
        <v>2</v>
      </c>
      <c r="B23" t="s">
        <v>115</v>
      </c>
      <c r="C23">
        <v>80</v>
      </c>
      <c r="D23" t="s">
        <v>107</v>
      </c>
      <c r="E23" t="s">
        <v>11</v>
      </c>
      <c r="F23">
        <v>4</v>
      </c>
      <c r="G23" t="s">
        <v>14</v>
      </c>
    </row>
    <row r="24" spans="1:7" x14ac:dyDescent="0.25">
      <c r="A24">
        <v>2</v>
      </c>
      <c r="B24" t="s">
        <v>115</v>
      </c>
      <c r="C24">
        <v>90</v>
      </c>
      <c r="D24" t="s">
        <v>21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115</v>
      </c>
      <c r="C25">
        <v>100</v>
      </c>
      <c r="D25" t="s">
        <v>22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115</v>
      </c>
      <c r="C26">
        <v>110</v>
      </c>
      <c r="D26" t="s">
        <v>23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115</v>
      </c>
      <c r="C27">
        <v>120</v>
      </c>
      <c r="D27" t="s">
        <v>112</v>
      </c>
      <c r="E27" t="s">
        <v>13</v>
      </c>
      <c r="F27">
        <v>0.42</v>
      </c>
      <c r="G27" t="s">
        <v>14</v>
      </c>
    </row>
    <row r="28" spans="1:7" x14ac:dyDescent="0.25">
      <c r="A28">
        <v>2</v>
      </c>
      <c r="B28" t="s">
        <v>115</v>
      </c>
      <c r="C28">
        <v>130</v>
      </c>
      <c r="D28" t="s">
        <v>150</v>
      </c>
      <c r="E28" t="s">
        <v>11</v>
      </c>
      <c r="F28">
        <v>1</v>
      </c>
      <c r="G28" t="s">
        <v>16</v>
      </c>
    </row>
    <row r="29" spans="1:7" x14ac:dyDescent="0.25">
      <c r="A29">
        <v>2</v>
      </c>
      <c r="B29" t="s">
        <v>115</v>
      </c>
      <c r="C29">
        <v>140</v>
      </c>
      <c r="D29" t="s">
        <v>151</v>
      </c>
      <c r="E29" t="s">
        <v>11</v>
      </c>
      <c r="F29">
        <v>1</v>
      </c>
      <c r="G29" t="s">
        <v>16</v>
      </c>
    </row>
    <row r="30" spans="1:7" x14ac:dyDescent="0.25">
      <c r="A30">
        <v>3</v>
      </c>
      <c r="B30" t="s">
        <v>116</v>
      </c>
      <c r="C30">
        <v>10</v>
      </c>
      <c r="D30" t="s">
        <v>152</v>
      </c>
      <c r="E30" t="s">
        <v>11</v>
      </c>
      <c r="F30">
        <v>1</v>
      </c>
      <c r="G30" t="s">
        <v>16</v>
      </c>
    </row>
    <row r="31" spans="1:7" x14ac:dyDescent="0.25">
      <c r="A31">
        <v>3</v>
      </c>
      <c r="B31" t="s">
        <v>116</v>
      </c>
      <c r="C31">
        <v>20</v>
      </c>
      <c r="D31" t="s">
        <v>98</v>
      </c>
      <c r="E31" t="s">
        <v>15</v>
      </c>
      <c r="F31">
        <v>1.5489999999999999</v>
      </c>
      <c r="G31" t="s">
        <v>16</v>
      </c>
    </row>
    <row r="32" spans="1:7" x14ac:dyDescent="0.25">
      <c r="A32">
        <v>3</v>
      </c>
      <c r="B32" t="s">
        <v>116</v>
      </c>
      <c r="C32">
        <v>30</v>
      </c>
      <c r="D32" t="s">
        <v>114</v>
      </c>
      <c r="E32" t="s">
        <v>15</v>
      </c>
      <c r="F32">
        <v>1.5489999999999999</v>
      </c>
      <c r="G32" t="s">
        <v>16</v>
      </c>
    </row>
    <row r="33" spans="1:7" x14ac:dyDescent="0.25">
      <c r="A33">
        <v>3</v>
      </c>
      <c r="B33" t="s">
        <v>116</v>
      </c>
      <c r="C33">
        <v>40</v>
      </c>
      <c r="D33" t="s">
        <v>105</v>
      </c>
      <c r="E33" t="s">
        <v>106</v>
      </c>
      <c r="F33">
        <v>0.746</v>
      </c>
      <c r="G33" t="s">
        <v>14</v>
      </c>
    </row>
    <row r="34" spans="1:7" x14ac:dyDescent="0.25">
      <c r="A34">
        <v>3</v>
      </c>
      <c r="B34" t="s">
        <v>116</v>
      </c>
      <c r="C34">
        <v>50</v>
      </c>
      <c r="D34" t="s">
        <v>18</v>
      </c>
      <c r="E34" t="s">
        <v>15</v>
      </c>
      <c r="F34">
        <v>108.509</v>
      </c>
      <c r="G34" t="s">
        <v>14</v>
      </c>
    </row>
    <row r="35" spans="1:7" x14ac:dyDescent="0.25">
      <c r="A35">
        <v>3</v>
      </c>
      <c r="B35" t="s">
        <v>116</v>
      </c>
      <c r="C35">
        <v>60</v>
      </c>
      <c r="D35" t="s">
        <v>95</v>
      </c>
      <c r="E35" t="s">
        <v>15</v>
      </c>
      <c r="F35">
        <v>27.635000000000002</v>
      </c>
      <c r="G35" t="s">
        <v>14</v>
      </c>
    </row>
    <row r="36" spans="1:7" x14ac:dyDescent="0.25">
      <c r="A36">
        <v>3</v>
      </c>
      <c r="B36" t="s">
        <v>116</v>
      </c>
      <c r="C36">
        <v>70</v>
      </c>
      <c r="D36" t="s">
        <v>18</v>
      </c>
      <c r="E36" t="s">
        <v>15</v>
      </c>
      <c r="F36">
        <v>169.95599999999999</v>
      </c>
      <c r="G36" t="s">
        <v>14</v>
      </c>
    </row>
    <row r="37" spans="1:7" x14ac:dyDescent="0.25">
      <c r="A37">
        <v>3</v>
      </c>
      <c r="B37" t="s">
        <v>116</v>
      </c>
      <c r="C37">
        <v>80</v>
      </c>
      <c r="D37" t="s">
        <v>107</v>
      </c>
      <c r="E37" t="s">
        <v>11</v>
      </c>
      <c r="F37">
        <v>4</v>
      </c>
      <c r="G37" t="s">
        <v>14</v>
      </c>
    </row>
    <row r="38" spans="1:7" x14ac:dyDescent="0.25">
      <c r="A38">
        <v>3</v>
      </c>
      <c r="B38" t="s">
        <v>116</v>
      </c>
      <c r="C38">
        <v>90</v>
      </c>
      <c r="D38" t="s">
        <v>21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116</v>
      </c>
      <c r="C39">
        <v>100</v>
      </c>
      <c r="D39" t="s">
        <v>22</v>
      </c>
      <c r="E39" t="s">
        <v>11</v>
      </c>
      <c r="F39">
        <v>1</v>
      </c>
      <c r="G39" t="s">
        <v>14</v>
      </c>
    </row>
    <row r="40" spans="1:7" x14ac:dyDescent="0.25">
      <c r="A40">
        <v>3</v>
      </c>
      <c r="B40" t="s">
        <v>116</v>
      </c>
      <c r="C40">
        <v>110</v>
      </c>
      <c r="D40" t="s">
        <v>23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116</v>
      </c>
      <c r="C41">
        <v>120</v>
      </c>
      <c r="D41" t="s">
        <v>112</v>
      </c>
      <c r="E41" t="s">
        <v>13</v>
      </c>
      <c r="F41">
        <v>0.51</v>
      </c>
      <c r="G41" t="s">
        <v>14</v>
      </c>
    </row>
    <row r="42" spans="1:7" x14ac:dyDescent="0.25">
      <c r="A42">
        <v>3</v>
      </c>
      <c r="B42" t="s">
        <v>116</v>
      </c>
      <c r="C42">
        <v>130</v>
      </c>
      <c r="D42" t="s">
        <v>153</v>
      </c>
      <c r="E42" t="s">
        <v>11</v>
      </c>
      <c r="F42">
        <v>1</v>
      </c>
      <c r="G42" t="s">
        <v>16</v>
      </c>
    </row>
    <row r="43" spans="1:7" x14ac:dyDescent="0.25">
      <c r="A43">
        <v>3</v>
      </c>
      <c r="B43" t="s">
        <v>116</v>
      </c>
      <c r="C43">
        <v>140</v>
      </c>
      <c r="D43" t="s">
        <v>154</v>
      </c>
      <c r="E43" t="s">
        <v>11</v>
      </c>
      <c r="F43">
        <v>1</v>
      </c>
      <c r="G43" t="s">
        <v>16</v>
      </c>
    </row>
    <row r="44" spans="1:7" x14ac:dyDescent="0.25">
      <c r="A44">
        <v>4</v>
      </c>
      <c r="B44" t="s">
        <v>117</v>
      </c>
      <c r="C44">
        <v>10</v>
      </c>
      <c r="D44" t="s">
        <v>155</v>
      </c>
      <c r="E44" t="s">
        <v>11</v>
      </c>
      <c r="F44">
        <v>1</v>
      </c>
      <c r="G44" t="s">
        <v>16</v>
      </c>
    </row>
    <row r="45" spans="1:7" x14ac:dyDescent="0.25">
      <c r="A45">
        <v>4</v>
      </c>
      <c r="B45" t="s">
        <v>117</v>
      </c>
      <c r="C45">
        <v>20</v>
      </c>
      <c r="D45" t="s">
        <v>98</v>
      </c>
      <c r="E45" t="s">
        <v>15</v>
      </c>
      <c r="F45">
        <v>1.8540000000000001</v>
      </c>
      <c r="G45" t="s">
        <v>16</v>
      </c>
    </row>
    <row r="46" spans="1:7" x14ac:dyDescent="0.25">
      <c r="A46">
        <v>4</v>
      </c>
      <c r="B46" t="s">
        <v>117</v>
      </c>
      <c r="C46">
        <v>30</v>
      </c>
      <c r="D46" t="s">
        <v>114</v>
      </c>
      <c r="E46" t="s">
        <v>15</v>
      </c>
      <c r="F46">
        <v>1.8540000000000001</v>
      </c>
      <c r="G46" t="s">
        <v>16</v>
      </c>
    </row>
    <row r="47" spans="1:7" x14ac:dyDescent="0.25">
      <c r="A47">
        <v>4</v>
      </c>
      <c r="B47" t="s">
        <v>117</v>
      </c>
      <c r="C47">
        <v>40</v>
      </c>
      <c r="D47" t="s">
        <v>105</v>
      </c>
      <c r="E47" t="s">
        <v>106</v>
      </c>
      <c r="F47">
        <v>0.90900000000000003</v>
      </c>
      <c r="G47" t="s">
        <v>14</v>
      </c>
    </row>
    <row r="48" spans="1:7" x14ac:dyDescent="0.25">
      <c r="A48">
        <v>4</v>
      </c>
      <c r="B48" t="s">
        <v>117</v>
      </c>
      <c r="C48">
        <v>50</v>
      </c>
      <c r="D48" t="s">
        <v>18</v>
      </c>
      <c r="E48" t="s">
        <v>15</v>
      </c>
      <c r="F48">
        <v>118.262</v>
      </c>
      <c r="G48" t="s">
        <v>14</v>
      </c>
    </row>
    <row r="49" spans="1:7" x14ac:dyDescent="0.25">
      <c r="A49">
        <v>4</v>
      </c>
      <c r="B49" t="s">
        <v>117</v>
      </c>
      <c r="C49">
        <v>60</v>
      </c>
      <c r="D49" t="s">
        <v>95</v>
      </c>
      <c r="E49" t="s">
        <v>15</v>
      </c>
      <c r="F49">
        <v>30.074000000000002</v>
      </c>
      <c r="G49" t="s">
        <v>14</v>
      </c>
    </row>
    <row r="50" spans="1:7" x14ac:dyDescent="0.25">
      <c r="A50">
        <v>4</v>
      </c>
      <c r="B50" t="s">
        <v>117</v>
      </c>
      <c r="C50">
        <v>70</v>
      </c>
      <c r="D50" t="s">
        <v>18</v>
      </c>
      <c r="E50" t="s">
        <v>15</v>
      </c>
      <c r="F50">
        <v>184.953</v>
      </c>
      <c r="G50" t="s">
        <v>14</v>
      </c>
    </row>
    <row r="51" spans="1:7" x14ac:dyDescent="0.25">
      <c r="A51">
        <v>4</v>
      </c>
      <c r="B51" t="s">
        <v>117</v>
      </c>
      <c r="C51">
        <v>80</v>
      </c>
      <c r="D51" t="s">
        <v>107</v>
      </c>
      <c r="E51" t="s">
        <v>11</v>
      </c>
      <c r="F51">
        <v>4</v>
      </c>
      <c r="G51" t="s">
        <v>14</v>
      </c>
    </row>
    <row r="52" spans="1:7" x14ac:dyDescent="0.25">
      <c r="A52">
        <v>4</v>
      </c>
      <c r="B52" t="s">
        <v>117</v>
      </c>
      <c r="C52">
        <v>90</v>
      </c>
      <c r="D52" t="s">
        <v>21</v>
      </c>
      <c r="E52" t="s">
        <v>11</v>
      </c>
      <c r="F52">
        <v>1</v>
      </c>
      <c r="G52" t="s">
        <v>14</v>
      </c>
    </row>
    <row r="53" spans="1:7" x14ac:dyDescent="0.25">
      <c r="A53">
        <v>4</v>
      </c>
      <c r="B53" t="s">
        <v>117</v>
      </c>
      <c r="C53">
        <v>100</v>
      </c>
      <c r="D53" t="s">
        <v>22</v>
      </c>
      <c r="E53" t="s">
        <v>11</v>
      </c>
      <c r="F53">
        <v>1</v>
      </c>
      <c r="G53" t="s">
        <v>14</v>
      </c>
    </row>
    <row r="54" spans="1:7" x14ac:dyDescent="0.25">
      <c r="A54">
        <v>4</v>
      </c>
      <c r="B54" t="s">
        <v>117</v>
      </c>
      <c r="C54">
        <v>110</v>
      </c>
      <c r="D54" t="s">
        <v>23</v>
      </c>
      <c r="E54" t="s">
        <v>11</v>
      </c>
      <c r="F54">
        <v>1</v>
      </c>
      <c r="G54" t="s">
        <v>14</v>
      </c>
    </row>
    <row r="55" spans="1:7" x14ac:dyDescent="0.25">
      <c r="A55">
        <v>4</v>
      </c>
      <c r="B55" t="s">
        <v>117</v>
      </c>
      <c r="C55">
        <v>120</v>
      </c>
      <c r="D55" t="s">
        <v>112</v>
      </c>
      <c r="E55" t="s">
        <v>13</v>
      </c>
      <c r="F55">
        <v>0.60099999999999998</v>
      </c>
      <c r="G55" t="s">
        <v>14</v>
      </c>
    </row>
    <row r="56" spans="1:7" x14ac:dyDescent="0.25">
      <c r="A56">
        <v>4</v>
      </c>
      <c r="B56" t="s">
        <v>117</v>
      </c>
      <c r="C56">
        <v>130</v>
      </c>
      <c r="D56" t="s">
        <v>156</v>
      </c>
      <c r="E56" t="s">
        <v>11</v>
      </c>
      <c r="F56">
        <v>1</v>
      </c>
      <c r="G56" t="s">
        <v>16</v>
      </c>
    </row>
    <row r="57" spans="1:7" x14ac:dyDescent="0.25">
      <c r="A57">
        <v>4</v>
      </c>
      <c r="B57" t="s">
        <v>117</v>
      </c>
      <c r="C57">
        <v>140</v>
      </c>
      <c r="D57" t="s">
        <v>157</v>
      </c>
      <c r="E57" t="s">
        <v>11</v>
      </c>
      <c r="F57">
        <v>1</v>
      </c>
      <c r="G57" t="s">
        <v>16</v>
      </c>
    </row>
    <row r="58" spans="1:7" x14ac:dyDescent="0.25">
      <c r="A58">
        <v>5</v>
      </c>
      <c r="B58" t="s">
        <v>118</v>
      </c>
      <c r="C58">
        <v>10</v>
      </c>
      <c r="D58" t="s">
        <v>158</v>
      </c>
      <c r="E58" t="s">
        <v>11</v>
      </c>
      <c r="F58">
        <v>1</v>
      </c>
      <c r="G58" t="s">
        <v>16</v>
      </c>
    </row>
    <row r="59" spans="1:7" x14ac:dyDescent="0.25">
      <c r="A59">
        <v>5</v>
      </c>
      <c r="B59" t="s">
        <v>118</v>
      </c>
      <c r="C59">
        <v>20</v>
      </c>
      <c r="D59" t="s">
        <v>98</v>
      </c>
      <c r="E59" t="s">
        <v>15</v>
      </c>
      <c r="F59">
        <v>0.94</v>
      </c>
      <c r="G59" t="s">
        <v>16</v>
      </c>
    </row>
    <row r="60" spans="1:7" x14ac:dyDescent="0.25">
      <c r="A60">
        <v>5</v>
      </c>
      <c r="B60" t="s">
        <v>118</v>
      </c>
      <c r="C60">
        <v>30</v>
      </c>
      <c r="D60" t="s">
        <v>114</v>
      </c>
      <c r="E60" t="s">
        <v>15</v>
      </c>
      <c r="F60">
        <v>0.94</v>
      </c>
      <c r="G60" t="s">
        <v>16</v>
      </c>
    </row>
    <row r="61" spans="1:7" x14ac:dyDescent="0.25">
      <c r="A61">
        <v>5</v>
      </c>
      <c r="B61" t="s">
        <v>118</v>
      </c>
      <c r="C61">
        <v>40</v>
      </c>
      <c r="D61" t="s">
        <v>105</v>
      </c>
      <c r="E61" t="s">
        <v>106</v>
      </c>
      <c r="F61">
        <v>0.439</v>
      </c>
      <c r="G61" t="s">
        <v>14</v>
      </c>
    </row>
    <row r="62" spans="1:7" x14ac:dyDescent="0.25">
      <c r="A62">
        <v>5</v>
      </c>
      <c r="B62" t="s">
        <v>118</v>
      </c>
      <c r="C62">
        <v>50</v>
      </c>
      <c r="D62" t="s">
        <v>18</v>
      </c>
      <c r="E62" t="s">
        <v>15</v>
      </c>
      <c r="F62">
        <v>91.44</v>
      </c>
      <c r="G62" t="s">
        <v>14</v>
      </c>
    </row>
    <row r="63" spans="1:7" x14ac:dyDescent="0.25">
      <c r="A63">
        <v>5</v>
      </c>
      <c r="B63" t="s">
        <v>118</v>
      </c>
      <c r="C63">
        <v>60</v>
      </c>
      <c r="D63" t="s">
        <v>95</v>
      </c>
      <c r="E63" t="s">
        <v>15</v>
      </c>
      <c r="F63">
        <v>23.367999999999999</v>
      </c>
      <c r="G63" t="s">
        <v>14</v>
      </c>
    </row>
    <row r="64" spans="1:7" x14ac:dyDescent="0.25">
      <c r="A64">
        <v>5</v>
      </c>
      <c r="B64" t="s">
        <v>118</v>
      </c>
      <c r="C64">
        <v>70</v>
      </c>
      <c r="D64" t="s">
        <v>18</v>
      </c>
      <c r="E64" t="s">
        <v>15</v>
      </c>
      <c r="F64">
        <v>143.71299999999999</v>
      </c>
      <c r="G64" t="s">
        <v>14</v>
      </c>
    </row>
    <row r="65" spans="1:7" x14ac:dyDescent="0.25">
      <c r="A65">
        <v>5</v>
      </c>
      <c r="B65" t="s">
        <v>118</v>
      </c>
      <c r="C65">
        <v>80</v>
      </c>
      <c r="D65" t="s">
        <v>107</v>
      </c>
      <c r="E65" t="s">
        <v>11</v>
      </c>
      <c r="F65">
        <v>4</v>
      </c>
      <c r="G65" t="s">
        <v>14</v>
      </c>
    </row>
    <row r="66" spans="1:7" x14ac:dyDescent="0.25">
      <c r="A66">
        <v>5</v>
      </c>
      <c r="B66" t="s">
        <v>118</v>
      </c>
      <c r="C66">
        <v>90</v>
      </c>
      <c r="D66" t="s">
        <v>21</v>
      </c>
      <c r="E66" t="s">
        <v>11</v>
      </c>
      <c r="F66">
        <v>1</v>
      </c>
      <c r="G66" t="s">
        <v>14</v>
      </c>
    </row>
    <row r="67" spans="1:7" x14ac:dyDescent="0.25">
      <c r="A67">
        <v>5</v>
      </c>
      <c r="B67" t="s">
        <v>118</v>
      </c>
      <c r="C67">
        <v>100</v>
      </c>
      <c r="D67" t="s">
        <v>22</v>
      </c>
      <c r="E67" t="s">
        <v>11</v>
      </c>
      <c r="F67">
        <v>1</v>
      </c>
      <c r="G67" t="s">
        <v>14</v>
      </c>
    </row>
    <row r="68" spans="1:7" x14ac:dyDescent="0.25">
      <c r="A68">
        <v>5</v>
      </c>
      <c r="B68" t="s">
        <v>118</v>
      </c>
      <c r="C68">
        <v>110</v>
      </c>
      <c r="D68" t="s">
        <v>23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118</v>
      </c>
      <c r="C69">
        <v>120</v>
      </c>
      <c r="D69" t="s">
        <v>112</v>
      </c>
      <c r="E69" t="s">
        <v>13</v>
      </c>
      <c r="F69">
        <v>0.33</v>
      </c>
      <c r="G69" t="s">
        <v>14</v>
      </c>
    </row>
    <row r="70" spans="1:7" x14ac:dyDescent="0.25">
      <c r="A70">
        <v>5</v>
      </c>
      <c r="B70" t="s">
        <v>118</v>
      </c>
      <c r="C70">
        <v>130</v>
      </c>
      <c r="D70" t="s">
        <v>159</v>
      </c>
      <c r="E70" t="s">
        <v>11</v>
      </c>
      <c r="F70">
        <v>1</v>
      </c>
      <c r="G70" t="s">
        <v>16</v>
      </c>
    </row>
    <row r="71" spans="1:7" x14ac:dyDescent="0.25">
      <c r="A71">
        <v>5</v>
      </c>
      <c r="B71" t="s">
        <v>118</v>
      </c>
      <c r="C71">
        <v>140</v>
      </c>
      <c r="D71" t="s">
        <v>160</v>
      </c>
      <c r="E71" t="s">
        <v>11</v>
      </c>
      <c r="F71">
        <v>1</v>
      </c>
      <c r="G71" t="s">
        <v>16</v>
      </c>
    </row>
    <row r="72" spans="1:7" x14ac:dyDescent="0.25">
      <c r="A72">
        <v>6</v>
      </c>
      <c r="B72" t="s">
        <v>119</v>
      </c>
      <c r="C72">
        <v>10</v>
      </c>
      <c r="D72" t="s">
        <v>161</v>
      </c>
      <c r="E72" t="s">
        <v>11</v>
      </c>
      <c r="F72">
        <v>1</v>
      </c>
      <c r="G72" t="s">
        <v>16</v>
      </c>
    </row>
    <row r="73" spans="1:7" x14ac:dyDescent="0.25">
      <c r="A73">
        <v>6</v>
      </c>
      <c r="B73" t="s">
        <v>119</v>
      </c>
      <c r="C73">
        <v>20</v>
      </c>
      <c r="D73" t="s">
        <v>98</v>
      </c>
      <c r="E73" t="s">
        <v>15</v>
      </c>
      <c r="F73">
        <v>1.2450000000000001</v>
      </c>
      <c r="G73" t="s">
        <v>16</v>
      </c>
    </row>
    <row r="74" spans="1:7" x14ac:dyDescent="0.25">
      <c r="A74">
        <v>6</v>
      </c>
      <c r="B74" t="s">
        <v>119</v>
      </c>
      <c r="C74">
        <v>30</v>
      </c>
      <c r="D74" t="s">
        <v>114</v>
      </c>
      <c r="E74" t="s">
        <v>15</v>
      </c>
      <c r="F74">
        <v>1.2450000000000001</v>
      </c>
      <c r="G74" t="s">
        <v>16</v>
      </c>
    </row>
    <row r="75" spans="1:7" x14ac:dyDescent="0.25">
      <c r="A75">
        <v>6</v>
      </c>
      <c r="B75" t="s">
        <v>119</v>
      </c>
      <c r="C75">
        <v>40</v>
      </c>
      <c r="D75" t="s">
        <v>105</v>
      </c>
      <c r="E75" t="s">
        <v>106</v>
      </c>
      <c r="F75">
        <v>0.61</v>
      </c>
      <c r="G75" t="s">
        <v>14</v>
      </c>
    </row>
    <row r="76" spans="1:7" x14ac:dyDescent="0.25">
      <c r="A76">
        <v>6</v>
      </c>
      <c r="B76" t="s">
        <v>119</v>
      </c>
      <c r="C76">
        <v>50</v>
      </c>
      <c r="D76" t="s">
        <v>18</v>
      </c>
      <c r="E76" t="s">
        <v>15</v>
      </c>
      <c r="F76">
        <v>101.194</v>
      </c>
      <c r="G76" t="s">
        <v>14</v>
      </c>
    </row>
    <row r="77" spans="1:7" x14ac:dyDescent="0.25">
      <c r="A77">
        <v>6</v>
      </c>
      <c r="B77" t="s">
        <v>119</v>
      </c>
      <c r="C77">
        <v>60</v>
      </c>
      <c r="D77" t="s">
        <v>95</v>
      </c>
      <c r="E77" t="s">
        <v>15</v>
      </c>
      <c r="F77">
        <v>25.806000000000001</v>
      </c>
      <c r="G77" t="s">
        <v>14</v>
      </c>
    </row>
    <row r="78" spans="1:7" x14ac:dyDescent="0.25">
      <c r="A78">
        <v>6</v>
      </c>
      <c r="B78" t="s">
        <v>119</v>
      </c>
      <c r="C78">
        <v>70</v>
      </c>
      <c r="D78" t="s">
        <v>18</v>
      </c>
      <c r="E78" t="s">
        <v>15</v>
      </c>
      <c r="F78">
        <v>158.709</v>
      </c>
      <c r="G78" t="s">
        <v>14</v>
      </c>
    </row>
    <row r="79" spans="1:7" x14ac:dyDescent="0.25">
      <c r="A79">
        <v>6</v>
      </c>
      <c r="B79" t="s">
        <v>119</v>
      </c>
      <c r="C79">
        <v>80</v>
      </c>
      <c r="D79" t="s">
        <v>107</v>
      </c>
      <c r="E79" t="s">
        <v>11</v>
      </c>
      <c r="F79">
        <v>4</v>
      </c>
      <c r="G79" t="s">
        <v>14</v>
      </c>
    </row>
    <row r="80" spans="1:7" x14ac:dyDescent="0.25">
      <c r="A80">
        <v>6</v>
      </c>
      <c r="B80" t="s">
        <v>119</v>
      </c>
      <c r="C80">
        <v>90</v>
      </c>
      <c r="D80" t="s">
        <v>21</v>
      </c>
      <c r="E80" t="s">
        <v>11</v>
      </c>
      <c r="F80">
        <v>1</v>
      </c>
      <c r="G80" t="s">
        <v>14</v>
      </c>
    </row>
    <row r="81" spans="1:7" x14ac:dyDescent="0.25">
      <c r="A81">
        <v>6</v>
      </c>
      <c r="B81" t="s">
        <v>119</v>
      </c>
      <c r="C81">
        <v>100</v>
      </c>
      <c r="D81" t="s">
        <v>22</v>
      </c>
      <c r="E81" t="s">
        <v>11</v>
      </c>
      <c r="F81">
        <v>1</v>
      </c>
      <c r="G81" t="s">
        <v>14</v>
      </c>
    </row>
    <row r="82" spans="1:7" x14ac:dyDescent="0.25">
      <c r="A82">
        <v>6</v>
      </c>
      <c r="B82" t="s">
        <v>119</v>
      </c>
      <c r="C82">
        <v>110</v>
      </c>
      <c r="D82" t="s">
        <v>23</v>
      </c>
      <c r="E82" t="s">
        <v>11</v>
      </c>
      <c r="F82">
        <v>1</v>
      </c>
      <c r="G82" t="s">
        <v>14</v>
      </c>
    </row>
    <row r="83" spans="1:7" x14ac:dyDescent="0.25">
      <c r="A83">
        <v>6</v>
      </c>
      <c r="B83" t="s">
        <v>119</v>
      </c>
      <c r="C83">
        <v>120</v>
      </c>
      <c r="D83" t="s">
        <v>112</v>
      </c>
      <c r="E83" t="s">
        <v>13</v>
      </c>
      <c r="F83">
        <v>0.42</v>
      </c>
      <c r="G83" t="s">
        <v>14</v>
      </c>
    </row>
    <row r="84" spans="1:7" x14ac:dyDescent="0.25">
      <c r="A84">
        <v>6</v>
      </c>
      <c r="B84" t="s">
        <v>119</v>
      </c>
      <c r="C84">
        <v>130</v>
      </c>
      <c r="D84" t="s">
        <v>162</v>
      </c>
      <c r="E84" t="s">
        <v>11</v>
      </c>
      <c r="F84">
        <v>1</v>
      </c>
      <c r="G84" t="s">
        <v>16</v>
      </c>
    </row>
    <row r="85" spans="1:7" x14ac:dyDescent="0.25">
      <c r="A85">
        <v>6</v>
      </c>
      <c r="B85" t="s">
        <v>119</v>
      </c>
      <c r="C85">
        <v>140</v>
      </c>
      <c r="D85" t="s">
        <v>163</v>
      </c>
      <c r="E85" t="s">
        <v>11</v>
      </c>
      <c r="F85">
        <v>1</v>
      </c>
      <c r="G85" t="s">
        <v>16</v>
      </c>
    </row>
    <row r="86" spans="1:7" x14ac:dyDescent="0.25">
      <c r="A86">
        <v>7</v>
      </c>
      <c r="B86" t="s">
        <v>120</v>
      </c>
      <c r="C86">
        <v>10</v>
      </c>
      <c r="D86" t="s">
        <v>164</v>
      </c>
      <c r="E86" t="s">
        <v>11</v>
      </c>
      <c r="F86">
        <v>1</v>
      </c>
      <c r="G86" t="s">
        <v>16</v>
      </c>
    </row>
    <row r="87" spans="1:7" x14ac:dyDescent="0.25">
      <c r="A87">
        <v>7</v>
      </c>
      <c r="B87" t="s">
        <v>120</v>
      </c>
      <c r="C87">
        <v>20</v>
      </c>
      <c r="D87" t="s">
        <v>98</v>
      </c>
      <c r="E87" t="s">
        <v>15</v>
      </c>
      <c r="F87">
        <v>1.5489999999999999</v>
      </c>
      <c r="G87" t="s">
        <v>16</v>
      </c>
    </row>
    <row r="88" spans="1:7" x14ac:dyDescent="0.25">
      <c r="A88">
        <v>7</v>
      </c>
      <c r="B88" t="s">
        <v>120</v>
      </c>
      <c r="C88">
        <v>30</v>
      </c>
      <c r="D88" t="s">
        <v>114</v>
      </c>
      <c r="E88" t="s">
        <v>15</v>
      </c>
      <c r="F88">
        <v>1.5489999999999999</v>
      </c>
      <c r="G88" t="s">
        <v>16</v>
      </c>
    </row>
    <row r="89" spans="1:7" x14ac:dyDescent="0.25">
      <c r="A89">
        <v>7</v>
      </c>
      <c r="B89" t="s">
        <v>120</v>
      </c>
      <c r="C89">
        <v>40</v>
      </c>
      <c r="D89" t="s">
        <v>105</v>
      </c>
      <c r="E89" t="s">
        <v>106</v>
      </c>
      <c r="F89">
        <v>0.78</v>
      </c>
      <c r="G89" t="s">
        <v>14</v>
      </c>
    </row>
    <row r="90" spans="1:7" x14ac:dyDescent="0.25">
      <c r="A90">
        <v>7</v>
      </c>
      <c r="B90" t="s">
        <v>120</v>
      </c>
      <c r="C90">
        <v>50</v>
      </c>
      <c r="D90" t="s">
        <v>18</v>
      </c>
      <c r="E90" t="s">
        <v>15</v>
      </c>
      <c r="F90">
        <v>110.947</v>
      </c>
      <c r="G90" t="s">
        <v>14</v>
      </c>
    </row>
    <row r="91" spans="1:7" x14ac:dyDescent="0.25">
      <c r="A91">
        <v>7</v>
      </c>
      <c r="B91" t="s">
        <v>120</v>
      </c>
      <c r="C91">
        <v>60</v>
      </c>
      <c r="D91" t="s">
        <v>95</v>
      </c>
      <c r="E91" t="s">
        <v>15</v>
      </c>
      <c r="F91">
        <v>28.245000000000001</v>
      </c>
      <c r="G91" t="s">
        <v>14</v>
      </c>
    </row>
    <row r="92" spans="1:7" x14ac:dyDescent="0.25">
      <c r="A92">
        <v>7</v>
      </c>
      <c r="B92" t="s">
        <v>120</v>
      </c>
      <c r="C92">
        <v>70</v>
      </c>
      <c r="D92" t="s">
        <v>18</v>
      </c>
      <c r="E92" t="s">
        <v>15</v>
      </c>
      <c r="F92">
        <v>173.70599999999999</v>
      </c>
      <c r="G92" t="s">
        <v>14</v>
      </c>
    </row>
    <row r="93" spans="1:7" x14ac:dyDescent="0.25">
      <c r="A93">
        <v>7</v>
      </c>
      <c r="B93" t="s">
        <v>120</v>
      </c>
      <c r="C93">
        <v>80</v>
      </c>
      <c r="D93" t="s">
        <v>107</v>
      </c>
      <c r="E93" t="s">
        <v>11</v>
      </c>
      <c r="F93">
        <v>4</v>
      </c>
      <c r="G93" t="s">
        <v>14</v>
      </c>
    </row>
    <row r="94" spans="1:7" x14ac:dyDescent="0.25">
      <c r="A94">
        <v>7</v>
      </c>
      <c r="B94" t="s">
        <v>120</v>
      </c>
      <c r="C94">
        <v>90</v>
      </c>
      <c r="D94" t="s">
        <v>21</v>
      </c>
      <c r="E94" t="s">
        <v>11</v>
      </c>
      <c r="F94">
        <v>1</v>
      </c>
      <c r="G94" t="s">
        <v>14</v>
      </c>
    </row>
    <row r="95" spans="1:7" x14ac:dyDescent="0.25">
      <c r="A95">
        <v>7</v>
      </c>
      <c r="B95" t="s">
        <v>120</v>
      </c>
      <c r="C95">
        <v>100</v>
      </c>
      <c r="D95" t="s">
        <v>22</v>
      </c>
      <c r="E95" t="s">
        <v>11</v>
      </c>
      <c r="F95">
        <v>1</v>
      </c>
      <c r="G95" t="s">
        <v>14</v>
      </c>
    </row>
    <row r="96" spans="1:7" x14ac:dyDescent="0.25">
      <c r="A96">
        <v>7</v>
      </c>
      <c r="B96" t="s">
        <v>120</v>
      </c>
      <c r="C96">
        <v>110</v>
      </c>
      <c r="D96" t="s">
        <v>23</v>
      </c>
      <c r="E96" t="s">
        <v>11</v>
      </c>
      <c r="F96">
        <v>1</v>
      </c>
      <c r="G96" t="s">
        <v>14</v>
      </c>
    </row>
    <row r="97" spans="1:7" x14ac:dyDescent="0.25">
      <c r="A97">
        <v>7</v>
      </c>
      <c r="B97" t="s">
        <v>120</v>
      </c>
      <c r="C97">
        <v>120</v>
      </c>
      <c r="D97" t="s">
        <v>112</v>
      </c>
      <c r="E97" t="s">
        <v>13</v>
      </c>
      <c r="F97">
        <v>0.51</v>
      </c>
      <c r="G97" t="s">
        <v>14</v>
      </c>
    </row>
    <row r="98" spans="1:7" x14ac:dyDescent="0.25">
      <c r="A98">
        <v>7</v>
      </c>
      <c r="B98" t="s">
        <v>120</v>
      </c>
      <c r="C98">
        <v>130</v>
      </c>
      <c r="D98" t="s">
        <v>165</v>
      </c>
      <c r="E98" t="s">
        <v>11</v>
      </c>
      <c r="F98">
        <v>1</v>
      </c>
      <c r="G98" t="s">
        <v>16</v>
      </c>
    </row>
    <row r="99" spans="1:7" x14ac:dyDescent="0.25">
      <c r="A99">
        <v>7</v>
      </c>
      <c r="B99" t="s">
        <v>120</v>
      </c>
      <c r="C99">
        <v>140</v>
      </c>
      <c r="D99" t="s">
        <v>166</v>
      </c>
      <c r="E99" t="s">
        <v>11</v>
      </c>
      <c r="F99">
        <v>1</v>
      </c>
      <c r="G99" t="s">
        <v>16</v>
      </c>
    </row>
    <row r="100" spans="1:7" x14ac:dyDescent="0.25">
      <c r="A100">
        <v>8</v>
      </c>
      <c r="B100" t="s">
        <v>121</v>
      </c>
      <c r="C100">
        <v>10</v>
      </c>
      <c r="D100" t="s">
        <v>167</v>
      </c>
      <c r="E100" t="s">
        <v>11</v>
      </c>
      <c r="F100">
        <v>1</v>
      </c>
      <c r="G100" t="s">
        <v>16</v>
      </c>
    </row>
    <row r="101" spans="1:7" x14ac:dyDescent="0.25">
      <c r="A101">
        <v>8</v>
      </c>
      <c r="B101" t="s">
        <v>121</v>
      </c>
      <c r="C101">
        <v>20</v>
      </c>
      <c r="D101" t="s">
        <v>98</v>
      </c>
      <c r="E101" t="s">
        <v>15</v>
      </c>
      <c r="F101">
        <v>1.8540000000000001</v>
      </c>
      <c r="G101" t="s">
        <v>16</v>
      </c>
    </row>
    <row r="102" spans="1:7" x14ac:dyDescent="0.25">
      <c r="A102">
        <v>8</v>
      </c>
      <c r="B102" t="s">
        <v>121</v>
      </c>
      <c r="C102">
        <v>30</v>
      </c>
      <c r="D102" t="s">
        <v>114</v>
      </c>
      <c r="E102" t="s">
        <v>15</v>
      </c>
      <c r="F102">
        <v>1.8540000000000001</v>
      </c>
      <c r="G102" t="s">
        <v>16</v>
      </c>
    </row>
    <row r="103" spans="1:7" x14ac:dyDescent="0.25">
      <c r="A103">
        <v>8</v>
      </c>
      <c r="B103" t="s">
        <v>121</v>
      </c>
      <c r="C103">
        <v>40</v>
      </c>
      <c r="D103" t="s">
        <v>105</v>
      </c>
      <c r="E103" t="s">
        <v>106</v>
      </c>
      <c r="F103">
        <v>0.95</v>
      </c>
      <c r="G103" t="s">
        <v>14</v>
      </c>
    </row>
    <row r="104" spans="1:7" x14ac:dyDescent="0.25">
      <c r="A104">
        <v>8</v>
      </c>
      <c r="B104" t="s">
        <v>121</v>
      </c>
      <c r="C104">
        <v>50</v>
      </c>
      <c r="D104" t="s">
        <v>18</v>
      </c>
      <c r="E104" t="s">
        <v>15</v>
      </c>
      <c r="F104">
        <v>120.70099999999999</v>
      </c>
      <c r="G104" t="s">
        <v>14</v>
      </c>
    </row>
    <row r="105" spans="1:7" x14ac:dyDescent="0.25">
      <c r="A105">
        <v>8</v>
      </c>
      <c r="B105" t="s">
        <v>121</v>
      </c>
      <c r="C105">
        <v>60</v>
      </c>
      <c r="D105" t="s">
        <v>95</v>
      </c>
      <c r="E105" t="s">
        <v>15</v>
      </c>
      <c r="F105">
        <v>30.683</v>
      </c>
      <c r="G105" t="s">
        <v>14</v>
      </c>
    </row>
    <row r="106" spans="1:7" x14ac:dyDescent="0.25">
      <c r="A106">
        <v>8</v>
      </c>
      <c r="B106" t="s">
        <v>121</v>
      </c>
      <c r="C106">
        <v>70</v>
      </c>
      <c r="D106" t="s">
        <v>18</v>
      </c>
      <c r="E106" t="s">
        <v>15</v>
      </c>
      <c r="F106">
        <v>188.702</v>
      </c>
      <c r="G106" t="s">
        <v>14</v>
      </c>
    </row>
    <row r="107" spans="1:7" x14ac:dyDescent="0.25">
      <c r="A107">
        <v>8</v>
      </c>
      <c r="B107" t="s">
        <v>121</v>
      </c>
      <c r="C107">
        <v>80</v>
      </c>
      <c r="D107" t="s">
        <v>107</v>
      </c>
      <c r="E107" t="s">
        <v>11</v>
      </c>
      <c r="F107">
        <v>4</v>
      </c>
      <c r="G107" t="s">
        <v>14</v>
      </c>
    </row>
    <row r="108" spans="1:7" x14ac:dyDescent="0.25">
      <c r="A108">
        <v>8</v>
      </c>
      <c r="B108" t="s">
        <v>121</v>
      </c>
      <c r="C108">
        <v>90</v>
      </c>
      <c r="D108" t="s">
        <v>21</v>
      </c>
      <c r="E108" t="s">
        <v>11</v>
      </c>
      <c r="F108">
        <v>1</v>
      </c>
      <c r="G108" t="s">
        <v>14</v>
      </c>
    </row>
    <row r="109" spans="1:7" x14ac:dyDescent="0.25">
      <c r="A109">
        <v>8</v>
      </c>
      <c r="B109" t="s">
        <v>121</v>
      </c>
      <c r="C109">
        <v>100</v>
      </c>
      <c r="D109" t="s">
        <v>22</v>
      </c>
      <c r="E109" t="s">
        <v>11</v>
      </c>
      <c r="F109">
        <v>1</v>
      </c>
      <c r="G109" t="s">
        <v>14</v>
      </c>
    </row>
    <row r="110" spans="1:7" x14ac:dyDescent="0.25">
      <c r="A110">
        <v>8</v>
      </c>
      <c r="B110" t="s">
        <v>121</v>
      </c>
      <c r="C110">
        <v>110</v>
      </c>
      <c r="D110" t="s">
        <v>23</v>
      </c>
      <c r="E110" t="s">
        <v>11</v>
      </c>
      <c r="F110">
        <v>1</v>
      </c>
      <c r="G110" t="s">
        <v>14</v>
      </c>
    </row>
    <row r="111" spans="1:7" x14ac:dyDescent="0.25">
      <c r="A111">
        <v>8</v>
      </c>
      <c r="B111" t="s">
        <v>121</v>
      </c>
      <c r="C111">
        <v>120</v>
      </c>
      <c r="D111" t="s">
        <v>112</v>
      </c>
      <c r="E111" t="s">
        <v>13</v>
      </c>
      <c r="F111">
        <v>0.60099999999999998</v>
      </c>
      <c r="G111" t="s">
        <v>14</v>
      </c>
    </row>
    <row r="112" spans="1:7" x14ac:dyDescent="0.25">
      <c r="A112">
        <v>8</v>
      </c>
      <c r="B112" t="s">
        <v>121</v>
      </c>
      <c r="C112">
        <v>130</v>
      </c>
      <c r="D112" t="s">
        <v>168</v>
      </c>
      <c r="E112" t="s">
        <v>11</v>
      </c>
      <c r="F112">
        <v>1</v>
      </c>
      <c r="G112" t="s">
        <v>16</v>
      </c>
    </row>
    <row r="113" spans="1:7" x14ac:dyDescent="0.25">
      <c r="A113">
        <v>8</v>
      </c>
      <c r="B113" t="s">
        <v>121</v>
      </c>
      <c r="C113">
        <v>140</v>
      </c>
      <c r="D113" t="s">
        <v>169</v>
      </c>
      <c r="E113" t="s">
        <v>11</v>
      </c>
      <c r="F113">
        <v>1</v>
      </c>
      <c r="G113" t="s">
        <v>16</v>
      </c>
    </row>
    <row r="114" spans="1:7" x14ac:dyDescent="0.25">
      <c r="A114">
        <v>9</v>
      </c>
      <c r="B114" t="s">
        <v>122</v>
      </c>
      <c r="C114">
        <v>10</v>
      </c>
      <c r="D114" t="s">
        <v>170</v>
      </c>
      <c r="E114" t="s">
        <v>11</v>
      </c>
      <c r="F114">
        <v>1</v>
      </c>
      <c r="G114" t="s">
        <v>16</v>
      </c>
    </row>
    <row r="115" spans="1:7" x14ac:dyDescent="0.25">
      <c r="A115">
        <v>9</v>
      </c>
      <c r="B115" t="s">
        <v>122</v>
      </c>
      <c r="C115">
        <v>20</v>
      </c>
      <c r="D115" t="s">
        <v>98</v>
      </c>
      <c r="E115" t="s">
        <v>15</v>
      </c>
      <c r="F115">
        <v>1.5489999999999999</v>
      </c>
      <c r="G115" t="s">
        <v>16</v>
      </c>
    </row>
    <row r="116" spans="1:7" x14ac:dyDescent="0.25">
      <c r="A116">
        <v>9</v>
      </c>
      <c r="B116" t="s">
        <v>122</v>
      </c>
      <c r="C116">
        <v>30</v>
      </c>
      <c r="D116" t="s">
        <v>114</v>
      </c>
      <c r="E116" t="s">
        <v>15</v>
      </c>
      <c r="F116">
        <v>1.5489999999999999</v>
      </c>
      <c r="G116" t="s">
        <v>16</v>
      </c>
    </row>
    <row r="117" spans="1:7" x14ac:dyDescent="0.25">
      <c r="A117">
        <v>9</v>
      </c>
      <c r="B117" t="s">
        <v>122</v>
      </c>
      <c r="C117">
        <v>40</v>
      </c>
      <c r="D117" t="s">
        <v>105</v>
      </c>
      <c r="E117" t="s">
        <v>106</v>
      </c>
      <c r="F117">
        <v>0.81299999999999994</v>
      </c>
      <c r="G117" t="s">
        <v>14</v>
      </c>
    </row>
    <row r="118" spans="1:7" x14ac:dyDescent="0.25">
      <c r="A118">
        <v>9</v>
      </c>
      <c r="B118" t="s">
        <v>122</v>
      </c>
      <c r="C118">
        <v>50</v>
      </c>
      <c r="D118" t="s">
        <v>18</v>
      </c>
      <c r="E118" t="s">
        <v>15</v>
      </c>
      <c r="F118">
        <v>113.386</v>
      </c>
      <c r="G118" t="s">
        <v>14</v>
      </c>
    </row>
    <row r="119" spans="1:7" x14ac:dyDescent="0.25">
      <c r="A119">
        <v>9</v>
      </c>
      <c r="B119" t="s">
        <v>122</v>
      </c>
      <c r="C119">
        <v>60</v>
      </c>
      <c r="D119" t="s">
        <v>95</v>
      </c>
      <c r="E119" t="s">
        <v>15</v>
      </c>
      <c r="F119">
        <v>28.853999999999999</v>
      </c>
      <c r="G119" t="s">
        <v>14</v>
      </c>
    </row>
    <row r="120" spans="1:7" x14ac:dyDescent="0.25">
      <c r="A120">
        <v>9</v>
      </c>
      <c r="B120" t="s">
        <v>122</v>
      </c>
      <c r="C120">
        <v>70</v>
      </c>
      <c r="D120" t="s">
        <v>18</v>
      </c>
      <c r="E120" t="s">
        <v>15</v>
      </c>
      <c r="F120">
        <v>177.45500000000001</v>
      </c>
      <c r="G120" t="s">
        <v>14</v>
      </c>
    </row>
    <row r="121" spans="1:7" x14ac:dyDescent="0.25">
      <c r="A121">
        <v>9</v>
      </c>
      <c r="B121" t="s">
        <v>122</v>
      </c>
      <c r="C121">
        <v>80</v>
      </c>
      <c r="D121" t="s">
        <v>107</v>
      </c>
      <c r="E121" t="s">
        <v>11</v>
      </c>
      <c r="F121">
        <v>4</v>
      </c>
      <c r="G121" t="s">
        <v>14</v>
      </c>
    </row>
    <row r="122" spans="1:7" x14ac:dyDescent="0.25">
      <c r="A122">
        <v>9</v>
      </c>
      <c r="B122" t="s">
        <v>122</v>
      </c>
      <c r="C122">
        <v>90</v>
      </c>
      <c r="D122" t="s">
        <v>21</v>
      </c>
      <c r="E122" t="s">
        <v>11</v>
      </c>
      <c r="F122">
        <v>1</v>
      </c>
      <c r="G122" t="s">
        <v>14</v>
      </c>
    </row>
    <row r="123" spans="1:7" x14ac:dyDescent="0.25">
      <c r="A123">
        <v>9</v>
      </c>
      <c r="B123" t="s">
        <v>122</v>
      </c>
      <c r="C123">
        <v>100</v>
      </c>
      <c r="D123" t="s">
        <v>22</v>
      </c>
      <c r="E123" t="s">
        <v>11</v>
      </c>
      <c r="F123">
        <v>1</v>
      </c>
      <c r="G123" t="s">
        <v>14</v>
      </c>
    </row>
    <row r="124" spans="1:7" x14ac:dyDescent="0.25">
      <c r="A124">
        <v>9</v>
      </c>
      <c r="B124" t="s">
        <v>122</v>
      </c>
      <c r="C124">
        <v>110</v>
      </c>
      <c r="D124" t="s">
        <v>23</v>
      </c>
      <c r="E124" t="s">
        <v>11</v>
      </c>
      <c r="F124">
        <v>1</v>
      </c>
      <c r="G124" t="s">
        <v>14</v>
      </c>
    </row>
    <row r="125" spans="1:7" x14ac:dyDescent="0.25">
      <c r="A125">
        <v>9</v>
      </c>
      <c r="B125" t="s">
        <v>122</v>
      </c>
      <c r="C125">
        <v>120</v>
      </c>
      <c r="D125" t="s">
        <v>112</v>
      </c>
      <c r="E125" t="s">
        <v>13</v>
      </c>
      <c r="F125">
        <v>0.51</v>
      </c>
      <c r="G125" t="s">
        <v>14</v>
      </c>
    </row>
    <row r="126" spans="1:7" x14ac:dyDescent="0.25">
      <c r="A126">
        <v>9</v>
      </c>
      <c r="B126" t="s">
        <v>122</v>
      </c>
      <c r="C126">
        <v>130</v>
      </c>
      <c r="D126" t="s">
        <v>171</v>
      </c>
      <c r="E126" t="s">
        <v>11</v>
      </c>
      <c r="F126">
        <v>1</v>
      </c>
      <c r="G126" t="s">
        <v>16</v>
      </c>
    </row>
    <row r="127" spans="1:7" x14ac:dyDescent="0.25">
      <c r="A127">
        <v>9</v>
      </c>
      <c r="B127" t="s">
        <v>122</v>
      </c>
      <c r="C127">
        <v>140</v>
      </c>
      <c r="D127" t="s">
        <v>172</v>
      </c>
      <c r="E127" t="s">
        <v>11</v>
      </c>
      <c r="F127">
        <v>1</v>
      </c>
      <c r="G127" t="s">
        <v>16</v>
      </c>
    </row>
    <row r="128" spans="1:7" x14ac:dyDescent="0.25">
      <c r="A128">
        <v>10</v>
      </c>
      <c r="B128" t="s">
        <v>123</v>
      </c>
      <c r="C128">
        <v>10</v>
      </c>
      <c r="D128" t="s">
        <v>173</v>
      </c>
      <c r="E128" t="s">
        <v>11</v>
      </c>
      <c r="F128">
        <v>1</v>
      </c>
      <c r="G128" t="s">
        <v>16</v>
      </c>
    </row>
    <row r="129" spans="1:7" x14ac:dyDescent="0.25">
      <c r="A129">
        <v>10</v>
      </c>
      <c r="B129" t="s">
        <v>123</v>
      </c>
      <c r="C129">
        <v>20</v>
      </c>
      <c r="D129" t="s">
        <v>98</v>
      </c>
      <c r="E129" t="s">
        <v>15</v>
      </c>
      <c r="F129">
        <v>1.8540000000000001</v>
      </c>
      <c r="G129" t="s">
        <v>16</v>
      </c>
    </row>
    <row r="130" spans="1:7" x14ac:dyDescent="0.25">
      <c r="A130">
        <v>10</v>
      </c>
      <c r="B130" t="s">
        <v>123</v>
      </c>
      <c r="C130">
        <v>30</v>
      </c>
      <c r="D130" t="s">
        <v>114</v>
      </c>
      <c r="E130" t="s">
        <v>15</v>
      </c>
      <c r="F130">
        <v>1.8540000000000001</v>
      </c>
      <c r="G130" t="s">
        <v>16</v>
      </c>
    </row>
    <row r="131" spans="1:7" x14ac:dyDescent="0.25">
      <c r="A131">
        <v>10</v>
      </c>
      <c r="B131" t="s">
        <v>123</v>
      </c>
      <c r="C131">
        <v>40</v>
      </c>
      <c r="D131" t="s">
        <v>105</v>
      </c>
      <c r="E131" t="s">
        <v>106</v>
      </c>
      <c r="F131">
        <v>0.99</v>
      </c>
      <c r="G131" t="s">
        <v>14</v>
      </c>
    </row>
    <row r="132" spans="1:7" x14ac:dyDescent="0.25">
      <c r="A132">
        <v>10</v>
      </c>
      <c r="B132" t="s">
        <v>123</v>
      </c>
      <c r="C132">
        <v>50</v>
      </c>
      <c r="D132" t="s">
        <v>18</v>
      </c>
      <c r="E132" t="s">
        <v>15</v>
      </c>
      <c r="F132">
        <v>123.139</v>
      </c>
      <c r="G132" t="s">
        <v>14</v>
      </c>
    </row>
    <row r="133" spans="1:7" x14ac:dyDescent="0.25">
      <c r="A133">
        <v>10</v>
      </c>
      <c r="B133" t="s">
        <v>123</v>
      </c>
      <c r="C133">
        <v>60</v>
      </c>
      <c r="D133" t="s">
        <v>95</v>
      </c>
      <c r="E133" t="s">
        <v>15</v>
      </c>
      <c r="F133">
        <v>31.292999999999999</v>
      </c>
      <c r="G133" t="s">
        <v>14</v>
      </c>
    </row>
    <row r="134" spans="1:7" x14ac:dyDescent="0.25">
      <c r="A134">
        <v>10</v>
      </c>
      <c r="B134" t="s">
        <v>123</v>
      </c>
      <c r="C134">
        <v>70</v>
      </c>
      <c r="D134" t="s">
        <v>18</v>
      </c>
      <c r="E134" t="s">
        <v>15</v>
      </c>
      <c r="F134">
        <v>192.45099999999999</v>
      </c>
      <c r="G134" t="s">
        <v>14</v>
      </c>
    </row>
    <row r="135" spans="1:7" x14ac:dyDescent="0.25">
      <c r="A135">
        <v>10</v>
      </c>
      <c r="B135" t="s">
        <v>123</v>
      </c>
      <c r="C135">
        <v>80</v>
      </c>
      <c r="D135" t="s">
        <v>107</v>
      </c>
      <c r="E135" t="s">
        <v>11</v>
      </c>
      <c r="F135">
        <v>4</v>
      </c>
      <c r="G135" t="s">
        <v>14</v>
      </c>
    </row>
    <row r="136" spans="1:7" x14ac:dyDescent="0.25">
      <c r="A136">
        <v>10</v>
      </c>
      <c r="B136" t="s">
        <v>123</v>
      </c>
      <c r="C136">
        <v>90</v>
      </c>
      <c r="D136" t="s">
        <v>21</v>
      </c>
      <c r="E136" t="s">
        <v>11</v>
      </c>
      <c r="F136">
        <v>1</v>
      </c>
      <c r="G136" t="s">
        <v>14</v>
      </c>
    </row>
    <row r="137" spans="1:7" x14ac:dyDescent="0.25">
      <c r="A137">
        <v>10</v>
      </c>
      <c r="B137" t="s">
        <v>123</v>
      </c>
      <c r="C137">
        <v>100</v>
      </c>
      <c r="D137" t="s">
        <v>22</v>
      </c>
      <c r="E137" t="s">
        <v>11</v>
      </c>
      <c r="F137">
        <v>1</v>
      </c>
      <c r="G137" t="s">
        <v>14</v>
      </c>
    </row>
    <row r="138" spans="1:7" x14ac:dyDescent="0.25">
      <c r="A138">
        <v>10</v>
      </c>
      <c r="B138" t="s">
        <v>123</v>
      </c>
      <c r="C138">
        <v>110</v>
      </c>
      <c r="D138" t="s">
        <v>23</v>
      </c>
      <c r="E138" t="s">
        <v>11</v>
      </c>
      <c r="F138">
        <v>1</v>
      </c>
      <c r="G138" t="s">
        <v>14</v>
      </c>
    </row>
    <row r="139" spans="1:7" x14ac:dyDescent="0.25">
      <c r="A139">
        <v>10</v>
      </c>
      <c r="B139" t="s">
        <v>123</v>
      </c>
      <c r="C139">
        <v>120</v>
      </c>
      <c r="D139" t="s">
        <v>112</v>
      </c>
      <c r="E139" t="s">
        <v>13</v>
      </c>
      <c r="F139">
        <v>0.60099999999999998</v>
      </c>
      <c r="G139" t="s">
        <v>14</v>
      </c>
    </row>
    <row r="140" spans="1:7" x14ac:dyDescent="0.25">
      <c r="A140">
        <v>10</v>
      </c>
      <c r="B140" t="s">
        <v>123</v>
      </c>
      <c r="C140">
        <v>130</v>
      </c>
      <c r="D140" t="s">
        <v>174</v>
      </c>
      <c r="E140" t="s">
        <v>11</v>
      </c>
      <c r="F140">
        <v>1</v>
      </c>
      <c r="G140" t="s">
        <v>16</v>
      </c>
    </row>
    <row r="141" spans="1:7" x14ac:dyDescent="0.25">
      <c r="A141">
        <v>10</v>
      </c>
      <c r="B141" t="s">
        <v>123</v>
      </c>
      <c r="C141">
        <v>140</v>
      </c>
      <c r="D141" t="s">
        <v>175</v>
      </c>
      <c r="E141" t="s">
        <v>11</v>
      </c>
      <c r="F141">
        <v>1</v>
      </c>
      <c r="G141" t="s">
        <v>16</v>
      </c>
    </row>
    <row r="142" spans="1:7" x14ac:dyDescent="0.25">
      <c r="A142">
        <v>11</v>
      </c>
      <c r="B142" t="s">
        <v>124</v>
      </c>
      <c r="C142">
        <v>10</v>
      </c>
      <c r="D142" t="s">
        <v>146</v>
      </c>
      <c r="E142" t="s">
        <v>11</v>
      </c>
      <c r="F142">
        <v>1</v>
      </c>
      <c r="G142" t="s">
        <v>16</v>
      </c>
    </row>
    <row r="143" spans="1:7" x14ac:dyDescent="0.25">
      <c r="A143">
        <v>11</v>
      </c>
      <c r="B143" t="s">
        <v>124</v>
      </c>
      <c r="C143">
        <v>20</v>
      </c>
      <c r="D143" t="s">
        <v>99</v>
      </c>
      <c r="E143" t="s">
        <v>15</v>
      </c>
      <c r="F143">
        <v>0.94</v>
      </c>
      <c r="G143" t="s">
        <v>16</v>
      </c>
    </row>
    <row r="144" spans="1:7" x14ac:dyDescent="0.25">
      <c r="A144">
        <v>11</v>
      </c>
      <c r="B144" t="s">
        <v>124</v>
      </c>
      <c r="C144">
        <v>30</v>
      </c>
      <c r="D144" t="s">
        <v>125</v>
      </c>
      <c r="E144" t="s">
        <v>15</v>
      </c>
      <c r="F144">
        <v>0.94</v>
      </c>
      <c r="G144" t="s">
        <v>16</v>
      </c>
    </row>
    <row r="145" spans="1:7" x14ac:dyDescent="0.25">
      <c r="A145">
        <v>11</v>
      </c>
      <c r="B145" t="s">
        <v>124</v>
      </c>
      <c r="C145">
        <v>40</v>
      </c>
      <c r="D145" t="s">
        <v>105</v>
      </c>
      <c r="E145" t="s">
        <v>106</v>
      </c>
      <c r="F145">
        <v>0.42099999999999999</v>
      </c>
      <c r="G145" t="s">
        <v>14</v>
      </c>
    </row>
    <row r="146" spans="1:7" x14ac:dyDescent="0.25">
      <c r="A146">
        <v>11</v>
      </c>
      <c r="B146" t="s">
        <v>124</v>
      </c>
      <c r="C146">
        <v>50</v>
      </c>
      <c r="D146" t="s">
        <v>18</v>
      </c>
      <c r="E146" t="s">
        <v>15</v>
      </c>
      <c r="F146">
        <v>89.001999999999995</v>
      </c>
      <c r="G146" t="s">
        <v>14</v>
      </c>
    </row>
    <row r="147" spans="1:7" x14ac:dyDescent="0.25">
      <c r="A147">
        <v>11</v>
      </c>
      <c r="B147" t="s">
        <v>124</v>
      </c>
      <c r="C147">
        <v>60</v>
      </c>
      <c r="D147" t="s">
        <v>100</v>
      </c>
      <c r="E147" t="s">
        <v>15</v>
      </c>
      <c r="F147">
        <v>22.757999999999999</v>
      </c>
      <c r="G147" t="s">
        <v>14</v>
      </c>
    </row>
    <row r="148" spans="1:7" x14ac:dyDescent="0.25">
      <c r="A148">
        <v>11</v>
      </c>
      <c r="B148" t="s">
        <v>124</v>
      </c>
      <c r="C148">
        <v>70</v>
      </c>
      <c r="D148" t="s">
        <v>101</v>
      </c>
      <c r="E148" t="s">
        <v>15</v>
      </c>
      <c r="F148">
        <v>139.964</v>
      </c>
      <c r="G148" t="s">
        <v>14</v>
      </c>
    </row>
    <row r="149" spans="1:7" x14ac:dyDescent="0.25">
      <c r="A149">
        <v>11</v>
      </c>
      <c r="B149" t="s">
        <v>124</v>
      </c>
      <c r="C149">
        <v>80</v>
      </c>
      <c r="D149" t="s">
        <v>107</v>
      </c>
      <c r="E149" t="s">
        <v>11</v>
      </c>
      <c r="F149">
        <v>4</v>
      </c>
      <c r="G149" t="s">
        <v>14</v>
      </c>
    </row>
    <row r="150" spans="1:7" x14ac:dyDescent="0.25">
      <c r="A150">
        <v>11</v>
      </c>
      <c r="B150" t="s">
        <v>124</v>
      </c>
      <c r="C150">
        <v>90</v>
      </c>
      <c r="D150" t="s">
        <v>21</v>
      </c>
      <c r="E150" t="s">
        <v>11</v>
      </c>
      <c r="F150">
        <v>1</v>
      </c>
      <c r="G150" t="s">
        <v>14</v>
      </c>
    </row>
    <row r="151" spans="1:7" x14ac:dyDescent="0.25">
      <c r="A151">
        <v>11</v>
      </c>
      <c r="B151" t="s">
        <v>124</v>
      </c>
      <c r="C151">
        <v>100</v>
      </c>
      <c r="D151" t="s">
        <v>22</v>
      </c>
      <c r="E151" t="s">
        <v>11</v>
      </c>
      <c r="F151">
        <v>1</v>
      </c>
      <c r="G151" t="s">
        <v>14</v>
      </c>
    </row>
    <row r="152" spans="1:7" x14ac:dyDescent="0.25">
      <c r="A152">
        <v>11</v>
      </c>
      <c r="B152" t="s">
        <v>124</v>
      </c>
      <c r="C152">
        <v>110</v>
      </c>
      <c r="D152" t="s">
        <v>23</v>
      </c>
      <c r="E152" t="s">
        <v>11</v>
      </c>
      <c r="F152">
        <v>1</v>
      </c>
      <c r="G152" t="s">
        <v>14</v>
      </c>
    </row>
    <row r="153" spans="1:7" x14ac:dyDescent="0.25">
      <c r="A153">
        <v>11</v>
      </c>
      <c r="B153" t="s">
        <v>124</v>
      </c>
      <c r="C153">
        <v>120</v>
      </c>
      <c r="D153" t="s">
        <v>112</v>
      </c>
      <c r="E153" t="s">
        <v>13</v>
      </c>
      <c r="F153">
        <v>0.33</v>
      </c>
      <c r="G153" t="s">
        <v>14</v>
      </c>
    </row>
    <row r="154" spans="1:7" x14ac:dyDescent="0.25">
      <c r="A154">
        <v>11</v>
      </c>
      <c r="B154" t="s">
        <v>124</v>
      </c>
      <c r="C154">
        <v>130</v>
      </c>
      <c r="D154" t="s">
        <v>147</v>
      </c>
      <c r="E154" t="s">
        <v>11</v>
      </c>
      <c r="F154">
        <v>1</v>
      </c>
      <c r="G154" t="s">
        <v>16</v>
      </c>
    </row>
    <row r="155" spans="1:7" x14ac:dyDescent="0.25">
      <c r="A155">
        <v>11</v>
      </c>
      <c r="B155" t="s">
        <v>124</v>
      </c>
      <c r="C155">
        <v>140</v>
      </c>
      <c r="D155" t="s">
        <v>148</v>
      </c>
      <c r="E155" t="s">
        <v>11</v>
      </c>
      <c r="F155">
        <v>1</v>
      </c>
      <c r="G155" t="s">
        <v>16</v>
      </c>
    </row>
    <row r="156" spans="1:7" x14ac:dyDescent="0.25">
      <c r="A156">
        <v>12</v>
      </c>
      <c r="B156" t="s">
        <v>126</v>
      </c>
      <c r="C156">
        <v>10</v>
      </c>
      <c r="D156" t="s">
        <v>149</v>
      </c>
      <c r="E156" t="s">
        <v>11</v>
      </c>
      <c r="F156">
        <v>1</v>
      </c>
      <c r="G156" t="s">
        <v>16</v>
      </c>
    </row>
    <row r="157" spans="1:7" x14ac:dyDescent="0.25">
      <c r="A157">
        <v>12</v>
      </c>
      <c r="B157" t="s">
        <v>126</v>
      </c>
      <c r="C157">
        <v>20</v>
      </c>
      <c r="D157" t="s">
        <v>99</v>
      </c>
      <c r="E157" t="s">
        <v>15</v>
      </c>
      <c r="F157">
        <v>1.2450000000000001</v>
      </c>
      <c r="G157" t="s">
        <v>16</v>
      </c>
    </row>
    <row r="158" spans="1:7" x14ac:dyDescent="0.25">
      <c r="A158">
        <v>12</v>
      </c>
      <c r="B158" t="s">
        <v>126</v>
      </c>
      <c r="C158">
        <v>30</v>
      </c>
      <c r="D158" t="s">
        <v>125</v>
      </c>
      <c r="E158" t="s">
        <v>15</v>
      </c>
      <c r="F158">
        <v>1.2450000000000001</v>
      </c>
      <c r="G158" t="s">
        <v>16</v>
      </c>
    </row>
    <row r="159" spans="1:7" x14ac:dyDescent="0.25">
      <c r="A159">
        <v>12</v>
      </c>
      <c r="B159" t="s">
        <v>126</v>
      </c>
      <c r="C159">
        <v>40</v>
      </c>
      <c r="D159" t="s">
        <v>105</v>
      </c>
      <c r="E159" t="s">
        <v>106</v>
      </c>
      <c r="F159">
        <v>0.58299999999999996</v>
      </c>
      <c r="G159" t="s">
        <v>14</v>
      </c>
    </row>
    <row r="160" spans="1:7" x14ac:dyDescent="0.25">
      <c r="A160">
        <v>12</v>
      </c>
      <c r="B160" t="s">
        <v>126</v>
      </c>
      <c r="C160">
        <v>50</v>
      </c>
      <c r="D160" t="s">
        <v>18</v>
      </c>
      <c r="E160" t="s">
        <v>15</v>
      </c>
      <c r="F160">
        <v>98.754999999999995</v>
      </c>
      <c r="G160" t="s">
        <v>14</v>
      </c>
    </row>
    <row r="161" spans="1:7" x14ac:dyDescent="0.25">
      <c r="A161">
        <v>12</v>
      </c>
      <c r="B161" t="s">
        <v>126</v>
      </c>
      <c r="C161">
        <v>60</v>
      </c>
      <c r="D161" t="s">
        <v>100</v>
      </c>
      <c r="E161" t="s">
        <v>15</v>
      </c>
      <c r="F161">
        <v>25.196999999999999</v>
      </c>
      <c r="G161" t="s">
        <v>14</v>
      </c>
    </row>
    <row r="162" spans="1:7" x14ac:dyDescent="0.25">
      <c r="A162">
        <v>12</v>
      </c>
      <c r="B162" t="s">
        <v>126</v>
      </c>
      <c r="C162">
        <v>70</v>
      </c>
      <c r="D162" t="s">
        <v>101</v>
      </c>
      <c r="E162" t="s">
        <v>15</v>
      </c>
      <c r="F162">
        <v>154.96</v>
      </c>
      <c r="G162" t="s">
        <v>14</v>
      </c>
    </row>
    <row r="163" spans="1:7" x14ac:dyDescent="0.25">
      <c r="A163">
        <v>12</v>
      </c>
      <c r="B163" t="s">
        <v>126</v>
      </c>
      <c r="C163">
        <v>80</v>
      </c>
      <c r="D163" t="s">
        <v>107</v>
      </c>
      <c r="E163" t="s">
        <v>11</v>
      </c>
      <c r="F163">
        <v>4</v>
      </c>
      <c r="G163" t="s">
        <v>14</v>
      </c>
    </row>
    <row r="164" spans="1:7" x14ac:dyDescent="0.25">
      <c r="A164">
        <v>12</v>
      </c>
      <c r="B164" t="s">
        <v>126</v>
      </c>
      <c r="C164">
        <v>90</v>
      </c>
      <c r="D164" t="s">
        <v>21</v>
      </c>
      <c r="E164" t="s">
        <v>11</v>
      </c>
      <c r="F164">
        <v>1</v>
      </c>
      <c r="G164" t="s">
        <v>14</v>
      </c>
    </row>
    <row r="165" spans="1:7" x14ac:dyDescent="0.25">
      <c r="A165">
        <v>12</v>
      </c>
      <c r="B165" t="s">
        <v>126</v>
      </c>
      <c r="C165">
        <v>100</v>
      </c>
      <c r="D165" t="s">
        <v>22</v>
      </c>
      <c r="E165" t="s">
        <v>11</v>
      </c>
      <c r="F165">
        <v>1</v>
      </c>
      <c r="G165" t="s">
        <v>14</v>
      </c>
    </row>
    <row r="166" spans="1:7" x14ac:dyDescent="0.25">
      <c r="A166">
        <v>12</v>
      </c>
      <c r="B166" t="s">
        <v>126</v>
      </c>
      <c r="C166">
        <v>110</v>
      </c>
      <c r="D166" t="s">
        <v>23</v>
      </c>
      <c r="E166" t="s">
        <v>11</v>
      </c>
      <c r="F166">
        <v>1</v>
      </c>
      <c r="G166" t="s">
        <v>14</v>
      </c>
    </row>
    <row r="167" spans="1:7" x14ac:dyDescent="0.25">
      <c r="A167">
        <v>12</v>
      </c>
      <c r="B167" t="s">
        <v>126</v>
      </c>
      <c r="C167">
        <v>120</v>
      </c>
      <c r="D167" t="s">
        <v>112</v>
      </c>
      <c r="E167" t="s">
        <v>13</v>
      </c>
      <c r="F167">
        <v>0.42</v>
      </c>
      <c r="G167" t="s">
        <v>14</v>
      </c>
    </row>
    <row r="168" spans="1:7" x14ac:dyDescent="0.25">
      <c r="A168">
        <v>12</v>
      </c>
      <c r="B168" t="s">
        <v>126</v>
      </c>
      <c r="C168">
        <v>130</v>
      </c>
      <c r="D168" t="s">
        <v>150</v>
      </c>
      <c r="E168" t="s">
        <v>11</v>
      </c>
      <c r="F168">
        <v>1</v>
      </c>
      <c r="G168" t="s">
        <v>16</v>
      </c>
    </row>
    <row r="169" spans="1:7" x14ac:dyDescent="0.25">
      <c r="A169">
        <v>12</v>
      </c>
      <c r="B169" t="s">
        <v>126</v>
      </c>
      <c r="C169">
        <v>140</v>
      </c>
      <c r="D169" t="s">
        <v>151</v>
      </c>
      <c r="E169" t="s">
        <v>11</v>
      </c>
      <c r="F169">
        <v>1</v>
      </c>
      <c r="G169" t="s">
        <v>16</v>
      </c>
    </row>
    <row r="170" spans="1:7" x14ac:dyDescent="0.25">
      <c r="A170">
        <v>13</v>
      </c>
      <c r="B170" t="s">
        <v>127</v>
      </c>
      <c r="C170">
        <v>10</v>
      </c>
      <c r="D170" t="s">
        <v>152</v>
      </c>
      <c r="E170" t="s">
        <v>11</v>
      </c>
      <c r="F170">
        <v>1</v>
      </c>
      <c r="G170" t="s">
        <v>16</v>
      </c>
    </row>
    <row r="171" spans="1:7" x14ac:dyDescent="0.25">
      <c r="A171">
        <v>13</v>
      </c>
      <c r="B171" t="s">
        <v>127</v>
      </c>
      <c r="C171">
        <v>20</v>
      </c>
      <c r="D171" t="s">
        <v>99</v>
      </c>
      <c r="E171" t="s">
        <v>15</v>
      </c>
      <c r="F171">
        <v>1.5489999999999999</v>
      </c>
      <c r="G171" t="s">
        <v>16</v>
      </c>
    </row>
    <row r="172" spans="1:7" x14ac:dyDescent="0.25">
      <c r="A172">
        <v>13</v>
      </c>
      <c r="B172" t="s">
        <v>127</v>
      </c>
      <c r="C172">
        <v>30</v>
      </c>
      <c r="D172" t="s">
        <v>125</v>
      </c>
      <c r="E172" t="s">
        <v>15</v>
      </c>
      <c r="F172">
        <v>1.5489999999999999</v>
      </c>
      <c r="G172" t="s">
        <v>16</v>
      </c>
    </row>
    <row r="173" spans="1:7" x14ac:dyDescent="0.25">
      <c r="A173">
        <v>13</v>
      </c>
      <c r="B173" t="s">
        <v>127</v>
      </c>
      <c r="C173">
        <v>40</v>
      </c>
      <c r="D173" t="s">
        <v>105</v>
      </c>
      <c r="E173" t="s">
        <v>106</v>
      </c>
      <c r="F173">
        <v>0.746</v>
      </c>
      <c r="G173" t="s">
        <v>14</v>
      </c>
    </row>
    <row r="174" spans="1:7" x14ac:dyDescent="0.25">
      <c r="A174">
        <v>13</v>
      </c>
      <c r="B174" t="s">
        <v>127</v>
      </c>
      <c r="C174">
        <v>50</v>
      </c>
      <c r="D174" t="s">
        <v>18</v>
      </c>
      <c r="E174" t="s">
        <v>15</v>
      </c>
      <c r="F174">
        <v>108.509</v>
      </c>
      <c r="G174" t="s">
        <v>14</v>
      </c>
    </row>
    <row r="175" spans="1:7" x14ac:dyDescent="0.25">
      <c r="A175">
        <v>13</v>
      </c>
      <c r="B175" t="s">
        <v>127</v>
      </c>
      <c r="C175">
        <v>60</v>
      </c>
      <c r="D175" t="s">
        <v>100</v>
      </c>
      <c r="E175" t="s">
        <v>15</v>
      </c>
      <c r="F175">
        <v>27.635000000000002</v>
      </c>
      <c r="G175" t="s">
        <v>14</v>
      </c>
    </row>
    <row r="176" spans="1:7" x14ac:dyDescent="0.25">
      <c r="A176">
        <v>13</v>
      </c>
      <c r="B176" t="s">
        <v>127</v>
      </c>
      <c r="C176">
        <v>70</v>
      </c>
      <c r="D176" t="s">
        <v>101</v>
      </c>
      <c r="E176" t="s">
        <v>15</v>
      </c>
      <c r="F176">
        <v>169.95599999999999</v>
      </c>
      <c r="G176" t="s">
        <v>14</v>
      </c>
    </row>
    <row r="177" spans="1:7" x14ac:dyDescent="0.25">
      <c r="A177">
        <v>13</v>
      </c>
      <c r="B177" t="s">
        <v>127</v>
      </c>
      <c r="C177">
        <v>80</v>
      </c>
      <c r="D177" t="s">
        <v>107</v>
      </c>
      <c r="E177" t="s">
        <v>11</v>
      </c>
      <c r="F177">
        <v>4</v>
      </c>
      <c r="G177" t="s">
        <v>14</v>
      </c>
    </row>
    <row r="178" spans="1:7" x14ac:dyDescent="0.25">
      <c r="A178">
        <v>13</v>
      </c>
      <c r="B178" t="s">
        <v>127</v>
      </c>
      <c r="C178">
        <v>90</v>
      </c>
      <c r="D178" t="s">
        <v>21</v>
      </c>
      <c r="E178" t="s">
        <v>11</v>
      </c>
      <c r="F178">
        <v>1</v>
      </c>
      <c r="G178" t="s">
        <v>14</v>
      </c>
    </row>
    <row r="179" spans="1:7" x14ac:dyDescent="0.25">
      <c r="A179">
        <v>13</v>
      </c>
      <c r="B179" t="s">
        <v>127</v>
      </c>
      <c r="C179">
        <v>100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13</v>
      </c>
      <c r="B180" t="s">
        <v>127</v>
      </c>
      <c r="C180">
        <v>110</v>
      </c>
      <c r="D180" t="s">
        <v>23</v>
      </c>
      <c r="E180" t="s">
        <v>11</v>
      </c>
      <c r="F180">
        <v>1</v>
      </c>
      <c r="G180" t="s">
        <v>14</v>
      </c>
    </row>
    <row r="181" spans="1:7" x14ac:dyDescent="0.25">
      <c r="A181">
        <v>13</v>
      </c>
      <c r="B181" t="s">
        <v>127</v>
      </c>
      <c r="C181">
        <v>120</v>
      </c>
      <c r="D181" t="s">
        <v>112</v>
      </c>
      <c r="E181" t="s">
        <v>13</v>
      </c>
      <c r="F181">
        <v>0.51</v>
      </c>
      <c r="G181" t="s">
        <v>14</v>
      </c>
    </row>
    <row r="182" spans="1:7" x14ac:dyDescent="0.25">
      <c r="A182">
        <v>13</v>
      </c>
      <c r="B182" t="s">
        <v>127</v>
      </c>
      <c r="C182">
        <v>130</v>
      </c>
      <c r="D182" t="s">
        <v>153</v>
      </c>
      <c r="E182" t="s">
        <v>11</v>
      </c>
      <c r="F182">
        <v>1</v>
      </c>
      <c r="G182" t="s">
        <v>16</v>
      </c>
    </row>
    <row r="183" spans="1:7" x14ac:dyDescent="0.25">
      <c r="A183">
        <v>13</v>
      </c>
      <c r="B183" t="s">
        <v>127</v>
      </c>
      <c r="C183">
        <v>140</v>
      </c>
      <c r="D183" t="s">
        <v>154</v>
      </c>
      <c r="E183" t="s">
        <v>11</v>
      </c>
      <c r="F183">
        <v>1</v>
      </c>
      <c r="G183" t="s">
        <v>16</v>
      </c>
    </row>
    <row r="184" spans="1:7" x14ac:dyDescent="0.25">
      <c r="A184">
        <v>14</v>
      </c>
      <c r="B184" t="s">
        <v>128</v>
      </c>
      <c r="C184">
        <v>10</v>
      </c>
      <c r="D184" t="s">
        <v>155</v>
      </c>
      <c r="E184" t="s">
        <v>11</v>
      </c>
      <c r="F184">
        <v>1</v>
      </c>
      <c r="G184" t="s">
        <v>16</v>
      </c>
    </row>
    <row r="185" spans="1:7" x14ac:dyDescent="0.25">
      <c r="A185">
        <v>14</v>
      </c>
      <c r="B185" t="s">
        <v>128</v>
      </c>
      <c r="C185">
        <v>20</v>
      </c>
      <c r="D185" t="s">
        <v>99</v>
      </c>
      <c r="E185" t="s">
        <v>15</v>
      </c>
      <c r="F185">
        <v>1.8540000000000001</v>
      </c>
      <c r="G185" t="s">
        <v>16</v>
      </c>
    </row>
    <row r="186" spans="1:7" x14ac:dyDescent="0.25">
      <c r="A186">
        <v>14</v>
      </c>
      <c r="B186" t="s">
        <v>128</v>
      </c>
      <c r="C186">
        <v>30</v>
      </c>
      <c r="D186" t="s">
        <v>125</v>
      </c>
      <c r="E186" t="s">
        <v>15</v>
      </c>
      <c r="F186">
        <v>1.8540000000000001</v>
      </c>
      <c r="G186" t="s">
        <v>16</v>
      </c>
    </row>
    <row r="187" spans="1:7" x14ac:dyDescent="0.25">
      <c r="A187">
        <v>14</v>
      </c>
      <c r="B187" t="s">
        <v>128</v>
      </c>
      <c r="C187">
        <v>40</v>
      </c>
      <c r="D187" t="s">
        <v>105</v>
      </c>
      <c r="E187" t="s">
        <v>106</v>
      </c>
      <c r="F187">
        <v>0.90900000000000003</v>
      </c>
      <c r="G187" t="s">
        <v>14</v>
      </c>
    </row>
    <row r="188" spans="1:7" x14ac:dyDescent="0.25">
      <c r="A188">
        <v>14</v>
      </c>
      <c r="B188" t="s">
        <v>128</v>
      </c>
      <c r="C188">
        <v>50</v>
      </c>
      <c r="D188" t="s">
        <v>18</v>
      </c>
      <c r="E188" t="s">
        <v>15</v>
      </c>
      <c r="F188">
        <v>118.262</v>
      </c>
      <c r="G188" t="s">
        <v>14</v>
      </c>
    </row>
    <row r="189" spans="1:7" x14ac:dyDescent="0.25">
      <c r="A189">
        <v>14</v>
      </c>
      <c r="B189" t="s">
        <v>128</v>
      </c>
      <c r="C189">
        <v>60</v>
      </c>
      <c r="D189" t="s">
        <v>100</v>
      </c>
      <c r="E189" t="s">
        <v>15</v>
      </c>
      <c r="F189">
        <v>30.074000000000002</v>
      </c>
      <c r="G189" t="s">
        <v>14</v>
      </c>
    </row>
    <row r="190" spans="1:7" x14ac:dyDescent="0.25">
      <c r="A190">
        <v>14</v>
      </c>
      <c r="B190" t="s">
        <v>128</v>
      </c>
      <c r="C190">
        <v>70</v>
      </c>
      <c r="D190" t="s">
        <v>101</v>
      </c>
      <c r="E190" t="s">
        <v>15</v>
      </c>
      <c r="F190">
        <v>184.953</v>
      </c>
      <c r="G190" t="s">
        <v>14</v>
      </c>
    </row>
    <row r="191" spans="1:7" x14ac:dyDescent="0.25">
      <c r="A191">
        <v>14</v>
      </c>
      <c r="B191" t="s">
        <v>128</v>
      </c>
      <c r="C191">
        <v>80</v>
      </c>
      <c r="D191" t="s">
        <v>107</v>
      </c>
      <c r="E191" t="s">
        <v>11</v>
      </c>
      <c r="F191">
        <v>4</v>
      </c>
      <c r="G191" t="s">
        <v>14</v>
      </c>
    </row>
    <row r="192" spans="1:7" x14ac:dyDescent="0.25">
      <c r="A192">
        <v>14</v>
      </c>
      <c r="B192" t="s">
        <v>128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14</v>
      </c>
      <c r="B193" t="s">
        <v>128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14</v>
      </c>
      <c r="B194" t="s">
        <v>128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14</v>
      </c>
      <c r="B195" t="s">
        <v>128</v>
      </c>
      <c r="C195">
        <v>120</v>
      </c>
      <c r="D195" t="s">
        <v>112</v>
      </c>
      <c r="E195" t="s">
        <v>13</v>
      </c>
      <c r="F195">
        <v>0.60099999999999998</v>
      </c>
      <c r="G195" t="s">
        <v>14</v>
      </c>
    </row>
    <row r="196" spans="1:7" x14ac:dyDescent="0.25">
      <c r="A196">
        <v>14</v>
      </c>
      <c r="B196" t="s">
        <v>128</v>
      </c>
      <c r="C196">
        <v>130</v>
      </c>
      <c r="D196" t="s">
        <v>156</v>
      </c>
      <c r="E196" t="s">
        <v>11</v>
      </c>
      <c r="F196">
        <v>1</v>
      </c>
      <c r="G196" t="s">
        <v>16</v>
      </c>
    </row>
    <row r="197" spans="1:7" x14ac:dyDescent="0.25">
      <c r="A197">
        <v>14</v>
      </c>
      <c r="B197" t="s">
        <v>128</v>
      </c>
      <c r="C197">
        <v>140</v>
      </c>
      <c r="D197" t="s">
        <v>157</v>
      </c>
      <c r="E197" t="s">
        <v>11</v>
      </c>
      <c r="F197">
        <v>1</v>
      </c>
      <c r="G197" t="s">
        <v>16</v>
      </c>
    </row>
    <row r="198" spans="1:7" x14ac:dyDescent="0.25">
      <c r="A198">
        <v>15</v>
      </c>
      <c r="B198" t="s">
        <v>129</v>
      </c>
      <c r="C198">
        <v>10</v>
      </c>
      <c r="D198" t="s">
        <v>158</v>
      </c>
      <c r="E198" t="s">
        <v>11</v>
      </c>
      <c r="F198">
        <v>1</v>
      </c>
      <c r="G198" t="s">
        <v>16</v>
      </c>
    </row>
    <row r="199" spans="1:7" x14ac:dyDescent="0.25">
      <c r="A199">
        <v>15</v>
      </c>
      <c r="B199" t="s">
        <v>129</v>
      </c>
      <c r="C199">
        <v>20</v>
      </c>
      <c r="D199" t="s">
        <v>99</v>
      </c>
      <c r="E199" t="s">
        <v>15</v>
      </c>
      <c r="F199">
        <v>0.94</v>
      </c>
      <c r="G199" t="s">
        <v>16</v>
      </c>
    </row>
    <row r="200" spans="1:7" x14ac:dyDescent="0.25">
      <c r="A200">
        <v>15</v>
      </c>
      <c r="B200" t="s">
        <v>129</v>
      </c>
      <c r="C200">
        <v>30</v>
      </c>
      <c r="D200" t="s">
        <v>125</v>
      </c>
      <c r="E200" t="s">
        <v>15</v>
      </c>
      <c r="F200">
        <v>0.94</v>
      </c>
      <c r="G200" t="s">
        <v>16</v>
      </c>
    </row>
    <row r="201" spans="1:7" x14ac:dyDescent="0.25">
      <c r="A201">
        <v>15</v>
      </c>
      <c r="B201" t="s">
        <v>129</v>
      </c>
      <c r="C201">
        <v>40</v>
      </c>
      <c r="D201" t="s">
        <v>105</v>
      </c>
      <c r="E201" t="s">
        <v>106</v>
      </c>
      <c r="F201">
        <v>0.439</v>
      </c>
      <c r="G201" t="s">
        <v>14</v>
      </c>
    </row>
    <row r="202" spans="1:7" x14ac:dyDescent="0.25">
      <c r="A202">
        <v>15</v>
      </c>
      <c r="B202" t="s">
        <v>129</v>
      </c>
      <c r="C202">
        <v>50</v>
      </c>
      <c r="D202" t="s">
        <v>18</v>
      </c>
      <c r="E202" t="s">
        <v>15</v>
      </c>
      <c r="F202">
        <v>91.44</v>
      </c>
      <c r="G202" t="s">
        <v>14</v>
      </c>
    </row>
    <row r="203" spans="1:7" x14ac:dyDescent="0.25">
      <c r="A203">
        <v>15</v>
      </c>
      <c r="B203" t="s">
        <v>129</v>
      </c>
      <c r="C203">
        <v>60</v>
      </c>
      <c r="D203" t="s">
        <v>100</v>
      </c>
      <c r="E203" t="s">
        <v>15</v>
      </c>
      <c r="F203">
        <v>23.367999999999999</v>
      </c>
      <c r="G203" t="s">
        <v>14</v>
      </c>
    </row>
    <row r="204" spans="1:7" x14ac:dyDescent="0.25">
      <c r="A204">
        <v>15</v>
      </c>
      <c r="B204" t="s">
        <v>129</v>
      </c>
      <c r="C204">
        <v>70</v>
      </c>
      <c r="D204" t="s">
        <v>101</v>
      </c>
      <c r="E204" t="s">
        <v>15</v>
      </c>
      <c r="F204">
        <v>143.71299999999999</v>
      </c>
      <c r="G204" t="s">
        <v>14</v>
      </c>
    </row>
    <row r="205" spans="1:7" x14ac:dyDescent="0.25">
      <c r="A205">
        <v>15</v>
      </c>
      <c r="B205" t="s">
        <v>129</v>
      </c>
      <c r="C205">
        <v>80</v>
      </c>
      <c r="D205" t="s">
        <v>107</v>
      </c>
      <c r="E205" t="s">
        <v>11</v>
      </c>
      <c r="F205">
        <v>4</v>
      </c>
      <c r="G205" t="s">
        <v>14</v>
      </c>
    </row>
    <row r="206" spans="1:7" x14ac:dyDescent="0.25">
      <c r="A206">
        <v>15</v>
      </c>
      <c r="B206" t="s">
        <v>129</v>
      </c>
      <c r="C206">
        <v>90</v>
      </c>
      <c r="D206" t="s">
        <v>21</v>
      </c>
      <c r="E206" t="s">
        <v>11</v>
      </c>
      <c r="F206">
        <v>1</v>
      </c>
      <c r="G206" t="s">
        <v>14</v>
      </c>
    </row>
    <row r="207" spans="1:7" x14ac:dyDescent="0.25">
      <c r="A207">
        <v>15</v>
      </c>
      <c r="B207" t="s">
        <v>129</v>
      </c>
      <c r="C207">
        <v>100</v>
      </c>
      <c r="D207" t="s">
        <v>22</v>
      </c>
      <c r="E207" t="s">
        <v>11</v>
      </c>
      <c r="F207">
        <v>1</v>
      </c>
      <c r="G207" t="s">
        <v>14</v>
      </c>
    </row>
    <row r="208" spans="1:7" x14ac:dyDescent="0.25">
      <c r="A208">
        <v>15</v>
      </c>
      <c r="B208" t="s">
        <v>129</v>
      </c>
      <c r="C208">
        <v>110</v>
      </c>
      <c r="D208" t="s">
        <v>23</v>
      </c>
      <c r="E208" t="s">
        <v>11</v>
      </c>
      <c r="F208">
        <v>1</v>
      </c>
      <c r="G208" t="s">
        <v>14</v>
      </c>
    </row>
    <row r="209" spans="1:7" x14ac:dyDescent="0.25">
      <c r="A209">
        <v>15</v>
      </c>
      <c r="B209" t="s">
        <v>129</v>
      </c>
      <c r="C209">
        <v>120</v>
      </c>
      <c r="D209" t="s">
        <v>112</v>
      </c>
      <c r="E209" t="s">
        <v>13</v>
      </c>
      <c r="F209">
        <v>0.33</v>
      </c>
      <c r="G209" t="s">
        <v>14</v>
      </c>
    </row>
    <row r="210" spans="1:7" x14ac:dyDescent="0.25">
      <c r="A210">
        <v>15</v>
      </c>
      <c r="B210" t="s">
        <v>129</v>
      </c>
      <c r="C210">
        <v>130</v>
      </c>
      <c r="D210" t="s">
        <v>159</v>
      </c>
      <c r="E210" t="s">
        <v>11</v>
      </c>
      <c r="F210">
        <v>1</v>
      </c>
      <c r="G210" t="s">
        <v>16</v>
      </c>
    </row>
    <row r="211" spans="1:7" x14ac:dyDescent="0.25">
      <c r="A211">
        <v>15</v>
      </c>
      <c r="B211" t="s">
        <v>129</v>
      </c>
      <c r="C211">
        <v>140</v>
      </c>
      <c r="D211" t="s">
        <v>160</v>
      </c>
      <c r="E211" t="s">
        <v>11</v>
      </c>
      <c r="F211">
        <v>1</v>
      </c>
      <c r="G211" t="s">
        <v>16</v>
      </c>
    </row>
    <row r="212" spans="1:7" x14ac:dyDescent="0.25">
      <c r="A212">
        <v>16</v>
      </c>
      <c r="B212" t="s">
        <v>130</v>
      </c>
      <c r="C212">
        <v>10</v>
      </c>
      <c r="D212" t="s">
        <v>161</v>
      </c>
      <c r="E212" t="s">
        <v>11</v>
      </c>
      <c r="F212">
        <v>1</v>
      </c>
      <c r="G212" t="s">
        <v>16</v>
      </c>
    </row>
    <row r="213" spans="1:7" x14ac:dyDescent="0.25">
      <c r="A213">
        <v>16</v>
      </c>
      <c r="B213" t="s">
        <v>130</v>
      </c>
      <c r="C213">
        <v>20</v>
      </c>
      <c r="D213" t="s">
        <v>99</v>
      </c>
      <c r="E213" t="s">
        <v>15</v>
      </c>
      <c r="F213">
        <v>1.2450000000000001</v>
      </c>
      <c r="G213" t="s">
        <v>16</v>
      </c>
    </row>
    <row r="214" spans="1:7" x14ac:dyDescent="0.25">
      <c r="A214">
        <v>16</v>
      </c>
      <c r="B214" t="s">
        <v>130</v>
      </c>
      <c r="C214">
        <v>30</v>
      </c>
      <c r="D214" t="s">
        <v>125</v>
      </c>
      <c r="E214" t="s">
        <v>15</v>
      </c>
      <c r="F214">
        <v>1.2450000000000001</v>
      </c>
      <c r="G214" t="s">
        <v>16</v>
      </c>
    </row>
    <row r="215" spans="1:7" x14ac:dyDescent="0.25">
      <c r="A215">
        <v>16</v>
      </c>
      <c r="B215" t="s">
        <v>130</v>
      </c>
      <c r="C215">
        <v>40</v>
      </c>
      <c r="D215" t="s">
        <v>105</v>
      </c>
      <c r="E215" t="s">
        <v>106</v>
      </c>
      <c r="F215">
        <v>0.61</v>
      </c>
      <c r="G215" t="s">
        <v>14</v>
      </c>
    </row>
    <row r="216" spans="1:7" x14ac:dyDescent="0.25">
      <c r="A216">
        <v>16</v>
      </c>
      <c r="B216" t="s">
        <v>130</v>
      </c>
      <c r="C216">
        <v>50</v>
      </c>
      <c r="D216" t="s">
        <v>18</v>
      </c>
      <c r="E216" t="s">
        <v>15</v>
      </c>
      <c r="F216">
        <v>101.194</v>
      </c>
      <c r="G216" t="s">
        <v>14</v>
      </c>
    </row>
    <row r="217" spans="1:7" x14ac:dyDescent="0.25">
      <c r="A217">
        <v>16</v>
      </c>
      <c r="B217" t="s">
        <v>130</v>
      </c>
      <c r="C217">
        <v>60</v>
      </c>
      <c r="D217" t="s">
        <v>100</v>
      </c>
      <c r="E217" t="s">
        <v>15</v>
      </c>
      <c r="F217">
        <v>25.806000000000001</v>
      </c>
      <c r="G217" t="s">
        <v>14</v>
      </c>
    </row>
    <row r="218" spans="1:7" x14ac:dyDescent="0.25">
      <c r="A218">
        <v>16</v>
      </c>
      <c r="B218" t="s">
        <v>130</v>
      </c>
      <c r="C218">
        <v>70</v>
      </c>
      <c r="D218" t="s">
        <v>101</v>
      </c>
      <c r="E218" t="s">
        <v>15</v>
      </c>
      <c r="F218">
        <v>158.709</v>
      </c>
      <c r="G218" t="s">
        <v>14</v>
      </c>
    </row>
    <row r="219" spans="1:7" x14ac:dyDescent="0.25">
      <c r="A219">
        <v>16</v>
      </c>
      <c r="B219" t="s">
        <v>130</v>
      </c>
      <c r="C219">
        <v>80</v>
      </c>
      <c r="D219" t="s">
        <v>107</v>
      </c>
      <c r="E219" t="s">
        <v>11</v>
      </c>
      <c r="F219">
        <v>4</v>
      </c>
      <c r="G219" t="s">
        <v>14</v>
      </c>
    </row>
    <row r="220" spans="1:7" x14ac:dyDescent="0.25">
      <c r="A220">
        <v>16</v>
      </c>
      <c r="B220" t="s">
        <v>130</v>
      </c>
      <c r="C220">
        <v>90</v>
      </c>
      <c r="D220" t="s">
        <v>21</v>
      </c>
      <c r="E220" t="s">
        <v>11</v>
      </c>
      <c r="F220">
        <v>1</v>
      </c>
      <c r="G220" t="s">
        <v>14</v>
      </c>
    </row>
    <row r="221" spans="1:7" x14ac:dyDescent="0.25">
      <c r="A221">
        <v>16</v>
      </c>
      <c r="B221" t="s">
        <v>130</v>
      </c>
      <c r="C221">
        <v>100</v>
      </c>
      <c r="D221" t="s">
        <v>22</v>
      </c>
      <c r="E221" t="s">
        <v>11</v>
      </c>
      <c r="F221">
        <v>1</v>
      </c>
      <c r="G221" t="s">
        <v>14</v>
      </c>
    </row>
    <row r="222" spans="1:7" x14ac:dyDescent="0.25">
      <c r="A222">
        <v>16</v>
      </c>
      <c r="B222" t="s">
        <v>130</v>
      </c>
      <c r="C222">
        <v>110</v>
      </c>
      <c r="D222" t="s">
        <v>23</v>
      </c>
      <c r="E222" t="s">
        <v>11</v>
      </c>
      <c r="F222">
        <v>1</v>
      </c>
      <c r="G222" t="s">
        <v>14</v>
      </c>
    </row>
    <row r="223" spans="1:7" x14ac:dyDescent="0.25">
      <c r="A223">
        <v>16</v>
      </c>
      <c r="B223" t="s">
        <v>130</v>
      </c>
      <c r="C223">
        <v>120</v>
      </c>
      <c r="D223" t="s">
        <v>112</v>
      </c>
      <c r="E223" t="s">
        <v>13</v>
      </c>
      <c r="F223">
        <v>0.42</v>
      </c>
      <c r="G223" t="s">
        <v>14</v>
      </c>
    </row>
    <row r="224" spans="1:7" x14ac:dyDescent="0.25">
      <c r="A224">
        <v>16</v>
      </c>
      <c r="B224" t="s">
        <v>130</v>
      </c>
      <c r="C224">
        <v>130</v>
      </c>
      <c r="D224" t="s">
        <v>162</v>
      </c>
      <c r="E224" t="s">
        <v>11</v>
      </c>
      <c r="F224">
        <v>1</v>
      </c>
      <c r="G224" t="s">
        <v>16</v>
      </c>
    </row>
    <row r="225" spans="1:7" x14ac:dyDescent="0.25">
      <c r="A225">
        <v>16</v>
      </c>
      <c r="B225" t="s">
        <v>130</v>
      </c>
      <c r="C225">
        <v>140</v>
      </c>
      <c r="D225" t="s">
        <v>163</v>
      </c>
      <c r="E225" t="s">
        <v>11</v>
      </c>
      <c r="F225">
        <v>1</v>
      </c>
      <c r="G225" t="s">
        <v>16</v>
      </c>
    </row>
    <row r="226" spans="1:7" x14ac:dyDescent="0.25">
      <c r="A226">
        <v>17</v>
      </c>
      <c r="B226" t="s">
        <v>131</v>
      </c>
      <c r="C226">
        <v>10</v>
      </c>
      <c r="D226" t="s">
        <v>164</v>
      </c>
      <c r="E226" t="s">
        <v>11</v>
      </c>
      <c r="F226">
        <v>1</v>
      </c>
      <c r="G226" t="s">
        <v>16</v>
      </c>
    </row>
    <row r="227" spans="1:7" x14ac:dyDescent="0.25">
      <c r="A227">
        <v>17</v>
      </c>
      <c r="B227" t="s">
        <v>131</v>
      </c>
      <c r="C227">
        <v>20</v>
      </c>
      <c r="D227" t="s">
        <v>99</v>
      </c>
      <c r="E227" t="s">
        <v>15</v>
      </c>
      <c r="F227">
        <v>1.5489999999999999</v>
      </c>
      <c r="G227" t="s">
        <v>16</v>
      </c>
    </row>
    <row r="228" spans="1:7" x14ac:dyDescent="0.25">
      <c r="A228">
        <v>17</v>
      </c>
      <c r="B228" t="s">
        <v>131</v>
      </c>
      <c r="C228">
        <v>30</v>
      </c>
      <c r="D228" t="s">
        <v>125</v>
      </c>
      <c r="E228" t="s">
        <v>15</v>
      </c>
      <c r="F228">
        <v>1.5489999999999999</v>
      </c>
      <c r="G228" t="s">
        <v>16</v>
      </c>
    </row>
    <row r="229" spans="1:7" x14ac:dyDescent="0.25">
      <c r="A229">
        <v>17</v>
      </c>
      <c r="B229" t="s">
        <v>131</v>
      </c>
      <c r="C229">
        <v>40</v>
      </c>
      <c r="D229" t="s">
        <v>105</v>
      </c>
      <c r="E229" t="s">
        <v>106</v>
      </c>
      <c r="F229">
        <v>0.78</v>
      </c>
      <c r="G229" t="s">
        <v>14</v>
      </c>
    </row>
    <row r="230" spans="1:7" x14ac:dyDescent="0.25">
      <c r="A230">
        <v>17</v>
      </c>
      <c r="B230" t="s">
        <v>131</v>
      </c>
      <c r="C230">
        <v>50</v>
      </c>
      <c r="D230" t="s">
        <v>18</v>
      </c>
      <c r="E230" t="s">
        <v>15</v>
      </c>
      <c r="F230">
        <v>110.947</v>
      </c>
      <c r="G230" t="s">
        <v>14</v>
      </c>
    </row>
    <row r="231" spans="1:7" x14ac:dyDescent="0.25">
      <c r="A231">
        <v>17</v>
      </c>
      <c r="B231" t="s">
        <v>131</v>
      </c>
      <c r="C231">
        <v>60</v>
      </c>
      <c r="D231" t="s">
        <v>100</v>
      </c>
      <c r="E231" t="s">
        <v>15</v>
      </c>
      <c r="F231">
        <v>28.245000000000001</v>
      </c>
      <c r="G231" t="s">
        <v>14</v>
      </c>
    </row>
    <row r="232" spans="1:7" x14ac:dyDescent="0.25">
      <c r="A232">
        <v>17</v>
      </c>
      <c r="B232" t="s">
        <v>131</v>
      </c>
      <c r="C232">
        <v>70</v>
      </c>
      <c r="D232" t="s">
        <v>101</v>
      </c>
      <c r="E232" t="s">
        <v>15</v>
      </c>
      <c r="F232">
        <v>173.70599999999999</v>
      </c>
      <c r="G232" t="s">
        <v>14</v>
      </c>
    </row>
    <row r="233" spans="1:7" x14ac:dyDescent="0.25">
      <c r="A233">
        <v>17</v>
      </c>
      <c r="B233" t="s">
        <v>131</v>
      </c>
      <c r="C233">
        <v>80</v>
      </c>
      <c r="D233" t="s">
        <v>107</v>
      </c>
      <c r="E233" t="s">
        <v>11</v>
      </c>
      <c r="F233">
        <v>4</v>
      </c>
      <c r="G233" t="s">
        <v>14</v>
      </c>
    </row>
    <row r="234" spans="1:7" x14ac:dyDescent="0.25">
      <c r="A234">
        <v>17</v>
      </c>
      <c r="B234" t="s">
        <v>131</v>
      </c>
      <c r="C234">
        <v>90</v>
      </c>
      <c r="D234" t="s">
        <v>21</v>
      </c>
      <c r="E234" t="s">
        <v>11</v>
      </c>
      <c r="F234">
        <v>1</v>
      </c>
      <c r="G234" t="s">
        <v>14</v>
      </c>
    </row>
    <row r="235" spans="1:7" x14ac:dyDescent="0.25">
      <c r="A235">
        <v>17</v>
      </c>
      <c r="B235" t="s">
        <v>131</v>
      </c>
      <c r="C235">
        <v>100</v>
      </c>
      <c r="D235" t="s">
        <v>22</v>
      </c>
      <c r="E235" t="s">
        <v>11</v>
      </c>
      <c r="F235">
        <v>1</v>
      </c>
      <c r="G235" t="s">
        <v>14</v>
      </c>
    </row>
    <row r="236" spans="1:7" x14ac:dyDescent="0.25">
      <c r="A236">
        <v>17</v>
      </c>
      <c r="B236" t="s">
        <v>131</v>
      </c>
      <c r="C236">
        <v>110</v>
      </c>
      <c r="D236" t="s">
        <v>23</v>
      </c>
      <c r="E236" t="s">
        <v>11</v>
      </c>
      <c r="F236">
        <v>1</v>
      </c>
      <c r="G236" t="s">
        <v>14</v>
      </c>
    </row>
    <row r="237" spans="1:7" x14ac:dyDescent="0.25">
      <c r="A237">
        <v>17</v>
      </c>
      <c r="B237" t="s">
        <v>131</v>
      </c>
      <c r="C237">
        <v>120</v>
      </c>
      <c r="D237" t="s">
        <v>112</v>
      </c>
      <c r="E237" t="s">
        <v>13</v>
      </c>
      <c r="F237">
        <v>0.51</v>
      </c>
      <c r="G237" t="s">
        <v>14</v>
      </c>
    </row>
    <row r="238" spans="1:7" x14ac:dyDescent="0.25">
      <c r="A238">
        <v>17</v>
      </c>
      <c r="B238" t="s">
        <v>131</v>
      </c>
      <c r="C238">
        <v>130</v>
      </c>
      <c r="D238" t="s">
        <v>165</v>
      </c>
      <c r="E238" t="s">
        <v>11</v>
      </c>
      <c r="F238">
        <v>1</v>
      </c>
      <c r="G238" t="s">
        <v>16</v>
      </c>
    </row>
    <row r="239" spans="1:7" x14ac:dyDescent="0.25">
      <c r="A239">
        <v>17</v>
      </c>
      <c r="B239" t="s">
        <v>131</v>
      </c>
      <c r="C239">
        <v>140</v>
      </c>
      <c r="D239" t="s">
        <v>166</v>
      </c>
      <c r="E239" t="s">
        <v>11</v>
      </c>
      <c r="F239">
        <v>1</v>
      </c>
      <c r="G239" t="s">
        <v>16</v>
      </c>
    </row>
    <row r="240" spans="1:7" x14ac:dyDescent="0.25">
      <c r="A240">
        <v>18</v>
      </c>
      <c r="B240" t="s">
        <v>132</v>
      </c>
      <c r="C240">
        <v>10</v>
      </c>
      <c r="D240" t="s">
        <v>167</v>
      </c>
      <c r="E240" t="s">
        <v>11</v>
      </c>
      <c r="F240">
        <v>1</v>
      </c>
      <c r="G240" t="s">
        <v>16</v>
      </c>
    </row>
    <row r="241" spans="1:7" x14ac:dyDescent="0.25">
      <c r="A241">
        <v>18</v>
      </c>
      <c r="B241" t="s">
        <v>132</v>
      </c>
      <c r="C241">
        <v>20</v>
      </c>
      <c r="D241" t="s">
        <v>99</v>
      </c>
      <c r="E241" t="s">
        <v>15</v>
      </c>
      <c r="F241">
        <v>1.8540000000000001</v>
      </c>
      <c r="G241" t="s">
        <v>16</v>
      </c>
    </row>
    <row r="242" spans="1:7" x14ac:dyDescent="0.25">
      <c r="A242">
        <v>18</v>
      </c>
      <c r="B242" t="s">
        <v>132</v>
      </c>
      <c r="C242">
        <v>30</v>
      </c>
      <c r="D242" t="s">
        <v>125</v>
      </c>
      <c r="E242" t="s">
        <v>15</v>
      </c>
      <c r="F242">
        <v>1.8540000000000001</v>
      </c>
      <c r="G242" t="s">
        <v>16</v>
      </c>
    </row>
    <row r="243" spans="1:7" x14ac:dyDescent="0.25">
      <c r="A243">
        <v>18</v>
      </c>
      <c r="B243" t="s">
        <v>132</v>
      </c>
      <c r="C243">
        <v>40</v>
      </c>
      <c r="D243" t="s">
        <v>105</v>
      </c>
      <c r="E243" t="s">
        <v>106</v>
      </c>
      <c r="F243">
        <v>0.95</v>
      </c>
      <c r="G243" t="s">
        <v>14</v>
      </c>
    </row>
    <row r="244" spans="1:7" x14ac:dyDescent="0.25">
      <c r="A244">
        <v>18</v>
      </c>
      <c r="B244" t="s">
        <v>132</v>
      </c>
      <c r="C244">
        <v>50</v>
      </c>
      <c r="D244" t="s">
        <v>18</v>
      </c>
      <c r="E244" t="s">
        <v>15</v>
      </c>
      <c r="F244">
        <v>120.70099999999999</v>
      </c>
      <c r="G244" t="s">
        <v>14</v>
      </c>
    </row>
    <row r="245" spans="1:7" x14ac:dyDescent="0.25">
      <c r="A245">
        <v>18</v>
      </c>
      <c r="B245" t="s">
        <v>132</v>
      </c>
      <c r="C245">
        <v>60</v>
      </c>
      <c r="D245" t="s">
        <v>100</v>
      </c>
      <c r="E245" t="s">
        <v>15</v>
      </c>
      <c r="F245">
        <v>30.683</v>
      </c>
      <c r="G245" t="s">
        <v>14</v>
      </c>
    </row>
    <row r="246" spans="1:7" x14ac:dyDescent="0.25">
      <c r="A246">
        <v>18</v>
      </c>
      <c r="B246" t="s">
        <v>132</v>
      </c>
      <c r="C246">
        <v>70</v>
      </c>
      <c r="D246" t="s">
        <v>101</v>
      </c>
      <c r="E246" t="s">
        <v>15</v>
      </c>
      <c r="F246">
        <v>188.702</v>
      </c>
      <c r="G246" t="s">
        <v>14</v>
      </c>
    </row>
    <row r="247" spans="1:7" x14ac:dyDescent="0.25">
      <c r="A247">
        <v>18</v>
      </c>
      <c r="B247" t="s">
        <v>132</v>
      </c>
      <c r="C247">
        <v>80</v>
      </c>
      <c r="D247" t="s">
        <v>107</v>
      </c>
      <c r="E247" t="s">
        <v>11</v>
      </c>
      <c r="F247">
        <v>4</v>
      </c>
      <c r="G247" t="s">
        <v>14</v>
      </c>
    </row>
    <row r="248" spans="1:7" x14ac:dyDescent="0.25">
      <c r="A248">
        <v>18</v>
      </c>
      <c r="B248" t="s">
        <v>132</v>
      </c>
      <c r="C248">
        <v>90</v>
      </c>
      <c r="D248" t="s">
        <v>21</v>
      </c>
      <c r="E248" t="s">
        <v>11</v>
      </c>
      <c r="F248">
        <v>1</v>
      </c>
      <c r="G248" t="s">
        <v>14</v>
      </c>
    </row>
    <row r="249" spans="1:7" x14ac:dyDescent="0.25">
      <c r="A249">
        <v>18</v>
      </c>
      <c r="B249" t="s">
        <v>132</v>
      </c>
      <c r="C249">
        <v>100</v>
      </c>
      <c r="D249" t="s">
        <v>22</v>
      </c>
      <c r="E249" t="s">
        <v>11</v>
      </c>
      <c r="F249">
        <v>1</v>
      </c>
      <c r="G249" t="s">
        <v>14</v>
      </c>
    </row>
    <row r="250" spans="1:7" x14ac:dyDescent="0.25">
      <c r="A250">
        <v>18</v>
      </c>
      <c r="B250" t="s">
        <v>132</v>
      </c>
      <c r="C250">
        <v>110</v>
      </c>
      <c r="D250" t="s">
        <v>23</v>
      </c>
      <c r="E250" t="s">
        <v>11</v>
      </c>
      <c r="F250">
        <v>1</v>
      </c>
      <c r="G250" t="s">
        <v>14</v>
      </c>
    </row>
    <row r="251" spans="1:7" x14ac:dyDescent="0.25">
      <c r="A251">
        <v>18</v>
      </c>
      <c r="B251" t="s">
        <v>132</v>
      </c>
      <c r="C251">
        <v>120</v>
      </c>
      <c r="D251" t="s">
        <v>112</v>
      </c>
      <c r="E251" t="s">
        <v>13</v>
      </c>
      <c r="F251">
        <v>0.60099999999999998</v>
      </c>
      <c r="G251" t="s">
        <v>14</v>
      </c>
    </row>
    <row r="252" spans="1:7" x14ac:dyDescent="0.25">
      <c r="A252">
        <v>18</v>
      </c>
      <c r="B252" t="s">
        <v>132</v>
      </c>
      <c r="C252">
        <v>130</v>
      </c>
      <c r="D252" t="s">
        <v>168</v>
      </c>
      <c r="E252" t="s">
        <v>11</v>
      </c>
      <c r="F252">
        <v>1</v>
      </c>
      <c r="G252" t="s">
        <v>16</v>
      </c>
    </row>
    <row r="253" spans="1:7" x14ac:dyDescent="0.25">
      <c r="A253">
        <v>18</v>
      </c>
      <c r="B253" t="s">
        <v>132</v>
      </c>
      <c r="C253">
        <v>140</v>
      </c>
      <c r="D253" t="s">
        <v>169</v>
      </c>
      <c r="E253" t="s">
        <v>11</v>
      </c>
      <c r="F253">
        <v>1</v>
      </c>
      <c r="G253" t="s">
        <v>16</v>
      </c>
    </row>
    <row r="254" spans="1:7" x14ac:dyDescent="0.25">
      <c r="A254">
        <v>19</v>
      </c>
      <c r="B254" t="s">
        <v>133</v>
      </c>
      <c r="C254">
        <v>10</v>
      </c>
      <c r="D254" t="s">
        <v>170</v>
      </c>
      <c r="E254" t="s">
        <v>11</v>
      </c>
      <c r="F254">
        <v>1</v>
      </c>
      <c r="G254" t="s">
        <v>16</v>
      </c>
    </row>
    <row r="255" spans="1:7" x14ac:dyDescent="0.25">
      <c r="A255">
        <v>19</v>
      </c>
      <c r="B255" t="s">
        <v>133</v>
      </c>
      <c r="C255">
        <v>20</v>
      </c>
      <c r="D255" t="s">
        <v>99</v>
      </c>
      <c r="E255" t="s">
        <v>15</v>
      </c>
      <c r="F255">
        <v>1.5489999999999999</v>
      </c>
      <c r="G255" t="s">
        <v>16</v>
      </c>
    </row>
    <row r="256" spans="1:7" x14ac:dyDescent="0.25">
      <c r="A256">
        <v>19</v>
      </c>
      <c r="B256" t="s">
        <v>133</v>
      </c>
      <c r="C256">
        <v>30</v>
      </c>
      <c r="D256" t="s">
        <v>125</v>
      </c>
      <c r="E256" t="s">
        <v>15</v>
      </c>
      <c r="F256">
        <v>1.5489999999999999</v>
      </c>
      <c r="G256" t="s">
        <v>16</v>
      </c>
    </row>
    <row r="257" spans="1:7" x14ac:dyDescent="0.25">
      <c r="A257">
        <v>19</v>
      </c>
      <c r="B257" t="s">
        <v>133</v>
      </c>
      <c r="C257">
        <v>40</v>
      </c>
      <c r="D257" t="s">
        <v>105</v>
      </c>
      <c r="E257" t="s">
        <v>106</v>
      </c>
      <c r="F257">
        <v>0.81299999999999994</v>
      </c>
      <c r="G257" t="s">
        <v>14</v>
      </c>
    </row>
    <row r="258" spans="1:7" x14ac:dyDescent="0.25">
      <c r="A258">
        <v>19</v>
      </c>
      <c r="B258" t="s">
        <v>133</v>
      </c>
      <c r="C258">
        <v>50</v>
      </c>
      <c r="D258" t="s">
        <v>18</v>
      </c>
      <c r="E258" t="s">
        <v>15</v>
      </c>
      <c r="F258">
        <v>113.386</v>
      </c>
      <c r="G258" t="s">
        <v>14</v>
      </c>
    </row>
    <row r="259" spans="1:7" x14ac:dyDescent="0.25">
      <c r="A259">
        <v>19</v>
      </c>
      <c r="B259" t="s">
        <v>133</v>
      </c>
      <c r="C259">
        <v>60</v>
      </c>
      <c r="D259" t="s">
        <v>100</v>
      </c>
      <c r="E259" t="s">
        <v>15</v>
      </c>
      <c r="F259">
        <v>28.853999999999999</v>
      </c>
      <c r="G259" t="s">
        <v>14</v>
      </c>
    </row>
    <row r="260" spans="1:7" x14ac:dyDescent="0.25">
      <c r="A260">
        <v>19</v>
      </c>
      <c r="B260" t="s">
        <v>133</v>
      </c>
      <c r="C260">
        <v>70</v>
      </c>
      <c r="D260" t="s">
        <v>101</v>
      </c>
      <c r="E260" t="s">
        <v>15</v>
      </c>
      <c r="F260">
        <v>177.45500000000001</v>
      </c>
      <c r="G260" t="s">
        <v>14</v>
      </c>
    </row>
    <row r="261" spans="1:7" x14ac:dyDescent="0.25">
      <c r="A261">
        <v>19</v>
      </c>
      <c r="B261" t="s">
        <v>133</v>
      </c>
      <c r="C261">
        <v>80</v>
      </c>
      <c r="D261" t="s">
        <v>107</v>
      </c>
      <c r="E261" t="s">
        <v>11</v>
      </c>
      <c r="F261">
        <v>4</v>
      </c>
      <c r="G261" t="s">
        <v>14</v>
      </c>
    </row>
    <row r="262" spans="1:7" x14ac:dyDescent="0.25">
      <c r="A262">
        <v>19</v>
      </c>
      <c r="B262" t="s">
        <v>133</v>
      </c>
      <c r="C262">
        <v>90</v>
      </c>
      <c r="D262" t="s">
        <v>21</v>
      </c>
      <c r="E262" t="s">
        <v>11</v>
      </c>
      <c r="F262">
        <v>1</v>
      </c>
      <c r="G262" t="s">
        <v>14</v>
      </c>
    </row>
    <row r="263" spans="1:7" x14ac:dyDescent="0.25">
      <c r="A263">
        <v>19</v>
      </c>
      <c r="B263" t="s">
        <v>133</v>
      </c>
      <c r="C263">
        <v>100</v>
      </c>
      <c r="D263" t="s">
        <v>22</v>
      </c>
      <c r="E263" t="s">
        <v>11</v>
      </c>
      <c r="F263">
        <v>1</v>
      </c>
      <c r="G263" t="s">
        <v>14</v>
      </c>
    </row>
    <row r="264" spans="1:7" x14ac:dyDescent="0.25">
      <c r="A264">
        <v>19</v>
      </c>
      <c r="B264" t="s">
        <v>133</v>
      </c>
      <c r="C264">
        <v>110</v>
      </c>
      <c r="D264" t="s">
        <v>23</v>
      </c>
      <c r="E264" t="s">
        <v>11</v>
      </c>
      <c r="F264">
        <v>1</v>
      </c>
      <c r="G264" t="s">
        <v>14</v>
      </c>
    </row>
    <row r="265" spans="1:7" x14ac:dyDescent="0.25">
      <c r="A265">
        <v>19</v>
      </c>
      <c r="B265" t="s">
        <v>133</v>
      </c>
      <c r="C265">
        <v>120</v>
      </c>
      <c r="D265" t="s">
        <v>112</v>
      </c>
      <c r="E265" t="s">
        <v>13</v>
      </c>
      <c r="F265">
        <v>0.51</v>
      </c>
      <c r="G265" t="s">
        <v>14</v>
      </c>
    </row>
    <row r="266" spans="1:7" x14ac:dyDescent="0.25">
      <c r="A266">
        <v>19</v>
      </c>
      <c r="B266" t="s">
        <v>133</v>
      </c>
      <c r="C266">
        <v>130</v>
      </c>
      <c r="D266" t="s">
        <v>171</v>
      </c>
      <c r="E266" t="s">
        <v>11</v>
      </c>
      <c r="F266">
        <v>1</v>
      </c>
      <c r="G266" t="s">
        <v>16</v>
      </c>
    </row>
    <row r="267" spans="1:7" x14ac:dyDescent="0.25">
      <c r="A267">
        <v>19</v>
      </c>
      <c r="B267" t="s">
        <v>133</v>
      </c>
      <c r="C267">
        <v>140</v>
      </c>
      <c r="D267" t="s">
        <v>172</v>
      </c>
      <c r="E267" t="s">
        <v>11</v>
      </c>
      <c r="F267">
        <v>1</v>
      </c>
      <c r="G267" t="s">
        <v>16</v>
      </c>
    </row>
    <row r="268" spans="1:7" x14ac:dyDescent="0.25">
      <c r="A268">
        <v>20</v>
      </c>
      <c r="B268" t="s">
        <v>134</v>
      </c>
      <c r="C268">
        <v>10</v>
      </c>
      <c r="D268" t="s">
        <v>173</v>
      </c>
      <c r="E268" t="s">
        <v>11</v>
      </c>
      <c r="F268">
        <v>1</v>
      </c>
      <c r="G268" t="s">
        <v>16</v>
      </c>
    </row>
    <row r="269" spans="1:7" x14ac:dyDescent="0.25">
      <c r="A269">
        <v>20</v>
      </c>
      <c r="B269" t="s">
        <v>134</v>
      </c>
      <c r="C269">
        <v>20</v>
      </c>
      <c r="D269" t="s">
        <v>99</v>
      </c>
      <c r="E269" t="s">
        <v>15</v>
      </c>
      <c r="F269">
        <v>1.8540000000000001</v>
      </c>
      <c r="G269" t="s">
        <v>16</v>
      </c>
    </row>
    <row r="270" spans="1:7" x14ac:dyDescent="0.25">
      <c r="A270">
        <v>20</v>
      </c>
      <c r="B270" t="s">
        <v>134</v>
      </c>
      <c r="C270">
        <v>30</v>
      </c>
      <c r="D270" t="s">
        <v>125</v>
      </c>
      <c r="E270" t="s">
        <v>15</v>
      </c>
      <c r="F270">
        <v>1.8540000000000001</v>
      </c>
      <c r="G270" t="s">
        <v>16</v>
      </c>
    </row>
    <row r="271" spans="1:7" x14ac:dyDescent="0.25">
      <c r="A271">
        <v>20</v>
      </c>
      <c r="B271" t="s">
        <v>134</v>
      </c>
      <c r="C271">
        <v>40</v>
      </c>
      <c r="D271" t="s">
        <v>105</v>
      </c>
      <c r="E271" t="s">
        <v>106</v>
      </c>
      <c r="F271">
        <v>0.99</v>
      </c>
      <c r="G271" t="s">
        <v>14</v>
      </c>
    </row>
    <row r="272" spans="1:7" x14ac:dyDescent="0.25">
      <c r="A272">
        <v>20</v>
      </c>
      <c r="B272" t="s">
        <v>134</v>
      </c>
      <c r="C272">
        <v>50</v>
      </c>
      <c r="D272" t="s">
        <v>18</v>
      </c>
      <c r="E272" t="s">
        <v>15</v>
      </c>
      <c r="F272">
        <v>123.139</v>
      </c>
      <c r="G272" t="s">
        <v>14</v>
      </c>
    </row>
    <row r="273" spans="1:7" x14ac:dyDescent="0.25">
      <c r="A273">
        <v>20</v>
      </c>
      <c r="B273" t="s">
        <v>134</v>
      </c>
      <c r="C273">
        <v>60</v>
      </c>
      <c r="D273" t="s">
        <v>100</v>
      </c>
      <c r="E273" t="s">
        <v>15</v>
      </c>
      <c r="F273">
        <v>31.292999999999999</v>
      </c>
      <c r="G273" t="s">
        <v>14</v>
      </c>
    </row>
    <row r="274" spans="1:7" x14ac:dyDescent="0.25">
      <c r="A274">
        <v>20</v>
      </c>
      <c r="B274" t="s">
        <v>134</v>
      </c>
      <c r="C274">
        <v>70</v>
      </c>
      <c r="D274" t="s">
        <v>101</v>
      </c>
      <c r="E274" t="s">
        <v>15</v>
      </c>
      <c r="F274">
        <v>192.45099999999999</v>
      </c>
      <c r="G274" t="s">
        <v>14</v>
      </c>
    </row>
    <row r="275" spans="1:7" x14ac:dyDescent="0.25">
      <c r="A275">
        <v>20</v>
      </c>
      <c r="B275" t="s">
        <v>134</v>
      </c>
      <c r="C275">
        <v>80</v>
      </c>
      <c r="D275" t="s">
        <v>107</v>
      </c>
      <c r="E275" t="s">
        <v>11</v>
      </c>
      <c r="F275">
        <v>4</v>
      </c>
      <c r="G275" t="s">
        <v>14</v>
      </c>
    </row>
    <row r="276" spans="1:7" x14ac:dyDescent="0.25">
      <c r="A276">
        <v>20</v>
      </c>
      <c r="B276" t="s">
        <v>134</v>
      </c>
      <c r="C276">
        <v>90</v>
      </c>
      <c r="D276" t="s">
        <v>21</v>
      </c>
      <c r="E276" t="s">
        <v>11</v>
      </c>
      <c r="F276">
        <v>1</v>
      </c>
      <c r="G276" t="s">
        <v>14</v>
      </c>
    </row>
    <row r="277" spans="1:7" x14ac:dyDescent="0.25">
      <c r="A277">
        <v>20</v>
      </c>
      <c r="B277" t="s">
        <v>134</v>
      </c>
      <c r="C277">
        <v>100</v>
      </c>
      <c r="D277" t="s">
        <v>22</v>
      </c>
      <c r="E277" t="s">
        <v>11</v>
      </c>
      <c r="F277">
        <v>1</v>
      </c>
      <c r="G277" t="s">
        <v>14</v>
      </c>
    </row>
    <row r="278" spans="1:7" x14ac:dyDescent="0.25">
      <c r="A278">
        <v>20</v>
      </c>
      <c r="B278" t="s">
        <v>134</v>
      </c>
      <c r="C278">
        <v>110</v>
      </c>
      <c r="D278" t="s">
        <v>23</v>
      </c>
      <c r="E278" t="s">
        <v>11</v>
      </c>
      <c r="F278">
        <v>1</v>
      </c>
      <c r="G278" t="s">
        <v>14</v>
      </c>
    </row>
    <row r="279" spans="1:7" x14ac:dyDescent="0.25">
      <c r="A279">
        <v>20</v>
      </c>
      <c r="B279" t="s">
        <v>134</v>
      </c>
      <c r="C279">
        <v>120</v>
      </c>
      <c r="D279" t="s">
        <v>112</v>
      </c>
      <c r="E279" t="s">
        <v>13</v>
      </c>
      <c r="F279">
        <v>0.60099999999999998</v>
      </c>
      <c r="G279" t="s">
        <v>14</v>
      </c>
    </row>
    <row r="280" spans="1:7" x14ac:dyDescent="0.25">
      <c r="A280">
        <v>20</v>
      </c>
      <c r="B280" t="s">
        <v>134</v>
      </c>
      <c r="C280">
        <v>130</v>
      </c>
      <c r="D280" t="s">
        <v>174</v>
      </c>
      <c r="E280" t="s">
        <v>11</v>
      </c>
      <c r="F280">
        <v>1</v>
      </c>
      <c r="G280" t="s">
        <v>16</v>
      </c>
    </row>
    <row r="281" spans="1:7" x14ac:dyDescent="0.25">
      <c r="A281">
        <v>20</v>
      </c>
      <c r="B281" t="s">
        <v>134</v>
      </c>
      <c r="C281">
        <v>140</v>
      </c>
      <c r="D281" t="s">
        <v>175</v>
      </c>
      <c r="E281" t="s">
        <v>11</v>
      </c>
      <c r="F281">
        <v>1</v>
      </c>
      <c r="G281" t="s">
        <v>16</v>
      </c>
    </row>
    <row r="282" spans="1:7" x14ac:dyDescent="0.25">
      <c r="A282">
        <v>21</v>
      </c>
      <c r="B282" t="s">
        <v>135</v>
      </c>
      <c r="C282">
        <v>10</v>
      </c>
      <c r="D282" t="s">
        <v>146</v>
      </c>
      <c r="E282" t="s">
        <v>11</v>
      </c>
      <c r="F282">
        <v>1</v>
      </c>
      <c r="G282" t="s">
        <v>16</v>
      </c>
    </row>
    <row r="283" spans="1:7" x14ac:dyDescent="0.25">
      <c r="A283">
        <v>21</v>
      </c>
      <c r="B283" t="s">
        <v>135</v>
      </c>
      <c r="C283">
        <v>20</v>
      </c>
      <c r="D283" t="s">
        <v>102</v>
      </c>
      <c r="E283" t="s">
        <v>15</v>
      </c>
      <c r="F283">
        <v>0.94</v>
      </c>
      <c r="G283" t="s">
        <v>16</v>
      </c>
    </row>
    <row r="284" spans="1:7" x14ac:dyDescent="0.25">
      <c r="A284">
        <v>21</v>
      </c>
      <c r="B284" t="s">
        <v>135</v>
      </c>
      <c r="C284">
        <v>30</v>
      </c>
      <c r="D284" t="s">
        <v>136</v>
      </c>
      <c r="E284" t="s">
        <v>15</v>
      </c>
      <c r="F284">
        <v>0.94</v>
      </c>
      <c r="G284" t="s">
        <v>16</v>
      </c>
    </row>
    <row r="285" spans="1:7" x14ac:dyDescent="0.25">
      <c r="A285">
        <v>21</v>
      </c>
      <c r="B285" t="s">
        <v>135</v>
      </c>
      <c r="C285">
        <v>40</v>
      </c>
      <c r="D285" t="s">
        <v>105</v>
      </c>
      <c r="E285" t="s">
        <v>106</v>
      </c>
      <c r="F285">
        <v>0.42099999999999999</v>
      </c>
      <c r="G285" t="s">
        <v>14</v>
      </c>
    </row>
    <row r="286" spans="1:7" x14ac:dyDescent="0.25">
      <c r="A286">
        <v>21</v>
      </c>
      <c r="B286" t="s">
        <v>135</v>
      </c>
      <c r="C286">
        <v>50</v>
      </c>
      <c r="D286" t="s">
        <v>18</v>
      </c>
      <c r="E286" t="s">
        <v>15</v>
      </c>
      <c r="F286">
        <v>89.001999999999995</v>
      </c>
      <c r="G286" t="s">
        <v>14</v>
      </c>
    </row>
    <row r="287" spans="1:7" x14ac:dyDescent="0.25">
      <c r="A287">
        <v>21</v>
      </c>
      <c r="B287" t="s">
        <v>135</v>
      </c>
      <c r="C287">
        <v>60</v>
      </c>
      <c r="D287" t="s">
        <v>103</v>
      </c>
      <c r="E287" t="s">
        <v>15</v>
      </c>
      <c r="F287">
        <v>22.757999999999999</v>
      </c>
      <c r="G287" t="s">
        <v>14</v>
      </c>
    </row>
    <row r="288" spans="1:7" x14ac:dyDescent="0.25">
      <c r="A288">
        <v>21</v>
      </c>
      <c r="B288" t="s">
        <v>135</v>
      </c>
      <c r="C288">
        <v>70</v>
      </c>
      <c r="D288" t="s">
        <v>104</v>
      </c>
      <c r="E288" t="s">
        <v>15</v>
      </c>
      <c r="F288">
        <v>139.964</v>
      </c>
      <c r="G288" t="s">
        <v>14</v>
      </c>
    </row>
    <row r="289" spans="1:7" x14ac:dyDescent="0.25">
      <c r="A289">
        <v>21</v>
      </c>
      <c r="B289" t="s">
        <v>135</v>
      </c>
      <c r="C289">
        <v>80</v>
      </c>
      <c r="D289" t="s">
        <v>107</v>
      </c>
      <c r="E289" t="s">
        <v>11</v>
      </c>
      <c r="F289">
        <v>4</v>
      </c>
      <c r="G289" t="s">
        <v>14</v>
      </c>
    </row>
    <row r="290" spans="1:7" x14ac:dyDescent="0.25">
      <c r="A290">
        <v>21</v>
      </c>
      <c r="B290" t="s">
        <v>135</v>
      </c>
      <c r="C290">
        <v>90</v>
      </c>
      <c r="D290" t="s">
        <v>21</v>
      </c>
      <c r="E290" t="s">
        <v>11</v>
      </c>
      <c r="F290">
        <v>1</v>
      </c>
      <c r="G290" t="s">
        <v>14</v>
      </c>
    </row>
    <row r="291" spans="1:7" x14ac:dyDescent="0.25">
      <c r="A291">
        <v>21</v>
      </c>
      <c r="B291" t="s">
        <v>135</v>
      </c>
      <c r="C291">
        <v>100</v>
      </c>
      <c r="D291" t="s">
        <v>22</v>
      </c>
      <c r="E291" t="s">
        <v>11</v>
      </c>
      <c r="F291">
        <v>1</v>
      </c>
      <c r="G291" t="s">
        <v>14</v>
      </c>
    </row>
    <row r="292" spans="1:7" x14ac:dyDescent="0.25">
      <c r="A292">
        <v>21</v>
      </c>
      <c r="B292" t="s">
        <v>135</v>
      </c>
      <c r="C292">
        <v>110</v>
      </c>
      <c r="D292" t="s">
        <v>23</v>
      </c>
      <c r="E292" t="s">
        <v>11</v>
      </c>
      <c r="F292">
        <v>1</v>
      </c>
      <c r="G292" t="s">
        <v>14</v>
      </c>
    </row>
    <row r="293" spans="1:7" x14ac:dyDescent="0.25">
      <c r="A293">
        <v>21</v>
      </c>
      <c r="B293" t="s">
        <v>135</v>
      </c>
      <c r="C293">
        <v>120</v>
      </c>
      <c r="D293" t="s">
        <v>112</v>
      </c>
      <c r="E293" t="s">
        <v>13</v>
      </c>
      <c r="F293">
        <v>0.33</v>
      </c>
      <c r="G293" t="s">
        <v>14</v>
      </c>
    </row>
    <row r="294" spans="1:7" x14ac:dyDescent="0.25">
      <c r="A294">
        <v>21</v>
      </c>
      <c r="B294" t="s">
        <v>135</v>
      </c>
      <c r="C294">
        <v>130</v>
      </c>
      <c r="D294" t="s">
        <v>147</v>
      </c>
      <c r="E294" t="s">
        <v>11</v>
      </c>
      <c r="F294">
        <v>1</v>
      </c>
      <c r="G294" t="s">
        <v>16</v>
      </c>
    </row>
    <row r="295" spans="1:7" x14ac:dyDescent="0.25">
      <c r="A295">
        <v>21</v>
      </c>
      <c r="B295" t="s">
        <v>135</v>
      </c>
      <c r="C295">
        <v>140</v>
      </c>
      <c r="D295" t="s">
        <v>148</v>
      </c>
      <c r="E295" t="s">
        <v>11</v>
      </c>
      <c r="F295">
        <v>1</v>
      </c>
      <c r="G295" t="s">
        <v>16</v>
      </c>
    </row>
    <row r="296" spans="1:7" x14ac:dyDescent="0.25">
      <c r="A296">
        <v>22</v>
      </c>
      <c r="B296" t="s">
        <v>137</v>
      </c>
      <c r="C296">
        <v>10</v>
      </c>
      <c r="D296" t="s">
        <v>149</v>
      </c>
      <c r="E296" t="s">
        <v>11</v>
      </c>
      <c r="F296">
        <v>1</v>
      </c>
      <c r="G296" t="s">
        <v>16</v>
      </c>
    </row>
    <row r="297" spans="1:7" x14ac:dyDescent="0.25">
      <c r="A297">
        <v>22</v>
      </c>
      <c r="B297" t="s">
        <v>137</v>
      </c>
      <c r="C297">
        <v>20</v>
      </c>
      <c r="D297" t="s">
        <v>102</v>
      </c>
      <c r="E297" t="s">
        <v>15</v>
      </c>
      <c r="F297">
        <v>1.2450000000000001</v>
      </c>
      <c r="G297" t="s">
        <v>16</v>
      </c>
    </row>
    <row r="298" spans="1:7" x14ac:dyDescent="0.25">
      <c r="A298">
        <v>22</v>
      </c>
      <c r="B298" t="s">
        <v>137</v>
      </c>
      <c r="C298">
        <v>30</v>
      </c>
      <c r="D298" t="s">
        <v>136</v>
      </c>
      <c r="E298" t="s">
        <v>15</v>
      </c>
      <c r="F298">
        <v>1.2450000000000001</v>
      </c>
      <c r="G298" t="s">
        <v>16</v>
      </c>
    </row>
    <row r="299" spans="1:7" x14ac:dyDescent="0.25">
      <c r="A299">
        <v>22</v>
      </c>
      <c r="B299" t="s">
        <v>137</v>
      </c>
      <c r="C299">
        <v>40</v>
      </c>
      <c r="D299" t="s">
        <v>105</v>
      </c>
      <c r="E299" t="s">
        <v>106</v>
      </c>
      <c r="F299">
        <v>0.58299999999999996</v>
      </c>
      <c r="G299" t="s">
        <v>14</v>
      </c>
    </row>
    <row r="300" spans="1:7" x14ac:dyDescent="0.25">
      <c r="A300">
        <v>22</v>
      </c>
      <c r="B300" t="s">
        <v>137</v>
      </c>
      <c r="C300">
        <v>50</v>
      </c>
      <c r="D300" t="s">
        <v>18</v>
      </c>
      <c r="E300" t="s">
        <v>15</v>
      </c>
      <c r="F300">
        <v>98.754999999999995</v>
      </c>
      <c r="G300" t="s">
        <v>14</v>
      </c>
    </row>
    <row r="301" spans="1:7" x14ac:dyDescent="0.25">
      <c r="A301">
        <v>22</v>
      </c>
      <c r="B301" t="s">
        <v>137</v>
      </c>
      <c r="C301">
        <v>60</v>
      </c>
      <c r="D301" t="s">
        <v>103</v>
      </c>
      <c r="E301" t="s">
        <v>15</v>
      </c>
      <c r="F301">
        <v>25.196999999999999</v>
      </c>
      <c r="G301" t="s">
        <v>14</v>
      </c>
    </row>
    <row r="302" spans="1:7" x14ac:dyDescent="0.25">
      <c r="A302">
        <v>22</v>
      </c>
      <c r="B302" t="s">
        <v>137</v>
      </c>
      <c r="C302">
        <v>70</v>
      </c>
      <c r="D302" t="s">
        <v>104</v>
      </c>
      <c r="E302" t="s">
        <v>15</v>
      </c>
      <c r="F302">
        <v>154.96</v>
      </c>
      <c r="G302" t="s">
        <v>14</v>
      </c>
    </row>
    <row r="303" spans="1:7" x14ac:dyDescent="0.25">
      <c r="A303">
        <v>22</v>
      </c>
      <c r="B303" t="s">
        <v>137</v>
      </c>
      <c r="C303">
        <v>80</v>
      </c>
      <c r="D303" t="s">
        <v>107</v>
      </c>
      <c r="E303" t="s">
        <v>11</v>
      </c>
      <c r="F303">
        <v>4</v>
      </c>
      <c r="G303" t="s">
        <v>14</v>
      </c>
    </row>
    <row r="304" spans="1:7" x14ac:dyDescent="0.25">
      <c r="A304">
        <v>22</v>
      </c>
      <c r="B304" t="s">
        <v>137</v>
      </c>
      <c r="C304">
        <v>90</v>
      </c>
      <c r="D304" t="s">
        <v>21</v>
      </c>
      <c r="E304" t="s">
        <v>11</v>
      </c>
      <c r="F304">
        <v>1</v>
      </c>
      <c r="G304" t="s">
        <v>14</v>
      </c>
    </row>
    <row r="305" spans="1:7" x14ac:dyDescent="0.25">
      <c r="A305">
        <v>22</v>
      </c>
      <c r="B305" t="s">
        <v>137</v>
      </c>
      <c r="C305">
        <v>100</v>
      </c>
      <c r="D305" t="s">
        <v>22</v>
      </c>
      <c r="E305" t="s">
        <v>11</v>
      </c>
      <c r="F305">
        <v>1</v>
      </c>
      <c r="G305" t="s">
        <v>14</v>
      </c>
    </row>
    <row r="306" spans="1:7" x14ac:dyDescent="0.25">
      <c r="A306">
        <v>22</v>
      </c>
      <c r="B306" t="s">
        <v>137</v>
      </c>
      <c r="C306">
        <v>110</v>
      </c>
      <c r="D306" t="s">
        <v>23</v>
      </c>
      <c r="E306" t="s">
        <v>11</v>
      </c>
      <c r="F306">
        <v>1</v>
      </c>
      <c r="G306" t="s">
        <v>14</v>
      </c>
    </row>
    <row r="307" spans="1:7" x14ac:dyDescent="0.25">
      <c r="A307">
        <v>22</v>
      </c>
      <c r="B307" t="s">
        <v>137</v>
      </c>
      <c r="C307">
        <v>120</v>
      </c>
      <c r="D307" t="s">
        <v>112</v>
      </c>
      <c r="E307" t="s">
        <v>13</v>
      </c>
      <c r="F307">
        <v>0.42</v>
      </c>
      <c r="G307" t="s">
        <v>14</v>
      </c>
    </row>
    <row r="308" spans="1:7" x14ac:dyDescent="0.25">
      <c r="A308">
        <v>22</v>
      </c>
      <c r="B308" t="s">
        <v>137</v>
      </c>
      <c r="C308">
        <v>130</v>
      </c>
      <c r="D308" t="s">
        <v>150</v>
      </c>
      <c r="E308" t="s">
        <v>11</v>
      </c>
      <c r="F308">
        <v>1</v>
      </c>
      <c r="G308" t="s">
        <v>16</v>
      </c>
    </row>
    <row r="309" spans="1:7" x14ac:dyDescent="0.25">
      <c r="A309">
        <v>22</v>
      </c>
      <c r="B309" t="s">
        <v>137</v>
      </c>
      <c r="C309">
        <v>140</v>
      </c>
      <c r="D309" t="s">
        <v>151</v>
      </c>
      <c r="E309" t="s">
        <v>11</v>
      </c>
      <c r="F309">
        <v>1</v>
      </c>
      <c r="G309" t="s">
        <v>16</v>
      </c>
    </row>
    <row r="310" spans="1:7" x14ac:dyDescent="0.25">
      <c r="A310">
        <v>23</v>
      </c>
      <c r="B310" t="s">
        <v>138</v>
      </c>
      <c r="C310">
        <v>10</v>
      </c>
      <c r="D310" t="s">
        <v>152</v>
      </c>
      <c r="E310" t="s">
        <v>11</v>
      </c>
      <c r="F310">
        <v>1</v>
      </c>
      <c r="G310" t="s">
        <v>16</v>
      </c>
    </row>
    <row r="311" spans="1:7" x14ac:dyDescent="0.25">
      <c r="A311">
        <v>23</v>
      </c>
      <c r="B311" t="s">
        <v>138</v>
      </c>
      <c r="C311">
        <v>20</v>
      </c>
      <c r="D311" t="s">
        <v>102</v>
      </c>
      <c r="E311" t="s">
        <v>15</v>
      </c>
      <c r="F311">
        <v>1.5489999999999999</v>
      </c>
      <c r="G311" t="s">
        <v>16</v>
      </c>
    </row>
    <row r="312" spans="1:7" x14ac:dyDescent="0.25">
      <c r="A312">
        <v>23</v>
      </c>
      <c r="B312" t="s">
        <v>138</v>
      </c>
      <c r="C312">
        <v>30</v>
      </c>
      <c r="D312" t="s">
        <v>136</v>
      </c>
      <c r="E312" t="s">
        <v>15</v>
      </c>
      <c r="F312">
        <v>1.5489999999999999</v>
      </c>
      <c r="G312" t="s">
        <v>16</v>
      </c>
    </row>
    <row r="313" spans="1:7" x14ac:dyDescent="0.25">
      <c r="A313">
        <v>23</v>
      </c>
      <c r="B313" t="s">
        <v>138</v>
      </c>
      <c r="C313">
        <v>40</v>
      </c>
      <c r="D313" t="s">
        <v>105</v>
      </c>
      <c r="E313" t="s">
        <v>106</v>
      </c>
      <c r="F313">
        <v>0.746</v>
      </c>
      <c r="G313" t="s">
        <v>14</v>
      </c>
    </row>
    <row r="314" spans="1:7" x14ac:dyDescent="0.25">
      <c r="A314">
        <v>23</v>
      </c>
      <c r="B314" t="s">
        <v>138</v>
      </c>
      <c r="C314">
        <v>50</v>
      </c>
      <c r="D314" t="s">
        <v>18</v>
      </c>
      <c r="E314" t="s">
        <v>15</v>
      </c>
      <c r="F314">
        <v>108.509</v>
      </c>
      <c r="G314" t="s">
        <v>14</v>
      </c>
    </row>
    <row r="315" spans="1:7" x14ac:dyDescent="0.25">
      <c r="A315">
        <v>23</v>
      </c>
      <c r="B315" t="s">
        <v>138</v>
      </c>
      <c r="C315">
        <v>60</v>
      </c>
      <c r="D315" t="s">
        <v>103</v>
      </c>
      <c r="E315" t="s">
        <v>15</v>
      </c>
      <c r="F315">
        <v>27.635000000000002</v>
      </c>
      <c r="G315" t="s">
        <v>14</v>
      </c>
    </row>
    <row r="316" spans="1:7" x14ac:dyDescent="0.25">
      <c r="A316">
        <v>23</v>
      </c>
      <c r="B316" t="s">
        <v>138</v>
      </c>
      <c r="C316">
        <v>70</v>
      </c>
      <c r="D316" t="s">
        <v>104</v>
      </c>
      <c r="E316" t="s">
        <v>15</v>
      </c>
      <c r="F316">
        <v>169.95599999999999</v>
      </c>
      <c r="G316" t="s">
        <v>14</v>
      </c>
    </row>
    <row r="317" spans="1:7" x14ac:dyDescent="0.25">
      <c r="A317">
        <v>23</v>
      </c>
      <c r="B317" t="s">
        <v>138</v>
      </c>
      <c r="C317">
        <v>80</v>
      </c>
      <c r="D317" t="s">
        <v>107</v>
      </c>
      <c r="E317" t="s">
        <v>11</v>
      </c>
      <c r="F317">
        <v>4</v>
      </c>
      <c r="G317" t="s">
        <v>14</v>
      </c>
    </row>
    <row r="318" spans="1:7" x14ac:dyDescent="0.25">
      <c r="A318">
        <v>23</v>
      </c>
      <c r="B318" t="s">
        <v>138</v>
      </c>
      <c r="C318">
        <v>90</v>
      </c>
      <c r="D318" t="s">
        <v>21</v>
      </c>
      <c r="E318" t="s">
        <v>11</v>
      </c>
      <c r="F318">
        <v>1</v>
      </c>
      <c r="G318" t="s">
        <v>14</v>
      </c>
    </row>
    <row r="319" spans="1:7" x14ac:dyDescent="0.25">
      <c r="A319">
        <v>23</v>
      </c>
      <c r="B319" t="s">
        <v>138</v>
      </c>
      <c r="C319">
        <v>100</v>
      </c>
      <c r="D319" t="s">
        <v>22</v>
      </c>
      <c r="E319" t="s">
        <v>11</v>
      </c>
      <c r="F319">
        <v>1</v>
      </c>
      <c r="G319" t="s">
        <v>14</v>
      </c>
    </row>
    <row r="320" spans="1:7" x14ac:dyDescent="0.25">
      <c r="A320">
        <v>23</v>
      </c>
      <c r="B320" t="s">
        <v>138</v>
      </c>
      <c r="C320">
        <v>110</v>
      </c>
      <c r="D320" t="s">
        <v>23</v>
      </c>
      <c r="E320" t="s">
        <v>11</v>
      </c>
      <c r="F320">
        <v>1</v>
      </c>
      <c r="G320" t="s">
        <v>14</v>
      </c>
    </row>
    <row r="321" spans="1:7" x14ac:dyDescent="0.25">
      <c r="A321">
        <v>23</v>
      </c>
      <c r="B321" t="s">
        <v>138</v>
      </c>
      <c r="C321">
        <v>120</v>
      </c>
      <c r="D321" t="s">
        <v>112</v>
      </c>
      <c r="E321" t="s">
        <v>13</v>
      </c>
      <c r="F321">
        <v>0.51</v>
      </c>
      <c r="G321" t="s">
        <v>14</v>
      </c>
    </row>
    <row r="322" spans="1:7" x14ac:dyDescent="0.25">
      <c r="A322">
        <v>23</v>
      </c>
      <c r="B322" t="s">
        <v>138</v>
      </c>
      <c r="C322">
        <v>130</v>
      </c>
      <c r="D322" t="s">
        <v>153</v>
      </c>
      <c r="E322" t="s">
        <v>11</v>
      </c>
      <c r="F322">
        <v>1</v>
      </c>
      <c r="G322" t="s">
        <v>16</v>
      </c>
    </row>
    <row r="323" spans="1:7" x14ac:dyDescent="0.25">
      <c r="A323">
        <v>23</v>
      </c>
      <c r="B323" t="s">
        <v>138</v>
      </c>
      <c r="C323">
        <v>140</v>
      </c>
      <c r="D323" t="s">
        <v>154</v>
      </c>
      <c r="E323" t="s">
        <v>11</v>
      </c>
      <c r="F323">
        <v>1</v>
      </c>
      <c r="G323" t="s">
        <v>16</v>
      </c>
    </row>
    <row r="324" spans="1:7" x14ac:dyDescent="0.25">
      <c r="A324">
        <v>24</v>
      </c>
      <c r="B324" t="s">
        <v>139</v>
      </c>
      <c r="C324">
        <v>10</v>
      </c>
      <c r="D324" t="s">
        <v>155</v>
      </c>
      <c r="E324" t="s">
        <v>11</v>
      </c>
      <c r="F324">
        <v>1</v>
      </c>
      <c r="G324" t="s">
        <v>16</v>
      </c>
    </row>
    <row r="325" spans="1:7" x14ac:dyDescent="0.25">
      <c r="A325">
        <v>24</v>
      </c>
      <c r="B325" t="s">
        <v>139</v>
      </c>
      <c r="C325">
        <v>20</v>
      </c>
      <c r="D325" t="s">
        <v>102</v>
      </c>
      <c r="E325" t="s">
        <v>15</v>
      </c>
      <c r="F325">
        <v>1.8540000000000001</v>
      </c>
      <c r="G325" t="s">
        <v>16</v>
      </c>
    </row>
    <row r="326" spans="1:7" x14ac:dyDescent="0.25">
      <c r="A326">
        <v>24</v>
      </c>
      <c r="B326" t="s">
        <v>139</v>
      </c>
      <c r="C326">
        <v>30</v>
      </c>
      <c r="D326" t="s">
        <v>136</v>
      </c>
      <c r="E326" t="s">
        <v>15</v>
      </c>
      <c r="F326">
        <v>1.8540000000000001</v>
      </c>
      <c r="G326" t="s">
        <v>16</v>
      </c>
    </row>
    <row r="327" spans="1:7" x14ac:dyDescent="0.25">
      <c r="A327">
        <v>24</v>
      </c>
      <c r="B327" t="s">
        <v>139</v>
      </c>
      <c r="C327">
        <v>40</v>
      </c>
      <c r="D327" t="s">
        <v>105</v>
      </c>
      <c r="E327" t="s">
        <v>106</v>
      </c>
      <c r="F327">
        <v>0.90900000000000003</v>
      </c>
      <c r="G327" t="s">
        <v>14</v>
      </c>
    </row>
    <row r="328" spans="1:7" x14ac:dyDescent="0.25">
      <c r="A328">
        <v>24</v>
      </c>
      <c r="B328" t="s">
        <v>139</v>
      </c>
      <c r="C328">
        <v>50</v>
      </c>
      <c r="D328" t="s">
        <v>18</v>
      </c>
      <c r="E328" t="s">
        <v>15</v>
      </c>
      <c r="F328">
        <v>118.262</v>
      </c>
      <c r="G328" t="s">
        <v>14</v>
      </c>
    </row>
    <row r="329" spans="1:7" x14ac:dyDescent="0.25">
      <c r="A329">
        <v>24</v>
      </c>
      <c r="B329" t="s">
        <v>139</v>
      </c>
      <c r="C329">
        <v>60</v>
      </c>
      <c r="D329" t="s">
        <v>103</v>
      </c>
      <c r="E329" t="s">
        <v>15</v>
      </c>
      <c r="F329">
        <v>30.074000000000002</v>
      </c>
      <c r="G329" t="s">
        <v>14</v>
      </c>
    </row>
    <row r="330" spans="1:7" x14ac:dyDescent="0.25">
      <c r="A330">
        <v>24</v>
      </c>
      <c r="B330" t="s">
        <v>139</v>
      </c>
      <c r="C330">
        <v>70</v>
      </c>
      <c r="D330" t="s">
        <v>104</v>
      </c>
      <c r="E330" t="s">
        <v>15</v>
      </c>
      <c r="F330">
        <v>184.953</v>
      </c>
      <c r="G330" t="s">
        <v>14</v>
      </c>
    </row>
    <row r="331" spans="1:7" x14ac:dyDescent="0.25">
      <c r="A331">
        <v>24</v>
      </c>
      <c r="B331" t="s">
        <v>139</v>
      </c>
      <c r="C331">
        <v>80</v>
      </c>
      <c r="D331" t="s">
        <v>107</v>
      </c>
      <c r="E331" t="s">
        <v>11</v>
      </c>
      <c r="F331">
        <v>4</v>
      </c>
      <c r="G331" t="s">
        <v>14</v>
      </c>
    </row>
    <row r="332" spans="1:7" x14ac:dyDescent="0.25">
      <c r="A332">
        <v>24</v>
      </c>
      <c r="B332" t="s">
        <v>139</v>
      </c>
      <c r="C332">
        <v>90</v>
      </c>
      <c r="D332" t="s">
        <v>21</v>
      </c>
      <c r="E332" t="s">
        <v>11</v>
      </c>
      <c r="F332">
        <v>1</v>
      </c>
      <c r="G332" t="s">
        <v>14</v>
      </c>
    </row>
    <row r="333" spans="1:7" x14ac:dyDescent="0.25">
      <c r="A333">
        <v>24</v>
      </c>
      <c r="B333" t="s">
        <v>139</v>
      </c>
      <c r="C333">
        <v>100</v>
      </c>
      <c r="D333" t="s">
        <v>22</v>
      </c>
      <c r="E333" t="s">
        <v>11</v>
      </c>
      <c r="F333">
        <v>1</v>
      </c>
      <c r="G333" t="s">
        <v>14</v>
      </c>
    </row>
    <row r="334" spans="1:7" x14ac:dyDescent="0.25">
      <c r="A334">
        <v>24</v>
      </c>
      <c r="B334" t="s">
        <v>139</v>
      </c>
      <c r="C334">
        <v>110</v>
      </c>
      <c r="D334" t="s">
        <v>23</v>
      </c>
      <c r="E334" t="s">
        <v>11</v>
      </c>
      <c r="F334">
        <v>1</v>
      </c>
      <c r="G334" t="s">
        <v>14</v>
      </c>
    </row>
    <row r="335" spans="1:7" x14ac:dyDescent="0.25">
      <c r="A335">
        <v>24</v>
      </c>
      <c r="B335" t="s">
        <v>139</v>
      </c>
      <c r="C335">
        <v>120</v>
      </c>
      <c r="D335" t="s">
        <v>112</v>
      </c>
      <c r="E335" t="s">
        <v>13</v>
      </c>
      <c r="F335">
        <v>0.60099999999999998</v>
      </c>
      <c r="G335" t="s">
        <v>14</v>
      </c>
    </row>
    <row r="336" spans="1:7" x14ac:dyDescent="0.25">
      <c r="A336">
        <v>24</v>
      </c>
      <c r="B336" t="s">
        <v>139</v>
      </c>
      <c r="C336">
        <v>130</v>
      </c>
      <c r="D336" t="s">
        <v>156</v>
      </c>
      <c r="E336" t="s">
        <v>11</v>
      </c>
      <c r="F336">
        <v>1</v>
      </c>
      <c r="G336" t="s">
        <v>16</v>
      </c>
    </row>
    <row r="337" spans="1:7" x14ac:dyDescent="0.25">
      <c r="A337">
        <v>24</v>
      </c>
      <c r="B337" t="s">
        <v>139</v>
      </c>
      <c r="C337">
        <v>140</v>
      </c>
      <c r="D337" t="s">
        <v>157</v>
      </c>
      <c r="E337" t="s">
        <v>11</v>
      </c>
      <c r="F337">
        <v>1</v>
      </c>
      <c r="G337" t="s">
        <v>16</v>
      </c>
    </row>
    <row r="338" spans="1:7" x14ac:dyDescent="0.25">
      <c r="A338">
        <v>25</v>
      </c>
      <c r="B338" t="s">
        <v>140</v>
      </c>
      <c r="C338">
        <v>10</v>
      </c>
      <c r="D338" t="s">
        <v>158</v>
      </c>
      <c r="E338" t="s">
        <v>11</v>
      </c>
      <c r="F338">
        <v>1</v>
      </c>
      <c r="G338" t="s">
        <v>16</v>
      </c>
    </row>
    <row r="339" spans="1:7" x14ac:dyDescent="0.25">
      <c r="A339">
        <v>25</v>
      </c>
      <c r="B339" t="s">
        <v>140</v>
      </c>
      <c r="C339">
        <v>20</v>
      </c>
      <c r="D339" t="s">
        <v>102</v>
      </c>
      <c r="E339" t="s">
        <v>15</v>
      </c>
      <c r="F339">
        <v>0.94</v>
      </c>
      <c r="G339" t="s">
        <v>16</v>
      </c>
    </row>
    <row r="340" spans="1:7" x14ac:dyDescent="0.25">
      <c r="A340">
        <v>25</v>
      </c>
      <c r="B340" t="s">
        <v>140</v>
      </c>
      <c r="C340">
        <v>30</v>
      </c>
      <c r="D340" t="s">
        <v>136</v>
      </c>
      <c r="E340" t="s">
        <v>15</v>
      </c>
      <c r="F340">
        <v>0.94</v>
      </c>
      <c r="G340" t="s">
        <v>16</v>
      </c>
    </row>
    <row r="341" spans="1:7" x14ac:dyDescent="0.25">
      <c r="A341">
        <v>25</v>
      </c>
      <c r="B341" t="s">
        <v>140</v>
      </c>
      <c r="C341">
        <v>40</v>
      </c>
      <c r="D341" t="s">
        <v>105</v>
      </c>
      <c r="E341" t="s">
        <v>106</v>
      </c>
      <c r="F341">
        <v>0.439</v>
      </c>
      <c r="G341" t="s">
        <v>14</v>
      </c>
    </row>
    <row r="342" spans="1:7" x14ac:dyDescent="0.25">
      <c r="A342">
        <v>25</v>
      </c>
      <c r="B342" t="s">
        <v>140</v>
      </c>
      <c r="C342">
        <v>50</v>
      </c>
      <c r="D342" t="s">
        <v>18</v>
      </c>
      <c r="E342" t="s">
        <v>15</v>
      </c>
      <c r="F342">
        <v>91.44</v>
      </c>
      <c r="G342" t="s">
        <v>14</v>
      </c>
    </row>
    <row r="343" spans="1:7" x14ac:dyDescent="0.25">
      <c r="A343">
        <v>25</v>
      </c>
      <c r="B343" t="s">
        <v>140</v>
      </c>
      <c r="C343">
        <v>60</v>
      </c>
      <c r="D343" t="s">
        <v>103</v>
      </c>
      <c r="E343" t="s">
        <v>15</v>
      </c>
      <c r="F343">
        <v>23.367999999999999</v>
      </c>
      <c r="G343" t="s">
        <v>14</v>
      </c>
    </row>
    <row r="344" spans="1:7" x14ac:dyDescent="0.25">
      <c r="A344">
        <v>25</v>
      </c>
      <c r="B344" t="s">
        <v>140</v>
      </c>
      <c r="C344">
        <v>70</v>
      </c>
      <c r="D344" t="s">
        <v>104</v>
      </c>
      <c r="E344" t="s">
        <v>15</v>
      </c>
      <c r="F344">
        <v>143.71299999999999</v>
      </c>
      <c r="G344" t="s">
        <v>14</v>
      </c>
    </row>
    <row r="345" spans="1:7" x14ac:dyDescent="0.25">
      <c r="A345">
        <v>25</v>
      </c>
      <c r="B345" t="s">
        <v>140</v>
      </c>
      <c r="C345">
        <v>80</v>
      </c>
      <c r="D345" t="s">
        <v>107</v>
      </c>
      <c r="E345" t="s">
        <v>11</v>
      </c>
      <c r="F345">
        <v>4</v>
      </c>
      <c r="G345" t="s">
        <v>14</v>
      </c>
    </row>
    <row r="346" spans="1:7" x14ac:dyDescent="0.25">
      <c r="A346">
        <v>25</v>
      </c>
      <c r="B346" t="s">
        <v>140</v>
      </c>
      <c r="C346">
        <v>90</v>
      </c>
      <c r="D346" t="s">
        <v>21</v>
      </c>
      <c r="E346" t="s">
        <v>11</v>
      </c>
      <c r="F346">
        <v>1</v>
      </c>
      <c r="G346" t="s">
        <v>14</v>
      </c>
    </row>
    <row r="347" spans="1:7" x14ac:dyDescent="0.25">
      <c r="A347">
        <v>25</v>
      </c>
      <c r="B347" t="s">
        <v>140</v>
      </c>
      <c r="C347">
        <v>100</v>
      </c>
      <c r="D347" t="s">
        <v>22</v>
      </c>
      <c r="E347" t="s">
        <v>11</v>
      </c>
      <c r="F347">
        <v>1</v>
      </c>
      <c r="G347" t="s">
        <v>14</v>
      </c>
    </row>
    <row r="348" spans="1:7" x14ac:dyDescent="0.25">
      <c r="A348">
        <v>25</v>
      </c>
      <c r="B348" t="s">
        <v>140</v>
      </c>
      <c r="C348">
        <v>110</v>
      </c>
      <c r="D348" t="s">
        <v>23</v>
      </c>
      <c r="E348" t="s">
        <v>11</v>
      </c>
      <c r="F348">
        <v>1</v>
      </c>
      <c r="G348" t="s">
        <v>14</v>
      </c>
    </row>
    <row r="349" spans="1:7" x14ac:dyDescent="0.25">
      <c r="A349">
        <v>25</v>
      </c>
      <c r="B349" t="s">
        <v>140</v>
      </c>
      <c r="C349">
        <v>120</v>
      </c>
      <c r="D349" t="s">
        <v>112</v>
      </c>
      <c r="E349" t="s">
        <v>13</v>
      </c>
      <c r="F349">
        <v>0.33</v>
      </c>
      <c r="G349" t="s">
        <v>14</v>
      </c>
    </row>
    <row r="350" spans="1:7" x14ac:dyDescent="0.25">
      <c r="A350">
        <v>25</v>
      </c>
      <c r="B350" t="s">
        <v>140</v>
      </c>
      <c r="C350">
        <v>130</v>
      </c>
      <c r="D350" t="s">
        <v>159</v>
      </c>
      <c r="E350" t="s">
        <v>11</v>
      </c>
      <c r="F350">
        <v>1</v>
      </c>
      <c r="G350" t="s">
        <v>16</v>
      </c>
    </row>
    <row r="351" spans="1:7" x14ac:dyDescent="0.25">
      <c r="A351">
        <v>25</v>
      </c>
      <c r="B351" t="s">
        <v>140</v>
      </c>
      <c r="C351">
        <v>140</v>
      </c>
      <c r="D351" t="s">
        <v>160</v>
      </c>
      <c r="E351" t="s">
        <v>11</v>
      </c>
      <c r="F351">
        <v>1</v>
      </c>
      <c r="G351" t="s">
        <v>16</v>
      </c>
    </row>
    <row r="352" spans="1:7" x14ac:dyDescent="0.25">
      <c r="A352">
        <v>26</v>
      </c>
      <c r="B352" t="s">
        <v>141</v>
      </c>
      <c r="C352">
        <v>10</v>
      </c>
      <c r="D352" t="s">
        <v>161</v>
      </c>
      <c r="E352" t="s">
        <v>11</v>
      </c>
      <c r="F352">
        <v>1</v>
      </c>
      <c r="G352" t="s">
        <v>16</v>
      </c>
    </row>
    <row r="353" spans="1:7" x14ac:dyDescent="0.25">
      <c r="A353">
        <v>26</v>
      </c>
      <c r="B353" t="s">
        <v>141</v>
      </c>
      <c r="C353">
        <v>20</v>
      </c>
      <c r="D353" t="s">
        <v>102</v>
      </c>
      <c r="E353" t="s">
        <v>15</v>
      </c>
      <c r="F353">
        <v>1.2450000000000001</v>
      </c>
      <c r="G353" t="s">
        <v>16</v>
      </c>
    </row>
    <row r="354" spans="1:7" x14ac:dyDescent="0.25">
      <c r="A354">
        <v>26</v>
      </c>
      <c r="B354" t="s">
        <v>141</v>
      </c>
      <c r="C354">
        <v>30</v>
      </c>
      <c r="D354" t="s">
        <v>136</v>
      </c>
      <c r="E354" t="s">
        <v>15</v>
      </c>
      <c r="F354">
        <v>1.2450000000000001</v>
      </c>
      <c r="G354" t="s">
        <v>16</v>
      </c>
    </row>
    <row r="355" spans="1:7" x14ac:dyDescent="0.25">
      <c r="A355">
        <v>26</v>
      </c>
      <c r="B355" t="s">
        <v>141</v>
      </c>
      <c r="C355">
        <v>40</v>
      </c>
      <c r="D355" t="s">
        <v>105</v>
      </c>
      <c r="E355" t="s">
        <v>106</v>
      </c>
      <c r="F355">
        <v>0.61</v>
      </c>
      <c r="G355" t="s">
        <v>14</v>
      </c>
    </row>
    <row r="356" spans="1:7" x14ac:dyDescent="0.25">
      <c r="A356">
        <v>26</v>
      </c>
      <c r="B356" t="s">
        <v>141</v>
      </c>
      <c r="C356">
        <v>50</v>
      </c>
      <c r="D356" t="s">
        <v>18</v>
      </c>
      <c r="E356" t="s">
        <v>15</v>
      </c>
      <c r="F356">
        <v>101.194</v>
      </c>
      <c r="G356" t="s">
        <v>14</v>
      </c>
    </row>
    <row r="357" spans="1:7" x14ac:dyDescent="0.25">
      <c r="A357">
        <v>26</v>
      </c>
      <c r="B357" t="s">
        <v>141</v>
      </c>
      <c r="C357">
        <v>60</v>
      </c>
      <c r="D357" t="s">
        <v>103</v>
      </c>
      <c r="E357" t="s">
        <v>15</v>
      </c>
      <c r="F357">
        <v>25.806000000000001</v>
      </c>
      <c r="G357" t="s">
        <v>14</v>
      </c>
    </row>
    <row r="358" spans="1:7" x14ac:dyDescent="0.25">
      <c r="A358">
        <v>26</v>
      </c>
      <c r="B358" t="s">
        <v>141</v>
      </c>
      <c r="C358">
        <v>70</v>
      </c>
      <c r="D358" t="s">
        <v>104</v>
      </c>
      <c r="E358" t="s">
        <v>15</v>
      </c>
      <c r="F358">
        <v>158.709</v>
      </c>
      <c r="G358" t="s">
        <v>14</v>
      </c>
    </row>
    <row r="359" spans="1:7" x14ac:dyDescent="0.25">
      <c r="A359">
        <v>26</v>
      </c>
      <c r="B359" t="s">
        <v>141</v>
      </c>
      <c r="C359">
        <v>80</v>
      </c>
      <c r="D359" t="s">
        <v>107</v>
      </c>
      <c r="E359" t="s">
        <v>11</v>
      </c>
      <c r="F359">
        <v>4</v>
      </c>
      <c r="G359" t="s">
        <v>14</v>
      </c>
    </row>
    <row r="360" spans="1:7" x14ac:dyDescent="0.25">
      <c r="A360">
        <v>26</v>
      </c>
      <c r="B360" t="s">
        <v>141</v>
      </c>
      <c r="C360">
        <v>90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26</v>
      </c>
      <c r="B361" t="s">
        <v>141</v>
      </c>
      <c r="C361">
        <v>100</v>
      </c>
      <c r="D361" t="s">
        <v>22</v>
      </c>
      <c r="E361" t="s">
        <v>11</v>
      </c>
      <c r="F361">
        <v>1</v>
      </c>
      <c r="G361" t="s">
        <v>14</v>
      </c>
    </row>
    <row r="362" spans="1:7" x14ac:dyDescent="0.25">
      <c r="A362">
        <v>26</v>
      </c>
      <c r="B362" t="s">
        <v>141</v>
      </c>
      <c r="C362">
        <v>110</v>
      </c>
      <c r="D362" t="s">
        <v>23</v>
      </c>
      <c r="E362" t="s">
        <v>11</v>
      </c>
      <c r="F362">
        <v>1</v>
      </c>
      <c r="G362" t="s">
        <v>14</v>
      </c>
    </row>
    <row r="363" spans="1:7" x14ac:dyDescent="0.25">
      <c r="A363">
        <v>26</v>
      </c>
      <c r="B363" t="s">
        <v>141</v>
      </c>
      <c r="C363">
        <v>120</v>
      </c>
      <c r="D363" t="s">
        <v>112</v>
      </c>
      <c r="E363" t="s">
        <v>13</v>
      </c>
      <c r="F363">
        <v>0.42</v>
      </c>
      <c r="G363" t="s">
        <v>14</v>
      </c>
    </row>
    <row r="364" spans="1:7" x14ac:dyDescent="0.25">
      <c r="A364">
        <v>26</v>
      </c>
      <c r="B364" t="s">
        <v>141</v>
      </c>
      <c r="C364">
        <v>130</v>
      </c>
      <c r="D364" t="s">
        <v>162</v>
      </c>
      <c r="E364" t="s">
        <v>11</v>
      </c>
      <c r="F364">
        <v>1</v>
      </c>
      <c r="G364" t="s">
        <v>16</v>
      </c>
    </row>
    <row r="365" spans="1:7" x14ac:dyDescent="0.25">
      <c r="A365">
        <v>26</v>
      </c>
      <c r="B365" t="s">
        <v>141</v>
      </c>
      <c r="C365">
        <v>140</v>
      </c>
      <c r="D365" t="s">
        <v>163</v>
      </c>
      <c r="E365" t="s">
        <v>11</v>
      </c>
      <c r="F365">
        <v>1</v>
      </c>
      <c r="G365" t="s">
        <v>16</v>
      </c>
    </row>
    <row r="366" spans="1:7" x14ac:dyDescent="0.25">
      <c r="A366">
        <v>27</v>
      </c>
      <c r="B366" t="s">
        <v>142</v>
      </c>
      <c r="C366">
        <v>10</v>
      </c>
      <c r="D366" t="s">
        <v>164</v>
      </c>
      <c r="E366" t="s">
        <v>11</v>
      </c>
      <c r="F366">
        <v>1</v>
      </c>
      <c r="G366" t="s">
        <v>16</v>
      </c>
    </row>
    <row r="367" spans="1:7" x14ac:dyDescent="0.25">
      <c r="A367">
        <v>27</v>
      </c>
      <c r="B367" t="s">
        <v>142</v>
      </c>
      <c r="C367">
        <v>20</v>
      </c>
      <c r="D367" t="s">
        <v>102</v>
      </c>
      <c r="E367" t="s">
        <v>15</v>
      </c>
      <c r="F367">
        <v>1.5489999999999999</v>
      </c>
      <c r="G367" t="s">
        <v>16</v>
      </c>
    </row>
    <row r="368" spans="1:7" x14ac:dyDescent="0.25">
      <c r="A368">
        <v>27</v>
      </c>
      <c r="B368" t="s">
        <v>142</v>
      </c>
      <c r="C368">
        <v>30</v>
      </c>
      <c r="D368" t="s">
        <v>136</v>
      </c>
      <c r="E368" t="s">
        <v>15</v>
      </c>
      <c r="F368">
        <v>1.5489999999999999</v>
      </c>
      <c r="G368" t="s">
        <v>16</v>
      </c>
    </row>
    <row r="369" spans="1:7" x14ac:dyDescent="0.25">
      <c r="A369">
        <v>27</v>
      </c>
      <c r="B369" t="s">
        <v>142</v>
      </c>
      <c r="C369">
        <v>40</v>
      </c>
      <c r="D369" t="s">
        <v>105</v>
      </c>
      <c r="E369" t="s">
        <v>106</v>
      </c>
      <c r="F369">
        <v>0.78</v>
      </c>
      <c r="G369" t="s">
        <v>14</v>
      </c>
    </row>
    <row r="370" spans="1:7" x14ac:dyDescent="0.25">
      <c r="A370">
        <v>27</v>
      </c>
      <c r="B370" t="s">
        <v>142</v>
      </c>
      <c r="C370">
        <v>50</v>
      </c>
      <c r="D370" t="s">
        <v>18</v>
      </c>
      <c r="E370" t="s">
        <v>15</v>
      </c>
      <c r="F370">
        <v>110.947</v>
      </c>
      <c r="G370" t="s">
        <v>14</v>
      </c>
    </row>
    <row r="371" spans="1:7" x14ac:dyDescent="0.25">
      <c r="A371">
        <v>27</v>
      </c>
      <c r="B371" t="s">
        <v>142</v>
      </c>
      <c r="C371">
        <v>60</v>
      </c>
      <c r="D371" t="s">
        <v>103</v>
      </c>
      <c r="E371" t="s">
        <v>15</v>
      </c>
      <c r="F371">
        <v>28.245000000000001</v>
      </c>
      <c r="G371" t="s">
        <v>14</v>
      </c>
    </row>
    <row r="372" spans="1:7" x14ac:dyDescent="0.25">
      <c r="A372">
        <v>27</v>
      </c>
      <c r="B372" t="s">
        <v>142</v>
      </c>
      <c r="C372">
        <v>70</v>
      </c>
      <c r="D372" t="s">
        <v>104</v>
      </c>
      <c r="E372" t="s">
        <v>15</v>
      </c>
      <c r="F372">
        <v>173.70599999999999</v>
      </c>
      <c r="G372" t="s">
        <v>14</v>
      </c>
    </row>
    <row r="373" spans="1:7" x14ac:dyDescent="0.25">
      <c r="A373">
        <v>27</v>
      </c>
      <c r="B373" t="s">
        <v>142</v>
      </c>
      <c r="C373">
        <v>80</v>
      </c>
      <c r="D373" t="s">
        <v>107</v>
      </c>
      <c r="E373" t="s">
        <v>11</v>
      </c>
      <c r="F373">
        <v>4</v>
      </c>
      <c r="G373" t="s">
        <v>14</v>
      </c>
    </row>
    <row r="374" spans="1:7" x14ac:dyDescent="0.25">
      <c r="A374">
        <v>27</v>
      </c>
      <c r="B374" t="s">
        <v>142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27</v>
      </c>
      <c r="B375" t="s">
        <v>142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27</v>
      </c>
      <c r="B376" t="s">
        <v>142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27</v>
      </c>
      <c r="B377" t="s">
        <v>142</v>
      </c>
      <c r="C377">
        <v>120</v>
      </c>
      <c r="D377" t="s">
        <v>112</v>
      </c>
      <c r="E377" t="s">
        <v>13</v>
      </c>
      <c r="F377">
        <v>0.51</v>
      </c>
      <c r="G377" t="s">
        <v>14</v>
      </c>
    </row>
    <row r="378" spans="1:7" x14ac:dyDescent="0.25">
      <c r="A378">
        <v>27</v>
      </c>
      <c r="B378" t="s">
        <v>142</v>
      </c>
      <c r="C378">
        <v>130</v>
      </c>
      <c r="D378" t="s">
        <v>165</v>
      </c>
      <c r="E378" t="s">
        <v>11</v>
      </c>
      <c r="F378">
        <v>1</v>
      </c>
      <c r="G378" t="s">
        <v>16</v>
      </c>
    </row>
    <row r="379" spans="1:7" x14ac:dyDescent="0.25">
      <c r="A379">
        <v>27</v>
      </c>
      <c r="B379" t="s">
        <v>142</v>
      </c>
      <c r="C379">
        <v>140</v>
      </c>
      <c r="D379" t="s">
        <v>166</v>
      </c>
      <c r="E379" t="s">
        <v>11</v>
      </c>
      <c r="F379">
        <v>1</v>
      </c>
      <c r="G379" t="s">
        <v>16</v>
      </c>
    </row>
    <row r="380" spans="1:7" x14ac:dyDescent="0.25">
      <c r="A380">
        <v>28</v>
      </c>
      <c r="B380" t="s">
        <v>143</v>
      </c>
      <c r="C380">
        <v>10</v>
      </c>
      <c r="D380" t="s">
        <v>167</v>
      </c>
      <c r="E380" t="s">
        <v>11</v>
      </c>
      <c r="F380">
        <v>1</v>
      </c>
      <c r="G380" t="s">
        <v>16</v>
      </c>
    </row>
    <row r="381" spans="1:7" x14ac:dyDescent="0.25">
      <c r="A381">
        <v>28</v>
      </c>
      <c r="B381" t="s">
        <v>143</v>
      </c>
      <c r="C381">
        <v>20</v>
      </c>
      <c r="D381" t="s">
        <v>102</v>
      </c>
      <c r="E381" t="s">
        <v>15</v>
      </c>
      <c r="F381">
        <v>1.8540000000000001</v>
      </c>
      <c r="G381" t="s">
        <v>16</v>
      </c>
    </row>
    <row r="382" spans="1:7" x14ac:dyDescent="0.25">
      <c r="A382">
        <v>28</v>
      </c>
      <c r="B382" t="s">
        <v>143</v>
      </c>
      <c r="C382">
        <v>30</v>
      </c>
      <c r="D382" t="s">
        <v>136</v>
      </c>
      <c r="E382" t="s">
        <v>15</v>
      </c>
      <c r="F382">
        <v>1.8540000000000001</v>
      </c>
      <c r="G382" t="s">
        <v>16</v>
      </c>
    </row>
    <row r="383" spans="1:7" x14ac:dyDescent="0.25">
      <c r="A383">
        <v>28</v>
      </c>
      <c r="B383" t="s">
        <v>143</v>
      </c>
      <c r="C383">
        <v>40</v>
      </c>
      <c r="D383" t="s">
        <v>105</v>
      </c>
      <c r="E383" t="s">
        <v>106</v>
      </c>
      <c r="F383">
        <v>0.95</v>
      </c>
      <c r="G383" t="s">
        <v>14</v>
      </c>
    </row>
    <row r="384" spans="1:7" x14ac:dyDescent="0.25">
      <c r="A384">
        <v>28</v>
      </c>
      <c r="B384" t="s">
        <v>143</v>
      </c>
      <c r="C384">
        <v>50</v>
      </c>
      <c r="D384" t="s">
        <v>18</v>
      </c>
      <c r="E384" t="s">
        <v>15</v>
      </c>
      <c r="F384">
        <v>120.70099999999999</v>
      </c>
      <c r="G384" t="s">
        <v>14</v>
      </c>
    </row>
    <row r="385" spans="1:7" x14ac:dyDescent="0.25">
      <c r="A385">
        <v>28</v>
      </c>
      <c r="B385" t="s">
        <v>143</v>
      </c>
      <c r="C385">
        <v>60</v>
      </c>
      <c r="D385" t="s">
        <v>103</v>
      </c>
      <c r="E385" t="s">
        <v>15</v>
      </c>
      <c r="F385">
        <v>30.683</v>
      </c>
      <c r="G385" t="s">
        <v>14</v>
      </c>
    </row>
    <row r="386" spans="1:7" x14ac:dyDescent="0.25">
      <c r="A386">
        <v>28</v>
      </c>
      <c r="B386" t="s">
        <v>143</v>
      </c>
      <c r="C386">
        <v>70</v>
      </c>
      <c r="D386" t="s">
        <v>104</v>
      </c>
      <c r="E386" t="s">
        <v>15</v>
      </c>
      <c r="F386">
        <v>188.702</v>
      </c>
      <c r="G386" t="s">
        <v>14</v>
      </c>
    </row>
    <row r="387" spans="1:7" x14ac:dyDescent="0.25">
      <c r="A387">
        <v>28</v>
      </c>
      <c r="B387" t="s">
        <v>143</v>
      </c>
      <c r="C387">
        <v>80</v>
      </c>
      <c r="D387" t="s">
        <v>107</v>
      </c>
      <c r="E387" t="s">
        <v>11</v>
      </c>
      <c r="F387">
        <v>4</v>
      </c>
      <c r="G387" t="s">
        <v>14</v>
      </c>
    </row>
    <row r="388" spans="1:7" x14ac:dyDescent="0.25">
      <c r="A388">
        <v>28</v>
      </c>
      <c r="B388" t="s">
        <v>143</v>
      </c>
      <c r="C388">
        <v>90</v>
      </c>
      <c r="D388" t="s">
        <v>21</v>
      </c>
      <c r="E388" t="s">
        <v>11</v>
      </c>
      <c r="F388">
        <v>1</v>
      </c>
      <c r="G388" t="s">
        <v>14</v>
      </c>
    </row>
    <row r="389" spans="1:7" x14ac:dyDescent="0.25">
      <c r="A389">
        <v>28</v>
      </c>
      <c r="B389" t="s">
        <v>143</v>
      </c>
      <c r="C389">
        <v>100</v>
      </c>
      <c r="D389" t="s">
        <v>22</v>
      </c>
      <c r="E389" t="s">
        <v>11</v>
      </c>
      <c r="F389">
        <v>1</v>
      </c>
      <c r="G389" t="s">
        <v>14</v>
      </c>
    </row>
    <row r="390" spans="1:7" x14ac:dyDescent="0.25">
      <c r="A390">
        <v>28</v>
      </c>
      <c r="B390" t="s">
        <v>143</v>
      </c>
      <c r="C390">
        <v>110</v>
      </c>
      <c r="D390" t="s">
        <v>23</v>
      </c>
      <c r="E390" t="s">
        <v>11</v>
      </c>
      <c r="F390">
        <v>1</v>
      </c>
      <c r="G390" t="s">
        <v>14</v>
      </c>
    </row>
    <row r="391" spans="1:7" x14ac:dyDescent="0.25">
      <c r="A391">
        <v>28</v>
      </c>
      <c r="B391" t="s">
        <v>143</v>
      </c>
      <c r="C391">
        <v>120</v>
      </c>
      <c r="D391" t="s">
        <v>112</v>
      </c>
      <c r="E391" t="s">
        <v>13</v>
      </c>
      <c r="F391">
        <v>0.60099999999999998</v>
      </c>
      <c r="G391" t="s">
        <v>14</v>
      </c>
    </row>
    <row r="392" spans="1:7" x14ac:dyDescent="0.25">
      <c r="A392">
        <v>28</v>
      </c>
      <c r="B392" t="s">
        <v>143</v>
      </c>
      <c r="C392">
        <v>130</v>
      </c>
      <c r="D392" t="s">
        <v>168</v>
      </c>
      <c r="E392" t="s">
        <v>11</v>
      </c>
      <c r="F392">
        <v>1</v>
      </c>
      <c r="G392" t="s">
        <v>16</v>
      </c>
    </row>
    <row r="393" spans="1:7" x14ac:dyDescent="0.25">
      <c r="A393">
        <v>28</v>
      </c>
      <c r="B393" t="s">
        <v>143</v>
      </c>
      <c r="C393">
        <v>140</v>
      </c>
      <c r="D393" t="s">
        <v>169</v>
      </c>
      <c r="E393" t="s">
        <v>11</v>
      </c>
      <c r="F393">
        <v>1</v>
      </c>
      <c r="G393" t="s">
        <v>16</v>
      </c>
    </row>
    <row r="394" spans="1:7" x14ac:dyDescent="0.25">
      <c r="A394">
        <v>29</v>
      </c>
      <c r="B394" t="s">
        <v>144</v>
      </c>
      <c r="C394">
        <v>10</v>
      </c>
      <c r="D394" t="s">
        <v>170</v>
      </c>
      <c r="E394" t="s">
        <v>11</v>
      </c>
      <c r="F394">
        <v>1</v>
      </c>
      <c r="G394" t="s">
        <v>16</v>
      </c>
    </row>
    <row r="395" spans="1:7" x14ac:dyDescent="0.25">
      <c r="A395">
        <v>29</v>
      </c>
      <c r="B395" t="s">
        <v>144</v>
      </c>
      <c r="C395">
        <v>20</v>
      </c>
      <c r="D395" t="s">
        <v>102</v>
      </c>
      <c r="E395" t="s">
        <v>15</v>
      </c>
      <c r="F395">
        <v>1.5489999999999999</v>
      </c>
      <c r="G395" t="s">
        <v>16</v>
      </c>
    </row>
    <row r="396" spans="1:7" x14ac:dyDescent="0.25">
      <c r="A396">
        <v>29</v>
      </c>
      <c r="B396" t="s">
        <v>144</v>
      </c>
      <c r="C396">
        <v>30</v>
      </c>
      <c r="D396" t="s">
        <v>136</v>
      </c>
      <c r="E396" t="s">
        <v>15</v>
      </c>
      <c r="F396">
        <v>1.5489999999999999</v>
      </c>
      <c r="G396" t="s">
        <v>16</v>
      </c>
    </row>
    <row r="397" spans="1:7" x14ac:dyDescent="0.25">
      <c r="A397">
        <v>29</v>
      </c>
      <c r="B397" t="s">
        <v>144</v>
      </c>
      <c r="C397">
        <v>40</v>
      </c>
      <c r="D397" t="s">
        <v>105</v>
      </c>
      <c r="E397" t="s">
        <v>106</v>
      </c>
      <c r="F397">
        <v>0.81299999999999994</v>
      </c>
      <c r="G397" t="s">
        <v>14</v>
      </c>
    </row>
    <row r="398" spans="1:7" x14ac:dyDescent="0.25">
      <c r="A398">
        <v>29</v>
      </c>
      <c r="B398" t="s">
        <v>144</v>
      </c>
      <c r="C398">
        <v>50</v>
      </c>
      <c r="D398" t="s">
        <v>18</v>
      </c>
      <c r="E398" t="s">
        <v>15</v>
      </c>
      <c r="F398">
        <v>113.386</v>
      </c>
      <c r="G398" t="s">
        <v>14</v>
      </c>
    </row>
    <row r="399" spans="1:7" x14ac:dyDescent="0.25">
      <c r="A399">
        <v>29</v>
      </c>
      <c r="B399" t="s">
        <v>144</v>
      </c>
      <c r="C399">
        <v>60</v>
      </c>
      <c r="D399" t="s">
        <v>103</v>
      </c>
      <c r="E399" t="s">
        <v>15</v>
      </c>
      <c r="F399">
        <v>28.853999999999999</v>
      </c>
      <c r="G399" t="s">
        <v>14</v>
      </c>
    </row>
    <row r="400" spans="1:7" x14ac:dyDescent="0.25">
      <c r="A400">
        <v>29</v>
      </c>
      <c r="B400" t="s">
        <v>144</v>
      </c>
      <c r="C400">
        <v>70</v>
      </c>
      <c r="D400" t="s">
        <v>104</v>
      </c>
      <c r="E400" t="s">
        <v>15</v>
      </c>
      <c r="F400">
        <v>177.45500000000001</v>
      </c>
      <c r="G400" t="s">
        <v>14</v>
      </c>
    </row>
    <row r="401" spans="1:7" x14ac:dyDescent="0.25">
      <c r="A401">
        <v>29</v>
      </c>
      <c r="B401" t="s">
        <v>144</v>
      </c>
      <c r="C401">
        <v>80</v>
      </c>
      <c r="D401" t="s">
        <v>107</v>
      </c>
      <c r="E401" t="s">
        <v>11</v>
      </c>
      <c r="F401">
        <v>4</v>
      </c>
      <c r="G401" t="s">
        <v>14</v>
      </c>
    </row>
    <row r="402" spans="1:7" x14ac:dyDescent="0.25">
      <c r="A402">
        <v>29</v>
      </c>
      <c r="B402" t="s">
        <v>144</v>
      </c>
      <c r="C402">
        <v>90</v>
      </c>
      <c r="D402" t="s">
        <v>21</v>
      </c>
      <c r="E402" t="s">
        <v>11</v>
      </c>
      <c r="F402">
        <v>1</v>
      </c>
      <c r="G402" t="s">
        <v>14</v>
      </c>
    </row>
    <row r="403" spans="1:7" x14ac:dyDescent="0.25">
      <c r="A403">
        <v>29</v>
      </c>
      <c r="B403" t="s">
        <v>144</v>
      </c>
      <c r="C403">
        <v>100</v>
      </c>
      <c r="D403" t="s">
        <v>22</v>
      </c>
      <c r="E403" t="s">
        <v>11</v>
      </c>
      <c r="F403">
        <v>1</v>
      </c>
      <c r="G403" t="s">
        <v>14</v>
      </c>
    </row>
    <row r="404" spans="1:7" x14ac:dyDescent="0.25">
      <c r="A404">
        <v>29</v>
      </c>
      <c r="B404" t="s">
        <v>144</v>
      </c>
      <c r="C404">
        <v>110</v>
      </c>
      <c r="D404" t="s">
        <v>23</v>
      </c>
      <c r="E404" t="s">
        <v>11</v>
      </c>
      <c r="F404">
        <v>1</v>
      </c>
      <c r="G404" t="s">
        <v>14</v>
      </c>
    </row>
    <row r="405" spans="1:7" x14ac:dyDescent="0.25">
      <c r="A405">
        <v>29</v>
      </c>
      <c r="B405" t="s">
        <v>144</v>
      </c>
      <c r="C405">
        <v>120</v>
      </c>
      <c r="D405" t="s">
        <v>112</v>
      </c>
      <c r="E405" t="s">
        <v>13</v>
      </c>
      <c r="F405">
        <v>0.51</v>
      </c>
      <c r="G405" t="s">
        <v>14</v>
      </c>
    </row>
    <row r="406" spans="1:7" x14ac:dyDescent="0.25">
      <c r="A406">
        <v>29</v>
      </c>
      <c r="B406" t="s">
        <v>144</v>
      </c>
      <c r="C406">
        <v>130</v>
      </c>
      <c r="D406" t="s">
        <v>171</v>
      </c>
      <c r="E406" t="s">
        <v>11</v>
      </c>
      <c r="F406">
        <v>1</v>
      </c>
      <c r="G406" t="s">
        <v>16</v>
      </c>
    </row>
    <row r="407" spans="1:7" x14ac:dyDescent="0.25">
      <c r="A407">
        <v>29</v>
      </c>
      <c r="B407" t="s">
        <v>144</v>
      </c>
      <c r="C407">
        <v>140</v>
      </c>
      <c r="D407" t="s">
        <v>172</v>
      </c>
      <c r="E407" t="s">
        <v>11</v>
      </c>
      <c r="F407">
        <v>1</v>
      </c>
      <c r="G407" t="s">
        <v>16</v>
      </c>
    </row>
    <row r="408" spans="1:7" x14ac:dyDescent="0.25">
      <c r="A408">
        <v>30</v>
      </c>
      <c r="B408" t="s">
        <v>145</v>
      </c>
      <c r="C408">
        <v>10</v>
      </c>
      <c r="D408" t="s">
        <v>173</v>
      </c>
      <c r="E408" t="s">
        <v>11</v>
      </c>
      <c r="F408">
        <v>1</v>
      </c>
      <c r="G408" t="s">
        <v>16</v>
      </c>
    </row>
    <row r="409" spans="1:7" x14ac:dyDescent="0.25">
      <c r="A409">
        <v>30</v>
      </c>
      <c r="B409" t="s">
        <v>145</v>
      </c>
      <c r="C409">
        <v>20</v>
      </c>
      <c r="D409" t="s">
        <v>102</v>
      </c>
      <c r="E409" t="s">
        <v>15</v>
      </c>
      <c r="F409">
        <v>1.8540000000000001</v>
      </c>
      <c r="G409" t="s">
        <v>16</v>
      </c>
    </row>
    <row r="410" spans="1:7" x14ac:dyDescent="0.25">
      <c r="A410">
        <v>30</v>
      </c>
      <c r="B410" t="s">
        <v>145</v>
      </c>
      <c r="C410">
        <v>30</v>
      </c>
      <c r="D410" t="s">
        <v>136</v>
      </c>
      <c r="E410" t="s">
        <v>15</v>
      </c>
      <c r="F410">
        <v>1.8540000000000001</v>
      </c>
      <c r="G410" t="s">
        <v>16</v>
      </c>
    </row>
    <row r="411" spans="1:7" x14ac:dyDescent="0.25">
      <c r="A411">
        <v>30</v>
      </c>
      <c r="B411" t="s">
        <v>145</v>
      </c>
      <c r="C411">
        <v>40</v>
      </c>
      <c r="D411" t="s">
        <v>105</v>
      </c>
      <c r="E411" t="s">
        <v>106</v>
      </c>
      <c r="F411">
        <v>0.99</v>
      </c>
      <c r="G411" t="s">
        <v>14</v>
      </c>
    </row>
    <row r="412" spans="1:7" x14ac:dyDescent="0.25">
      <c r="A412">
        <v>30</v>
      </c>
      <c r="B412" t="s">
        <v>145</v>
      </c>
      <c r="C412">
        <v>50</v>
      </c>
      <c r="D412" t="s">
        <v>18</v>
      </c>
      <c r="E412" t="s">
        <v>15</v>
      </c>
      <c r="F412">
        <v>123.139</v>
      </c>
      <c r="G412" t="s">
        <v>14</v>
      </c>
    </row>
    <row r="413" spans="1:7" x14ac:dyDescent="0.25">
      <c r="A413">
        <v>30</v>
      </c>
      <c r="B413" t="s">
        <v>145</v>
      </c>
      <c r="C413">
        <v>60</v>
      </c>
      <c r="D413" t="s">
        <v>103</v>
      </c>
      <c r="E413" t="s">
        <v>15</v>
      </c>
      <c r="F413">
        <v>31.292999999999999</v>
      </c>
      <c r="G413" t="s">
        <v>14</v>
      </c>
    </row>
    <row r="414" spans="1:7" x14ac:dyDescent="0.25">
      <c r="A414">
        <v>30</v>
      </c>
      <c r="B414" t="s">
        <v>145</v>
      </c>
      <c r="C414">
        <v>70</v>
      </c>
      <c r="D414" t="s">
        <v>104</v>
      </c>
      <c r="E414" t="s">
        <v>15</v>
      </c>
      <c r="F414">
        <v>192.45099999999999</v>
      </c>
      <c r="G414" t="s">
        <v>14</v>
      </c>
    </row>
    <row r="415" spans="1:7" x14ac:dyDescent="0.25">
      <c r="A415">
        <v>30</v>
      </c>
      <c r="B415" t="s">
        <v>145</v>
      </c>
      <c r="C415">
        <v>80</v>
      </c>
      <c r="D415" t="s">
        <v>107</v>
      </c>
      <c r="E415" t="s">
        <v>11</v>
      </c>
      <c r="F415">
        <v>4</v>
      </c>
      <c r="G415" t="s">
        <v>14</v>
      </c>
    </row>
    <row r="416" spans="1:7" x14ac:dyDescent="0.25">
      <c r="A416">
        <v>30</v>
      </c>
      <c r="B416" t="s">
        <v>145</v>
      </c>
      <c r="C416">
        <v>90</v>
      </c>
      <c r="D416" t="s">
        <v>21</v>
      </c>
      <c r="E416" t="s">
        <v>11</v>
      </c>
      <c r="F416">
        <v>1</v>
      </c>
      <c r="G416" t="s">
        <v>14</v>
      </c>
    </row>
    <row r="417" spans="1:7" x14ac:dyDescent="0.25">
      <c r="A417">
        <v>30</v>
      </c>
      <c r="B417" t="s">
        <v>145</v>
      </c>
      <c r="C417">
        <v>100</v>
      </c>
      <c r="D417" t="s">
        <v>22</v>
      </c>
      <c r="E417" t="s">
        <v>11</v>
      </c>
      <c r="F417">
        <v>1</v>
      </c>
      <c r="G417" t="s">
        <v>14</v>
      </c>
    </row>
    <row r="418" spans="1:7" x14ac:dyDescent="0.25">
      <c r="A418">
        <v>30</v>
      </c>
      <c r="B418" t="s">
        <v>145</v>
      </c>
      <c r="C418">
        <v>110</v>
      </c>
      <c r="D418" t="s">
        <v>23</v>
      </c>
      <c r="E418" t="s">
        <v>11</v>
      </c>
      <c r="F418">
        <v>1</v>
      </c>
      <c r="G418" t="s">
        <v>14</v>
      </c>
    </row>
    <row r="419" spans="1:7" x14ac:dyDescent="0.25">
      <c r="A419">
        <v>30</v>
      </c>
      <c r="B419" t="s">
        <v>145</v>
      </c>
      <c r="C419">
        <v>120</v>
      </c>
      <c r="D419" t="s">
        <v>112</v>
      </c>
      <c r="E419" t="s">
        <v>13</v>
      </c>
      <c r="F419">
        <v>0.60099999999999998</v>
      </c>
      <c r="G419" t="s">
        <v>14</v>
      </c>
    </row>
    <row r="420" spans="1:7" x14ac:dyDescent="0.25">
      <c r="A420">
        <v>30</v>
      </c>
      <c r="B420" t="s">
        <v>145</v>
      </c>
      <c r="C420">
        <v>130</v>
      </c>
      <c r="D420" t="s">
        <v>174</v>
      </c>
      <c r="E420" t="s">
        <v>11</v>
      </c>
      <c r="F420">
        <v>1</v>
      </c>
      <c r="G420" t="s">
        <v>16</v>
      </c>
    </row>
    <row r="421" spans="1:7" x14ac:dyDescent="0.25">
      <c r="A421">
        <v>30</v>
      </c>
      <c r="B421" t="s">
        <v>145</v>
      </c>
      <c r="C421">
        <v>140</v>
      </c>
      <c r="D421" t="s">
        <v>175</v>
      </c>
      <c r="E421" t="s">
        <v>11</v>
      </c>
      <c r="F421">
        <v>1</v>
      </c>
      <c r="G42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24"/>
  <sheetViews>
    <sheetView zoomScale="85" zoomScaleNormal="85" workbookViewId="0">
      <selection activeCell="Q20" sqref="Q2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5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5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6" t="s">
        <v>49</v>
      </c>
      <c r="C4" s="26" t="s">
        <v>50</v>
      </c>
      <c r="D4" s="41" t="s">
        <v>51</v>
      </c>
      <c r="E4" s="26" t="s">
        <v>3</v>
      </c>
      <c r="F4" s="41" t="s">
        <v>52</v>
      </c>
      <c r="G4" s="26" t="s">
        <v>53</v>
      </c>
      <c r="H4" s="26" t="s">
        <v>6</v>
      </c>
      <c r="I4" s="26" t="s">
        <v>54</v>
      </c>
      <c r="J4" s="41" t="s">
        <v>55</v>
      </c>
      <c r="K4" s="41" t="s">
        <v>56</v>
      </c>
      <c r="L4" s="41" t="s">
        <v>57</v>
      </c>
      <c r="M4" s="27" t="s">
        <v>58</v>
      </c>
      <c r="N4" s="28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146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98</v>
      </c>
      <c r="O6" s="3"/>
      <c r="P6" s="3"/>
      <c r="Q6" s="3">
        <v>0.94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114</v>
      </c>
      <c r="O7" s="3"/>
      <c r="P7" s="3"/>
      <c r="Q7" s="3">
        <v>0.94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0.42099999999999999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89.001999999999995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95</v>
      </c>
      <c r="O10" s="3"/>
      <c r="P10" s="3"/>
      <c r="Q10" s="3">
        <v>22.757999999999999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139.964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107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112</v>
      </c>
      <c r="O16" s="3"/>
      <c r="P16" s="3"/>
      <c r="Q16" s="3">
        <v>0.33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147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148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115</v>
      </c>
      <c r="D19" s="3"/>
      <c r="E19" s="3" t="s">
        <v>115</v>
      </c>
      <c r="F19" s="3"/>
      <c r="G19" s="3"/>
      <c r="H19" s="3"/>
      <c r="I19" s="3"/>
      <c r="J19" s="3"/>
      <c r="K19" s="3"/>
      <c r="L19" s="3" t="s">
        <v>90</v>
      </c>
      <c r="M19" s="3">
        <v>10</v>
      </c>
      <c r="N19" s="3" t="s">
        <v>149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115</v>
      </c>
      <c r="D20" s="3"/>
      <c r="E20" s="3" t="s">
        <v>115</v>
      </c>
      <c r="F20" s="3"/>
      <c r="G20" s="3"/>
      <c r="H20" s="3"/>
      <c r="I20" s="3"/>
      <c r="J20" s="3"/>
      <c r="K20" s="3"/>
      <c r="L20" s="3" t="s">
        <v>90</v>
      </c>
      <c r="M20" s="3">
        <v>20</v>
      </c>
      <c r="N20" s="3" t="s">
        <v>98</v>
      </c>
      <c r="O20" s="3"/>
      <c r="P20" s="3"/>
      <c r="Q20" s="3">
        <v>1.2450000000000001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115</v>
      </c>
      <c r="D21" s="3"/>
      <c r="E21" s="3" t="s">
        <v>115</v>
      </c>
      <c r="F21" s="3"/>
      <c r="G21" s="3"/>
      <c r="H21" s="3"/>
      <c r="I21" s="3"/>
      <c r="J21" s="3"/>
      <c r="K21" s="3"/>
      <c r="L21" s="3" t="s">
        <v>90</v>
      </c>
      <c r="M21" s="3">
        <v>30</v>
      </c>
      <c r="N21" s="3" t="s">
        <v>114</v>
      </c>
      <c r="O21" s="3"/>
      <c r="P21" s="3"/>
      <c r="Q21" s="3">
        <v>1.2450000000000001</v>
      </c>
      <c r="R21" s="3" t="s">
        <v>15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115</v>
      </c>
      <c r="D22" s="3"/>
      <c r="E22" s="3" t="s">
        <v>115</v>
      </c>
      <c r="F22" s="3"/>
      <c r="G22" s="3"/>
      <c r="H22" s="3"/>
      <c r="I22" s="3"/>
      <c r="J22" s="3"/>
      <c r="K22" s="3"/>
      <c r="L22" s="3" t="s">
        <v>90</v>
      </c>
      <c r="M22" s="3">
        <v>40</v>
      </c>
      <c r="N22" s="3" t="s">
        <v>105</v>
      </c>
      <c r="O22" s="3"/>
      <c r="P22" s="3"/>
      <c r="Q22" s="3">
        <v>0.58299999999999996</v>
      </c>
      <c r="R22" s="3" t="s">
        <v>106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115</v>
      </c>
      <c r="D23" s="3"/>
      <c r="E23" s="3" t="s">
        <v>115</v>
      </c>
      <c r="F23" s="3"/>
      <c r="G23" s="3"/>
      <c r="H23" s="3"/>
      <c r="I23" s="3"/>
      <c r="J23" s="3"/>
      <c r="K23" s="3"/>
      <c r="L23" s="3" t="s">
        <v>90</v>
      </c>
      <c r="M23" s="3">
        <v>50</v>
      </c>
      <c r="N23" s="3" t="s">
        <v>18</v>
      </c>
      <c r="O23" s="3"/>
      <c r="P23" s="3"/>
      <c r="Q23" s="3">
        <v>98.754999999999995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115</v>
      </c>
      <c r="D24" s="3"/>
      <c r="E24" s="3" t="s">
        <v>115</v>
      </c>
      <c r="F24" s="3"/>
      <c r="G24" s="3"/>
      <c r="H24" s="3"/>
      <c r="I24" s="3"/>
      <c r="J24" s="3"/>
      <c r="K24" s="3"/>
      <c r="L24" s="3" t="s">
        <v>90</v>
      </c>
      <c r="M24" s="3">
        <v>60</v>
      </c>
      <c r="N24" s="3" t="s">
        <v>95</v>
      </c>
      <c r="O24" s="3"/>
      <c r="P24" s="3"/>
      <c r="Q24" s="3">
        <v>25.196999999999999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115</v>
      </c>
      <c r="D25" s="3"/>
      <c r="E25" s="3" t="s">
        <v>115</v>
      </c>
      <c r="F25" s="3"/>
      <c r="G25" s="3"/>
      <c r="H25" s="3"/>
      <c r="I25" s="3"/>
      <c r="J25" s="3"/>
      <c r="K25" s="3"/>
      <c r="L25" s="3" t="s">
        <v>90</v>
      </c>
      <c r="M25" s="3">
        <v>70</v>
      </c>
      <c r="N25" s="3" t="s">
        <v>18</v>
      </c>
      <c r="O25" s="3"/>
      <c r="P25" s="3"/>
      <c r="Q25" s="3">
        <v>154.96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115</v>
      </c>
      <c r="D26" s="3"/>
      <c r="E26" s="3" t="s">
        <v>115</v>
      </c>
      <c r="F26" s="3"/>
      <c r="G26" s="3"/>
      <c r="H26" s="3"/>
      <c r="I26" s="3"/>
      <c r="J26" s="3"/>
      <c r="K26" s="3"/>
      <c r="L26" s="3" t="s">
        <v>90</v>
      </c>
      <c r="M26" s="3">
        <v>80</v>
      </c>
      <c r="N26" s="3" t="s">
        <v>107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115</v>
      </c>
      <c r="D27" s="3"/>
      <c r="E27" s="3" t="s">
        <v>115</v>
      </c>
      <c r="F27" s="3"/>
      <c r="G27" s="3"/>
      <c r="H27" s="3"/>
      <c r="I27" s="3"/>
      <c r="J27" s="3"/>
      <c r="K27" s="3"/>
      <c r="L27" s="3" t="s">
        <v>90</v>
      </c>
      <c r="M27" s="3">
        <v>90</v>
      </c>
      <c r="N27" s="3" t="s">
        <v>21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115</v>
      </c>
      <c r="D28" s="3"/>
      <c r="E28" s="3" t="s">
        <v>115</v>
      </c>
      <c r="F28" s="3"/>
      <c r="G28" s="3"/>
      <c r="H28" s="3"/>
      <c r="I28" s="3"/>
      <c r="J28" s="3"/>
      <c r="K28" s="3"/>
      <c r="L28" s="3" t="s">
        <v>90</v>
      </c>
      <c r="M28" s="3">
        <v>100</v>
      </c>
      <c r="N28" s="3" t="s">
        <v>22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90</v>
      </c>
      <c r="M29" s="3">
        <v>110</v>
      </c>
      <c r="N29" s="3" t="s">
        <v>23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90</v>
      </c>
      <c r="M30" s="3">
        <v>120</v>
      </c>
      <c r="N30" s="3" t="s">
        <v>112</v>
      </c>
      <c r="O30" s="3"/>
      <c r="P30" s="3"/>
      <c r="Q30" s="3">
        <v>0.42</v>
      </c>
      <c r="R30" s="3" t="s">
        <v>13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130</v>
      </c>
      <c r="N31" s="3" t="s">
        <v>150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140</v>
      </c>
      <c r="N32" s="3" t="s">
        <v>151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116</v>
      </c>
      <c r="D33" s="3"/>
      <c r="E33" s="3" t="s">
        <v>116</v>
      </c>
      <c r="F33" s="3"/>
      <c r="G33" s="3"/>
      <c r="H33" s="3"/>
      <c r="I33" s="3"/>
      <c r="J33" s="3"/>
      <c r="K33" s="3"/>
      <c r="L33" s="3" t="s">
        <v>90</v>
      </c>
      <c r="M33" s="3">
        <v>10</v>
      </c>
      <c r="N33" s="3" t="s">
        <v>152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116</v>
      </c>
      <c r="D34" s="3"/>
      <c r="E34" s="3" t="s">
        <v>116</v>
      </c>
      <c r="F34" s="3"/>
      <c r="G34" s="3"/>
      <c r="H34" s="3"/>
      <c r="I34" s="3"/>
      <c r="J34" s="3"/>
      <c r="K34" s="3"/>
      <c r="L34" s="3" t="s">
        <v>90</v>
      </c>
      <c r="M34" s="3">
        <v>20</v>
      </c>
      <c r="N34" s="3" t="s">
        <v>98</v>
      </c>
      <c r="O34" s="3"/>
      <c r="P34" s="3"/>
      <c r="Q34" s="3">
        <v>1.5489999999999999</v>
      </c>
      <c r="R34" s="3" t="s">
        <v>15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116</v>
      </c>
      <c r="D35" s="3"/>
      <c r="E35" s="3" t="s">
        <v>116</v>
      </c>
      <c r="F35" s="3"/>
      <c r="G35" s="3"/>
      <c r="H35" s="3"/>
      <c r="I35" s="3"/>
      <c r="J35" s="3"/>
      <c r="K35" s="3"/>
      <c r="L35" s="3" t="s">
        <v>90</v>
      </c>
      <c r="M35" s="3">
        <v>30</v>
      </c>
      <c r="N35" s="3" t="s">
        <v>114</v>
      </c>
      <c r="O35" s="3"/>
      <c r="P35" s="3"/>
      <c r="Q35" s="3">
        <v>1.5489999999999999</v>
      </c>
      <c r="R35" s="3" t="s">
        <v>15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116</v>
      </c>
      <c r="D36" s="3"/>
      <c r="E36" s="3" t="s">
        <v>116</v>
      </c>
      <c r="F36" s="3"/>
      <c r="G36" s="3"/>
      <c r="H36" s="3"/>
      <c r="I36" s="3"/>
      <c r="J36" s="3"/>
      <c r="K36" s="3"/>
      <c r="L36" s="3" t="s">
        <v>90</v>
      </c>
      <c r="M36" s="3">
        <v>40</v>
      </c>
      <c r="N36" s="3" t="s">
        <v>105</v>
      </c>
      <c r="O36" s="3"/>
      <c r="P36" s="3"/>
      <c r="Q36" s="3">
        <v>0.746</v>
      </c>
      <c r="R36" s="3" t="s">
        <v>106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116</v>
      </c>
      <c r="D37" s="3"/>
      <c r="E37" s="3" t="s">
        <v>116</v>
      </c>
      <c r="F37" s="3"/>
      <c r="G37" s="3"/>
      <c r="H37" s="3"/>
      <c r="I37" s="3"/>
      <c r="J37" s="3"/>
      <c r="K37" s="3"/>
      <c r="L37" s="3" t="s">
        <v>90</v>
      </c>
      <c r="M37" s="3">
        <v>50</v>
      </c>
      <c r="N37" s="3" t="s">
        <v>18</v>
      </c>
      <c r="O37" s="3"/>
      <c r="P37" s="3"/>
      <c r="Q37" s="3">
        <v>108.509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116</v>
      </c>
      <c r="D38" s="3"/>
      <c r="E38" s="3" t="s">
        <v>116</v>
      </c>
      <c r="F38" s="3"/>
      <c r="G38" s="3"/>
      <c r="H38" s="3"/>
      <c r="I38" s="3"/>
      <c r="J38" s="3"/>
      <c r="K38" s="3"/>
      <c r="L38" s="3" t="s">
        <v>90</v>
      </c>
      <c r="M38" s="3">
        <v>60</v>
      </c>
      <c r="N38" s="3" t="s">
        <v>95</v>
      </c>
      <c r="O38" s="3"/>
      <c r="P38" s="3"/>
      <c r="Q38" s="3">
        <v>27.635000000000002</v>
      </c>
      <c r="R38" s="3" t="s">
        <v>15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116</v>
      </c>
      <c r="D39" s="3"/>
      <c r="E39" s="3" t="s">
        <v>116</v>
      </c>
      <c r="F39" s="3"/>
      <c r="G39" s="3"/>
      <c r="H39" s="3"/>
      <c r="I39" s="3"/>
      <c r="J39" s="3"/>
      <c r="K39" s="3"/>
      <c r="L39" s="3" t="s">
        <v>90</v>
      </c>
      <c r="M39" s="3">
        <v>70</v>
      </c>
      <c r="N39" s="3" t="s">
        <v>18</v>
      </c>
      <c r="O39" s="3"/>
      <c r="P39" s="3"/>
      <c r="Q39" s="3">
        <v>169.95599999999999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116</v>
      </c>
      <c r="D40" s="3"/>
      <c r="E40" s="3" t="s">
        <v>116</v>
      </c>
      <c r="F40" s="3"/>
      <c r="G40" s="3"/>
      <c r="H40" s="3"/>
      <c r="I40" s="3"/>
      <c r="J40" s="3"/>
      <c r="K40" s="3"/>
      <c r="L40" s="3" t="s">
        <v>90</v>
      </c>
      <c r="M40" s="3">
        <v>80</v>
      </c>
      <c r="N40" s="3" t="s">
        <v>107</v>
      </c>
      <c r="O40" s="3"/>
      <c r="P40" s="3"/>
      <c r="Q40" s="3">
        <v>4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116</v>
      </c>
      <c r="D41" s="3"/>
      <c r="E41" s="3" t="s">
        <v>116</v>
      </c>
      <c r="F41" s="3"/>
      <c r="G41" s="3"/>
      <c r="H41" s="3"/>
      <c r="I41" s="3"/>
      <c r="J41" s="3"/>
      <c r="K41" s="3"/>
      <c r="L41" s="3" t="s">
        <v>90</v>
      </c>
      <c r="M41" s="3">
        <v>90</v>
      </c>
      <c r="N41" s="3" t="s">
        <v>21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116</v>
      </c>
      <c r="D42" s="3"/>
      <c r="E42" s="3" t="s">
        <v>116</v>
      </c>
      <c r="F42" s="3"/>
      <c r="G42" s="3"/>
      <c r="H42" s="3"/>
      <c r="I42" s="3"/>
      <c r="J42" s="3"/>
      <c r="K42" s="3"/>
      <c r="L42" s="3" t="s">
        <v>90</v>
      </c>
      <c r="M42" s="3">
        <v>100</v>
      </c>
      <c r="N42" s="3" t="s">
        <v>22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116</v>
      </c>
      <c r="D43" s="3"/>
      <c r="E43" s="3" t="s">
        <v>116</v>
      </c>
      <c r="F43" s="3"/>
      <c r="G43" s="3"/>
      <c r="H43" s="3"/>
      <c r="I43" s="3"/>
      <c r="J43" s="3"/>
      <c r="K43" s="3"/>
      <c r="L43" s="3" t="s">
        <v>90</v>
      </c>
      <c r="M43" s="3">
        <v>110</v>
      </c>
      <c r="N43" s="3" t="s">
        <v>23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120</v>
      </c>
      <c r="N44" s="3" t="s">
        <v>112</v>
      </c>
      <c r="O44" s="3"/>
      <c r="P44" s="3"/>
      <c r="Q44" s="3">
        <v>0.51</v>
      </c>
      <c r="R44" s="3" t="s">
        <v>13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130</v>
      </c>
      <c r="N45" s="3" t="s">
        <v>153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140</v>
      </c>
      <c r="N46" s="3" t="s">
        <v>154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117</v>
      </c>
      <c r="D47" s="3"/>
      <c r="E47" s="3" t="s">
        <v>117</v>
      </c>
      <c r="F47" s="3"/>
      <c r="G47" s="3"/>
      <c r="H47" s="3"/>
      <c r="I47" s="3"/>
      <c r="J47" s="3"/>
      <c r="K47" s="3"/>
      <c r="L47" s="3" t="s">
        <v>90</v>
      </c>
      <c r="M47" s="3">
        <v>10</v>
      </c>
      <c r="N47" s="3" t="s">
        <v>155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117</v>
      </c>
      <c r="D48" s="3"/>
      <c r="E48" s="3" t="s">
        <v>117</v>
      </c>
      <c r="F48" s="3"/>
      <c r="G48" s="3"/>
      <c r="H48" s="3"/>
      <c r="I48" s="3"/>
      <c r="J48" s="3"/>
      <c r="K48" s="3"/>
      <c r="L48" s="3" t="s">
        <v>90</v>
      </c>
      <c r="M48" s="3">
        <v>20</v>
      </c>
      <c r="N48" s="3" t="s">
        <v>98</v>
      </c>
      <c r="O48" s="3"/>
      <c r="P48" s="3"/>
      <c r="Q48" s="3">
        <v>1.8540000000000001</v>
      </c>
      <c r="R48" s="3" t="s">
        <v>15</v>
      </c>
      <c r="S48" s="3"/>
      <c r="T48" s="3">
        <v>10</v>
      </c>
      <c r="U48" s="3"/>
      <c r="V48" s="3" t="s">
        <v>16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117</v>
      </c>
      <c r="D49" s="3"/>
      <c r="E49" s="3" t="s">
        <v>117</v>
      </c>
      <c r="F49" s="3"/>
      <c r="G49" s="3"/>
      <c r="H49" s="3"/>
      <c r="I49" s="3"/>
      <c r="J49" s="3"/>
      <c r="K49" s="3"/>
      <c r="L49" s="3" t="s">
        <v>90</v>
      </c>
      <c r="M49" s="3">
        <v>30</v>
      </c>
      <c r="N49" s="3" t="s">
        <v>114</v>
      </c>
      <c r="O49" s="3"/>
      <c r="P49" s="3"/>
      <c r="Q49" s="3">
        <v>1.8540000000000001</v>
      </c>
      <c r="R49" s="3" t="s">
        <v>15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117</v>
      </c>
      <c r="D50" s="3"/>
      <c r="E50" s="3" t="s">
        <v>117</v>
      </c>
      <c r="F50" s="3"/>
      <c r="G50" s="3"/>
      <c r="H50" s="3"/>
      <c r="I50" s="3"/>
      <c r="J50" s="3"/>
      <c r="K50" s="3"/>
      <c r="L50" s="3" t="s">
        <v>90</v>
      </c>
      <c r="M50" s="3">
        <v>40</v>
      </c>
      <c r="N50" s="3" t="s">
        <v>105</v>
      </c>
      <c r="O50" s="3"/>
      <c r="P50" s="3"/>
      <c r="Q50" s="3">
        <v>0.90900000000000003</v>
      </c>
      <c r="R50" s="3" t="s">
        <v>106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117</v>
      </c>
      <c r="D51" s="3"/>
      <c r="E51" s="3" t="s">
        <v>117</v>
      </c>
      <c r="F51" s="3"/>
      <c r="G51" s="3"/>
      <c r="H51" s="3"/>
      <c r="I51" s="3"/>
      <c r="J51" s="3"/>
      <c r="K51" s="3"/>
      <c r="L51" s="3" t="s">
        <v>90</v>
      </c>
      <c r="M51" s="3">
        <v>50</v>
      </c>
      <c r="N51" s="3" t="s">
        <v>18</v>
      </c>
      <c r="O51" s="3"/>
      <c r="P51" s="3"/>
      <c r="Q51" s="3">
        <v>118.262</v>
      </c>
      <c r="R51" s="3" t="s">
        <v>15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117</v>
      </c>
      <c r="D52" s="3"/>
      <c r="E52" s="3" t="s">
        <v>117</v>
      </c>
      <c r="F52" s="3"/>
      <c r="G52" s="3"/>
      <c r="H52" s="3"/>
      <c r="I52" s="3"/>
      <c r="J52" s="3"/>
      <c r="K52" s="3"/>
      <c r="L52" s="3" t="s">
        <v>90</v>
      </c>
      <c r="M52" s="3">
        <v>60</v>
      </c>
      <c r="N52" s="3" t="s">
        <v>95</v>
      </c>
      <c r="O52" s="3"/>
      <c r="P52" s="3"/>
      <c r="Q52" s="3">
        <v>30.074000000000002</v>
      </c>
      <c r="R52" s="3" t="s">
        <v>15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117</v>
      </c>
      <c r="D53" s="3"/>
      <c r="E53" s="3" t="s">
        <v>117</v>
      </c>
      <c r="F53" s="3"/>
      <c r="G53" s="3"/>
      <c r="H53" s="3"/>
      <c r="I53" s="3"/>
      <c r="J53" s="3"/>
      <c r="K53" s="3"/>
      <c r="L53" s="3" t="s">
        <v>90</v>
      </c>
      <c r="M53" s="3">
        <v>70</v>
      </c>
      <c r="N53" s="3" t="s">
        <v>18</v>
      </c>
      <c r="O53" s="3"/>
      <c r="P53" s="3"/>
      <c r="Q53" s="3">
        <v>184.953</v>
      </c>
      <c r="R53" s="3" t="s">
        <v>15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117</v>
      </c>
      <c r="D54" s="3"/>
      <c r="E54" s="3" t="s">
        <v>117</v>
      </c>
      <c r="F54" s="3"/>
      <c r="G54" s="3"/>
      <c r="H54" s="3"/>
      <c r="I54" s="3"/>
      <c r="J54" s="3"/>
      <c r="K54" s="3"/>
      <c r="L54" s="3" t="s">
        <v>90</v>
      </c>
      <c r="M54" s="3">
        <v>80</v>
      </c>
      <c r="N54" s="3" t="s">
        <v>107</v>
      </c>
      <c r="O54" s="3"/>
      <c r="P54" s="3"/>
      <c r="Q54" s="3">
        <v>4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117</v>
      </c>
      <c r="D55" s="3"/>
      <c r="E55" s="3" t="s">
        <v>117</v>
      </c>
      <c r="F55" s="3"/>
      <c r="G55" s="3"/>
      <c r="H55" s="3"/>
      <c r="I55" s="3"/>
      <c r="J55" s="3"/>
      <c r="K55" s="3"/>
      <c r="L55" s="3" t="s">
        <v>90</v>
      </c>
      <c r="M55" s="3">
        <v>90</v>
      </c>
      <c r="N55" s="3" t="s">
        <v>21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117</v>
      </c>
      <c r="D56" s="3"/>
      <c r="E56" s="3" t="s">
        <v>117</v>
      </c>
      <c r="F56" s="3"/>
      <c r="G56" s="3"/>
      <c r="H56" s="3"/>
      <c r="I56" s="3"/>
      <c r="J56" s="3"/>
      <c r="K56" s="3"/>
      <c r="L56" s="3" t="s">
        <v>90</v>
      </c>
      <c r="M56" s="3">
        <v>100</v>
      </c>
      <c r="N56" s="3" t="s">
        <v>22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110</v>
      </c>
      <c r="N57" s="3" t="s">
        <v>23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120</v>
      </c>
      <c r="N58" s="3" t="s">
        <v>112</v>
      </c>
      <c r="O58" s="3"/>
      <c r="P58" s="3"/>
      <c r="Q58" s="3">
        <v>0.60099999999999998</v>
      </c>
      <c r="R58" s="3" t="s">
        <v>13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130</v>
      </c>
      <c r="N59" s="3" t="s">
        <v>156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140</v>
      </c>
      <c r="N60" s="3" t="s">
        <v>157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118</v>
      </c>
      <c r="D61" s="3"/>
      <c r="E61" s="3" t="s">
        <v>118</v>
      </c>
      <c r="F61" s="3"/>
      <c r="G61" s="3"/>
      <c r="H61" s="3"/>
      <c r="I61" s="3"/>
      <c r="J61" s="3"/>
      <c r="K61" s="3"/>
      <c r="L61" s="3" t="s">
        <v>90</v>
      </c>
      <c r="M61" s="3">
        <v>10</v>
      </c>
      <c r="N61" s="3" t="s">
        <v>158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118</v>
      </c>
      <c r="D62" s="3"/>
      <c r="E62" s="3" t="s">
        <v>118</v>
      </c>
      <c r="F62" s="3"/>
      <c r="G62" s="3"/>
      <c r="H62" s="3"/>
      <c r="I62" s="3"/>
      <c r="J62" s="3"/>
      <c r="K62" s="3"/>
      <c r="L62" s="3" t="s">
        <v>90</v>
      </c>
      <c r="M62" s="3">
        <v>20</v>
      </c>
      <c r="N62" s="3" t="s">
        <v>98</v>
      </c>
      <c r="O62" s="3"/>
      <c r="P62" s="3"/>
      <c r="Q62" s="3">
        <v>0.94</v>
      </c>
      <c r="R62" s="3" t="s">
        <v>15</v>
      </c>
      <c r="S62" s="3"/>
      <c r="T62" s="3">
        <v>10</v>
      </c>
      <c r="U62" s="3"/>
      <c r="V62" s="3" t="s">
        <v>16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118</v>
      </c>
      <c r="D63" s="3"/>
      <c r="E63" s="3" t="s">
        <v>118</v>
      </c>
      <c r="F63" s="3"/>
      <c r="G63" s="3"/>
      <c r="H63" s="3"/>
      <c r="I63" s="3"/>
      <c r="J63" s="3"/>
      <c r="K63" s="3"/>
      <c r="L63" s="3" t="s">
        <v>90</v>
      </c>
      <c r="M63" s="3">
        <v>30</v>
      </c>
      <c r="N63" s="3" t="s">
        <v>114</v>
      </c>
      <c r="O63" s="3"/>
      <c r="P63" s="3"/>
      <c r="Q63" s="3">
        <v>0.94</v>
      </c>
      <c r="R63" s="3" t="s">
        <v>15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118</v>
      </c>
      <c r="D64" s="3"/>
      <c r="E64" s="3" t="s">
        <v>118</v>
      </c>
      <c r="F64" s="3"/>
      <c r="G64" s="3"/>
      <c r="H64" s="3"/>
      <c r="I64" s="3"/>
      <c r="J64" s="3"/>
      <c r="K64" s="3"/>
      <c r="L64" s="3" t="s">
        <v>90</v>
      </c>
      <c r="M64" s="3">
        <v>40</v>
      </c>
      <c r="N64" s="3" t="s">
        <v>105</v>
      </c>
      <c r="O64" s="3"/>
      <c r="P64" s="3"/>
      <c r="Q64" s="3">
        <v>0.439</v>
      </c>
      <c r="R64" s="3" t="s">
        <v>106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118</v>
      </c>
      <c r="D65" s="3"/>
      <c r="E65" s="3" t="s">
        <v>118</v>
      </c>
      <c r="F65" s="3"/>
      <c r="G65" s="3"/>
      <c r="H65" s="3"/>
      <c r="I65" s="3"/>
      <c r="J65" s="3"/>
      <c r="K65" s="3"/>
      <c r="L65" s="3" t="s">
        <v>90</v>
      </c>
      <c r="M65" s="3">
        <v>50</v>
      </c>
      <c r="N65" s="3" t="s">
        <v>18</v>
      </c>
      <c r="O65" s="3"/>
      <c r="P65" s="3"/>
      <c r="Q65" s="3">
        <v>91.44</v>
      </c>
      <c r="R65" s="3" t="s">
        <v>15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118</v>
      </c>
      <c r="D66" s="3"/>
      <c r="E66" s="3" t="s">
        <v>118</v>
      </c>
      <c r="F66" s="3"/>
      <c r="G66" s="3"/>
      <c r="H66" s="3"/>
      <c r="I66" s="3"/>
      <c r="J66" s="3"/>
      <c r="K66" s="3"/>
      <c r="L66" s="3" t="s">
        <v>90</v>
      </c>
      <c r="M66" s="3">
        <v>60</v>
      </c>
      <c r="N66" s="3" t="s">
        <v>95</v>
      </c>
      <c r="O66" s="3"/>
      <c r="P66" s="3"/>
      <c r="Q66" s="3">
        <v>23.367999999999999</v>
      </c>
      <c r="R66" s="3" t="s">
        <v>15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118</v>
      </c>
      <c r="D67" s="3"/>
      <c r="E67" s="3" t="s">
        <v>118</v>
      </c>
      <c r="F67" s="3"/>
      <c r="G67" s="3"/>
      <c r="H67" s="3"/>
      <c r="I67" s="3"/>
      <c r="J67" s="3"/>
      <c r="K67" s="3"/>
      <c r="L67" s="3" t="s">
        <v>90</v>
      </c>
      <c r="M67" s="3">
        <v>70</v>
      </c>
      <c r="N67" s="3" t="s">
        <v>18</v>
      </c>
      <c r="O67" s="3"/>
      <c r="P67" s="3"/>
      <c r="Q67" s="3">
        <v>143.71299999999999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118</v>
      </c>
      <c r="D68" s="3"/>
      <c r="E68" s="3" t="s">
        <v>118</v>
      </c>
      <c r="F68" s="3"/>
      <c r="G68" s="3"/>
      <c r="H68" s="3"/>
      <c r="I68" s="3"/>
      <c r="J68" s="3"/>
      <c r="K68" s="3"/>
      <c r="L68" s="3" t="s">
        <v>90</v>
      </c>
      <c r="M68" s="3">
        <v>80</v>
      </c>
      <c r="N68" s="3" t="s">
        <v>107</v>
      </c>
      <c r="O68" s="3"/>
      <c r="P68" s="3"/>
      <c r="Q68" s="3">
        <v>4</v>
      </c>
      <c r="R68" s="3" t="s">
        <v>11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118</v>
      </c>
      <c r="D69" s="3"/>
      <c r="E69" s="3" t="s">
        <v>118</v>
      </c>
      <c r="F69" s="3"/>
      <c r="G69" s="3"/>
      <c r="H69" s="3"/>
      <c r="I69" s="3"/>
      <c r="J69" s="3"/>
      <c r="K69" s="3"/>
      <c r="L69" s="3" t="s">
        <v>90</v>
      </c>
      <c r="M69" s="3">
        <v>90</v>
      </c>
      <c r="N69" s="3" t="s">
        <v>21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100</v>
      </c>
      <c r="N70" s="3" t="s">
        <v>22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110</v>
      </c>
      <c r="N71" s="3" t="s">
        <v>23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120</v>
      </c>
      <c r="N72" s="3" t="s">
        <v>112</v>
      </c>
      <c r="O72" s="3"/>
      <c r="P72" s="3"/>
      <c r="Q72" s="3">
        <v>0.33</v>
      </c>
      <c r="R72" s="3" t="s">
        <v>13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130</v>
      </c>
      <c r="N73" s="3" t="s">
        <v>159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16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140</v>
      </c>
      <c r="N74" s="3" t="s">
        <v>160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16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119</v>
      </c>
      <c r="D75" s="3"/>
      <c r="E75" s="3" t="s">
        <v>119</v>
      </c>
      <c r="F75" s="3"/>
      <c r="G75" s="3"/>
      <c r="H75" s="3"/>
      <c r="I75" s="3"/>
      <c r="J75" s="3"/>
      <c r="K75" s="3"/>
      <c r="L75" s="3" t="s">
        <v>90</v>
      </c>
      <c r="M75" s="3">
        <v>10</v>
      </c>
      <c r="N75" s="3" t="s">
        <v>161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16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119</v>
      </c>
      <c r="D76" s="3"/>
      <c r="E76" s="3" t="s">
        <v>119</v>
      </c>
      <c r="F76" s="3"/>
      <c r="G76" s="3"/>
      <c r="H76" s="3"/>
      <c r="I76" s="3"/>
      <c r="J76" s="3"/>
      <c r="K76" s="3"/>
      <c r="L76" s="3" t="s">
        <v>90</v>
      </c>
      <c r="M76" s="3">
        <v>20</v>
      </c>
      <c r="N76" s="3" t="s">
        <v>98</v>
      </c>
      <c r="O76" s="3"/>
      <c r="P76" s="3"/>
      <c r="Q76" s="3">
        <v>1.2450000000000001</v>
      </c>
      <c r="R76" s="3" t="s">
        <v>15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119</v>
      </c>
      <c r="D77" s="3"/>
      <c r="E77" s="3" t="s">
        <v>119</v>
      </c>
      <c r="F77" s="3"/>
      <c r="G77" s="3"/>
      <c r="H77" s="3"/>
      <c r="I77" s="3"/>
      <c r="J77" s="3"/>
      <c r="K77" s="3"/>
      <c r="L77" s="3" t="s">
        <v>90</v>
      </c>
      <c r="M77" s="3">
        <v>30</v>
      </c>
      <c r="N77" s="3" t="s">
        <v>114</v>
      </c>
      <c r="O77" s="3"/>
      <c r="P77" s="3"/>
      <c r="Q77" s="3">
        <v>1.2450000000000001</v>
      </c>
      <c r="R77" s="3" t="s">
        <v>15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119</v>
      </c>
      <c r="D78" s="3"/>
      <c r="E78" s="3" t="s">
        <v>119</v>
      </c>
      <c r="F78" s="3"/>
      <c r="G78" s="3"/>
      <c r="H78" s="3"/>
      <c r="I78" s="3"/>
      <c r="J78" s="3"/>
      <c r="K78" s="3"/>
      <c r="L78" s="3" t="s">
        <v>90</v>
      </c>
      <c r="M78" s="3">
        <v>40</v>
      </c>
      <c r="N78" s="3" t="s">
        <v>105</v>
      </c>
      <c r="O78" s="3"/>
      <c r="P78" s="3"/>
      <c r="Q78" s="3">
        <v>0.61</v>
      </c>
      <c r="R78" s="3" t="s">
        <v>106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119</v>
      </c>
      <c r="D79" s="3"/>
      <c r="E79" s="3" t="s">
        <v>119</v>
      </c>
      <c r="F79" s="3"/>
      <c r="G79" s="3"/>
      <c r="H79" s="3"/>
      <c r="I79" s="3"/>
      <c r="J79" s="3"/>
      <c r="K79" s="3"/>
      <c r="L79" s="3" t="s">
        <v>90</v>
      </c>
      <c r="M79" s="3">
        <v>50</v>
      </c>
      <c r="N79" s="3" t="s">
        <v>18</v>
      </c>
      <c r="O79" s="3"/>
      <c r="P79" s="3"/>
      <c r="Q79" s="3">
        <v>101.194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119</v>
      </c>
      <c r="D80" s="3"/>
      <c r="E80" s="3" t="s">
        <v>119</v>
      </c>
      <c r="F80" s="3"/>
      <c r="G80" s="3"/>
      <c r="H80" s="3"/>
      <c r="I80" s="3"/>
      <c r="J80" s="3"/>
      <c r="K80" s="3"/>
      <c r="L80" s="3" t="s">
        <v>90</v>
      </c>
      <c r="M80" s="3">
        <v>60</v>
      </c>
      <c r="N80" s="3" t="s">
        <v>95</v>
      </c>
      <c r="O80" s="3"/>
      <c r="P80" s="3"/>
      <c r="Q80" s="3">
        <v>25.806000000000001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119</v>
      </c>
      <c r="D81" s="3"/>
      <c r="E81" s="3" t="s">
        <v>119</v>
      </c>
      <c r="F81" s="3"/>
      <c r="G81" s="3"/>
      <c r="H81" s="3"/>
      <c r="I81" s="3"/>
      <c r="J81" s="3"/>
      <c r="K81" s="3"/>
      <c r="L81" s="3" t="s">
        <v>90</v>
      </c>
      <c r="M81" s="3">
        <v>70</v>
      </c>
      <c r="N81" s="3" t="s">
        <v>18</v>
      </c>
      <c r="O81" s="3"/>
      <c r="P81" s="3"/>
      <c r="Q81" s="3">
        <v>158.709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119</v>
      </c>
      <c r="D82" s="3"/>
      <c r="E82" s="3" t="s">
        <v>119</v>
      </c>
      <c r="F82" s="3"/>
      <c r="G82" s="3"/>
      <c r="H82" s="3"/>
      <c r="I82" s="3"/>
      <c r="J82" s="3"/>
      <c r="K82" s="3"/>
      <c r="L82" s="3" t="s">
        <v>90</v>
      </c>
      <c r="M82" s="3">
        <v>80</v>
      </c>
      <c r="N82" s="3" t="s">
        <v>107</v>
      </c>
      <c r="O82" s="3"/>
      <c r="P82" s="3"/>
      <c r="Q82" s="3">
        <v>4</v>
      </c>
      <c r="R82" s="3" t="s">
        <v>11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90</v>
      </c>
      <c r="N83" s="3" t="s">
        <v>21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100</v>
      </c>
      <c r="N84" s="3" t="s">
        <v>22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110</v>
      </c>
      <c r="N85" s="3" t="s">
        <v>23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120</v>
      </c>
      <c r="N86" s="3" t="s">
        <v>112</v>
      </c>
      <c r="O86" s="3"/>
      <c r="P86" s="3"/>
      <c r="Q86" s="3">
        <v>0.42</v>
      </c>
      <c r="R86" s="3" t="s">
        <v>13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130</v>
      </c>
      <c r="N87" s="3" t="s">
        <v>162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16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140</v>
      </c>
      <c r="N88" s="3" t="s">
        <v>163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120</v>
      </c>
      <c r="D89" s="3"/>
      <c r="E89" s="3" t="s">
        <v>120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164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120</v>
      </c>
      <c r="D90" s="3"/>
      <c r="E90" s="3" t="s">
        <v>120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98</v>
      </c>
      <c r="O90" s="3"/>
      <c r="P90" s="3"/>
      <c r="Q90" s="3">
        <v>1.5489999999999999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120</v>
      </c>
      <c r="D91" s="3"/>
      <c r="E91" s="3" t="s">
        <v>120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114</v>
      </c>
      <c r="O91" s="3"/>
      <c r="P91" s="3"/>
      <c r="Q91" s="3">
        <v>1.5489999999999999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120</v>
      </c>
      <c r="D92" s="3"/>
      <c r="E92" s="3" t="s">
        <v>120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0.78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120</v>
      </c>
      <c r="D93" s="3"/>
      <c r="E93" s="3" t="s">
        <v>120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18</v>
      </c>
      <c r="O93" s="3"/>
      <c r="P93" s="3"/>
      <c r="Q93" s="3">
        <v>110.947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120</v>
      </c>
      <c r="D94" s="3"/>
      <c r="E94" s="3" t="s">
        <v>120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95</v>
      </c>
      <c r="O94" s="3"/>
      <c r="P94" s="3"/>
      <c r="Q94" s="3">
        <v>28.245000000000001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120</v>
      </c>
      <c r="D95" s="3"/>
      <c r="E95" s="3" t="s">
        <v>120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18</v>
      </c>
      <c r="O95" s="3"/>
      <c r="P95" s="3"/>
      <c r="Q95" s="3">
        <v>173.70599999999999</v>
      </c>
      <c r="R95" s="3" t="s">
        <v>15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107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22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23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112</v>
      </c>
      <c r="O100" s="3"/>
      <c r="P100" s="3"/>
      <c r="Q100" s="3">
        <v>0.51</v>
      </c>
      <c r="R100" s="3" t="s">
        <v>13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130</v>
      </c>
      <c r="N101" s="3" t="s">
        <v>165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140</v>
      </c>
      <c r="N102" s="3" t="s">
        <v>166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121</v>
      </c>
      <c r="D103" s="3"/>
      <c r="E103" s="3" t="s">
        <v>121</v>
      </c>
      <c r="F103" s="3"/>
      <c r="G103" s="3"/>
      <c r="H103" s="3"/>
      <c r="I103" s="3"/>
      <c r="J103" s="3"/>
      <c r="K103" s="3"/>
      <c r="L103" s="3" t="s">
        <v>90</v>
      </c>
      <c r="M103" s="3">
        <v>10</v>
      </c>
      <c r="N103" s="3" t="s">
        <v>167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121</v>
      </c>
      <c r="D104" s="3"/>
      <c r="E104" s="3" t="s">
        <v>121</v>
      </c>
      <c r="F104" s="3"/>
      <c r="G104" s="3"/>
      <c r="H104" s="3"/>
      <c r="I104" s="3"/>
      <c r="J104" s="3"/>
      <c r="K104" s="3"/>
      <c r="L104" s="3" t="s">
        <v>90</v>
      </c>
      <c r="M104" s="3">
        <v>20</v>
      </c>
      <c r="N104" s="3" t="s">
        <v>98</v>
      </c>
      <c r="O104" s="3"/>
      <c r="P104" s="3"/>
      <c r="Q104" s="3">
        <v>1.8540000000000001</v>
      </c>
      <c r="R104" s="3" t="s">
        <v>15</v>
      </c>
      <c r="S104" s="3"/>
      <c r="T104" s="3">
        <v>10</v>
      </c>
      <c r="U104" s="3"/>
      <c r="V104" s="3" t="s">
        <v>16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121</v>
      </c>
      <c r="D105" s="3"/>
      <c r="E105" s="3" t="s">
        <v>121</v>
      </c>
      <c r="F105" s="3"/>
      <c r="G105" s="3"/>
      <c r="H105" s="3"/>
      <c r="I105" s="3"/>
      <c r="J105" s="3"/>
      <c r="K105" s="3"/>
      <c r="L105" s="3" t="s">
        <v>90</v>
      </c>
      <c r="M105" s="3">
        <v>30</v>
      </c>
      <c r="N105" s="3" t="s">
        <v>114</v>
      </c>
      <c r="O105" s="3"/>
      <c r="P105" s="3"/>
      <c r="Q105" s="3">
        <v>1.8540000000000001</v>
      </c>
      <c r="R105" s="3" t="s">
        <v>15</v>
      </c>
      <c r="S105" s="3"/>
      <c r="T105" s="3">
        <v>10</v>
      </c>
      <c r="U105" s="3"/>
      <c r="V105" s="3" t="s">
        <v>16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121</v>
      </c>
      <c r="D106" s="3"/>
      <c r="E106" s="3" t="s">
        <v>121</v>
      </c>
      <c r="F106" s="3"/>
      <c r="G106" s="3"/>
      <c r="H106" s="3"/>
      <c r="I106" s="3"/>
      <c r="J106" s="3"/>
      <c r="K106" s="3"/>
      <c r="L106" s="3" t="s">
        <v>90</v>
      </c>
      <c r="M106" s="3">
        <v>40</v>
      </c>
      <c r="N106" s="3" t="s">
        <v>105</v>
      </c>
      <c r="O106" s="3"/>
      <c r="P106" s="3"/>
      <c r="Q106" s="3">
        <v>0.95</v>
      </c>
      <c r="R106" s="3" t="s">
        <v>106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121</v>
      </c>
      <c r="D107" s="3"/>
      <c r="E107" s="3" t="s">
        <v>121</v>
      </c>
      <c r="F107" s="3"/>
      <c r="G107" s="3"/>
      <c r="H107" s="3"/>
      <c r="I107" s="3"/>
      <c r="J107" s="3"/>
      <c r="K107" s="3"/>
      <c r="L107" s="3" t="s">
        <v>90</v>
      </c>
      <c r="M107" s="3">
        <v>50</v>
      </c>
      <c r="N107" s="3" t="s">
        <v>18</v>
      </c>
      <c r="O107" s="3"/>
      <c r="P107" s="3"/>
      <c r="Q107" s="3">
        <v>120.70099999999999</v>
      </c>
      <c r="R107" s="3" t="s">
        <v>15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121</v>
      </c>
      <c r="D108" s="3"/>
      <c r="E108" s="3" t="s">
        <v>121</v>
      </c>
      <c r="F108" s="3"/>
      <c r="G108" s="3"/>
      <c r="H108" s="3"/>
      <c r="I108" s="3"/>
      <c r="J108" s="3"/>
      <c r="K108" s="3"/>
      <c r="L108" s="3" t="s">
        <v>90</v>
      </c>
      <c r="M108" s="3">
        <v>60</v>
      </c>
      <c r="N108" s="3" t="s">
        <v>95</v>
      </c>
      <c r="O108" s="3"/>
      <c r="P108" s="3"/>
      <c r="Q108" s="3">
        <v>30.683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70</v>
      </c>
      <c r="N109" s="3" t="s">
        <v>18</v>
      </c>
      <c r="O109" s="3"/>
      <c r="P109" s="3"/>
      <c r="Q109" s="3">
        <v>188.702</v>
      </c>
      <c r="R109" s="3" t="s">
        <v>15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80</v>
      </c>
      <c r="N110" s="3" t="s">
        <v>107</v>
      </c>
      <c r="O110" s="3"/>
      <c r="P110" s="3"/>
      <c r="Q110" s="3">
        <v>4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90</v>
      </c>
      <c r="N111" s="3" t="s">
        <v>21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100</v>
      </c>
      <c r="N112" s="3" t="s">
        <v>22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110</v>
      </c>
      <c r="N113" s="3" t="s">
        <v>23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120</v>
      </c>
      <c r="N114" s="3" t="s">
        <v>112</v>
      </c>
      <c r="O114" s="3"/>
      <c r="P114" s="3"/>
      <c r="Q114" s="3">
        <v>0.60099999999999998</v>
      </c>
      <c r="R114" s="3" t="s">
        <v>13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130</v>
      </c>
      <c r="N115" s="3" t="s">
        <v>168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140</v>
      </c>
      <c r="N116" s="3" t="s">
        <v>169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122</v>
      </c>
      <c r="D117" s="3"/>
      <c r="E117" s="3" t="s">
        <v>122</v>
      </c>
      <c r="F117" s="3"/>
      <c r="G117" s="3"/>
      <c r="H117" s="3"/>
      <c r="I117" s="3"/>
      <c r="J117" s="3"/>
      <c r="K117" s="3"/>
      <c r="L117" s="3" t="s">
        <v>90</v>
      </c>
      <c r="M117" s="3">
        <v>10</v>
      </c>
      <c r="N117" s="3" t="s">
        <v>170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122</v>
      </c>
      <c r="D118" s="3"/>
      <c r="E118" s="3" t="s">
        <v>122</v>
      </c>
      <c r="F118" s="3"/>
      <c r="G118" s="3"/>
      <c r="H118" s="3"/>
      <c r="I118" s="3"/>
      <c r="J118" s="3"/>
      <c r="K118" s="3"/>
      <c r="L118" s="3" t="s">
        <v>90</v>
      </c>
      <c r="M118" s="3">
        <v>20</v>
      </c>
      <c r="N118" s="3" t="s">
        <v>98</v>
      </c>
      <c r="O118" s="3"/>
      <c r="P118" s="3"/>
      <c r="Q118" s="3">
        <v>1.5489999999999999</v>
      </c>
      <c r="R118" s="3" t="s">
        <v>15</v>
      </c>
      <c r="S118" s="3"/>
      <c r="T118" s="3">
        <v>10</v>
      </c>
      <c r="U118" s="3"/>
      <c r="V118" s="3" t="s">
        <v>16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122</v>
      </c>
      <c r="D119" s="3"/>
      <c r="E119" s="3" t="s">
        <v>122</v>
      </c>
      <c r="F119" s="3"/>
      <c r="G119" s="3"/>
      <c r="H119" s="3"/>
      <c r="I119" s="3"/>
      <c r="J119" s="3"/>
      <c r="K119" s="3"/>
      <c r="L119" s="3" t="s">
        <v>90</v>
      </c>
      <c r="M119" s="3">
        <v>30</v>
      </c>
      <c r="N119" s="3" t="s">
        <v>114</v>
      </c>
      <c r="O119" s="3"/>
      <c r="P119" s="3"/>
      <c r="Q119" s="3">
        <v>1.5489999999999999</v>
      </c>
      <c r="R119" s="3" t="s">
        <v>15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122</v>
      </c>
      <c r="D120" s="3"/>
      <c r="E120" s="3" t="s">
        <v>122</v>
      </c>
      <c r="F120" s="3"/>
      <c r="G120" s="3"/>
      <c r="H120" s="3"/>
      <c r="I120" s="3"/>
      <c r="J120" s="3"/>
      <c r="K120" s="3"/>
      <c r="L120" s="3" t="s">
        <v>90</v>
      </c>
      <c r="M120" s="3">
        <v>40</v>
      </c>
      <c r="N120" s="3" t="s">
        <v>105</v>
      </c>
      <c r="O120" s="3"/>
      <c r="P120" s="3"/>
      <c r="Q120" s="3">
        <v>0.81299999999999994</v>
      </c>
      <c r="R120" s="3" t="s">
        <v>106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122</v>
      </c>
      <c r="D121" s="3"/>
      <c r="E121" s="3" t="s">
        <v>122</v>
      </c>
      <c r="F121" s="3"/>
      <c r="G121" s="3"/>
      <c r="H121" s="3"/>
      <c r="I121" s="3"/>
      <c r="J121" s="3"/>
      <c r="K121" s="3"/>
      <c r="L121" s="3" t="s">
        <v>90</v>
      </c>
      <c r="M121" s="3">
        <v>50</v>
      </c>
      <c r="N121" s="3" t="s">
        <v>18</v>
      </c>
      <c r="O121" s="3"/>
      <c r="P121" s="3"/>
      <c r="Q121" s="3">
        <v>113.386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60</v>
      </c>
      <c r="N122" s="3" t="s">
        <v>95</v>
      </c>
      <c r="O122" s="3"/>
      <c r="P122" s="3"/>
      <c r="Q122" s="3">
        <v>28.853999999999999</v>
      </c>
      <c r="R122" s="3" t="s">
        <v>15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70</v>
      </c>
      <c r="N123" s="3" t="s">
        <v>18</v>
      </c>
      <c r="O123" s="3"/>
      <c r="P123" s="3"/>
      <c r="Q123" s="3">
        <v>177.45500000000001</v>
      </c>
      <c r="R123" s="3" t="s">
        <v>15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80</v>
      </c>
      <c r="N124" s="3" t="s">
        <v>107</v>
      </c>
      <c r="O124" s="3"/>
      <c r="P124" s="3"/>
      <c r="Q124" s="3">
        <v>4</v>
      </c>
      <c r="R124" s="3" t="s">
        <v>11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90</v>
      </c>
      <c r="N125" s="3" t="s">
        <v>21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100</v>
      </c>
      <c r="N126" s="3" t="s">
        <v>22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110</v>
      </c>
      <c r="N127" s="3" t="s">
        <v>23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120</v>
      </c>
      <c r="N128" s="3" t="s">
        <v>112</v>
      </c>
      <c r="O128" s="3"/>
      <c r="P128" s="3"/>
      <c r="Q128" s="3">
        <v>0.51</v>
      </c>
      <c r="R128" s="3" t="s">
        <v>13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130</v>
      </c>
      <c r="N129" s="3" t="s">
        <v>171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16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140</v>
      </c>
      <c r="N130" s="3" t="s">
        <v>172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16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123</v>
      </c>
      <c r="D131" s="3"/>
      <c r="E131" s="3" t="s">
        <v>123</v>
      </c>
      <c r="F131" s="3"/>
      <c r="G131" s="3"/>
      <c r="H131" s="3"/>
      <c r="I131" s="3"/>
      <c r="J131" s="3"/>
      <c r="K131" s="3"/>
      <c r="L131" s="3" t="s">
        <v>90</v>
      </c>
      <c r="M131" s="3">
        <v>10</v>
      </c>
      <c r="N131" s="3" t="s">
        <v>173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123</v>
      </c>
      <c r="D132" s="3"/>
      <c r="E132" s="3" t="s">
        <v>123</v>
      </c>
      <c r="F132" s="3"/>
      <c r="G132" s="3"/>
      <c r="H132" s="3"/>
      <c r="I132" s="3"/>
      <c r="J132" s="3"/>
      <c r="K132" s="3"/>
      <c r="L132" s="3" t="s">
        <v>90</v>
      </c>
      <c r="M132" s="3">
        <v>20</v>
      </c>
      <c r="N132" s="3" t="s">
        <v>98</v>
      </c>
      <c r="O132" s="3"/>
      <c r="P132" s="3"/>
      <c r="Q132" s="3">
        <v>1.8540000000000001</v>
      </c>
      <c r="R132" s="3" t="s">
        <v>15</v>
      </c>
      <c r="S132" s="3"/>
      <c r="T132" s="3">
        <v>10</v>
      </c>
      <c r="U132" s="3"/>
      <c r="V132" s="3" t="s">
        <v>16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123</v>
      </c>
      <c r="D133" s="3"/>
      <c r="E133" s="3" t="s">
        <v>123</v>
      </c>
      <c r="F133" s="3"/>
      <c r="G133" s="3"/>
      <c r="H133" s="3"/>
      <c r="I133" s="3"/>
      <c r="J133" s="3"/>
      <c r="K133" s="3"/>
      <c r="L133" s="3" t="s">
        <v>90</v>
      </c>
      <c r="M133" s="3">
        <v>30</v>
      </c>
      <c r="N133" s="3" t="s">
        <v>114</v>
      </c>
      <c r="O133" s="3"/>
      <c r="P133" s="3"/>
      <c r="Q133" s="3">
        <v>1.8540000000000001</v>
      </c>
      <c r="R133" s="3" t="s">
        <v>15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123</v>
      </c>
      <c r="D134" s="3"/>
      <c r="E134" s="3" t="s">
        <v>123</v>
      </c>
      <c r="F134" s="3"/>
      <c r="G134" s="3"/>
      <c r="H134" s="3"/>
      <c r="I134" s="3"/>
      <c r="J134" s="3"/>
      <c r="K134" s="3"/>
      <c r="L134" s="3" t="s">
        <v>90</v>
      </c>
      <c r="M134" s="3">
        <v>40</v>
      </c>
      <c r="N134" s="3" t="s">
        <v>105</v>
      </c>
      <c r="O134" s="3"/>
      <c r="P134" s="3"/>
      <c r="Q134" s="3">
        <v>0.99</v>
      </c>
      <c r="R134" s="3" t="s">
        <v>106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50</v>
      </c>
      <c r="N135" s="3" t="s">
        <v>18</v>
      </c>
      <c r="O135" s="3"/>
      <c r="P135" s="3"/>
      <c r="Q135" s="3">
        <v>123.139</v>
      </c>
      <c r="R135" s="3" t="s">
        <v>15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60</v>
      </c>
      <c r="N136" s="3" t="s">
        <v>95</v>
      </c>
      <c r="O136" s="3"/>
      <c r="P136" s="3"/>
      <c r="Q136" s="3">
        <v>31.292999999999999</v>
      </c>
      <c r="R136" s="3" t="s">
        <v>15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89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90</v>
      </c>
      <c r="M137" s="3">
        <v>70</v>
      </c>
      <c r="N137" s="3" t="s">
        <v>18</v>
      </c>
      <c r="O137" s="3"/>
      <c r="P137" s="3"/>
      <c r="Q137" s="3">
        <v>192.45099999999999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89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90</v>
      </c>
      <c r="M138" s="3">
        <v>80</v>
      </c>
      <c r="N138" s="3" t="s">
        <v>107</v>
      </c>
      <c r="O138" s="3"/>
      <c r="P138" s="3"/>
      <c r="Q138" s="3">
        <v>4</v>
      </c>
      <c r="R138" s="3" t="s">
        <v>11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89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90</v>
      </c>
      <c r="M139" s="3">
        <v>90</v>
      </c>
      <c r="N139" s="3" t="s">
        <v>21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89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90</v>
      </c>
      <c r="M140" s="3">
        <v>100</v>
      </c>
      <c r="N140" s="3" t="s">
        <v>22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89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90</v>
      </c>
      <c r="M141" s="3">
        <v>110</v>
      </c>
      <c r="N141" s="3" t="s">
        <v>23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89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90</v>
      </c>
      <c r="M142" s="3">
        <v>120</v>
      </c>
      <c r="N142" s="3" t="s">
        <v>112</v>
      </c>
      <c r="O142" s="3"/>
      <c r="P142" s="3"/>
      <c r="Q142" s="3">
        <v>0.60099999999999998</v>
      </c>
      <c r="R142" s="3" t="s">
        <v>13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89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90</v>
      </c>
      <c r="M143" s="3">
        <v>130</v>
      </c>
      <c r="N143" s="3" t="s">
        <v>174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16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89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90</v>
      </c>
      <c r="M144" s="3">
        <v>140</v>
      </c>
      <c r="N144" s="3" t="s">
        <v>175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16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124</v>
      </c>
      <c r="D145" s="3"/>
      <c r="E145" s="3" t="s">
        <v>124</v>
      </c>
      <c r="F145" s="3"/>
      <c r="G145" s="3"/>
      <c r="H145" s="3"/>
      <c r="I145" s="3"/>
      <c r="J145" s="3"/>
      <c r="K145" s="3"/>
      <c r="L145" s="3" t="s">
        <v>90</v>
      </c>
      <c r="M145" s="3">
        <v>10</v>
      </c>
      <c r="N145" s="3" t="s">
        <v>146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16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124</v>
      </c>
      <c r="D146" s="3"/>
      <c r="E146" s="3" t="s">
        <v>124</v>
      </c>
      <c r="F146" s="3"/>
      <c r="G146" s="3"/>
      <c r="H146" s="3"/>
      <c r="I146" s="3"/>
      <c r="J146" s="3"/>
      <c r="K146" s="3"/>
      <c r="L146" s="3" t="s">
        <v>90</v>
      </c>
      <c r="M146" s="3">
        <v>20</v>
      </c>
      <c r="N146" s="3" t="s">
        <v>99</v>
      </c>
      <c r="O146" s="3"/>
      <c r="P146" s="3"/>
      <c r="Q146" s="3">
        <v>0.94</v>
      </c>
      <c r="R146" s="3" t="s">
        <v>15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124</v>
      </c>
      <c r="D147" s="3"/>
      <c r="E147" s="3" t="s">
        <v>124</v>
      </c>
      <c r="F147" s="3"/>
      <c r="G147" s="3"/>
      <c r="H147" s="3"/>
      <c r="I147" s="3"/>
      <c r="J147" s="3"/>
      <c r="K147" s="3"/>
      <c r="L147" s="3" t="s">
        <v>90</v>
      </c>
      <c r="M147" s="3">
        <v>30</v>
      </c>
      <c r="N147" s="3" t="s">
        <v>125</v>
      </c>
      <c r="O147" s="3"/>
      <c r="P147" s="3"/>
      <c r="Q147" s="3">
        <v>0.94</v>
      </c>
      <c r="R147" s="3" t="s">
        <v>15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40</v>
      </c>
      <c r="N148" s="3" t="s">
        <v>105</v>
      </c>
      <c r="O148" s="3"/>
      <c r="P148" s="3"/>
      <c r="Q148" s="3">
        <v>0.42099999999999999</v>
      </c>
      <c r="R148" s="3" t="s">
        <v>106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50</v>
      </c>
      <c r="N149" s="3" t="s">
        <v>18</v>
      </c>
      <c r="O149" s="3"/>
      <c r="P149" s="3"/>
      <c r="Q149" s="3">
        <v>89.001999999999995</v>
      </c>
      <c r="R149" s="3" t="s">
        <v>15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60</v>
      </c>
      <c r="N150" s="3" t="s">
        <v>100</v>
      </c>
      <c r="O150" s="3"/>
      <c r="P150" s="3"/>
      <c r="Q150" s="3">
        <v>22.757999999999999</v>
      </c>
      <c r="R150" s="3" t="s">
        <v>15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70</v>
      </c>
      <c r="N151" s="3" t="s">
        <v>101</v>
      </c>
      <c r="O151" s="3"/>
      <c r="P151" s="3"/>
      <c r="Q151" s="3">
        <v>139.964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80</v>
      </c>
      <c r="N152" s="3" t="s">
        <v>107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90</v>
      </c>
      <c r="N153" s="3" t="s">
        <v>21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100</v>
      </c>
      <c r="N154" s="3" t="s">
        <v>22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110</v>
      </c>
      <c r="N155" s="3" t="s">
        <v>23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120</v>
      </c>
      <c r="N156" s="3" t="s">
        <v>112</v>
      </c>
      <c r="O156" s="3"/>
      <c r="P156" s="3"/>
      <c r="Q156" s="3">
        <v>0.33</v>
      </c>
      <c r="R156" s="3" t="s">
        <v>13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89</v>
      </c>
      <c r="C157" s="3" t="s">
        <v>124</v>
      </c>
      <c r="D157" s="3"/>
      <c r="E157" s="3" t="s">
        <v>124</v>
      </c>
      <c r="F157" s="3"/>
      <c r="G157" s="3"/>
      <c r="H157" s="3"/>
      <c r="I157" s="3"/>
      <c r="J157" s="3"/>
      <c r="K157" s="3"/>
      <c r="L157" s="3" t="s">
        <v>90</v>
      </c>
      <c r="M157" s="3">
        <v>130</v>
      </c>
      <c r="N157" s="3" t="s">
        <v>147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89</v>
      </c>
      <c r="C158" s="3" t="s">
        <v>124</v>
      </c>
      <c r="D158" s="3"/>
      <c r="E158" s="3" t="s">
        <v>124</v>
      </c>
      <c r="F158" s="3"/>
      <c r="G158" s="3"/>
      <c r="H158" s="3"/>
      <c r="I158" s="3"/>
      <c r="J158" s="3"/>
      <c r="K158" s="3"/>
      <c r="L158" s="3" t="s">
        <v>90</v>
      </c>
      <c r="M158" s="3">
        <v>140</v>
      </c>
      <c r="N158" s="3" t="s">
        <v>148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126</v>
      </c>
      <c r="D159" s="3"/>
      <c r="E159" s="3" t="s">
        <v>126</v>
      </c>
      <c r="F159" s="3"/>
      <c r="G159" s="3"/>
      <c r="H159" s="3"/>
      <c r="I159" s="3"/>
      <c r="J159" s="3"/>
      <c r="K159" s="3"/>
      <c r="L159" s="3" t="s">
        <v>90</v>
      </c>
      <c r="M159" s="3">
        <v>10</v>
      </c>
      <c r="N159" s="3" t="s">
        <v>149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126</v>
      </c>
      <c r="D160" s="3"/>
      <c r="E160" s="3" t="s">
        <v>126</v>
      </c>
      <c r="F160" s="3"/>
      <c r="G160" s="3"/>
      <c r="H160" s="3"/>
      <c r="I160" s="3"/>
      <c r="J160" s="3"/>
      <c r="K160" s="3"/>
      <c r="L160" s="3" t="s">
        <v>90</v>
      </c>
      <c r="M160" s="3">
        <v>20</v>
      </c>
      <c r="N160" s="3" t="s">
        <v>99</v>
      </c>
      <c r="O160" s="3"/>
      <c r="P160" s="3"/>
      <c r="Q160" s="3">
        <v>1.2450000000000001</v>
      </c>
      <c r="R160" s="3" t="s">
        <v>15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89</v>
      </c>
      <c r="C161" s="3" t="s">
        <v>126</v>
      </c>
      <c r="D161" s="3"/>
      <c r="E161" s="3" t="s">
        <v>126</v>
      </c>
      <c r="F161" s="3"/>
      <c r="G161" s="3"/>
      <c r="H161" s="3"/>
      <c r="I161" s="3"/>
      <c r="J161" s="3"/>
      <c r="K161" s="3"/>
      <c r="L161" s="3" t="s">
        <v>90</v>
      </c>
      <c r="M161" s="3">
        <v>30</v>
      </c>
      <c r="N161" s="3" t="s">
        <v>125</v>
      </c>
      <c r="O161" s="3"/>
      <c r="P161" s="3"/>
      <c r="Q161" s="3">
        <v>1.2450000000000001</v>
      </c>
      <c r="R161" s="3" t="s">
        <v>15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89</v>
      </c>
      <c r="C162" s="3" t="s">
        <v>126</v>
      </c>
      <c r="D162" s="3"/>
      <c r="E162" s="3" t="s">
        <v>126</v>
      </c>
      <c r="F162" s="3"/>
      <c r="G162" s="3"/>
      <c r="H162" s="3"/>
      <c r="I162" s="3"/>
      <c r="J162" s="3"/>
      <c r="K162" s="3"/>
      <c r="L162" s="3" t="s">
        <v>90</v>
      </c>
      <c r="M162" s="3">
        <v>40</v>
      </c>
      <c r="N162" s="3" t="s">
        <v>105</v>
      </c>
      <c r="O162" s="3"/>
      <c r="P162" s="3"/>
      <c r="Q162" s="3">
        <v>0.58299999999999996</v>
      </c>
      <c r="R162" s="3" t="s">
        <v>106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89</v>
      </c>
      <c r="C163" s="3" t="s">
        <v>126</v>
      </c>
      <c r="D163" s="3"/>
      <c r="E163" s="3" t="s">
        <v>126</v>
      </c>
      <c r="F163" s="3"/>
      <c r="G163" s="3"/>
      <c r="H163" s="3"/>
      <c r="I163" s="3"/>
      <c r="J163" s="3"/>
      <c r="K163" s="3"/>
      <c r="L163" s="3" t="s">
        <v>90</v>
      </c>
      <c r="M163" s="3">
        <v>50</v>
      </c>
      <c r="N163" s="3" t="s">
        <v>18</v>
      </c>
      <c r="O163" s="3"/>
      <c r="P163" s="3"/>
      <c r="Q163" s="3">
        <v>98.754999999999995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89</v>
      </c>
      <c r="C164" s="3" t="s">
        <v>126</v>
      </c>
      <c r="D164" s="3"/>
      <c r="E164" s="3" t="s">
        <v>126</v>
      </c>
      <c r="F164" s="3"/>
      <c r="G164" s="3"/>
      <c r="H164" s="3"/>
      <c r="I164" s="3"/>
      <c r="J164" s="3"/>
      <c r="K164" s="3"/>
      <c r="L164" s="3" t="s">
        <v>90</v>
      </c>
      <c r="M164" s="3">
        <v>60</v>
      </c>
      <c r="N164" s="3" t="s">
        <v>100</v>
      </c>
      <c r="O164" s="3"/>
      <c r="P164" s="3"/>
      <c r="Q164" s="3">
        <v>25.196999999999999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89</v>
      </c>
      <c r="C165" s="3" t="s">
        <v>126</v>
      </c>
      <c r="D165" s="3"/>
      <c r="E165" s="3" t="s">
        <v>126</v>
      </c>
      <c r="F165" s="3"/>
      <c r="G165" s="3"/>
      <c r="H165" s="3"/>
      <c r="I165" s="3"/>
      <c r="J165" s="3"/>
      <c r="K165" s="3"/>
      <c r="L165" s="3" t="s">
        <v>90</v>
      </c>
      <c r="M165" s="3">
        <v>70</v>
      </c>
      <c r="N165" s="3" t="s">
        <v>101</v>
      </c>
      <c r="O165" s="3"/>
      <c r="P165" s="3"/>
      <c r="Q165" s="3">
        <v>154.96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89</v>
      </c>
      <c r="C166" s="3" t="s">
        <v>126</v>
      </c>
      <c r="D166" s="3"/>
      <c r="E166" s="3" t="s">
        <v>126</v>
      </c>
      <c r="F166" s="3"/>
      <c r="G166" s="3"/>
      <c r="H166" s="3"/>
      <c r="I166" s="3"/>
      <c r="J166" s="3"/>
      <c r="K166" s="3"/>
      <c r="L166" s="3" t="s">
        <v>90</v>
      </c>
      <c r="M166" s="3">
        <v>80</v>
      </c>
      <c r="N166" s="3" t="s">
        <v>107</v>
      </c>
      <c r="O166" s="3"/>
      <c r="P166" s="3"/>
      <c r="Q166" s="3">
        <v>4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89</v>
      </c>
      <c r="C167" s="3" t="s">
        <v>126</v>
      </c>
      <c r="D167" s="3"/>
      <c r="E167" s="3" t="s">
        <v>126</v>
      </c>
      <c r="F167" s="3"/>
      <c r="G167" s="3"/>
      <c r="H167" s="3"/>
      <c r="I167" s="3"/>
      <c r="J167" s="3"/>
      <c r="K167" s="3"/>
      <c r="L167" s="3" t="s">
        <v>90</v>
      </c>
      <c r="M167" s="3">
        <v>90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89</v>
      </c>
      <c r="C168" s="3" t="s">
        <v>126</v>
      </c>
      <c r="D168" s="3"/>
      <c r="E168" s="3" t="s">
        <v>126</v>
      </c>
      <c r="F168" s="3"/>
      <c r="G168" s="3"/>
      <c r="H168" s="3"/>
      <c r="I168" s="3"/>
      <c r="J168" s="3"/>
      <c r="K168" s="3"/>
      <c r="L168" s="3" t="s">
        <v>90</v>
      </c>
      <c r="M168" s="3">
        <v>100</v>
      </c>
      <c r="N168" s="3" t="s">
        <v>22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89</v>
      </c>
      <c r="C169" s="3" t="s">
        <v>126</v>
      </c>
      <c r="D169" s="3"/>
      <c r="E169" s="3" t="s">
        <v>126</v>
      </c>
      <c r="F169" s="3"/>
      <c r="G169" s="3"/>
      <c r="H169" s="3"/>
      <c r="I169" s="3"/>
      <c r="J169" s="3"/>
      <c r="K169" s="3"/>
      <c r="L169" s="3" t="s">
        <v>90</v>
      </c>
      <c r="M169" s="3">
        <v>110</v>
      </c>
      <c r="N169" s="3" t="s">
        <v>23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89</v>
      </c>
      <c r="C170" s="3" t="s">
        <v>126</v>
      </c>
      <c r="D170" s="3"/>
      <c r="E170" s="3" t="s">
        <v>126</v>
      </c>
      <c r="F170" s="3"/>
      <c r="G170" s="3"/>
      <c r="H170" s="3"/>
      <c r="I170" s="3"/>
      <c r="J170" s="3"/>
      <c r="K170" s="3"/>
      <c r="L170" s="3" t="s">
        <v>90</v>
      </c>
      <c r="M170" s="3">
        <v>120</v>
      </c>
      <c r="N170" s="3" t="s">
        <v>112</v>
      </c>
      <c r="O170" s="3"/>
      <c r="P170" s="3"/>
      <c r="Q170" s="3">
        <v>0.42</v>
      </c>
      <c r="R170" s="3" t="s">
        <v>13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89</v>
      </c>
      <c r="C171" s="3" t="s">
        <v>126</v>
      </c>
      <c r="D171" s="3"/>
      <c r="E171" s="3" t="s">
        <v>126</v>
      </c>
      <c r="F171" s="3"/>
      <c r="G171" s="3"/>
      <c r="H171" s="3"/>
      <c r="I171" s="3"/>
      <c r="J171" s="3"/>
      <c r="K171" s="3"/>
      <c r="L171" s="3" t="s">
        <v>90</v>
      </c>
      <c r="M171" s="3">
        <v>130</v>
      </c>
      <c r="N171" s="3" t="s">
        <v>150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16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89</v>
      </c>
      <c r="C172" s="3" t="s">
        <v>126</v>
      </c>
      <c r="D172" s="3"/>
      <c r="E172" s="3" t="s">
        <v>126</v>
      </c>
      <c r="F172" s="3"/>
      <c r="G172" s="3"/>
      <c r="H172" s="3"/>
      <c r="I172" s="3"/>
      <c r="J172" s="3"/>
      <c r="K172" s="3"/>
      <c r="L172" s="3" t="s">
        <v>90</v>
      </c>
      <c r="M172" s="3">
        <v>140</v>
      </c>
      <c r="N172" s="3" t="s">
        <v>151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127</v>
      </c>
      <c r="D173" s="3"/>
      <c r="E173" s="3" t="s">
        <v>127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152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89</v>
      </c>
      <c r="C174" s="3" t="s">
        <v>127</v>
      </c>
      <c r="D174" s="3"/>
      <c r="E174" s="3" t="s">
        <v>127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99</v>
      </c>
      <c r="O174" s="3"/>
      <c r="P174" s="3"/>
      <c r="Q174" s="3">
        <v>1.5489999999999999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89</v>
      </c>
      <c r="C175" s="3" t="s">
        <v>127</v>
      </c>
      <c r="D175" s="3"/>
      <c r="E175" s="3" t="s">
        <v>127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125</v>
      </c>
      <c r="O175" s="3"/>
      <c r="P175" s="3"/>
      <c r="Q175" s="3">
        <v>1.5489999999999999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89</v>
      </c>
      <c r="C176" s="3" t="s">
        <v>127</v>
      </c>
      <c r="D176" s="3"/>
      <c r="E176" s="3" t="s">
        <v>127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0.746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89</v>
      </c>
      <c r="C177" s="3" t="s">
        <v>127</v>
      </c>
      <c r="D177" s="3"/>
      <c r="E177" s="3" t="s">
        <v>127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18</v>
      </c>
      <c r="O177" s="3"/>
      <c r="P177" s="3"/>
      <c r="Q177" s="3">
        <v>108.509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89</v>
      </c>
      <c r="C178" s="3" t="s">
        <v>127</v>
      </c>
      <c r="D178" s="3"/>
      <c r="E178" s="3" t="s">
        <v>127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100</v>
      </c>
      <c r="O178" s="3"/>
      <c r="P178" s="3"/>
      <c r="Q178" s="3">
        <v>27.635000000000002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89</v>
      </c>
      <c r="C179" s="3" t="s">
        <v>127</v>
      </c>
      <c r="D179" s="3"/>
      <c r="E179" s="3" t="s">
        <v>127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101</v>
      </c>
      <c r="O179" s="3"/>
      <c r="P179" s="3"/>
      <c r="Q179" s="3">
        <v>169.95599999999999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89</v>
      </c>
      <c r="C180" s="3" t="s">
        <v>127</v>
      </c>
      <c r="D180" s="3"/>
      <c r="E180" s="3" t="s">
        <v>127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107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89</v>
      </c>
      <c r="C181" s="3" t="s">
        <v>127</v>
      </c>
      <c r="D181" s="3"/>
      <c r="E181" s="3" t="s">
        <v>127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89</v>
      </c>
      <c r="C182" s="3" t="s">
        <v>127</v>
      </c>
      <c r="D182" s="3"/>
      <c r="E182" s="3" t="s">
        <v>127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89</v>
      </c>
      <c r="C183" s="3" t="s">
        <v>127</v>
      </c>
      <c r="D183" s="3"/>
      <c r="E183" s="3" t="s">
        <v>127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23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89</v>
      </c>
      <c r="C184" s="3" t="s">
        <v>127</v>
      </c>
      <c r="D184" s="3"/>
      <c r="E184" s="3" t="s">
        <v>127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112</v>
      </c>
      <c r="O184" s="3"/>
      <c r="P184" s="3"/>
      <c r="Q184" s="3">
        <v>0.51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89</v>
      </c>
      <c r="C185" s="3" t="s">
        <v>127</v>
      </c>
      <c r="D185" s="3"/>
      <c r="E185" s="3" t="s">
        <v>127</v>
      </c>
      <c r="F185" s="3"/>
      <c r="G185" s="3"/>
      <c r="H185" s="3"/>
      <c r="I185" s="3"/>
      <c r="J185" s="3"/>
      <c r="K185" s="3"/>
      <c r="L185" s="3" t="s">
        <v>90</v>
      </c>
      <c r="M185" s="3">
        <v>130</v>
      </c>
      <c r="N185" s="3" t="s">
        <v>153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89</v>
      </c>
      <c r="C186" s="3" t="s">
        <v>127</v>
      </c>
      <c r="D186" s="3"/>
      <c r="E186" s="3" t="s">
        <v>127</v>
      </c>
      <c r="F186" s="3"/>
      <c r="G186" s="3"/>
      <c r="H186" s="3"/>
      <c r="I186" s="3"/>
      <c r="J186" s="3"/>
      <c r="K186" s="3"/>
      <c r="L186" s="3" t="s">
        <v>90</v>
      </c>
      <c r="M186" s="3">
        <v>140</v>
      </c>
      <c r="N186" s="3" t="s">
        <v>154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89</v>
      </c>
      <c r="C187" s="3" t="s">
        <v>128</v>
      </c>
      <c r="D187" s="3"/>
      <c r="E187" s="3" t="s">
        <v>128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155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89</v>
      </c>
      <c r="C188" s="3" t="s">
        <v>128</v>
      </c>
      <c r="D188" s="3"/>
      <c r="E188" s="3" t="s">
        <v>128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99</v>
      </c>
      <c r="O188" s="3"/>
      <c r="P188" s="3"/>
      <c r="Q188" s="3">
        <v>1.8540000000000001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89</v>
      </c>
      <c r="C189" s="3" t="s">
        <v>128</v>
      </c>
      <c r="D189" s="3"/>
      <c r="E189" s="3" t="s">
        <v>128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125</v>
      </c>
      <c r="O189" s="3"/>
      <c r="P189" s="3"/>
      <c r="Q189" s="3">
        <v>1.8540000000000001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89</v>
      </c>
      <c r="C190" s="3" t="s">
        <v>128</v>
      </c>
      <c r="D190" s="3"/>
      <c r="E190" s="3" t="s">
        <v>128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0.90900000000000003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89</v>
      </c>
      <c r="C191" s="3" t="s">
        <v>128</v>
      </c>
      <c r="D191" s="3"/>
      <c r="E191" s="3" t="s">
        <v>128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118.262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89</v>
      </c>
      <c r="C192" s="3" t="s">
        <v>128</v>
      </c>
      <c r="D192" s="3"/>
      <c r="E192" s="3" t="s">
        <v>128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100</v>
      </c>
      <c r="O192" s="3"/>
      <c r="P192" s="3"/>
      <c r="Q192" s="3">
        <v>30.074000000000002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89</v>
      </c>
      <c r="C193" s="3" t="s">
        <v>128</v>
      </c>
      <c r="D193" s="3"/>
      <c r="E193" s="3" t="s">
        <v>128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101</v>
      </c>
      <c r="O193" s="3"/>
      <c r="P193" s="3"/>
      <c r="Q193" s="3">
        <v>184.953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89</v>
      </c>
      <c r="C194" s="3" t="s">
        <v>128</v>
      </c>
      <c r="D194" s="3"/>
      <c r="E194" s="3" t="s">
        <v>128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107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89</v>
      </c>
      <c r="C195" s="3" t="s">
        <v>128</v>
      </c>
      <c r="D195" s="3"/>
      <c r="E195" s="3" t="s">
        <v>128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89</v>
      </c>
      <c r="C196" s="3" t="s">
        <v>128</v>
      </c>
      <c r="D196" s="3"/>
      <c r="E196" s="3" t="s">
        <v>128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89</v>
      </c>
      <c r="C197" s="3" t="s">
        <v>128</v>
      </c>
      <c r="D197" s="3"/>
      <c r="E197" s="3" t="s">
        <v>128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89</v>
      </c>
      <c r="C198" s="3" t="s">
        <v>128</v>
      </c>
      <c r="D198" s="3"/>
      <c r="E198" s="3" t="s">
        <v>128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112</v>
      </c>
      <c r="O198" s="3"/>
      <c r="P198" s="3"/>
      <c r="Q198" s="3">
        <v>0.60099999999999998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89</v>
      </c>
      <c r="C199" s="3" t="s">
        <v>128</v>
      </c>
      <c r="D199" s="3"/>
      <c r="E199" s="3" t="s">
        <v>128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156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89</v>
      </c>
      <c r="C200" s="3" t="s">
        <v>128</v>
      </c>
      <c r="D200" s="3"/>
      <c r="E200" s="3" t="s">
        <v>128</v>
      </c>
      <c r="F200" s="3"/>
      <c r="G200" s="3"/>
      <c r="H200" s="3"/>
      <c r="I200" s="3"/>
      <c r="J200" s="3"/>
      <c r="K200" s="3"/>
      <c r="L200" s="3" t="s">
        <v>90</v>
      </c>
      <c r="M200" s="3">
        <v>140</v>
      </c>
      <c r="N200" s="3" t="s">
        <v>157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89</v>
      </c>
      <c r="C201" s="3" t="s">
        <v>129</v>
      </c>
      <c r="D201" s="3"/>
      <c r="E201" s="3" t="s">
        <v>129</v>
      </c>
      <c r="F201" s="3"/>
      <c r="G201" s="3"/>
      <c r="H201" s="3"/>
      <c r="I201" s="3"/>
      <c r="J201" s="3"/>
      <c r="K201" s="3"/>
      <c r="L201" s="3" t="s">
        <v>90</v>
      </c>
      <c r="M201" s="3">
        <v>10</v>
      </c>
      <c r="N201" s="3" t="s">
        <v>158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89</v>
      </c>
      <c r="C202" s="3" t="s">
        <v>129</v>
      </c>
      <c r="D202" s="3"/>
      <c r="E202" s="3" t="s">
        <v>129</v>
      </c>
      <c r="F202" s="3"/>
      <c r="G202" s="3"/>
      <c r="H202" s="3"/>
      <c r="I202" s="3"/>
      <c r="J202" s="3"/>
      <c r="K202" s="3"/>
      <c r="L202" s="3" t="s">
        <v>90</v>
      </c>
      <c r="M202" s="3">
        <v>20</v>
      </c>
      <c r="N202" s="3" t="s">
        <v>99</v>
      </c>
      <c r="O202" s="3"/>
      <c r="P202" s="3"/>
      <c r="Q202" s="3">
        <v>0.94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89</v>
      </c>
      <c r="C203" s="3" t="s">
        <v>129</v>
      </c>
      <c r="D203" s="3"/>
      <c r="E203" s="3" t="s">
        <v>129</v>
      </c>
      <c r="F203" s="3"/>
      <c r="G203" s="3"/>
      <c r="H203" s="3"/>
      <c r="I203" s="3"/>
      <c r="J203" s="3"/>
      <c r="K203" s="3"/>
      <c r="L203" s="3" t="s">
        <v>90</v>
      </c>
      <c r="M203" s="3">
        <v>30</v>
      </c>
      <c r="N203" s="3" t="s">
        <v>125</v>
      </c>
      <c r="O203" s="3"/>
      <c r="P203" s="3"/>
      <c r="Q203" s="3">
        <v>0.94</v>
      </c>
      <c r="R203" s="3" t="s">
        <v>15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89</v>
      </c>
      <c r="C204" s="3" t="s">
        <v>129</v>
      </c>
      <c r="D204" s="3"/>
      <c r="E204" s="3" t="s">
        <v>129</v>
      </c>
      <c r="F204" s="3"/>
      <c r="G204" s="3"/>
      <c r="H204" s="3"/>
      <c r="I204" s="3"/>
      <c r="J204" s="3"/>
      <c r="K204" s="3"/>
      <c r="L204" s="3" t="s">
        <v>90</v>
      </c>
      <c r="M204" s="3">
        <v>40</v>
      </c>
      <c r="N204" s="3" t="s">
        <v>105</v>
      </c>
      <c r="O204" s="3"/>
      <c r="P204" s="3"/>
      <c r="Q204" s="3">
        <v>0.439</v>
      </c>
      <c r="R204" s="3" t="s">
        <v>106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89</v>
      </c>
      <c r="C205" s="3" t="s">
        <v>129</v>
      </c>
      <c r="D205" s="3"/>
      <c r="E205" s="3" t="s">
        <v>129</v>
      </c>
      <c r="F205" s="3"/>
      <c r="G205" s="3"/>
      <c r="H205" s="3"/>
      <c r="I205" s="3"/>
      <c r="J205" s="3"/>
      <c r="K205" s="3"/>
      <c r="L205" s="3" t="s">
        <v>90</v>
      </c>
      <c r="M205" s="3">
        <v>50</v>
      </c>
      <c r="N205" s="3" t="s">
        <v>18</v>
      </c>
      <c r="O205" s="3"/>
      <c r="P205" s="3"/>
      <c r="Q205" s="3">
        <v>91.44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89</v>
      </c>
      <c r="C206" s="3" t="s">
        <v>129</v>
      </c>
      <c r="D206" s="3"/>
      <c r="E206" s="3" t="s">
        <v>129</v>
      </c>
      <c r="F206" s="3"/>
      <c r="G206" s="3"/>
      <c r="H206" s="3"/>
      <c r="I206" s="3"/>
      <c r="J206" s="3"/>
      <c r="K206" s="3"/>
      <c r="L206" s="3" t="s">
        <v>90</v>
      </c>
      <c r="M206" s="3">
        <v>60</v>
      </c>
      <c r="N206" s="3" t="s">
        <v>100</v>
      </c>
      <c r="O206" s="3"/>
      <c r="P206" s="3"/>
      <c r="Q206" s="3">
        <v>23.367999999999999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89</v>
      </c>
      <c r="C207" s="3" t="s">
        <v>129</v>
      </c>
      <c r="D207" s="3"/>
      <c r="E207" s="3" t="s">
        <v>129</v>
      </c>
      <c r="F207" s="3"/>
      <c r="G207" s="3"/>
      <c r="H207" s="3"/>
      <c r="I207" s="3"/>
      <c r="J207" s="3"/>
      <c r="K207" s="3"/>
      <c r="L207" s="3" t="s">
        <v>90</v>
      </c>
      <c r="M207" s="3">
        <v>70</v>
      </c>
      <c r="N207" s="3" t="s">
        <v>101</v>
      </c>
      <c r="O207" s="3"/>
      <c r="P207" s="3"/>
      <c r="Q207" s="3">
        <v>143.71299999999999</v>
      </c>
      <c r="R207" s="3" t="s">
        <v>15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89</v>
      </c>
      <c r="C208" s="3" t="s">
        <v>129</v>
      </c>
      <c r="D208" s="3"/>
      <c r="E208" s="3" t="s">
        <v>129</v>
      </c>
      <c r="F208" s="3"/>
      <c r="G208" s="3"/>
      <c r="H208" s="3"/>
      <c r="I208" s="3"/>
      <c r="J208" s="3"/>
      <c r="K208" s="3"/>
      <c r="L208" s="3" t="s">
        <v>90</v>
      </c>
      <c r="M208" s="3">
        <v>80</v>
      </c>
      <c r="N208" s="3" t="s">
        <v>107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89</v>
      </c>
      <c r="C209" s="3" t="s">
        <v>129</v>
      </c>
      <c r="D209" s="3"/>
      <c r="E209" s="3" t="s">
        <v>129</v>
      </c>
      <c r="F209" s="3"/>
      <c r="G209" s="3"/>
      <c r="H209" s="3"/>
      <c r="I209" s="3"/>
      <c r="J209" s="3"/>
      <c r="K209" s="3"/>
      <c r="L209" s="3" t="s">
        <v>90</v>
      </c>
      <c r="M209" s="3">
        <v>90</v>
      </c>
      <c r="N209" s="3" t="s">
        <v>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89</v>
      </c>
      <c r="C210" s="3" t="s">
        <v>129</v>
      </c>
      <c r="D210" s="3"/>
      <c r="E210" s="3" t="s">
        <v>129</v>
      </c>
      <c r="F210" s="3"/>
      <c r="G210" s="3"/>
      <c r="H210" s="3"/>
      <c r="I210" s="3"/>
      <c r="J210" s="3"/>
      <c r="K210" s="3"/>
      <c r="L210" s="3" t="s">
        <v>90</v>
      </c>
      <c r="M210" s="3">
        <v>100</v>
      </c>
      <c r="N210" s="3" t="s">
        <v>22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89</v>
      </c>
      <c r="C211" s="3" t="s">
        <v>129</v>
      </c>
      <c r="D211" s="3"/>
      <c r="E211" s="3" t="s">
        <v>129</v>
      </c>
      <c r="F211" s="3"/>
      <c r="G211" s="3"/>
      <c r="H211" s="3"/>
      <c r="I211" s="3"/>
      <c r="J211" s="3"/>
      <c r="K211" s="3"/>
      <c r="L211" s="3" t="s">
        <v>90</v>
      </c>
      <c r="M211" s="3">
        <v>110</v>
      </c>
      <c r="N211" s="3" t="s">
        <v>23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89</v>
      </c>
      <c r="C212" s="3" t="s">
        <v>129</v>
      </c>
      <c r="D212" s="3"/>
      <c r="E212" s="3" t="s">
        <v>129</v>
      </c>
      <c r="F212" s="3"/>
      <c r="G212" s="3"/>
      <c r="H212" s="3"/>
      <c r="I212" s="3"/>
      <c r="J212" s="3"/>
      <c r="K212" s="3"/>
      <c r="L212" s="3" t="s">
        <v>90</v>
      </c>
      <c r="M212" s="3">
        <v>120</v>
      </c>
      <c r="N212" s="3" t="s">
        <v>112</v>
      </c>
      <c r="O212" s="3"/>
      <c r="P212" s="3"/>
      <c r="Q212" s="3">
        <v>0.33</v>
      </c>
      <c r="R212" s="3" t="s">
        <v>13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89</v>
      </c>
      <c r="C213" s="3" t="s">
        <v>129</v>
      </c>
      <c r="D213" s="3"/>
      <c r="E213" s="3" t="s">
        <v>129</v>
      </c>
      <c r="F213" s="3"/>
      <c r="G213" s="3"/>
      <c r="H213" s="3"/>
      <c r="I213" s="3"/>
      <c r="J213" s="3"/>
      <c r="K213" s="3"/>
      <c r="L213" s="3" t="s">
        <v>90</v>
      </c>
      <c r="M213" s="3">
        <v>130</v>
      </c>
      <c r="N213" s="3" t="s">
        <v>159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89</v>
      </c>
      <c r="C214" s="3" t="s">
        <v>129</v>
      </c>
      <c r="D214" s="3"/>
      <c r="E214" s="3" t="s">
        <v>129</v>
      </c>
      <c r="F214" s="3"/>
      <c r="G214" s="3"/>
      <c r="H214" s="3"/>
      <c r="I214" s="3"/>
      <c r="J214" s="3"/>
      <c r="K214" s="3"/>
      <c r="L214" s="3" t="s">
        <v>90</v>
      </c>
      <c r="M214" s="3">
        <v>140</v>
      </c>
      <c r="N214" s="3" t="s">
        <v>160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89</v>
      </c>
      <c r="C215" s="3" t="s">
        <v>130</v>
      </c>
      <c r="D215" s="3"/>
      <c r="E215" s="3" t="s">
        <v>130</v>
      </c>
      <c r="F215" s="3"/>
      <c r="G215" s="3"/>
      <c r="H215" s="3"/>
      <c r="I215" s="3"/>
      <c r="J215" s="3"/>
      <c r="K215" s="3"/>
      <c r="L215" s="3" t="s">
        <v>90</v>
      </c>
      <c r="M215" s="3">
        <v>10</v>
      </c>
      <c r="N215" s="3" t="s">
        <v>161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89</v>
      </c>
      <c r="C216" s="3" t="s">
        <v>130</v>
      </c>
      <c r="D216" s="3"/>
      <c r="E216" s="3" t="s">
        <v>130</v>
      </c>
      <c r="F216" s="3"/>
      <c r="G216" s="3"/>
      <c r="H216" s="3"/>
      <c r="I216" s="3"/>
      <c r="J216" s="3"/>
      <c r="K216" s="3"/>
      <c r="L216" s="3" t="s">
        <v>90</v>
      </c>
      <c r="M216" s="3">
        <v>20</v>
      </c>
      <c r="N216" s="3" t="s">
        <v>99</v>
      </c>
      <c r="O216" s="3"/>
      <c r="P216" s="3"/>
      <c r="Q216" s="3">
        <v>1.2450000000000001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89</v>
      </c>
      <c r="C217" s="3" t="s">
        <v>130</v>
      </c>
      <c r="D217" s="3"/>
      <c r="E217" s="3" t="s">
        <v>130</v>
      </c>
      <c r="F217" s="3"/>
      <c r="G217" s="3"/>
      <c r="H217" s="3"/>
      <c r="I217" s="3"/>
      <c r="J217" s="3"/>
      <c r="K217" s="3"/>
      <c r="L217" s="3" t="s">
        <v>90</v>
      </c>
      <c r="M217" s="3">
        <v>30</v>
      </c>
      <c r="N217" s="3" t="s">
        <v>125</v>
      </c>
      <c r="O217" s="3"/>
      <c r="P217" s="3"/>
      <c r="Q217" s="3">
        <v>1.2450000000000001</v>
      </c>
      <c r="R217" s="3" t="s">
        <v>15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89</v>
      </c>
      <c r="C218" s="3" t="s">
        <v>130</v>
      </c>
      <c r="D218" s="3"/>
      <c r="E218" s="3" t="s">
        <v>130</v>
      </c>
      <c r="F218" s="3"/>
      <c r="G218" s="3"/>
      <c r="H218" s="3"/>
      <c r="I218" s="3"/>
      <c r="J218" s="3"/>
      <c r="K218" s="3"/>
      <c r="L218" s="3" t="s">
        <v>90</v>
      </c>
      <c r="M218" s="3">
        <v>40</v>
      </c>
      <c r="N218" s="3" t="s">
        <v>105</v>
      </c>
      <c r="O218" s="3"/>
      <c r="P218" s="3"/>
      <c r="Q218" s="3">
        <v>0.61</v>
      </c>
      <c r="R218" s="3" t="s">
        <v>106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89</v>
      </c>
      <c r="C219" s="3" t="s">
        <v>130</v>
      </c>
      <c r="D219" s="3"/>
      <c r="E219" s="3" t="s">
        <v>130</v>
      </c>
      <c r="F219" s="3"/>
      <c r="G219" s="3"/>
      <c r="H219" s="3"/>
      <c r="I219" s="3"/>
      <c r="J219" s="3"/>
      <c r="K219" s="3"/>
      <c r="L219" s="3" t="s">
        <v>90</v>
      </c>
      <c r="M219" s="3">
        <v>50</v>
      </c>
      <c r="N219" s="3" t="s">
        <v>18</v>
      </c>
      <c r="O219" s="3"/>
      <c r="P219" s="3"/>
      <c r="Q219" s="3">
        <v>101.194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89</v>
      </c>
      <c r="C220" s="3" t="s">
        <v>130</v>
      </c>
      <c r="D220" s="3"/>
      <c r="E220" s="3" t="s">
        <v>130</v>
      </c>
      <c r="F220" s="3"/>
      <c r="G220" s="3"/>
      <c r="H220" s="3"/>
      <c r="I220" s="3"/>
      <c r="J220" s="3"/>
      <c r="K220" s="3"/>
      <c r="L220" s="3" t="s">
        <v>90</v>
      </c>
      <c r="M220" s="3">
        <v>60</v>
      </c>
      <c r="N220" s="3" t="s">
        <v>100</v>
      </c>
      <c r="O220" s="3"/>
      <c r="P220" s="3"/>
      <c r="Q220" s="3">
        <v>25.806000000000001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89</v>
      </c>
      <c r="C221" s="3" t="s">
        <v>130</v>
      </c>
      <c r="D221" s="3"/>
      <c r="E221" s="3" t="s">
        <v>130</v>
      </c>
      <c r="F221" s="3"/>
      <c r="G221" s="3"/>
      <c r="H221" s="3"/>
      <c r="I221" s="3"/>
      <c r="J221" s="3"/>
      <c r="K221" s="3"/>
      <c r="L221" s="3" t="s">
        <v>90</v>
      </c>
      <c r="M221" s="3">
        <v>70</v>
      </c>
      <c r="N221" s="3" t="s">
        <v>101</v>
      </c>
      <c r="O221" s="3"/>
      <c r="P221" s="3"/>
      <c r="Q221" s="3">
        <v>158.709</v>
      </c>
      <c r="R221" s="3" t="s">
        <v>15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89</v>
      </c>
      <c r="C222" s="3" t="s">
        <v>130</v>
      </c>
      <c r="D222" s="3"/>
      <c r="E222" s="3" t="s">
        <v>130</v>
      </c>
      <c r="F222" s="3"/>
      <c r="G222" s="3"/>
      <c r="H222" s="3"/>
      <c r="I222" s="3"/>
      <c r="J222" s="3"/>
      <c r="K222" s="3"/>
      <c r="L222" s="3" t="s">
        <v>90</v>
      </c>
      <c r="M222" s="3">
        <v>80</v>
      </c>
      <c r="N222" s="3" t="s">
        <v>107</v>
      </c>
      <c r="O222" s="3"/>
      <c r="P222" s="3"/>
      <c r="Q222" s="3">
        <v>4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89</v>
      </c>
      <c r="C223" s="3" t="s">
        <v>130</v>
      </c>
      <c r="D223" s="3"/>
      <c r="E223" s="3" t="s">
        <v>130</v>
      </c>
      <c r="F223" s="3"/>
      <c r="G223" s="3"/>
      <c r="H223" s="3"/>
      <c r="I223" s="3"/>
      <c r="J223" s="3"/>
      <c r="K223" s="3"/>
      <c r="L223" s="3" t="s">
        <v>90</v>
      </c>
      <c r="M223" s="3">
        <v>90</v>
      </c>
      <c r="N223" s="3" t="s">
        <v>21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89</v>
      </c>
      <c r="C224" s="3" t="s">
        <v>130</v>
      </c>
      <c r="D224" s="3"/>
      <c r="E224" s="3" t="s">
        <v>130</v>
      </c>
      <c r="F224" s="3"/>
      <c r="G224" s="3"/>
      <c r="H224" s="3"/>
      <c r="I224" s="3"/>
      <c r="J224" s="3"/>
      <c r="K224" s="3"/>
      <c r="L224" s="3" t="s">
        <v>90</v>
      </c>
      <c r="M224" s="3">
        <v>100</v>
      </c>
      <c r="N224" s="3" t="s">
        <v>22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89</v>
      </c>
      <c r="C225" s="3" t="s">
        <v>130</v>
      </c>
      <c r="D225" s="3"/>
      <c r="E225" s="3" t="s">
        <v>130</v>
      </c>
      <c r="F225" s="3"/>
      <c r="G225" s="3"/>
      <c r="H225" s="3"/>
      <c r="I225" s="3"/>
      <c r="J225" s="3"/>
      <c r="K225" s="3"/>
      <c r="L225" s="3" t="s">
        <v>90</v>
      </c>
      <c r="M225" s="3">
        <v>110</v>
      </c>
      <c r="N225" s="3" t="s">
        <v>23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89</v>
      </c>
      <c r="C226" s="3" t="s">
        <v>130</v>
      </c>
      <c r="D226" s="3"/>
      <c r="E226" s="3" t="s">
        <v>130</v>
      </c>
      <c r="F226" s="3"/>
      <c r="G226" s="3"/>
      <c r="H226" s="3"/>
      <c r="I226" s="3"/>
      <c r="J226" s="3"/>
      <c r="K226" s="3"/>
      <c r="L226" s="3" t="s">
        <v>90</v>
      </c>
      <c r="M226" s="3">
        <v>120</v>
      </c>
      <c r="N226" s="3" t="s">
        <v>112</v>
      </c>
      <c r="O226" s="3"/>
      <c r="P226" s="3"/>
      <c r="Q226" s="3">
        <v>0.42</v>
      </c>
      <c r="R226" s="3" t="s">
        <v>13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89</v>
      </c>
      <c r="C227" s="3" t="s">
        <v>130</v>
      </c>
      <c r="D227" s="3"/>
      <c r="E227" s="3" t="s">
        <v>130</v>
      </c>
      <c r="F227" s="3"/>
      <c r="G227" s="3"/>
      <c r="H227" s="3"/>
      <c r="I227" s="3"/>
      <c r="J227" s="3"/>
      <c r="K227" s="3"/>
      <c r="L227" s="3" t="s">
        <v>90</v>
      </c>
      <c r="M227" s="3">
        <v>130</v>
      </c>
      <c r="N227" s="3" t="s">
        <v>162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89</v>
      </c>
      <c r="C228" s="3" t="s">
        <v>130</v>
      </c>
      <c r="D228" s="3"/>
      <c r="E228" s="3" t="s">
        <v>130</v>
      </c>
      <c r="F228" s="3"/>
      <c r="G228" s="3"/>
      <c r="H228" s="3"/>
      <c r="I228" s="3"/>
      <c r="J228" s="3"/>
      <c r="K228" s="3"/>
      <c r="L228" s="3" t="s">
        <v>90</v>
      </c>
      <c r="M228" s="3">
        <v>140</v>
      </c>
      <c r="N228" s="3" t="s">
        <v>163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89</v>
      </c>
      <c r="C229" s="3" t="s">
        <v>131</v>
      </c>
      <c r="D229" s="3"/>
      <c r="E229" s="3" t="s">
        <v>131</v>
      </c>
      <c r="F229" s="3"/>
      <c r="G229" s="3"/>
      <c r="H229" s="3"/>
      <c r="I229" s="3"/>
      <c r="J229" s="3"/>
      <c r="K229" s="3"/>
      <c r="L229" s="3" t="s">
        <v>90</v>
      </c>
      <c r="M229" s="3">
        <v>10</v>
      </c>
      <c r="N229" s="3" t="s">
        <v>164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89</v>
      </c>
      <c r="C230" s="3" t="s">
        <v>131</v>
      </c>
      <c r="D230" s="3"/>
      <c r="E230" s="3" t="s">
        <v>131</v>
      </c>
      <c r="F230" s="3"/>
      <c r="G230" s="3"/>
      <c r="H230" s="3"/>
      <c r="I230" s="3"/>
      <c r="J230" s="3"/>
      <c r="K230" s="3"/>
      <c r="L230" s="3" t="s">
        <v>90</v>
      </c>
      <c r="M230" s="3">
        <v>20</v>
      </c>
      <c r="N230" s="3" t="s">
        <v>99</v>
      </c>
      <c r="O230" s="3"/>
      <c r="P230" s="3"/>
      <c r="Q230" s="3">
        <v>1.5489999999999999</v>
      </c>
      <c r="R230" s="3" t="s">
        <v>15</v>
      </c>
      <c r="S230" s="3"/>
      <c r="T230" s="3">
        <v>10</v>
      </c>
      <c r="U230" s="3"/>
      <c r="V230" s="3" t="s">
        <v>16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89</v>
      </c>
      <c r="C231" s="3" t="s">
        <v>131</v>
      </c>
      <c r="D231" s="3"/>
      <c r="E231" s="3" t="s">
        <v>131</v>
      </c>
      <c r="F231" s="3"/>
      <c r="G231" s="3"/>
      <c r="H231" s="3"/>
      <c r="I231" s="3"/>
      <c r="J231" s="3"/>
      <c r="K231" s="3"/>
      <c r="L231" s="3" t="s">
        <v>90</v>
      </c>
      <c r="M231" s="3">
        <v>30</v>
      </c>
      <c r="N231" s="3" t="s">
        <v>125</v>
      </c>
      <c r="O231" s="3"/>
      <c r="P231" s="3"/>
      <c r="Q231" s="3">
        <v>1.5489999999999999</v>
      </c>
      <c r="R231" s="3" t="s">
        <v>15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89</v>
      </c>
      <c r="C232" s="3" t="s">
        <v>131</v>
      </c>
      <c r="D232" s="3"/>
      <c r="E232" s="3" t="s">
        <v>131</v>
      </c>
      <c r="F232" s="3"/>
      <c r="G232" s="3"/>
      <c r="H232" s="3"/>
      <c r="I232" s="3"/>
      <c r="J232" s="3"/>
      <c r="K232" s="3"/>
      <c r="L232" s="3" t="s">
        <v>90</v>
      </c>
      <c r="M232" s="3">
        <v>40</v>
      </c>
      <c r="N232" s="3" t="s">
        <v>105</v>
      </c>
      <c r="O232" s="3"/>
      <c r="P232" s="3"/>
      <c r="Q232" s="3">
        <v>0.78</v>
      </c>
      <c r="R232" s="3" t="s">
        <v>106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89</v>
      </c>
      <c r="C233" s="3" t="s">
        <v>131</v>
      </c>
      <c r="D233" s="3"/>
      <c r="E233" s="3" t="s">
        <v>131</v>
      </c>
      <c r="F233" s="3"/>
      <c r="G233" s="3"/>
      <c r="H233" s="3"/>
      <c r="I233" s="3"/>
      <c r="J233" s="3"/>
      <c r="K233" s="3"/>
      <c r="L233" s="3" t="s">
        <v>90</v>
      </c>
      <c r="M233" s="3">
        <v>50</v>
      </c>
      <c r="N233" s="3" t="s">
        <v>18</v>
      </c>
      <c r="O233" s="3"/>
      <c r="P233" s="3"/>
      <c r="Q233" s="3">
        <v>110.947</v>
      </c>
      <c r="R233" s="3" t="s">
        <v>15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89</v>
      </c>
      <c r="C234" s="3" t="s">
        <v>131</v>
      </c>
      <c r="D234" s="3"/>
      <c r="E234" s="3" t="s">
        <v>131</v>
      </c>
      <c r="F234" s="3"/>
      <c r="G234" s="3"/>
      <c r="H234" s="3"/>
      <c r="I234" s="3"/>
      <c r="J234" s="3"/>
      <c r="K234" s="3"/>
      <c r="L234" s="3" t="s">
        <v>90</v>
      </c>
      <c r="M234" s="3">
        <v>60</v>
      </c>
      <c r="N234" s="3" t="s">
        <v>100</v>
      </c>
      <c r="O234" s="3"/>
      <c r="P234" s="3"/>
      <c r="Q234" s="3">
        <v>28.245000000000001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89</v>
      </c>
      <c r="C235" s="3" t="s">
        <v>131</v>
      </c>
      <c r="D235" s="3"/>
      <c r="E235" s="3" t="s">
        <v>131</v>
      </c>
      <c r="F235" s="3"/>
      <c r="G235" s="3"/>
      <c r="H235" s="3"/>
      <c r="I235" s="3"/>
      <c r="J235" s="3"/>
      <c r="K235" s="3"/>
      <c r="L235" s="3" t="s">
        <v>90</v>
      </c>
      <c r="M235" s="3">
        <v>70</v>
      </c>
      <c r="N235" s="3" t="s">
        <v>101</v>
      </c>
      <c r="O235" s="3"/>
      <c r="P235" s="3"/>
      <c r="Q235" s="3">
        <v>173.70599999999999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89</v>
      </c>
      <c r="C236" s="3" t="s">
        <v>131</v>
      </c>
      <c r="D236" s="3"/>
      <c r="E236" s="3" t="s">
        <v>131</v>
      </c>
      <c r="F236" s="3"/>
      <c r="G236" s="3"/>
      <c r="H236" s="3"/>
      <c r="I236" s="3"/>
      <c r="J236" s="3"/>
      <c r="K236" s="3"/>
      <c r="L236" s="3" t="s">
        <v>90</v>
      </c>
      <c r="M236" s="3">
        <v>80</v>
      </c>
      <c r="N236" s="3" t="s">
        <v>107</v>
      </c>
      <c r="O236" s="3"/>
      <c r="P236" s="3"/>
      <c r="Q236" s="3">
        <v>4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89</v>
      </c>
      <c r="C237" s="3" t="s">
        <v>131</v>
      </c>
      <c r="D237" s="3"/>
      <c r="E237" s="3" t="s">
        <v>131</v>
      </c>
      <c r="F237" s="3"/>
      <c r="G237" s="3"/>
      <c r="H237" s="3"/>
      <c r="I237" s="3"/>
      <c r="J237" s="3"/>
      <c r="K237" s="3"/>
      <c r="L237" s="3" t="s">
        <v>90</v>
      </c>
      <c r="M237" s="3">
        <v>90</v>
      </c>
      <c r="N237" s="3" t="s">
        <v>21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89</v>
      </c>
      <c r="C238" s="3" t="s">
        <v>131</v>
      </c>
      <c r="D238" s="3"/>
      <c r="E238" s="3" t="s">
        <v>131</v>
      </c>
      <c r="F238" s="3"/>
      <c r="G238" s="3"/>
      <c r="H238" s="3"/>
      <c r="I238" s="3"/>
      <c r="J238" s="3"/>
      <c r="K238" s="3"/>
      <c r="L238" s="3" t="s">
        <v>90</v>
      </c>
      <c r="M238" s="3">
        <v>100</v>
      </c>
      <c r="N238" s="3" t="s">
        <v>22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89</v>
      </c>
      <c r="C239" s="3" t="s">
        <v>131</v>
      </c>
      <c r="D239" s="3"/>
      <c r="E239" s="3" t="s">
        <v>131</v>
      </c>
      <c r="F239" s="3"/>
      <c r="G239" s="3"/>
      <c r="H239" s="3"/>
      <c r="I239" s="3"/>
      <c r="J239" s="3"/>
      <c r="K239" s="3"/>
      <c r="L239" s="3" t="s">
        <v>90</v>
      </c>
      <c r="M239" s="3">
        <v>110</v>
      </c>
      <c r="N239" s="3" t="s">
        <v>23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89</v>
      </c>
      <c r="C240" s="3" t="s">
        <v>131</v>
      </c>
      <c r="D240" s="3"/>
      <c r="E240" s="3" t="s">
        <v>131</v>
      </c>
      <c r="F240" s="3"/>
      <c r="G240" s="3"/>
      <c r="H240" s="3"/>
      <c r="I240" s="3"/>
      <c r="J240" s="3"/>
      <c r="K240" s="3"/>
      <c r="L240" s="3" t="s">
        <v>90</v>
      </c>
      <c r="M240" s="3">
        <v>120</v>
      </c>
      <c r="N240" s="3" t="s">
        <v>112</v>
      </c>
      <c r="O240" s="3"/>
      <c r="P240" s="3"/>
      <c r="Q240" s="3">
        <v>0.51</v>
      </c>
      <c r="R240" s="3" t="s">
        <v>13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89</v>
      </c>
      <c r="C241" s="3" t="s">
        <v>131</v>
      </c>
      <c r="D241" s="3"/>
      <c r="E241" s="3" t="s">
        <v>131</v>
      </c>
      <c r="F241" s="3"/>
      <c r="G241" s="3"/>
      <c r="H241" s="3"/>
      <c r="I241" s="3"/>
      <c r="J241" s="3"/>
      <c r="K241" s="3"/>
      <c r="L241" s="3" t="s">
        <v>90</v>
      </c>
      <c r="M241" s="3">
        <v>130</v>
      </c>
      <c r="N241" s="3" t="s">
        <v>165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89</v>
      </c>
      <c r="C242" s="3" t="s">
        <v>131</v>
      </c>
      <c r="D242" s="3"/>
      <c r="E242" s="3" t="s">
        <v>131</v>
      </c>
      <c r="F242" s="3"/>
      <c r="G242" s="3"/>
      <c r="H242" s="3"/>
      <c r="I242" s="3"/>
      <c r="J242" s="3"/>
      <c r="K242" s="3"/>
      <c r="L242" s="3" t="s">
        <v>90</v>
      </c>
      <c r="M242" s="3">
        <v>140</v>
      </c>
      <c r="N242" s="3" t="s">
        <v>166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89</v>
      </c>
      <c r="C243" s="3" t="s">
        <v>132</v>
      </c>
      <c r="D243" s="3"/>
      <c r="E243" s="3" t="s">
        <v>132</v>
      </c>
      <c r="F243" s="3"/>
      <c r="G243" s="3"/>
      <c r="H243" s="3"/>
      <c r="I243" s="3"/>
      <c r="J243" s="3"/>
      <c r="K243" s="3"/>
      <c r="L243" s="3" t="s">
        <v>90</v>
      </c>
      <c r="M243" s="3">
        <v>10</v>
      </c>
      <c r="N243" s="3" t="s">
        <v>167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89</v>
      </c>
      <c r="C244" s="3" t="s">
        <v>132</v>
      </c>
      <c r="D244" s="3"/>
      <c r="E244" s="3" t="s">
        <v>132</v>
      </c>
      <c r="F244" s="3"/>
      <c r="G244" s="3"/>
      <c r="H244" s="3"/>
      <c r="I244" s="3"/>
      <c r="J244" s="3"/>
      <c r="K244" s="3"/>
      <c r="L244" s="3" t="s">
        <v>90</v>
      </c>
      <c r="M244" s="3">
        <v>20</v>
      </c>
      <c r="N244" s="3" t="s">
        <v>99</v>
      </c>
      <c r="O244" s="3"/>
      <c r="P244" s="3"/>
      <c r="Q244" s="3">
        <v>1.8540000000000001</v>
      </c>
      <c r="R244" s="3" t="s">
        <v>15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89</v>
      </c>
      <c r="C245" s="3" t="s">
        <v>132</v>
      </c>
      <c r="D245" s="3"/>
      <c r="E245" s="3" t="s">
        <v>132</v>
      </c>
      <c r="F245" s="3"/>
      <c r="G245" s="3"/>
      <c r="H245" s="3"/>
      <c r="I245" s="3"/>
      <c r="J245" s="3"/>
      <c r="K245" s="3"/>
      <c r="L245" s="3" t="s">
        <v>90</v>
      </c>
      <c r="M245" s="3">
        <v>30</v>
      </c>
      <c r="N245" s="3" t="s">
        <v>125</v>
      </c>
      <c r="O245" s="3"/>
      <c r="P245" s="3"/>
      <c r="Q245" s="3">
        <v>1.8540000000000001</v>
      </c>
      <c r="R245" s="3" t="s">
        <v>15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89</v>
      </c>
      <c r="C246" s="3" t="s">
        <v>132</v>
      </c>
      <c r="D246" s="3"/>
      <c r="E246" s="3" t="s">
        <v>132</v>
      </c>
      <c r="F246" s="3"/>
      <c r="G246" s="3"/>
      <c r="H246" s="3"/>
      <c r="I246" s="3"/>
      <c r="J246" s="3"/>
      <c r="K246" s="3"/>
      <c r="L246" s="3" t="s">
        <v>90</v>
      </c>
      <c r="M246" s="3">
        <v>40</v>
      </c>
      <c r="N246" s="3" t="s">
        <v>105</v>
      </c>
      <c r="O246" s="3"/>
      <c r="P246" s="3"/>
      <c r="Q246" s="3">
        <v>0.95</v>
      </c>
      <c r="R246" s="3" t="s">
        <v>106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89</v>
      </c>
      <c r="C247" s="3" t="s">
        <v>132</v>
      </c>
      <c r="D247" s="3"/>
      <c r="E247" s="3" t="s">
        <v>132</v>
      </c>
      <c r="F247" s="3"/>
      <c r="G247" s="3"/>
      <c r="H247" s="3"/>
      <c r="I247" s="3"/>
      <c r="J247" s="3"/>
      <c r="K247" s="3"/>
      <c r="L247" s="3" t="s">
        <v>90</v>
      </c>
      <c r="M247" s="3">
        <v>50</v>
      </c>
      <c r="N247" s="3" t="s">
        <v>18</v>
      </c>
      <c r="O247" s="3"/>
      <c r="P247" s="3"/>
      <c r="Q247" s="3">
        <v>120.70099999999999</v>
      </c>
      <c r="R247" s="3" t="s">
        <v>15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89</v>
      </c>
      <c r="C248" s="3" t="s">
        <v>132</v>
      </c>
      <c r="D248" s="3"/>
      <c r="E248" s="3" t="s">
        <v>132</v>
      </c>
      <c r="F248" s="3"/>
      <c r="G248" s="3"/>
      <c r="H248" s="3"/>
      <c r="I248" s="3"/>
      <c r="J248" s="3"/>
      <c r="K248" s="3"/>
      <c r="L248" s="3" t="s">
        <v>90</v>
      </c>
      <c r="M248" s="3">
        <v>60</v>
      </c>
      <c r="N248" s="3" t="s">
        <v>100</v>
      </c>
      <c r="O248" s="3"/>
      <c r="P248" s="3"/>
      <c r="Q248" s="3">
        <v>30.683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89</v>
      </c>
      <c r="C249" s="3" t="s">
        <v>132</v>
      </c>
      <c r="D249" s="3"/>
      <c r="E249" s="3" t="s">
        <v>132</v>
      </c>
      <c r="F249" s="3"/>
      <c r="G249" s="3"/>
      <c r="H249" s="3"/>
      <c r="I249" s="3"/>
      <c r="J249" s="3"/>
      <c r="K249" s="3"/>
      <c r="L249" s="3" t="s">
        <v>90</v>
      </c>
      <c r="M249" s="3">
        <v>70</v>
      </c>
      <c r="N249" s="3" t="s">
        <v>101</v>
      </c>
      <c r="O249" s="3"/>
      <c r="P249" s="3"/>
      <c r="Q249" s="3">
        <v>188.702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89</v>
      </c>
      <c r="C250" s="3" t="s">
        <v>132</v>
      </c>
      <c r="D250" s="3"/>
      <c r="E250" s="3" t="s">
        <v>132</v>
      </c>
      <c r="F250" s="3"/>
      <c r="G250" s="3"/>
      <c r="H250" s="3"/>
      <c r="I250" s="3"/>
      <c r="J250" s="3"/>
      <c r="K250" s="3"/>
      <c r="L250" s="3" t="s">
        <v>90</v>
      </c>
      <c r="M250" s="3">
        <v>80</v>
      </c>
      <c r="N250" s="3" t="s">
        <v>107</v>
      </c>
      <c r="O250" s="3"/>
      <c r="P250" s="3"/>
      <c r="Q250" s="3">
        <v>4</v>
      </c>
      <c r="R250" s="3" t="s">
        <v>11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89</v>
      </c>
      <c r="C251" s="3" t="s">
        <v>132</v>
      </c>
      <c r="D251" s="3"/>
      <c r="E251" s="3" t="s">
        <v>132</v>
      </c>
      <c r="F251" s="3"/>
      <c r="G251" s="3"/>
      <c r="H251" s="3"/>
      <c r="I251" s="3"/>
      <c r="J251" s="3"/>
      <c r="K251" s="3"/>
      <c r="L251" s="3" t="s">
        <v>90</v>
      </c>
      <c r="M251" s="3">
        <v>90</v>
      </c>
      <c r="N251" s="3" t="s">
        <v>21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89</v>
      </c>
      <c r="C252" s="3" t="s">
        <v>132</v>
      </c>
      <c r="D252" s="3"/>
      <c r="E252" s="3" t="s">
        <v>132</v>
      </c>
      <c r="F252" s="3"/>
      <c r="G252" s="3"/>
      <c r="H252" s="3"/>
      <c r="I252" s="3"/>
      <c r="J252" s="3"/>
      <c r="K252" s="3"/>
      <c r="L252" s="3" t="s">
        <v>90</v>
      </c>
      <c r="M252" s="3">
        <v>100</v>
      </c>
      <c r="N252" s="3" t="s">
        <v>22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89</v>
      </c>
      <c r="C253" s="3" t="s">
        <v>132</v>
      </c>
      <c r="D253" s="3"/>
      <c r="E253" s="3" t="s">
        <v>132</v>
      </c>
      <c r="F253" s="3"/>
      <c r="G253" s="3"/>
      <c r="H253" s="3"/>
      <c r="I253" s="3"/>
      <c r="J253" s="3"/>
      <c r="K253" s="3"/>
      <c r="L253" s="3" t="s">
        <v>90</v>
      </c>
      <c r="M253" s="3">
        <v>110</v>
      </c>
      <c r="N253" s="3" t="s">
        <v>23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89</v>
      </c>
      <c r="C254" s="3" t="s">
        <v>132</v>
      </c>
      <c r="D254" s="3"/>
      <c r="E254" s="3" t="s">
        <v>132</v>
      </c>
      <c r="F254" s="3"/>
      <c r="G254" s="3"/>
      <c r="H254" s="3"/>
      <c r="I254" s="3"/>
      <c r="J254" s="3"/>
      <c r="K254" s="3"/>
      <c r="L254" s="3" t="s">
        <v>90</v>
      </c>
      <c r="M254" s="3">
        <v>120</v>
      </c>
      <c r="N254" s="3" t="s">
        <v>112</v>
      </c>
      <c r="O254" s="3"/>
      <c r="P254" s="3"/>
      <c r="Q254" s="3">
        <v>0.60099999999999998</v>
      </c>
      <c r="R254" s="3" t="s">
        <v>13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89</v>
      </c>
      <c r="C255" s="3" t="s">
        <v>132</v>
      </c>
      <c r="D255" s="3"/>
      <c r="E255" s="3" t="s">
        <v>132</v>
      </c>
      <c r="F255" s="3"/>
      <c r="G255" s="3"/>
      <c r="H255" s="3"/>
      <c r="I255" s="3"/>
      <c r="J255" s="3"/>
      <c r="K255" s="3"/>
      <c r="L255" s="3" t="s">
        <v>90</v>
      </c>
      <c r="M255" s="3">
        <v>130</v>
      </c>
      <c r="N255" s="3" t="s">
        <v>168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89</v>
      </c>
      <c r="C256" s="3" t="s">
        <v>132</v>
      </c>
      <c r="D256" s="3"/>
      <c r="E256" s="3" t="s">
        <v>132</v>
      </c>
      <c r="F256" s="3"/>
      <c r="G256" s="3"/>
      <c r="H256" s="3"/>
      <c r="I256" s="3"/>
      <c r="J256" s="3"/>
      <c r="K256" s="3"/>
      <c r="L256" s="3" t="s">
        <v>90</v>
      </c>
      <c r="M256" s="3">
        <v>140</v>
      </c>
      <c r="N256" s="3" t="s">
        <v>169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89</v>
      </c>
      <c r="C257" s="3" t="s">
        <v>133</v>
      </c>
      <c r="D257" s="3"/>
      <c r="E257" s="3" t="s">
        <v>133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170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89</v>
      </c>
      <c r="C258" s="3" t="s">
        <v>133</v>
      </c>
      <c r="D258" s="3"/>
      <c r="E258" s="3" t="s">
        <v>133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99</v>
      </c>
      <c r="O258" s="3"/>
      <c r="P258" s="3"/>
      <c r="Q258" s="3">
        <v>1.5489999999999999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89</v>
      </c>
      <c r="C259" s="3" t="s">
        <v>133</v>
      </c>
      <c r="D259" s="3"/>
      <c r="E259" s="3" t="s">
        <v>133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125</v>
      </c>
      <c r="O259" s="3"/>
      <c r="P259" s="3"/>
      <c r="Q259" s="3">
        <v>1.5489999999999999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89</v>
      </c>
      <c r="C260" s="3" t="s">
        <v>133</v>
      </c>
      <c r="D260" s="3"/>
      <c r="E260" s="3" t="s">
        <v>133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0.81299999999999994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89</v>
      </c>
      <c r="C261" s="3" t="s">
        <v>133</v>
      </c>
      <c r="D261" s="3"/>
      <c r="E261" s="3" t="s">
        <v>133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18</v>
      </c>
      <c r="O261" s="3"/>
      <c r="P261" s="3"/>
      <c r="Q261" s="3">
        <v>113.386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89</v>
      </c>
      <c r="C262" s="3" t="s">
        <v>133</v>
      </c>
      <c r="D262" s="3"/>
      <c r="E262" s="3" t="s">
        <v>133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100</v>
      </c>
      <c r="O262" s="3"/>
      <c r="P262" s="3"/>
      <c r="Q262" s="3">
        <v>28.853999999999999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89</v>
      </c>
      <c r="C263" s="3" t="s">
        <v>133</v>
      </c>
      <c r="D263" s="3"/>
      <c r="E263" s="3" t="s">
        <v>133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101</v>
      </c>
      <c r="O263" s="3"/>
      <c r="P263" s="3"/>
      <c r="Q263" s="3">
        <v>177.45500000000001</v>
      </c>
      <c r="R263" s="3" t="s">
        <v>15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89</v>
      </c>
      <c r="C264" s="3" t="s">
        <v>133</v>
      </c>
      <c r="D264" s="3"/>
      <c r="E264" s="3" t="s">
        <v>133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107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89</v>
      </c>
      <c r="C265" s="3" t="s">
        <v>133</v>
      </c>
      <c r="D265" s="3"/>
      <c r="E265" s="3" t="s">
        <v>133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89</v>
      </c>
      <c r="C266" s="3" t="s">
        <v>133</v>
      </c>
      <c r="D266" s="3"/>
      <c r="E266" s="3" t="s">
        <v>133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22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89</v>
      </c>
      <c r="C267" s="3" t="s">
        <v>133</v>
      </c>
      <c r="D267" s="3"/>
      <c r="E267" s="3" t="s">
        <v>133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23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89</v>
      </c>
      <c r="C268" s="3" t="s">
        <v>133</v>
      </c>
      <c r="D268" s="3"/>
      <c r="E268" s="3" t="s">
        <v>133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112</v>
      </c>
      <c r="O268" s="3"/>
      <c r="P268" s="3"/>
      <c r="Q268" s="3">
        <v>0.51</v>
      </c>
      <c r="R268" s="3" t="s">
        <v>13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130</v>
      </c>
      <c r="N269" s="3" t="s">
        <v>171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140</v>
      </c>
      <c r="N270" s="3" t="s">
        <v>172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89</v>
      </c>
      <c r="C271" s="3" t="s">
        <v>134</v>
      </c>
      <c r="D271" s="3"/>
      <c r="E271" s="3" t="s">
        <v>134</v>
      </c>
      <c r="F271" s="3"/>
      <c r="G271" s="3"/>
      <c r="H271" s="3"/>
      <c r="I271" s="3"/>
      <c r="J271" s="3"/>
      <c r="K271" s="3"/>
      <c r="L271" s="3" t="s">
        <v>90</v>
      </c>
      <c r="M271" s="3">
        <v>10</v>
      </c>
      <c r="N271" s="3" t="s">
        <v>173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89</v>
      </c>
      <c r="C272" s="3" t="s">
        <v>134</v>
      </c>
      <c r="D272" s="3"/>
      <c r="E272" s="3" t="s">
        <v>134</v>
      </c>
      <c r="F272" s="3"/>
      <c r="G272" s="3"/>
      <c r="H272" s="3"/>
      <c r="I272" s="3"/>
      <c r="J272" s="3"/>
      <c r="K272" s="3"/>
      <c r="L272" s="3" t="s">
        <v>90</v>
      </c>
      <c r="M272" s="3">
        <v>20</v>
      </c>
      <c r="N272" s="3" t="s">
        <v>99</v>
      </c>
      <c r="O272" s="3"/>
      <c r="P272" s="3"/>
      <c r="Q272" s="3">
        <v>1.8540000000000001</v>
      </c>
      <c r="R272" s="3" t="s">
        <v>15</v>
      </c>
      <c r="S272" s="3"/>
      <c r="T272" s="3">
        <v>10</v>
      </c>
      <c r="U272" s="3"/>
      <c r="V272" s="3" t="s">
        <v>16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89</v>
      </c>
      <c r="C273" s="3" t="s">
        <v>134</v>
      </c>
      <c r="D273" s="3"/>
      <c r="E273" s="3" t="s">
        <v>134</v>
      </c>
      <c r="F273" s="3"/>
      <c r="G273" s="3"/>
      <c r="H273" s="3"/>
      <c r="I273" s="3"/>
      <c r="J273" s="3"/>
      <c r="K273" s="3"/>
      <c r="L273" s="3" t="s">
        <v>90</v>
      </c>
      <c r="M273" s="3">
        <v>30</v>
      </c>
      <c r="N273" s="3" t="s">
        <v>125</v>
      </c>
      <c r="O273" s="3"/>
      <c r="P273" s="3"/>
      <c r="Q273" s="3">
        <v>1.8540000000000001</v>
      </c>
      <c r="R273" s="3" t="s">
        <v>15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89</v>
      </c>
      <c r="C274" s="3" t="s">
        <v>134</v>
      </c>
      <c r="D274" s="3"/>
      <c r="E274" s="3" t="s">
        <v>134</v>
      </c>
      <c r="F274" s="3"/>
      <c r="G274" s="3"/>
      <c r="H274" s="3"/>
      <c r="I274" s="3"/>
      <c r="J274" s="3"/>
      <c r="K274" s="3"/>
      <c r="L274" s="3" t="s">
        <v>90</v>
      </c>
      <c r="M274" s="3">
        <v>40</v>
      </c>
      <c r="N274" s="3" t="s">
        <v>105</v>
      </c>
      <c r="O274" s="3"/>
      <c r="P274" s="3"/>
      <c r="Q274" s="3">
        <v>0.99</v>
      </c>
      <c r="R274" s="3" t="s">
        <v>106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89</v>
      </c>
      <c r="C275" s="3" t="s">
        <v>134</v>
      </c>
      <c r="D275" s="3"/>
      <c r="E275" s="3" t="s">
        <v>134</v>
      </c>
      <c r="F275" s="3"/>
      <c r="G275" s="3"/>
      <c r="H275" s="3"/>
      <c r="I275" s="3"/>
      <c r="J275" s="3"/>
      <c r="K275" s="3"/>
      <c r="L275" s="3" t="s">
        <v>90</v>
      </c>
      <c r="M275" s="3">
        <v>50</v>
      </c>
      <c r="N275" s="3" t="s">
        <v>18</v>
      </c>
      <c r="O275" s="3"/>
      <c r="P275" s="3"/>
      <c r="Q275" s="3">
        <v>123.139</v>
      </c>
      <c r="R275" s="3" t="s">
        <v>15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89</v>
      </c>
      <c r="C276" s="3" t="s">
        <v>134</v>
      </c>
      <c r="D276" s="3"/>
      <c r="E276" s="3" t="s">
        <v>134</v>
      </c>
      <c r="F276" s="3"/>
      <c r="G276" s="3"/>
      <c r="H276" s="3"/>
      <c r="I276" s="3"/>
      <c r="J276" s="3"/>
      <c r="K276" s="3"/>
      <c r="L276" s="3" t="s">
        <v>90</v>
      </c>
      <c r="M276" s="3">
        <v>60</v>
      </c>
      <c r="N276" s="3" t="s">
        <v>100</v>
      </c>
      <c r="O276" s="3"/>
      <c r="P276" s="3"/>
      <c r="Q276" s="3">
        <v>31.292999999999999</v>
      </c>
      <c r="R276" s="3" t="s">
        <v>15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89</v>
      </c>
      <c r="C277" s="3" t="s">
        <v>134</v>
      </c>
      <c r="D277" s="3"/>
      <c r="E277" s="3" t="s">
        <v>134</v>
      </c>
      <c r="F277" s="3"/>
      <c r="G277" s="3"/>
      <c r="H277" s="3"/>
      <c r="I277" s="3"/>
      <c r="J277" s="3"/>
      <c r="K277" s="3"/>
      <c r="L277" s="3" t="s">
        <v>90</v>
      </c>
      <c r="M277" s="3">
        <v>70</v>
      </c>
      <c r="N277" s="3" t="s">
        <v>101</v>
      </c>
      <c r="O277" s="3"/>
      <c r="P277" s="3"/>
      <c r="Q277" s="3">
        <v>192.45099999999999</v>
      </c>
      <c r="R277" s="3" t="s">
        <v>15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89</v>
      </c>
      <c r="C278" s="3" t="s">
        <v>134</v>
      </c>
      <c r="D278" s="3"/>
      <c r="E278" s="3" t="s">
        <v>134</v>
      </c>
      <c r="F278" s="3"/>
      <c r="G278" s="3"/>
      <c r="H278" s="3"/>
      <c r="I278" s="3"/>
      <c r="J278" s="3"/>
      <c r="K278" s="3"/>
      <c r="L278" s="3" t="s">
        <v>90</v>
      </c>
      <c r="M278" s="3">
        <v>80</v>
      </c>
      <c r="N278" s="3" t="s">
        <v>107</v>
      </c>
      <c r="O278" s="3"/>
      <c r="P278" s="3"/>
      <c r="Q278" s="3">
        <v>4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89</v>
      </c>
      <c r="C279" s="3" t="s">
        <v>134</v>
      </c>
      <c r="D279" s="3"/>
      <c r="E279" s="3" t="s">
        <v>134</v>
      </c>
      <c r="F279" s="3"/>
      <c r="G279" s="3"/>
      <c r="H279" s="3"/>
      <c r="I279" s="3"/>
      <c r="J279" s="3"/>
      <c r="K279" s="3"/>
      <c r="L279" s="3" t="s">
        <v>90</v>
      </c>
      <c r="M279" s="3">
        <v>90</v>
      </c>
      <c r="N279" s="3" t="s">
        <v>21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89</v>
      </c>
      <c r="C280" s="3" t="s">
        <v>134</v>
      </c>
      <c r="D280" s="3"/>
      <c r="E280" s="3" t="s">
        <v>134</v>
      </c>
      <c r="F280" s="3"/>
      <c r="G280" s="3"/>
      <c r="H280" s="3"/>
      <c r="I280" s="3"/>
      <c r="J280" s="3"/>
      <c r="K280" s="3"/>
      <c r="L280" s="3" t="s">
        <v>90</v>
      </c>
      <c r="M280" s="3">
        <v>100</v>
      </c>
      <c r="N280" s="3" t="s">
        <v>22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110</v>
      </c>
      <c r="N281" s="3" t="s">
        <v>23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120</v>
      </c>
      <c r="N282" s="3" t="s">
        <v>112</v>
      </c>
      <c r="O282" s="3"/>
      <c r="P282" s="3"/>
      <c r="Q282" s="3">
        <v>0.60099999999999998</v>
      </c>
      <c r="R282" s="3" t="s">
        <v>13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130</v>
      </c>
      <c r="N283" s="3" t="s">
        <v>174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140</v>
      </c>
      <c r="N284" s="3" t="s">
        <v>175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16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89</v>
      </c>
      <c r="C285" s="3" t="s">
        <v>135</v>
      </c>
      <c r="D285" s="3"/>
      <c r="E285" s="3" t="s">
        <v>135</v>
      </c>
      <c r="F285" s="3"/>
      <c r="G285" s="3"/>
      <c r="H285" s="3"/>
      <c r="I285" s="3"/>
      <c r="J285" s="3"/>
      <c r="K285" s="3"/>
      <c r="L285" s="3" t="s">
        <v>90</v>
      </c>
      <c r="M285" s="3">
        <v>10</v>
      </c>
      <c r="N285" s="3" t="s">
        <v>146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16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89</v>
      </c>
      <c r="C286" s="3" t="s">
        <v>135</v>
      </c>
      <c r="D286" s="3"/>
      <c r="E286" s="3" t="s">
        <v>135</v>
      </c>
      <c r="F286" s="3"/>
      <c r="G286" s="3"/>
      <c r="H286" s="3"/>
      <c r="I286" s="3"/>
      <c r="J286" s="3"/>
      <c r="K286" s="3"/>
      <c r="L286" s="3" t="s">
        <v>90</v>
      </c>
      <c r="M286" s="3">
        <v>20</v>
      </c>
      <c r="N286" s="3" t="s">
        <v>102</v>
      </c>
      <c r="O286" s="3"/>
      <c r="P286" s="3"/>
      <c r="Q286" s="3">
        <v>0.94</v>
      </c>
      <c r="R286" s="3" t="s">
        <v>15</v>
      </c>
      <c r="S286" s="3"/>
      <c r="T286" s="3">
        <v>10</v>
      </c>
      <c r="U286" s="3"/>
      <c r="V286" s="3" t="s">
        <v>16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89</v>
      </c>
      <c r="C287" s="3" t="s">
        <v>135</v>
      </c>
      <c r="D287" s="3"/>
      <c r="E287" s="3" t="s">
        <v>135</v>
      </c>
      <c r="F287" s="3"/>
      <c r="G287" s="3"/>
      <c r="H287" s="3"/>
      <c r="I287" s="3"/>
      <c r="J287" s="3"/>
      <c r="K287" s="3"/>
      <c r="L287" s="3" t="s">
        <v>90</v>
      </c>
      <c r="M287" s="3">
        <v>30</v>
      </c>
      <c r="N287" s="3" t="s">
        <v>136</v>
      </c>
      <c r="O287" s="3"/>
      <c r="P287" s="3"/>
      <c r="Q287" s="3">
        <v>0.94</v>
      </c>
      <c r="R287" s="3" t="s">
        <v>15</v>
      </c>
      <c r="S287" s="3"/>
      <c r="T287" s="3">
        <v>10</v>
      </c>
      <c r="U287" s="3"/>
      <c r="V287" s="3" t="s">
        <v>16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89</v>
      </c>
      <c r="C288" s="3" t="s">
        <v>135</v>
      </c>
      <c r="D288" s="3"/>
      <c r="E288" s="3" t="s">
        <v>135</v>
      </c>
      <c r="F288" s="3"/>
      <c r="G288" s="3"/>
      <c r="H288" s="3"/>
      <c r="I288" s="3"/>
      <c r="J288" s="3"/>
      <c r="K288" s="3"/>
      <c r="L288" s="3" t="s">
        <v>90</v>
      </c>
      <c r="M288" s="3">
        <v>40</v>
      </c>
      <c r="N288" s="3" t="s">
        <v>105</v>
      </c>
      <c r="O288" s="3"/>
      <c r="P288" s="3"/>
      <c r="Q288" s="3">
        <v>0.42099999999999999</v>
      </c>
      <c r="R288" s="3" t="s">
        <v>106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89</v>
      </c>
      <c r="C289" s="3" t="s">
        <v>135</v>
      </c>
      <c r="D289" s="3"/>
      <c r="E289" s="3" t="s">
        <v>135</v>
      </c>
      <c r="F289" s="3"/>
      <c r="G289" s="3"/>
      <c r="H289" s="3"/>
      <c r="I289" s="3"/>
      <c r="J289" s="3"/>
      <c r="K289" s="3"/>
      <c r="L289" s="3" t="s">
        <v>90</v>
      </c>
      <c r="M289" s="3">
        <v>50</v>
      </c>
      <c r="N289" s="3" t="s">
        <v>18</v>
      </c>
      <c r="O289" s="3"/>
      <c r="P289" s="3"/>
      <c r="Q289" s="3">
        <v>89.001999999999995</v>
      </c>
      <c r="R289" s="3" t="s">
        <v>15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89</v>
      </c>
      <c r="C290" s="3" t="s">
        <v>135</v>
      </c>
      <c r="D290" s="3"/>
      <c r="E290" s="3" t="s">
        <v>135</v>
      </c>
      <c r="F290" s="3"/>
      <c r="G290" s="3"/>
      <c r="H290" s="3"/>
      <c r="I290" s="3"/>
      <c r="J290" s="3"/>
      <c r="K290" s="3"/>
      <c r="L290" s="3" t="s">
        <v>90</v>
      </c>
      <c r="M290" s="3">
        <v>60</v>
      </c>
      <c r="N290" s="3" t="s">
        <v>103</v>
      </c>
      <c r="O290" s="3"/>
      <c r="P290" s="3"/>
      <c r="Q290" s="3">
        <v>22.757999999999999</v>
      </c>
      <c r="R290" s="3" t="s">
        <v>15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89</v>
      </c>
      <c r="C291" s="3" t="s">
        <v>135</v>
      </c>
      <c r="D291" s="3"/>
      <c r="E291" s="3" t="s">
        <v>135</v>
      </c>
      <c r="F291" s="3"/>
      <c r="G291" s="3"/>
      <c r="H291" s="3"/>
      <c r="I291" s="3"/>
      <c r="J291" s="3"/>
      <c r="K291" s="3"/>
      <c r="L291" s="3" t="s">
        <v>90</v>
      </c>
      <c r="M291" s="3">
        <v>70</v>
      </c>
      <c r="N291" s="3" t="s">
        <v>104</v>
      </c>
      <c r="O291" s="3"/>
      <c r="P291" s="3"/>
      <c r="Q291" s="3">
        <v>139.964</v>
      </c>
      <c r="R291" s="3" t="s">
        <v>15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89</v>
      </c>
      <c r="C292" s="3" t="s">
        <v>135</v>
      </c>
      <c r="D292" s="3"/>
      <c r="E292" s="3" t="s">
        <v>135</v>
      </c>
      <c r="F292" s="3"/>
      <c r="G292" s="3"/>
      <c r="H292" s="3"/>
      <c r="I292" s="3"/>
      <c r="J292" s="3"/>
      <c r="K292" s="3"/>
      <c r="L292" s="3" t="s">
        <v>90</v>
      </c>
      <c r="M292" s="3">
        <v>80</v>
      </c>
      <c r="N292" s="3" t="s">
        <v>107</v>
      </c>
      <c r="O292" s="3"/>
      <c r="P292" s="3"/>
      <c r="Q292" s="3">
        <v>4</v>
      </c>
      <c r="R292" s="3" t="s">
        <v>11</v>
      </c>
      <c r="S292" s="3"/>
      <c r="T292" s="3">
        <v>10</v>
      </c>
      <c r="U292" s="3"/>
      <c r="V292" s="3" t="s">
        <v>14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90</v>
      </c>
      <c r="N293" s="3" t="s">
        <v>21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100</v>
      </c>
      <c r="N294" s="3" t="s">
        <v>22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110</v>
      </c>
      <c r="N295" s="3" t="s">
        <v>23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120</v>
      </c>
      <c r="N296" s="3" t="s">
        <v>112</v>
      </c>
      <c r="O296" s="3"/>
      <c r="P296" s="3"/>
      <c r="Q296" s="3">
        <v>0.33</v>
      </c>
      <c r="R296" s="3" t="s">
        <v>13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130</v>
      </c>
      <c r="N297" s="3" t="s">
        <v>147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16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140</v>
      </c>
      <c r="N298" s="3" t="s">
        <v>148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16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89</v>
      </c>
      <c r="C299" s="3" t="s">
        <v>137</v>
      </c>
      <c r="D299" s="3"/>
      <c r="E299" s="3" t="s">
        <v>137</v>
      </c>
      <c r="F299" s="3"/>
      <c r="G299" s="3"/>
      <c r="H299" s="3"/>
      <c r="I299" s="3"/>
      <c r="J299" s="3"/>
      <c r="K299" s="3"/>
      <c r="L299" s="3" t="s">
        <v>90</v>
      </c>
      <c r="M299" s="3">
        <v>10</v>
      </c>
      <c r="N299" s="3" t="s">
        <v>149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16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89</v>
      </c>
      <c r="C300" s="3" t="s">
        <v>137</v>
      </c>
      <c r="D300" s="3"/>
      <c r="E300" s="3" t="s">
        <v>137</v>
      </c>
      <c r="F300" s="3"/>
      <c r="G300" s="3"/>
      <c r="H300" s="3"/>
      <c r="I300" s="3"/>
      <c r="J300" s="3"/>
      <c r="K300" s="3"/>
      <c r="L300" s="3" t="s">
        <v>90</v>
      </c>
      <c r="M300" s="3">
        <v>20</v>
      </c>
      <c r="N300" s="3" t="s">
        <v>102</v>
      </c>
      <c r="O300" s="3"/>
      <c r="P300" s="3"/>
      <c r="Q300" s="3">
        <v>1.2450000000000001</v>
      </c>
      <c r="R300" s="3" t="s">
        <v>15</v>
      </c>
      <c r="S300" s="3"/>
      <c r="T300" s="3">
        <v>10</v>
      </c>
      <c r="U300" s="3"/>
      <c r="V300" s="3" t="s">
        <v>16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89</v>
      </c>
      <c r="C301" s="3" t="s">
        <v>137</v>
      </c>
      <c r="D301" s="3"/>
      <c r="E301" s="3" t="s">
        <v>137</v>
      </c>
      <c r="F301" s="3"/>
      <c r="G301" s="3"/>
      <c r="H301" s="3"/>
      <c r="I301" s="3"/>
      <c r="J301" s="3"/>
      <c r="K301" s="3"/>
      <c r="L301" s="3" t="s">
        <v>90</v>
      </c>
      <c r="M301" s="3">
        <v>30</v>
      </c>
      <c r="N301" s="3" t="s">
        <v>136</v>
      </c>
      <c r="O301" s="3"/>
      <c r="P301" s="3"/>
      <c r="Q301" s="3">
        <v>1.2450000000000001</v>
      </c>
      <c r="R301" s="3" t="s">
        <v>15</v>
      </c>
      <c r="S301" s="3"/>
      <c r="T301" s="3">
        <v>10</v>
      </c>
      <c r="U301" s="3"/>
      <c r="V301" s="3" t="s">
        <v>16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89</v>
      </c>
      <c r="C302" s="3" t="s">
        <v>137</v>
      </c>
      <c r="D302" s="3"/>
      <c r="E302" s="3" t="s">
        <v>137</v>
      </c>
      <c r="F302" s="3"/>
      <c r="G302" s="3"/>
      <c r="H302" s="3"/>
      <c r="I302" s="3"/>
      <c r="J302" s="3"/>
      <c r="K302" s="3"/>
      <c r="L302" s="3" t="s">
        <v>90</v>
      </c>
      <c r="M302" s="3">
        <v>40</v>
      </c>
      <c r="N302" s="3" t="s">
        <v>105</v>
      </c>
      <c r="O302" s="3"/>
      <c r="P302" s="3"/>
      <c r="Q302" s="3">
        <v>0.58299999999999996</v>
      </c>
      <c r="R302" s="3" t="s">
        <v>106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89</v>
      </c>
      <c r="C303" s="3" t="s">
        <v>137</v>
      </c>
      <c r="D303" s="3"/>
      <c r="E303" s="3" t="s">
        <v>137</v>
      </c>
      <c r="F303" s="3"/>
      <c r="G303" s="3"/>
      <c r="H303" s="3"/>
      <c r="I303" s="3"/>
      <c r="J303" s="3"/>
      <c r="K303" s="3"/>
      <c r="L303" s="3" t="s">
        <v>90</v>
      </c>
      <c r="M303" s="3">
        <v>50</v>
      </c>
      <c r="N303" s="3" t="s">
        <v>18</v>
      </c>
      <c r="O303" s="3"/>
      <c r="P303" s="3"/>
      <c r="Q303" s="3">
        <v>98.754999999999995</v>
      </c>
      <c r="R303" s="3" t="s">
        <v>15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89</v>
      </c>
      <c r="C304" s="3" t="s">
        <v>137</v>
      </c>
      <c r="D304" s="3"/>
      <c r="E304" s="3" t="s">
        <v>137</v>
      </c>
      <c r="F304" s="3"/>
      <c r="G304" s="3"/>
      <c r="H304" s="3"/>
      <c r="I304" s="3"/>
      <c r="J304" s="3"/>
      <c r="K304" s="3"/>
      <c r="L304" s="3" t="s">
        <v>90</v>
      </c>
      <c r="M304" s="3">
        <v>60</v>
      </c>
      <c r="N304" s="3" t="s">
        <v>103</v>
      </c>
      <c r="O304" s="3"/>
      <c r="P304" s="3"/>
      <c r="Q304" s="3">
        <v>25.196999999999999</v>
      </c>
      <c r="R304" s="3" t="s">
        <v>15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89</v>
      </c>
      <c r="C305" s="3" t="s">
        <v>137</v>
      </c>
      <c r="D305" s="3"/>
      <c r="E305" s="3" t="s">
        <v>137</v>
      </c>
      <c r="F305" s="3"/>
      <c r="G305" s="3"/>
      <c r="H305" s="3"/>
      <c r="I305" s="3"/>
      <c r="J305" s="3"/>
      <c r="K305" s="3"/>
      <c r="L305" s="3" t="s">
        <v>90</v>
      </c>
      <c r="M305" s="3">
        <v>70</v>
      </c>
      <c r="N305" s="3" t="s">
        <v>104</v>
      </c>
      <c r="O305" s="3"/>
      <c r="P305" s="3"/>
      <c r="Q305" s="3">
        <v>154.96</v>
      </c>
      <c r="R305" s="3" t="s">
        <v>15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89</v>
      </c>
      <c r="C306" s="3" t="s">
        <v>137</v>
      </c>
      <c r="D306" s="3"/>
      <c r="E306" s="3" t="s">
        <v>137</v>
      </c>
      <c r="F306" s="3"/>
      <c r="G306" s="3"/>
      <c r="H306" s="3"/>
      <c r="I306" s="3"/>
      <c r="J306" s="3"/>
      <c r="K306" s="3"/>
      <c r="L306" s="3" t="s">
        <v>90</v>
      </c>
      <c r="M306" s="3">
        <v>80</v>
      </c>
      <c r="N306" s="3" t="s">
        <v>107</v>
      </c>
      <c r="O306" s="3"/>
      <c r="P306" s="3"/>
      <c r="Q306" s="3">
        <v>4</v>
      </c>
      <c r="R306" s="3" t="s">
        <v>11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89</v>
      </c>
      <c r="C307" s="3" t="s">
        <v>137</v>
      </c>
      <c r="D307" s="3"/>
      <c r="E307" s="3" t="s">
        <v>137</v>
      </c>
      <c r="F307" s="3"/>
      <c r="G307" s="3"/>
      <c r="H307" s="3"/>
      <c r="I307" s="3"/>
      <c r="J307" s="3"/>
      <c r="K307" s="3"/>
      <c r="L307" s="3" t="s">
        <v>90</v>
      </c>
      <c r="M307" s="3">
        <v>90</v>
      </c>
      <c r="N307" s="3" t="s">
        <v>21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89</v>
      </c>
      <c r="C308" s="3" t="s">
        <v>137</v>
      </c>
      <c r="D308" s="3"/>
      <c r="E308" s="3" t="s">
        <v>137</v>
      </c>
      <c r="F308" s="3"/>
      <c r="G308" s="3"/>
      <c r="H308" s="3"/>
      <c r="I308" s="3"/>
      <c r="J308" s="3"/>
      <c r="K308" s="3"/>
      <c r="L308" s="3" t="s">
        <v>90</v>
      </c>
      <c r="M308" s="3">
        <v>100</v>
      </c>
      <c r="N308" s="3" t="s">
        <v>22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89</v>
      </c>
      <c r="C309" s="3" t="s">
        <v>137</v>
      </c>
      <c r="D309" s="3"/>
      <c r="E309" s="3" t="s">
        <v>137</v>
      </c>
      <c r="F309" s="3"/>
      <c r="G309" s="3"/>
      <c r="H309" s="3"/>
      <c r="I309" s="3"/>
      <c r="J309" s="3"/>
      <c r="K309" s="3"/>
      <c r="L309" s="3" t="s">
        <v>90</v>
      </c>
      <c r="M309" s="3">
        <v>110</v>
      </c>
      <c r="N309" s="3" t="s">
        <v>23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89</v>
      </c>
      <c r="C310" s="3" t="s">
        <v>137</v>
      </c>
      <c r="D310" s="3"/>
      <c r="E310" s="3" t="s">
        <v>137</v>
      </c>
      <c r="F310" s="3"/>
      <c r="G310" s="3"/>
      <c r="H310" s="3"/>
      <c r="I310" s="3"/>
      <c r="J310" s="3"/>
      <c r="K310" s="3"/>
      <c r="L310" s="3" t="s">
        <v>90</v>
      </c>
      <c r="M310" s="3">
        <v>120</v>
      </c>
      <c r="N310" s="3" t="s">
        <v>112</v>
      </c>
      <c r="O310" s="3"/>
      <c r="P310" s="3"/>
      <c r="Q310" s="3">
        <v>0.42</v>
      </c>
      <c r="R310" s="3" t="s">
        <v>13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89</v>
      </c>
      <c r="C311" s="3" t="s">
        <v>137</v>
      </c>
      <c r="D311" s="3"/>
      <c r="E311" s="3" t="s">
        <v>137</v>
      </c>
      <c r="F311" s="3"/>
      <c r="G311" s="3"/>
      <c r="H311" s="3"/>
      <c r="I311" s="3"/>
      <c r="J311" s="3"/>
      <c r="K311" s="3"/>
      <c r="L311" s="3" t="s">
        <v>90</v>
      </c>
      <c r="M311" s="3">
        <v>130</v>
      </c>
      <c r="N311" s="3" t="s">
        <v>150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89</v>
      </c>
      <c r="C312" s="3" t="s">
        <v>137</v>
      </c>
      <c r="D312" s="3"/>
      <c r="E312" s="3" t="s">
        <v>137</v>
      </c>
      <c r="F312" s="3"/>
      <c r="G312" s="3"/>
      <c r="H312" s="3"/>
      <c r="I312" s="3"/>
      <c r="J312" s="3"/>
      <c r="K312" s="3"/>
      <c r="L312" s="3" t="s">
        <v>90</v>
      </c>
      <c r="M312" s="3">
        <v>140</v>
      </c>
      <c r="N312" s="3" t="s">
        <v>151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89</v>
      </c>
      <c r="C313" s="3" t="s">
        <v>138</v>
      </c>
      <c r="D313" s="3"/>
      <c r="E313" s="3" t="s">
        <v>138</v>
      </c>
      <c r="F313" s="3"/>
      <c r="G313" s="3"/>
      <c r="H313" s="3"/>
      <c r="I313" s="3"/>
      <c r="J313" s="3"/>
      <c r="K313" s="3"/>
      <c r="L313" s="3" t="s">
        <v>90</v>
      </c>
      <c r="M313" s="3">
        <v>10</v>
      </c>
      <c r="N313" s="3" t="s">
        <v>152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16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89</v>
      </c>
      <c r="C314" s="3" t="s">
        <v>138</v>
      </c>
      <c r="D314" s="3"/>
      <c r="E314" s="3" t="s">
        <v>138</v>
      </c>
      <c r="F314" s="3"/>
      <c r="G314" s="3"/>
      <c r="H314" s="3"/>
      <c r="I314" s="3"/>
      <c r="J314" s="3"/>
      <c r="K314" s="3"/>
      <c r="L314" s="3" t="s">
        <v>90</v>
      </c>
      <c r="M314" s="3">
        <v>20</v>
      </c>
      <c r="N314" s="3" t="s">
        <v>102</v>
      </c>
      <c r="O314" s="3"/>
      <c r="P314" s="3"/>
      <c r="Q314" s="3">
        <v>1.5489999999999999</v>
      </c>
      <c r="R314" s="3" t="s">
        <v>15</v>
      </c>
      <c r="S314" s="3"/>
      <c r="T314" s="3">
        <v>10</v>
      </c>
      <c r="U314" s="3"/>
      <c r="V314" s="3" t="s">
        <v>16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89</v>
      </c>
      <c r="C315" s="3" t="s">
        <v>138</v>
      </c>
      <c r="D315" s="3"/>
      <c r="E315" s="3" t="s">
        <v>138</v>
      </c>
      <c r="F315" s="3"/>
      <c r="G315" s="3"/>
      <c r="H315" s="3"/>
      <c r="I315" s="3"/>
      <c r="J315" s="3"/>
      <c r="K315" s="3"/>
      <c r="L315" s="3" t="s">
        <v>90</v>
      </c>
      <c r="M315" s="3">
        <v>30</v>
      </c>
      <c r="N315" s="3" t="s">
        <v>136</v>
      </c>
      <c r="O315" s="3"/>
      <c r="P315" s="3"/>
      <c r="Q315" s="3">
        <v>1.5489999999999999</v>
      </c>
      <c r="R315" s="3" t="s">
        <v>15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89</v>
      </c>
      <c r="C316" s="3" t="s">
        <v>138</v>
      </c>
      <c r="D316" s="3"/>
      <c r="E316" s="3" t="s">
        <v>138</v>
      </c>
      <c r="F316" s="3"/>
      <c r="G316" s="3"/>
      <c r="H316" s="3"/>
      <c r="I316" s="3"/>
      <c r="J316" s="3"/>
      <c r="K316" s="3"/>
      <c r="L316" s="3" t="s">
        <v>90</v>
      </c>
      <c r="M316" s="3">
        <v>40</v>
      </c>
      <c r="N316" s="3" t="s">
        <v>105</v>
      </c>
      <c r="O316" s="3"/>
      <c r="P316" s="3"/>
      <c r="Q316" s="3">
        <v>0.746</v>
      </c>
      <c r="R316" s="3" t="s">
        <v>106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89</v>
      </c>
      <c r="C317" s="3" t="s">
        <v>138</v>
      </c>
      <c r="D317" s="3"/>
      <c r="E317" s="3" t="s">
        <v>138</v>
      </c>
      <c r="F317" s="3"/>
      <c r="G317" s="3"/>
      <c r="H317" s="3"/>
      <c r="I317" s="3"/>
      <c r="J317" s="3"/>
      <c r="K317" s="3"/>
      <c r="L317" s="3" t="s">
        <v>90</v>
      </c>
      <c r="M317" s="3">
        <v>50</v>
      </c>
      <c r="N317" s="3" t="s">
        <v>18</v>
      </c>
      <c r="O317" s="3"/>
      <c r="P317" s="3"/>
      <c r="Q317" s="3">
        <v>108.509</v>
      </c>
      <c r="R317" s="3" t="s">
        <v>15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89</v>
      </c>
      <c r="C318" s="3" t="s">
        <v>138</v>
      </c>
      <c r="D318" s="3"/>
      <c r="E318" s="3" t="s">
        <v>138</v>
      </c>
      <c r="F318" s="3"/>
      <c r="G318" s="3"/>
      <c r="H318" s="3"/>
      <c r="I318" s="3"/>
      <c r="J318" s="3"/>
      <c r="K318" s="3"/>
      <c r="L318" s="3" t="s">
        <v>90</v>
      </c>
      <c r="M318" s="3">
        <v>60</v>
      </c>
      <c r="N318" s="3" t="s">
        <v>103</v>
      </c>
      <c r="O318" s="3"/>
      <c r="P318" s="3"/>
      <c r="Q318" s="3">
        <v>27.635000000000002</v>
      </c>
      <c r="R318" s="3" t="s">
        <v>15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89</v>
      </c>
      <c r="C319" s="3" t="s">
        <v>138</v>
      </c>
      <c r="D319" s="3"/>
      <c r="E319" s="3" t="s">
        <v>138</v>
      </c>
      <c r="F319" s="3"/>
      <c r="G319" s="3"/>
      <c r="H319" s="3"/>
      <c r="I319" s="3"/>
      <c r="J319" s="3"/>
      <c r="K319" s="3"/>
      <c r="L319" s="3" t="s">
        <v>90</v>
      </c>
      <c r="M319" s="3">
        <v>70</v>
      </c>
      <c r="N319" s="3" t="s">
        <v>104</v>
      </c>
      <c r="O319" s="3"/>
      <c r="P319" s="3"/>
      <c r="Q319" s="3">
        <v>169.95599999999999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89</v>
      </c>
      <c r="C320" s="3" t="s">
        <v>138</v>
      </c>
      <c r="D320" s="3"/>
      <c r="E320" s="3" t="s">
        <v>138</v>
      </c>
      <c r="F320" s="3"/>
      <c r="G320" s="3"/>
      <c r="H320" s="3"/>
      <c r="I320" s="3"/>
      <c r="J320" s="3"/>
      <c r="K320" s="3"/>
      <c r="L320" s="3" t="s">
        <v>90</v>
      </c>
      <c r="M320" s="3">
        <v>80</v>
      </c>
      <c r="N320" s="3" t="s">
        <v>107</v>
      </c>
      <c r="O320" s="3"/>
      <c r="P320" s="3"/>
      <c r="Q320" s="3">
        <v>4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89</v>
      </c>
      <c r="C321" s="3" t="s">
        <v>138</v>
      </c>
      <c r="D321" s="3"/>
      <c r="E321" s="3" t="s">
        <v>138</v>
      </c>
      <c r="F321" s="3"/>
      <c r="G321" s="3"/>
      <c r="H321" s="3"/>
      <c r="I321" s="3"/>
      <c r="J321" s="3"/>
      <c r="K321" s="3"/>
      <c r="L321" s="3" t="s">
        <v>90</v>
      </c>
      <c r="M321" s="3">
        <v>90</v>
      </c>
      <c r="N321" s="3" t="s">
        <v>21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89</v>
      </c>
      <c r="C322" s="3" t="s">
        <v>138</v>
      </c>
      <c r="D322" s="3"/>
      <c r="E322" s="3" t="s">
        <v>138</v>
      </c>
      <c r="F322" s="3"/>
      <c r="G322" s="3"/>
      <c r="H322" s="3"/>
      <c r="I322" s="3"/>
      <c r="J322" s="3"/>
      <c r="K322" s="3"/>
      <c r="L322" s="3" t="s">
        <v>90</v>
      </c>
      <c r="M322" s="3">
        <v>100</v>
      </c>
      <c r="N322" s="3" t="s">
        <v>22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89</v>
      </c>
      <c r="C323" s="3" t="s">
        <v>138</v>
      </c>
      <c r="D323" s="3"/>
      <c r="E323" s="3" t="s">
        <v>138</v>
      </c>
      <c r="F323" s="3"/>
      <c r="G323" s="3"/>
      <c r="H323" s="3"/>
      <c r="I323" s="3"/>
      <c r="J323" s="3"/>
      <c r="K323" s="3"/>
      <c r="L323" s="3" t="s">
        <v>90</v>
      </c>
      <c r="M323" s="3">
        <v>110</v>
      </c>
      <c r="N323" s="3" t="s">
        <v>23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89</v>
      </c>
      <c r="C324" s="3" t="s">
        <v>138</v>
      </c>
      <c r="D324" s="3"/>
      <c r="E324" s="3" t="s">
        <v>138</v>
      </c>
      <c r="F324" s="3"/>
      <c r="G324" s="3"/>
      <c r="H324" s="3"/>
      <c r="I324" s="3"/>
      <c r="J324" s="3"/>
      <c r="K324" s="3"/>
      <c r="L324" s="3" t="s">
        <v>90</v>
      </c>
      <c r="M324" s="3">
        <v>120</v>
      </c>
      <c r="N324" s="3" t="s">
        <v>112</v>
      </c>
      <c r="O324" s="3"/>
      <c r="P324" s="3"/>
      <c r="Q324" s="3">
        <v>0.51</v>
      </c>
      <c r="R324" s="3" t="s">
        <v>13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89</v>
      </c>
      <c r="C325" s="3" t="s">
        <v>138</v>
      </c>
      <c r="D325" s="3"/>
      <c r="E325" s="3" t="s">
        <v>138</v>
      </c>
      <c r="F325" s="3"/>
      <c r="G325" s="3"/>
      <c r="H325" s="3"/>
      <c r="I325" s="3"/>
      <c r="J325" s="3"/>
      <c r="K325" s="3"/>
      <c r="L325" s="3" t="s">
        <v>90</v>
      </c>
      <c r="M325" s="3">
        <v>130</v>
      </c>
      <c r="N325" s="3" t="s">
        <v>153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16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89</v>
      </c>
      <c r="C326" s="3" t="s">
        <v>138</v>
      </c>
      <c r="D326" s="3"/>
      <c r="E326" s="3" t="s">
        <v>138</v>
      </c>
      <c r="F326" s="3"/>
      <c r="G326" s="3"/>
      <c r="H326" s="3"/>
      <c r="I326" s="3"/>
      <c r="J326" s="3"/>
      <c r="K326" s="3"/>
      <c r="L326" s="3" t="s">
        <v>90</v>
      </c>
      <c r="M326" s="3">
        <v>140</v>
      </c>
      <c r="N326" s="3" t="s">
        <v>154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89</v>
      </c>
      <c r="C327" s="3" t="s">
        <v>139</v>
      </c>
      <c r="D327" s="3"/>
      <c r="E327" s="3" t="s">
        <v>139</v>
      </c>
      <c r="F327" s="3"/>
      <c r="G327" s="3"/>
      <c r="H327" s="3"/>
      <c r="I327" s="3"/>
      <c r="J327" s="3"/>
      <c r="K327" s="3"/>
      <c r="L327" s="3" t="s">
        <v>90</v>
      </c>
      <c r="M327" s="3">
        <v>10</v>
      </c>
      <c r="N327" s="3" t="s">
        <v>155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89</v>
      </c>
      <c r="C328" s="3" t="s">
        <v>139</v>
      </c>
      <c r="D328" s="3"/>
      <c r="E328" s="3" t="s">
        <v>139</v>
      </c>
      <c r="F328" s="3"/>
      <c r="G328" s="3"/>
      <c r="H328" s="3"/>
      <c r="I328" s="3"/>
      <c r="J328" s="3"/>
      <c r="K328" s="3"/>
      <c r="L328" s="3" t="s">
        <v>90</v>
      </c>
      <c r="M328" s="3">
        <v>20</v>
      </c>
      <c r="N328" s="3" t="s">
        <v>102</v>
      </c>
      <c r="O328" s="3"/>
      <c r="P328" s="3"/>
      <c r="Q328" s="3">
        <v>1.8540000000000001</v>
      </c>
      <c r="R328" s="3" t="s">
        <v>15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89</v>
      </c>
      <c r="C329" s="3" t="s">
        <v>139</v>
      </c>
      <c r="D329" s="3"/>
      <c r="E329" s="3" t="s">
        <v>139</v>
      </c>
      <c r="F329" s="3"/>
      <c r="G329" s="3"/>
      <c r="H329" s="3"/>
      <c r="I329" s="3"/>
      <c r="J329" s="3"/>
      <c r="K329" s="3"/>
      <c r="L329" s="3" t="s">
        <v>90</v>
      </c>
      <c r="M329" s="3">
        <v>30</v>
      </c>
      <c r="N329" s="3" t="s">
        <v>136</v>
      </c>
      <c r="O329" s="3"/>
      <c r="P329" s="3"/>
      <c r="Q329" s="3">
        <v>1.8540000000000001</v>
      </c>
      <c r="R329" s="3" t="s">
        <v>15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89</v>
      </c>
      <c r="C330" s="3" t="s">
        <v>139</v>
      </c>
      <c r="D330" s="3"/>
      <c r="E330" s="3" t="s">
        <v>139</v>
      </c>
      <c r="F330" s="3"/>
      <c r="G330" s="3"/>
      <c r="H330" s="3"/>
      <c r="I330" s="3"/>
      <c r="J330" s="3"/>
      <c r="K330" s="3"/>
      <c r="L330" s="3" t="s">
        <v>90</v>
      </c>
      <c r="M330" s="3">
        <v>40</v>
      </c>
      <c r="N330" s="3" t="s">
        <v>105</v>
      </c>
      <c r="O330" s="3"/>
      <c r="P330" s="3"/>
      <c r="Q330" s="3">
        <v>0.90900000000000003</v>
      </c>
      <c r="R330" s="3" t="s">
        <v>106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89</v>
      </c>
      <c r="C331" s="3" t="s">
        <v>139</v>
      </c>
      <c r="D331" s="3"/>
      <c r="E331" s="3" t="s">
        <v>139</v>
      </c>
      <c r="F331" s="3"/>
      <c r="G331" s="3"/>
      <c r="H331" s="3"/>
      <c r="I331" s="3"/>
      <c r="J331" s="3"/>
      <c r="K331" s="3"/>
      <c r="L331" s="3" t="s">
        <v>90</v>
      </c>
      <c r="M331" s="3">
        <v>50</v>
      </c>
      <c r="N331" s="3" t="s">
        <v>18</v>
      </c>
      <c r="O331" s="3"/>
      <c r="P331" s="3"/>
      <c r="Q331" s="3">
        <v>118.262</v>
      </c>
      <c r="R331" s="3" t="s">
        <v>15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89</v>
      </c>
      <c r="C332" s="3" t="s">
        <v>139</v>
      </c>
      <c r="D332" s="3"/>
      <c r="E332" s="3" t="s">
        <v>139</v>
      </c>
      <c r="F332" s="3"/>
      <c r="G332" s="3"/>
      <c r="H332" s="3"/>
      <c r="I332" s="3"/>
      <c r="J332" s="3"/>
      <c r="K332" s="3"/>
      <c r="L332" s="3" t="s">
        <v>90</v>
      </c>
      <c r="M332" s="3">
        <v>60</v>
      </c>
      <c r="N332" s="3" t="s">
        <v>103</v>
      </c>
      <c r="O332" s="3"/>
      <c r="P332" s="3"/>
      <c r="Q332" s="3">
        <v>30.074000000000002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89</v>
      </c>
      <c r="C333" s="3" t="s">
        <v>139</v>
      </c>
      <c r="D333" s="3"/>
      <c r="E333" s="3" t="s">
        <v>139</v>
      </c>
      <c r="F333" s="3"/>
      <c r="G333" s="3"/>
      <c r="H333" s="3"/>
      <c r="I333" s="3"/>
      <c r="J333" s="3"/>
      <c r="K333" s="3"/>
      <c r="L333" s="3" t="s">
        <v>90</v>
      </c>
      <c r="M333" s="3">
        <v>70</v>
      </c>
      <c r="N333" s="3" t="s">
        <v>104</v>
      </c>
      <c r="O333" s="3"/>
      <c r="P333" s="3"/>
      <c r="Q333" s="3">
        <v>184.953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89</v>
      </c>
      <c r="C334" s="3" t="s">
        <v>139</v>
      </c>
      <c r="D334" s="3"/>
      <c r="E334" s="3" t="s">
        <v>139</v>
      </c>
      <c r="F334" s="3"/>
      <c r="G334" s="3"/>
      <c r="H334" s="3"/>
      <c r="I334" s="3"/>
      <c r="J334" s="3"/>
      <c r="K334" s="3"/>
      <c r="L334" s="3" t="s">
        <v>90</v>
      </c>
      <c r="M334" s="3">
        <v>80</v>
      </c>
      <c r="N334" s="3" t="s">
        <v>107</v>
      </c>
      <c r="O334" s="3"/>
      <c r="P334" s="3"/>
      <c r="Q334" s="3">
        <v>4</v>
      </c>
      <c r="R334" s="3" t="s">
        <v>11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89</v>
      </c>
      <c r="C335" s="3" t="s">
        <v>139</v>
      </c>
      <c r="D335" s="3"/>
      <c r="E335" s="3" t="s">
        <v>139</v>
      </c>
      <c r="F335" s="3"/>
      <c r="G335" s="3"/>
      <c r="H335" s="3"/>
      <c r="I335" s="3"/>
      <c r="J335" s="3"/>
      <c r="K335" s="3"/>
      <c r="L335" s="3" t="s">
        <v>90</v>
      </c>
      <c r="M335" s="3">
        <v>90</v>
      </c>
      <c r="N335" s="3" t="s">
        <v>21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89</v>
      </c>
      <c r="C336" s="3" t="s">
        <v>139</v>
      </c>
      <c r="D336" s="3"/>
      <c r="E336" s="3" t="s">
        <v>139</v>
      </c>
      <c r="F336" s="3"/>
      <c r="G336" s="3"/>
      <c r="H336" s="3"/>
      <c r="I336" s="3"/>
      <c r="J336" s="3"/>
      <c r="K336" s="3"/>
      <c r="L336" s="3" t="s">
        <v>90</v>
      </c>
      <c r="M336" s="3">
        <v>100</v>
      </c>
      <c r="N336" s="3" t="s">
        <v>22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89</v>
      </c>
      <c r="C337" s="3" t="s">
        <v>139</v>
      </c>
      <c r="D337" s="3"/>
      <c r="E337" s="3" t="s">
        <v>139</v>
      </c>
      <c r="F337" s="3"/>
      <c r="G337" s="3"/>
      <c r="H337" s="3"/>
      <c r="I337" s="3"/>
      <c r="J337" s="3"/>
      <c r="K337" s="3"/>
      <c r="L337" s="3" t="s">
        <v>90</v>
      </c>
      <c r="M337" s="3">
        <v>110</v>
      </c>
      <c r="N337" s="3" t="s">
        <v>23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89</v>
      </c>
      <c r="C338" s="3" t="s">
        <v>139</v>
      </c>
      <c r="D338" s="3"/>
      <c r="E338" s="3" t="s">
        <v>139</v>
      </c>
      <c r="F338" s="3"/>
      <c r="G338" s="3"/>
      <c r="H338" s="3"/>
      <c r="I338" s="3"/>
      <c r="J338" s="3"/>
      <c r="K338" s="3"/>
      <c r="L338" s="3" t="s">
        <v>90</v>
      </c>
      <c r="M338" s="3">
        <v>120</v>
      </c>
      <c r="N338" s="3" t="s">
        <v>112</v>
      </c>
      <c r="O338" s="3"/>
      <c r="P338" s="3"/>
      <c r="Q338" s="3">
        <v>0.60099999999999998</v>
      </c>
      <c r="R338" s="3" t="s">
        <v>13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89</v>
      </c>
      <c r="C339" s="3" t="s">
        <v>139</v>
      </c>
      <c r="D339" s="3"/>
      <c r="E339" s="3" t="s">
        <v>139</v>
      </c>
      <c r="F339" s="3"/>
      <c r="G339" s="3"/>
      <c r="H339" s="3"/>
      <c r="I339" s="3"/>
      <c r="J339" s="3"/>
      <c r="K339" s="3"/>
      <c r="L339" s="3" t="s">
        <v>90</v>
      </c>
      <c r="M339" s="3">
        <v>130</v>
      </c>
      <c r="N339" s="3" t="s">
        <v>156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16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89</v>
      </c>
      <c r="C340" s="3" t="s">
        <v>139</v>
      </c>
      <c r="D340" s="3"/>
      <c r="E340" s="3" t="s">
        <v>139</v>
      </c>
      <c r="F340" s="3"/>
      <c r="G340" s="3"/>
      <c r="H340" s="3"/>
      <c r="I340" s="3"/>
      <c r="J340" s="3"/>
      <c r="K340" s="3"/>
      <c r="L340" s="3" t="s">
        <v>90</v>
      </c>
      <c r="M340" s="3">
        <v>140</v>
      </c>
      <c r="N340" s="3" t="s">
        <v>157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89</v>
      </c>
      <c r="C341" s="3" t="s">
        <v>140</v>
      </c>
      <c r="D341" s="3"/>
      <c r="E341" s="3" t="s">
        <v>140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158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89</v>
      </c>
      <c r="C342" s="3" t="s">
        <v>140</v>
      </c>
      <c r="D342" s="3"/>
      <c r="E342" s="3" t="s">
        <v>140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102</v>
      </c>
      <c r="O342" s="3"/>
      <c r="P342" s="3"/>
      <c r="Q342" s="3">
        <v>0.94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89</v>
      </c>
      <c r="C343" s="3" t="s">
        <v>140</v>
      </c>
      <c r="D343" s="3"/>
      <c r="E343" s="3" t="s">
        <v>140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136</v>
      </c>
      <c r="O343" s="3"/>
      <c r="P343" s="3"/>
      <c r="Q343" s="3">
        <v>0.94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89</v>
      </c>
      <c r="C344" s="3" t="s">
        <v>140</v>
      </c>
      <c r="D344" s="3"/>
      <c r="E344" s="3" t="s">
        <v>140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0.439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89</v>
      </c>
      <c r="C345" s="3" t="s">
        <v>140</v>
      </c>
      <c r="D345" s="3"/>
      <c r="E345" s="3" t="s">
        <v>140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18</v>
      </c>
      <c r="O345" s="3"/>
      <c r="P345" s="3"/>
      <c r="Q345" s="3">
        <v>91.44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89</v>
      </c>
      <c r="C346" s="3" t="s">
        <v>140</v>
      </c>
      <c r="D346" s="3"/>
      <c r="E346" s="3" t="s">
        <v>140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103</v>
      </c>
      <c r="O346" s="3"/>
      <c r="P346" s="3"/>
      <c r="Q346" s="3">
        <v>23.367999999999999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89</v>
      </c>
      <c r="C347" s="3" t="s">
        <v>140</v>
      </c>
      <c r="D347" s="3"/>
      <c r="E347" s="3" t="s">
        <v>140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104</v>
      </c>
      <c r="O347" s="3"/>
      <c r="P347" s="3"/>
      <c r="Q347" s="3">
        <v>143.71299999999999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89</v>
      </c>
      <c r="C348" s="3" t="s">
        <v>140</v>
      </c>
      <c r="D348" s="3"/>
      <c r="E348" s="3" t="s">
        <v>140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107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89</v>
      </c>
      <c r="C349" s="3" t="s">
        <v>140</v>
      </c>
      <c r="D349" s="3"/>
      <c r="E349" s="3" t="s">
        <v>140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21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89</v>
      </c>
      <c r="C350" s="3" t="s">
        <v>140</v>
      </c>
      <c r="D350" s="3"/>
      <c r="E350" s="3" t="s">
        <v>140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22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89</v>
      </c>
      <c r="C351" s="3" t="s">
        <v>140</v>
      </c>
      <c r="D351" s="3"/>
      <c r="E351" s="3" t="s">
        <v>140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23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89</v>
      </c>
      <c r="C352" s="3" t="s">
        <v>140</v>
      </c>
      <c r="D352" s="3"/>
      <c r="E352" s="3" t="s">
        <v>140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112</v>
      </c>
      <c r="O352" s="3"/>
      <c r="P352" s="3"/>
      <c r="Q352" s="3">
        <v>0.33</v>
      </c>
      <c r="R352" s="3" t="s">
        <v>13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89</v>
      </c>
      <c r="C353" s="3" t="s">
        <v>140</v>
      </c>
      <c r="D353" s="3"/>
      <c r="E353" s="3" t="s">
        <v>140</v>
      </c>
      <c r="F353" s="3"/>
      <c r="G353" s="3"/>
      <c r="H353" s="3"/>
      <c r="I353" s="3"/>
      <c r="J353" s="3"/>
      <c r="K353" s="3"/>
      <c r="L353" s="3" t="s">
        <v>90</v>
      </c>
      <c r="M353" s="3">
        <v>130</v>
      </c>
      <c r="N353" s="3" t="s">
        <v>159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89</v>
      </c>
      <c r="C354" s="3" t="s">
        <v>140</v>
      </c>
      <c r="D354" s="3"/>
      <c r="E354" s="3" t="s">
        <v>140</v>
      </c>
      <c r="F354" s="3"/>
      <c r="G354" s="3"/>
      <c r="H354" s="3"/>
      <c r="I354" s="3"/>
      <c r="J354" s="3"/>
      <c r="K354" s="3"/>
      <c r="L354" s="3" t="s">
        <v>90</v>
      </c>
      <c r="M354" s="3">
        <v>140</v>
      </c>
      <c r="N354" s="3" t="s">
        <v>160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89</v>
      </c>
      <c r="C355" s="3" t="s">
        <v>141</v>
      </c>
      <c r="D355" s="3"/>
      <c r="E355" s="3" t="s">
        <v>141</v>
      </c>
      <c r="F355" s="3"/>
      <c r="G355" s="3"/>
      <c r="H355" s="3"/>
      <c r="I355" s="3"/>
      <c r="J355" s="3"/>
      <c r="K355" s="3"/>
      <c r="L355" s="3" t="s">
        <v>90</v>
      </c>
      <c r="M355" s="3">
        <v>10</v>
      </c>
      <c r="N355" s="3" t="s">
        <v>161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89</v>
      </c>
      <c r="C356" s="3" t="s">
        <v>141</v>
      </c>
      <c r="D356" s="3"/>
      <c r="E356" s="3" t="s">
        <v>141</v>
      </c>
      <c r="F356" s="3"/>
      <c r="G356" s="3"/>
      <c r="H356" s="3"/>
      <c r="I356" s="3"/>
      <c r="J356" s="3"/>
      <c r="K356" s="3"/>
      <c r="L356" s="3" t="s">
        <v>90</v>
      </c>
      <c r="M356" s="3">
        <v>20</v>
      </c>
      <c r="N356" s="3" t="s">
        <v>102</v>
      </c>
      <c r="O356" s="3"/>
      <c r="P356" s="3"/>
      <c r="Q356" s="3">
        <v>1.2450000000000001</v>
      </c>
      <c r="R356" s="3" t="s">
        <v>15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89</v>
      </c>
      <c r="C357" s="3" t="s">
        <v>141</v>
      </c>
      <c r="D357" s="3"/>
      <c r="E357" s="3" t="s">
        <v>141</v>
      </c>
      <c r="F357" s="3"/>
      <c r="G357" s="3"/>
      <c r="H357" s="3"/>
      <c r="I357" s="3"/>
      <c r="J357" s="3"/>
      <c r="K357" s="3"/>
      <c r="L357" s="3" t="s">
        <v>90</v>
      </c>
      <c r="M357" s="3">
        <v>30</v>
      </c>
      <c r="N357" s="3" t="s">
        <v>136</v>
      </c>
      <c r="O357" s="3"/>
      <c r="P357" s="3"/>
      <c r="Q357" s="3">
        <v>1.2450000000000001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89</v>
      </c>
      <c r="C358" s="3" t="s">
        <v>141</v>
      </c>
      <c r="D358" s="3"/>
      <c r="E358" s="3" t="s">
        <v>141</v>
      </c>
      <c r="F358" s="3"/>
      <c r="G358" s="3"/>
      <c r="H358" s="3"/>
      <c r="I358" s="3"/>
      <c r="J358" s="3"/>
      <c r="K358" s="3"/>
      <c r="L358" s="3" t="s">
        <v>90</v>
      </c>
      <c r="M358" s="3">
        <v>40</v>
      </c>
      <c r="N358" s="3" t="s">
        <v>105</v>
      </c>
      <c r="O358" s="3"/>
      <c r="P358" s="3"/>
      <c r="Q358" s="3">
        <v>0.61</v>
      </c>
      <c r="R358" s="3" t="s">
        <v>106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89</v>
      </c>
      <c r="C359" s="3" t="s">
        <v>141</v>
      </c>
      <c r="D359" s="3"/>
      <c r="E359" s="3" t="s">
        <v>141</v>
      </c>
      <c r="F359" s="3"/>
      <c r="G359" s="3"/>
      <c r="H359" s="3"/>
      <c r="I359" s="3"/>
      <c r="J359" s="3"/>
      <c r="K359" s="3"/>
      <c r="L359" s="3" t="s">
        <v>90</v>
      </c>
      <c r="M359" s="3">
        <v>50</v>
      </c>
      <c r="N359" s="3" t="s">
        <v>18</v>
      </c>
      <c r="O359" s="3"/>
      <c r="P359" s="3"/>
      <c r="Q359" s="3">
        <v>101.194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89</v>
      </c>
      <c r="C360" s="3" t="s">
        <v>141</v>
      </c>
      <c r="D360" s="3"/>
      <c r="E360" s="3" t="s">
        <v>141</v>
      </c>
      <c r="F360" s="3"/>
      <c r="G360" s="3"/>
      <c r="H360" s="3"/>
      <c r="I360" s="3"/>
      <c r="J360" s="3"/>
      <c r="K360" s="3"/>
      <c r="L360" s="3" t="s">
        <v>90</v>
      </c>
      <c r="M360" s="3">
        <v>60</v>
      </c>
      <c r="N360" s="3" t="s">
        <v>103</v>
      </c>
      <c r="O360" s="3"/>
      <c r="P360" s="3"/>
      <c r="Q360" s="3">
        <v>25.806000000000001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89</v>
      </c>
      <c r="C361" s="3" t="s">
        <v>141</v>
      </c>
      <c r="D361" s="3"/>
      <c r="E361" s="3" t="s">
        <v>141</v>
      </c>
      <c r="F361" s="3"/>
      <c r="G361" s="3"/>
      <c r="H361" s="3"/>
      <c r="I361" s="3"/>
      <c r="J361" s="3"/>
      <c r="K361" s="3"/>
      <c r="L361" s="3" t="s">
        <v>90</v>
      </c>
      <c r="M361" s="3">
        <v>70</v>
      </c>
      <c r="N361" s="3" t="s">
        <v>104</v>
      </c>
      <c r="O361" s="3"/>
      <c r="P361" s="3"/>
      <c r="Q361" s="3">
        <v>158.709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89</v>
      </c>
      <c r="C362" s="3" t="s">
        <v>141</v>
      </c>
      <c r="D362" s="3"/>
      <c r="E362" s="3" t="s">
        <v>141</v>
      </c>
      <c r="F362" s="3"/>
      <c r="G362" s="3"/>
      <c r="H362" s="3"/>
      <c r="I362" s="3"/>
      <c r="J362" s="3"/>
      <c r="K362" s="3"/>
      <c r="L362" s="3" t="s">
        <v>90</v>
      </c>
      <c r="M362" s="3">
        <v>80</v>
      </c>
      <c r="N362" s="3" t="s">
        <v>107</v>
      </c>
      <c r="O362" s="3"/>
      <c r="P362" s="3"/>
      <c r="Q362" s="3">
        <v>4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89</v>
      </c>
      <c r="C363" s="3" t="s">
        <v>141</v>
      </c>
      <c r="D363" s="3"/>
      <c r="E363" s="3" t="s">
        <v>141</v>
      </c>
      <c r="F363" s="3"/>
      <c r="G363" s="3"/>
      <c r="H363" s="3"/>
      <c r="I363" s="3"/>
      <c r="J363" s="3"/>
      <c r="K363" s="3"/>
      <c r="L363" s="3" t="s">
        <v>90</v>
      </c>
      <c r="M363" s="3">
        <v>90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89</v>
      </c>
      <c r="C364" s="3" t="s">
        <v>141</v>
      </c>
      <c r="D364" s="3"/>
      <c r="E364" s="3" t="s">
        <v>141</v>
      </c>
      <c r="F364" s="3"/>
      <c r="G364" s="3"/>
      <c r="H364" s="3"/>
      <c r="I364" s="3"/>
      <c r="J364" s="3"/>
      <c r="K364" s="3"/>
      <c r="L364" s="3" t="s">
        <v>90</v>
      </c>
      <c r="M364" s="3">
        <v>100</v>
      </c>
      <c r="N364" s="3" t="s">
        <v>22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89</v>
      </c>
      <c r="C365" s="3" t="s">
        <v>141</v>
      </c>
      <c r="D365" s="3"/>
      <c r="E365" s="3" t="s">
        <v>141</v>
      </c>
      <c r="F365" s="3"/>
      <c r="G365" s="3"/>
      <c r="H365" s="3"/>
      <c r="I365" s="3"/>
      <c r="J365" s="3"/>
      <c r="K365" s="3"/>
      <c r="L365" s="3" t="s">
        <v>90</v>
      </c>
      <c r="M365" s="3">
        <v>110</v>
      </c>
      <c r="N365" s="3" t="s">
        <v>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89</v>
      </c>
      <c r="C366" s="3" t="s">
        <v>141</v>
      </c>
      <c r="D366" s="3"/>
      <c r="E366" s="3" t="s">
        <v>141</v>
      </c>
      <c r="F366" s="3"/>
      <c r="G366" s="3"/>
      <c r="H366" s="3"/>
      <c r="I366" s="3"/>
      <c r="J366" s="3"/>
      <c r="K366" s="3"/>
      <c r="L366" s="3" t="s">
        <v>90</v>
      </c>
      <c r="M366" s="3">
        <v>120</v>
      </c>
      <c r="N366" s="3" t="s">
        <v>112</v>
      </c>
      <c r="O366" s="3"/>
      <c r="P366" s="3"/>
      <c r="Q366" s="3">
        <v>0.42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89</v>
      </c>
      <c r="C367" s="3" t="s">
        <v>141</v>
      </c>
      <c r="D367" s="3"/>
      <c r="E367" s="3" t="s">
        <v>141</v>
      </c>
      <c r="F367" s="3"/>
      <c r="G367" s="3"/>
      <c r="H367" s="3"/>
      <c r="I367" s="3"/>
      <c r="J367" s="3"/>
      <c r="K367" s="3"/>
      <c r="L367" s="3" t="s">
        <v>90</v>
      </c>
      <c r="M367" s="3">
        <v>130</v>
      </c>
      <c r="N367" s="3" t="s">
        <v>162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89</v>
      </c>
      <c r="C368" s="3" t="s">
        <v>141</v>
      </c>
      <c r="D368" s="3"/>
      <c r="E368" s="3" t="s">
        <v>141</v>
      </c>
      <c r="F368" s="3"/>
      <c r="G368" s="3"/>
      <c r="H368" s="3"/>
      <c r="I368" s="3"/>
      <c r="J368" s="3"/>
      <c r="K368" s="3"/>
      <c r="L368" s="3" t="s">
        <v>90</v>
      </c>
      <c r="M368" s="3">
        <v>140</v>
      </c>
      <c r="N368" s="3" t="s">
        <v>163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89</v>
      </c>
      <c r="C369" s="3" t="s">
        <v>142</v>
      </c>
      <c r="D369" s="3"/>
      <c r="E369" s="3" t="s">
        <v>142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164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89</v>
      </c>
      <c r="C370" s="3" t="s">
        <v>142</v>
      </c>
      <c r="D370" s="3"/>
      <c r="E370" s="3" t="s">
        <v>142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102</v>
      </c>
      <c r="O370" s="3"/>
      <c r="P370" s="3"/>
      <c r="Q370" s="3">
        <v>1.5489999999999999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89</v>
      </c>
      <c r="C371" s="3" t="s">
        <v>142</v>
      </c>
      <c r="D371" s="3"/>
      <c r="E371" s="3" t="s">
        <v>142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136</v>
      </c>
      <c r="O371" s="3"/>
      <c r="P371" s="3"/>
      <c r="Q371" s="3">
        <v>1.5489999999999999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89</v>
      </c>
      <c r="C372" s="3" t="s">
        <v>142</v>
      </c>
      <c r="D372" s="3"/>
      <c r="E372" s="3" t="s">
        <v>142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0.78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89</v>
      </c>
      <c r="C373" s="3" t="s">
        <v>142</v>
      </c>
      <c r="D373" s="3"/>
      <c r="E373" s="3" t="s">
        <v>142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110.947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89</v>
      </c>
      <c r="C374" s="3" t="s">
        <v>142</v>
      </c>
      <c r="D374" s="3"/>
      <c r="E374" s="3" t="s">
        <v>142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103</v>
      </c>
      <c r="O374" s="3"/>
      <c r="P374" s="3"/>
      <c r="Q374" s="3">
        <v>28.245000000000001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89</v>
      </c>
      <c r="C375" s="3" t="s">
        <v>142</v>
      </c>
      <c r="D375" s="3"/>
      <c r="E375" s="3" t="s">
        <v>142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104</v>
      </c>
      <c r="O375" s="3"/>
      <c r="P375" s="3"/>
      <c r="Q375" s="3">
        <v>173.70599999999999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89</v>
      </c>
      <c r="C376" s="3" t="s">
        <v>142</v>
      </c>
      <c r="D376" s="3"/>
      <c r="E376" s="3" t="s">
        <v>142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107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89</v>
      </c>
      <c r="C377" s="3" t="s">
        <v>142</v>
      </c>
      <c r="D377" s="3"/>
      <c r="E377" s="3" t="s">
        <v>142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89</v>
      </c>
      <c r="C378" s="3" t="s">
        <v>142</v>
      </c>
      <c r="D378" s="3"/>
      <c r="E378" s="3" t="s">
        <v>142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89</v>
      </c>
      <c r="C379" s="3" t="s">
        <v>142</v>
      </c>
      <c r="D379" s="3"/>
      <c r="E379" s="3" t="s">
        <v>142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89</v>
      </c>
      <c r="C380" s="3" t="s">
        <v>142</v>
      </c>
      <c r="D380" s="3"/>
      <c r="E380" s="3" t="s">
        <v>142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112</v>
      </c>
      <c r="O380" s="3"/>
      <c r="P380" s="3"/>
      <c r="Q380" s="3">
        <v>0.51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89</v>
      </c>
      <c r="C381" s="3" t="s">
        <v>142</v>
      </c>
      <c r="D381" s="3"/>
      <c r="E381" s="3" t="s">
        <v>142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165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140</v>
      </c>
      <c r="N382" s="3" t="s">
        <v>166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89</v>
      </c>
      <c r="C383" s="3" t="s">
        <v>143</v>
      </c>
      <c r="D383" s="3"/>
      <c r="E383" s="3" t="s">
        <v>143</v>
      </c>
      <c r="F383" s="3"/>
      <c r="G383" s="3"/>
      <c r="H383" s="3"/>
      <c r="I383" s="3"/>
      <c r="J383" s="3"/>
      <c r="K383" s="3"/>
      <c r="L383" s="3" t="s">
        <v>90</v>
      </c>
      <c r="M383" s="3">
        <v>10</v>
      </c>
      <c r="N383" s="3" t="s">
        <v>167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89</v>
      </c>
      <c r="C384" s="3" t="s">
        <v>143</v>
      </c>
      <c r="D384" s="3"/>
      <c r="E384" s="3" t="s">
        <v>143</v>
      </c>
      <c r="F384" s="3"/>
      <c r="G384" s="3"/>
      <c r="H384" s="3"/>
      <c r="I384" s="3"/>
      <c r="J384" s="3"/>
      <c r="K384" s="3"/>
      <c r="L384" s="3" t="s">
        <v>90</v>
      </c>
      <c r="M384" s="3">
        <v>20</v>
      </c>
      <c r="N384" s="3" t="s">
        <v>102</v>
      </c>
      <c r="O384" s="3"/>
      <c r="P384" s="3"/>
      <c r="Q384" s="3">
        <v>1.8540000000000001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89</v>
      </c>
      <c r="C385" s="3" t="s">
        <v>143</v>
      </c>
      <c r="D385" s="3"/>
      <c r="E385" s="3" t="s">
        <v>143</v>
      </c>
      <c r="F385" s="3"/>
      <c r="G385" s="3"/>
      <c r="H385" s="3"/>
      <c r="I385" s="3"/>
      <c r="J385" s="3"/>
      <c r="K385" s="3"/>
      <c r="L385" s="3" t="s">
        <v>90</v>
      </c>
      <c r="M385" s="3">
        <v>30</v>
      </c>
      <c r="N385" s="3" t="s">
        <v>136</v>
      </c>
      <c r="O385" s="3"/>
      <c r="P385" s="3"/>
      <c r="Q385" s="3">
        <v>1.8540000000000001</v>
      </c>
      <c r="R385" s="3" t="s">
        <v>15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89</v>
      </c>
      <c r="C386" s="3" t="s">
        <v>143</v>
      </c>
      <c r="D386" s="3"/>
      <c r="E386" s="3" t="s">
        <v>143</v>
      </c>
      <c r="F386" s="3"/>
      <c r="G386" s="3"/>
      <c r="H386" s="3"/>
      <c r="I386" s="3"/>
      <c r="J386" s="3"/>
      <c r="K386" s="3"/>
      <c r="L386" s="3" t="s">
        <v>90</v>
      </c>
      <c r="M386" s="3">
        <v>40</v>
      </c>
      <c r="N386" s="3" t="s">
        <v>105</v>
      </c>
      <c r="O386" s="3"/>
      <c r="P386" s="3"/>
      <c r="Q386" s="3">
        <v>0.95</v>
      </c>
      <c r="R386" s="3" t="s">
        <v>106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89</v>
      </c>
      <c r="C387" s="3" t="s">
        <v>143</v>
      </c>
      <c r="D387" s="3"/>
      <c r="E387" s="3" t="s">
        <v>143</v>
      </c>
      <c r="F387" s="3"/>
      <c r="G387" s="3"/>
      <c r="H387" s="3"/>
      <c r="I387" s="3"/>
      <c r="J387" s="3"/>
      <c r="K387" s="3"/>
      <c r="L387" s="3" t="s">
        <v>90</v>
      </c>
      <c r="M387" s="3">
        <v>50</v>
      </c>
      <c r="N387" s="3" t="s">
        <v>18</v>
      </c>
      <c r="O387" s="3"/>
      <c r="P387" s="3"/>
      <c r="Q387" s="3">
        <v>120.70099999999999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89</v>
      </c>
      <c r="C388" s="3" t="s">
        <v>143</v>
      </c>
      <c r="D388" s="3"/>
      <c r="E388" s="3" t="s">
        <v>143</v>
      </c>
      <c r="F388" s="3"/>
      <c r="G388" s="3"/>
      <c r="H388" s="3"/>
      <c r="I388" s="3"/>
      <c r="J388" s="3"/>
      <c r="K388" s="3"/>
      <c r="L388" s="3" t="s">
        <v>90</v>
      </c>
      <c r="M388" s="3">
        <v>60</v>
      </c>
      <c r="N388" s="3" t="s">
        <v>103</v>
      </c>
      <c r="O388" s="3"/>
      <c r="P388" s="3"/>
      <c r="Q388" s="3">
        <v>30.683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89</v>
      </c>
      <c r="C389" s="3" t="s">
        <v>143</v>
      </c>
      <c r="D389" s="3"/>
      <c r="E389" s="3" t="s">
        <v>143</v>
      </c>
      <c r="F389" s="3"/>
      <c r="G389" s="3"/>
      <c r="H389" s="3"/>
      <c r="I389" s="3"/>
      <c r="J389" s="3"/>
      <c r="K389" s="3"/>
      <c r="L389" s="3" t="s">
        <v>90</v>
      </c>
      <c r="M389" s="3">
        <v>70</v>
      </c>
      <c r="N389" s="3" t="s">
        <v>104</v>
      </c>
      <c r="O389" s="3"/>
      <c r="P389" s="3"/>
      <c r="Q389" s="3">
        <v>188.702</v>
      </c>
      <c r="R389" s="3" t="s">
        <v>15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89</v>
      </c>
      <c r="C390" s="3" t="s">
        <v>143</v>
      </c>
      <c r="D390" s="3"/>
      <c r="E390" s="3" t="s">
        <v>143</v>
      </c>
      <c r="F390" s="3"/>
      <c r="G390" s="3"/>
      <c r="H390" s="3"/>
      <c r="I390" s="3"/>
      <c r="J390" s="3"/>
      <c r="K390" s="3"/>
      <c r="L390" s="3" t="s">
        <v>90</v>
      </c>
      <c r="M390" s="3">
        <v>80</v>
      </c>
      <c r="N390" s="3" t="s">
        <v>107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89</v>
      </c>
      <c r="C391" s="3" t="s">
        <v>143</v>
      </c>
      <c r="D391" s="3"/>
      <c r="E391" s="3" t="s">
        <v>143</v>
      </c>
      <c r="F391" s="3"/>
      <c r="G391" s="3"/>
      <c r="H391" s="3"/>
      <c r="I391" s="3"/>
      <c r="J391" s="3"/>
      <c r="K391" s="3"/>
      <c r="L391" s="3" t="s">
        <v>90</v>
      </c>
      <c r="M391" s="3">
        <v>90</v>
      </c>
      <c r="N391" s="3" t="s">
        <v>21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89</v>
      </c>
      <c r="C392" s="3" t="s">
        <v>143</v>
      </c>
      <c r="D392" s="3"/>
      <c r="E392" s="3" t="s">
        <v>143</v>
      </c>
      <c r="F392" s="3"/>
      <c r="G392" s="3"/>
      <c r="H392" s="3"/>
      <c r="I392" s="3"/>
      <c r="J392" s="3"/>
      <c r="K392" s="3"/>
      <c r="L392" s="3" t="s">
        <v>90</v>
      </c>
      <c r="M392" s="3">
        <v>100</v>
      </c>
      <c r="N392" s="3" t="s">
        <v>22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89</v>
      </c>
      <c r="C393" s="3" t="s">
        <v>143</v>
      </c>
      <c r="D393" s="3"/>
      <c r="E393" s="3" t="s">
        <v>143</v>
      </c>
      <c r="F393" s="3"/>
      <c r="G393" s="3"/>
      <c r="H393" s="3"/>
      <c r="I393" s="3"/>
      <c r="J393" s="3"/>
      <c r="K393" s="3"/>
      <c r="L393" s="3" t="s">
        <v>90</v>
      </c>
      <c r="M393" s="3">
        <v>110</v>
      </c>
      <c r="N393" s="3" t="s">
        <v>23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89</v>
      </c>
      <c r="C394" s="3" t="s">
        <v>143</v>
      </c>
      <c r="D394" s="3"/>
      <c r="E394" s="3" t="s">
        <v>143</v>
      </c>
      <c r="F394" s="3"/>
      <c r="G394" s="3"/>
      <c r="H394" s="3"/>
      <c r="I394" s="3"/>
      <c r="J394" s="3"/>
      <c r="K394" s="3"/>
      <c r="L394" s="3" t="s">
        <v>90</v>
      </c>
      <c r="M394" s="3">
        <v>120</v>
      </c>
      <c r="N394" s="3" t="s">
        <v>112</v>
      </c>
      <c r="O394" s="3"/>
      <c r="P394" s="3"/>
      <c r="Q394" s="3">
        <v>0.60099999999999998</v>
      </c>
      <c r="R394" s="3" t="s">
        <v>13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130</v>
      </c>
      <c r="N395" s="3" t="s">
        <v>168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140</v>
      </c>
      <c r="N396" s="3" t="s">
        <v>169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89</v>
      </c>
      <c r="C397" s="3" t="s">
        <v>144</v>
      </c>
      <c r="D397" s="3"/>
      <c r="E397" s="3" t="s">
        <v>144</v>
      </c>
      <c r="F397" s="3"/>
      <c r="G397" s="3"/>
      <c r="H397" s="3"/>
      <c r="I397" s="3"/>
      <c r="J397" s="3"/>
      <c r="K397" s="3"/>
      <c r="L397" s="3" t="s">
        <v>90</v>
      </c>
      <c r="M397" s="3">
        <v>10</v>
      </c>
      <c r="N397" s="3" t="s">
        <v>170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89</v>
      </c>
      <c r="C398" s="3" t="s">
        <v>144</v>
      </c>
      <c r="D398" s="3"/>
      <c r="E398" s="3" t="s">
        <v>144</v>
      </c>
      <c r="F398" s="3"/>
      <c r="G398" s="3"/>
      <c r="H398" s="3"/>
      <c r="I398" s="3"/>
      <c r="J398" s="3"/>
      <c r="K398" s="3"/>
      <c r="L398" s="3" t="s">
        <v>90</v>
      </c>
      <c r="M398" s="3">
        <v>20</v>
      </c>
      <c r="N398" s="3" t="s">
        <v>102</v>
      </c>
      <c r="O398" s="3"/>
      <c r="P398" s="3"/>
      <c r="Q398" s="3">
        <v>1.5489999999999999</v>
      </c>
      <c r="R398" s="3" t="s">
        <v>15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89</v>
      </c>
      <c r="C399" s="3" t="s">
        <v>144</v>
      </c>
      <c r="D399" s="3"/>
      <c r="E399" s="3" t="s">
        <v>144</v>
      </c>
      <c r="F399" s="3"/>
      <c r="G399" s="3"/>
      <c r="H399" s="3"/>
      <c r="I399" s="3"/>
      <c r="J399" s="3"/>
      <c r="K399" s="3"/>
      <c r="L399" s="3" t="s">
        <v>90</v>
      </c>
      <c r="M399" s="3">
        <v>30</v>
      </c>
      <c r="N399" s="3" t="s">
        <v>136</v>
      </c>
      <c r="O399" s="3"/>
      <c r="P399" s="3"/>
      <c r="Q399" s="3">
        <v>1.5489999999999999</v>
      </c>
      <c r="R399" s="3" t="s">
        <v>15</v>
      </c>
      <c r="S399" s="3"/>
      <c r="T399" s="3">
        <v>10</v>
      </c>
      <c r="U399" s="3"/>
      <c r="V399" s="3" t="s">
        <v>16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89</v>
      </c>
      <c r="C400" s="3" t="s">
        <v>144</v>
      </c>
      <c r="D400" s="3"/>
      <c r="E400" s="3" t="s">
        <v>144</v>
      </c>
      <c r="F400" s="3"/>
      <c r="G400" s="3"/>
      <c r="H400" s="3"/>
      <c r="I400" s="3"/>
      <c r="J400" s="3"/>
      <c r="K400" s="3"/>
      <c r="L400" s="3" t="s">
        <v>90</v>
      </c>
      <c r="M400" s="3">
        <v>40</v>
      </c>
      <c r="N400" s="3" t="s">
        <v>105</v>
      </c>
      <c r="O400" s="3"/>
      <c r="P400" s="3"/>
      <c r="Q400" s="3">
        <v>0.81299999999999994</v>
      </c>
      <c r="R400" s="3" t="s">
        <v>106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89</v>
      </c>
      <c r="C401" s="3" t="s">
        <v>144</v>
      </c>
      <c r="D401" s="3"/>
      <c r="E401" s="3" t="s">
        <v>144</v>
      </c>
      <c r="F401" s="3"/>
      <c r="G401" s="3"/>
      <c r="H401" s="3"/>
      <c r="I401" s="3"/>
      <c r="J401" s="3"/>
      <c r="K401" s="3"/>
      <c r="L401" s="3" t="s">
        <v>90</v>
      </c>
      <c r="M401" s="3">
        <v>50</v>
      </c>
      <c r="N401" s="3" t="s">
        <v>18</v>
      </c>
      <c r="O401" s="3"/>
      <c r="P401" s="3"/>
      <c r="Q401" s="3">
        <v>113.386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89</v>
      </c>
      <c r="C402" s="3" t="s">
        <v>144</v>
      </c>
      <c r="D402" s="3"/>
      <c r="E402" s="3" t="s">
        <v>144</v>
      </c>
      <c r="F402" s="3"/>
      <c r="G402" s="3"/>
      <c r="H402" s="3"/>
      <c r="I402" s="3"/>
      <c r="J402" s="3"/>
      <c r="K402" s="3"/>
      <c r="L402" s="3" t="s">
        <v>90</v>
      </c>
      <c r="M402" s="3">
        <v>60</v>
      </c>
      <c r="N402" s="3" t="s">
        <v>103</v>
      </c>
      <c r="O402" s="3"/>
      <c r="P402" s="3"/>
      <c r="Q402" s="3">
        <v>28.853999999999999</v>
      </c>
      <c r="R402" s="3" t="s">
        <v>15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89</v>
      </c>
      <c r="C403" s="3" t="s">
        <v>144</v>
      </c>
      <c r="D403" s="3"/>
      <c r="E403" s="3" t="s">
        <v>144</v>
      </c>
      <c r="F403" s="3"/>
      <c r="G403" s="3"/>
      <c r="H403" s="3"/>
      <c r="I403" s="3"/>
      <c r="J403" s="3"/>
      <c r="K403" s="3"/>
      <c r="L403" s="3" t="s">
        <v>90</v>
      </c>
      <c r="M403" s="3">
        <v>70</v>
      </c>
      <c r="N403" s="3" t="s">
        <v>104</v>
      </c>
      <c r="O403" s="3"/>
      <c r="P403" s="3"/>
      <c r="Q403" s="3">
        <v>177.45500000000001</v>
      </c>
      <c r="R403" s="3" t="s">
        <v>15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89</v>
      </c>
      <c r="C404" s="3" t="s">
        <v>144</v>
      </c>
      <c r="D404" s="3"/>
      <c r="E404" s="3" t="s">
        <v>144</v>
      </c>
      <c r="F404" s="3"/>
      <c r="G404" s="3"/>
      <c r="H404" s="3"/>
      <c r="I404" s="3"/>
      <c r="J404" s="3"/>
      <c r="K404" s="3"/>
      <c r="L404" s="3" t="s">
        <v>90</v>
      </c>
      <c r="M404" s="3">
        <v>80</v>
      </c>
      <c r="N404" s="3" t="s">
        <v>107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89</v>
      </c>
      <c r="C405" s="3" t="s">
        <v>144</v>
      </c>
      <c r="D405" s="3"/>
      <c r="E405" s="3" t="s">
        <v>144</v>
      </c>
      <c r="F405" s="3"/>
      <c r="G405" s="3"/>
      <c r="H405" s="3"/>
      <c r="I405" s="3"/>
      <c r="J405" s="3"/>
      <c r="K405" s="3"/>
      <c r="L405" s="3" t="s">
        <v>90</v>
      </c>
      <c r="M405" s="3">
        <v>90</v>
      </c>
      <c r="N405" s="3" t="s">
        <v>21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89</v>
      </c>
      <c r="C406" s="3" t="s">
        <v>144</v>
      </c>
      <c r="D406" s="3"/>
      <c r="E406" s="3" t="s">
        <v>144</v>
      </c>
      <c r="F406" s="3"/>
      <c r="G406" s="3"/>
      <c r="H406" s="3"/>
      <c r="I406" s="3"/>
      <c r="J406" s="3"/>
      <c r="K406" s="3"/>
      <c r="L406" s="3" t="s">
        <v>90</v>
      </c>
      <c r="M406" s="3">
        <v>100</v>
      </c>
      <c r="N406" s="3" t="s">
        <v>22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89</v>
      </c>
      <c r="C407" s="3" t="s">
        <v>144</v>
      </c>
      <c r="D407" s="3"/>
      <c r="E407" s="3" t="s">
        <v>144</v>
      </c>
      <c r="F407" s="3"/>
      <c r="G407" s="3"/>
      <c r="H407" s="3"/>
      <c r="I407" s="3"/>
      <c r="J407" s="3"/>
      <c r="K407" s="3"/>
      <c r="L407" s="3" t="s">
        <v>90</v>
      </c>
      <c r="M407" s="3">
        <v>110</v>
      </c>
      <c r="N407" s="3" t="s">
        <v>23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120</v>
      </c>
      <c r="N408" s="3" t="s">
        <v>112</v>
      </c>
      <c r="O408" s="3"/>
      <c r="P408" s="3"/>
      <c r="Q408" s="3">
        <v>0.51</v>
      </c>
      <c r="R408" s="3" t="s">
        <v>13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130</v>
      </c>
      <c r="N409" s="3" t="s">
        <v>171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140</v>
      </c>
      <c r="N410" s="3" t="s">
        <v>172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89</v>
      </c>
      <c r="C411" s="3" t="s">
        <v>145</v>
      </c>
      <c r="D411" s="3"/>
      <c r="E411" s="3" t="s">
        <v>145</v>
      </c>
      <c r="F411" s="3"/>
      <c r="G411" s="3"/>
      <c r="H411" s="3"/>
      <c r="I411" s="3"/>
      <c r="J411" s="3"/>
      <c r="K411" s="3"/>
      <c r="L411" s="3" t="s">
        <v>90</v>
      </c>
      <c r="M411" s="3">
        <v>10</v>
      </c>
      <c r="N411" s="3" t="s">
        <v>173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89</v>
      </c>
      <c r="C412" s="3" t="s">
        <v>145</v>
      </c>
      <c r="D412" s="3"/>
      <c r="E412" s="3" t="s">
        <v>145</v>
      </c>
      <c r="F412" s="3"/>
      <c r="G412" s="3"/>
      <c r="H412" s="3"/>
      <c r="I412" s="3"/>
      <c r="J412" s="3"/>
      <c r="K412" s="3"/>
      <c r="L412" s="3" t="s">
        <v>90</v>
      </c>
      <c r="M412" s="3">
        <v>20</v>
      </c>
      <c r="N412" s="3" t="s">
        <v>102</v>
      </c>
      <c r="O412" s="3"/>
      <c r="P412" s="3"/>
      <c r="Q412" s="3">
        <v>1.8540000000000001</v>
      </c>
      <c r="R412" s="3" t="s">
        <v>15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89</v>
      </c>
      <c r="C413" s="3" t="s">
        <v>145</v>
      </c>
      <c r="D413" s="3"/>
      <c r="E413" s="3" t="s">
        <v>145</v>
      </c>
      <c r="F413" s="3"/>
      <c r="G413" s="3"/>
      <c r="H413" s="3"/>
      <c r="I413" s="3"/>
      <c r="J413" s="3"/>
      <c r="K413" s="3"/>
      <c r="L413" s="3" t="s">
        <v>90</v>
      </c>
      <c r="M413" s="3">
        <v>30</v>
      </c>
      <c r="N413" s="3" t="s">
        <v>136</v>
      </c>
      <c r="O413" s="3"/>
      <c r="P413" s="3"/>
      <c r="Q413" s="3">
        <v>1.8540000000000001</v>
      </c>
      <c r="R413" s="3" t="s">
        <v>15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89</v>
      </c>
      <c r="C414" s="3" t="s">
        <v>145</v>
      </c>
      <c r="D414" s="3"/>
      <c r="E414" s="3" t="s">
        <v>145</v>
      </c>
      <c r="F414" s="3"/>
      <c r="G414" s="3"/>
      <c r="H414" s="3"/>
      <c r="I414" s="3"/>
      <c r="J414" s="3"/>
      <c r="K414" s="3"/>
      <c r="L414" s="3" t="s">
        <v>90</v>
      </c>
      <c r="M414" s="3">
        <v>40</v>
      </c>
      <c r="N414" s="3" t="s">
        <v>105</v>
      </c>
      <c r="O414" s="3"/>
      <c r="P414" s="3"/>
      <c r="Q414" s="3">
        <v>0.99</v>
      </c>
      <c r="R414" s="3" t="s">
        <v>106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89</v>
      </c>
      <c r="C415" s="3" t="s">
        <v>145</v>
      </c>
      <c r="D415" s="3"/>
      <c r="E415" s="3" t="s">
        <v>145</v>
      </c>
      <c r="F415" s="3"/>
      <c r="G415" s="3"/>
      <c r="H415" s="3"/>
      <c r="I415" s="3"/>
      <c r="J415" s="3"/>
      <c r="K415" s="3"/>
      <c r="L415" s="3" t="s">
        <v>90</v>
      </c>
      <c r="M415" s="3">
        <v>50</v>
      </c>
      <c r="N415" s="3" t="s">
        <v>18</v>
      </c>
      <c r="O415" s="3"/>
      <c r="P415" s="3"/>
      <c r="Q415" s="3">
        <v>123.139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89</v>
      </c>
      <c r="C416" s="3" t="s">
        <v>145</v>
      </c>
      <c r="D416" s="3"/>
      <c r="E416" s="3" t="s">
        <v>145</v>
      </c>
      <c r="F416" s="3"/>
      <c r="G416" s="3"/>
      <c r="H416" s="3"/>
      <c r="I416" s="3"/>
      <c r="J416" s="3"/>
      <c r="K416" s="3"/>
      <c r="L416" s="3" t="s">
        <v>90</v>
      </c>
      <c r="M416" s="3">
        <v>60</v>
      </c>
      <c r="N416" s="3" t="s">
        <v>103</v>
      </c>
      <c r="O416" s="3"/>
      <c r="P416" s="3"/>
      <c r="Q416" s="3">
        <v>31.292999999999999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89</v>
      </c>
      <c r="C417" s="3" t="s">
        <v>145</v>
      </c>
      <c r="D417" s="3"/>
      <c r="E417" s="3" t="s">
        <v>145</v>
      </c>
      <c r="F417" s="3"/>
      <c r="G417" s="3"/>
      <c r="H417" s="3"/>
      <c r="I417" s="3"/>
      <c r="J417" s="3"/>
      <c r="K417" s="3"/>
      <c r="L417" s="3" t="s">
        <v>90</v>
      </c>
      <c r="M417" s="3">
        <v>70</v>
      </c>
      <c r="N417" s="3" t="s">
        <v>104</v>
      </c>
      <c r="O417" s="3"/>
      <c r="P417" s="3"/>
      <c r="Q417" s="3">
        <v>192.45099999999999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89</v>
      </c>
      <c r="C418" s="3" t="s">
        <v>145</v>
      </c>
      <c r="D418" s="3"/>
      <c r="E418" s="3" t="s">
        <v>145</v>
      </c>
      <c r="F418" s="3"/>
      <c r="G418" s="3"/>
      <c r="H418" s="3"/>
      <c r="I418" s="3"/>
      <c r="J418" s="3"/>
      <c r="K418" s="3"/>
      <c r="L418" s="3" t="s">
        <v>90</v>
      </c>
      <c r="M418" s="3">
        <v>80</v>
      </c>
      <c r="N418" s="3" t="s">
        <v>107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89</v>
      </c>
      <c r="C419" s="3" t="s">
        <v>145</v>
      </c>
      <c r="D419" s="3"/>
      <c r="E419" s="3" t="s">
        <v>145</v>
      </c>
      <c r="F419" s="3"/>
      <c r="G419" s="3"/>
      <c r="H419" s="3"/>
      <c r="I419" s="3"/>
      <c r="J419" s="3"/>
      <c r="K419" s="3"/>
      <c r="L419" s="3" t="s">
        <v>90</v>
      </c>
      <c r="M419" s="3">
        <v>90</v>
      </c>
      <c r="N419" s="3" t="s">
        <v>21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89</v>
      </c>
      <c r="C420" s="3" t="s">
        <v>145</v>
      </c>
      <c r="D420" s="3"/>
      <c r="E420" s="3" t="s">
        <v>145</v>
      </c>
      <c r="F420" s="3"/>
      <c r="G420" s="3"/>
      <c r="H420" s="3"/>
      <c r="I420" s="3"/>
      <c r="J420" s="3"/>
      <c r="K420" s="3"/>
      <c r="L420" s="3" t="s">
        <v>90</v>
      </c>
      <c r="M420" s="3">
        <v>100</v>
      </c>
      <c r="N420" s="3" t="s">
        <v>22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110</v>
      </c>
      <c r="N421" s="3" t="s">
        <v>23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120</v>
      </c>
      <c r="N422" s="3" t="s">
        <v>112</v>
      </c>
      <c r="O422" s="3"/>
      <c r="P422" s="3"/>
      <c r="Q422" s="3">
        <v>0.60099999999999998</v>
      </c>
      <c r="R422" s="3" t="s">
        <v>13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130</v>
      </c>
      <c r="N423" s="3" t="s">
        <v>174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140</v>
      </c>
      <c r="N424" s="3" t="s">
        <v>175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</sheetData>
  <autoFilter ref="A2:AM544"/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2026-06-01T09:14:06Z</dcterms:modified>
</cp:coreProperties>
</file>