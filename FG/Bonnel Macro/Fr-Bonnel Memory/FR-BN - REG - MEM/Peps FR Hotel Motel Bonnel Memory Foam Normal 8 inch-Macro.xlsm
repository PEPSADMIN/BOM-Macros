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REG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G5" i="13" l="1"/>
  <c r="H13" i="13" l="1"/>
  <c r="G12" i="13"/>
  <c r="H12" i="13" s="1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<sst xmlns="http://schemas.openxmlformats.org/spreadsheetml/2006/main" count="10216" uniqueCount="338">
  <si>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</si>
  <si>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</si>
  <si>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</si>
  <si>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</si>
  <si>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</si>
  <si>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</si>
  <si>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</si>
  <si>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</si>
  <si>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</si>
  <si>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</si>
  <si>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</si>
  <si>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</si>
  <si>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</si>
  <si>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</si>
  <si>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</si>
  <si>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</si>
  <si>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</si>
  <si>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</si>
  <si>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</si>
  <si>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</si>
  <si>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</si>
  <si>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</si>
  <si>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</si>
  <si>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</si>
  <si>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</si>
  <si>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</si>
  <si>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</si>
  <si>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</si>
  <si>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</si>
  <si>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</si>
  <si>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</si>
  <si>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</si>
  <si>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</si>
  <si>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</si>
  <si>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</si>
  <si>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</si>
  <si>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</si>
  <si>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</si>
  <si>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</si>
  <si>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</si>
  <si>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</si>
  <si>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</si>
  <si>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</si>
  <si>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</si>
  <si>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</si>
  <si>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</si>
  <si>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</si>
  <si>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</si>
  <si>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</si>
  <si>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</si>
  <si>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</si>
  <si>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</si>
  <si>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</si>
  <si>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</si>
  <si>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</si>
  <si>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</si>
  <si>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</si>
  <si>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</si>
  <si>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</si>
  <si>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</si>
  <si>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</si>
  <si>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</si>
  <si>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</si>
  <si>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</si>
  <si>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</si>
  <si>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</si>
  <si>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</si>
  <si>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</si>
  <si>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</si>
  <si>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</si>
  <si>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</si>
  <si>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</si>
  <si>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</si>
  <si>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</si>
  <si>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</si>
  <si>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</si>
  <si>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</si>
  <si>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</si>
  <si>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</si>
  <si>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</si>
  <si>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</si>
  <si>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</si>
  <si>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</si>
  <si>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</si>
  <si>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</si>
  <si>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</si>
  <si>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</si>
  <si>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</si>
  <si>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</si>
  <si>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</si>
  <si>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</si>
  <si>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</si>
  <si>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</si>
  <si>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</si>
  <si>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</si>
  <si>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</si>
  <si>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</si>
  <si>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</si>
  <si>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</si>
  <si>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</si>
  <si>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</si>
  <si>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</si>
  <si>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</si>
  <si>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</si>
  <si>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</si>
  <si>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</si>
  <si>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</si>
  <si>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</si>
  <si>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</si>
  <si>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</si>
  <si>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</si>
  <si>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</si>
  <si>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RML-CS-PL-8.5</t>
  </si>
  <si>
    <t>RTHTMTBNMFORG72X33X08</t>
  </si>
  <si>
    <t>60D-RB-MAT-FOAM-71.50X32.50X15MM</t>
  </si>
  <si>
    <t>RTHTMTBNMFORG72X39X08</t>
  </si>
  <si>
    <t>60D-RB-MAT-FOAM-71.50X38.50X15MM</t>
  </si>
  <si>
    <t>RTHTMTBNMFORG72X45X08</t>
  </si>
  <si>
    <t>60D-RB-MAT-FOAM-71.50X44.50X15MM</t>
  </si>
  <si>
    <t>RTHTMTBNMFORG72X51X08</t>
  </si>
  <si>
    <t>60D-RB-MAT-FOAM-71.50X50.50X15MM</t>
  </si>
  <si>
    <t>RTHTMTBNMFORG72X54X08</t>
  </si>
  <si>
    <t>60D-RB-MAT-FOAM-71.50X53.50X15MM</t>
  </si>
  <si>
    <t>RTHTMTBNMFORG72X57X08</t>
  </si>
  <si>
    <t>60D-RB-MAT-FOAM-71.50X56.50X15MM</t>
  </si>
  <si>
    <t>RTHTMTBNMFORG72X63X08</t>
  </si>
  <si>
    <t>60D-RB-MAT-FOAM-71.50X62.50X15MM</t>
  </si>
  <si>
    <t>RTHTMTBNMFORG72X69X08</t>
  </si>
  <si>
    <t>60D-RB-MAT-FOAM-71.50X68.50X15MM</t>
  </si>
  <si>
    <t>RTHTMTBNMFORG75X33X08</t>
  </si>
  <si>
    <t>60D-RB-MAT-FOAM-74.50X32.50X15MM</t>
  </si>
  <si>
    <t>RTHTMTBNMFORG75X39X08</t>
  </si>
  <si>
    <t>60D-RB-MAT-FOAM-74.50X38.50X15MM</t>
  </si>
  <si>
    <t>RTHTMTBNMFORG75X45X08</t>
  </si>
  <si>
    <t>60D-RB-MAT-FOAM-74.50X44.50X15MM</t>
  </si>
  <si>
    <t>RTHTMTBNMFORG75X51X08</t>
  </si>
  <si>
    <t>60D-RB-MAT-FOAM-74.50X50.50X15MM</t>
  </si>
  <si>
    <t>RTHTMTBNMFORG75X54X08</t>
  </si>
  <si>
    <t>60D-RB-MAT-FOAM-74.50X53.50X15MM</t>
  </si>
  <si>
    <t>RTHTMTBNMFORG75X57X08</t>
  </si>
  <si>
    <t>60D-RB-MAT-FOAM-74.50X56.50X15MM</t>
  </si>
  <si>
    <t>RTHTMTBNMFORG75X63X08</t>
  </si>
  <si>
    <t>60D-RB-MAT-FOAM-74.50X62.50X15MM</t>
  </si>
  <si>
    <t>RTHTMTBNMFORG75X69X08</t>
  </si>
  <si>
    <t>60D-RB-MAT-FOAM-74.50X68.50X15MM</t>
  </si>
  <si>
    <t>RTHTMTBNMFORG78X33X08</t>
  </si>
  <si>
    <t>60D-RB-MAT-FOAM-77.50X32.50X15MM</t>
  </si>
  <si>
    <t>RTHTMTBNMFORG78X39X08</t>
  </si>
  <si>
    <t>60D-RB-MAT-FOAM-77.50X38.50X15MM</t>
  </si>
  <si>
    <t>RTHTMTBNMFORG78X45X08</t>
  </si>
  <si>
    <t>60D-RB-MAT-FOAM-77.50X44.50X15MM</t>
  </si>
  <si>
    <t>RTHTMTBNMFORG78X51X08</t>
  </si>
  <si>
    <t>60D-RB-MAT-FOAM-77.50X50.50X15MM</t>
  </si>
  <si>
    <t>RTHTMTBNMFORG78X54X08</t>
  </si>
  <si>
    <t>60D-RB-MAT-FOAM-77.50X53.50X15MM</t>
  </si>
  <si>
    <t>RTHTMTBNMFORG78X57X08</t>
  </si>
  <si>
    <t>60D-RB-MAT-FOAM-77.50X56.50X15MM</t>
  </si>
  <si>
    <t>RTHTMTBNMFORG78X63X08</t>
  </si>
  <si>
    <t>60D-RB-MAT-FOAM-77.50X62.50X15MM</t>
  </si>
  <si>
    <t>RTHTMTBNMFORG78X69X08</t>
  </si>
  <si>
    <t>60D-RB-MAT-FOAM-77.50X68.50X15MM</t>
  </si>
  <si>
    <t>RTHTMTBNMFORG80X33X08</t>
  </si>
  <si>
    <t>60D-RB-MAT-FOAM-79.50X32.50X15MM</t>
  </si>
  <si>
    <t>RTHTMTBNMFORG80X39X08</t>
  </si>
  <si>
    <t>60D-RB-MAT-FOAM-79.50X38.50X15MM</t>
  </si>
  <si>
    <t>RTHTMTBNMFORG80X45X08</t>
  </si>
  <si>
    <t>60D-RB-MAT-FOAM-79.50X44.50X15MM</t>
  </si>
  <si>
    <t>RTHTMTBNMFORG80X51X08</t>
  </si>
  <si>
    <t>60D-RB-MAT-FOAM-79.50X50.50X15MM</t>
  </si>
  <si>
    <t>RTHTMTBNMFORG80X54X08</t>
  </si>
  <si>
    <t>60D-RB-MAT-FOAM-79.50X53.50X15MM</t>
  </si>
  <si>
    <t>RTHTMTBNMFORG80X57X08</t>
  </si>
  <si>
    <t>60D-RB-MAT-FOAM-79.50X56.50X15MM</t>
  </si>
  <si>
    <t>RTHTMTBNMFORG80X63X08</t>
  </si>
  <si>
    <t>60D-RB-MAT-FOAM-79.50X62.50X15MM</t>
  </si>
  <si>
    <t>RTHTMTBNMFORG80X69X08</t>
  </si>
  <si>
    <t>60D-RB-MAT-FOAM-79.50X68.50X15MM</t>
  </si>
  <si>
    <t>RTHTMTBNMFORG84X33X08</t>
  </si>
  <si>
    <t>60D-RB-MAT-FOAM-83.50X32.50X15MM</t>
  </si>
  <si>
    <t>RTHTMTBNMFORG84X39X08</t>
  </si>
  <si>
    <t>60D-RB-MAT-FOAM-83.50X38.50X15MM</t>
  </si>
  <si>
    <t>RTHTMTBNMFORG84X45X08</t>
  </si>
  <si>
    <t>60D-RB-MAT-FOAM-83.50X44.50X15MM</t>
  </si>
  <si>
    <t>RTHTMTBNMFORG84X51X08</t>
  </si>
  <si>
    <t>60D-RB-MAT-FOAM-83.50X50.50X15MM</t>
  </si>
  <si>
    <t>RTHTMTBNMFORG84X54X08</t>
  </si>
  <si>
    <t>60D-RB-MAT-FOAM-83.50X53.50X15MM</t>
  </si>
  <si>
    <t>RTHTMTBNMFORG84X57X08</t>
  </si>
  <si>
    <t>60D-RB-MAT-FOAM-83.50X56.50X15MM</t>
  </si>
  <si>
    <t>RTHTMTBNMFORG84X63X08</t>
  </si>
  <si>
    <t>60D-RB-MAT-FOAM-83.50X62.50X15MM</t>
  </si>
  <si>
    <t>RTHTMTBNMFORG84X69X08</t>
  </si>
  <si>
    <t>60D-RB-MAT-FOAM-83.50X68.50X15MM</t>
  </si>
  <si>
    <t>RTHTMTBNMFORG72X30X08</t>
  </si>
  <si>
    <t>60D-RB-MAT-FOAM-71.50X29.50X15MM</t>
  </si>
  <si>
    <t>RTHTMTBNMFORG72X36X08</t>
  </si>
  <si>
    <t>60D-RB-MAT-FOAM-71.50X35.50X15MM</t>
  </si>
  <si>
    <t>RTHTMTBNMFORG72X42X08</t>
  </si>
  <si>
    <t>60D-RB-MAT-FOAM-71.50X41.50X15MM</t>
  </si>
  <si>
    <t>RTHTMTBNMFORG72X48X08</t>
  </si>
  <si>
    <t>60D-RB-MAT-FOAM-71.50X47.50X15MM</t>
  </si>
  <si>
    <t>RTHTMTBNMFORG72X60X08</t>
  </si>
  <si>
    <t>60D-RB-MAT-FOAM-71.50X59.50X15MM</t>
  </si>
  <si>
    <t>RTHTMTBNMFORG72X66X08</t>
  </si>
  <si>
    <t>60D-RB-MAT-FOAM-71.50X65.50X15MM</t>
  </si>
  <si>
    <t>RTHTMTBNMFORG72X72X08</t>
  </si>
  <si>
    <t>60D-RB-MAT-FOAM-71.50X71.50X15MM</t>
  </si>
  <si>
    <t>RTHTMTBNMFORG75X30X08</t>
  </si>
  <si>
    <t>60D-RB-MAT-FOAM-74.50X29.50X15MM</t>
  </si>
  <si>
    <t>RTHTMTBNMFORG75X36X08</t>
  </si>
  <si>
    <t>60D-RB-MAT-FOAM-74.50X35.50X15MM</t>
  </si>
  <si>
    <t>RTHTMTBNMFORG75X42X08</t>
  </si>
  <si>
    <t>60D-RB-MAT-FOAM-74.50X41.50X15MM</t>
  </si>
  <si>
    <t>RTHTMTBNMFORG75X48X08</t>
  </si>
  <si>
    <t>60D-RB-MAT-FOAM-74.50X47.50X15MM</t>
  </si>
  <si>
    <t>RTHTMTBNMFORG75X60X08</t>
  </si>
  <si>
    <t>60D-RB-MAT-FOAM-74.50X59.50X15MM</t>
  </si>
  <si>
    <t>RTHTMTBNMFORG75X66X08</t>
  </si>
  <si>
    <t>60D-RB-MAT-FOAM-74.50X65.50X15MM</t>
  </si>
  <si>
    <t>RTHTMTBNMFORG75X72X08</t>
  </si>
  <si>
    <t>60D-RB-MAT-FOAM-74.50X71.50X15MM</t>
  </si>
  <si>
    <t>RTHTMTBNMFORG78X30X08</t>
  </si>
  <si>
    <t>60D-RB-MAT-FOAM-77.50X29.50X15MM</t>
  </si>
  <si>
    <t>RTHTMTBNMFORG78X36X08</t>
  </si>
  <si>
    <t>60D-RB-MAT-FOAM-77.50X35.50X15MM</t>
  </si>
  <si>
    <t>RTHTMTBNMFORG78X42X08</t>
  </si>
  <si>
    <t>60D-RB-MAT-FOAM-77.50X41.50X15MM</t>
  </si>
  <si>
    <t>RTHTMTBNMFORG78X48X08</t>
  </si>
  <si>
    <t>60D-RB-MAT-FOAM-77.50X47.50X15MM</t>
  </si>
  <si>
    <t>RTHTMTBNMFORG78X60X08</t>
  </si>
  <si>
    <t>60D-RB-MAT-FOAM-77.50X59.50X15MM</t>
  </si>
  <si>
    <t>RTHTMTBNMFORG78X66X08</t>
  </si>
  <si>
    <t>60D-RB-MAT-FOAM-77.50X65.50X15MM</t>
  </si>
  <si>
    <t>RTHTMTBNMFORG78X72X08</t>
  </si>
  <si>
    <t>60D-RB-MAT-FOAM-77.50X71.50X15MM</t>
  </si>
  <si>
    <t>RTHTMTBNMFORG80X30X08</t>
  </si>
  <si>
    <t>60D-RB-MAT-FOAM-79.50X29.50X15MM</t>
  </si>
  <si>
    <t>RTHTMTBNMFORG80X36X08</t>
  </si>
  <si>
    <t>60D-RB-MAT-FOAM-79.50X35.50X15MM</t>
  </si>
  <si>
    <t>RTHTMTBNMFORG80X42X08</t>
  </si>
  <si>
    <t>60D-RB-MAT-FOAM-79.50X41.50X15MM</t>
  </si>
  <si>
    <t>RTHTMTBNMFORG80X48X08</t>
  </si>
  <si>
    <t>60D-RB-MAT-FOAM-79.50X47.50X15MM</t>
  </si>
  <si>
    <t>RTHTMTBNMFORG80X60X08</t>
  </si>
  <si>
    <t>60D-RB-MAT-FOAM-79.50X59.50X15MM</t>
  </si>
  <si>
    <t>RTHTMTBNMFORG80X66X08</t>
  </si>
  <si>
    <t>60D-RB-MAT-FOAM-79.50X65.50X15MM</t>
  </si>
  <si>
    <t>RTHTMTBNMFORG80X72X08</t>
  </si>
  <si>
    <t>60D-RB-MAT-FOAM-79.50X71.50X15MM</t>
  </si>
  <si>
    <t>RTHTMTBNMFORG84X30X08</t>
  </si>
  <si>
    <t>60D-RB-MAT-FOAM-83.50X29.50X15MM</t>
  </si>
  <si>
    <t>RTHTMTBNMFORG84X36X08</t>
  </si>
  <si>
    <t>60D-RB-MAT-FOAM-83.50X35.50X15MM</t>
  </si>
  <si>
    <t>RTHTMTBNMFORG84X42X08</t>
  </si>
  <si>
    <t>60D-RB-MAT-FOAM-83.50X41.50X15MM</t>
  </si>
  <si>
    <t>RTHTMTBNMFORG84X48X08</t>
  </si>
  <si>
    <t>60D-RB-MAT-FOAM-83.50X47.50X15MM</t>
  </si>
  <si>
    <t>RTHTMTBNMFORG84X60X08</t>
  </si>
  <si>
    <t>60D-RB-MAT-FOAM-83.50X59.50X15MM</t>
  </si>
  <si>
    <t>RTHTMTBNMFORG84X66X08</t>
  </si>
  <si>
    <t>60D-RB-MAT-FOAM-83.50X65.50X15MM</t>
  </si>
  <si>
    <t>RTHTMTBNMFORG84X72X08</t>
  </si>
  <si>
    <t>60D-RB-MAT-FOAM-83.50X71.50X15MM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</si>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</sst>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7" sqref="G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"RTHTMTBNMFORG"&amp;$K$2&amp;"X"&amp;$L$2&amp;"X"&amp;IF($M$2&gt;9,$M$2,"0"&amp;$M$2)</f>
        <v>RTHTMTBNMFORG75X36X08</v>
      </c>
      <c r="E2" s="1" t="str">
        <f>"OEBOXBNSR"&amp;(K2-0.5)&amp;"0"&amp;"X"&amp;(L2-0.5)&amp;"0"&amp;"X"&amp;IF(M2=6,"130",IF(M2=8,"180",IF(M2&gt;9,"180",0)))</f>
        <v>OEBOXBNSR74.50X35.50X180</v>
      </c>
      <c r="F2" s="11" t="s">
        <v>11</v>
      </c>
      <c r="G2" s="10">
        <v>1</v>
      </c>
      <c r="H2" s="10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7">
        <v>8</v>
      </c>
      <c r="N2" s="6"/>
      <c r="P2" s="4" t="s">
        <v>91</v>
      </c>
      <c r="R2" s="34" t="s">
        <v>92</v>
      </c>
      <c r="S2" s="34" t="s">
        <v>93</v>
      </c>
      <c r="T2" s="34">
        <v>8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"RTHTMTBNMFORG"&amp;$K$2&amp;"X"&amp;$L$2&amp;"X"&amp;IF($M$2&gt;9,$M$2,"0"&amp;$M$2)</f>
        <v>RTHTMTBNMFORG75X36X08</v>
      </c>
      <c r="E3" s="40" t="s">
        <v>109</v>
      </c>
      <c r="F3" s="11" t="s">
        <v>15</v>
      </c>
      <c r="G3" s="25">
        <f>IF(K2&lt;79,(L2+1),(K2+1))*0.0254</f>
        <v>0.93979999999999997</v>
      </c>
      <c r="H3" s="10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8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RTHTMTBNMFORG75X36X08</v>
      </c>
      <c r="E4" s="26" t="s">
        <v>110</v>
      </c>
      <c r="F4" s="11" t="s">
        <v>15</v>
      </c>
      <c r="G4" s="25">
        <f>IF(K2&lt;79,(L2+1),(K2+1))*0.0254</f>
        <v>0.93979999999999997</v>
      </c>
      <c r="H4" s="10">
        <f t="shared" ref="H4:H13" si="3">ROUND(G4,3)</f>
        <v>0.94</v>
      </c>
      <c r="I4" s="19" t="s">
        <v>16</v>
      </c>
      <c r="J4" s="12"/>
      <c r="O4" s="18"/>
      <c r="R4" s="34" t="s">
        <v>92</v>
      </c>
      <c r="S4" s="34" t="s">
        <v>95</v>
      </c>
      <c r="T4" s="34">
        <v>8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RTHTMTBNMFORG75X36X08</v>
      </c>
      <c r="E5" s="20" t="s">
        <v>105</v>
      </c>
      <c r="F5" s="15" t="s">
        <v>106</v>
      </c>
      <c r="G5" s="22">
        <f>((K2-1)*(L2-1)/144)*0.00729*3</f>
        <v>0.39335624999999996</v>
      </c>
      <c r="H5" s="10">
        <f t="shared" si="3"/>
        <v>0.39300000000000002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8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RTHTMTBNMFORG75X36X08</v>
      </c>
      <c r="E6" s="20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8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RTHTMTBNMFORG75X36X08</v>
      </c>
      <c r="E7" s="20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8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RTHTMTBNMFORG75X36X08</v>
      </c>
      <c r="E8" s="20" t="str">
        <f>IF(M2=6,"RML-CS-PL-6.5""",IF(M2=8,"RML-CS-PL-8.5",IF(M2=10,"RML-CS-PL-10.5",IF(M2=12,"RML-CS-PL-12.25"))))</f>
        <v>RML-CS-PL-8.5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8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RTHTMTBNMFORG75X36X08</v>
      </c>
      <c r="E9" s="20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4" t="s">
        <v>92</v>
      </c>
      <c r="S9" s="34" t="s">
        <v>100</v>
      </c>
      <c r="T9" s="34">
        <v>8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RTHTMTBNMFORG75X36X08</v>
      </c>
      <c r="E10" s="20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8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RTHTMTBNMFORG75X36X08</v>
      </c>
      <c r="E11" s="20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4" t="s">
        <v>101</v>
      </c>
      <c r="S11" s="34" t="s">
        <v>94</v>
      </c>
      <c r="T11" s="34">
        <v>8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RTHTMTBNMFORG75X36X08</v>
      </c>
      <c r="E12" s="9" t="s">
        <v>111</v>
      </c>
      <c r="F12" s="11" t="s">
        <v>13</v>
      </c>
      <c r="G12" s="23">
        <f>IF(K2&lt;79,((L2*2)+(M2*2)+4),((K2*2)+(M2*2)+4))*0.0254*89.5*0.0254*0.00009*1300</f>
        <v>0.62153295048000001</v>
      </c>
      <c r="H12" s="10">
        <f t="shared" si="3"/>
        <v>0.622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8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RTHTMTBNMFORG75X36X08</v>
      </c>
      <c r="E13" s="39" t="str">
        <f>"60D-RB-MAT-FOAM-"&amp;(K2-0.5)&amp;"0"&amp;"X"&amp;(L2-0.5)&amp;"0"&amp;"X"&amp;"15MM"</f>
        <v>60D-RB-MAT-FOAM-74.50X35.50X15MM</v>
      </c>
      <c r="F13" s="8" t="s">
        <v>11</v>
      </c>
      <c r="G13" s="14">
        <v>1</v>
      </c>
      <c r="H13" s="10">
        <f t="shared" si="3"/>
        <v>1</v>
      </c>
      <c r="I13" s="19" t="s">
        <v>16</v>
      </c>
      <c r="J13" s="12"/>
      <c r="K13" s="21"/>
      <c r="R13" s="34" t="s">
        <v>101</v>
      </c>
      <c r="S13" s="34" t="s">
        <v>96</v>
      </c>
      <c r="T13" s="34">
        <v>8</v>
      </c>
      <c r="U13" s="35" t="s">
        <v>108</v>
      </c>
    </row>
    <row r="14" spans="1:21" x14ac:dyDescent="0.25">
      <c r="J14" s="12"/>
      <c r="M14" s="21"/>
      <c r="O14" s="21"/>
      <c r="R14" s="34" t="s">
        <v>101</v>
      </c>
      <c r="S14" s="34" t="s">
        <v>97</v>
      </c>
      <c r="T14" s="34">
        <v>8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8</v>
      </c>
      <c r="U15" s="35" t="s">
        <v>108</v>
      </c>
    </row>
    <row r="16" spans="1:21" x14ac:dyDescent="0.25">
      <c r="J16" s="12"/>
      <c r="M16" s="21"/>
      <c r="N16"/>
      <c r="O16"/>
      <c r="R16" s="34" t="s">
        <v>101</v>
      </c>
      <c r="S16" s="34" t="s">
        <v>99</v>
      </c>
      <c r="T16" s="34">
        <v>8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8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8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8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8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8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8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8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8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8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8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8</v>
      </c>
      <c r="U27" s="35" t="s">
        <v>108</v>
      </c>
    </row>
    <row r="28" spans="5:21" x14ac:dyDescent="0.25">
      <c r="E28" s="21"/>
      <c r="I28" s="21"/>
      <c r="M28" s="21"/>
      <c r="N28"/>
      <c r="O28"/>
      <c r="R28" s="34" t="s">
        <v>103</v>
      </c>
      <c r="S28" s="34" t="s">
        <v>95</v>
      </c>
      <c r="T28" s="34">
        <v>8</v>
      </c>
      <c r="U28" s="35" t="s">
        <v>108</v>
      </c>
    </row>
    <row r="29" spans="5:21" x14ac:dyDescent="0.25">
      <c r="E29" s="21"/>
      <c r="N29"/>
      <c r="O29"/>
      <c r="R29" s="34" t="s">
        <v>103</v>
      </c>
      <c r="S29" s="34" t="s">
        <v>96</v>
      </c>
      <c r="T29" s="34">
        <v>8</v>
      </c>
      <c r="U29" s="35" t="s">
        <v>108</v>
      </c>
    </row>
    <row r="30" spans="5:21" x14ac:dyDescent="0.25">
      <c r="H30" s="21"/>
      <c r="N30"/>
      <c r="O30"/>
      <c r="R30" s="34" t="s">
        <v>103</v>
      </c>
      <c r="S30" s="34" t="s">
        <v>97</v>
      </c>
      <c r="T30" s="34">
        <v>8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8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8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8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8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8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8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8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8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8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8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8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/>
    </row>
    <row r="50" spans="14:21" x14ac:dyDescent="0.25">
      <c r="R50" s="34">
        <v>75</v>
      </c>
      <c r="S50" s="34">
        <v>36</v>
      </c>
      <c r="T50" s="34">
        <v>8</v>
      </c>
      <c r="U50" s="35"/>
    </row>
    <row r="51" spans="14:21" x14ac:dyDescent="0.25">
      <c r="R51" s="34">
        <v>75</v>
      </c>
      <c r="S51" s="34">
        <v>42</v>
      </c>
      <c r="T51" s="34">
        <v>8</v>
      </c>
      <c r="U51" s="35"/>
    </row>
    <row r="52" spans="14:21" x14ac:dyDescent="0.25">
      <c r="R52" s="34">
        <v>75</v>
      </c>
      <c r="S52" s="34">
        <v>48</v>
      </c>
      <c r="T52" s="34">
        <v>8</v>
      </c>
      <c r="U52" s="35"/>
    </row>
    <row r="53" spans="14:21" x14ac:dyDescent="0.25">
      <c r="R53" s="34">
        <v>75</v>
      </c>
      <c r="S53" s="34">
        <v>60</v>
      </c>
      <c r="T53" s="34">
        <v>8</v>
      </c>
      <c r="U53" s="35"/>
    </row>
    <row r="54" spans="14:21" x14ac:dyDescent="0.25">
      <c r="R54" s="34">
        <v>75</v>
      </c>
      <c r="S54" s="34">
        <v>66</v>
      </c>
      <c r="T54" s="34">
        <v>8</v>
      </c>
      <c r="U54" s="35"/>
    </row>
    <row r="55" spans="14:21" x14ac:dyDescent="0.25">
      <c r="R55" s="34">
        <v>75</v>
      </c>
      <c r="S55" s="34">
        <v>72</v>
      </c>
      <c r="T55" s="34">
        <v>8</v>
      </c>
      <c r="U55" s="35"/>
    </row>
    <row r="56" spans="14:21" x14ac:dyDescent="0.25">
      <c r="R56" s="34">
        <v>78</v>
      </c>
      <c r="S56" s="34">
        <v>30</v>
      </c>
      <c r="T56" s="34">
        <v>8</v>
      </c>
      <c r="U56" s="35"/>
    </row>
    <row r="57" spans="14:21" x14ac:dyDescent="0.25">
      <c r="R57" s="34">
        <v>78</v>
      </c>
      <c r="S57" s="34">
        <v>36</v>
      </c>
      <c r="T57" s="34">
        <v>8</v>
      </c>
      <c r="U57" s="35"/>
    </row>
    <row r="58" spans="14:21" x14ac:dyDescent="0.25">
      <c r="R58" s="34">
        <v>78</v>
      </c>
      <c r="S58" s="34">
        <v>42</v>
      </c>
      <c r="T58" s="34">
        <v>8</v>
      </c>
      <c r="U58" s="35"/>
    </row>
    <row r="59" spans="14:21" x14ac:dyDescent="0.25">
      <c r="R59" s="34">
        <v>78</v>
      </c>
      <c r="S59" s="34">
        <v>48</v>
      </c>
      <c r="T59" s="34">
        <v>8</v>
      </c>
      <c r="U59" s="35"/>
    </row>
    <row r="60" spans="14:21" x14ac:dyDescent="0.25">
      <c r="R60" s="34">
        <v>78</v>
      </c>
      <c r="S60" s="34">
        <v>60</v>
      </c>
      <c r="T60" s="34">
        <v>8</v>
      </c>
      <c r="U60" s="35"/>
    </row>
    <row r="61" spans="14:21" x14ac:dyDescent="0.25">
      <c r="R61" s="34">
        <v>78</v>
      </c>
      <c r="S61" s="34">
        <v>66</v>
      </c>
      <c r="T61" s="34">
        <v>8</v>
      </c>
      <c r="U61" s="35"/>
    </row>
    <row r="62" spans="14:21" x14ac:dyDescent="0.25">
      <c r="R62" s="34">
        <v>78</v>
      </c>
      <c r="S62" s="34">
        <v>72</v>
      </c>
      <c r="T62" s="34">
        <v>8</v>
      </c>
      <c r="U62" s="35"/>
    </row>
    <row r="63" spans="14:21" x14ac:dyDescent="0.25">
      <c r="R63" s="34">
        <v>80</v>
      </c>
      <c r="S63" s="34">
        <v>30</v>
      </c>
      <c r="T63" s="34">
        <v>8</v>
      </c>
      <c r="U63" s="35"/>
    </row>
    <row r="64" spans="14:21" x14ac:dyDescent="0.25">
      <c r="R64" s="34">
        <v>80</v>
      </c>
      <c r="S64" s="34">
        <v>36</v>
      </c>
      <c r="T64" s="34">
        <v>8</v>
      </c>
      <c r="U64" s="35"/>
    </row>
    <row r="65" spans="18:21" x14ac:dyDescent="0.25">
      <c r="R65" s="34">
        <v>80</v>
      </c>
      <c r="S65" s="34">
        <v>42</v>
      </c>
      <c r="T65" s="34">
        <v>8</v>
      </c>
      <c r="U65" s="35"/>
    </row>
    <row r="66" spans="18:21" x14ac:dyDescent="0.25">
      <c r="R66" s="34">
        <v>80</v>
      </c>
      <c r="S66" s="34">
        <v>48</v>
      </c>
      <c r="T66" s="34">
        <v>8</v>
      </c>
      <c r="U66" s="35"/>
    </row>
    <row r="67" spans="18:21" x14ac:dyDescent="0.25">
      <c r="R67" s="34">
        <v>80</v>
      </c>
      <c r="S67" s="34">
        <v>60</v>
      </c>
      <c r="T67" s="34">
        <v>8</v>
      </c>
      <c r="U67" s="35"/>
    </row>
    <row r="68" spans="18:21" x14ac:dyDescent="0.25">
      <c r="R68" s="34">
        <v>80</v>
      </c>
      <c r="S68" s="34">
        <v>66</v>
      </c>
      <c r="T68" s="34">
        <v>8</v>
      </c>
      <c r="U68" s="35"/>
    </row>
    <row r="69" spans="18:21" x14ac:dyDescent="0.25">
      <c r="R69" s="34">
        <v>80</v>
      </c>
      <c r="S69" s="34">
        <v>72</v>
      </c>
      <c r="T69" s="34">
        <v>8</v>
      </c>
      <c r="U69" s="35"/>
    </row>
    <row r="70" spans="18:21" x14ac:dyDescent="0.25">
      <c r="R70" s="34">
        <v>84</v>
      </c>
      <c r="S70" s="34">
        <v>30</v>
      </c>
      <c r="T70" s="34">
        <v>8</v>
      </c>
      <c r="U70" s="35"/>
    </row>
    <row r="71" spans="18:21" x14ac:dyDescent="0.25">
      <c r="R71" s="34">
        <v>84</v>
      </c>
      <c r="S71" s="34">
        <v>36</v>
      </c>
      <c r="T71" s="34">
        <v>8</v>
      </c>
      <c r="U71" s="35"/>
    </row>
    <row r="72" spans="18:21" x14ac:dyDescent="0.25">
      <c r="R72" s="34">
        <v>84</v>
      </c>
      <c r="S72" s="34">
        <v>42</v>
      </c>
      <c r="T72" s="34">
        <v>8</v>
      </c>
      <c r="U72" s="35"/>
    </row>
    <row r="73" spans="18:21" x14ac:dyDescent="0.25">
      <c r="R73" s="34">
        <v>84</v>
      </c>
      <c r="S73" s="34">
        <v>48</v>
      </c>
      <c r="T73" s="34">
        <v>8</v>
      </c>
      <c r="U73" s="35"/>
    </row>
    <row r="74" spans="18:21" x14ac:dyDescent="0.25">
      <c r="R74" s="34">
        <v>84</v>
      </c>
      <c r="S74" s="34">
        <v>60</v>
      </c>
      <c r="T74" s="34">
        <v>8</v>
      </c>
      <c r="U74" s="35"/>
    </row>
    <row r="75" spans="18:21" x14ac:dyDescent="0.25">
      <c r="R75" s="34">
        <v>84</v>
      </c>
      <c r="S75" s="34">
        <v>66</v>
      </c>
      <c r="T75" s="34">
        <v>8</v>
      </c>
      <c r="U75" s="35"/>
    </row>
    <row r="76" spans="18:21" x14ac:dyDescent="0.25">
      <c r="R76" s="34">
        <v>84</v>
      </c>
      <c r="S76" s="34">
        <v>72</v>
      </c>
      <c r="T76" s="34">
        <v>8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111</v>
      </c>
      <c r="E12" t="s">
        <v>13</v>
      </c>
      <c r="F12">
        <v>0.58099999999999996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114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115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115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115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115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115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115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115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115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110</v>
      </c>
      <c r="D24" t="s">
        <v>111</v>
      </c>
      <c r="E24" t="s">
        <v>13</v>
      </c>
      <c r="F24">
        <v>0.66200000000000003</v>
      </c>
      <c r="G24" t="s">
        <v>14</v>
      </c>
    </row>
    <row r="25" spans="1:7" x14ac:dyDescent="0.25">
      <c r="A25">
        <v>2</v>
      </c>
      <c r="B25" t="s">
        <v>115</v>
      </c>
      <c r="C25">
        <v>120</v>
      </c>
      <c r="D25" t="s">
        <v>116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117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117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117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117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117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117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117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117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117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117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117</v>
      </c>
      <c r="C36">
        <v>110</v>
      </c>
      <c r="D36" t="s">
        <v>111</v>
      </c>
      <c r="E36" t="s">
        <v>13</v>
      </c>
      <c r="F36">
        <v>0.74299999999999999</v>
      </c>
      <c r="G36" t="s">
        <v>14</v>
      </c>
    </row>
    <row r="37" spans="1:7" x14ac:dyDescent="0.25">
      <c r="A37">
        <v>3</v>
      </c>
      <c r="B37" t="s">
        <v>117</v>
      </c>
      <c r="C37">
        <v>120</v>
      </c>
      <c r="D37" t="s">
        <v>118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119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119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119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119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119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119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119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119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119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119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119</v>
      </c>
      <c r="C48">
        <v>110</v>
      </c>
      <c r="D48" t="s">
        <v>111</v>
      </c>
      <c r="E48" t="s">
        <v>13</v>
      </c>
      <c r="F48">
        <v>0.82399999999999995</v>
      </c>
      <c r="G48" t="s">
        <v>14</v>
      </c>
    </row>
    <row r="49" spans="1:7" x14ac:dyDescent="0.25">
      <c r="A49">
        <v>4</v>
      </c>
      <c r="B49" t="s">
        <v>119</v>
      </c>
      <c r="C49">
        <v>120</v>
      </c>
      <c r="D49" t="s">
        <v>120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121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121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121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121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121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121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121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121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121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121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121</v>
      </c>
      <c r="C60">
        <v>110</v>
      </c>
      <c r="D60" t="s">
        <v>111</v>
      </c>
      <c r="E60" t="s">
        <v>13</v>
      </c>
      <c r="F60">
        <v>0.86499999999999999</v>
      </c>
      <c r="G60" t="s">
        <v>14</v>
      </c>
    </row>
    <row r="61" spans="1:7" x14ac:dyDescent="0.25">
      <c r="A61">
        <v>5</v>
      </c>
      <c r="B61" t="s">
        <v>121</v>
      </c>
      <c r="C61">
        <v>120</v>
      </c>
      <c r="D61" t="s">
        <v>122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123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123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123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123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123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123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123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123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123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123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123</v>
      </c>
      <c r="C72">
        <v>110</v>
      </c>
      <c r="D72" t="s">
        <v>111</v>
      </c>
      <c r="E72" t="s">
        <v>13</v>
      </c>
      <c r="F72">
        <v>0.90500000000000003</v>
      </c>
      <c r="G72" t="s">
        <v>14</v>
      </c>
    </row>
    <row r="73" spans="1:7" x14ac:dyDescent="0.25">
      <c r="A73">
        <v>6</v>
      </c>
      <c r="B73" t="s">
        <v>123</v>
      </c>
      <c r="C73">
        <v>120</v>
      </c>
      <c r="D73" t="s">
        <v>124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125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125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125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125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125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125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125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125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125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125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125</v>
      </c>
      <c r="C84">
        <v>110</v>
      </c>
      <c r="D84" t="s">
        <v>111</v>
      </c>
      <c r="E84" t="s">
        <v>13</v>
      </c>
      <c r="F84">
        <v>0.98599999999999999</v>
      </c>
      <c r="G84" t="s">
        <v>14</v>
      </c>
    </row>
    <row r="85" spans="1:7" x14ac:dyDescent="0.25">
      <c r="A85">
        <v>7</v>
      </c>
      <c r="B85" t="s">
        <v>125</v>
      </c>
      <c r="C85">
        <v>120</v>
      </c>
      <c r="D85" t="s">
        <v>126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127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127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127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127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127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127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127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127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127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127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127</v>
      </c>
      <c r="C96">
        <v>110</v>
      </c>
      <c r="D96" t="s">
        <v>111</v>
      </c>
      <c r="E96" t="s">
        <v>13</v>
      </c>
      <c r="F96">
        <v>1.0669999999999999</v>
      </c>
      <c r="G96" t="s">
        <v>14</v>
      </c>
    </row>
    <row r="97" spans="1:7" x14ac:dyDescent="0.25">
      <c r="A97">
        <v>8</v>
      </c>
      <c r="B97" t="s">
        <v>127</v>
      </c>
      <c r="C97">
        <v>120</v>
      </c>
      <c r="D97" t="s">
        <v>128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129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129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129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129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129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129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129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129</v>
      </c>
      <c r="C108">
        <v>110</v>
      </c>
      <c r="D108" t="s">
        <v>111</v>
      </c>
      <c r="E108" t="s">
        <v>13</v>
      </c>
      <c r="F108">
        <v>0.58099999999999996</v>
      </c>
      <c r="G108" t="s">
        <v>14</v>
      </c>
    </row>
    <row r="109" spans="1:7" x14ac:dyDescent="0.25">
      <c r="A109">
        <v>9</v>
      </c>
      <c r="B109" t="s">
        <v>129</v>
      </c>
      <c r="C109">
        <v>120</v>
      </c>
      <c r="D109" t="s">
        <v>130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131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131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131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131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131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131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131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131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131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131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131</v>
      </c>
      <c r="C120">
        <v>110</v>
      </c>
      <c r="D120" t="s">
        <v>111</v>
      </c>
      <c r="E120" t="s">
        <v>13</v>
      </c>
      <c r="F120">
        <v>0.66200000000000003</v>
      </c>
      <c r="G120" t="s">
        <v>14</v>
      </c>
    </row>
    <row r="121" spans="1:7" x14ac:dyDescent="0.25">
      <c r="A121">
        <v>10</v>
      </c>
      <c r="B121" t="s">
        <v>131</v>
      </c>
      <c r="C121">
        <v>120</v>
      </c>
      <c r="D121" t="s">
        <v>132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133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133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133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133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133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133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133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133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133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133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133</v>
      </c>
      <c r="C132">
        <v>110</v>
      </c>
      <c r="D132" t="s">
        <v>111</v>
      </c>
      <c r="E132" t="s">
        <v>13</v>
      </c>
      <c r="F132">
        <v>0.74299999999999999</v>
      </c>
      <c r="G132" t="s">
        <v>14</v>
      </c>
    </row>
    <row r="133" spans="1:7" x14ac:dyDescent="0.25">
      <c r="A133">
        <v>11</v>
      </c>
      <c r="B133" t="s">
        <v>133</v>
      </c>
      <c r="C133">
        <v>120</v>
      </c>
      <c r="D133" t="s">
        <v>134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135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135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135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135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135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135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135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135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135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135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135</v>
      </c>
      <c r="C144">
        <v>110</v>
      </c>
      <c r="D144" t="s">
        <v>111</v>
      </c>
      <c r="E144" t="s">
        <v>13</v>
      </c>
      <c r="F144">
        <v>0.82399999999999995</v>
      </c>
      <c r="G144" t="s">
        <v>14</v>
      </c>
    </row>
    <row r="145" spans="1:7" x14ac:dyDescent="0.25">
      <c r="A145">
        <v>12</v>
      </c>
      <c r="B145" t="s">
        <v>135</v>
      </c>
      <c r="C145">
        <v>120</v>
      </c>
      <c r="D145" t="s">
        <v>136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137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137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137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137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137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137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137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137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137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137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137</v>
      </c>
      <c r="C156">
        <v>110</v>
      </c>
      <c r="D156" t="s">
        <v>111</v>
      </c>
      <c r="E156" t="s">
        <v>13</v>
      </c>
      <c r="F156">
        <v>0.86499999999999999</v>
      </c>
      <c r="G156" t="s">
        <v>14</v>
      </c>
    </row>
    <row r="157" spans="1:7" x14ac:dyDescent="0.25">
      <c r="A157">
        <v>13</v>
      </c>
      <c r="B157" t="s">
        <v>137</v>
      </c>
      <c r="C157">
        <v>120</v>
      </c>
      <c r="D157" t="s">
        <v>138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139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139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139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139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139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139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139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139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139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139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139</v>
      </c>
      <c r="C168">
        <v>110</v>
      </c>
      <c r="D168" t="s">
        <v>111</v>
      </c>
      <c r="E168" t="s">
        <v>13</v>
      </c>
      <c r="F168">
        <v>0.90500000000000003</v>
      </c>
      <c r="G168" t="s">
        <v>14</v>
      </c>
    </row>
    <row r="169" spans="1:7" x14ac:dyDescent="0.25">
      <c r="A169">
        <v>14</v>
      </c>
      <c r="B169" t="s">
        <v>139</v>
      </c>
      <c r="C169">
        <v>120</v>
      </c>
      <c r="D169" t="s">
        <v>140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141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141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141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141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141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141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141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141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141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141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141</v>
      </c>
      <c r="C180">
        <v>110</v>
      </c>
      <c r="D180" t="s">
        <v>111</v>
      </c>
      <c r="E180" t="s">
        <v>13</v>
      </c>
      <c r="F180">
        <v>0.98599999999999999</v>
      </c>
      <c r="G180" t="s">
        <v>14</v>
      </c>
    </row>
    <row r="181" spans="1:7" x14ac:dyDescent="0.25">
      <c r="A181">
        <v>15</v>
      </c>
      <c r="B181" t="s">
        <v>141</v>
      </c>
      <c r="C181">
        <v>120</v>
      </c>
      <c r="D181" t="s">
        <v>142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143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143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143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143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143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143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143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143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143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143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143</v>
      </c>
      <c r="C192">
        <v>110</v>
      </c>
      <c r="D192" t="s">
        <v>111</v>
      </c>
      <c r="E192" t="s">
        <v>13</v>
      </c>
      <c r="F192">
        <v>1.0669999999999999</v>
      </c>
      <c r="G192" t="s">
        <v>14</v>
      </c>
    </row>
    <row r="193" spans="1:7" x14ac:dyDescent="0.25">
      <c r="A193">
        <v>16</v>
      </c>
      <c r="B193" t="s">
        <v>143</v>
      </c>
      <c r="C193">
        <v>120</v>
      </c>
      <c r="D193" t="s">
        <v>144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145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145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145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145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145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145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145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145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145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145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145</v>
      </c>
      <c r="C204">
        <v>110</v>
      </c>
      <c r="D204" t="s">
        <v>111</v>
      </c>
      <c r="E204" t="s">
        <v>13</v>
      </c>
      <c r="F204">
        <v>0.58099999999999996</v>
      </c>
      <c r="G204" t="s">
        <v>14</v>
      </c>
    </row>
    <row r="205" spans="1:7" x14ac:dyDescent="0.25">
      <c r="A205">
        <v>17</v>
      </c>
      <c r="B205" t="s">
        <v>145</v>
      </c>
      <c r="C205">
        <v>120</v>
      </c>
      <c r="D205" t="s">
        <v>146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147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147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147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147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147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147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147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147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147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147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147</v>
      </c>
      <c r="C216">
        <v>110</v>
      </c>
      <c r="D216" t="s">
        <v>111</v>
      </c>
      <c r="E216" t="s">
        <v>13</v>
      </c>
      <c r="F216">
        <v>0.66200000000000003</v>
      </c>
      <c r="G216" t="s">
        <v>14</v>
      </c>
    </row>
    <row r="217" spans="1:7" x14ac:dyDescent="0.25">
      <c r="A217">
        <v>18</v>
      </c>
      <c r="B217" t="s">
        <v>147</v>
      </c>
      <c r="C217">
        <v>120</v>
      </c>
      <c r="D217" t="s">
        <v>148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149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149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149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149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149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149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149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149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149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149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149</v>
      </c>
      <c r="C228">
        <v>110</v>
      </c>
      <c r="D228" t="s">
        <v>111</v>
      </c>
      <c r="E228" t="s">
        <v>13</v>
      </c>
      <c r="F228">
        <v>0.74299999999999999</v>
      </c>
      <c r="G228" t="s">
        <v>14</v>
      </c>
    </row>
    <row r="229" spans="1:7" x14ac:dyDescent="0.25">
      <c r="A229">
        <v>19</v>
      </c>
      <c r="B229" t="s">
        <v>149</v>
      </c>
      <c r="C229">
        <v>120</v>
      </c>
      <c r="D229" t="s">
        <v>150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151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151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151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151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151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151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151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151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151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151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151</v>
      </c>
      <c r="C240">
        <v>110</v>
      </c>
      <c r="D240" t="s">
        <v>111</v>
      </c>
      <c r="E240" t="s">
        <v>13</v>
      </c>
      <c r="F240">
        <v>0.82399999999999995</v>
      </c>
      <c r="G240" t="s">
        <v>14</v>
      </c>
    </row>
    <row r="241" spans="1:7" x14ac:dyDescent="0.25">
      <c r="A241">
        <v>20</v>
      </c>
      <c r="B241" t="s">
        <v>151</v>
      </c>
      <c r="C241">
        <v>120</v>
      </c>
      <c r="D241" t="s">
        <v>152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153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153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153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153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153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153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153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153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153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153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153</v>
      </c>
      <c r="C252">
        <v>110</v>
      </c>
      <c r="D252" t="s">
        <v>111</v>
      </c>
      <c r="E252" t="s">
        <v>13</v>
      </c>
      <c r="F252">
        <v>0.86499999999999999</v>
      </c>
      <c r="G252" t="s">
        <v>14</v>
      </c>
    </row>
    <row r="253" spans="1:7" x14ac:dyDescent="0.25">
      <c r="A253">
        <v>21</v>
      </c>
      <c r="B253" t="s">
        <v>153</v>
      </c>
      <c r="C253">
        <v>120</v>
      </c>
      <c r="D253" t="s">
        <v>154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155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155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155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155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155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155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155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155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155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155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155</v>
      </c>
      <c r="C264">
        <v>110</v>
      </c>
      <c r="D264" t="s">
        <v>111</v>
      </c>
      <c r="E264" t="s">
        <v>13</v>
      </c>
      <c r="F264">
        <v>0.90500000000000003</v>
      </c>
      <c r="G264" t="s">
        <v>14</v>
      </c>
    </row>
    <row r="265" spans="1:7" x14ac:dyDescent="0.25">
      <c r="A265">
        <v>22</v>
      </c>
      <c r="B265" t="s">
        <v>155</v>
      </c>
      <c r="C265">
        <v>120</v>
      </c>
      <c r="D265" t="s">
        <v>156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157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157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157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157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157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157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157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157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157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157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157</v>
      </c>
      <c r="C276">
        <v>110</v>
      </c>
      <c r="D276" t="s">
        <v>111</v>
      </c>
      <c r="E276" t="s">
        <v>13</v>
      </c>
      <c r="F276">
        <v>0.98599999999999999</v>
      </c>
      <c r="G276" t="s">
        <v>14</v>
      </c>
    </row>
    <row r="277" spans="1:7" x14ac:dyDescent="0.25">
      <c r="A277">
        <v>23</v>
      </c>
      <c r="B277" t="s">
        <v>157</v>
      </c>
      <c r="C277">
        <v>120</v>
      </c>
      <c r="D277" t="s">
        <v>158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159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159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159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159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159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159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159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159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159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159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159</v>
      </c>
      <c r="C288">
        <v>110</v>
      </c>
      <c r="D288" t="s">
        <v>111</v>
      </c>
      <c r="E288" t="s">
        <v>13</v>
      </c>
      <c r="F288">
        <v>1.0669999999999999</v>
      </c>
      <c r="G288" t="s">
        <v>14</v>
      </c>
    </row>
    <row r="289" spans="1:7" x14ac:dyDescent="0.25">
      <c r="A289">
        <v>24</v>
      </c>
      <c r="B289" t="s">
        <v>159</v>
      </c>
      <c r="C289">
        <v>120</v>
      </c>
      <c r="D289" t="s">
        <v>160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161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161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161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161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161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161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161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161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161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161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161</v>
      </c>
      <c r="C300">
        <v>110</v>
      </c>
      <c r="D300" t="s">
        <v>111</v>
      </c>
      <c r="E300" t="s">
        <v>13</v>
      </c>
      <c r="F300">
        <v>1.216</v>
      </c>
      <c r="G300" t="s">
        <v>14</v>
      </c>
    </row>
    <row r="301" spans="1:7" x14ac:dyDescent="0.25">
      <c r="A301">
        <v>25</v>
      </c>
      <c r="B301" t="s">
        <v>161</v>
      </c>
      <c r="C301">
        <v>120</v>
      </c>
      <c r="D301" t="s">
        <v>162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163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163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163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163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163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163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163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163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163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163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163</v>
      </c>
      <c r="C312">
        <v>110</v>
      </c>
      <c r="D312" t="s">
        <v>111</v>
      </c>
      <c r="E312" t="s">
        <v>13</v>
      </c>
      <c r="F312">
        <v>1.216</v>
      </c>
      <c r="G312" t="s">
        <v>14</v>
      </c>
    </row>
    <row r="313" spans="1:7" x14ac:dyDescent="0.25">
      <c r="A313">
        <v>26</v>
      </c>
      <c r="B313" t="s">
        <v>163</v>
      </c>
      <c r="C313">
        <v>120</v>
      </c>
      <c r="D313" t="s">
        <v>164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165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165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165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165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165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165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165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165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165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165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165</v>
      </c>
      <c r="C324">
        <v>110</v>
      </c>
      <c r="D324" t="s">
        <v>111</v>
      </c>
      <c r="E324" t="s">
        <v>13</v>
      </c>
      <c r="F324">
        <v>1.216</v>
      </c>
      <c r="G324" t="s">
        <v>14</v>
      </c>
    </row>
    <row r="325" spans="1:7" x14ac:dyDescent="0.25">
      <c r="A325">
        <v>27</v>
      </c>
      <c r="B325" t="s">
        <v>165</v>
      </c>
      <c r="C325">
        <v>120</v>
      </c>
      <c r="D325" t="s">
        <v>166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167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167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167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167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167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167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167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167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167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167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167</v>
      </c>
      <c r="C336">
        <v>110</v>
      </c>
      <c r="D336" t="s">
        <v>111</v>
      </c>
      <c r="E336" t="s">
        <v>13</v>
      </c>
      <c r="F336">
        <v>1.216</v>
      </c>
      <c r="G336" t="s">
        <v>14</v>
      </c>
    </row>
    <row r="337" spans="1:7" x14ac:dyDescent="0.25">
      <c r="A337">
        <v>28</v>
      </c>
      <c r="B337" t="s">
        <v>167</v>
      </c>
      <c r="C337">
        <v>120</v>
      </c>
      <c r="D337" t="s">
        <v>168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169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169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169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169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169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169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169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169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169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169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169</v>
      </c>
      <c r="C348">
        <v>110</v>
      </c>
      <c r="D348" t="s">
        <v>111</v>
      </c>
      <c r="E348" t="s">
        <v>13</v>
      </c>
      <c r="F348">
        <v>1.216</v>
      </c>
      <c r="G348" t="s">
        <v>14</v>
      </c>
    </row>
    <row r="349" spans="1:7" x14ac:dyDescent="0.25">
      <c r="A349">
        <v>29</v>
      </c>
      <c r="B349" t="s">
        <v>169</v>
      </c>
      <c r="C349">
        <v>120</v>
      </c>
      <c r="D349" t="s">
        <v>170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171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171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171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171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171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171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171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171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171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171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171</v>
      </c>
      <c r="C360">
        <v>110</v>
      </c>
      <c r="D360" t="s">
        <v>111</v>
      </c>
      <c r="E360" t="s">
        <v>13</v>
      </c>
      <c r="F360">
        <v>1.216</v>
      </c>
      <c r="G360" t="s">
        <v>14</v>
      </c>
    </row>
    <row r="361" spans="1:7" x14ac:dyDescent="0.25">
      <c r="A361">
        <v>30</v>
      </c>
      <c r="B361" t="s">
        <v>171</v>
      </c>
      <c r="C361">
        <v>120</v>
      </c>
      <c r="D361" t="s">
        <v>172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173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173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173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173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173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173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173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173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173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173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173</v>
      </c>
      <c r="C372">
        <v>110</v>
      </c>
      <c r="D372" t="s">
        <v>111</v>
      </c>
      <c r="E372" t="s">
        <v>13</v>
      </c>
      <c r="F372">
        <v>1.216</v>
      </c>
      <c r="G372" t="s">
        <v>14</v>
      </c>
    </row>
    <row r="373" spans="1:7" x14ac:dyDescent="0.25">
      <c r="A373">
        <v>31</v>
      </c>
      <c r="B373" t="s">
        <v>173</v>
      </c>
      <c r="C373">
        <v>120</v>
      </c>
      <c r="D373" t="s">
        <v>174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175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175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175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175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175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175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175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175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175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175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175</v>
      </c>
      <c r="C384">
        <v>110</v>
      </c>
      <c r="D384" t="s">
        <v>111</v>
      </c>
      <c r="E384" t="s">
        <v>13</v>
      </c>
      <c r="F384">
        <v>1.216</v>
      </c>
      <c r="G384" t="s">
        <v>14</v>
      </c>
    </row>
    <row r="385" spans="1:7" x14ac:dyDescent="0.25">
      <c r="A385">
        <v>32</v>
      </c>
      <c r="B385" t="s">
        <v>175</v>
      </c>
      <c r="C385">
        <v>120</v>
      </c>
      <c r="D385" t="s">
        <v>176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177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177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177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177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177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177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177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177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177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177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177</v>
      </c>
      <c r="C396">
        <v>110</v>
      </c>
      <c r="D396" t="s">
        <v>111</v>
      </c>
      <c r="E396" t="s">
        <v>13</v>
      </c>
      <c r="F396">
        <v>1.27</v>
      </c>
      <c r="G396" t="s">
        <v>14</v>
      </c>
    </row>
    <row r="397" spans="1:7" x14ac:dyDescent="0.25">
      <c r="A397">
        <v>33</v>
      </c>
      <c r="B397" t="s">
        <v>177</v>
      </c>
      <c r="C397">
        <v>120</v>
      </c>
      <c r="D397" t="s">
        <v>178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179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179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179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179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179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179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179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179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179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179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179</v>
      </c>
      <c r="C408">
        <v>110</v>
      </c>
      <c r="D408" t="s">
        <v>111</v>
      </c>
      <c r="E408" t="s">
        <v>13</v>
      </c>
      <c r="F408">
        <v>1.27</v>
      </c>
      <c r="G408" t="s">
        <v>14</v>
      </c>
    </row>
    <row r="409" spans="1:7" x14ac:dyDescent="0.25">
      <c r="A409">
        <v>34</v>
      </c>
      <c r="B409" t="s">
        <v>179</v>
      </c>
      <c r="C409">
        <v>120</v>
      </c>
      <c r="D409" t="s">
        <v>180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181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181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181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181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181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181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181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181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181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181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181</v>
      </c>
      <c r="C420">
        <v>110</v>
      </c>
      <c r="D420" t="s">
        <v>111</v>
      </c>
      <c r="E420" t="s">
        <v>13</v>
      </c>
      <c r="F420">
        <v>1.27</v>
      </c>
      <c r="G420" t="s">
        <v>14</v>
      </c>
    </row>
    <row r="421" spans="1:7" x14ac:dyDescent="0.25">
      <c r="A421">
        <v>35</v>
      </c>
      <c r="B421" t="s">
        <v>181</v>
      </c>
      <c r="C421">
        <v>120</v>
      </c>
      <c r="D421" t="s">
        <v>182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183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183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183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183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183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183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183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183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183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183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183</v>
      </c>
      <c r="C432">
        <v>110</v>
      </c>
      <c r="D432" t="s">
        <v>111</v>
      </c>
      <c r="E432" t="s">
        <v>13</v>
      </c>
      <c r="F432">
        <v>1.27</v>
      </c>
      <c r="G432" t="s">
        <v>14</v>
      </c>
    </row>
    <row r="433" spans="1:7" x14ac:dyDescent="0.25">
      <c r="A433">
        <v>36</v>
      </c>
      <c r="B433" t="s">
        <v>183</v>
      </c>
      <c r="C433">
        <v>120</v>
      </c>
      <c r="D433" t="s">
        <v>184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185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185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185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185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185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185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185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185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185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185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185</v>
      </c>
      <c r="C444">
        <v>110</v>
      </c>
      <c r="D444" t="s">
        <v>111</v>
      </c>
      <c r="E444" t="s">
        <v>13</v>
      </c>
      <c r="F444">
        <v>1.27</v>
      </c>
      <c r="G444" t="s">
        <v>14</v>
      </c>
    </row>
    <row r="445" spans="1:7" x14ac:dyDescent="0.25">
      <c r="A445">
        <v>37</v>
      </c>
      <c r="B445" t="s">
        <v>185</v>
      </c>
      <c r="C445">
        <v>120</v>
      </c>
      <c r="D445" t="s">
        <v>186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187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187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187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187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187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187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187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187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187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187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187</v>
      </c>
      <c r="C456">
        <v>110</v>
      </c>
      <c r="D456" t="s">
        <v>111</v>
      </c>
      <c r="E456" t="s">
        <v>13</v>
      </c>
      <c r="F456">
        <v>1.27</v>
      </c>
      <c r="G456" t="s">
        <v>14</v>
      </c>
    </row>
    <row r="457" spans="1:7" x14ac:dyDescent="0.25">
      <c r="A457">
        <v>38</v>
      </c>
      <c r="B457" t="s">
        <v>187</v>
      </c>
      <c r="C457">
        <v>120</v>
      </c>
      <c r="D457" t="s">
        <v>188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189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189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189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189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189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189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189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189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189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189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189</v>
      </c>
      <c r="C468">
        <v>110</v>
      </c>
      <c r="D468" t="s">
        <v>111</v>
      </c>
      <c r="E468" t="s">
        <v>13</v>
      </c>
      <c r="F468">
        <v>1.27</v>
      </c>
      <c r="G468" t="s">
        <v>14</v>
      </c>
    </row>
    <row r="469" spans="1:7" x14ac:dyDescent="0.25">
      <c r="A469">
        <v>39</v>
      </c>
      <c r="B469" t="s">
        <v>189</v>
      </c>
      <c r="C469">
        <v>120</v>
      </c>
      <c r="D469" t="s">
        <v>190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191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191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191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191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191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191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191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191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191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191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191</v>
      </c>
      <c r="C480">
        <v>110</v>
      </c>
      <c r="D480" t="s">
        <v>111</v>
      </c>
      <c r="E480" t="s">
        <v>13</v>
      </c>
      <c r="F480">
        <v>1.27</v>
      </c>
      <c r="G480" t="s">
        <v>14</v>
      </c>
    </row>
    <row r="481" spans="1:7" x14ac:dyDescent="0.25">
      <c r="A481">
        <v>40</v>
      </c>
      <c r="B481" t="s">
        <v>191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0.54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0.622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0.70299999999999996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0.78400000000000003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0.94599999999999995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1.0269999999999999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1.1080000000000001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0.54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0.622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0.70299999999999996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0.78400000000000003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0.94599999999999995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1.0269999999999999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1.1080000000000001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0.54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0.622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0.70299999999999996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0.78400000000000003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0.94599999999999995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1.0269999999999999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1.1080000000000001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1.216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1.216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1.216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1.216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1.216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1.216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1.216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1.27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1.27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1.27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1.27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1.27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1.27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1.27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0.58099999999999996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115</v>
      </c>
      <c r="D17" s="3"/>
      <c r="E17" s="3" t="s">
        <v>115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0.66200000000000003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0.74299999999999999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0.82399999999999995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120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121</v>
      </c>
      <c r="D53" s="3"/>
      <c r="E53" s="3" t="s">
        <v>121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121</v>
      </c>
      <c r="D54" s="3"/>
      <c r="E54" s="3" t="s">
        <v>121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121</v>
      </c>
      <c r="D55" s="3"/>
      <c r="E55" s="3" t="s">
        <v>121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121</v>
      </c>
      <c r="D56" s="3"/>
      <c r="E56" s="3" t="s">
        <v>121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0.86499999999999999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0.90500000000000003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125</v>
      </c>
      <c r="D80" s="3"/>
      <c r="E80" s="3" t="s">
        <v>125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0.98599999999999999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1.0669999999999999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0.58099999999999996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130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0.66200000000000003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0.74299999999999999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134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135</v>
      </c>
      <c r="D137" s="3"/>
      <c r="E137" s="3" t="s">
        <v>135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135</v>
      </c>
      <c r="D138" s="3"/>
      <c r="E138" s="3" t="s">
        <v>135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135</v>
      </c>
      <c r="D139" s="3"/>
      <c r="E139" s="3" t="s">
        <v>135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0.82399999999999995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136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137</v>
      </c>
      <c r="D149" s="3"/>
      <c r="E149" s="3" t="s">
        <v>137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137</v>
      </c>
      <c r="D150" s="3"/>
      <c r="E150" s="3" t="s">
        <v>137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137</v>
      </c>
      <c r="D151" s="3"/>
      <c r="E151" s="3" t="s">
        <v>137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137</v>
      </c>
      <c r="D152" s="3"/>
      <c r="E152" s="3" t="s">
        <v>137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137</v>
      </c>
      <c r="D153" s="3"/>
      <c r="E153" s="3" t="s">
        <v>137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137</v>
      </c>
      <c r="D154" s="3"/>
      <c r="E154" s="3" t="s">
        <v>137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0.86499999999999999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138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139</v>
      </c>
      <c r="D161" s="3"/>
      <c r="E161" s="3" t="s">
        <v>139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139</v>
      </c>
      <c r="D162" s="3"/>
      <c r="E162" s="3" t="s">
        <v>139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139</v>
      </c>
      <c r="D163" s="3"/>
      <c r="E163" s="3" t="s">
        <v>139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139</v>
      </c>
      <c r="D164" s="3"/>
      <c r="E164" s="3" t="s">
        <v>139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139</v>
      </c>
      <c r="D165" s="3"/>
      <c r="E165" s="3" t="s">
        <v>139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139</v>
      </c>
      <c r="D166" s="3"/>
      <c r="E166" s="3" t="s">
        <v>139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139</v>
      </c>
      <c r="D167" s="3"/>
      <c r="E167" s="3" t="s">
        <v>139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139</v>
      </c>
      <c r="D168" s="3"/>
      <c r="E168" s="3" t="s">
        <v>139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139</v>
      </c>
      <c r="D169" s="3"/>
      <c r="E169" s="3" t="s">
        <v>139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139</v>
      </c>
      <c r="D170" s="3"/>
      <c r="E170" s="3" t="s">
        <v>139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139</v>
      </c>
      <c r="D171" s="3"/>
      <c r="E171" s="3" t="s">
        <v>139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0.90500000000000003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140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0.98599999999999999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142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143</v>
      </c>
      <c r="D187" s="3"/>
      <c r="E187" s="3" t="s">
        <v>143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143</v>
      </c>
      <c r="D188" s="3"/>
      <c r="E188" s="3" t="s">
        <v>143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143</v>
      </c>
      <c r="D189" s="3"/>
      <c r="E189" s="3" t="s">
        <v>143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143</v>
      </c>
      <c r="D190" s="3"/>
      <c r="E190" s="3" t="s">
        <v>143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143</v>
      </c>
      <c r="D191" s="3"/>
      <c r="E191" s="3" t="s">
        <v>143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143</v>
      </c>
      <c r="D192" s="3"/>
      <c r="E192" s="3" t="s">
        <v>143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143</v>
      </c>
      <c r="D193" s="3"/>
      <c r="E193" s="3" t="s">
        <v>143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143</v>
      </c>
      <c r="D194" s="3"/>
      <c r="E194" s="3" t="s">
        <v>143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143</v>
      </c>
      <c r="D195" s="3"/>
      <c r="E195" s="3" t="s">
        <v>143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1.0669999999999999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143</v>
      </c>
      <c r="D196" s="3"/>
      <c r="E196" s="3" t="s">
        <v>143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144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145</v>
      </c>
      <c r="D200" s="3"/>
      <c r="E200" s="3" t="s">
        <v>145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145</v>
      </c>
      <c r="D201" s="3"/>
      <c r="E201" s="3" t="s">
        <v>145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145</v>
      </c>
      <c r="D202" s="3"/>
      <c r="E202" s="3" t="s">
        <v>145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145</v>
      </c>
      <c r="D203" s="3"/>
      <c r="E203" s="3" t="s">
        <v>145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145</v>
      </c>
      <c r="D204" s="3"/>
      <c r="E204" s="3" t="s">
        <v>145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145</v>
      </c>
      <c r="D205" s="3"/>
      <c r="E205" s="3" t="s">
        <v>145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145</v>
      </c>
      <c r="D206" s="3"/>
      <c r="E206" s="3" t="s">
        <v>145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145</v>
      </c>
      <c r="D207" s="3"/>
      <c r="E207" s="3" t="s">
        <v>145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0.58099999999999996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145</v>
      </c>
      <c r="D208" s="3"/>
      <c r="E208" s="3" t="s">
        <v>145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146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147</v>
      </c>
      <c r="D214" s="3"/>
      <c r="E214" s="3" t="s">
        <v>147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147</v>
      </c>
      <c r="D215" s="3"/>
      <c r="E215" s="3" t="s">
        <v>147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147</v>
      </c>
      <c r="D216" s="3"/>
      <c r="E216" s="3" t="s">
        <v>147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147</v>
      </c>
      <c r="D217" s="3"/>
      <c r="E217" s="3" t="s">
        <v>147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147</v>
      </c>
      <c r="D218" s="3"/>
      <c r="E218" s="3" t="s">
        <v>147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147</v>
      </c>
      <c r="D219" s="3"/>
      <c r="E219" s="3" t="s">
        <v>147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0.66200000000000003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147</v>
      </c>
      <c r="D220" s="3"/>
      <c r="E220" s="3" t="s">
        <v>147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148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149</v>
      </c>
      <c r="D225" s="3"/>
      <c r="E225" s="3" t="s">
        <v>149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149</v>
      </c>
      <c r="D226" s="3"/>
      <c r="E226" s="3" t="s">
        <v>149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149</v>
      </c>
      <c r="D227" s="3"/>
      <c r="E227" s="3" t="s">
        <v>149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149</v>
      </c>
      <c r="D228" s="3"/>
      <c r="E228" s="3" t="s">
        <v>149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149</v>
      </c>
      <c r="D229" s="3"/>
      <c r="E229" s="3" t="s">
        <v>149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149</v>
      </c>
      <c r="D230" s="3"/>
      <c r="E230" s="3" t="s">
        <v>149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149</v>
      </c>
      <c r="D231" s="3"/>
      <c r="E231" s="3" t="s">
        <v>149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0.74299999999999999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149</v>
      </c>
      <c r="D232" s="3"/>
      <c r="E232" s="3" t="s">
        <v>149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150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151</v>
      </c>
      <c r="D233" s="3"/>
      <c r="E233" s="3" t="s">
        <v>151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151</v>
      </c>
      <c r="D234" s="3"/>
      <c r="E234" s="3" t="s">
        <v>151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151</v>
      </c>
      <c r="D235" s="3"/>
      <c r="E235" s="3" t="s">
        <v>151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151</v>
      </c>
      <c r="D236" s="3"/>
      <c r="E236" s="3" t="s">
        <v>151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151</v>
      </c>
      <c r="D237" s="3"/>
      <c r="E237" s="3" t="s">
        <v>151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151</v>
      </c>
      <c r="D238" s="3"/>
      <c r="E238" s="3" t="s">
        <v>151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151</v>
      </c>
      <c r="D239" s="3"/>
      <c r="E239" s="3" t="s">
        <v>151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151</v>
      </c>
      <c r="D240" s="3"/>
      <c r="E240" s="3" t="s">
        <v>151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151</v>
      </c>
      <c r="D241" s="3"/>
      <c r="E241" s="3" t="s">
        <v>151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151</v>
      </c>
      <c r="D242" s="3"/>
      <c r="E242" s="3" t="s">
        <v>151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151</v>
      </c>
      <c r="D243" s="3"/>
      <c r="E243" s="3" t="s">
        <v>151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0.82399999999999995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151</v>
      </c>
      <c r="D244" s="3"/>
      <c r="E244" s="3" t="s">
        <v>151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152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153</v>
      </c>
      <c r="D245" s="3"/>
      <c r="E245" s="3" t="s">
        <v>153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153</v>
      </c>
      <c r="D246" s="3"/>
      <c r="E246" s="3" t="s">
        <v>153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153</v>
      </c>
      <c r="D247" s="3"/>
      <c r="E247" s="3" t="s">
        <v>153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153</v>
      </c>
      <c r="D248" s="3"/>
      <c r="E248" s="3" t="s">
        <v>153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153</v>
      </c>
      <c r="D249" s="3"/>
      <c r="E249" s="3" t="s">
        <v>153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153</v>
      </c>
      <c r="D250" s="3"/>
      <c r="E250" s="3" t="s">
        <v>153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153</v>
      </c>
      <c r="D251" s="3"/>
      <c r="E251" s="3" t="s">
        <v>153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153</v>
      </c>
      <c r="D252" s="3"/>
      <c r="E252" s="3" t="s">
        <v>153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153</v>
      </c>
      <c r="D253" s="3"/>
      <c r="E253" s="3" t="s">
        <v>153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153</v>
      </c>
      <c r="D254" s="3"/>
      <c r="E254" s="3" t="s">
        <v>153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153</v>
      </c>
      <c r="D255" s="3"/>
      <c r="E255" s="3" t="s">
        <v>153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0.86499999999999999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153</v>
      </c>
      <c r="D256" s="3"/>
      <c r="E256" s="3" t="s">
        <v>153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154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155</v>
      </c>
      <c r="D260" s="3"/>
      <c r="E260" s="3" t="s">
        <v>155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155</v>
      </c>
      <c r="D261" s="3"/>
      <c r="E261" s="3" t="s">
        <v>155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155</v>
      </c>
      <c r="D262" s="3"/>
      <c r="E262" s="3" t="s">
        <v>155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155</v>
      </c>
      <c r="D263" s="3"/>
      <c r="E263" s="3" t="s">
        <v>155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155</v>
      </c>
      <c r="D264" s="3"/>
      <c r="E264" s="3" t="s">
        <v>155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155</v>
      </c>
      <c r="D265" s="3"/>
      <c r="E265" s="3" t="s">
        <v>155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155</v>
      </c>
      <c r="D266" s="3"/>
      <c r="E266" s="3" t="s">
        <v>155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155</v>
      </c>
      <c r="D267" s="3"/>
      <c r="E267" s="3" t="s">
        <v>155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0.90500000000000003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155</v>
      </c>
      <c r="D268" s="3"/>
      <c r="E268" s="3" t="s">
        <v>155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156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157</v>
      </c>
      <c r="D277" s="3"/>
      <c r="E277" s="3" t="s">
        <v>157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157</v>
      </c>
      <c r="D278" s="3"/>
      <c r="E278" s="3" t="s">
        <v>157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157</v>
      </c>
      <c r="D279" s="3"/>
      <c r="E279" s="3" t="s">
        <v>157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0.98599999999999999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157</v>
      </c>
      <c r="D280" s="3"/>
      <c r="E280" s="3" t="s">
        <v>157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158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159</v>
      </c>
      <c r="D291" s="3"/>
      <c r="E291" s="3" t="s">
        <v>159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1.0669999999999999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159</v>
      </c>
      <c r="D292" s="3"/>
      <c r="E292" s="3" t="s">
        <v>159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160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1.216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162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163</v>
      </c>
      <c r="D305" s="3"/>
      <c r="E305" s="3" t="s">
        <v>163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163</v>
      </c>
      <c r="D306" s="3"/>
      <c r="E306" s="3" t="s">
        <v>163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163</v>
      </c>
      <c r="D307" s="3"/>
      <c r="E307" s="3" t="s">
        <v>163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163</v>
      </c>
      <c r="D308" s="3"/>
      <c r="E308" s="3" t="s">
        <v>163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164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165</v>
      </c>
      <c r="D317" s="3"/>
      <c r="E317" s="3" t="s">
        <v>165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165</v>
      </c>
      <c r="D318" s="3"/>
      <c r="E318" s="3" t="s">
        <v>165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165</v>
      </c>
      <c r="D319" s="3"/>
      <c r="E319" s="3" t="s">
        <v>165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1.216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166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167</v>
      </c>
      <c r="D329" s="3"/>
      <c r="E329" s="3" t="s">
        <v>167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167</v>
      </c>
      <c r="D330" s="3"/>
      <c r="E330" s="3" t="s">
        <v>167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167</v>
      </c>
      <c r="D331" s="3"/>
      <c r="E331" s="3" t="s">
        <v>167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167</v>
      </c>
      <c r="D332" s="3"/>
      <c r="E332" s="3" t="s">
        <v>167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167</v>
      </c>
      <c r="D333" s="3"/>
      <c r="E333" s="3" t="s">
        <v>167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167</v>
      </c>
      <c r="D334" s="3"/>
      <c r="E334" s="3" t="s">
        <v>167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167</v>
      </c>
      <c r="D335" s="3"/>
      <c r="E335" s="3" t="s">
        <v>167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167</v>
      </c>
      <c r="D336" s="3"/>
      <c r="E336" s="3" t="s">
        <v>167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167</v>
      </c>
      <c r="D337" s="3"/>
      <c r="E337" s="3" t="s">
        <v>167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167</v>
      </c>
      <c r="D338" s="3"/>
      <c r="E338" s="3" t="s">
        <v>167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167</v>
      </c>
      <c r="D339" s="3"/>
      <c r="E339" s="3" t="s">
        <v>167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1.216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167</v>
      </c>
      <c r="D340" s="3"/>
      <c r="E340" s="3" t="s">
        <v>167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168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169</v>
      </c>
      <c r="D341" s="3"/>
      <c r="E341" s="3" t="s">
        <v>169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169</v>
      </c>
      <c r="D342" s="3"/>
      <c r="E342" s="3" t="s">
        <v>169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169</v>
      </c>
      <c r="D343" s="3"/>
      <c r="E343" s="3" t="s">
        <v>169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169</v>
      </c>
      <c r="D344" s="3"/>
      <c r="E344" s="3" t="s">
        <v>169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169</v>
      </c>
      <c r="D345" s="3"/>
      <c r="E345" s="3" t="s">
        <v>169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169</v>
      </c>
      <c r="D346" s="3"/>
      <c r="E346" s="3" t="s">
        <v>169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169</v>
      </c>
      <c r="D347" s="3"/>
      <c r="E347" s="3" t="s">
        <v>169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169</v>
      </c>
      <c r="D348" s="3"/>
      <c r="E348" s="3" t="s">
        <v>169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169</v>
      </c>
      <c r="D349" s="3"/>
      <c r="E349" s="3" t="s">
        <v>169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169</v>
      </c>
      <c r="D350" s="3"/>
      <c r="E350" s="3" t="s">
        <v>169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169</v>
      </c>
      <c r="D351" s="3"/>
      <c r="E351" s="3" t="s">
        <v>169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1.216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169</v>
      </c>
      <c r="D352" s="3"/>
      <c r="E352" s="3" t="s">
        <v>169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170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171</v>
      </c>
      <c r="D353" s="3"/>
      <c r="E353" s="3" t="s">
        <v>171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171</v>
      </c>
      <c r="D354" s="3"/>
      <c r="E354" s="3" t="s">
        <v>171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171</v>
      </c>
      <c r="D355" s="3"/>
      <c r="E355" s="3" t="s">
        <v>171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171</v>
      </c>
      <c r="D356" s="3"/>
      <c r="E356" s="3" t="s">
        <v>171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171</v>
      </c>
      <c r="D357" s="3"/>
      <c r="E357" s="3" t="s">
        <v>171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171</v>
      </c>
      <c r="D358" s="3"/>
      <c r="E358" s="3" t="s">
        <v>171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171</v>
      </c>
      <c r="D359" s="3"/>
      <c r="E359" s="3" t="s">
        <v>171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171</v>
      </c>
      <c r="D360" s="3"/>
      <c r="E360" s="3" t="s">
        <v>171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171</v>
      </c>
      <c r="D361" s="3"/>
      <c r="E361" s="3" t="s">
        <v>171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171</v>
      </c>
      <c r="D362" s="3"/>
      <c r="E362" s="3" t="s">
        <v>171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171</v>
      </c>
      <c r="D363" s="3"/>
      <c r="E363" s="3" t="s">
        <v>171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1.216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171</v>
      </c>
      <c r="D364" s="3"/>
      <c r="E364" s="3" t="s">
        <v>171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172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173</v>
      </c>
      <c r="D365" s="3"/>
      <c r="E365" s="3" t="s">
        <v>173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173</v>
      </c>
      <c r="D366" s="3"/>
      <c r="E366" s="3" t="s">
        <v>173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173</v>
      </c>
      <c r="D367" s="3"/>
      <c r="E367" s="3" t="s">
        <v>173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173</v>
      </c>
      <c r="D368" s="3"/>
      <c r="E368" s="3" t="s">
        <v>173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173</v>
      </c>
      <c r="D369" s="3"/>
      <c r="E369" s="3" t="s">
        <v>173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173</v>
      </c>
      <c r="D370" s="3"/>
      <c r="E370" s="3" t="s">
        <v>173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173</v>
      </c>
      <c r="D371" s="3"/>
      <c r="E371" s="3" t="s">
        <v>173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173</v>
      </c>
      <c r="D372" s="3"/>
      <c r="E372" s="3" t="s">
        <v>173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173</v>
      </c>
      <c r="D373" s="3"/>
      <c r="E373" s="3" t="s">
        <v>173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173</v>
      </c>
      <c r="D374" s="3"/>
      <c r="E374" s="3" t="s">
        <v>173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173</v>
      </c>
      <c r="D375" s="3"/>
      <c r="E375" s="3" t="s">
        <v>173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1.216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173</v>
      </c>
      <c r="D376" s="3"/>
      <c r="E376" s="3" t="s">
        <v>173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174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175</v>
      </c>
      <c r="D377" s="3"/>
      <c r="E377" s="3" t="s">
        <v>175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175</v>
      </c>
      <c r="D378" s="3"/>
      <c r="E378" s="3" t="s">
        <v>175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175</v>
      </c>
      <c r="D379" s="3"/>
      <c r="E379" s="3" t="s">
        <v>175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175</v>
      </c>
      <c r="D380" s="3"/>
      <c r="E380" s="3" t="s">
        <v>175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175</v>
      </c>
      <c r="D381" s="3"/>
      <c r="E381" s="3" t="s">
        <v>175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175</v>
      </c>
      <c r="D382" s="3"/>
      <c r="E382" s="3" t="s">
        <v>175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175</v>
      </c>
      <c r="D383" s="3"/>
      <c r="E383" s="3" t="s">
        <v>175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175</v>
      </c>
      <c r="D384" s="3"/>
      <c r="E384" s="3" t="s">
        <v>175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175</v>
      </c>
      <c r="D385" s="3"/>
      <c r="E385" s="3" t="s">
        <v>175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175</v>
      </c>
      <c r="D386" s="3"/>
      <c r="E386" s="3" t="s">
        <v>175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175</v>
      </c>
      <c r="D387" s="3"/>
      <c r="E387" s="3" t="s">
        <v>175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1.216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175</v>
      </c>
      <c r="D388" s="3"/>
      <c r="E388" s="3" t="s">
        <v>175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176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177</v>
      </c>
      <c r="D389" s="3"/>
      <c r="E389" s="3" t="s">
        <v>177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177</v>
      </c>
      <c r="D390" s="3"/>
      <c r="E390" s="3" t="s">
        <v>177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177</v>
      </c>
      <c r="D391" s="3"/>
      <c r="E391" s="3" t="s">
        <v>177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177</v>
      </c>
      <c r="D392" s="3"/>
      <c r="E392" s="3" t="s">
        <v>177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177</v>
      </c>
      <c r="D393" s="3"/>
      <c r="E393" s="3" t="s">
        <v>177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177</v>
      </c>
      <c r="D394" s="3"/>
      <c r="E394" s="3" t="s">
        <v>177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177</v>
      </c>
      <c r="D395" s="3"/>
      <c r="E395" s="3" t="s">
        <v>177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177</v>
      </c>
      <c r="D396" s="3"/>
      <c r="E396" s="3" t="s">
        <v>177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177</v>
      </c>
      <c r="D397" s="3"/>
      <c r="E397" s="3" t="s">
        <v>177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177</v>
      </c>
      <c r="D398" s="3"/>
      <c r="E398" s="3" t="s">
        <v>177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177</v>
      </c>
      <c r="D399" s="3"/>
      <c r="E399" s="3" t="s">
        <v>177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1.27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177</v>
      </c>
      <c r="D400" s="3"/>
      <c r="E400" s="3" t="s">
        <v>177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178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179</v>
      </c>
      <c r="D401" s="3"/>
      <c r="E401" s="3" t="s">
        <v>179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179</v>
      </c>
      <c r="D402" s="3"/>
      <c r="E402" s="3" t="s">
        <v>179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179</v>
      </c>
      <c r="D403" s="3"/>
      <c r="E403" s="3" t="s">
        <v>179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179</v>
      </c>
      <c r="D404" s="3"/>
      <c r="E404" s="3" t="s">
        <v>179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179</v>
      </c>
      <c r="D405" s="3"/>
      <c r="E405" s="3" t="s">
        <v>179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179</v>
      </c>
      <c r="D406" s="3"/>
      <c r="E406" s="3" t="s">
        <v>179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179</v>
      </c>
      <c r="D407" s="3"/>
      <c r="E407" s="3" t="s">
        <v>179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179</v>
      </c>
      <c r="D408" s="3"/>
      <c r="E408" s="3" t="s">
        <v>179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179</v>
      </c>
      <c r="D409" s="3"/>
      <c r="E409" s="3" t="s">
        <v>179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179</v>
      </c>
      <c r="D410" s="3"/>
      <c r="E410" s="3" t="s">
        <v>179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179</v>
      </c>
      <c r="D411" s="3"/>
      <c r="E411" s="3" t="s">
        <v>179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1.27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179</v>
      </c>
      <c r="D412" s="3"/>
      <c r="E412" s="3" t="s">
        <v>179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181</v>
      </c>
      <c r="D413" s="3"/>
      <c r="E413" s="3" t="s">
        <v>181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181</v>
      </c>
      <c r="D414" s="3"/>
      <c r="E414" s="3" t="s">
        <v>181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181</v>
      </c>
      <c r="D415" s="3"/>
      <c r="E415" s="3" t="s">
        <v>181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181</v>
      </c>
      <c r="D416" s="3"/>
      <c r="E416" s="3" t="s">
        <v>181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181</v>
      </c>
      <c r="D417" s="3"/>
      <c r="E417" s="3" t="s">
        <v>181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181</v>
      </c>
      <c r="D418" s="3"/>
      <c r="E418" s="3" t="s">
        <v>181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181</v>
      </c>
      <c r="D419" s="3"/>
      <c r="E419" s="3" t="s">
        <v>181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181</v>
      </c>
      <c r="D420" s="3"/>
      <c r="E420" s="3" t="s">
        <v>181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181</v>
      </c>
      <c r="D421" s="3"/>
      <c r="E421" s="3" t="s">
        <v>181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181</v>
      </c>
      <c r="D422" s="3"/>
      <c r="E422" s="3" t="s">
        <v>181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181</v>
      </c>
      <c r="D423" s="3"/>
      <c r="E423" s="3" t="s">
        <v>181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181</v>
      </c>
      <c r="D424" s="3"/>
      <c r="E424" s="3" t="s">
        <v>181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183</v>
      </c>
      <c r="D425" s="3"/>
      <c r="E425" s="3" t="s">
        <v>183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183</v>
      </c>
      <c r="D426" s="3"/>
      <c r="E426" s="3" t="s">
        <v>183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183</v>
      </c>
      <c r="D427" s="3"/>
      <c r="E427" s="3" t="s">
        <v>183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183</v>
      </c>
      <c r="D428" s="3"/>
      <c r="E428" s="3" t="s">
        <v>183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183</v>
      </c>
      <c r="D429" s="3"/>
      <c r="E429" s="3" t="s">
        <v>183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183</v>
      </c>
      <c r="D430" s="3"/>
      <c r="E430" s="3" t="s">
        <v>183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183</v>
      </c>
      <c r="D431" s="3"/>
      <c r="E431" s="3" t="s">
        <v>183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183</v>
      </c>
      <c r="D432" s="3"/>
      <c r="E432" s="3" t="s">
        <v>183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183</v>
      </c>
      <c r="D433" s="3"/>
      <c r="E433" s="3" t="s">
        <v>183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183</v>
      </c>
      <c r="D434" s="3"/>
      <c r="E434" s="3" t="s">
        <v>183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183</v>
      </c>
      <c r="D435" s="3"/>
      <c r="E435" s="3" t="s">
        <v>183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1.27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183</v>
      </c>
      <c r="D436" s="3"/>
      <c r="E436" s="3" t="s">
        <v>183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185</v>
      </c>
      <c r="D437" s="3"/>
      <c r="E437" s="3" t="s">
        <v>185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185</v>
      </c>
      <c r="D438" s="3"/>
      <c r="E438" s="3" t="s">
        <v>185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185</v>
      </c>
      <c r="D439" s="3"/>
      <c r="E439" s="3" t="s">
        <v>185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185</v>
      </c>
      <c r="D440" s="3"/>
      <c r="E440" s="3" t="s">
        <v>185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185</v>
      </c>
      <c r="D441" s="3"/>
      <c r="E441" s="3" t="s">
        <v>185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185</v>
      </c>
      <c r="D442" s="3"/>
      <c r="E442" s="3" t="s">
        <v>185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185</v>
      </c>
      <c r="D443" s="3"/>
      <c r="E443" s="3" t="s">
        <v>185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185</v>
      </c>
      <c r="D444" s="3"/>
      <c r="E444" s="3" t="s">
        <v>185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185</v>
      </c>
      <c r="D445" s="3"/>
      <c r="E445" s="3" t="s">
        <v>185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185</v>
      </c>
      <c r="D446" s="3"/>
      <c r="E446" s="3" t="s">
        <v>185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185</v>
      </c>
      <c r="D447" s="3"/>
      <c r="E447" s="3" t="s">
        <v>185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1.27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185</v>
      </c>
      <c r="D448" s="3"/>
      <c r="E448" s="3" t="s">
        <v>185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187</v>
      </c>
      <c r="D449" s="3"/>
      <c r="E449" s="3" t="s">
        <v>187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187</v>
      </c>
      <c r="D450" s="3"/>
      <c r="E450" s="3" t="s">
        <v>187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187</v>
      </c>
      <c r="D451" s="3"/>
      <c r="E451" s="3" t="s">
        <v>187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187</v>
      </c>
      <c r="D452" s="3"/>
      <c r="E452" s="3" t="s">
        <v>187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187</v>
      </c>
      <c r="D453" s="3"/>
      <c r="E453" s="3" t="s">
        <v>187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187</v>
      </c>
      <c r="D454" s="3"/>
      <c r="E454" s="3" t="s">
        <v>187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187</v>
      </c>
      <c r="D455" s="3"/>
      <c r="E455" s="3" t="s">
        <v>187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187</v>
      </c>
      <c r="D456" s="3"/>
      <c r="E456" s="3" t="s">
        <v>187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187</v>
      </c>
      <c r="D457" s="3"/>
      <c r="E457" s="3" t="s">
        <v>187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187</v>
      </c>
      <c r="D458" s="3"/>
      <c r="E458" s="3" t="s">
        <v>187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187</v>
      </c>
      <c r="D459" s="3"/>
      <c r="E459" s="3" t="s">
        <v>187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1.27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187</v>
      </c>
      <c r="D460" s="3"/>
      <c r="E460" s="3" t="s">
        <v>187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188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189</v>
      </c>
      <c r="D461" s="3"/>
      <c r="E461" s="3" t="s">
        <v>189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189</v>
      </c>
      <c r="D462" s="3"/>
      <c r="E462" s="3" t="s">
        <v>189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189</v>
      </c>
      <c r="D463" s="3"/>
      <c r="E463" s="3" t="s">
        <v>189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189</v>
      </c>
      <c r="D464" s="3"/>
      <c r="E464" s="3" t="s">
        <v>189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189</v>
      </c>
      <c r="D465" s="3"/>
      <c r="E465" s="3" t="s">
        <v>189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189</v>
      </c>
      <c r="D466" s="3"/>
      <c r="E466" s="3" t="s">
        <v>189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189</v>
      </c>
      <c r="D467" s="3"/>
      <c r="E467" s="3" t="s">
        <v>189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189</v>
      </c>
      <c r="D468" s="3"/>
      <c r="E468" s="3" t="s">
        <v>189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189</v>
      </c>
      <c r="D469" s="3"/>
      <c r="E469" s="3" t="s">
        <v>189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189</v>
      </c>
      <c r="D470" s="3"/>
      <c r="E470" s="3" t="s">
        <v>189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189</v>
      </c>
      <c r="D471" s="3"/>
      <c r="E471" s="3" t="s">
        <v>189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1.27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189</v>
      </c>
      <c r="D472" s="3"/>
      <c r="E472" s="3" t="s">
        <v>189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191</v>
      </c>
      <c r="D473" s="3"/>
      <c r="E473" s="3" t="s">
        <v>191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191</v>
      </c>
      <c r="D474" s="3"/>
      <c r="E474" s="3" t="s">
        <v>191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191</v>
      </c>
      <c r="D475" s="3"/>
      <c r="E475" s="3" t="s">
        <v>191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191</v>
      </c>
      <c r="D476" s="3"/>
      <c r="E476" s="3" t="s">
        <v>191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191</v>
      </c>
      <c r="D477" s="3"/>
      <c r="E477" s="3" t="s">
        <v>191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191</v>
      </c>
      <c r="D478" s="3"/>
      <c r="E478" s="3" t="s">
        <v>191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191</v>
      </c>
      <c r="D479" s="3"/>
      <c r="E479" s="3" t="s">
        <v>191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191</v>
      </c>
      <c r="D480" s="3"/>
      <c r="E480" s="3" t="s">
        <v>191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191</v>
      </c>
      <c r="D481" s="3"/>
      <c r="E481" s="3" t="s">
        <v>191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191</v>
      </c>
      <c r="D482" s="3"/>
      <c r="E482" s="3" t="s">
        <v>191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191</v>
      </c>
      <c r="D483" s="3"/>
      <c r="E483" s="3" t="s">
        <v>191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1.27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191</v>
      </c>
      <c r="D484" s="3"/>
      <c r="E484" s="3" t="s">
        <v>191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0.54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0.622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0.70299999999999996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0.78400000000000003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0.94599999999999995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1.0269999999999999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1.1080000000000001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0.54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0.622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0.70299999999999996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0.78400000000000003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0.94599999999999995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1.0269999999999999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1.1080000000000001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0.54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0.622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0.70299999999999996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0.78400000000000003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0.94599999999999995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1.0269999999999999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1.1080000000000001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1.216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1.216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1.216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1.216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1.216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1.27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1.27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1.27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1.27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1.27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1.27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1.27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2026-06-01T08:32:02Z</dcterms:modified>
</cp:coreProperties>
</file>