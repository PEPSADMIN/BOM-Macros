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Zenimo\zenimo ECO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G12" i="13" l="1"/>
  <c r="D3" i="13"/>
  <c r="D4" i="13"/>
  <c r="D5" i="13"/>
  <c r="D6" i="13"/>
  <c r="D7" i="13"/>
  <c r="D8" i="13"/>
  <c r="D9" i="13"/>
  <c r="D10" i="13"/>
  <c r="D11" i="13"/>
  <c r="D12" i="13"/>
  <c r="D13" i="13"/>
  <c r="D2" i="13"/>
  <c r="E2" i="13" l="1"/>
  <c r="G3" i="13" l="1"/>
  <c r="G4" i="13" l="1"/>
  <c r="H13" i="13" l="1"/>
  <c r="H12" i="13"/>
  <c r="H11" i="13"/>
  <c r="H10" i="13"/>
  <c r="H9" i="13"/>
  <c r="H8" i="13"/>
  <c r="G7" i="13"/>
  <c r="H7" i="13" s="1"/>
  <c r="G6" i="13"/>
  <c r="H6" i="13" s="1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<sst xmlns="http://schemas.openxmlformats.org/spreadsheetml/2006/main" count="4922" uniqueCount="215">
  <si>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</si>
  <si>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</si>
  <si>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</si>
  <si>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</si>
  <si>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</si>
  <si>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</si>
  <si>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</si>
  <si>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</si>
  <si>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</si>
  <si>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</si>
  <si>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</si>
  <si>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</si>
  <si>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</si>
  <si>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</si>
  <si>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</si>
  <si>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</si>
  <si>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</si>
  <si>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</si>
  <si>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</si>
  <si>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</si>
  <si>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</si>
  <si>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</si>
  <si>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</si>
  <si>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</si>
  <si>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</si>
  <si>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</si>
  <si>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</si>
  <si>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</si>
  <si>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</si>
  <si>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</si>
  <si>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</si>
  <si>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</si>
  <si>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</si>
  <si>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</si>
  <si>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</si>
  <si>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</si>
  <si>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</si>
  <si>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</si>
  <si>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</si>
  <si>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</si>
  <si>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</si>
  <si>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</si>
  <si>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</si>
  <si>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</si>
  <si>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</si>
  <si>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</si>
  <si>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</si>
  <si>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</si>
  <si>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</si>
  <si>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</si>
  <si>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</si>
  <si>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</si>
  <si>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</si>
  <si>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</si>
  <si>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</si>
  <si>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</si>
  <si>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</si>
  <si>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</si>
  <si>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</si>
  <si>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</si>
  <si>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</si>
  <si>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</si>
  <si>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</si>
  <si>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</si>
  <si>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</si>
  <si>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</si>
  <si>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</si>
  <si>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</si>
  <si>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</si>
  <si>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</si>
  <si>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</si>
  <si>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</si>
  <si>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</si>
  <si>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</si>
  <si>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</si>
  <si>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</si>
  <si>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</si>
  <si>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</si>
  <si>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</si>
  <si>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</si>
  <si>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</si>
  <si>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</si>
  <si>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</si>
  <si>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</si>
  <si>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</si>
  <si>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</si>
  <si>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</si>
  <si>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</si>
  <si>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</si>
  <si>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</si>
  <si>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</si>
  <si>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</si>
  <si>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</si>
  <si>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</si>
  <si>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</si>
  <si>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RML-POLY-GUM</t>
  </si>
  <si>
    <t>LTR</t>
  </si>
  <si>
    <t>30</t>
  </si>
  <si>
    <t>36</t>
  </si>
  <si>
    <t>42</t>
  </si>
  <si>
    <t>48</t>
  </si>
  <si>
    <t>60</t>
  </si>
  <si>
    <t>66</t>
  </si>
  <si>
    <t>DB</t>
  </si>
  <si>
    <t>RML-EDTAPE-BLUE</t>
  </si>
  <si>
    <t>RM-THRD-TKT40-BLACK</t>
  </si>
  <si>
    <t>SFG-ZENDB-NL-QUILT</t>
  </si>
  <si>
    <t>SFG-ZENDB-NL-BP</t>
  </si>
  <si>
    <t>OEPKBOXSR71.50X29.50X140</t>
  </si>
  <si>
    <t>OEPKBOXSR71.50X35.50X140</t>
  </si>
  <si>
    <t>OEPKBOXSR71.50X41.50X140</t>
  </si>
  <si>
    <t>OEPKBOXSR71.50X47.50X140</t>
  </si>
  <si>
    <t>OEPKBOXSR71.50X59.50X140</t>
  </si>
  <si>
    <t>OEPKBOXSR71.50X65.50X140</t>
  </si>
  <si>
    <t>OEPKBOXSR71.50X71.50X140</t>
  </si>
  <si>
    <t>OEPKBOXSR74.50X29.50X140</t>
  </si>
  <si>
    <t>OEPKBOXSR74.50X35.50X140</t>
  </si>
  <si>
    <t>OEPKBOXSR74.50X41.50X140</t>
  </si>
  <si>
    <t>OEPKBOXSR74.50X47.50X140</t>
  </si>
  <si>
    <t>OEPKBOXSR74.50X59.50X140</t>
  </si>
  <si>
    <t>OEPKBOXSR74.50X65.50X140</t>
  </si>
  <si>
    <t>OEPKBOXSR74.50X71.50X140</t>
  </si>
  <si>
    <t>OEPKBOXSR77.50X29.50X140</t>
  </si>
  <si>
    <t>OEPKBOXSR77.50X35.50X140</t>
  </si>
  <si>
    <t>OEPKBOXSR77.50X41.50X140</t>
  </si>
  <si>
    <t>OEPKBOXSR77.50X47.50X140</t>
  </si>
  <si>
    <t>OEPKBOXSR77.50X59.50X140</t>
  </si>
  <si>
    <t>OEPKBOXSR77.50X65.50X140</t>
  </si>
  <si>
    <t>OEPKBOXSR77.50X71.50X140</t>
  </si>
  <si>
    <t>OEPKBOXSR79.50X29.50X140</t>
  </si>
  <si>
    <t>OEPKBOXSR79.50X35.50X140</t>
  </si>
  <si>
    <t>OEPKBOXSR79.50X41.50X140</t>
  </si>
  <si>
    <t>OEPKBOXSR79.50X47.50X140</t>
  </si>
  <si>
    <t>OEPKBOXSR79.50X59.50X140</t>
  </si>
  <si>
    <t>OEPKBOXSR79.50X65.50X140</t>
  </si>
  <si>
    <t>OEPKBOXSR79.50X71.50X140</t>
  </si>
  <si>
    <t>OEPKBOXSR83.50X29.50X140</t>
  </si>
  <si>
    <t>OEPKBOXSR83.50X35.50X140</t>
  </si>
  <si>
    <t>OEPKBOXSR83.50X41.50X140</t>
  </si>
  <si>
    <t>OEPKBOXSR83.50X47.50X140</t>
  </si>
  <si>
    <t>OEPKBOXSR83.50X59.50X140</t>
  </si>
  <si>
    <t>OEPKBOXSR83.50X65.50X140</t>
  </si>
  <si>
    <t>OEPKBOXSR83.50X71.50X140</t>
  </si>
  <si>
    <t>RML-CS-PL-8.5</t>
  </si>
  <si>
    <t>RMI-PVC-50</t>
  </si>
  <si>
    <t>PEPSZENPKNLDB72X30X08-ECOM</t>
  </si>
  <si>
    <t>PEPSZENPKNLDB72X36X08-ECOM</t>
  </si>
  <si>
    <t>PEPSZENPKNLDB72X42X08-ECOM</t>
  </si>
  <si>
    <t>PEPSZENPKNLDB72X48X08-ECOM</t>
  </si>
  <si>
    <t>PEPSZENPKNLDB72X60X08-ECOM</t>
  </si>
  <si>
    <t>PEPSZENPKNLDB72X66X08-ECOM</t>
  </si>
  <si>
    <t>PEPSZENPKNLDB72X72X08-ECOM</t>
  </si>
  <si>
    <t>PEPSZENPKNLDB75X30X08-ECOM</t>
  </si>
  <si>
    <t>PEPSZENPKNLDB75X36X08-ECOM</t>
  </si>
  <si>
    <t>PEPSZENPKNLDB75X42X08-ECOM</t>
  </si>
  <si>
    <t>PEPSZENPKNLDB75X48X08-ECOM</t>
  </si>
  <si>
    <t>PEPSZENPKNLDB75X60X08-ECOM</t>
  </si>
  <si>
    <t>PEPSZENPKNLDB75X66X08-ECOM</t>
  </si>
  <si>
    <t>PEPSZENPKNLDB75X72X08-ECOM</t>
  </si>
  <si>
    <t>PEPSZENPKNLDB78X30X08-ECOM</t>
  </si>
  <si>
    <t>PEPSZENPKNLDB78X36X08-ECOM</t>
  </si>
  <si>
    <t>PEPSZENPKNLDB78X42X08-ECOM</t>
  </si>
  <si>
    <t>PEPSZENPKNLDB78X48X08-ECOM</t>
  </si>
  <si>
    <t>PEPSZENPKNLDB78X60X08-ECOM</t>
  </si>
  <si>
    <t>PEPSZENPKNLDB78X66X08-ECOM</t>
  </si>
  <si>
    <t>PEPSZENPKNLDB78X72X08-ECOM</t>
  </si>
  <si>
    <t>PEPSZENPKNLDB80X30X08-ECOM</t>
  </si>
  <si>
    <t>PEPSZENPKNLDB80X36X08-ECOM</t>
  </si>
  <si>
    <t>PEPSZENPKNLDB80X42X08-ECOM</t>
  </si>
  <si>
    <t>PEPSZENPKNLDB80X48X08-ECOM</t>
  </si>
  <si>
    <t>PEPSZENPKNLDB80X60X08-ECOM</t>
  </si>
  <si>
    <t>PEPSZENPKNLDB80X66X08-ECOM</t>
  </si>
  <si>
    <t>PEPSZENPKNLDB80X72X08-ECOM</t>
  </si>
  <si>
    <t>PEPSZENPKNLDB84X30X08-ECOM</t>
  </si>
  <si>
    <t>PEPSZENPKNLDB84X36X08-ECOM</t>
  </si>
  <si>
    <t>PEPSZENPKNLDB84X42X08-ECOM</t>
  </si>
  <si>
    <t>PEPSZENPKNLDB84X48X08-ECOM</t>
  </si>
  <si>
    <t>PEPSZENPKNLDB84X60X08-ECOM</t>
  </si>
  <si>
    <t>PEPSZENPKNLDB84X66X08-ECOM</t>
  </si>
  <si>
    <t>PEPSZENPKNLDB84X72X08-ECOM</t>
  </si>
  <si>
    <t>25D-HELIXA-FOAM-71.50X29.50X15MM</t>
  </si>
  <si>
    <t>25D-HELIXA-FOAM-71.50X35.50X15MM</t>
  </si>
  <si>
    <t>25D-HELIXA-FOAM-71.50X41.50X15MM</t>
  </si>
  <si>
    <t>25D-HELIXA-FOAM-71.50X47.50X15MM</t>
  </si>
  <si>
    <t>25D-HELIXA-FOAM-71.50X59.50X15MM</t>
  </si>
  <si>
    <t>25D-HELIXA-FOAM-71.50X65.50X15MM</t>
  </si>
  <si>
    <t>25D-HELIXA-FOAM-71.50X71.50X15MM</t>
  </si>
  <si>
    <t>25D-HELIXA-FOAM-74.50X29.50X15MM</t>
  </si>
  <si>
    <t>25D-HELIXA-FOAM-74.50X35.50X15MM</t>
  </si>
  <si>
    <t>25D-HELIXA-FOAM-74.50X41.50X15MM</t>
  </si>
  <si>
    <t>25D-HELIXA-FOAM-74.50X47.50X15MM</t>
  </si>
  <si>
    <t>25D-HELIXA-FOAM-74.50X59.50X15MM</t>
  </si>
  <si>
    <t>25D-HELIXA-FOAM-74.50X65.50X15MM</t>
  </si>
  <si>
    <t>25D-HELIXA-FOAM-74.50X71.50X15MM</t>
  </si>
  <si>
    <t>25D-HELIXA-FOAM-77.50X29.50X15MM</t>
  </si>
  <si>
    <t>25D-HELIXA-FOAM-77.50X35.50X15MM</t>
  </si>
  <si>
    <t>25D-HELIXA-FOAM-77.50X41.50X15MM</t>
  </si>
  <si>
    <t>25D-HELIXA-FOAM-77.50X47.50X15MM</t>
  </si>
  <si>
    <t>25D-HELIXA-FOAM-77.50X59.50X15MM</t>
  </si>
  <si>
    <t>25D-HELIXA-FOAM-77.50X65.50X15MM</t>
  </si>
  <si>
    <t>25D-HELIXA-FOAM-77.50X71.50X15MM</t>
  </si>
  <si>
    <t>25D-HELIXA-FOAM-79.50X29.50X15MM</t>
  </si>
  <si>
    <t>25D-HELIXA-FOAM-79.50X35.50X15MM</t>
  </si>
  <si>
    <t>25D-HELIXA-FOAM-79.50X41.50X15MM</t>
  </si>
  <si>
    <t>25D-HELIXA-FOAM-79.50X47.50X15MM</t>
  </si>
  <si>
    <t>25D-HELIXA-FOAM-79.50X59.50X15MM</t>
  </si>
  <si>
    <t>25D-HELIXA-FOAM-79.50X65.50X15MM</t>
  </si>
  <si>
    <t>25D-HELIXA-FOAM-79.50X71.50X15MM</t>
  </si>
  <si>
    <t>25D-HELIXA-FOAM-83.50X29.50X15MM</t>
  </si>
  <si>
    <t>25D-HELIXA-FOAM-83.50X35.50X15MM</t>
  </si>
  <si>
    <t>25D-HELIXA-FOAM-83.50X41.50X15MM</t>
  </si>
  <si>
    <t>25D-HELIXA-FOAM-83.50X47.50X15MM</t>
  </si>
  <si>
    <t>25D-HELIXA-FOAM-83.50X59.50X15MM</t>
  </si>
  <si>
    <t>25D-HELIXA-FOAM-83.50X65.50X15MM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</si>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</sst>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20" sqref="G20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30.710937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40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"PEPSZENPKNLDB"&amp;$K$2&amp;"X"&amp;$L$2&amp;"X08"&amp;"-ECOM"</f>
        <v>PEPSZENPKNLDB75X36X08-ECOM</v>
      </c>
      <c r="E2" s="1" t="str">
        <f>"OEPKBOXSR"&amp;(K2-0.5)&amp;"0"&amp;"X"&amp;(L2-0.5)&amp;"0"&amp;IF(M2=8,"X140")</f>
        <v>OEPKBOXSR74.50X35.50X140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 t="s">
        <v>103</v>
      </c>
      <c r="P2" s="4">
        <v>8</v>
      </c>
      <c r="R2" s="25" t="s">
        <v>90</v>
      </c>
      <c r="S2" s="25" t="s">
        <v>97</v>
      </c>
      <c r="T2" s="24">
        <v>8</v>
      </c>
      <c r="U2" s="25" t="s">
        <v>103</v>
      </c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3" si="1">"PEPSZENPKNLDB"&amp;$K$2&amp;"X"&amp;$L$2&amp;"X08"&amp;"-ECOM"</f>
        <v>PEPSZENPKNLDB75X36X08-ECOM</v>
      </c>
      <c r="E3" s="36" t="s">
        <v>95</v>
      </c>
      <c r="F3" s="28" t="s">
        <v>96</v>
      </c>
      <c r="G3" s="42">
        <f>((K2-1)*(L2-1)/144)*0.00729*3</f>
        <v>0.39335624999999996</v>
      </c>
      <c r="H3" s="10">
        <f t="shared" ref="H3:H5" si="2">ROUND(G3,3)</f>
        <v>0.39300000000000002</v>
      </c>
      <c r="I3" s="32" t="s">
        <v>14</v>
      </c>
      <c r="J3" s="5"/>
      <c r="K3" s="12"/>
      <c r="L3" s="12"/>
      <c r="M3" s="12"/>
      <c r="N3" s="12"/>
      <c r="O3" s="4"/>
      <c r="R3" s="47" t="s">
        <v>90</v>
      </c>
      <c r="S3" s="47" t="s">
        <v>98</v>
      </c>
      <c r="T3" s="24">
        <v>8</v>
      </c>
      <c r="U3" s="25" t="s">
        <v>103</v>
      </c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PEPSZENPKNLDB75X36X08-ECOM</v>
      </c>
      <c r="E4" s="39" t="s">
        <v>106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5" t="s">
        <v>90</v>
      </c>
      <c r="S4" s="25" t="s">
        <v>99</v>
      </c>
      <c r="T4" s="24">
        <v>8</v>
      </c>
      <c r="U4" s="25" t="s">
        <v>103</v>
      </c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PEPSZENPKNLDB75X36X08-ECOM</v>
      </c>
      <c r="E5" s="39" t="s">
        <v>107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5" t="s">
        <v>90</v>
      </c>
      <c r="S5" s="25" t="s">
        <v>100</v>
      </c>
      <c r="T5" s="24">
        <v>8</v>
      </c>
      <c r="U5" s="25" t="s">
        <v>103</v>
      </c>
    </row>
    <row r="6" spans="1:21" x14ac:dyDescent="0.25">
      <c r="A6" s="30">
        <v>7</v>
      </c>
      <c r="B6" s="31" t="s">
        <v>18</v>
      </c>
      <c r="C6" s="31" t="s">
        <v>18</v>
      </c>
      <c r="D6" s="7" t="str">
        <f t="shared" si="1"/>
        <v>PEPSZENPKNLDB75X36X08-ECOM</v>
      </c>
      <c r="E6" s="48" t="s">
        <v>104</v>
      </c>
      <c r="F6" s="32" t="s">
        <v>15</v>
      </c>
      <c r="G6" s="44">
        <f>(K2+L2+4)*2*0.0254*2</f>
        <v>11.683999999999999</v>
      </c>
      <c r="H6" s="10">
        <f t="shared" ref="H6:H8" si="3">ROUND(G6,3)</f>
        <v>11.683999999999999</v>
      </c>
      <c r="I6" s="32" t="s">
        <v>14</v>
      </c>
      <c r="J6" s="8"/>
      <c r="R6" s="25" t="s">
        <v>90</v>
      </c>
      <c r="S6" s="25" t="s">
        <v>101</v>
      </c>
      <c r="T6" s="24">
        <v>8</v>
      </c>
      <c r="U6" s="25" t="s">
        <v>103</v>
      </c>
    </row>
    <row r="7" spans="1:21" x14ac:dyDescent="0.25">
      <c r="A7" s="30">
        <v>8</v>
      </c>
      <c r="B7" s="31" t="s">
        <v>18</v>
      </c>
      <c r="C7" s="31" t="s">
        <v>18</v>
      </c>
      <c r="D7" s="7" t="str">
        <f t="shared" si="1"/>
        <v>PEPSZENPKNLDB75X36X08-ECOM</v>
      </c>
      <c r="E7" s="48" t="s">
        <v>105</v>
      </c>
      <c r="F7" s="32" t="s">
        <v>15</v>
      </c>
      <c r="G7" s="44">
        <f>(K2+L2+4)*2*0.0254*(4.73+1.42)*2</f>
        <v>71.8566</v>
      </c>
      <c r="H7" s="10">
        <f t="shared" si="3"/>
        <v>71.856999999999999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5" t="s">
        <v>90</v>
      </c>
      <c r="S7" s="25" t="s">
        <v>102</v>
      </c>
      <c r="T7" s="24">
        <v>8</v>
      </c>
      <c r="U7" s="25" t="s">
        <v>103</v>
      </c>
    </row>
    <row r="8" spans="1:21" x14ac:dyDescent="0.25">
      <c r="A8" s="30">
        <v>9</v>
      </c>
      <c r="B8" s="31" t="s">
        <v>18</v>
      </c>
      <c r="C8" s="31" t="s">
        <v>18</v>
      </c>
      <c r="D8" s="7" t="str">
        <f t="shared" si="1"/>
        <v>PEPSZENPKNLDB75X36X08-ECOM</v>
      </c>
      <c r="E8" s="37" t="s">
        <v>20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5" t="s">
        <v>90</v>
      </c>
      <c r="S8" s="25" t="s">
        <v>90</v>
      </c>
      <c r="T8" s="24">
        <v>8</v>
      </c>
      <c r="U8" s="25" t="s">
        <v>103</v>
      </c>
    </row>
    <row r="9" spans="1:21" x14ac:dyDescent="0.25">
      <c r="A9" s="30">
        <v>11</v>
      </c>
      <c r="B9" s="31" t="s">
        <v>19</v>
      </c>
      <c r="C9" s="34" t="s">
        <v>19</v>
      </c>
      <c r="D9" s="7" t="str">
        <f t="shared" si="1"/>
        <v>PEPSZENPKNLDB75X36X08-ECOM</v>
      </c>
      <c r="E9" s="48" t="s">
        <v>143</v>
      </c>
      <c r="F9" s="32" t="s">
        <v>11</v>
      </c>
      <c r="G9" s="44">
        <v>4</v>
      </c>
      <c r="H9" s="10">
        <f>ROUND(G9,3)</f>
        <v>4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5" t="s">
        <v>91</v>
      </c>
      <c r="S9" s="25" t="s">
        <v>97</v>
      </c>
      <c r="T9" s="24">
        <v>8</v>
      </c>
      <c r="U9" s="25" t="s">
        <v>103</v>
      </c>
    </row>
    <row r="10" spans="1:21" x14ac:dyDescent="0.25">
      <c r="A10" s="30">
        <v>12</v>
      </c>
      <c r="B10" s="31" t="s">
        <v>19</v>
      </c>
      <c r="C10" s="34" t="s">
        <v>19</v>
      </c>
      <c r="D10" s="7" t="str">
        <f t="shared" si="1"/>
        <v>PEPSZENPKNLDB75X36X08-ECOM</v>
      </c>
      <c r="E10" s="34" t="s">
        <v>21</v>
      </c>
      <c r="F10" s="32" t="s">
        <v>11</v>
      </c>
      <c r="G10" s="44">
        <v>1</v>
      </c>
      <c r="H10" s="10">
        <f>ROUND(G10,3)</f>
        <v>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5" t="s">
        <v>91</v>
      </c>
      <c r="S10" s="25" t="s">
        <v>98</v>
      </c>
      <c r="T10" s="24">
        <v>8</v>
      </c>
      <c r="U10" s="25" t="s">
        <v>103</v>
      </c>
    </row>
    <row r="11" spans="1:21" x14ac:dyDescent="0.25">
      <c r="A11" s="30">
        <v>13</v>
      </c>
      <c r="B11" s="31" t="s">
        <v>19</v>
      </c>
      <c r="C11" s="34" t="s">
        <v>19</v>
      </c>
      <c r="D11" s="7" t="str">
        <f t="shared" si="1"/>
        <v>PEPSZENPKNLDB75X36X08-ECOM</v>
      </c>
      <c r="E11" s="34" t="s">
        <v>22</v>
      </c>
      <c r="F11" s="32" t="s">
        <v>11</v>
      </c>
      <c r="G11" s="44">
        <v>1</v>
      </c>
      <c r="H11" s="10">
        <f>ROUND(G11,3)</f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5" t="s">
        <v>91</v>
      </c>
      <c r="S11" s="25" t="s">
        <v>99</v>
      </c>
      <c r="T11" s="24">
        <v>8</v>
      </c>
      <c r="U11" s="25" t="s">
        <v>103</v>
      </c>
    </row>
    <row r="12" spans="1:21" x14ac:dyDescent="0.25">
      <c r="A12" s="30">
        <v>14</v>
      </c>
      <c r="B12" s="31" t="s">
        <v>19</v>
      </c>
      <c r="C12" s="34" t="s">
        <v>19</v>
      </c>
      <c r="D12" s="7" t="str">
        <f t="shared" si="1"/>
        <v>PEPSZENPKNLDB75X36X08-ECOM</v>
      </c>
      <c r="E12" s="29" t="s">
        <v>144</v>
      </c>
      <c r="F12" s="28" t="s">
        <v>13</v>
      </c>
      <c r="G12" s="42">
        <f>(IF(K2&gt;76,(K2*2)+(M2*2),(L2*2)+(M2*2))+4)*89.5*0.0254*0.0254*0.00005*1300</f>
        <v>0.34529608359999991</v>
      </c>
      <c r="H12" s="10">
        <f>ROUND(G12,3)</f>
        <v>0.34499999999999997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5" t="s">
        <v>91</v>
      </c>
      <c r="S12" s="25" t="s">
        <v>100</v>
      </c>
      <c r="T12" s="24">
        <v>8</v>
      </c>
      <c r="U12" s="25" t="s">
        <v>103</v>
      </c>
    </row>
    <row r="13" spans="1:21" x14ac:dyDescent="0.25">
      <c r="A13" s="30">
        <v>15</v>
      </c>
      <c r="B13" s="31" t="s">
        <v>18</v>
      </c>
      <c r="C13" s="31" t="s">
        <v>18</v>
      </c>
      <c r="D13" s="7" t="str">
        <f t="shared" si="1"/>
        <v>PEPSZENPKNLDB75X36X08-ECOM</v>
      </c>
      <c r="E13" s="35" t="str">
        <f>"25D-HELIXA-FOAM-"&amp;(K2-0.5)&amp;"0"&amp;"X"&amp;(L2-0.5)&amp;"0"&amp;"X"&amp;"15MM"</f>
        <v>25D-HELIXA-FOAM-74.50X35.50X15MM</v>
      </c>
      <c r="F13" s="32" t="s">
        <v>11</v>
      </c>
      <c r="G13" s="44">
        <v>1</v>
      </c>
      <c r="H13" s="10">
        <f>ROUND(G13,3)</f>
        <v>1</v>
      </c>
      <c r="I13" s="33" t="s">
        <v>16</v>
      </c>
      <c r="J13" s="8"/>
      <c r="K13" s="14"/>
      <c r="R13" s="25" t="s">
        <v>91</v>
      </c>
      <c r="S13" s="25" t="s">
        <v>101</v>
      </c>
      <c r="T13" s="24">
        <v>8</v>
      </c>
      <c r="U13" s="25" t="s">
        <v>103</v>
      </c>
    </row>
    <row r="14" spans="1:21" x14ac:dyDescent="0.25">
      <c r="J14" s="8"/>
      <c r="M14" s="14"/>
      <c r="O14" s="14"/>
      <c r="R14" s="25" t="s">
        <v>91</v>
      </c>
      <c r="S14" s="25" t="s">
        <v>102</v>
      </c>
      <c r="T14" s="24">
        <v>8</v>
      </c>
      <c r="U14" s="25" t="s">
        <v>103</v>
      </c>
    </row>
    <row r="15" spans="1:21" x14ac:dyDescent="0.25">
      <c r="J15" s="8"/>
      <c r="N15"/>
      <c r="O15"/>
      <c r="R15" s="25" t="s">
        <v>91</v>
      </c>
      <c r="S15" s="25" t="s">
        <v>90</v>
      </c>
      <c r="T15" s="24">
        <v>8</v>
      </c>
      <c r="U15" s="25" t="s">
        <v>103</v>
      </c>
    </row>
    <row r="16" spans="1:21" x14ac:dyDescent="0.25">
      <c r="J16" s="8"/>
      <c r="M16" s="14"/>
      <c r="N16"/>
      <c r="O16"/>
      <c r="R16" s="25" t="s">
        <v>92</v>
      </c>
      <c r="S16" s="25" t="s">
        <v>97</v>
      </c>
      <c r="T16" s="24">
        <v>8</v>
      </c>
      <c r="U16" s="25" t="s">
        <v>103</v>
      </c>
    </row>
    <row r="17" spans="5:21" x14ac:dyDescent="0.25">
      <c r="J17" s="8"/>
      <c r="N17"/>
      <c r="O17"/>
      <c r="R17" s="25" t="s">
        <v>92</v>
      </c>
      <c r="S17" s="25" t="s">
        <v>98</v>
      </c>
      <c r="T17" s="24">
        <v>8</v>
      </c>
      <c r="U17" s="25" t="s">
        <v>103</v>
      </c>
    </row>
    <row r="18" spans="5:21" x14ac:dyDescent="0.25">
      <c r="J18" s="8"/>
      <c r="N18"/>
      <c r="O18"/>
      <c r="R18" s="25" t="s">
        <v>92</v>
      </c>
      <c r="S18" s="25" t="s">
        <v>99</v>
      </c>
      <c r="T18" s="24">
        <v>8</v>
      </c>
      <c r="U18" s="25" t="s">
        <v>103</v>
      </c>
    </row>
    <row r="19" spans="5:21" x14ac:dyDescent="0.25">
      <c r="J19" s="8"/>
      <c r="N19"/>
      <c r="O19"/>
      <c r="R19" s="25" t="s">
        <v>92</v>
      </c>
      <c r="S19" s="25" t="s">
        <v>100</v>
      </c>
      <c r="T19" s="24">
        <v>8</v>
      </c>
      <c r="U19" s="25" t="s">
        <v>103</v>
      </c>
    </row>
    <row r="20" spans="5:21" x14ac:dyDescent="0.25">
      <c r="E20" s="38"/>
      <c r="J20" s="8"/>
      <c r="N20" s="23"/>
      <c r="O20"/>
      <c r="R20" s="25" t="s">
        <v>92</v>
      </c>
      <c r="S20" s="25" t="s">
        <v>101</v>
      </c>
      <c r="T20" s="24">
        <v>8</v>
      </c>
      <c r="U20" s="25" t="s">
        <v>103</v>
      </c>
    </row>
    <row r="21" spans="5:21" x14ac:dyDescent="0.25">
      <c r="E21" s="38"/>
      <c r="J21" s="8"/>
      <c r="N21"/>
      <c r="O21"/>
      <c r="R21" s="25" t="s">
        <v>92</v>
      </c>
      <c r="S21" s="25" t="s">
        <v>102</v>
      </c>
      <c r="T21" s="24">
        <v>8</v>
      </c>
      <c r="U21" s="25" t="s">
        <v>103</v>
      </c>
    </row>
    <row r="22" spans="5:21" x14ac:dyDescent="0.25">
      <c r="J22" s="8"/>
      <c r="N22"/>
      <c r="O22"/>
      <c r="R22" s="25" t="s">
        <v>92</v>
      </c>
      <c r="S22" s="25" t="s">
        <v>90</v>
      </c>
      <c r="T22" s="24">
        <v>8</v>
      </c>
      <c r="U22" s="25" t="s">
        <v>103</v>
      </c>
    </row>
    <row r="23" spans="5:21" x14ac:dyDescent="0.25">
      <c r="J23" s="9"/>
      <c r="K23" s="13"/>
      <c r="L23" s="13"/>
      <c r="M23" s="13"/>
      <c r="N23"/>
      <c r="O23"/>
      <c r="P23" s="13"/>
      <c r="Q23" s="13"/>
      <c r="R23" s="25" t="s">
        <v>93</v>
      </c>
      <c r="S23" s="25" t="s">
        <v>97</v>
      </c>
      <c r="T23" s="24">
        <v>8</v>
      </c>
      <c r="U23" s="25" t="s">
        <v>103</v>
      </c>
    </row>
    <row r="24" spans="5:21" x14ac:dyDescent="0.25">
      <c r="J24" s="9"/>
      <c r="K24" s="13"/>
      <c r="L24" s="13"/>
      <c r="M24" s="13"/>
      <c r="N24" s="23"/>
      <c r="O24"/>
      <c r="P24" s="13"/>
      <c r="Q24" s="13"/>
      <c r="R24" s="25" t="s">
        <v>93</v>
      </c>
      <c r="S24" s="25" t="s">
        <v>98</v>
      </c>
      <c r="T24" s="24">
        <v>8</v>
      </c>
      <c r="U24" s="25" t="s">
        <v>103</v>
      </c>
    </row>
    <row r="25" spans="5:21" x14ac:dyDescent="0.25">
      <c r="N25"/>
      <c r="O25"/>
      <c r="R25" s="25" t="s">
        <v>93</v>
      </c>
      <c r="S25" s="25" t="s">
        <v>99</v>
      </c>
      <c r="T25" s="24">
        <v>8</v>
      </c>
      <c r="U25" s="25" t="s">
        <v>103</v>
      </c>
    </row>
    <row r="26" spans="5:21" x14ac:dyDescent="0.25">
      <c r="G26" s="46"/>
      <c r="I26" s="14"/>
      <c r="N26"/>
      <c r="O26"/>
      <c r="R26" s="25" t="s">
        <v>93</v>
      </c>
      <c r="S26" s="25" t="s">
        <v>100</v>
      </c>
      <c r="T26" s="24">
        <v>8</v>
      </c>
      <c r="U26" s="25" t="s">
        <v>103</v>
      </c>
    </row>
    <row r="27" spans="5:21" x14ac:dyDescent="0.25">
      <c r="E27" s="14"/>
      <c r="I27" s="14"/>
      <c r="N27"/>
      <c r="O27"/>
      <c r="R27" s="25" t="s">
        <v>93</v>
      </c>
      <c r="S27" s="25" t="s">
        <v>101</v>
      </c>
      <c r="T27" s="24">
        <v>8</v>
      </c>
      <c r="U27" s="25" t="s">
        <v>103</v>
      </c>
    </row>
    <row r="28" spans="5:21" x14ac:dyDescent="0.25">
      <c r="E28" s="14"/>
      <c r="M28" s="14"/>
      <c r="N28"/>
      <c r="O28"/>
      <c r="R28" s="25" t="s">
        <v>93</v>
      </c>
      <c r="S28" s="25" t="s">
        <v>102</v>
      </c>
      <c r="T28" s="24">
        <v>8</v>
      </c>
      <c r="U28" s="25" t="s">
        <v>103</v>
      </c>
    </row>
    <row r="29" spans="5:21" x14ac:dyDescent="0.25">
      <c r="H29" s="14"/>
      <c r="N29"/>
      <c r="O29"/>
      <c r="R29" s="25" t="s">
        <v>93</v>
      </c>
      <c r="S29" s="25" t="s">
        <v>90</v>
      </c>
      <c r="T29" s="24">
        <v>8</v>
      </c>
      <c r="U29" s="25" t="s">
        <v>103</v>
      </c>
    </row>
    <row r="30" spans="5:21" x14ac:dyDescent="0.25">
      <c r="N30"/>
      <c r="O30"/>
      <c r="R30" s="25" t="s">
        <v>94</v>
      </c>
      <c r="S30" s="25" t="s">
        <v>97</v>
      </c>
      <c r="T30" s="24">
        <v>8</v>
      </c>
      <c r="U30" s="25" t="s">
        <v>103</v>
      </c>
    </row>
    <row r="31" spans="5:21" x14ac:dyDescent="0.25">
      <c r="N31"/>
      <c r="O31"/>
      <c r="R31" s="25" t="s">
        <v>94</v>
      </c>
      <c r="S31" s="25" t="s">
        <v>98</v>
      </c>
      <c r="T31" s="24">
        <v>8</v>
      </c>
      <c r="U31" s="25" t="s">
        <v>103</v>
      </c>
    </row>
    <row r="32" spans="5:21" x14ac:dyDescent="0.25">
      <c r="N32"/>
      <c r="O32"/>
      <c r="R32" s="25" t="s">
        <v>94</v>
      </c>
      <c r="S32" s="25" t="s">
        <v>99</v>
      </c>
      <c r="T32" s="24">
        <v>8</v>
      </c>
      <c r="U32" s="25" t="s">
        <v>103</v>
      </c>
    </row>
    <row r="33" spans="14:21" x14ac:dyDescent="0.25">
      <c r="N33"/>
      <c r="O33"/>
      <c r="R33" s="25" t="s">
        <v>94</v>
      </c>
      <c r="S33" s="25" t="s">
        <v>100</v>
      </c>
      <c r="T33" s="24">
        <v>8</v>
      </c>
      <c r="U33" s="25" t="s">
        <v>103</v>
      </c>
    </row>
    <row r="34" spans="14:21" x14ac:dyDescent="0.25">
      <c r="N34"/>
      <c r="O34"/>
      <c r="R34" s="25" t="s">
        <v>94</v>
      </c>
      <c r="S34" s="25" t="s">
        <v>101</v>
      </c>
      <c r="T34" s="24">
        <v>8</v>
      </c>
      <c r="U34" s="25" t="s">
        <v>103</v>
      </c>
    </row>
    <row r="35" spans="14:21" x14ac:dyDescent="0.25">
      <c r="N35"/>
      <c r="O35"/>
      <c r="R35" s="25" t="s">
        <v>94</v>
      </c>
      <c r="S35" s="25" t="s">
        <v>102</v>
      </c>
      <c r="T35" s="24">
        <v>8</v>
      </c>
      <c r="U35" s="25" t="s">
        <v>103</v>
      </c>
    </row>
    <row r="36" spans="14:21" x14ac:dyDescent="0.25">
      <c r="N36"/>
      <c r="O36"/>
      <c r="R36" s="25" t="s">
        <v>94</v>
      </c>
      <c r="S36" s="25" t="s">
        <v>90</v>
      </c>
      <c r="T36" s="24">
        <v>8</v>
      </c>
      <c r="U36" s="25" t="s">
        <v>103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</row>
    <row r="43" spans="14:21" x14ac:dyDescent="0.25">
      <c r="N43"/>
      <c r="O43"/>
    </row>
    <row r="44" spans="14:21" x14ac:dyDescent="0.25">
      <c r="N44"/>
      <c r="O44"/>
    </row>
    <row r="45" spans="14:21" x14ac:dyDescent="0.25">
      <c r="N45"/>
      <c r="O45"/>
    </row>
    <row r="46" spans="14:21" x14ac:dyDescent="0.25">
      <c r="N46"/>
      <c r="O46"/>
    </row>
    <row r="47" spans="14:21" x14ac:dyDescent="0.25">
      <c r="N47"/>
      <c r="O47"/>
    </row>
    <row r="48" spans="14:21" x14ac:dyDescent="0.25">
      <c r="N48"/>
      <c r="O48"/>
    </row>
    <row r="49" spans="14:15" x14ac:dyDescent="0.25">
      <c r="N49"/>
      <c r="O49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145</v>
      </c>
      <c r="C2">
        <v>10</v>
      </c>
      <c r="D2" t="s">
        <v>108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145</v>
      </c>
      <c r="C3">
        <v>20</v>
      </c>
      <c r="D3" t="s">
        <v>95</v>
      </c>
      <c r="E3" t="s">
        <v>96</v>
      </c>
      <c r="F3">
        <v>0.313</v>
      </c>
      <c r="G3" t="s">
        <v>14</v>
      </c>
    </row>
    <row r="4" spans="1:7" x14ac:dyDescent="0.25">
      <c r="A4">
        <v>1</v>
      </c>
      <c r="B4" t="s">
        <v>145</v>
      </c>
      <c r="C4">
        <v>30</v>
      </c>
      <c r="D4" t="s">
        <v>106</v>
      </c>
      <c r="E4" t="s">
        <v>11</v>
      </c>
      <c r="F4">
        <v>0.78700000000000003</v>
      </c>
      <c r="G4" t="s">
        <v>16</v>
      </c>
    </row>
    <row r="5" spans="1:7" x14ac:dyDescent="0.25">
      <c r="A5">
        <v>1</v>
      </c>
      <c r="B5" t="s">
        <v>145</v>
      </c>
      <c r="C5">
        <v>40</v>
      </c>
      <c r="D5" t="s">
        <v>107</v>
      </c>
      <c r="E5" t="s">
        <v>15</v>
      </c>
      <c r="F5">
        <v>0.78700000000000003</v>
      </c>
      <c r="G5" t="s">
        <v>16</v>
      </c>
    </row>
    <row r="6" spans="1:7" x14ac:dyDescent="0.25">
      <c r="A6">
        <v>1</v>
      </c>
      <c r="B6" t="s">
        <v>145</v>
      </c>
      <c r="C6">
        <v>50</v>
      </c>
      <c r="D6" t="s">
        <v>104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145</v>
      </c>
      <c r="C7">
        <v>60</v>
      </c>
      <c r="D7" t="s">
        <v>105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145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145</v>
      </c>
      <c r="C9">
        <v>80</v>
      </c>
      <c r="D9" t="s">
        <v>143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145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145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145</v>
      </c>
      <c r="C12">
        <v>110</v>
      </c>
      <c r="D12" t="s">
        <v>144</v>
      </c>
      <c r="E12" t="s">
        <v>13</v>
      </c>
      <c r="F12">
        <v>0.3</v>
      </c>
      <c r="G12" t="s">
        <v>14</v>
      </c>
    </row>
    <row r="13" spans="1:7" x14ac:dyDescent="0.25">
      <c r="A13">
        <v>1</v>
      </c>
      <c r="B13" t="s">
        <v>145</v>
      </c>
      <c r="C13">
        <v>120</v>
      </c>
      <c r="D13" t="s">
        <v>180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146</v>
      </c>
      <c r="C14">
        <v>10</v>
      </c>
      <c r="D14" t="s">
        <v>109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146</v>
      </c>
      <c r="C15">
        <v>20</v>
      </c>
      <c r="D15" t="s">
        <v>95</v>
      </c>
      <c r="E15" t="s">
        <v>96</v>
      </c>
      <c r="F15">
        <v>0.377</v>
      </c>
      <c r="G15" t="s">
        <v>14</v>
      </c>
    </row>
    <row r="16" spans="1:7" x14ac:dyDescent="0.25">
      <c r="A16">
        <v>2</v>
      </c>
      <c r="B16" t="s">
        <v>146</v>
      </c>
      <c r="C16">
        <v>30</v>
      </c>
      <c r="D16" t="s">
        <v>106</v>
      </c>
      <c r="E16" t="s">
        <v>11</v>
      </c>
      <c r="F16">
        <v>0.94</v>
      </c>
      <c r="G16" t="s">
        <v>16</v>
      </c>
    </row>
    <row r="17" spans="1:7" x14ac:dyDescent="0.25">
      <c r="A17">
        <v>2</v>
      </c>
      <c r="B17" t="s">
        <v>146</v>
      </c>
      <c r="C17">
        <v>40</v>
      </c>
      <c r="D17" t="s">
        <v>107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146</v>
      </c>
      <c r="C18">
        <v>50</v>
      </c>
      <c r="D18" t="s">
        <v>104</v>
      </c>
      <c r="E18" t="s">
        <v>15</v>
      </c>
      <c r="F18">
        <v>11.379</v>
      </c>
      <c r="G18" t="s">
        <v>14</v>
      </c>
    </row>
    <row r="19" spans="1:7" x14ac:dyDescent="0.25">
      <c r="A19">
        <v>2</v>
      </c>
      <c r="B19" t="s">
        <v>146</v>
      </c>
      <c r="C19">
        <v>60</v>
      </c>
      <c r="D19" t="s">
        <v>105</v>
      </c>
      <c r="E19" t="s">
        <v>15</v>
      </c>
      <c r="F19">
        <v>69.981999999999999</v>
      </c>
      <c r="G19" t="s">
        <v>14</v>
      </c>
    </row>
    <row r="20" spans="1:7" x14ac:dyDescent="0.25">
      <c r="A20">
        <v>2</v>
      </c>
      <c r="B20" t="s">
        <v>146</v>
      </c>
      <c r="C20">
        <v>70</v>
      </c>
      <c r="D20" t="s">
        <v>20</v>
      </c>
      <c r="E20" t="s">
        <v>11</v>
      </c>
      <c r="F20">
        <v>1</v>
      </c>
      <c r="G20" t="s">
        <v>14</v>
      </c>
    </row>
    <row r="21" spans="1:7" x14ac:dyDescent="0.25">
      <c r="A21">
        <v>2</v>
      </c>
      <c r="B21" t="s">
        <v>146</v>
      </c>
      <c r="C21">
        <v>80</v>
      </c>
      <c r="D21" t="s">
        <v>143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146</v>
      </c>
      <c r="C22">
        <v>90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146</v>
      </c>
      <c r="C23">
        <v>100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146</v>
      </c>
      <c r="C24">
        <v>110</v>
      </c>
      <c r="D24" t="s">
        <v>144</v>
      </c>
      <c r="E24" t="s">
        <v>13</v>
      </c>
      <c r="F24">
        <v>0.34499999999999997</v>
      </c>
      <c r="G24" t="s">
        <v>14</v>
      </c>
    </row>
    <row r="25" spans="1:7" x14ac:dyDescent="0.25">
      <c r="A25">
        <v>2</v>
      </c>
      <c r="B25" t="s">
        <v>146</v>
      </c>
      <c r="C25">
        <v>120</v>
      </c>
      <c r="D25" t="s">
        <v>181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147</v>
      </c>
      <c r="C26">
        <v>10</v>
      </c>
      <c r="D26" t="s">
        <v>110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147</v>
      </c>
      <c r="C27">
        <v>20</v>
      </c>
      <c r="D27" t="s">
        <v>95</v>
      </c>
      <c r="E27" t="s">
        <v>96</v>
      </c>
      <c r="F27">
        <v>0.442</v>
      </c>
      <c r="G27" t="s">
        <v>14</v>
      </c>
    </row>
    <row r="28" spans="1:7" x14ac:dyDescent="0.25">
      <c r="A28">
        <v>3</v>
      </c>
      <c r="B28" t="s">
        <v>147</v>
      </c>
      <c r="C28">
        <v>30</v>
      </c>
      <c r="D28" t="s">
        <v>106</v>
      </c>
      <c r="E28" t="s">
        <v>11</v>
      </c>
      <c r="F28">
        <v>1.0920000000000001</v>
      </c>
      <c r="G28" t="s">
        <v>16</v>
      </c>
    </row>
    <row r="29" spans="1:7" x14ac:dyDescent="0.25">
      <c r="A29">
        <v>3</v>
      </c>
      <c r="B29" t="s">
        <v>147</v>
      </c>
      <c r="C29">
        <v>40</v>
      </c>
      <c r="D29" t="s">
        <v>107</v>
      </c>
      <c r="E29" t="s">
        <v>15</v>
      </c>
      <c r="F29">
        <v>1.0920000000000001</v>
      </c>
      <c r="G29" t="s">
        <v>16</v>
      </c>
    </row>
    <row r="30" spans="1:7" x14ac:dyDescent="0.25">
      <c r="A30">
        <v>3</v>
      </c>
      <c r="B30" t="s">
        <v>147</v>
      </c>
      <c r="C30">
        <v>50</v>
      </c>
      <c r="D30" t="s">
        <v>104</v>
      </c>
      <c r="E30" t="s">
        <v>15</v>
      </c>
      <c r="F30">
        <v>11.989000000000001</v>
      </c>
      <c r="G30" t="s">
        <v>14</v>
      </c>
    </row>
    <row r="31" spans="1:7" x14ac:dyDescent="0.25">
      <c r="A31">
        <v>3</v>
      </c>
      <c r="B31" t="s">
        <v>147</v>
      </c>
      <c r="C31">
        <v>60</v>
      </c>
      <c r="D31" t="s">
        <v>105</v>
      </c>
      <c r="E31" t="s">
        <v>15</v>
      </c>
      <c r="F31">
        <v>73.730999999999995</v>
      </c>
      <c r="G31" t="s">
        <v>14</v>
      </c>
    </row>
    <row r="32" spans="1:7" x14ac:dyDescent="0.25">
      <c r="A32">
        <v>3</v>
      </c>
      <c r="B32" t="s">
        <v>147</v>
      </c>
      <c r="C32">
        <v>70</v>
      </c>
      <c r="D32" t="s">
        <v>20</v>
      </c>
      <c r="E32" t="s">
        <v>11</v>
      </c>
      <c r="F32">
        <v>1</v>
      </c>
      <c r="G32" t="s">
        <v>14</v>
      </c>
    </row>
    <row r="33" spans="1:7" x14ac:dyDescent="0.25">
      <c r="A33">
        <v>3</v>
      </c>
      <c r="B33" t="s">
        <v>147</v>
      </c>
      <c r="C33">
        <v>80</v>
      </c>
      <c r="D33" t="s">
        <v>143</v>
      </c>
      <c r="E33" t="s">
        <v>11</v>
      </c>
      <c r="F33">
        <v>4</v>
      </c>
      <c r="G33" t="s">
        <v>14</v>
      </c>
    </row>
    <row r="34" spans="1:7" x14ac:dyDescent="0.25">
      <c r="A34">
        <v>3</v>
      </c>
      <c r="B34" t="s">
        <v>147</v>
      </c>
      <c r="C34">
        <v>90</v>
      </c>
      <c r="D34" t="s">
        <v>21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147</v>
      </c>
      <c r="C35">
        <v>100</v>
      </c>
      <c r="D35" t="s">
        <v>22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147</v>
      </c>
      <c r="C36">
        <v>110</v>
      </c>
      <c r="D36" t="s">
        <v>144</v>
      </c>
      <c r="E36" t="s">
        <v>13</v>
      </c>
      <c r="F36">
        <v>0.39</v>
      </c>
      <c r="G36" t="s">
        <v>14</v>
      </c>
    </row>
    <row r="37" spans="1:7" x14ac:dyDescent="0.25">
      <c r="A37">
        <v>3</v>
      </c>
      <c r="B37" t="s">
        <v>147</v>
      </c>
      <c r="C37">
        <v>120</v>
      </c>
      <c r="D37" t="s">
        <v>182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148</v>
      </c>
      <c r="C38">
        <v>10</v>
      </c>
      <c r="D38" t="s">
        <v>111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148</v>
      </c>
      <c r="C39">
        <v>20</v>
      </c>
      <c r="D39" t="s">
        <v>95</v>
      </c>
      <c r="E39" t="s">
        <v>96</v>
      </c>
      <c r="F39">
        <v>0.50700000000000001</v>
      </c>
      <c r="G39" t="s">
        <v>14</v>
      </c>
    </row>
    <row r="40" spans="1:7" x14ac:dyDescent="0.25">
      <c r="A40">
        <v>4</v>
      </c>
      <c r="B40" t="s">
        <v>148</v>
      </c>
      <c r="C40">
        <v>30</v>
      </c>
      <c r="D40" t="s">
        <v>106</v>
      </c>
      <c r="E40" t="s">
        <v>11</v>
      </c>
      <c r="F40">
        <v>1.2450000000000001</v>
      </c>
      <c r="G40" t="s">
        <v>16</v>
      </c>
    </row>
    <row r="41" spans="1:7" x14ac:dyDescent="0.25">
      <c r="A41">
        <v>4</v>
      </c>
      <c r="B41" t="s">
        <v>148</v>
      </c>
      <c r="C41">
        <v>40</v>
      </c>
      <c r="D41" t="s">
        <v>107</v>
      </c>
      <c r="E41" t="s">
        <v>15</v>
      </c>
      <c r="F41">
        <v>1.2450000000000001</v>
      </c>
      <c r="G41" t="s">
        <v>16</v>
      </c>
    </row>
    <row r="42" spans="1:7" x14ac:dyDescent="0.25">
      <c r="A42">
        <v>4</v>
      </c>
      <c r="B42" t="s">
        <v>148</v>
      </c>
      <c r="C42">
        <v>50</v>
      </c>
      <c r="D42" t="s">
        <v>104</v>
      </c>
      <c r="E42" t="s">
        <v>15</v>
      </c>
      <c r="F42">
        <v>12.598000000000001</v>
      </c>
      <c r="G42" t="s">
        <v>14</v>
      </c>
    </row>
    <row r="43" spans="1:7" x14ac:dyDescent="0.25">
      <c r="A43">
        <v>4</v>
      </c>
      <c r="B43" t="s">
        <v>148</v>
      </c>
      <c r="C43">
        <v>60</v>
      </c>
      <c r="D43" t="s">
        <v>105</v>
      </c>
      <c r="E43" t="s">
        <v>15</v>
      </c>
      <c r="F43">
        <v>77.48</v>
      </c>
      <c r="G43" t="s">
        <v>14</v>
      </c>
    </row>
    <row r="44" spans="1:7" x14ac:dyDescent="0.25">
      <c r="A44">
        <v>4</v>
      </c>
      <c r="B44" t="s">
        <v>148</v>
      </c>
      <c r="C44">
        <v>70</v>
      </c>
      <c r="D44" t="s">
        <v>20</v>
      </c>
      <c r="E44" t="s">
        <v>11</v>
      </c>
      <c r="F44">
        <v>1</v>
      </c>
      <c r="G44" t="s">
        <v>14</v>
      </c>
    </row>
    <row r="45" spans="1:7" x14ac:dyDescent="0.25">
      <c r="A45">
        <v>4</v>
      </c>
      <c r="B45" t="s">
        <v>148</v>
      </c>
      <c r="C45">
        <v>80</v>
      </c>
      <c r="D45" t="s">
        <v>143</v>
      </c>
      <c r="E45" t="s">
        <v>11</v>
      </c>
      <c r="F45">
        <v>4</v>
      </c>
      <c r="G45" t="s">
        <v>14</v>
      </c>
    </row>
    <row r="46" spans="1:7" x14ac:dyDescent="0.25">
      <c r="A46">
        <v>4</v>
      </c>
      <c r="B46" t="s">
        <v>148</v>
      </c>
      <c r="C46">
        <v>90</v>
      </c>
      <c r="D46" t="s">
        <v>21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148</v>
      </c>
      <c r="C47">
        <v>100</v>
      </c>
      <c r="D47" t="s">
        <v>22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148</v>
      </c>
      <c r="C48">
        <v>110</v>
      </c>
      <c r="D48" t="s">
        <v>144</v>
      </c>
      <c r="E48" t="s">
        <v>13</v>
      </c>
      <c r="F48">
        <v>0.435</v>
      </c>
      <c r="G48" t="s">
        <v>14</v>
      </c>
    </row>
    <row r="49" spans="1:7" x14ac:dyDescent="0.25">
      <c r="A49">
        <v>4</v>
      </c>
      <c r="B49" t="s">
        <v>148</v>
      </c>
      <c r="C49">
        <v>120</v>
      </c>
      <c r="D49" t="s">
        <v>183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149</v>
      </c>
      <c r="C50">
        <v>10</v>
      </c>
      <c r="D50" t="s">
        <v>112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149</v>
      </c>
      <c r="C51">
        <v>20</v>
      </c>
      <c r="D51" t="s">
        <v>95</v>
      </c>
      <c r="E51" t="s">
        <v>96</v>
      </c>
      <c r="F51">
        <v>0.63600000000000001</v>
      </c>
      <c r="G51" t="s">
        <v>14</v>
      </c>
    </row>
    <row r="52" spans="1:7" x14ac:dyDescent="0.25">
      <c r="A52">
        <v>5</v>
      </c>
      <c r="B52" t="s">
        <v>149</v>
      </c>
      <c r="C52">
        <v>30</v>
      </c>
      <c r="D52" t="s">
        <v>106</v>
      </c>
      <c r="E52" t="s">
        <v>11</v>
      </c>
      <c r="F52">
        <v>1.5489999999999999</v>
      </c>
      <c r="G52" t="s">
        <v>16</v>
      </c>
    </row>
    <row r="53" spans="1:7" x14ac:dyDescent="0.25">
      <c r="A53">
        <v>5</v>
      </c>
      <c r="B53" t="s">
        <v>149</v>
      </c>
      <c r="C53">
        <v>40</v>
      </c>
      <c r="D53" t="s">
        <v>107</v>
      </c>
      <c r="E53" t="s">
        <v>15</v>
      </c>
      <c r="F53">
        <v>1.5489999999999999</v>
      </c>
      <c r="G53" t="s">
        <v>16</v>
      </c>
    </row>
    <row r="54" spans="1:7" x14ac:dyDescent="0.25">
      <c r="A54">
        <v>5</v>
      </c>
      <c r="B54" t="s">
        <v>149</v>
      </c>
      <c r="C54">
        <v>50</v>
      </c>
      <c r="D54" t="s">
        <v>104</v>
      </c>
      <c r="E54" t="s">
        <v>15</v>
      </c>
      <c r="F54">
        <v>13.818</v>
      </c>
      <c r="G54" t="s">
        <v>14</v>
      </c>
    </row>
    <row r="55" spans="1:7" x14ac:dyDescent="0.25">
      <c r="A55">
        <v>5</v>
      </c>
      <c r="B55" t="s">
        <v>149</v>
      </c>
      <c r="C55">
        <v>60</v>
      </c>
      <c r="D55" t="s">
        <v>105</v>
      </c>
      <c r="E55" t="s">
        <v>15</v>
      </c>
      <c r="F55">
        <v>84.977999999999994</v>
      </c>
      <c r="G55" t="s">
        <v>14</v>
      </c>
    </row>
    <row r="56" spans="1:7" x14ac:dyDescent="0.25">
      <c r="A56">
        <v>5</v>
      </c>
      <c r="B56" t="s">
        <v>149</v>
      </c>
      <c r="C56">
        <v>70</v>
      </c>
      <c r="D56" t="s">
        <v>20</v>
      </c>
      <c r="E56" t="s">
        <v>11</v>
      </c>
      <c r="F56">
        <v>1</v>
      </c>
      <c r="G56" t="s">
        <v>14</v>
      </c>
    </row>
    <row r="57" spans="1:7" x14ac:dyDescent="0.25">
      <c r="A57">
        <v>5</v>
      </c>
      <c r="B57" t="s">
        <v>149</v>
      </c>
      <c r="C57">
        <v>80</v>
      </c>
      <c r="D57" t="s">
        <v>143</v>
      </c>
      <c r="E57" t="s">
        <v>11</v>
      </c>
      <c r="F57">
        <v>4</v>
      </c>
      <c r="G57" t="s">
        <v>14</v>
      </c>
    </row>
    <row r="58" spans="1:7" x14ac:dyDescent="0.25">
      <c r="A58">
        <v>5</v>
      </c>
      <c r="B58" t="s">
        <v>149</v>
      </c>
      <c r="C58">
        <v>90</v>
      </c>
      <c r="D58" t="s">
        <v>21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149</v>
      </c>
      <c r="C59">
        <v>100</v>
      </c>
      <c r="D59" t="s">
        <v>22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149</v>
      </c>
      <c r="C60">
        <v>110</v>
      </c>
      <c r="D60" t="s">
        <v>144</v>
      </c>
      <c r="E60" t="s">
        <v>13</v>
      </c>
      <c r="F60">
        <v>0.52500000000000002</v>
      </c>
      <c r="G60" t="s">
        <v>14</v>
      </c>
    </row>
    <row r="61" spans="1:7" x14ac:dyDescent="0.25">
      <c r="A61">
        <v>5</v>
      </c>
      <c r="B61" t="s">
        <v>149</v>
      </c>
      <c r="C61">
        <v>120</v>
      </c>
      <c r="D61" t="s">
        <v>184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150</v>
      </c>
      <c r="C62">
        <v>10</v>
      </c>
      <c r="D62" t="s">
        <v>113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150</v>
      </c>
      <c r="C63">
        <v>20</v>
      </c>
      <c r="D63" t="s">
        <v>95</v>
      </c>
      <c r="E63" t="s">
        <v>96</v>
      </c>
      <c r="F63">
        <v>0.70099999999999996</v>
      </c>
      <c r="G63" t="s">
        <v>14</v>
      </c>
    </row>
    <row r="64" spans="1:7" x14ac:dyDescent="0.25">
      <c r="A64">
        <v>6</v>
      </c>
      <c r="B64" t="s">
        <v>150</v>
      </c>
      <c r="C64">
        <v>30</v>
      </c>
      <c r="D64" t="s">
        <v>106</v>
      </c>
      <c r="E64" t="s">
        <v>11</v>
      </c>
      <c r="F64">
        <v>1.702</v>
      </c>
      <c r="G64" t="s">
        <v>16</v>
      </c>
    </row>
    <row r="65" spans="1:7" x14ac:dyDescent="0.25">
      <c r="A65">
        <v>6</v>
      </c>
      <c r="B65" t="s">
        <v>150</v>
      </c>
      <c r="C65">
        <v>40</v>
      </c>
      <c r="D65" t="s">
        <v>107</v>
      </c>
      <c r="E65" t="s">
        <v>15</v>
      </c>
      <c r="F65">
        <v>1.702</v>
      </c>
      <c r="G65" t="s">
        <v>16</v>
      </c>
    </row>
    <row r="66" spans="1:7" x14ac:dyDescent="0.25">
      <c r="A66">
        <v>6</v>
      </c>
      <c r="B66" t="s">
        <v>150</v>
      </c>
      <c r="C66">
        <v>50</v>
      </c>
      <c r="D66" t="s">
        <v>104</v>
      </c>
      <c r="E66" t="s">
        <v>15</v>
      </c>
      <c r="F66">
        <v>14.427</v>
      </c>
      <c r="G66" t="s">
        <v>14</v>
      </c>
    </row>
    <row r="67" spans="1:7" x14ac:dyDescent="0.25">
      <c r="A67">
        <v>6</v>
      </c>
      <c r="B67" t="s">
        <v>150</v>
      </c>
      <c r="C67">
        <v>60</v>
      </c>
      <c r="D67" t="s">
        <v>105</v>
      </c>
      <c r="E67" t="s">
        <v>15</v>
      </c>
      <c r="F67">
        <v>88.727000000000004</v>
      </c>
      <c r="G67" t="s">
        <v>14</v>
      </c>
    </row>
    <row r="68" spans="1:7" x14ac:dyDescent="0.25">
      <c r="A68">
        <v>6</v>
      </c>
      <c r="B68" t="s">
        <v>150</v>
      </c>
      <c r="C68">
        <v>70</v>
      </c>
      <c r="D68" t="s">
        <v>20</v>
      </c>
      <c r="E68" t="s">
        <v>11</v>
      </c>
      <c r="F68">
        <v>1</v>
      </c>
      <c r="G68" t="s">
        <v>14</v>
      </c>
    </row>
    <row r="69" spans="1:7" x14ac:dyDescent="0.25">
      <c r="A69">
        <v>6</v>
      </c>
      <c r="B69" t="s">
        <v>150</v>
      </c>
      <c r="C69">
        <v>80</v>
      </c>
      <c r="D69" t="s">
        <v>143</v>
      </c>
      <c r="E69" t="s">
        <v>11</v>
      </c>
      <c r="F69">
        <v>4</v>
      </c>
      <c r="G69" t="s">
        <v>14</v>
      </c>
    </row>
    <row r="70" spans="1:7" x14ac:dyDescent="0.25">
      <c r="A70">
        <v>6</v>
      </c>
      <c r="B70" t="s">
        <v>150</v>
      </c>
      <c r="C70">
        <v>90</v>
      </c>
      <c r="D70" t="s">
        <v>21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150</v>
      </c>
      <c r="C71">
        <v>100</v>
      </c>
      <c r="D71" t="s">
        <v>22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150</v>
      </c>
      <c r="C72">
        <v>110</v>
      </c>
      <c r="D72" t="s">
        <v>144</v>
      </c>
      <c r="E72" t="s">
        <v>13</v>
      </c>
      <c r="F72">
        <v>0.56999999999999995</v>
      </c>
      <c r="G72" t="s">
        <v>14</v>
      </c>
    </row>
    <row r="73" spans="1:7" x14ac:dyDescent="0.25">
      <c r="A73">
        <v>6</v>
      </c>
      <c r="B73" t="s">
        <v>150</v>
      </c>
      <c r="C73">
        <v>120</v>
      </c>
      <c r="D73" t="s">
        <v>185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151</v>
      </c>
      <c r="C74">
        <v>10</v>
      </c>
      <c r="D74" t="s">
        <v>114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151</v>
      </c>
      <c r="C75">
        <v>20</v>
      </c>
      <c r="D75" t="s">
        <v>95</v>
      </c>
      <c r="E75" t="s">
        <v>96</v>
      </c>
      <c r="F75">
        <v>0.76600000000000001</v>
      </c>
      <c r="G75" t="s">
        <v>14</v>
      </c>
    </row>
    <row r="76" spans="1:7" x14ac:dyDescent="0.25">
      <c r="A76">
        <v>7</v>
      </c>
      <c r="B76" t="s">
        <v>151</v>
      </c>
      <c r="C76">
        <v>30</v>
      </c>
      <c r="D76" t="s">
        <v>106</v>
      </c>
      <c r="E76" t="s">
        <v>11</v>
      </c>
      <c r="F76">
        <v>1.8540000000000001</v>
      </c>
      <c r="G76" t="s">
        <v>16</v>
      </c>
    </row>
    <row r="77" spans="1:7" x14ac:dyDescent="0.25">
      <c r="A77">
        <v>7</v>
      </c>
      <c r="B77" t="s">
        <v>151</v>
      </c>
      <c r="C77">
        <v>40</v>
      </c>
      <c r="D77" t="s">
        <v>107</v>
      </c>
      <c r="E77" t="s">
        <v>15</v>
      </c>
      <c r="F77">
        <v>1.8540000000000001</v>
      </c>
      <c r="G77" t="s">
        <v>16</v>
      </c>
    </row>
    <row r="78" spans="1:7" x14ac:dyDescent="0.25">
      <c r="A78">
        <v>7</v>
      </c>
      <c r="B78" t="s">
        <v>151</v>
      </c>
      <c r="C78">
        <v>50</v>
      </c>
      <c r="D78" t="s">
        <v>104</v>
      </c>
      <c r="E78" t="s">
        <v>15</v>
      </c>
      <c r="F78">
        <v>15.037000000000001</v>
      </c>
      <c r="G78" t="s">
        <v>14</v>
      </c>
    </row>
    <row r="79" spans="1:7" x14ac:dyDescent="0.25">
      <c r="A79">
        <v>7</v>
      </c>
      <c r="B79" t="s">
        <v>151</v>
      </c>
      <c r="C79">
        <v>60</v>
      </c>
      <c r="D79" t="s">
        <v>105</v>
      </c>
      <c r="E79" t="s">
        <v>15</v>
      </c>
      <c r="F79">
        <v>92.475999999999999</v>
      </c>
      <c r="G79" t="s">
        <v>14</v>
      </c>
    </row>
    <row r="80" spans="1:7" x14ac:dyDescent="0.25">
      <c r="A80">
        <v>7</v>
      </c>
      <c r="B80" t="s">
        <v>151</v>
      </c>
      <c r="C80">
        <v>70</v>
      </c>
      <c r="D80" t="s">
        <v>20</v>
      </c>
      <c r="E80" t="s">
        <v>11</v>
      </c>
      <c r="F80">
        <v>1</v>
      </c>
      <c r="G80" t="s">
        <v>14</v>
      </c>
    </row>
    <row r="81" spans="1:7" x14ac:dyDescent="0.25">
      <c r="A81">
        <v>7</v>
      </c>
      <c r="B81" t="s">
        <v>151</v>
      </c>
      <c r="C81">
        <v>80</v>
      </c>
      <c r="D81" t="s">
        <v>143</v>
      </c>
      <c r="E81" t="s">
        <v>11</v>
      </c>
      <c r="F81">
        <v>4</v>
      </c>
      <c r="G81" t="s">
        <v>14</v>
      </c>
    </row>
    <row r="82" spans="1:7" x14ac:dyDescent="0.25">
      <c r="A82">
        <v>7</v>
      </c>
      <c r="B82" t="s">
        <v>151</v>
      </c>
      <c r="C82">
        <v>90</v>
      </c>
      <c r="D82" t="s">
        <v>21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151</v>
      </c>
      <c r="C83">
        <v>100</v>
      </c>
      <c r="D83" t="s">
        <v>22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151</v>
      </c>
      <c r="C84">
        <v>110</v>
      </c>
      <c r="D84" t="s">
        <v>144</v>
      </c>
      <c r="E84" t="s">
        <v>13</v>
      </c>
      <c r="F84">
        <v>0.61599999999999999</v>
      </c>
      <c r="G84" t="s">
        <v>14</v>
      </c>
    </row>
    <row r="85" spans="1:7" x14ac:dyDescent="0.25">
      <c r="A85">
        <v>7</v>
      </c>
      <c r="B85" t="s">
        <v>151</v>
      </c>
      <c r="C85">
        <v>120</v>
      </c>
      <c r="D85" t="s">
        <v>186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152</v>
      </c>
      <c r="C86">
        <v>10</v>
      </c>
      <c r="D86" t="s">
        <v>115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152</v>
      </c>
      <c r="C87">
        <v>20</v>
      </c>
      <c r="D87" t="s">
        <v>95</v>
      </c>
      <c r="E87" t="s">
        <v>96</v>
      </c>
      <c r="F87">
        <v>0.32600000000000001</v>
      </c>
      <c r="G87" t="s">
        <v>14</v>
      </c>
    </row>
    <row r="88" spans="1:7" x14ac:dyDescent="0.25">
      <c r="A88">
        <v>8</v>
      </c>
      <c r="B88" t="s">
        <v>152</v>
      </c>
      <c r="C88">
        <v>30</v>
      </c>
      <c r="D88" t="s">
        <v>106</v>
      </c>
      <c r="E88" t="s">
        <v>11</v>
      </c>
      <c r="F88">
        <v>0.78700000000000003</v>
      </c>
      <c r="G88" t="s">
        <v>16</v>
      </c>
    </row>
    <row r="89" spans="1:7" x14ac:dyDescent="0.25">
      <c r="A89">
        <v>8</v>
      </c>
      <c r="B89" t="s">
        <v>152</v>
      </c>
      <c r="C89">
        <v>40</v>
      </c>
      <c r="D89" t="s">
        <v>107</v>
      </c>
      <c r="E89" t="s">
        <v>15</v>
      </c>
      <c r="F89">
        <v>0.78700000000000003</v>
      </c>
      <c r="G89" t="s">
        <v>16</v>
      </c>
    </row>
    <row r="90" spans="1:7" x14ac:dyDescent="0.25">
      <c r="A90">
        <v>8</v>
      </c>
      <c r="B90" t="s">
        <v>152</v>
      </c>
      <c r="C90">
        <v>50</v>
      </c>
      <c r="D90" t="s">
        <v>104</v>
      </c>
      <c r="E90" t="s">
        <v>15</v>
      </c>
      <c r="F90">
        <v>11.074</v>
      </c>
      <c r="G90" t="s">
        <v>14</v>
      </c>
    </row>
    <row r="91" spans="1:7" x14ac:dyDescent="0.25">
      <c r="A91">
        <v>8</v>
      </c>
      <c r="B91" t="s">
        <v>152</v>
      </c>
      <c r="C91">
        <v>60</v>
      </c>
      <c r="D91" t="s">
        <v>105</v>
      </c>
      <c r="E91" t="s">
        <v>15</v>
      </c>
      <c r="F91">
        <v>68.108000000000004</v>
      </c>
      <c r="G91" t="s">
        <v>14</v>
      </c>
    </row>
    <row r="92" spans="1:7" x14ac:dyDescent="0.25">
      <c r="A92">
        <v>8</v>
      </c>
      <c r="B92" t="s">
        <v>152</v>
      </c>
      <c r="C92">
        <v>70</v>
      </c>
      <c r="D92" t="s">
        <v>20</v>
      </c>
      <c r="E92" t="s">
        <v>11</v>
      </c>
      <c r="F92">
        <v>1</v>
      </c>
      <c r="G92" t="s">
        <v>14</v>
      </c>
    </row>
    <row r="93" spans="1:7" x14ac:dyDescent="0.25">
      <c r="A93">
        <v>8</v>
      </c>
      <c r="B93" t="s">
        <v>152</v>
      </c>
      <c r="C93">
        <v>80</v>
      </c>
      <c r="D93" t="s">
        <v>143</v>
      </c>
      <c r="E93" t="s">
        <v>11</v>
      </c>
      <c r="F93">
        <v>4</v>
      </c>
      <c r="G93" t="s">
        <v>14</v>
      </c>
    </row>
    <row r="94" spans="1:7" x14ac:dyDescent="0.25">
      <c r="A94">
        <v>8</v>
      </c>
      <c r="B94" t="s">
        <v>152</v>
      </c>
      <c r="C94">
        <v>90</v>
      </c>
      <c r="D94" t="s">
        <v>21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152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152</v>
      </c>
      <c r="C96">
        <v>110</v>
      </c>
      <c r="D96" t="s">
        <v>144</v>
      </c>
      <c r="E96" t="s">
        <v>13</v>
      </c>
      <c r="F96">
        <v>0.3</v>
      </c>
      <c r="G96" t="s">
        <v>14</v>
      </c>
    </row>
    <row r="97" spans="1:7" x14ac:dyDescent="0.25">
      <c r="A97">
        <v>8</v>
      </c>
      <c r="B97" t="s">
        <v>152</v>
      </c>
      <c r="C97">
        <v>120</v>
      </c>
      <c r="D97" t="s">
        <v>187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153</v>
      </c>
      <c r="C98">
        <v>10</v>
      </c>
      <c r="D98" t="s">
        <v>116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153</v>
      </c>
      <c r="C99">
        <v>20</v>
      </c>
      <c r="D99" t="s">
        <v>95</v>
      </c>
      <c r="E99" t="s">
        <v>96</v>
      </c>
      <c r="F99">
        <v>0.39300000000000002</v>
      </c>
      <c r="G99" t="s">
        <v>14</v>
      </c>
    </row>
    <row r="100" spans="1:7" x14ac:dyDescent="0.25">
      <c r="A100">
        <v>9</v>
      </c>
      <c r="B100" t="s">
        <v>153</v>
      </c>
      <c r="C100">
        <v>30</v>
      </c>
      <c r="D100" t="s">
        <v>106</v>
      </c>
      <c r="E100" t="s">
        <v>11</v>
      </c>
      <c r="F100">
        <v>0.94</v>
      </c>
      <c r="G100" t="s">
        <v>16</v>
      </c>
    </row>
    <row r="101" spans="1:7" x14ac:dyDescent="0.25">
      <c r="A101">
        <v>9</v>
      </c>
      <c r="B101" t="s">
        <v>153</v>
      </c>
      <c r="C101">
        <v>40</v>
      </c>
      <c r="D101" t="s">
        <v>107</v>
      </c>
      <c r="E101" t="s">
        <v>15</v>
      </c>
      <c r="F101">
        <v>0.94</v>
      </c>
      <c r="G101" t="s">
        <v>16</v>
      </c>
    </row>
    <row r="102" spans="1:7" x14ac:dyDescent="0.25">
      <c r="A102">
        <v>9</v>
      </c>
      <c r="B102" t="s">
        <v>153</v>
      </c>
      <c r="C102">
        <v>50</v>
      </c>
      <c r="D102" t="s">
        <v>104</v>
      </c>
      <c r="E102" t="s">
        <v>15</v>
      </c>
      <c r="F102">
        <v>11.683999999999999</v>
      </c>
      <c r="G102" t="s">
        <v>14</v>
      </c>
    </row>
    <row r="103" spans="1:7" x14ac:dyDescent="0.25">
      <c r="A103">
        <v>9</v>
      </c>
      <c r="B103" t="s">
        <v>153</v>
      </c>
      <c r="C103">
        <v>60</v>
      </c>
      <c r="D103" t="s">
        <v>105</v>
      </c>
      <c r="E103" t="s">
        <v>15</v>
      </c>
      <c r="F103">
        <v>71.856999999999999</v>
      </c>
      <c r="G103" t="s">
        <v>14</v>
      </c>
    </row>
    <row r="104" spans="1:7" x14ac:dyDescent="0.25">
      <c r="A104">
        <v>9</v>
      </c>
      <c r="B104" t="s">
        <v>153</v>
      </c>
      <c r="C104">
        <v>70</v>
      </c>
      <c r="D104" t="s">
        <v>20</v>
      </c>
      <c r="E104" t="s">
        <v>11</v>
      </c>
      <c r="F104">
        <v>1</v>
      </c>
      <c r="G104" t="s">
        <v>14</v>
      </c>
    </row>
    <row r="105" spans="1:7" x14ac:dyDescent="0.25">
      <c r="A105">
        <v>9</v>
      </c>
      <c r="B105" t="s">
        <v>153</v>
      </c>
      <c r="C105">
        <v>80</v>
      </c>
      <c r="D105" t="s">
        <v>143</v>
      </c>
      <c r="E105" t="s">
        <v>11</v>
      </c>
      <c r="F105">
        <v>4</v>
      </c>
      <c r="G105" t="s">
        <v>14</v>
      </c>
    </row>
    <row r="106" spans="1:7" x14ac:dyDescent="0.25">
      <c r="A106">
        <v>9</v>
      </c>
      <c r="B106" t="s">
        <v>153</v>
      </c>
      <c r="C106">
        <v>90</v>
      </c>
      <c r="D106" t="s">
        <v>21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153</v>
      </c>
      <c r="C107">
        <v>100</v>
      </c>
      <c r="D107" t="s">
        <v>22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153</v>
      </c>
      <c r="C108">
        <v>110</v>
      </c>
      <c r="D108" t="s">
        <v>144</v>
      </c>
      <c r="E108" t="s">
        <v>13</v>
      </c>
      <c r="F108">
        <v>0.34499999999999997</v>
      </c>
      <c r="G108" t="s">
        <v>14</v>
      </c>
    </row>
    <row r="109" spans="1:7" x14ac:dyDescent="0.25">
      <c r="A109">
        <v>9</v>
      </c>
      <c r="B109" t="s">
        <v>153</v>
      </c>
      <c r="C109">
        <v>120</v>
      </c>
      <c r="D109" t="s">
        <v>188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154</v>
      </c>
      <c r="C110">
        <v>10</v>
      </c>
      <c r="D110" t="s">
        <v>117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154</v>
      </c>
      <c r="C111">
        <v>20</v>
      </c>
      <c r="D111" t="s">
        <v>95</v>
      </c>
      <c r="E111" t="s">
        <v>96</v>
      </c>
      <c r="F111">
        <v>0.46100000000000002</v>
      </c>
      <c r="G111" t="s">
        <v>14</v>
      </c>
    </row>
    <row r="112" spans="1:7" x14ac:dyDescent="0.25">
      <c r="A112">
        <v>10</v>
      </c>
      <c r="B112" t="s">
        <v>154</v>
      </c>
      <c r="C112">
        <v>30</v>
      </c>
      <c r="D112" t="s">
        <v>106</v>
      </c>
      <c r="E112" t="s">
        <v>11</v>
      </c>
      <c r="F112">
        <v>1.0920000000000001</v>
      </c>
      <c r="G112" t="s">
        <v>16</v>
      </c>
    </row>
    <row r="113" spans="1:7" x14ac:dyDescent="0.25">
      <c r="A113">
        <v>10</v>
      </c>
      <c r="B113" t="s">
        <v>154</v>
      </c>
      <c r="C113">
        <v>40</v>
      </c>
      <c r="D113" t="s">
        <v>107</v>
      </c>
      <c r="E113" t="s">
        <v>15</v>
      </c>
      <c r="F113">
        <v>1.0920000000000001</v>
      </c>
      <c r="G113" t="s">
        <v>16</v>
      </c>
    </row>
    <row r="114" spans="1:7" x14ac:dyDescent="0.25">
      <c r="A114">
        <v>10</v>
      </c>
      <c r="B114" t="s">
        <v>154</v>
      </c>
      <c r="C114">
        <v>50</v>
      </c>
      <c r="D114" t="s">
        <v>104</v>
      </c>
      <c r="E114" t="s">
        <v>15</v>
      </c>
      <c r="F114">
        <v>12.294</v>
      </c>
      <c r="G114" t="s">
        <v>14</v>
      </c>
    </row>
    <row r="115" spans="1:7" x14ac:dyDescent="0.25">
      <c r="A115">
        <v>10</v>
      </c>
      <c r="B115" t="s">
        <v>154</v>
      </c>
      <c r="C115">
        <v>60</v>
      </c>
      <c r="D115" t="s">
        <v>105</v>
      </c>
      <c r="E115" t="s">
        <v>15</v>
      </c>
      <c r="F115">
        <v>75.605999999999995</v>
      </c>
      <c r="G115" t="s">
        <v>14</v>
      </c>
    </row>
    <row r="116" spans="1:7" x14ac:dyDescent="0.25">
      <c r="A116">
        <v>10</v>
      </c>
      <c r="B116" t="s">
        <v>154</v>
      </c>
      <c r="C116">
        <v>70</v>
      </c>
      <c r="D116" t="s">
        <v>20</v>
      </c>
      <c r="E116" t="s">
        <v>11</v>
      </c>
      <c r="F116">
        <v>1</v>
      </c>
      <c r="G116" t="s">
        <v>14</v>
      </c>
    </row>
    <row r="117" spans="1:7" x14ac:dyDescent="0.25">
      <c r="A117">
        <v>10</v>
      </c>
      <c r="B117" t="s">
        <v>154</v>
      </c>
      <c r="C117">
        <v>80</v>
      </c>
      <c r="D117" t="s">
        <v>143</v>
      </c>
      <c r="E117" t="s">
        <v>11</v>
      </c>
      <c r="F117">
        <v>4</v>
      </c>
      <c r="G117" t="s">
        <v>14</v>
      </c>
    </row>
    <row r="118" spans="1:7" x14ac:dyDescent="0.25">
      <c r="A118">
        <v>10</v>
      </c>
      <c r="B118" t="s">
        <v>154</v>
      </c>
      <c r="C118">
        <v>90</v>
      </c>
      <c r="D118" t="s">
        <v>21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154</v>
      </c>
      <c r="C119">
        <v>100</v>
      </c>
      <c r="D119" t="s">
        <v>22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154</v>
      </c>
      <c r="C120">
        <v>110</v>
      </c>
      <c r="D120" t="s">
        <v>144</v>
      </c>
      <c r="E120" t="s">
        <v>13</v>
      </c>
      <c r="F120">
        <v>0.39</v>
      </c>
      <c r="G120" t="s">
        <v>14</v>
      </c>
    </row>
    <row r="121" spans="1:7" x14ac:dyDescent="0.25">
      <c r="A121">
        <v>10</v>
      </c>
      <c r="B121" t="s">
        <v>154</v>
      </c>
      <c r="C121">
        <v>120</v>
      </c>
      <c r="D121" t="s">
        <v>189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155</v>
      </c>
      <c r="C122">
        <v>10</v>
      </c>
      <c r="D122" t="s">
        <v>118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155</v>
      </c>
      <c r="C123">
        <v>20</v>
      </c>
      <c r="D123" t="s">
        <v>95</v>
      </c>
      <c r="E123" t="s">
        <v>96</v>
      </c>
      <c r="F123">
        <v>0.52800000000000002</v>
      </c>
      <c r="G123" t="s">
        <v>14</v>
      </c>
    </row>
    <row r="124" spans="1:7" x14ac:dyDescent="0.25">
      <c r="A124">
        <v>11</v>
      </c>
      <c r="B124" t="s">
        <v>155</v>
      </c>
      <c r="C124">
        <v>30</v>
      </c>
      <c r="D124" t="s">
        <v>106</v>
      </c>
      <c r="E124" t="s">
        <v>11</v>
      </c>
      <c r="F124">
        <v>1.2450000000000001</v>
      </c>
      <c r="G124" t="s">
        <v>16</v>
      </c>
    </row>
    <row r="125" spans="1:7" x14ac:dyDescent="0.25">
      <c r="A125">
        <v>11</v>
      </c>
      <c r="B125" t="s">
        <v>155</v>
      </c>
      <c r="C125">
        <v>40</v>
      </c>
      <c r="D125" t="s">
        <v>107</v>
      </c>
      <c r="E125" t="s">
        <v>15</v>
      </c>
      <c r="F125">
        <v>1.2450000000000001</v>
      </c>
      <c r="G125" t="s">
        <v>16</v>
      </c>
    </row>
    <row r="126" spans="1:7" x14ac:dyDescent="0.25">
      <c r="A126">
        <v>11</v>
      </c>
      <c r="B126" t="s">
        <v>155</v>
      </c>
      <c r="C126">
        <v>50</v>
      </c>
      <c r="D126" t="s">
        <v>104</v>
      </c>
      <c r="E126" t="s">
        <v>15</v>
      </c>
      <c r="F126">
        <v>12.903</v>
      </c>
      <c r="G126" t="s">
        <v>14</v>
      </c>
    </row>
    <row r="127" spans="1:7" x14ac:dyDescent="0.25">
      <c r="A127">
        <v>11</v>
      </c>
      <c r="B127" t="s">
        <v>155</v>
      </c>
      <c r="C127">
        <v>60</v>
      </c>
      <c r="D127" t="s">
        <v>105</v>
      </c>
      <c r="E127" t="s">
        <v>15</v>
      </c>
      <c r="F127">
        <v>79.355000000000004</v>
      </c>
      <c r="G127" t="s">
        <v>14</v>
      </c>
    </row>
    <row r="128" spans="1:7" x14ac:dyDescent="0.25">
      <c r="A128">
        <v>11</v>
      </c>
      <c r="B128" t="s">
        <v>155</v>
      </c>
      <c r="C128">
        <v>70</v>
      </c>
      <c r="D128" t="s">
        <v>20</v>
      </c>
      <c r="E128" t="s">
        <v>11</v>
      </c>
      <c r="F128">
        <v>1</v>
      </c>
      <c r="G128" t="s">
        <v>14</v>
      </c>
    </row>
    <row r="129" spans="1:7" x14ac:dyDescent="0.25">
      <c r="A129">
        <v>11</v>
      </c>
      <c r="B129" t="s">
        <v>155</v>
      </c>
      <c r="C129">
        <v>80</v>
      </c>
      <c r="D129" t="s">
        <v>143</v>
      </c>
      <c r="E129" t="s">
        <v>11</v>
      </c>
      <c r="F129">
        <v>4</v>
      </c>
      <c r="G129" t="s">
        <v>14</v>
      </c>
    </row>
    <row r="130" spans="1:7" x14ac:dyDescent="0.25">
      <c r="A130">
        <v>11</v>
      </c>
      <c r="B130" t="s">
        <v>155</v>
      </c>
      <c r="C130">
        <v>90</v>
      </c>
      <c r="D130" t="s">
        <v>21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155</v>
      </c>
      <c r="C131">
        <v>100</v>
      </c>
      <c r="D131" t="s">
        <v>22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155</v>
      </c>
      <c r="C132">
        <v>110</v>
      </c>
      <c r="D132" t="s">
        <v>144</v>
      </c>
      <c r="E132" t="s">
        <v>13</v>
      </c>
      <c r="F132">
        <v>0.435</v>
      </c>
      <c r="G132" t="s">
        <v>14</v>
      </c>
    </row>
    <row r="133" spans="1:7" x14ac:dyDescent="0.25">
      <c r="A133">
        <v>11</v>
      </c>
      <c r="B133" t="s">
        <v>155</v>
      </c>
      <c r="C133">
        <v>120</v>
      </c>
      <c r="D133" t="s">
        <v>190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156</v>
      </c>
      <c r="C134">
        <v>10</v>
      </c>
      <c r="D134" t="s">
        <v>119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156</v>
      </c>
      <c r="C135">
        <v>20</v>
      </c>
      <c r="D135" t="s">
        <v>95</v>
      </c>
      <c r="E135" t="s">
        <v>96</v>
      </c>
      <c r="F135">
        <v>0.66300000000000003</v>
      </c>
      <c r="G135" t="s">
        <v>14</v>
      </c>
    </row>
    <row r="136" spans="1:7" x14ac:dyDescent="0.25">
      <c r="A136">
        <v>12</v>
      </c>
      <c r="B136" t="s">
        <v>156</v>
      </c>
      <c r="C136">
        <v>30</v>
      </c>
      <c r="D136" t="s">
        <v>106</v>
      </c>
      <c r="E136" t="s">
        <v>11</v>
      </c>
      <c r="F136">
        <v>1.5489999999999999</v>
      </c>
      <c r="G136" t="s">
        <v>16</v>
      </c>
    </row>
    <row r="137" spans="1:7" x14ac:dyDescent="0.25">
      <c r="A137">
        <v>12</v>
      </c>
      <c r="B137" t="s">
        <v>156</v>
      </c>
      <c r="C137">
        <v>40</v>
      </c>
      <c r="D137" t="s">
        <v>107</v>
      </c>
      <c r="E137" t="s">
        <v>15</v>
      </c>
      <c r="F137">
        <v>1.5489999999999999</v>
      </c>
      <c r="G137" t="s">
        <v>16</v>
      </c>
    </row>
    <row r="138" spans="1:7" x14ac:dyDescent="0.25">
      <c r="A138">
        <v>12</v>
      </c>
      <c r="B138" t="s">
        <v>156</v>
      </c>
      <c r="C138">
        <v>50</v>
      </c>
      <c r="D138" t="s">
        <v>104</v>
      </c>
      <c r="E138" t="s">
        <v>15</v>
      </c>
      <c r="F138">
        <v>14.122</v>
      </c>
      <c r="G138" t="s">
        <v>14</v>
      </c>
    </row>
    <row r="139" spans="1:7" x14ac:dyDescent="0.25">
      <c r="A139">
        <v>12</v>
      </c>
      <c r="B139" t="s">
        <v>156</v>
      </c>
      <c r="C139">
        <v>60</v>
      </c>
      <c r="D139" t="s">
        <v>105</v>
      </c>
      <c r="E139" t="s">
        <v>15</v>
      </c>
      <c r="F139">
        <v>86.852999999999994</v>
      </c>
      <c r="G139" t="s">
        <v>14</v>
      </c>
    </row>
    <row r="140" spans="1:7" x14ac:dyDescent="0.25">
      <c r="A140">
        <v>12</v>
      </c>
      <c r="B140" t="s">
        <v>156</v>
      </c>
      <c r="C140">
        <v>70</v>
      </c>
      <c r="D140" t="s">
        <v>20</v>
      </c>
      <c r="E140" t="s">
        <v>11</v>
      </c>
      <c r="F140">
        <v>1</v>
      </c>
      <c r="G140" t="s">
        <v>14</v>
      </c>
    </row>
    <row r="141" spans="1:7" x14ac:dyDescent="0.25">
      <c r="A141">
        <v>12</v>
      </c>
      <c r="B141" t="s">
        <v>156</v>
      </c>
      <c r="C141">
        <v>80</v>
      </c>
      <c r="D141" t="s">
        <v>143</v>
      </c>
      <c r="E141" t="s">
        <v>11</v>
      </c>
      <c r="F141">
        <v>4</v>
      </c>
      <c r="G141" t="s">
        <v>14</v>
      </c>
    </row>
    <row r="142" spans="1:7" x14ac:dyDescent="0.25">
      <c r="A142">
        <v>12</v>
      </c>
      <c r="B142" t="s">
        <v>156</v>
      </c>
      <c r="C142">
        <v>90</v>
      </c>
      <c r="D142" t="s">
        <v>21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156</v>
      </c>
      <c r="C143">
        <v>100</v>
      </c>
      <c r="D143" t="s">
        <v>22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156</v>
      </c>
      <c r="C144">
        <v>110</v>
      </c>
      <c r="D144" t="s">
        <v>144</v>
      </c>
      <c r="E144" t="s">
        <v>13</v>
      </c>
      <c r="F144">
        <v>0.52500000000000002</v>
      </c>
      <c r="G144" t="s">
        <v>14</v>
      </c>
    </row>
    <row r="145" spans="1:7" x14ac:dyDescent="0.25">
      <c r="A145">
        <v>12</v>
      </c>
      <c r="B145" t="s">
        <v>156</v>
      </c>
      <c r="C145">
        <v>120</v>
      </c>
      <c r="D145" t="s">
        <v>191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157</v>
      </c>
      <c r="C146">
        <v>10</v>
      </c>
      <c r="D146" t="s">
        <v>120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157</v>
      </c>
      <c r="C147">
        <v>20</v>
      </c>
      <c r="D147" t="s">
        <v>95</v>
      </c>
      <c r="E147" t="s">
        <v>96</v>
      </c>
      <c r="F147">
        <v>0.73099999999999998</v>
      </c>
      <c r="G147" t="s">
        <v>14</v>
      </c>
    </row>
    <row r="148" spans="1:7" x14ac:dyDescent="0.25">
      <c r="A148">
        <v>13</v>
      </c>
      <c r="B148" t="s">
        <v>157</v>
      </c>
      <c r="C148">
        <v>30</v>
      </c>
      <c r="D148" t="s">
        <v>106</v>
      </c>
      <c r="E148" t="s">
        <v>11</v>
      </c>
      <c r="F148">
        <v>1.702</v>
      </c>
      <c r="G148" t="s">
        <v>16</v>
      </c>
    </row>
    <row r="149" spans="1:7" x14ac:dyDescent="0.25">
      <c r="A149">
        <v>13</v>
      </c>
      <c r="B149" t="s">
        <v>157</v>
      </c>
      <c r="C149">
        <v>40</v>
      </c>
      <c r="D149" t="s">
        <v>107</v>
      </c>
      <c r="E149" t="s">
        <v>15</v>
      </c>
      <c r="F149">
        <v>1.702</v>
      </c>
      <c r="G149" t="s">
        <v>16</v>
      </c>
    </row>
    <row r="150" spans="1:7" x14ac:dyDescent="0.25">
      <c r="A150">
        <v>13</v>
      </c>
      <c r="B150" t="s">
        <v>157</v>
      </c>
      <c r="C150">
        <v>50</v>
      </c>
      <c r="D150" t="s">
        <v>104</v>
      </c>
      <c r="E150" t="s">
        <v>15</v>
      </c>
      <c r="F150">
        <v>14.731999999999999</v>
      </c>
      <c r="G150" t="s">
        <v>14</v>
      </c>
    </row>
    <row r="151" spans="1:7" x14ac:dyDescent="0.25">
      <c r="A151">
        <v>13</v>
      </c>
      <c r="B151" t="s">
        <v>157</v>
      </c>
      <c r="C151">
        <v>60</v>
      </c>
      <c r="D151" t="s">
        <v>105</v>
      </c>
      <c r="E151" t="s">
        <v>15</v>
      </c>
      <c r="F151">
        <v>90.602000000000004</v>
      </c>
      <c r="G151" t="s">
        <v>14</v>
      </c>
    </row>
    <row r="152" spans="1:7" x14ac:dyDescent="0.25">
      <c r="A152">
        <v>13</v>
      </c>
      <c r="B152" t="s">
        <v>157</v>
      </c>
      <c r="C152">
        <v>70</v>
      </c>
      <c r="D152" t="s">
        <v>20</v>
      </c>
      <c r="E152" t="s">
        <v>11</v>
      </c>
      <c r="F152">
        <v>1</v>
      </c>
      <c r="G152" t="s">
        <v>14</v>
      </c>
    </row>
    <row r="153" spans="1:7" x14ac:dyDescent="0.25">
      <c r="A153">
        <v>13</v>
      </c>
      <c r="B153" t="s">
        <v>157</v>
      </c>
      <c r="C153">
        <v>80</v>
      </c>
      <c r="D153" t="s">
        <v>143</v>
      </c>
      <c r="E153" t="s">
        <v>11</v>
      </c>
      <c r="F153">
        <v>4</v>
      </c>
      <c r="G153" t="s">
        <v>14</v>
      </c>
    </row>
    <row r="154" spans="1:7" x14ac:dyDescent="0.25">
      <c r="A154">
        <v>13</v>
      </c>
      <c r="B154" t="s">
        <v>157</v>
      </c>
      <c r="C154">
        <v>90</v>
      </c>
      <c r="D154" t="s">
        <v>21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157</v>
      </c>
      <c r="C155">
        <v>100</v>
      </c>
      <c r="D155" t="s">
        <v>22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157</v>
      </c>
      <c r="C156">
        <v>110</v>
      </c>
      <c r="D156" t="s">
        <v>144</v>
      </c>
      <c r="E156" t="s">
        <v>13</v>
      </c>
      <c r="F156">
        <v>0.56999999999999995</v>
      </c>
      <c r="G156" t="s">
        <v>14</v>
      </c>
    </row>
    <row r="157" spans="1:7" x14ac:dyDescent="0.25">
      <c r="A157">
        <v>13</v>
      </c>
      <c r="B157" t="s">
        <v>157</v>
      </c>
      <c r="C157">
        <v>120</v>
      </c>
      <c r="D157" t="s">
        <v>192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158</v>
      </c>
      <c r="C158">
        <v>10</v>
      </c>
      <c r="D158" t="s">
        <v>121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158</v>
      </c>
      <c r="C159">
        <v>20</v>
      </c>
      <c r="D159" t="s">
        <v>95</v>
      </c>
      <c r="E159" t="s">
        <v>96</v>
      </c>
      <c r="F159">
        <v>0.79800000000000004</v>
      </c>
      <c r="G159" t="s">
        <v>14</v>
      </c>
    </row>
    <row r="160" spans="1:7" x14ac:dyDescent="0.25">
      <c r="A160">
        <v>14</v>
      </c>
      <c r="B160" t="s">
        <v>158</v>
      </c>
      <c r="C160">
        <v>30</v>
      </c>
      <c r="D160" t="s">
        <v>106</v>
      </c>
      <c r="E160" t="s">
        <v>11</v>
      </c>
      <c r="F160">
        <v>1.8540000000000001</v>
      </c>
      <c r="G160" t="s">
        <v>16</v>
      </c>
    </row>
    <row r="161" spans="1:7" x14ac:dyDescent="0.25">
      <c r="A161">
        <v>14</v>
      </c>
      <c r="B161" t="s">
        <v>158</v>
      </c>
      <c r="C161">
        <v>40</v>
      </c>
      <c r="D161" t="s">
        <v>107</v>
      </c>
      <c r="E161" t="s">
        <v>15</v>
      </c>
      <c r="F161">
        <v>1.8540000000000001</v>
      </c>
      <c r="G161" t="s">
        <v>16</v>
      </c>
    </row>
    <row r="162" spans="1:7" x14ac:dyDescent="0.25">
      <c r="A162">
        <v>14</v>
      </c>
      <c r="B162" t="s">
        <v>158</v>
      </c>
      <c r="C162">
        <v>50</v>
      </c>
      <c r="D162" t="s">
        <v>104</v>
      </c>
      <c r="E162" t="s">
        <v>15</v>
      </c>
      <c r="F162">
        <v>15.342000000000001</v>
      </c>
      <c r="G162" t="s">
        <v>14</v>
      </c>
    </row>
    <row r="163" spans="1:7" x14ac:dyDescent="0.25">
      <c r="A163">
        <v>14</v>
      </c>
      <c r="B163" t="s">
        <v>158</v>
      </c>
      <c r="C163">
        <v>60</v>
      </c>
      <c r="D163" t="s">
        <v>105</v>
      </c>
      <c r="E163" t="s">
        <v>15</v>
      </c>
      <c r="F163">
        <v>94.350999999999999</v>
      </c>
      <c r="G163" t="s">
        <v>14</v>
      </c>
    </row>
    <row r="164" spans="1:7" x14ac:dyDescent="0.25">
      <c r="A164">
        <v>14</v>
      </c>
      <c r="B164" t="s">
        <v>158</v>
      </c>
      <c r="C164">
        <v>70</v>
      </c>
      <c r="D164" t="s">
        <v>20</v>
      </c>
      <c r="E164" t="s">
        <v>11</v>
      </c>
      <c r="F164">
        <v>1</v>
      </c>
      <c r="G164" t="s">
        <v>14</v>
      </c>
    </row>
    <row r="165" spans="1:7" x14ac:dyDescent="0.25">
      <c r="A165">
        <v>14</v>
      </c>
      <c r="B165" t="s">
        <v>158</v>
      </c>
      <c r="C165">
        <v>80</v>
      </c>
      <c r="D165" t="s">
        <v>143</v>
      </c>
      <c r="E165" t="s">
        <v>11</v>
      </c>
      <c r="F165">
        <v>4</v>
      </c>
      <c r="G165" t="s">
        <v>14</v>
      </c>
    </row>
    <row r="166" spans="1:7" x14ac:dyDescent="0.25">
      <c r="A166">
        <v>14</v>
      </c>
      <c r="B166" t="s">
        <v>158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158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158</v>
      </c>
      <c r="C168">
        <v>110</v>
      </c>
      <c r="D168" t="s">
        <v>144</v>
      </c>
      <c r="E168" t="s">
        <v>13</v>
      </c>
      <c r="F168">
        <v>0.61599999999999999</v>
      </c>
      <c r="G168" t="s">
        <v>14</v>
      </c>
    </row>
    <row r="169" spans="1:7" x14ac:dyDescent="0.25">
      <c r="A169">
        <v>14</v>
      </c>
      <c r="B169" t="s">
        <v>158</v>
      </c>
      <c r="C169">
        <v>120</v>
      </c>
      <c r="D169" t="s">
        <v>193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159</v>
      </c>
      <c r="C170">
        <v>10</v>
      </c>
      <c r="D170" t="s">
        <v>122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159</v>
      </c>
      <c r="C171">
        <v>20</v>
      </c>
      <c r="D171" t="s">
        <v>95</v>
      </c>
      <c r="E171" t="s">
        <v>96</v>
      </c>
      <c r="F171">
        <v>0.33900000000000002</v>
      </c>
      <c r="G171" t="s">
        <v>14</v>
      </c>
    </row>
    <row r="172" spans="1:7" x14ac:dyDescent="0.25">
      <c r="A172">
        <v>15</v>
      </c>
      <c r="B172" t="s">
        <v>159</v>
      </c>
      <c r="C172">
        <v>30</v>
      </c>
      <c r="D172" t="s">
        <v>106</v>
      </c>
      <c r="E172" t="s">
        <v>11</v>
      </c>
      <c r="F172">
        <v>0.78700000000000003</v>
      </c>
      <c r="G172" t="s">
        <v>16</v>
      </c>
    </row>
    <row r="173" spans="1:7" x14ac:dyDescent="0.25">
      <c r="A173">
        <v>15</v>
      </c>
      <c r="B173" t="s">
        <v>159</v>
      </c>
      <c r="C173">
        <v>40</v>
      </c>
      <c r="D173" t="s">
        <v>107</v>
      </c>
      <c r="E173" t="s">
        <v>15</v>
      </c>
      <c r="F173">
        <v>0.78700000000000003</v>
      </c>
      <c r="G173" t="s">
        <v>16</v>
      </c>
    </row>
    <row r="174" spans="1:7" x14ac:dyDescent="0.25">
      <c r="A174">
        <v>15</v>
      </c>
      <c r="B174" t="s">
        <v>159</v>
      </c>
      <c r="C174">
        <v>50</v>
      </c>
      <c r="D174" t="s">
        <v>104</v>
      </c>
      <c r="E174" t="s">
        <v>15</v>
      </c>
      <c r="F174">
        <v>11.379</v>
      </c>
      <c r="G174" t="s">
        <v>14</v>
      </c>
    </row>
    <row r="175" spans="1:7" x14ac:dyDescent="0.25">
      <c r="A175">
        <v>15</v>
      </c>
      <c r="B175" t="s">
        <v>159</v>
      </c>
      <c r="C175">
        <v>60</v>
      </c>
      <c r="D175" t="s">
        <v>105</v>
      </c>
      <c r="E175" t="s">
        <v>15</v>
      </c>
      <c r="F175">
        <v>69.981999999999999</v>
      </c>
      <c r="G175" t="s">
        <v>14</v>
      </c>
    </row>
    <row r="176" spans="1:7" x14ac:dyDescent="0.25">
      <c r="A176">
        <v>15</v>
      </c>
      <c r="B176" t="s">
        <v>159</v>
      </c>
      <c r="C176">
        <v>70</v>
      </c>
      <c r="D176" t="s">
        <v>20</v>
      </c>
      <c r="E176" t="s">
        <v>11</v>
      </c>
      <c r="F176">
        <v>1</v>
      </c>
      <c r="G176" t="s">
        <v>14</v>
      </c>
    </row>
    <row r="177" spans="1:7" x14ac:dyDescent="0.25">
      <c r="A177">
        <v>15</v>
      </c>
      <c r="B177" t="s">
        <v>159</v>
      </c>
      <c r="C177">
        <v>80</v>
      </c>
      <c r="D177" t="s">
        <v>143</v>
      </c>
      <c r="E177" t="s">
        <v>11</v>
      </c>
      <c r="F177">
        <v>4</v>
      </c>
      <c r="G177" t="s">
        <v>14</v>
      </c>
    </row>
    <row r="178" spans="1:7" x14ac:dyDescent="0.25">
      <c r="A178">
        <v>15</v>
      </c>
      <c r="B178" t="s">
        <v>159</v>
      </c>
      <c r="C178">
        <v>90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159</v>
      </c>
      <c r="C179">
        <v>100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159</v>
      </c>
      <c r="C180">
        <v>110</v>
      </c>
      <c r="D180" t="s">
        <v>144</v>
      </c>
      <c r="E180" t="s">
        <v>13</v>
      </c>
      <c r="F180">
        <v>0.66100000000000003</v>
      </c>
      <c r="G180" t="s">
        <v>14</v>
      </c>
    </row>
    <row r="181" spans="1:7" x14ac:dyDescent="0.25">
      <c r="A181">
        <v>15</v>
      </c>
      <c r="B181" t="s">
        <v>159</v>
      </c>
      <c r="C181">
        <v>120</v>
      </c>
      <c r="D181" t="s">
        <v>194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160</v>
      </c>
      <c r="C182">
        <v>10</v>
      </c>
      <c r="D182" t="s">
        <v>123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160</v>
      </c>
      <c r="C183">
        <v>20</v>
      </c>
      <c r="D183" t="s">
        <v>95</v>
      </c>
      <c r="E183" t="s">
        <v>96</v>
      </c>
      <c r="F183">
        <v>0.40899999999999997</v>
      </c>
      <c r="G183" t="s">
        <v>14</v>
      </c>
    </row>
    <row r="184" spans="1:7" x14ac:dyDescent="0.25">
      <c r="A184">
        <v>16</v>
      </c>
      <c r="B184" t="s">
        <v>160</v>
      </c>
      <c r="C184">
        <v>30</v>
      </c>
      <c r="D184" t="s">
        <v>106</v>
      </c>
      <c r="E184" t="s">
        <v>11</v>
      </c>
      <c r="F184">
        <v>0.94</v>
      </c>
      <c r="G184" t="s">
        <v>16</v>
      </c>
    </row>
    <row r="185" spans="1:7" x14ac:dyDescent="0.25">
      <c r="A185">
        <v>16</v>
      </c>
      <c r="B185" t="s">
        <v>160</v>
      </c>
      <c r="C185">
        <v>40</v>
      </c>
      <c r="D185" t="s">
        <v>107</v>
      </c>
      <c r="E185" t="s">
        <v>15</v>
      </c>
      <c r="F185">
        <v>0.94</v>
      </c>
      <c r="G185" t="s">
        <v>16</v>
      </c>
    </row>
    <row r="186" spans="1:7" x14ac:dyDescent="0.25">
      <c r="A186">
        <v>16</v>
      </c>
      <c r="B186" t="s">
        <v>160</v>
      </c>
      <c r="C186">
        <v>50</v>
      </c>
      <c r="D186" t="s">
        <v>104</v>
      </c>
      <c r="E186" t="s">
        <v>15</v>
      </c>
      <c r="F186">
        <v>11.989000000000001</v>
      </c>
      <c r="G186" t="s">
        <v>14</v>
      </c>
    </row>
    <row r="187" spans="1:7" x14ac:dyDescent="0.25">
      <c r="A187">
        <v>16</v>
      </c>
      <c r="B187" t="s">
        <v>160</v>
      </c>
      <c r="C187">
        <v>60</v>
      </c>
      <c r="D187" t="s">
        <v>105</v>
      </c>
      <c r="E187" t="s">
        <v>15</v>
      </c>
      <c r="F187">
        <v>73.730999999999995</v>
      </c>
      <c r="G187" t="s">
        <v>14</v>
      </c>
    </row>
    <row r="188" spans="1:7" x14ac:dyDescent="0.25">
      <c r="A188">
        <v>16</v>
      </c>
      <c r="B188" t="s">
        <v>160</v>
      </c>
      <c r="C188">
        <v>70</v>
      </c>
      <c r="D188" t="s">
        <v>20</v>
      </c>
      <c r="E188" t="s">
        <v>11</v>
      </c>
      <c r="F188">
        <v>1</v>
      </c>
      <c r="G188" t="s">
        <v>14</v>
      </c>
    </row>
    <row r="189" spans="1:7" x14ac:dyDescent="0.25">
      <c r="A189">
        <v>16</v>
      </c>
      <c r="B189" t="s">
        <v>160</v>
      </c>
      <c r="C189">
        <v>80</v>
      </c>
      <c r="D189" t="s">
        <v>143</v>
      </c>
      <c r="E189" t="s">
        <v>11</v>
      </c>
      <c r="F189">
        <v>4</v>
      </c>
      <c r="G189" t="s">
        <v>14</v>
      </c>
    </row>
    <row r="190" spans="1:7" x14ac:dyDescent="0.25">
      <c r="A190">
        <v>16</v>
      </c>
      <c r="B190" t="s">
        <v>160</v>
      </c>
      <c r="C190">
        <v>90</v>
      </c>
      <c r="D190" t="s">
        <v>21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160</v>
      </c>
      <c r="C191">
        <v>100</v>
      </c>
      <c r="D191" t="s">
        <v>22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160</v>
      </c>
      <c r="C192">
        <v>110</v>
      </c>
      <c r="D192" t="s">
        <v>144</v>
      </c>
      <c r="E192" t="s">
        <v>13</v>
      </c>
      <c r="F192">
        <v>0.66100000000000003</v>
      </c>
      <c r="G192" t="s">
        <v>14</v>
      </c>
    </row>
    <row r="193" spans="1:7" x14ac:dyDescent="0.25">
      <c r="A193">
        <v>16</v>
      </c>
      <c r="B193" t="s">
        <v>160</v>
      </c>
      <c r="C193">
        <v>120</v>
      </c>
      <c r="D193" t="s">
        <v>195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161</v>
      </c>
      <c r="C194">
        <v>10</v>
      </c>
      <c r="D194" t="s">
        <v>124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161</v>
      </c>
      <c r="C195">
        <v>20</v>
      </c>
      <c r="D195" t="s">
        <v>95</v>
      </c>
      <c r="E195" t="s">
        <v>96</v>
      </c>
      <c r="F195">
        <v>0.47899999999999998</v>
      </c>
      <c r="G195" t="s">
        <v>14</v>
      </c>
    </row>
    <row r="196" spans="1:7" x14ac:dyDescent="0.25">
      <c r="A196">
        <v>17</v>
      </c>
      <c r="B196" t="s">
        <v>161</v>
      </c>
      <c r="C196">
        <v>30</v>
      </c>
      <c r="D196" t="s">
        <v>106</v>
      </c>
      <c r="E196" t="s">
        <v>11</v>
      </c>
      <c r="F196">
        <v>1.0920000000000001</v>
      </c>
      <c r="G196" t="s">
        <v>16</v>
      </c>
    </row>
    <row r="197" spans="1:7" x14ac:dyDescent="0.25">
      <c r="A197">
        <v>17</v>
      </c>
      <c r="B197" t="s">
        <v>161</v>
      </c>
      <c r="C197">
        <v>40</v>
      </c>
      <c r="D197" t="s">
        <v>107</v>
      </c>
      <c r="E197" t="s">
        <v>15</v>
      </c>
      <c r="F197">
        <v>1.0920000000000001</v>
      </c>
      <c r="G197" t="s">
        <v>16</v>
      </c>
    </row>
    <row r="198" spans="1:7" x14ac:dyDescent="0.25">
      <c r="A198">
        <v>17</v>
      </c>
      <c r="B198" t="s">
        <v>161</v>
      </c>
      <c r="C198">
        <v>50</v>
      </c>
      <c r="D198" t="s">
        <v>104</v>
      </c>
      <c r="E198" t="s">
        <v>15</v>
      </c>
      <c r="F198">
        <v>12.598000000000001</v>
      </c>
      <c r="G198" t="s">
        <v>14</v>
      </c>
    </row>
    <row r="199" spans="1:7" x14ac:dyDescent="0.25">
      <c r="A199">
        <v>17</v>
      </c>
      <c r="B199" t="s">
        <v>161</v>
      </c>
      <c r="C199">
        <v>60</v>
      </c>
      <c r="D199" t="s">
        <v>105</v>
      </c>
      <c r="E199" t="s">
        <v>15</v>
      </c>
      <c r="F199">
        <v>77.48</v>
      </c>
      <c r="G199" t="s">
        <v>14</v>
      </c>
    </row>
    <row r="200" spans="1:7" x14ac:dyDescent="0.25">
      <c r="A200">
        <v>17</v>
      </c>
      <c r="B200" t="s">
        <v>161</v>
      </c>
      <c r="C200">
        <v>70</v>
      </c>
      <c r="D200" t="s">
        <v>20</v>
      </c>
      <c r="E200" t="s">
        <v>11</v>
      </c>
      <c r="F200">
        <v>1</v>
      </c>
      <c r="G200" t="s">
        <v>14</v>
      </c>
    </row>
    <row r="201" spans="1:7" x14ac:dyDescent="0.25">
      <c r="A201">
        <v>17</v>
      </c>
      <c r="B201" t="s">
        <v>161</v>
      </c>
      <c r="C201">
        <v>80</v>
      </c>
      <c r="D201" t="s">
        <v>143</v>
      </c>
      <c r="E201" t="s">
        <v>11</v>
      </c>
      <c r="F201">
        <v>4</v>
      </c>
      <c r="G201" t="s">
        <v>14</v>
      </c>
    </row>
    <row r="202" spans="1:7" x14ac:dyDescent="0.25">
      <c r="A202">
        <v>17</v>
      </c>
      <c r="B202" t="s">
        <v>161</v>
      </c>
      <c r="C202">
        <v>90</v>
      </c>
      <c r="D202" t="s">
        <v>21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161</v>
      </c>
      <c r="C203">
        <v>100</v>
      </c>
      <c r="D203" t="s">
        <v>22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161</v>
      </c>
      <c r="C204">
        <v>110</v>
      </c>
      <c r="D204" t="s">
        <v>144</v>
      </c>
      <c r="E204" t="s">
        <v>13</v>
      </c>
      <c r="F204">
        <v>0.66100000000000003</v>
      </c>
      <c r="G204" t="s">
        <v>14</v>
      </c>
    </row>
    <row r="205" spans="1:7" x14ac:dyDescent="0.25">
      <c r="A205">
        <v>17</v>
      </c>
      <c r="B205" t="s">
        <v>161</v>
      </c>
      <c r="C205">
        <v>120</v>
      </c>
      <c r="D205" t="s">
        <v>196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162</v>
      </c>
      <c r="C206">
        <v>10</v>
      </c>
      <c r="D206" t="s">
        <v>125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162</v>
      </c>
      <c r="C207">
        <v>20</v>
      </c>
      <c r="D207" t="s">
        <v>95</v>
      </c>
      <c r="E207" t="s">
        <v>96</v>
      </c>
      <c r="F207">
        <v>0.55000000000000004</v>
      </c>
      <c r="G207" t="s">
        <v>14</v>
      </c>
    </row>
    <row r="208" spans="1:7" x14ac:dyDescent="0.25">
      <c r="A208">
        <v>18</v>
      </c>
      <c r="B208" t="s">
        <v>162</v>
      </c>
      <c r="C208">
        <v>30</v>
      </c>
      <c r="D208" t="s">
        <v>106</v>
      </c>
      <c r="E208" t="s">
        <v>11</v>
      </c>
      <c r="F208">
        <v>1.2450000000000001</v>
      </c>
      <c r="G208" t="s">
        <v>16</v>
      </c>
    </row>
    <row r="209" spans="1:7" x14ac:dyDescent="0.25">
      <c r="A209">
        <v>18</v>
      </c>
      <c r="B209" t="s">
        <v>162</v>
      </c>
      <c r="C209">
        <v>40</v>
      </c>
      <c r="D209" t="s">
        <v>107</v>
      </c>
      <c r="E209" t="s">
        <v>15</v>
      </c>
      <c r="F209">
        <v>1.2450000000000001</v>
      </c>
      <c r="G209" t="s">
        <v>16</v>
      </c>
    </row>
    <row r="210" spans="1:7" x14ac:dyDescent="0.25">
      <c r="A210">
        <v>18</v>
      </c>
      <c r="B210" t="s">
        <v>162</v>
      </c>
      <c r="C210">
        <v>50</v>
      </c>
      <c r="D210" t="s">
        <v>104</v>
      </c>
      <c r="E210" t="s">
        <v>15</v>
      </c>
      <c r="F210">
        <v>13.208</v>
      </c>
      <c r="G210" t="s">
        <v>14</v>
      </c>
    </row>
    <row r="211" spans="1:7" x14ac:dyDescent="0.25">
      <c r="A211">
        <v>18</v>
      </c>
      <c r="B211" t="s">
        <v>162</v>
      </c>
      <c r="C211">
        <v>60</v>
      </c>
      <c r="D211" t="s">
        <v>105</v>
      </c>
      <c r="E211" t="s">
        <v>15</v>
      </c>
      <c r="F211">
        <v>81.228999999999999</v>
      </c>
      <c r="G211" t="s">
        <v>14</v>
      </c>
    </row>
    <row r="212" spans="1:7" x14ac:dyDescent="0.25">
      <c r="A212">
        <v>18</v>
      </c>
      <c r="B212" t="s">
        <v>162</v>
      </c>
      <c r="C212">
        <v>70</v>
      </c>
      <c r="D212" t="s">
        <v>20</v>
      </c>
      <c r="E212" t="s">
        <v>11</v>
      </c>
      <c r="F212">
        <v>1</v>
      </c>
      <c r="G212" t="s">
        <v>14</v>
      </c>
    </row>
    <row r="213" spans="1:7" x14ac:dyDescent="0.25">
      <c r="A213">
        <v>18</v>
      </c>
      <c r="B213" t="s">
        <v>162</v>
      </c>
      <c r="C213">
        <v>80</v>
      </c>
      <c r="D213" t="s">
        <v>143</v>
      </c>
      <c r="E213" t="s">
        <v>11</v>
      </c>
      <c r="F213">
        <v>4</v>
      </c>
      <c r="G213" t="s">
        <v>14</v>
      </c>
    </row>
    <row r="214" spans="1:7" x14ac:dyDescent="0.25">
      <c r="A214">
        <v>18</v>
      </c>
      <c r="B214" t="s">
        <v>162</v>
      </c>
      <c r="C214">
        <v>90</v>
      </c>
      <c r="D214" t="s">
        <v>21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162</v>
      </c>
      <c r="C215">
        <v>100</v>
      </c>
      <c r="D215" t="s">
        <v>22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162</v>
      </c>
      <c r="C216">
        <v>110</v>
      </c>
      <c r="D216" t="s">
        <v>144</v>
      </c>
      <c r="E216" t="s">
        <v>13</v>
      </c>
      <c r="F216">
        <v>0.66100000000000003</v>
      </c>
      <c r="G216" t="s">
        <v>14</v>
      </c>
    </row>
    <row r="217" spans="1:7" x14ac:dyDescent="0.25">
      <c r="A217">
        <v>18</v>
      </c>
      <c r="B217" t="s">
        <v>162</v>
      </c>
      <c r="C217">
        <v>120</v>
      </c>
      <c r="D217" t="s">
        <v>197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163</v>
      </c>
      <c r="C218">
        <v>10</v>
      </c>
      <c r="D218" t="s">
        <v>126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163</v>
      </c>
      <c r="C219">
        <v>20</v>
      </c>
      <c r="D219" t="s">
        <v>95</v>
      </c>
      <c r="E219" t="s">
        <v>96</v>
      </c>
      <c r="F219">
        <v>0.69</v>
      </c>
      <c r="G219" t="s">
        <v>14</v>
      </c>
    </row>
    <row r="220" spans="1:7" x14ac:dyDescent="0.25">
      <c r="A220">
        <v>19</v>
      </c>
      <c r="B220" t="s">
        <v>163</v>
      </c>
      <c r="C220">
        <v>30</v>
      </c>
      <c r="D220" t="s">
        <v>106</v>
      </c>
      <c r="E220" t="s">
        <v>11</v>
      </c>
      <c r="F220">
        <v>1.5489999999999999</v>
      </c>
      <c r="G220" t="s">
        <v>16</v>
      </c>
    </row>
    <row r="221" spans="1:7" x14ac:dyDescent="0.25">
      <c r="A221">
        <v>19</v>
      </c>
      <c r="B221" t="s">
        <v>163</v>
      </c>
      <c r="C221">
        <v>40</v>
      </c>
      <c r="D221" t="s">
        <v>107</v>
      </c>
      <c r="E221" t="s">
        <v>15</v>
      </c>
      <c r="F221">
        <v>1.5489999999999999</v>
      </c>
      <c r="G221" t="s">
        <v>16</v>
      </c>
    </row>
    <row r="222" spans="1:7" x14ac:dyDescent="0.25">
      <c r="A222">
        <v>19</v>
      </c>
      <c r="B222" t="s">
        <v>163</v>
      </c>
      <c r="C222">
        <v>50</v>
      </c>
      <c r="D222" t="s">
        <v>104</v>
      </c>
      <c r="E222" t="s">
        <v>15</v>
      </c>
      <c r="F222">
        <v>14.427</v>
      </c>
      <c r="G222" t="s">
        <v>14</v>
      </c>
    </row>
    <row r="223" spans="1:7" x14ac:dyDescent="0.25">
      <c r="A223">
        <v>19</v>
      </c>
      <c r="B223" t="s">
        <v>163</v>
      </c>
      <c r="C223">
        <v>60</v>
      </c>
      <c r="D223" t="s">
        <v>105</v>
      </c>
      <c r="E223" t="s">
        <v>15</v>
      </c>
      <c r="F223">
        <v>88.727000000000004</v>
      </c>
      <c r="G223" t="s">
        <v>14</v>
      </c>
    </row>
    <row r="224" spans="1:7" x14ac:dyDescent="0.25">
      <c r="A224">
        <v>19</v>
      </c>
      <c r="B224" t="s">
        <v>163</v>
      </c>
      <c r="C224">
        <v>70</v>
      </c>
      <c r="D224" t="s">
        <v>20</v>
      </c>
      <c r="E224" t="s">
        <v>11</v>
      </c>
      <c r="F224">
        <v>1</v>
      </c>
      <c r="G224" t="s">
        <v>14</v>
      </c>
    </row>
    <row r="225" spans="1:7" x14ac:dyDescent="0.25">
      <c r="A225">
        <v>19</v>
      </c>
      <c r="B225" t="s">
        <v>163</v>
      </c>
      <c r="C225">
        <v>80</v>
      </c>
      <c r="D225" t="s">
        <v>143</v>
      </c>
      <c r="E225" t="s">
        <v>11</v>
      </c>
      <c r="F225">
        <v>4</v>
      </c>
      <c r="G225" t="s">
        <v>14</v>
      </c>
    </row>
    <row r="226" spans="1:7" x14ac:dyDescent="0.25">
      <c r="A226">
        <v>19</v>
      </c>
      <c r="B226" t="s">
        <v>163</v>
      </c>
      <c r="C226">
        <v>90</v>
      </c>
      <c r="D226" t="s">
        <v>21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163</v>
      </c>
      <c r="C227">
        <v>100</v>
      </c>
      <c r="D227" t="s">
        <v>22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163</v>
      </c>
      <c r="C228">
        <v>110</v>
      </c>
      <c r="D228" t="s">
        <v>144</v>
      </c>
      <c r="E228" t="s">
        <v>13</v>
      </c>
      <c r="F228">
        <v>0.66100000000000003</v>
      </c>
      <c r="G228" t="s">
        <v>14</v>
      </c>
    </row>
    <row r="229" spans="1:7" x14ac:dyDescent="0.25">
      <c r="A229">
        <v>19</v>
      </c>
      <c r="B229" t="s">
        <v>163</v>
      </c>
      <c r="C229">
        <v>120</v>
      </c>
      <c r="D229" t="s">
        <v>198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164</v>
      </c>
      <c r="C230">
        <v>10</v>
      </c>
      <c r="D230" t="s">
        <v>127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164</v>
      </c>
      <c r="C231">
        <v>20</v>
      </c>
      <c r="D231" t="s">
        <v>95</v>
      </c>
      <c r="E231" t="s">
        <v>96</v>
      </c>
      <c r="F231">
        <v>0.76</v>
      </c>
      <c r="G231" t="s">
        <v>14</v>
      </c>
    </row>
    <row r="232" spans="1:7" x14ac:dyDescent="0.25">
      <c r="A232">
        <v>20</v>
      </c>
      <c r="B232" t="s">
        <v>164</v>
      </c>
      <c r="C232">
        <v>30</v>
      </c>
      <c r="D232" t="s">
        <v>106</v>
      </c>
      <c r="E232" t="s">
        <v>11</v>
      </c>
      <c r="F232">
        <v>1.702</v>
      </c>
      <c r="G232" t="s">
        <v>16</v>
      </c>
    </row>
    <row r="233" spans="1:7" x14ac:dyDescent="0.25">
      <c r="A233">
        <v>20</v>
      </c>
      <c r="B233" t="s">
        <v>164</v>
      </c>
      <c r="C233">
        <v>40</v>
      </c>
      <c r="D233" t="s">
        <v>107</v>
      </c>
      <c r="E233" t="s">
        <v>15</v>
      </c>
      <c r="F233">
        <v>1.702</v>
      </c>
      <c r="G233" t="s">
        <v>16</v>
      </c>
    </row>
    <row r="234" spans="1:7" x14ac:dyDescent="0.25">
      <c r="A234">
        <v>20</v>
      </c>
      <c r="B234" t="s">
        <v>164</v>
      </c>
      <c r="C234">
        <v>50</v>
      </c>
      <c r="D234" t="s">
        <v>104</v>
      </c>
      <c r="E234" t="s">
        <v>15</v>
      </c>
      <c r="F234">
        <v>15.037000000000001</v>
      </c>
      <c r="G234" t="s">
        <v>14</v>
      </c>
    </row>
    <row r="235" spans="1:7" x14ac:dyDescent="0.25">
      <c r="A235">
        <v>20</v>
      </c>
      <c r="B235" t="s">
        <v>164</v>
      </c>
      <c r="C235">
        <v>60</v>
      </c>
      <c r="D235" t="s">
        <v>105</v>
      </c>
      <c r="E235" t="s">
        <v>15</v>
      </c>
      <c r="F235">
        <v>92.475999999999999</v>
      </c>
      <c r="G235" t="s">
        <v>14</v>
      </c>
    </row>
    <row r="236" spans="1:7" x14ac:dyDescent="0.25">
      <c r="A236">
        <v>20</v>
      </c>
      <c r="B236" t="s">
        <v>164</v>
      </c>
      <c r="C236">
        <v>70</v>
      </c>
      <c r="D236" t="s">
        <v>20</v>
      </c>
      <c r="E236" t="s">
        <v>11</v>
      </c>
      <c r="F236">
        <v>1</v>
      </c>
      <c r="G236" t="s">
        <v>14</v>
      </c>
    </row>
    <row r="237" spans="1:7" x14ac:dyDescent="0.25">
      <c r="A237">
        <v>20</v>
      </c>
      <c r="B237" t="s">
        <v>164</v>
      </c>
      <c r="C237">
        <v>80</v>
      </c>
      <c r="D237" t="s">
        <v>143</v>
      </c>
      <c r="E237" t="s">
        <v>11</v>
      </c>
      <c r="F237">
        <v>4</v>
      </c>
      <c r="G237" t="s">
        <v>14</v>
      </c>
    </row>
    <row r="238" spans="1:7" x14ac:dyDescent="0.25">
      <c r="A238">
        <v>20</v>
      </c>
      <c r="B238" t="s">
        <v>164</v>
      </c>
      <c r="C238">
        <v>90</v>
      </c>
      <c r="D238" t="s">
        <v>21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164</v>
      </c>
      <c r="C239">
        <v>100</v>
      </c>
      <c r="D239" t="s">
        <v>22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164</v>
      </c>
      <c r="C240">
        <v>110</v>
      </c>
      <c r="D240" t="s">
        <v>144</v>
      </c>
      <c r="E240" t="s">
        <v>13</v>
      </c>
      <c r="F240">
        <v>0.66100000000000003</v>
      </c>
      <c r="G240" t="s">
        <v>14</v>
      </c>
    </row>
    <row r="241" spans="1:7" x14ac:dyDescent="0.25">
      <c r="A241">
        <v>20</v>
      </c>
      <c r="B241" t="s">
        <v>164</v>
      </c>
      <c r="C241">
        <v>120</v>
      </c>
      <c r="D241" t="s">
        <v>199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165</v>
      </c>
      <c r="C242">
        <v>10</v>
      </c>
      <c r="D242" t="s">
        <v>128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165</v>
      </c>
      <c r="C243">
        <v>20</v>
      </c>
      <c r="D243" t="s">
        <v>95</v>
      </c>
      <c r="E243" t="s">
        <v>96</v>
      </c>
      <c r="F243">
        <v>0.83</v>
      </c>
      <c r="G243" t="s">
        <v>14</v>
      </c>
    </row>
    <row r="244" spans="1:7" x14ac:dyDescent="0.25">
      <c r="A244">
        <v>21</v>
      </c>
      <c r="B244" t="s">
        <v>165</v>
      </c>
      <c r="C244">
        <v>30</v>
      </c>
      <c r="D244" t="s">
        <v>106</v>
      </c>
      <c r="E244" t="s">
        <v>11</v>
      </c>
      <c r="F244">
        <v>1.8540000000000001</v>
      </c>
      <c r="G244" t="s">
        <v>16</v>
      </c>
    </row>
    <row r="245" spans="1:7" x14ac:dyDescent="0.25">
      <c r="A245">
        <v>21</v>
      </c>
      <c r="B245" t="s">
        <v>165</v>
      </c>
      <c r="C245">
        <v>40</v>
      </c>
      <c r="D245" t="s">
        <v>107</v>
      </c>
      <c r="E245" t="s">
        <v>15</v>
      </c>
      <c r="F245">
        <v>1.8540000000000001</v>
      </c>
      <c r="G245" t="s">
        <v>16</v>
      </c>
    </row>
    <row r="246" spans="1:7" x14ac:dyDescent="0.25">
      <c r="A246">
        <v>21</v>
      </c>
      <c r="B246" t="s">
        <v>165</v>
      </c>
      <c r="C246">
        <v>50</v>
      </c>
      <c r="D246" t="s">
        <v>104</v>
      </c>
      <c r="E246" t="s">
        <v>15</v>
      </c>
      <c r="F246">
        <v>15.646000000000001</v>
      </c>
      <c r="G246" t="s">
        <v>14</v>
      </c>
    </row>
    <row r="247" spans="1:7" x14ac:dyDescent="0.25">
      <c r="A247">
        <v>21</v>
      </c>
      <c r="B247" t="s">
        <v>165</v>
      </c>
      <c r="C247">
        <v>60</v>
      </c>
      <c r="D247" t="s">
        <v>105</v>
      </c>
      <c r="E247" t="s">
        <v>15</v>
      </c>
      <c r="F247">
        <v>96.224999999999994</v>
      </c>
      <c r="G247" t="s">
        <v>14</v>
      </c>
    </row>
    <row r="248" spans="1:7" x14ac:dyDescent="0.25">
      <c r="A248">
        <v>21</v>
      </c>
      <c r="B248" t="s">
        <v>165</v>
      </c>
      <c r="C248">
        <v>70</v>
      </c>
      <c r="D248" t="s">
        <v>20</v>
      </c>
      <c r="E248" t="s">
        <v>11</v>
      </c>
      <c r="F248">
        <v>1</v>
      </c>
      <c r="G248" t="s">
        <v>14</v>
      </c>
    </row>
    <row r="249" spans="1:7" x14ac:dyDescent="0.25">
      <c r="A249">
        <v>21</v>
      </c>
      <c r="B249" t="s">
        <v>165</v>
      </c>
      <c r="C249">
        <v>80</v>
      </c>
      <c r="D249" t="s">
        <v>143</v>
      </c>
      <c r="E249" t="s">
        <v>11</v>
      </c>
      <c r="F249">
        <v>4</v>
      </c>
      <c r="G249" t="s">
        <v>14</v>
      </c>
    </row>
    <row r="250" spans="1:7" x14ac:dyDescent="0.25">
      <c r="A250">
        <v>21</v>
      </c>
      <c r="B250" t="s">
        <v>165</v>
      </c>
      <c r="C250">
        <v>90</v>
      </c>
      <c r="D250" t="s">
        <v>21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165</v>
      </c>
      <c r="C251">
        <v>100</v>
      </c>
      <c r="D251" t="s">
        <v>22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165</v>
      </c>
      <c r="C252">
        <v>110</v>
      </c>
      <c r="D252" t="s">
        <v>144</v>
      </c>
      <c r="E252" t="s">
        <v>13</v>
      </c>
      <c r="F252">
        <v>0.66100000000000003</v>
      </c>
      <c r="G252" t="s">
        <v>14</v>
      </c>
    </row>
    <row r="253" spans="1:7" x14ac:dyDescent="0.25">
      <c r="A253">
        <v>21</v>
      </c>
      <c r="B253" t="s">
        <v>165</v>
      </c>
      <c r="C253">
        <v>120</v>
      </c>
      <c r="D253" t="s">
        <v>200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166</v>
      </c>
      <c r="C254">
        <v>10</v>
      </c>
      <c r="D254" t="s">
        <v>129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166</v>
      </c>
      <c r="C255">
        <v>20</v>
      </c>
      <c r="D255" t="s">
        <v>95</v>
      </c>
      <c r="E255" t="s">
        <v>96</v>
      </c>
      <c r="F255">
        <v>0.34799999999999998</v>
      </c>
      <c r="G255" t="s">
        <v>14</v>
      </c>
    </row>
    <row r="256" spans="1:7" x14ac:dyDescent="0.25">
      <c r="A256">
        <v>22</v>
      </c>
      <c r="B256" t="s">
        <v>166</v>
      </c>
      <c r="C256">
        <v>30</v>
      </c>
      <c r="D256" t="s">
        <v>106</v>
      </c>
      <c r="E256" t="s">
        <v>11</v>
      </c>
      <c r="F256">
        <v>2.0569999999999999</v>
      </c>
      <c r="G256" t="s">
        <v>16</v>
      </c>
    </row>
    <row r="257" spans="1:7" x14ac:dyDescent="0.25">
      <c r="A257">
        <v>22</v>
      </c>
      <c r="B257" t="s">
        <v>166</v>
      </c>
      <c r="C257">
        <v>40</v>
      </c>
      <c r="D257" t="s">
        <v>107</v>
      </c>
      <c r="E257" t="s">
        <v>15</v>
      </c>
      <c r="F257">
        <v>2.0569999999999999</v>
      </c>
      <c r="G257" t="s">
        <v>16</v>
      </c>
    </row>
    <row r="258" spans="1:7" x14ac:dyDescent="0.25">
      <c r="A258">
        <v>22</v>
      </c>
      <c r="B258" t="s">
        <v>166</v>
      </c>
      <c r="C258">
        <v>50</v>
      </c>
      <c r="D258" t="s">
        <v>104</v>
      </c>
      <c r="E258" t="s">
        <v>15</v>
      </c>
      <c r="F258">
        <v>11.582000000000001</v>
      </c>
      <c r="G258" t="s">
        <v>14</v>
      </c>
    </row>
    <row r="259" spans="1:7" x14ac:dyDescent="0.25">
      <c r="A259">
        <v>22</v>
      </c>
      <c r="B259" t="s">
        <v>166</v>
      </c>
      <c r="C259">
        <v>60</v>
      </c>
      <c r="D259" t="s">
        <v>105</v>
      </c>
      <c r="E259" t="s">
        <v>15</v>
      </c>
      <c r="F259">
        <v>71.231999999999999</v>
      </c>
      <c r="G259" t="s">
        <v>14</v>
      </c>
    </row>
    <row r="260" spans="1:7" x14ac:dyDescent="0.25">
      <c r="A260">
        <v>22</v>
      </c>
      <c r="B260" t="s">
        <v>166</v>
      </c>
      <c r="C260">
        <v>70</v>
      </c>
      <c r="D260" t="s">
        <v>20</v>
      </c>
      <c r="E260" t="s">
        <v>11</v>
      </c>
      <c r="F260">
        <v>1</v>
      </c>
      <c r="G260" t="s">
        <v>14</v>
      </c>
    </row>
    <row r="261" spans="1:7" x14ac:dyDescent="0.25">
      <c r="A261">
        <v>22</v>
      </c>
      <c r="B261" t="s">
        <v>166</v>
      </c>
      <c r="C261">
        <v>80</v>
      </c>
      <c r="D261" t="s">
        <v>143</v>
      </c>
      <c r="E261" t="s">
        <v>11</v>
      </c>
      <c r="F261">
        <v>4</v>
      </c>
      <c r="G261" t="s">
        <v>14</v>
      </c>
    </row>
    <row r="262" spans="1:7" x14ac:dyDescent="0.25">
      <c r="A262">
        <v>22</v>
      </c>
      <c r="B262" t="s">
        <v>166</v>
      </c>
      <c r="C262">
        <v>90</v>
      </c>
      <c r="D262" t="s">
        <v>21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166</v>
      </c>
      <c r="C263">
        <v>100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166</v>
      </c>
      <c r="C264">
        <v>110</v>
      </c>
      <c r="D264" t="s">
        <v>144</v>
      </c>
      <c r="E264" t="s">
        <v>13</v>
      </c>
      <c r="F264">
        <v>0.67600000000000005</v>
      </c>
      <c r="G264" t="s">
        <v>14</v>
      </c>
    </row>
    <row r="265" spans="1:7" x14ac:dyDescent="0.25">
      <c r="A265">
        <v>22</v>
      </c>
      <c r="B265" t="s">
        <v>166</v>
      </c>
      <c r="C265">
        <v>120</v>
      </c>
      <c r="D265" t="s">
        <v>201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167</v>
      </c>
      <c r="C266">
        <v>10</v>
      </c>
      <c r="D266" t="s">
        <v>130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167</v>
      </c>
      <c r="C267">
        <v>20</v>
      </c>
      <c r="D267" t="s">
        <v>95</v>
      </c>
      <c r="E267" t="s">
        <v>96</v>
      </c>
      <c r="F267">
        <v>0.42</v>
      </c>
      <c r="G267" t="s">
        <v>14</v>
      </c>
    </row>
    <row r="268" spans="1:7" x14ac:dyDescent="0.25">
      <c r="A268">
        <v>23</v>
      </c>
      <c r="B268" t="s">
        <v>167</v>
      </c>
      <c r="C268">
        <v>30</v>
      </c>
      <c r="D268" t="s">
        <v>106</v>
      </c>
      <c r="E268" t="s">
        <v>11</v>
      </c>
      <c r="F268">
        <v>2.0569999999999999</v>
      </c>
      <c r="G268" t="s">
        <v>16</v>
      </c>
    </row>
    <row r="269" spans="1:7" x14ac:dyDescent="0.25">
      <c r="A269">
        <v>23</v>
      </c>
      <c r="B269" t="s">
        <v>167</v>
      </c>
      <c r="C269">
        <v>40</v>
      </c>
      <c r="D269" t="s">
        <v>107</v>
      </c>
      <c r="E269" t="s">
        <v>15</v>
      </c>
      <c r="F269">
        <v>2.0569999999999999</v>
      </c>
      <c r="G269" t="s">
        <v>16</v>
      </c>
    </row>
    <row r="270" spans="1:7" x14ac:dyDescent="0.25">
      <c r="A270">
        <v>23</v>
      </c>
      <c r="B270" t="s">
        <v>167</v>
      </c>
      <c r="C270">
        <v>50</v>
      </c>
      <c r="D270" t="s">
        <v>104</v>
      </c>
      <c r="E270" t="s">
        <v>15</v>
      </c>
      <c r="F270">
        <v>12.192</v>
      </c>
      <c r="G270" t="s">
        <v>14</v>
      </c>
    </row>
    <row r="271" spans="1:7" x14ac:dyDescent="0.25">
      <c r="A271">
        <v>23</v>
      </c>
      <c r="B271" t="s">
        <v>167</v>
      </c>
      <c r="C271">
        <v>60</v>
      </c>
      <c r="D271" t="s">
        <v>105</v>
      </c>
      <c r="E271" t="s">
        <v>15</v>
      </c>
      <c r="F271">
        <v>74.980999999999995</v>
      </c>
      <c r="G271" t="s">
        <v>14</v>
      </c>
    </row>
    <row r="272" spans="1:7" x14ac:dyDescent="0.25">
      <c r="A272">
        <v>23</v>
      </c>
      <c r="B272" t="s">
        <v>167</v>
      </c>
      <c r="C272">
        <v>70</v>
      </c>
      <c r="D272" t="s">
        <v>20</v>
      </c>
      <c r="E272" t="s">
        <v>11</v>
      </c>
      <c r="F272">
        <v>1</v>
      </c>
      <c r="G272" t="s">
        <v>14</v>
      </c>
    </row>
    <row r="273" spans="1:7" x14ac:dyDescent="0.25">
      <c r="A273">
        <v>23</v>
      </c>
      <c r="B273" t="s">
        <v>167</v>
      </c>
      <c r="C273">
        <v>80</v>
      </c>
      <c r="D273" t="s">
        <v>143</v>
      </c>
      <c r="E273" t="s">
        <v>11</v>
      </c>
      <c r="F273">
        <v>4</v>
      </c>
      <c r="G273" t="s">
        <v>14</v>
      </c>
    </row>
    <row r="274" spans="1:7" x14ac:dyDescent="0.25">
      <c r="A274">
        <v>23</v>
      </c>
      <c r="B274" t="s">
        <v>167</v>
      </c>
      <c r="C274">
        <v>90</v>
      </c>
      <c r="D274" t="s">
        <v>21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167</v>
      </c>
      <c r="C275">
        <v>100</v>
      </c>
      <c r="D275" t="s">
        <v>22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167</v>
      </c>
      <c r="C276">
        <v>110</v>
      </c>
      <c r="D276" t="s">
        <v>144</v>
      </c>
      <c r="E276" t="s">
        <v>13</v>
      </c>
      <c r="F276">
        <v>0.67600000000000005</v>
      </c>
      <c r="G276" t="s">
        <v>14</v>
      </c>
    </row>
    <row r="277" spans="1:7" x14ac:dyDescent="0.25">
      <c r="A277">
        <v>23</v>
      </c>
      <c r="B277" t="s">
        <v>167</v>
      </c>
      <c r="C277">
        <v>120</v>
      </c>
      <c r="D277" t="s">
        <v>202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168</v>
      </c>
      <c r="C278">
        <v>10</v>
      </c>
      <c r="D278" t="s">
        <v>131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168</v>
      </c>
      <c r="C279">
        <v>20</v>
      </c>
      <c r="D279" t="s">
        <v>95</v>
      </c>
      <c r="E279" t="s">
        <v>96</v>
      </c>
      <c r="F279">
        <v>0.49199999999999999</v>
      </c>
      <c r="G279" t="s">
        <v>14</v>
      </c>
    </row>
    <row r="280" spans="1:7" x14ac:dyDescent="0.25">
      <c r="A280">
        <v>24</v>
      </c>
      <c r="B280" t="s">
        <v>168</v>
      </c>
      <c r="C280">
        <v>30</v>
      </c>
      <c r="D280" t="s">
        <v>106</v>
      </c>
      <c r="E280" t="s">
        <v>11</v>
      </c>
      <c r="F280">
        <v>2.0569999999999999</v>
      </c>
      <c r="G280" t="s">
        <v>16</v>
      </c>
    </row>
    <row r="281" spans="1:7" x14ac:dyDescent="0.25">
      <c r="A281">
        <v>24</v>
      </c>
      <c r="B281" t="s">
        <v>168</v>
      </c>
      <c r="C281">
        <v>40</v>
      </c>
      <c r="D281" t="s">
        <v>107</v>
      </c>
      <c r="E281" t="s">
        <v>15</v>
      </c>
      <c r="F281">
        <v>2.0569999999999999</v>
      </c>
      <c r="G281" t="s">
        <v>16</v>
      </c>
    </row>
    <row r="282" spans="1:7" x14ac:dyDescent="0.25">
      <c r="A282">
        <v>24</v>
      </c>
      <c r="B282" t="s">
        <v>168</v>
      </c>
      <c r="C282">
        <v>50</v>
      </c>
      <c r="D282" t="s">
        <v>104</v>
      </c>
      <c r="E282" t="s">
        <v>15</v>
      </c>
      <c r="F282">
        <v>12.802</v>
      </c>
      <c r="G282" t="s">
        <v>14</v>
      </c>
    </row>
    <row r="283" spans="1:7" x14ac:dyDescent="0.25">
      <c r="A283">
        <v>24</v>
      </c>
      <c r="B283" t="s">
        <v>168</v>
      </c>
      <c r="C283">
        <v>60</v>
      </c>
      <c r="D283" t="s">
        <v>105</v>
      </c>
      <c r="E283" t="s">
        <v>15</v>
      </c>
      <c r="F283">
        <v>78.73</v>
      </c>
      <c r="G283" t="s">
        <v>14</v>
      </c>
    </row>
    <row r="284" spans="1:7" x14ac:dyDescent="0.25">
      <c r="A284">
        <v>24</v>
      </c>
      <c r="B284" t="s">
        <v>168</v>
      </c>
      <c r="C284">
        <v>70</v>
      </c>
      <c r="D284" t="s">
        <v>20</v>
      </c>
      <c r="E284" t="s">
        <v>11</v>
      </c>
      <c r="F284">
        <v>1</v>
      </c>
      <c r="G284" t="s">
        <v>14</v>
      </c>
    </row>
    <row r="285" spans="1:7" x14ac:dyDescent="0.25">
      <c r="A285">
        <v>24</v>
      </c>
      <c r="B285" t="s">
        <v>168</v>
      </c>
      <c r="C285">
        <v>80</v>
      </c>
      <c r="D285" t="s">
        <v>143</v>
      </c>
      <c r="E285" t="s">
        <v>11</v>
      </c>
      <c r="F285">
        <v>4</v>
      </c>
      <c r="G285" t="s">
        <v>14</v>
      </c>
    </row>
    <row r="286" spans="1:7" x14ac:dyDescent="0.25">
      <c r="A286">
        <v>24</v>
      </c>
      <c r="B286" t="s">
        <v>168</v>
      </c>
      <c r="C286">
        <v>90</v>
      </c>
      <c r="D286" t="s">
        <v>21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168</v>
      </c>
      <c r="C287">
        <v>100</v>
      </c>
      <c r="D287" t="s">
        <v>22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168</v>
      </c>
      <c r="C288">
        <v>110</v>
      </c>
      <c r="D288" t="s">
        <v>144</v>
      </c>
      <c r="E288" t="s">
        <v>13</v>
      </c>
      <c r="F288">
        <v>0.67600000000000005</v>
      </c>
      <c r="G288" t="s">
        <v>14</v>
      </c>
    </row>
    <row r="289" spans="1:7" x14ac:dyDescent="0.25">
      <c r="A289">
        <v>24</v>
      </c>
      <c r="B289" t="s">
        <v>168</v>
      </c>
      <c r="C289">
        <v>120</v>
      </c>
      <c r="D289" t="s">
        <v>203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169</v>
      </c>
      <c r="C290">
        <v>10</v>
      </c>
      <c r="D290" t="s">
        <v>132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169</v>
      </c>
      <c r="C291">
        <v>20</v>
      </c>
      <c r="D291" t="s">
        <v>95</v>
      </c>
      <c r="E291" t="s">
        <v>96</v>
      </c>
      <c r="F291">
        <v>0.56399999999999995</v>
      </c>
      <c r="G291" t="s">
        <v>14</v>
      </c>
    </row>
    <row r="292" spans="1:7" x14ac:dyDescent="0.25">
      <c r="A292">
        <v>25</v>
      </c>
      <c r="B292" t="s">
        <v>169</v>
      </c>
      <c r="C292">
        <v>30</v>
      </c>
      <c r="D292" t="s">
        <v>106</v>
      </c>
      <c r="E292" t="s">
        <v>11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169</v>
      </c>
      <c r="C293">
        <v>40</v>
      </c>
      <c r="D293" t="s">
        <v>107</v>
      </c>
      <c r="E293" t="s">
        <v>15</v>
      </c>
      <c r="F293">
        <v>2.0569999999999999</v>
      </c>
      <c r="G293" t="s">
        <v>16</v>
      </c>
    </row>
    <row r="294" spans="1:7" x14ac:dyDescent="0.25">
      <c r="A294">
        <v>25</v>
      </c>
      <c r="B294" t="s">
        <v>169</v>
      </c>
      <c r="C294">
        <v>50</v>
      </c>
      <c r="D294" t="s">
        <v>104</v>
      </c>
      <c r="E294" t="s">
        <v>15</v>
      </c>
      <c r="F294">
        <v>13.411</v>
      </c>
      <c r="G294" t="s">
        <v>14</v>
      </c>
    </row>
    <row r="295" spans="1:7" x14ac:dyDescent="0.25">
      <c r="A295">
        <v>25</v>
      </c>
      <c r="B295" t="s">
        <v>169</v>
      </c>
      <c r="C295">
        <v>60</v>
      </c>
      <c r="D295" t="s">
        <v>105</v>
      </c>
      <c r="E295" t="s">
        <v>15</v>
      </c>
      <c r="F295">
        <v>82.478999999999999</v>
      </c>
      <c r="G295" t="s">
        <v>14</v>
      </c>
    </row>
    <row r="296" spans="1:7" x14ac:dyDescent="0.25">
      <c r="A296">
        <v>25</v>
      </c>
      <c r="B296" t="s">
        <v>169</v>
      </c>
      <c r="C296">
        <v>70</v>
      </c>
      <c r="D296" t="s">
        <v>20</v>
      </c>
      <c r="E296" t="s">
        <v>11</v>
      </c>
      <c r="F296">
        <v>1</v>
      </c>
      <c r="G296" t="s">
        <v>14</v>
      </c>
    </row>
    <row r="297" spans="1:7" x14ac:dyDescent="0.25">
      <c r="A297">
        <v>25</v>
      </c>
      <c r="B297" t="s">
        <v>169</v>
      </c>
      <c r="C297">
        <v>80</v>
      </c>
      <c r="D297" t="s">
        <v>143</v>
      </c>
      <c r="E297" t="s">
        <v>11</v>
      </c>
      <c r="F297">
        <v>4</v>
      </c>
      <c r="G297" t="s">
        <v>14</v>
      </c>
    </row>
    <row r="298" spans="1:7" x14ac:dyDescent="0.25">
      <c r="A298">
        <v>25</v>
      </c>
      <c r="B298" t="s">
        <v>169</v>
      </c>
      <c r="C298">
        <v>90</v>
      </c>
      <c r="D298" t="s">
        <v>21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169</v>
      </c>
      <c r="C299">
        <v>100</v>
      </c>
      <c r="D299" t="s">
        <v>22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169</v>
      </c>
      <c r="C300">
        <v>110</v>
      </c>
      <c r="D300" t="s">
        <v>144</v>
      </c>
      <c r="E300" t="s">
        <v>13</v>
      </c>
      <c r="F300">
        <v>0.67600000000000005</v>
      </c>
      <c r="G300" t="s">
        <v>14</v>
      </c>
    </row>
    <row r="301" spans="1:7" x14ac:dyDescent="0.25">
      <c r="A301">
        <v>25</v>
      </c>
      <c r="B301" t="s">
        <v>169</v>
      </c>
      <c r="C301">
        <v>120</v>
      </c>
      <c r="D301" t="s">
        <v>204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170</v>
      </c>
      <c r="C302">
        <v>10</v>
      </c>
      <c r="D302" t="s">
        <v>133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170</v>
      </c>
      <c r="C303">
        <v>20</v>
      </c>
      <c r="D303" t="s">
        <v>95</v>
      </c>
      <c r="E303" t="s">
        <v>96</v>
      </c>
      <c r="F303">
        <v>0.70799999999999996</v>
      </c>
      <c r="G303" t="s">
        <v>14</v>
      </c>
    </row>
    <row r="304" spans="1:7" x14ac:dyDescent="0.25">
      <c r="A304">
        <v>26</v>
      </c>
      <c r="B304" t="s">
        <v>170</v>
      </c>
      <c r="C304">
        <v>30</v>
      </c>
      <c r="D304" t="s">
        <v>106</v>
      </c>
      <c r="E304" t="s">
        <v>11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170</v>
      </c>
      <c r="C305">
        <v>40</v>
      </c>
      <c r="D305" t="s">
        <v>107</v>
      </c>
      <c r="E305" t="s">
        <v>15</v>
      </c>
      <c r="F305">
        <v>2.0569999999999999</v>
      </c>
      <c r="G305" t="s">
        <v>16</v>
      </c>
    </row>
    <row r="306" spans="1:7" x14ac:dyDescent="0.25">
      <c r="A306">
        <v>26</v>
      </c>
      <c r="B306" t="s">
        <v>170</v>
      </c>
      <c r="C306">
        <v>50</v>
      </c>
      <c r="D306" t="s">
        <v>104</v>
      </c>
      <c r="E306" t="s">
        <v>15</v>
      </c>
      <c r="F306">
        <v>14.63</v>
      </c>
      <c r="G306" t="s">
        <v>14</v>
      </c>
    </row>
    <row r="307" spans="1:7" x14ac:dyDescent="0.25">
      <c r="A307">
        <v>26</v>
      </c>
      <c r="B307" t="s">
        <v>170</v>
      </c>
      <c r="C307">
        <v>60</v>
      </c>
      <c r="D307" t="s">
        <v>105</v>
      </c>
      <c r="E307" t="s">
        <v>15</v>
      </c>
      <c r="F307">
        <v>89.977000000000004</v>
      </c>
      <c r="G307" t="s">
        <v>14</v>
      </c>
    </row>
    <row r="308" spans="1:7" x14ac:dyDescent="0.25">
      <c r="A308">
        <v>26</v>
      </c>
      <c r="B308" t="s">
        <v>170</v>
      </c>
      <c r="C308">
        <v>70</v>
      </c>
      <c r="D308" t="s">
        <v>20</v>
      </c>
      <c r="E308" t="s">
        <v>11</v>
      </c>
      <c r="F308">
        <v>1</v>
      </c>
      <c r="G308" t="s">
        <v>14</v>
      </c>
    </row>
    <row r="309" spans="1:7" x14ac:dyDescent="0.25">
      <c r="A309">
        <v>26</v>
      </c>
      <c r="B309" t="s">
        <v>170</v>
      </c>
      <c r="C309">
        <v>80</v>
      </c>
      <c r="D309" t="s">
        <v>143</v>
      </c>
      <c r="E309" t="s">
        <v>11</v>
      </c>
      <c r="F309">
        <v>4</v>
      </c>
      <c r="G309" t="s">
        <v>14</v>
      </c>
    </row>
    <row r="310" spans="1:7" x14ac:dyDescent="0.25">
      <c r="A310">
        <v>26</v>
      </c>
      <c r="B310" t="s">
        <v>170</v>
      </c>
      <c r="C310">
        <v>90</v>
      </c>
      <c r="D310" t="s">
        <v>21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170</v>
      </c>
      <c r="C311">
        <v>100</v>
      </c>
      <c r="D311" t="s">
        <v>22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170</v>
      </c>
      <c r="C312">
        <v>110</v>
      </c>
      <c r="D312" t="s">
        <v>144</v>
      </c>
      <c r="E312" t="s">
        <v>13</v>
      </c>
      <c r="F312">
        <v>0.67600000000000005</v>
      </c>
      <c r="G312" t="s">
        <v>14</v>
      </c>
    </row>
    <row r="313" spans="1:7" x14ac:dyDescent="0.25">
      <c r="A313">
        <v>26</v>
      </c>
      <c r="B313" t="s">
        <v>170</v>
      </c>
      <c r="C313">
        <v>120</v>
      </c>
      <c r="D313" t="s">
        <v>205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171</v>
      </c>
      <c r="C314">
        <v>10</v>
      </c>
      <c r="D314" t="s">
        <v>134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171</v>
      </c>
      <c r="C315">
        <v>20</v>
      </c>
      <c r="D315" t="s">
        <v>95</v>
      </c>
      <c r="E315" t="s">
        <v>96</v>
      </c>
      <c r="F315">
        <v>0.78</v>
      </c>
      <c r="G315" t="s">
        <v>14</v>
      </c>
    </row>
    <row r="316" spans="1:7" x14ac:dyDescent="0.25">
      <c r="A316">
        <v>27</v>
      </c>
      <c r="B316" t="s">
        <v>171</v>
      </c>
      <c r="C316">
        <v>30</v>
      </c>
      <c r="D316" t="s">
        <v>106</v>
      </c>
      <c r="E316" t="s">
        <v>11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171</v>
      </c>
      <c r="C317">
        <v>40</v>
      </c>
      <c r="D317" t="s">
        <v>107</v>
      </c>
      <c r="E317" t="s">
        <v>15</v>
      </c>
      <c r="F317">
        <v>2.0569999999999999</v>
      </c>
      <c r="G317" t="s">
        <v>16</v>
      </c>
    </row>
    <row r="318" spans="1:7" x14ac:dyDescent="0.25">
      <c r="A318">
        <v>27</v>
      </c>
      <c r="B318" t="s">
        <v>171</v>
      </c>
      <c r="C318">
        <v>50</v>
      </c>
      <c r="D318" t="s">
        <v>104</v>
      </c>
      <c r="E318" t="s">
        <v>15</v>
      </c>
      <c r="F318">
        <v>15.24</v>
      </c>
      <c r="G318" t="s">
        <v>14</v>
      </c>
    </row>
    <row r="319" spans="1:7" x14ac:dyDescent="0.25">
      <c r="A319">
        <v>27</v>
      </c>
      <c r="B319" t="s">
        <v>171</v>
      </c>
      <c r="C319">
        <v>60</v>
      </c>
      <c r="D319" t="s">
        <v>105</v>
      </c>
      <c r="E319" t="s">
        <v>15</v>
      </c>
      <c r="F319">
        <v>93.725999999999999</v>
      </c>
      <c r="G319" t="s">
        <v>14</v>
      </c>
    </row>
    <row r="320" spans="1:7" x14ac:dyDescent="0.25">
      <c r="A320">
        <v>27</v>
      </c>
      <c r="B320" t="s">
        <v>171</v>
      </c>
      <c r="C320">
        <v>70</v>
      </c>
      <c r="D320" t="s">
        <v>20</v>
      </c>
      <c r="E320" t="s">
        <v>11</v>
      </c>
      <c r="F320">
        <v>1</v>
      </c>
      <c r="G320" t="s">
        <v>14</v>
      </c>
    </row>
    <row r="321" spans="1:7" x14ac:dyDescent="0.25">
      <c r="A321">
        <v>27</v>
      </c>
      <c r="B321" t="s">
        <v>171</v>
      </c>
      <c r="C321">
        <v>80</v>
      </c>
      <c r="D321" t="s">
        <v>143</v>
      </c>
      <c r="E321" t="s">
        <v>11</v>
      </c>
      <c r="F321">
        <v>4</v>
      </c>
      <c r="G321" t="s">
        <v>14</v>
      </c>
    </row>
    <row r="322" spans="1:7" x14ac:dyDescent="0.25">
      <c r="A322">
        <v>27</v>
      </c>
      <c r="B322" t="s">
        <v>171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171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171</v>
      </c>
      <c r="C324">
        <v>110</v>
      </c>
      <c r="D324" t="s">
        <v>144</v>
      </c>
      <c r="E324" t="s">
        <v>13</v>
      </c>
      <c r="F324">
        <v>0.67600000000000005</v>
      </c>
      <c r="G324" t="s">
        <v>14</v>
      </c>
    </row>
    <row r="325" spans="1:7" x14ac:dyDescent="0.25">
      <c r="A325">
        <v>27</v>
      </c>
      <c r="B325" t="s">
        <v>171</v>
      </c>
      <c r="C325">
        <v>120</v>
      </c>
      <c r="D325" t="s">
        <v>206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172</v>
      </c>
      <c r="C326">
        <v>10</v>
      </c>
      <c r="D326" t="s">
        <v>135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172</v>
      </c>
      <c r="C327">
        <v>20</v>
      </c>
      <c r="D327" t="s">
        <v>95</v>
      </c>
      <c r="E327" t="s">
        <v>96</v>
      </c>
      <c r="F327">
        <v>0.85199999999999998</v>
      </c>
      <c r="G327" t="s">
        <v>14</v>
      </c>
    </row>
    <row r="328" spans="1:7" x14ac:dyDescent="0.25">
      <c r="A328">
        <v>28</v>
      </c>
      <c r="B328" t="s">
        <v>172</v>
      </c>
      <c r="C328">
        <v>30</v>
      </c>
      <c r="D328" t="s">
        <v>106</v>
      </c>
      <c r="E328" t="s">
        <v>11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172</v>
      </c>
      <c r="C329">
        <v>40</v>
      </c>
      <c r="D329" t="s">
        <v>107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28</v>
      </c>
      <c r="B330" t="s">
        <v>172</v>
      </c>
      <c r="C330">
        <v>50</v>
      </c>
      <c r="D330" t="s">
        <v>104</v>
      </c>
      <c r="E330" t="s">
        <v>15</v>
      </c>
      <c r="F330">
        <v>15.85</v>
      </c>
      <c r="G330" t="s">
        <v>14</v>
      </c>
    </row>
    <row r="331" spans="1:7" x14ac:dyDescent="0.25">
      <c r="A331">
        <v>28</v>
      </c>
      <c r="B331" t="s">
        <v>172</v>
      </c>
      <c r="C331">
        <v>60</v>
      </c>
      <c r="D331" t="s">
        <v>105</v>
      </c>
      <c r="E331" t="s">
        <v>15</v>
      </c>
      <c r="F331">
        <v>97.474999999999994</v>
      </c>
      <c r="G331" t="s">
        <v>14</v>
      </c>
    </row>
    <row r="332" spans="1:7" x14ac:dyDescent="0.25">
      <c r="A332">
        <v>28</v>
      </c>
      <c r="B332" t="s">
        <v>172</v>
      </c>
      <c r="C332">
        <v>70</v>
      </c>
      <c r="D332" t="s">
        <v>20</v>
      </c>
      <c r="E332" t="s">
        <v>11</v>
      </c>
      <c r="F332">
        <v>1</v>
      </c>
      <c r="G332" t="s">
        <v>14</v>
      </c>
    </row>
    <row r="333" spans="1:7" x14ac:dyDescent="0.25">
      <c r="A333">
        <v>28</v>
      </c>
      <c r="B333" t="s">
        <v>172</v>
      </c>
      <c r="C333">
        <v>80</v>
      </c>
      <c r="D333" t="s">
        <v>143</v>
      </c>
      <c r="E333" t="s">
        <v>11</v>
      </c>
      <c r="F333">
        <v>4</v>
      </c>
      <c r="G333" t="s">
        <v>14</v>
      </c>
    </row>
    <row r="334" spans="1:7" x14ac:dyDescent="0.25">
      <c r="A334">
        <v>28</v>
      </c>
      <c r="B334" t="s">
        <v>172</v>
      </c>
      <c r="C334">
        <v>90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172</v>
      </c>
      <c r="C335">
        <v>100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172</v>
      </c>
      <c r="C336">
        <v>110</v>
      </c>
      <c r="D336" t="s">
        <v>144</v>
      </c>
      <c r="E336" t="s">
        <v>13</v>
      </c>
      <c r="F336">
        <v>0.67600000000000005</v>
      </c>
      <c r="G336" t="s">
        <v>14</v>
      </c>
    </row>
    <row r="337" spans="1:7" x14ac:dyDescent="0.25">
      <c r="A337">
        <v>28</v>
      </c>
      <c r="B337" t="s">
        <v>172</v>
      </c>
      <c r="C337">
        <v>120</v>
      </c>
      <c r="D337" t="s">
        <v>207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173</v>
      </c>
      <c r="C338">
        <v>10</v>
      </c>
      <c r="D338" t="s">
        <v>136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173</v>
      </c>
      <c r="C339">
        <v>20</v>
      </c>
      <c r="D339" t="s">
        <v>95</v>
      </c>
      <c r="E339" t="s">
        <v>96</v>
      </c>
      <c r="F339">
        <v>0.36599999999999999</v>
      </c>
      <c r="G339" t="s">
        <v>14</v>
      </c>
    </row>
    <row r="340" spans="1:7" x14ac:dyDescent="0.25">
      <c r="A340">
        <v>29</v>
      </c>
      <c r="B340" t="s">
        <v>173</v>
      </c>
      <c r="C340">
        <v>30</v>
      </c>
      <c r="D340" t="s">
        <v>106</v>
      </c>
      <c r="E340" t="s">
        <v>11</v>
      </c>
      <c r="F340">
        <v>2.1589999999999998</v>
      </c>
      <c r="G340" t="s">
        <v>16</v>
      </c>
    </row>
    <row r="341" spans="1:7" x14ac:dyDescent="0.25">
      <c r="A341">
        <v>29</v>
      </c>
      <c r="B341" t="s">
        <v>173</v>
      </c>
      <c r="C341">
        <v>40</v>
      </c>
      <c r="D341" t="s">
        <v>107</v>
      </c>
      <c r="E341" t="s">
        <v>15</v>
      </c>
      <c r="F341">
        <v>2.1589999999999998</v>
      </c>
      <c r="G341" t="s">
        <v>16</v>
      </c>
    </row>
    <row r="342" spans="1:7" x14ac:dyDescent="0.25">
      <c r="A342">
        <v>29</v>
      </c>
      <c r="B342" t="s">
        <v>173</v>
      </c>
      <c r="C342">
        <v>50</v>
      </c>
      <c r="D342" t="s">
        <v>104</v>
      </c>
      <c r="E342" t="s">
        <v>15</v>
      </c>
      <c r="F342">
        <v>11.989000000000001</v>
      </c>
      <c r="G342" t="s">
        <v>14</v>
      </c>
    </row>
    <row r="343" spans="1:7" x14ac:dyDescent="0.25">
      <c r="A343">
        <v>29</v>
      </c>
      <c r="B343" t="s">
        <v>173</v>
      </c>
      <c r="C343">
        <v>60</v>
      </c>
      <c r="D343" t="s">
        <v>105</v>
      </c>
      <c r="E343" t="s">
        <v>15</v>
      </c>
      <c r="F343">
        <v>73.730999999999995</v>
      </c>
      <c r="G343" t="s">
        <v>14</v>
      </c>
    </row>
    <row r="344" spans="1:7" x14ac:dyDescent="0.25">
      <c r="A344">
        <v>29</v>
      </c>
      <c r="B344" t="s">
        <v>173</v>
      </c>
      <c r="C344">
        <v>70</v>
      </c>
      <c r="D344" t="s">
        <v>20</v>
      </c>
      <c r="E344" t="s">
        <v>11</v>
      </c>
      <c r="F344">
        <v>1</v>
      </c>
      <c r="G344" t="s">
        <v>14</v>
      </c>
    </row>
    <row r="345" spans="1:7" x14ac:dyDescent="0.25">
      <c r="A345">
        <v>29</v>
      </c>
      <c r="B345" t="s">
        <v>173</v>
      </c>
      <c r="C345">
        <v>80</v>
      </c>
      <c r="D345" t="s">
        <v>143</v>
      </c>
      <c r="E345" t="s">
        <v>11</v>
      </c>
      <c r="F345">
        <v>4</v>
      </c>
      <c r="G345" t="s">
        <v>14</v>
      </c>
    </row>
    <row r="346" spans="1:7" x14ac:dyDescent="0.25">
      <c r="A346">
        <v>29</v>
      </c>
      <c r="B346" t="s">
        <v>173</v>
      </c>
      <c r="C346">
        <v>90</v>
      </c>
      <c r="D346" t="s">
        <v>21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173</v>
      </c>
      <c r="C347">
        <v>100</v>
      </c>
      <c r="D347" t="s">
        <v>22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173</v>
      </c>
      <c r="C348">
        <v>110</v>
      </c>
      <c r="D348" t="s">
        <v>144</v>
      </c>
      <c r="E348" t="s">
        <v>13</v>
      </c>
      <c r="F348">
        <v>0.70599999999999996</v>
      </c>
      <c r="G348" t="s">
        <v>14</v>
      </c>
    </row>
    <row r="349" spans="1:7" x14ac:dyDescent="0.25">
      <c r="A349">
        <v>29</v>
      </c>
      <c r="B349" t="s">
        <v>173</v>
      </c>
      <c r="C349">
        <v>120</v>
      </c>
      <c r="D349" t="s">
        <v>208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174</v>
      </c>
      <c r="C350">
        <v>10</v>
      </c>
      <c r="D350" t="s">
        <v>137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174</v>
      </c>
      <c r="C351">
        <v>20</v>
      </c>
      <c r="D351" t="s">
        <v>95</v>
      </c>
      <c r="E351" t="s">
        <v>96</v>
      </c>
      <c r="F351">
        <v>0.441</v>
      </c>
      <c r="G351" t="s">
        <v>14</v>
      </c>
    </row>
    <row r="352" spans="1:7" x14ac:dyDescent="0.25">
      <c r="A352">
        <v>30</v>
      </c>
      <c r="B352" t="s">
        <v>174</v>
      </c>
      <c r="C352">
        <v>30</v>
      </c>
      <c r="D352" t="s">
        <v>106</v>
      </c>
      <c r="E352" t="s">
        <v>11</v>
      </c>
      <c r="F352">
        <v>2.1589999999999998</v>
      </c>
      <c r="G352" t="s">
        <v>16</v>
      </c>
    </row>
    <row r="353" spans="1:7" x14ac:dyDescent="0.25">
      <c r="A353">
        <v>30</v>
      </c>
      <c r="B353" t="s">
        <v>174</v>
      </c>
      <c r="C353">
        <v>40</v>
      </c>
      <c r="D353" t="s">
        <v>107</v>
      </c>
      <c r="E353" t="s">
        <v>15</v>
      </c>
      <c r="F353">
        <v>2.1589999999999998</v>
      </c>
      <c r="G353" t="s">
        <v>16</v>
      </c>
    </row>
    <row r="354" spans="1:7" x14ac:dyDescent="0.25">
      <c r="A354">
        <v>30</v>
      </c>
      <c r="B354" t="s">
        <v>174</v>
      </c>
      <c r="C354">
        <v>50</v>
      </c>
      <c r="D354" t="s">
        <v>104</v>
      </c>
      <c r="E354" t="s">
        <v>15</v>
      </c>
      <c r="F354">
        <v>12.598000000000001</v>
      </c>
      <c r="G354" t="s">
        <v>14</v>
      </c>
    </row>
    <row r="355" spans="1:7" x14ac:dyDescent="0.25">
      <c r="A355">
        <v>30</v>
      </c>
      <c r="B355" t="s">
        <v>174</v>
      </c>
      <c r="C355">
        <v>60</v>
      </c>
      <c r="D355" t="s">
        <v>105</v>
      </c>
      <c r="E355" t="s">
        <v>15</v>
      </c>
      <c r="F355">
        <v>77.48</v>
      </c>
      <c r="G355" t="s">
        <v>14</v>
      </c>
    </row>
    <row r="356" spans="1:7" x14ac:dyDescent="0.25">
      <c r="A356">
        <v>30</v>
      </c>
      <c r="B356" t="s">
        <v>174</v>
      </c>
      <c r="C356">
        <v>70</v>
      </c>
      <c r="D356" t="s">
        <v>20</v>
      </c>
      <c r="E356" t="s">
        <v>11</v>
      </c>
      <c r="F356">
        <v>1</v>
      </c>
      <c r="G356" t="s">
        <v>14</v>
      </c>
    </row>
    <row r="357" spans="1:7" x14ac:dyDescent="0.25">
      <c r="A357">
        <v>30</v>
      </c>
      <c r="B357" t="s">
        <v>174</v>
      </c>
      <c r="C357">
        <v>80</v>
      </c>
      <c r="D357" t="s">
        <v>143</v>
      </c>
      <c r="E357" t="s">
        <v>11</v>
      </c>
      <c r="F357">
        <v>4</v>
      </c>
      <c r="G357" t="s">
        <v>14</v>
      </c>
    </row>
    <row r="358" spans="1:7" x14ac:dyDescent="0.25">
      <c r="A358">
        <v>30</v>
      </c>
      <c r="B358" t="s">
        <v>174</v>
      </c>
      <c r="C358">
        <v>90</v>
      </c>
      <c r="D358" t="s">
        <v>21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174</v>
      </c>
      <c r="C359">
        <v>100</v>
      </c>
      <c r="D359" t="s">
        <v>22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174</v>
      </c>
      <c r="C360">
        <v>110</v>
      </c>
      <c r="D360" t="s">
        <v>144</v>
      </c>
      <c r="E360" t="s">
        <v>13</v>
      </c>
      <c r="F360">
        <v>0.70599999999999996</v>
      </c>
      <c r="G360" t="s">
        <v>14</v>
      </c>
    </row>
    <row r="361" spans="1:7" x14ac:dyDescent="0.25">
      <c r="A361">
        <v>30</v>
      </c>
      <c r="B361" t="s">
        <v>174</v>
      </c>
      <c r="C361">
        <v>120</v>
      </c>
      <c r="D361" t="s">
        <v>209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175</v>
      </c>
      <c r="C362">
        <v>10</v>
      </c>
      <c r="D362" t="s">
        <v>138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175</v>
      </c>
      <c r="C363">
        <v>20</v>
      </c>
      <c r="D363" t="s">
        <v>95</v>
      </c>
      <c r="E363" t="s">
        <v>96</v>
      </c>
      <c r="F363">
        <v>0.51700000000000002</v>
      </c>
      <c r="G363" t="s">
        <v>14</v>
      </c>
    </row>
    <row r="364" spans="1:7" x14ac:dyDescent="0.25">
      <c r="A364">
        <v>31</v>
      </c>
      <c r="B364" t="s">
        <v>175</v>
      </c>
      <c r="C364">
        <v>30</v>
      </c>
      <c r="D364" t="s">
        <v>106</v>
      </c>
      <c r="E364" t="s">
        <v>11</v>
      </c>
      <c r="F364">
        <v>2.1589999999999998</v>
      </c>
      <c r="G364" t="s">
        <v>16</v>
      </c>
    </row>
    <row r="365" spans="1:7" x14ac:dyDescent="0.25">
      <c r="A365">
        <v>31</v>
      </c>
      <c r="B365" t="s">
        <v>175</v>
      </c>
      <c r="C365">
        <v>40</v>
      </c>
      <c r="D365" t="s">
        <v>107</v>
      </c>
      <c r="E365" t="s">
        <v>15</v>
      </c>
      <c r="F365">
        <v>2.1589999999999998</v>
      </c>
      <c r="G365" t="s">
        <v>16</v>
      </c>
    </row>
    <row r="366" spans="1:7" x14ac:dyDescent="0.25">
      <c r="A366">
        <v>31</v>
      </c>
      <c r="B366" t="s">
        <v>175</v>
      </c>
      <c r="C366">
        <v>50</v>
      </c>
      <c r="D366" t="s">
        <v>104</v>
      </c>
      <c r="E366" t="s">
        <v>15</v>
      </c>
      <c r="F366">
        <v>13.208</v>
      </c>
      <c r="G366" t="s">
        <v>14</v>
      </c>
    </row>
    <row r="367" spans="1:7" x14ac:dyDescent="0.25">
      <c r="A367">
        <v>31</v>
      </c>
      <c r="B367" t="s">
        <v>175</v>
      </c>
      <c r="C367">
        <v>60</v>
      </c>
      <c r="D367" t="s">
        <v>105</v>
      </c>
      <c r="E367" t="s">
        <v>15</v>
      </c>
      <c r="F367">
        <v>81.228999999999999</v>
      </c>
      <c r="G367" t="s">
        <v>14</v>
      </c>
    </row>
    <row r="368" spans="1:7" x14ac:dyDescent="0.25">
      <c r="A368">
        <v>31</v>
      </c>
      <c r="B368" t="s">
        <v>175</v>
      </c>
      <c r="C368">
        <v>70</v>
      </c>
      <c r="D368" t="s">
        <v>20</v>
      </c>
      <c r="E368" t="s">
        <v>11</v>
      </c>
      <c r="F368">
        <v>1</v>
      </c>
      <c r="G368" t="s">
        <v>14</v>
      </c>
    </row>
    <row r="369" spans="1:7" x14ac:dyDescent="0.25">
      <c r="A369">
        <v>31</v>
      </c>
      <c r="B369" t="s">
        <v>175</v>
      </c>
      <c r="C369">
        <v>80</v>
      </c>
      <c r="D369" t="s">
        <v>143</v>
      </c>
      <c r="E369" t="s">
        <v>11</v>
      </c>
      <c r="F369">
        <v>4</v>
      </c>
      <c r="G369" t="s">
        <v>14</v>
      </c>
    </row>
    <row r="370" spans="1:7" x14ac:dyDescent="0.25">
      <c r="A370">
        <v>31</v>
      </c>
      <c r="B370" t="s">
        <v>175</v>
      </c>
      <c r="C370">
        <v>90</v>
      </c>
      <c r="D370" t="s">
        <v>21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175</v>
      </c>
      <c r="C371">
        <v>100</v>
      </c>
      <c r="D371" t="s">
        <v>22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175</v>
      </c>
      <c r="C372">
        <v>110</v>
      </c>
      <c r="D372" t="s">
        <v>144</v>
      </c>
      <c r="E372" t="s">
        <v>13</v>
      </c>
      <c r="F372">
        <v>0.70599999999999996</v>
      </c>
      <c r="G372" t="s">
        <v>14</v>
      </c>
    </row>
    <row r="373" spans="1:7" x14ac:dyDescent="0.25">
      <c r="A373">
        <v>31</v>
      </c>
      <c r="B373" t="s">
        <v>175</v>
      </c>
      <c r="C373">
        <v>120</v>
      </c>
      <c r="D373" t="s">
        <v>210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176</v>
      </c>
      <c r="C374">
        <v>10</v>
      </c>
      <c r="D374" t="s">
        <v>139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176</v>
      </c>
      <c r="C375">
        <v>20</v>
      </c>
      <c r="D375" t="s">
        <v>95</v>
      </c>
      <c r="E375" t="s">
        <v>96</v>
      </c>
      <c r="F375">
        <v>0.59199999999999997</v>
      </c>
      <c r="G375" t="s">
        <v>14</v>
      </c>
    </row>
    <row r="376" spans="1:7" x14ac:dyDescent="0.25">
      <c r="A376">
        <v>32</v>
      </c>
      <c r="B376" t="s">
        <v>176</v>
      </c>
      <c r="C376">
        <v>30</v>
      </c>
      <c r="D376" t="s">
        <v>106</v>
      </c>
      <c r="E376" t="s">
        <v>11</v>
      </c>
      <c r="F376">
        <v>2.1589999999999998</v>
      </c>
      <c r="G376" t="s">
        <v>16</v>
      </c>
    </row>
    <row r="377" spans="1:7" x14ac:dyDescent="0.25">
      <c r="A377">
        <v>32</v>
      </c>
      <c r="B377" t="s">
        <v>176</v>
      </c>
      <c r="C377">
        <v>40</v>
      </c>
      <c r="D377" t="s">
        <v>107</v>
      </c>
      <c r="E377" t="s">
        <v>15</v>
      </c>
      <c r="F377">
        <v>2.1589999999999998</v>
      </c>
      <c r="G377" t="s">
        <v>16</v>
      </c>
    </row>
    <row r="378" spans="1:7" x14ac:dyDescent="0.25">
      <c r="A378">
        <v>32</v>
      </c>
      <c r="B378" t="s">
        <v>176</v>
      </c>
      <c r="C378">
        <v>50</v>
      </c>
      <c r="D378" t="s">
        <v>104</v>
      </c>
      <c r="E378" t="s">
        <v>15</v>
      </c>
      <c r="F378">
        <v>13.818</v>
      </c>
      <c r="G378" t="s">
        <v>14</v>
      </c>
    </row>
    <row r="379" spans="1:7" x14ac:dyDescent="0.25">
      <c r="A379">
        <v>32</v>
      </c>
      <c r="B379" t="s">
        <v>176</v>
      </c>
      <c r="C379">
        <v>60</v>
      </c>
      <c r="D379" t="s">
        <v>105</v>
      </c>
      <c r="E379" t="s">
        <v>15</v>
      </c>
      <c r="F379">
        <v>84.977999999999994</v>
      </c>
      <c r="G379" t="s">
        <v>14</v>
      </c>
    </row>
    <row r="380" spans="1:7" x14ac:dyDescent="0.25">
      <c r="A380">
        <v>32</v>
      </c>
      <c r="B380" t="s">
        <v>176</v>
      </c>
      <c r="C380">
        <v>70</v>
      </c>
      <c r="D380" t="s">
        <v>20</v>
      </c>
      <c r="E380" t="s">
        <v>11</v>
      </c>
      <c r="F380">
        <v>1</v>
      </c>
      <c r="G380" t="s">
        <v>14</v>
      </c>
    </row>
    <row r="381" spans="1:7" x14ac:dyDescent="0.25">
      <c r="A381">
        <v>32</v>
      </c>
      <c r="B381" t="s">
        <v>176</v>
      </c>
      <c r="C381">
        <v>80</v>
      </c>
      <c r="D381" t="s">
        <v>143</v>
      </c>
      <c r="E381" t="s">
        <v>11</v>
      </c>
      <c r="F381">
        <v>4</v>
      </c>
      <c r="G381" t="s">
        <v>14</v>
      </c>
    </row>
    <row r="382" spans="1:7" x14ac:dyDescent="0.25">
      <c r="A382">
        <v>32</v>
      </c>
      <c r="B382" t="s">
        <v>176</v>
      </c>
      <c r="C382">
        <v>90</v>
      </c>
      <c r="D382" t="s">
        <v>21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176</v>
      </c>
      <c r="C383">
        <v>100</v>
      </c>
      <c r="D383" t="s">
        <v>22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176</v>
      </c>
      <c r="C384">
        <v>110</v>
      </c>
      <c r="D384" t="s">
        <v>144</v>
      </c>
      <c r="E384" t="s">
        <v>13</v>
      </c>
      <c r="F384">
        <v>0.70599999999999996</v>
      </c>
      <c r="G384" t="s">
        <v>14</v>
      </c>
    </row>
    <row r="385" spans="1:7" x14ac:dyDescent="0.25">
      <c r="A385">
        <v>32</v>
      </c>
      <c r="B385" t="s">
        <v>176</v>
      </c>
      <c r="C385">
        <v>120</v>
      </c>
      <c r="D385" t="s">
        <v>211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177</v>
      </c>
      <c r="C386">
        <v>10</v>
      </c>
      <c r="D386" t="s">
        <v>140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177</v>
      </c>
      <c r="C387">
        <v>20</v>
      </c>
      <c r="D387" t="s">
        <v>95</v>
      </c>
      <c r="E387" t="s">
        <v>96</v>
      </c>
      <c r="F387">
        <v>0.74399999999999999</v>
      </c>
      <c r="G387" t="s">
        <v>14</v>
      </c>
    </row>
    <row r="388" spans="1:7" x14ac:dyDescent="0.25">
      <c r="A388">
        <v>33</v>
      </c>
      <c r="B388" t="s">
        <v>177</v>
      </c>
      <c r="C388">
        <v>30</v>
      </c>
      <c r="D388" t="s">
        <v>106</v>
      </c>
      <c r="E388" t="s">
        <v>11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177</v>
      </c>
      <c r="C389">
        <v>40</v>
      </c>
      <c r="D389" t="s">
        <v>107</v>
      </c>
      <c r="E389" t="s">
        <v>15</v>
      </c>
      <c r="F389">
        <v>2.1589999999999998</v>
      </c>
      <c r="G389" t="s">
        <v>16</v>
      </c>
    </row>
    <row r="390" spans="1:7" x14ac:dyDescent="0.25">
      <c r="A390">
        <v>33</v>
      </c>
      <c r="B390" t="s">
        <v>177</v>
      </c>
      <c r="C390">
        <v>50</v>
      </c>
      <c r="D390" t="s">
        <v>104</v>
      </c>
      <c r="E390" t="s">
        <v>15</v>
      </c>
      <c r="F390">
        <v>15.037000000000001</v>
      </c>
      <c r="G390" t="s">
        <v>14</v>
      </c>
    </row>
    <row r="391" spans="1:7" x14ac:dyDescent="0.25">
      <c r="A391">
        <v>33</v>
      </c>
      <c r="B391" t="s">
        <v>177</v>
      </c>
      <c r="C391">
        <v>60</v>
      </c>
      <c r="D391" t="s">
        <v>105</v>
      </c>
      <c r="E391" t="s">
        <v>15</v>
      </c>
      <c r="F391">
        <v>92.475999999999999</v>
      </c>
      <c r="G391" t="s">
        <v>14</v>
      </c>
    </row>
    <row r="392" spans="1:7" x14ac:dyDescent="0.25">
      <c r="A392">
        <v>33</v>
      </c>
      <c r="B392" t="s">
        <v>177</v>
      </c>
      <c r="C392">
        <v>70</v>
      </c>
      <c r="D392" t="s">
        <v>20</v>
      </c>
      <c r="E392" t="s">
        <v>11</v>
      </c>
      <c r="F392">
        <v>1</v>
      </c>
      <c r="G392" t="s">
        <v>14</v>
      </c>
    </row>
    <row r="393" spans="1:7" x14ac:dyDescent="0.25">
      <c r="A393">
        <v>33</v>
      </c>
      <c r="B393" t="s">
        <v>177</v>
      </c>
      <c r="C393">
        <v>80</v>
      </c>
      <c r="D393" t="s">
        <v>143</v>
      </c>
      <c r="E393" t="s">
        <v>11</v>
      </c>
      <c r="F393">
        <v>4</v>
      </c>
      <c r="G393" t="s">
        <v>14</v>
      </c>
    </row>
    <row r="394" spans="1:7" x14ac:dyDescent="0.25">
      <c r="A394">
        <v>33</v>
      </c>
      <c r="B394" t="s">
        <v>177</v>
      </c>
      <c r="C394">
        <v>90</v>
      </c>
      <c r="D394" t="s">
        <v>21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177</v>
      </c>
      <c r="C395">
        <v>100</v>
      </c>
      <c r="D395" t="s">
        <v>22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177</v>
      </c>
      <c r="C396">
        <v>110</v>
      </c>
      <c r="D396" t="s">
        <v>144</v>
      </c>
      <c r="E396" t="s">
        <v>13</v>
      </c>
      <c r="F396">
        <v>0.70599999999999996</v>
      </c>
      <c r="G396" t="s">
        <v>14</v>
      </c>
    </row>
    <row r="397" spans="1:7" x14ac:dyDescent="0.25">
      <c r="A397">
        <v>33</v>
      </c>
      <c r="B397" t="s">
        <v>177</v>
      </c>
      <c r="C397">
        <v>120</v>
      </c>
      <c r="D397" t="s">
        <v>212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178</v>
      </c>
      <c r="C398">
        <v>10</v>
      </c>
      <c r="D398" t="s">
        <v>141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178</v>
      </c>
      <c r="C399">
        <v>20</v>
      </c>
      <c r="D399" t="s">
        <v>95</v>
      </c>
      <c r="E399" t="s">
        <v>96</v>
      </c>
      <c r="F399">
        <v>0.81899999999999995</v>
      </c>
      <c r="G399" t="s">
        <v>14</v>
      </c>
    </row>
    <row r="400" spans="1:7" x14ac:dyDescent="0.25">
      <c r="A400">
        <v>34</v>
      </c>
      <c r="B400" t="s">
        <v>178</v>
      </c>
      <c r="C400">
        <v>30</v>
      </c>
      <c r="D400" t="s">
        <v>106</v>
      </c>
      <c r="E400" t="s">
        <v>11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178</v>
      </c>
      <c r="C401">
        <v>40</v>
      </c>
      <c r="D401" t="s">
        <v>107</v>
      </c>
      <c r="E401" t="s">
        <v>15</v>
      </c>
      <c r="F401">
        <v>2.1589999999999998</v>
      </c>
      <c r="G401" t="s">
        <v>16</v>
      </c>
    </row>
    <row r="402" spans="1:7" x14ac:dyDescent="0.25">
      <c r="A402">
        <v>34</v>
      </c>
      <c r="B402" t="s">
        <v>178</v>
      </c>
      <c r="C402">
        <v>50</v>
      </c>
      <c r="D402" t="s">
        <v>104</v>
      </c>
      <c r="E402" t="s">
        <v>15</v>
      </c>
      <c r="F402">
        <v>15.646000000000001</v>
      </c>
      <c r="G402" t="s">
        <v>14</v>
      </c>
    </row>
    <row r="403" spans="1:7" x14ac:dyDescent="0.25">
      <c r="A403">
        <v>34</v>
      </c>
      <c r="B403" t="s">
        <v>178</v>
      </c>
      <c r="C403">
        <v>60</v>
      </c>
      <c r="D403" t="s">
        <v>105</v>
      </c>
      <c r="E403" t="s">
        <v>15</v>
      </c>
      <c r="F403">
        <v>96.224999999999994</v>
      </c>
      <c r="G403" t="s">
        <v>14</v>
      </c>
    </row>
    <row r="404" spans="1:7" x14ac:dyDescent="0.25">
      <c r="A404">
        <v>34</v>
      </c>
      <c r="B404" t="s">
        <v>178</v>
      </c>
      <c r="C404">
        <v>70</v>
      </c>
      <c r="D404" t="s">
        <v>20</v>
      </c>
      <c r="E404" t="s">
        <v>11</v>
      </c>
      <c r="F404">
        <v>1</v>
      </c>
      <c r="G404" t="s">
        <v>14</v>
      </c>
    </row>
    <row r="405" spans="1:7" x14ac:dyDescent="0.25">
      <c r="A405">
        <v>34</v>
      </c>
      <c r="B405" t="s">
        <v>178</v>
      </c>
      <c r="C405">
        <v>80</v>
      </c>
      <c r="D405" t="s">
        <v>143</v>
      </c>
      <c r="E405" t="s">
        <v>11</v>
      </c>
      <c r="F405">
        <v>4</v>
      </c>
      <c r="G405" t="s">
        <v>14</v>
      </c>
    </row>
    <row r="406" spans="1:7" x14ac:dyDescent="0.25">
      <c r="A406">
        <v>34</v>
      </c>
      <c r="B406" t="s">
        <v>178</v>
      </c>
      <c r="C406">
        <v>90</v>
      </c>
      <c r="D406" t="s">
        <v>21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178</v>
      </c>
      <c r="C407">
        <v>100</v>
      </c>
      <c r="D407" t="s">
        <v>22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178</v>
      </c>
      <c r="C408">
        <v>110</v>
      </c>
      <c r="D408" t="s">
        <v>144</v>
      </c>
      <c r="E408" t="s">
        <v>13</v>
      </c>
      <c r="F408">
        <v>0.70599999999999996</v>
      </c>
      <c r="G408" t="s">
        <v>14</v>
      </c>
    </row>
    <row r="409" spans="1:7" x14ac:dyDescent="0.25">
      <c r="A409">
        <v>34</v>
      </c>
      <c r="B409" t="s">
        <v>178</v>
      </c>
      <c r="C409">
        <v>120</v>
      </c>
      <c r="D409" t="s">
        <v>213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179</v>
      </c>
      <c r="C410">
        <v>10</v>
      </c>
      <c r="D410" t="s">
        <v>142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179</v>
      </c>
      <c r="C411">
        <v>20</v>
      </c>
      <c r="D411" t="s">
        <v>95</v>
      </c>
      <c r="E411" t="s">
        <v>96</v>
      </c>
      <c r="F411">
        <v>0.89500000000000002</v>
      </c>
      <c r="G411" t="s">
        <v>14</v>
      </c>
    </row>
    <row r="412" spans="1:7" x14ac:dyDescent="0.25">
      <c r="A412">
        <v>35</v>
      </c>
      <c r="B412" t="s">
        <v>179</v>
      </c>
      <c r="C412">
        <v>30</v>
      </c>
      <c r="D412" t="s">
        <v>106</v>
      </c>
      <c r="E412" t="s">
        <v>11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179</v>
      </c>
      <c r="C413">
        <v>40</v>
      </c>
      <c r="D413" t="s">
        <v>107</v>
      </c>
      <c r="E413" t="s">
        <v>15</v>
      </c>
      <c r="F413">
        <v>2.1589999999999998</v>
      </c>
      <c r="G413" t="s">
        <v>16</v>
      </c>
    </row>
    <row r="414" spans="1:7" x14ac:dyDescent="0.25">
      <c r="A414">
        <v>35</v>
      </c>
      <c r="B414" t="s">
        <v>179</v>
      </c>
      <c r="C414">
        <v>50</v>
      </c>
      <c r="D414" t="s">
        <v>104</v>
      </c>
      <c r="E414" t="s">
        <v>15</v>
      </c>
      <c r="F414">
        <v>16.256</v>
      </c>
      <c r="G414" t="s">
        <v>14</v>
      </c>
    </row>
    <row r="415" spans="1:7" x14ac:dyDescent="0.25">
      <c r="A415">
        <v>35</v>
      </c>
      <c r="B415" t="s">
        <v>179</v>
      </c>
      <c r="C415">
        <v>60</v>
      </c>
      <c r="D415" t="s">
        <v>105</v>
      </c>
      <c r="E415" t="s">
        <v>15</v>
      </c>
      <c r="F415">
        <v>99.974000000000004</v>
      </c>
      <c r="G415" t="s">
        <v>14</v>
      </c>
    </row>
    <row r="416" spans="1:7" x14ac:dyDescent="0.25">
      <c r="A416">
        <v>35</v>
      </c>
      <c r="B416" t="s">
        <v>179</v>
      </c>
      <c r="C416">
        <v>70</v>
      </c>
      <c r="D416" t="s">
        <v>20</v>
      </c>
      <c r="E416" t="s">
        <v>11</v>
      </c>
      <c r="F416">
        <v>1</v>
      </c>
      <c r="G416" t="s">
        <v>14</v>
      </c>
    </row>
    <row r="417" spans="1:7" x14ac:dyDescent="0.25">
      <c r="A417">
        <v>35</v>
      </c>
      <c r="B417" t="s">
        <v>179</v>
      </c>
      <c r="C417">
        <v>80</v>
      </c>
      <c r="D417" t="s">
        <v>143</v>
      </c>
      <c r="E417" t="s">
        <v>11</v>
      </c>
      <c r="F417">
        <v>4</v>
      </c>
      <c r="G417" t="s">
        <v>14</v>
      </c>
    </row>
    <row r="418" spans="1:7" x14ac:dyDescent="0.25">
      <c r="A418">
        <v>35</v>
      </c>
      <c r="B418" t="s">
        <v>179</v>
      </c>
      <c r="C418">
        <v>90</v>
      </c>
      <c r="D418" t="s">
        <v>21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179</v>
      </c>
      <c r="C419">
        <v>100</v>
      </c>
      <c r="D419" t="s">
        <v>22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179</v>
      </c>
      <c r="C420">
        <v>110</v>
      </c>
      <c r="D420" t="s">
        <v>144</v>
      </c>
      <c r="E420" t="s">
        <v>13</v>
      </c>
      <c r="F420">
        <v>0.70599999999999996</v>
      </c>
      <c r="G420" t="s">
        <v>14</v>
      </c>
    </row>
    <row r="421" spans="1:7" x14ac:dyDescent="0.25">
      <c r="A421">
        <v>35</v>
      </c>
      <c r="B421" t="s">
        <v>179</v>
      </c>
      <c r="C421">
        <v>120</v>
      </c>
      <c r="D421" t="s">
        <v>214</v>
      </c>
      <c r="E421" t="s">
        <v>11</v>
      </c>
      <c r="F421">
        <v>1</v>
      </c>
      <c r="G4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24"/>
  <sheetViews>
    <sheetView zoomScale="85" zoomScaleNormal="85" workbookViewId="0">
      <selection activeCell="C26" sqref="C26"/>
    </sheetView>
  </sheetViews>
  <sheetFormatPr defaultRowHeight="15" x14ac:dyDescent="0.25"/>
  <cols>
    <col min="1" max="1" width="7.42578125" bestFit="1" customWidth="1"/>
    <col min="2" max="2" width="9.7109375" customWidth="1"/>
    <col min="3" max="3" width="30.7109375" bestFit="1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25</v>
      </c>
      <c r="B1" s="52" t="s">
        <v>26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27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28</v>
      </c>
      <c r="C2" s="49" t="s">
        <v>29</v>
      </c>
      <c r="D2" s="49" t="s">
        <v>30</v>
      </c>
      <c r="E2" s="49" t="s">
        <v>29</v>
      </c>
      <c r="F2" s="49" t="s">
        <v>30</v>
      </c>
      <c r="G2" s="49" t="s">
        <v>28</v>
      </c>
      <c r="H2" s="49" t="s">
        <v>30</v>
      </c>
      <c r="I2" s="49" t="s">
        <v>30</v>
      </c>
      <c r="J2" s="49" t="s">
        <v>30</v>
      </c>
      <c r="K2" s="49" t="s">
        <v>30</v>
      </c>
      <c r="L2" s="49" t="s">
        <v>28</v>
      </c>
      <c r="M2" s="50" t="s">
        <v>31</v>
      </c>
      <c r="N2" s="17" t="s">
        <v>31</v>
      </c>
      <c r="O2" s="50" t="s">
        <v>31</v>
      </c>
      <c r="P2" s="50" t="s">
        <v>32</v>
      </c>
      <c r="Q2" s="50" t="s">
        <v>31</v>
      </c>
      <c r="R2" s="50" t="s">
        <v>32</v>
      </c>
      <c r="S2" s="50" t="s">
        <v>31</v>
      </c>
      <c r="T2" s="50" t="s">
        <v>31</v>
      </c>
      <c r="U2" s="50" t="s">
        <v>32</v>
      </c>
      <c r="V2" s="50" t="s">
        <v>31</v>
      </c>
      <c r="W2" s="50" t="s">
        <v>31</v>
      </c>
      <c r="X2" s="50" t="s">
        <v>31</v>
      </c>
      <c r="Y2" s="50" t="s">
        <v>32</v>
      </c>
      <c r="Z2" s="50" t="s">
        <v>33</v>
      </c>
      <c r="AA2" s="50" t="s">
        <v>31</v>
      </c>
      <c r="AB2" s="50" t="s">
        <v>31</v>
      </c>
      <c r="AC2" s="50" t="s">
        <v>31</v>
      </c>
      <c r="AD2" s="50" t="s">
        <v>31</v>
      </c>
      <c r="AE2" s="50" t="s">
        <v>31</v>
      </c>
      <c r="AF2" s="50" t="s">
        <v>31</v>
      </c>
      <c r="AG2" s="50" t="s">
        <v>33</v>
      </c>
      <c r="AH2" s="50" t="s">
        <v>33</v>
      </c>
      <c r="AI2" s="50" t="s">
        <v>33</v>
      </c>
      <c r="AJ2" s="50" t="s">
        <v>31</v>
      </c>
      <c r="AK2" s="50" t="s">
        <v>31</v>
      </c>
      <c r="AL2" s="50" t="s">
        <v>31</v>
      </c>
    </row>
    <row r="3" spans="1:38" x14ac:dyDescent="0.25">
      <c r="A3" s="51"/>
      <c r="B3" s="49" t="s">
        <v>34</v>
      </c>
      <c r="C3" s="49" t="s">
        <v>35</v>
      </c>
      <c r="D3" s="49" t="s">
        <v>36</v>
      </c>
      <c r="E3" s="49" t="s">
        <v>35</v>
      </c>
      <c r="F3" s="49" t="s">
        <v>37</v>
      </c>
      <c r="G3" s="49" t="s">
        <v>38</v>
      </c>
      <c r="H3" s="49" t="s">
        <v>39</v>
      </c>
      <c r="I3" s="49" t="s">
        <v>40</v>
      </c>
      <c r="J3" s="49" t="s">
        <v>35</v>
      </c>
      <c r="K3" s="49" t="s">
        <v>35</v>
      </c>
      <c r="L3" s="49" t="s">
        <v>41</v>
      </c>
      <c r="M3" s="50" t="s">
        <v>42</v>
      </c>
      <c r="N3" s="17" t="s">
        <v>35</v>
      </c>
      <c r="O3" s="50" t="s">
        <v>37</v>
      </c>
      <c r="P3" s="50" t="s">
        <v>43</v>
      </c>
      <c r="Q3" s="50" t="s">
        <v>40</v>
      </c>
      <c r="R3" s="50" t="s">
        <v>39</v>
      </c>
      <c r="S3" s="50" t="s">
        <v>44</v>
      </c>
      <c r="T3" s="50" t="s">
        <v>42</v>
      </c>
      <c r="U3" s="50" t="s">
        <v>45</v>
      </c>
      <c r="V3" s="50" t="s">
        <v>39</v>
      </c>
      <c r="W3" s="50" t="s">
        <v>40</v>
      </c>
      <c r="X3" s="50" t="s">
        <v>40</v>
      </c>
      <c r="Y3" s="50" t="s">
        <v>34</v>
      </c>
      <c r="Z3" s="50" t="s">
        <v>41</v>
      </c>
      <c r="AA3" s="50" t="s">
        <v>46</v>
      </c>
      <c r="AB3" s="50" t="s">
        <v>46</v>
      </c>
      <c r="AC3" s="50" t="s">
        <v>40</v>
      </c>
      <c r="AD3" s="50" t="s">
        <v>40</v>
      </c>
      <c r="AE3" s="50" t="s">
        <v>45</v>
      </c>
      <c r="AF3" s="50" t="s">
        <v>44</v>
      </c>
      <c r="AG3" s="50" t="s">
        <v>34</v>
      </c>
      <c r="AH3" s="50" t="s">
        <v>41</v>
      </c>
      <c r="AI3" s="50" t="s">
        <v>41</v>
      </c>
      <c r="AJ3" s="50" t="s">
        <v>35</v>
      </c>
      <c r="AK3" s="50" t="s">
        <v>37</v>
      </c>
      <c r="AL3" s="50" t="s">
        <v>47</v>
      </c>
    </row>
    <row r="4" spans="1:38" x14ac:dyDescent="0.25">
      <c r="A4" s="51"/>
      <c r="B4" s="18" t="s">
        <v>48</v>
      </c>
      <c r="C4" s="18" t="s">
        <v>49</v>
      </c>
      <c r="D4" s="49" t="s">
        <v>50</v>
      </c>
      <c r="E4" s="18" t="s">
        <v>3</v>
      </c>
      <c r="F4" s="49" t="s">
        <v>51</v>
      </c>
      <c r="G4" s="18" t="s">
        <v>52</v>
      </c>
      <c r="H4" s="18" t="s">
        <v>6</v>
      </c>
      <c r="I4" s="18" t="s">
        <v>53</v>
      </c>
      <c r="J4" s="49" t="s">
        <v>54</v>
      </c>
      <c r="K4" s="49" t="s">
        <v>55</v>
      </c>
      <c r="L4" s="49" t="s">
        <v>56</v>
      </c>
      <c r="M4" s="19" t="s">
        <v>57</v>
      </c>
      <c r="N4" s="20" t="s">
        <v>3</v>
      </c>
      <c r="O4" s="50" t="s">
        <v>51</v>
      </c>
      <c r="P4" s="50" t="s">
        <v>58</v>
      </c>
      <c r="Q4" s="50" t="s">
        <v>59</v>
      </c>
      <c r="R4" s="50" t="s">
        <v>4</v>
      </c>
      <c r="S4" s="50" t="s">
        <v>60</v>
      </c>
      <c r="T4" s="50" t="s">
        <v>61</v>
      </c>
      <c r="U4" s="50" t="s">
        <v>62</v>
      </c>
      <c r="V4" s="50" t="s">
        <v>6</v>
      </c>
      <c r="W4" s="50" t="s">
        <v>63</v>
      </c>
      <c r="X4" s="50" t="s">
        <v>64</v>
      </c>
      <c r="Y4" s="50" t="s">
        <v>65</v>
      </c>
      <c r="Z4" s="50" t="s">
        <v>66</v>
      </c>
      <c r="AA4" s="50" t="s">
        <v>67</v>
      </c>
      <c r="AB4" s="50" t="s">
        <v>68</v>
      </c>
      <c r="AC4" s="50" t="s">
        <v>69</v>
      </c>
      <c r="AD4" s="50" t="s">
        <v>70</v>
      </c>
      <c r="AE4" s="50" t="s">
        <v>71</v>
      </c>
      <c r="AF4" s="50" t="s">
        <v>72</v>
      </c>
      <c r="AG4" s="50" t="s">
        <v>73</v>
      </c>
      <c r="AH4" s="50" t="s">
        <v>74</v>
      </c>
      <c r="AI4" s="50" t="s">
        <v>75</v>
      </c>
      <c r="AJ4" s="50" t="s">
        <v>76</v>
      </c>
      <c r="AK4" s="50" t="s">
        <v>77</v>
      </c>
      <c r="AL4" s="50" t="s">
        <v>78</v>
      </c>
    </row>
    <row r="5" spans="1:38" x14ac:dyDescent="0.25">
      <c r="A5" s="3">
        <v>1</v>
      </c>
      <c r="B5" s="3" t="s">
        <v>88</v>
      </c>
      <c r="C5" s="3" t="s">
        <v>145</v>
      </c>
      <c r="D5" s="3"/>
      <c r="E5" s="3" t="s">
        <v>145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108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145</v>
      </c>
      <c r="D6" s="3"/>
      <c r="E6" s="3" t="s">
        <v>145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95</v>
      </c>
      <c r="O6" s="3"/>
      <c r="P6" s="3"/>
      <c r="Q6" s="3">
        <v>0.313</v>
      </c>
      <c r="R6" s="3" t="s">
        <v>96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145</v>
      </c>
      <c r="D7" s="3"/>
      <c r="E7" s="3" t="s">
        <v>145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106</v>
      </c>
      <c r="O7" s="3"/>
      <c r="P7" s="3"/>
      <c r="Q7" s="3">
        <v>0.78700000000000003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145</v>
      </c>
      <c r="D8" s="3"/>
      <c r="E8" s="3" t="s">
        <v>145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107</v>
      </c>
      <c r="O8" s="3"/>
      <c r="P8" s="3"/>
      <c r="Q8" s="3">
        <v>0.78700000000000003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145</v>
      </c>
      <c r="D9" s="3"/>
      <c r="E9" s="3" t="s">
        <v>145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104</v>
      </c>
      <c r="O9" s="3"/>
      <c r="P9" s="3"/>
      <c r="Q9" s="3">
        <v>10.77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145</v>
      </c>
      <c r="D10" s="3"/>
      <c r="E10" s="3" t="s">
        <v>145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105</v>
      </c>
      <c r="O10" s="3"/>
      <c r="P10" s="3"/>
      <c r="Q10" s="3">
        <v>66.233000000000004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145</v>
      </c>
      <c r="D11" s="3"/>
      <c r="E11" s="3" t="s">
        <v>145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145</v>
      </c>
      <c r="D12" s="3"/>
      <c r="E12" s="3" t="s">
        <v>145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143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145</v>
      </c>
      <c r="D13" s="3"/>
      <c r="E13" s="3" t="s">
        <v>145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145</v>
      </c>
      <c r="D14" s="3"/>
      <c r="E14" s="3" t="s">
        <v>145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145</v>
      </c>
      <c r="D15" s="3"/>
      <c r="E15" s="3" t="s">
        <v>145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144</v>
      </c>
      <c r="O15" s="3"/>
      <c r="P15" s="3"/>
      <c r="Q15" s="3">
        <v>0.3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145</v>
      </c>
      <c r="D16" s="3"/>
      <c r="E16" s="3" t="s">
        <v>145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180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88</v>
      </c>
      <c r="C17" s="3" t="s">
        <v>146</v>
      </c>
      <c r="D17" s="3"/>
      <c r="E17" s="3" t="s">
        <v>146</v>
      </c>
      <c r="F17" s="3"/>
      <c r="G17" s="3"/>
      <c r="H17" s="3"/>
      <c r="I17" s="3"/>
      <c r="J17" s="3"/>
      <c r="K17" s="3"/>
      <c r="L17" s="3" t="s">
        <v>89</v>
      </c>
      <c r="M17" s="3">
        <v>10</v>
      </c>
      <c r="N17" s="3" t="s">
        <v>109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88</v>
      </c>
      <c r="C18" s="3" t="s">
        <v>146</v>
      </c>
      <c r="D18" s="3"/>
      <c r="E18" s="3" t="s">
        <v>146</v>
      </c>
      <c r="F18" s="3"/>
      <c r="G18" s="3"/>
      <c r="H18" s="3"/>
      <c r="I18" s="3"/>
      <c r="J18" s="3"/>
      <c r="K18" s="3"/>
      <c r="L18" s="3" t="s">
        <v>89</v>
      </c>
      <c r="M18" s="3">
        <v>20</v>
      </c>
      <c r="N18" s="3" t="s">
        <v>95</v>
      </c>
      <c r="O18" s="3"/>
      <c r="P18" s="3"/>
      <c r="Q18" s="3">
        <v>0.377</v>
      </c>
      <c r="R18" s="3" t="s">
        <v>96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88</v>
      </c>
      <c r="C19" s="3" t="s">
        <v>146</v>
      </c>
      <c r="D19" s="3"/>
      <c r="E19" s="3" t="s">
        <v>146</v>
      </c>
      <c r="F19" s="3"/>
      <c r="G19" s="3"/>
      <c r="H19" s="3"/>
      <c r="I19" s="3"/>
      <c r="J19" s="3"/>
      <c r="K19" s="3"/>
      <c r="L19" s="3" t="s">
        <v>89</v>
      </c>
      <c r="M19" s="3">
        <v>30</v>
      </c>
      <c r="N19" s="3" t="s">
        <v>106</v>
      </c>
      <c r="O19" s="3"/>
      <c r="P19" s="3"/>
      <c r="Q19" s="3">
        <v>0.94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146</v>
      </c>
      <c r="D20" s="3"/>
      <c r="E20" s="3" t="s">
        <v>146</v>
      </c>
      <c r="F20" s="3"/>
      <c r="G20" s="3"/>
      <c r="H20" s="3"/>
      <c r="I20" s="3"/>
      <c r="J20" s="3"/>
      <c r="K20" s="3"/>
      <c r="L20" s="3" t="s">
        <v>89</v>
      </c>
      <c r="M20" s="3">
        <v>40</v>
      </c>
      <c r="N20" s="3" t="s">
        <v>107</v>
      </c>
      <c r="O20" s="3"/>
      <c r="P20" s="3"/>
      <c r="Q20" s="3">
        <v>0.94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146</v>
      </c>
      <c r="D21" s="3"/>
      <c r="E21" s="3" t="s">
        <v>146</v>
      </c>
      <c r="F21" s="3"/>
      <c r="G21" s="3"/>
      <c r="H21" s="3"/>
      <c r="I21" s="3"/>
      <c r="J21" s="3"/>
      <c r="K21" s="3"/>
      <c r="L21" s="3" t="s">
        <v>89</v>
      </c>
      <c r="M21" s="3">
        <v>50</v>
      </c>
      <c r="N21" s="3" t="s">
        <v>104</v>
      </c>
      <c r="O21" s="3"/>
      <c r="P21" s="3"/>
      <c r="Q21" s="3">
        <v>11.379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146</v>
      </c>
      <c r="D22" s="3"/>
      <c r="E22" s="3" t="s">
        <v>146</v>
      </c>
      <c r="F22" s="3"/>
      <c r="G22" s="3"/>
      <c r="H22" s="3"/>
      <c r="I22" s="3"/>
      <c r="J22" s="3"/>
      <c r="K22" s="3"/>
      <c r="L22" s="3" t="s">
        <v>89</v>
      </c>
      <c r="M22" s="3">
        <v>60</v>
      </c>
      <c r="N22" s="3" t="s">
        <v>105</v>
      </c>
      <c r="O22" s="3"/>
      <c r="P22" s="3"/>
      <c r="Q22" s="3">
        <v>69.981999999999999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146</v>
      </c>
      <c r="D23" s="3"/>
      <c r="E23" s="3" t="s">
        <v>146</v>
      </c>
      <c r="F23" s="3"/>
      <c r="G23" s="3"/>
      <c r="H23" s="3"/>
      <c r="I23" s="3"/>
      <c r="J23" s="3"/>
      <c r="K23" s="3"/>
      <c r="L23" s="3" t="s">
        <v>89</v>
      </c>
      <c r="M23" s="3">
        <v>70</v>
      </c>
      <c r="N23" s="3" t="s">
        <v>20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146</v>
      </c>
      <c r="D24" s="3"/>
      <c r="E24" s="3" t="s">
        <v>146</v>
      </c>
      <c r="F24" s="3"/>
      <c r="G24" s="3"/>
      <c r="H24" s="3"/>
      <c r="I24" s="3"/>
      <c r="J24" s="3"/>
      <c r="K24" s="3"/>
      <c r="L24" s="3" t="s">
        <v>89</v>
      </c>
      <c r="M24" s="3">
        <v>80</v>
      </c>
      <c r="N24" s="3" t="s">
        <v>143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146</v>
      </c>
      <c r="D25" s="3"/>
      <c r="E25" s="3" t="s">
        <v>146</v>
      </c>
      <c r="F25" s="3"/>
      <c r="G25" s="3"/>
      <c r="H25" s="3"/>
      <c r="I25" s="3"/>
      <c r="J25" s="3"/>
      <c r="K25" s="3"/>
      <c r="L25" s="3" t="s">
        <v>89</v>
      </c>
      <c r="M25" s="3">
        <v>90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146</v>
      </c>
      <c r="D26" s="3"/>
      <c r="E26" s="3" t="s">
        <v>146</v>
      </c>
      <c r="F26" s="3"/>
      <c r="G26" s="3"/>
      <c r="H26" s="3"/>
      <c r="I26" s="3"/>
      <c r="J26" s="3"/>
      <c r="K26" s="3"/>
      <c r="L26" s="3" t="s">
        <v>89</v>
      </c>
      <c r="M26" s="3">
        <v>100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146</v>
      </c>
      <c r="D27" s="3"/>
      <c r="E27" s="3" t="s">
        <v>146</v>
      </c>
      <c r="F27" s="3"/>
      <c r="G27" s="3"/>
      <c r="H27" s="3"/>
      <c r="I27" s="3"/>
      <c r="J27" s="3"/>
      <c r="K27" s="3"/>
      <c r="L27" s="3" t="s">
        <v>89</v>
      </c>
      <c r="M27" s="3">
        <v>110</v>
      </c>
      <c r="N27" s="3" t="s">
        <v>144</v>
      </c>
      <c r="O27" s="3"/>
      <c r="P27" s="3"/>
      <c r="Q27" s="3">
        <v>0.34499999999999997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146</v>
      </c>
      <c r="D28" s="3"/>
      <c r="E28" s="3" t="s">
        <v>146</v>
      </c>
      <c r="F28" s="3"/>
      <c r="G28" s="3"/>
      <c r="H28" s="3"/>
      <c r="I28" s="3"/>
      <c r="J28" s="3"/>
      <c r="K28" s="3"/>
      <c r="L28" s="3" t="s">
        <v>89</v>
      </c>
      <c r="M28" s="3">
        <v>120</v>
      </c>
      <c r="N28" s="3" t="s">
        <v>181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88</v>
      </c>
      <c r="C29" s="3" t="s">
        <v>147</v>
      </c>
      <c r="D29" s="3"/>
      <c r="E29" s="3" t="s">
        <v>147</v>
      </c>
      <c r="F29" s="3"/>
      <c r="G29" s="3"/>
      <c r="H29" s="3"/>
      <c r="I29" s="3"/>
      <c r="J29" s="3"/>
      <c r="K29" s="3"/>
      <c r="L29" s="3" t="s">
        <v>89</v>
      </c>
      <c r="M29" s="3">
        <v>10</v>
      </c>
      <c r="N29" s="3" t="s">
        <v>110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88</v>
      </c>
      <c r="C30" s="3" t="s">
        <v>147</v>
      </c>
      <c r="D30" s="3"/>
      <c r="E30" s="3" t="s">
        <v>147</v>
      </c>
      <c r="F30" s="3"/>
      <c r="G30" s="3"/>
      <c r="H30" s="3"/>
      <c r="I30" s="3"/>
      <c r="J30" s="3"/>
      <c r="K30" s="3"/>
      <c r="L30" s="3" t="s">
        <v>89</v>
      </c>
      <c r="M30" s="3">
        <v>20</v>
      </c>
      <c r="N30" s="3" t="s">
        <v>95</v>
      </c>
      <c r="O30" s="3"/>
      <c r="P30" s="3"/>
      <c r="Q30" s="3">
        <v>0.442</v>
      </c>
      <c r="R30" s="3" t="s">
        <v>96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88</v>
      </c>
      <c r="C31" s="3" t="s">
        <v>147</v>
      </c>
      <c r="D31" s="3"/>
      <c r="E31" s="3" t="s">
        <v>147</v>
      </c>
      <c r="F31" s="3"/>
      <c r="G31" s="3"/>
      <c r="H31" s="3"/>
      <c r="I31" s="3"/>
      <c r="J31" s="3"/>
      <c r="K31" s="3"/>
      <c r="L31" s="3" t="s">
        <v>89</v>
      </c>
      <c r="M31" s="3">
        <v>30</v>
      </c>
      <c r="N31" s="3" t="s">
        <v>106</v>
      </c>
      <c r="O31" s="3"/>
      <c r="P31" s="3"/>
      <c r="Q31" s="3">
        <v>1.0920000000000001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88</v>
      </c>
      <c r="C32" s="3" t="s">
        <v>147</v>
      </c>
      <c r="D32" s="3"/>
      <c r="E32" s="3" t="s">
        <v>147</v>
      </c>
      <c r="F32" s="3"/>
      <c r="G32" s="3"/>
      <c r="H32" s="3"/>
      <c r="I32" s="3"/>
      <c r="J32" s="3"/>
      <c r="K32" s="3"/>
      <c r="L32" s="3" t="s">
        <v>89</v>
      </c>
      <c r="M32" s="3">
        <v>40</v>
      </c>
      <c r="N32" s="3" t="s">
        <v>107</v>
      </c>
      <c r="O32" s="3"/>
      <c r="P32" s="3"/>
      <c r="Q32" s="3">
        <v>1.0920000000000001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88</v>
      </c>
      <c r="C33" s="3" t="s">
        <v>147</v>
      </c>
      <c r="D33" s="3"/>
      <c r="E33" s="3" t="s">
        <v>147</v>
      </c>
      <c r="F33" s="3"/>
      <c r="G33" s="3"/>
      <c r="H33" s="3"/>
      <c r="I33" s="3"/>
      <c r="J33" s="3"/>
      <c r="K33" s="3"/>
      <c r="L33" s="3" t="s">
        <v>89</v>
      </c>
      <c r="M33" s="3">
        <v>50</v>
      </c>
      <c r="N33" s="3" t="s">
        <v>104</v>
      </c>
      <c r="O33" s="3"/>
      <c r="P33" s="3"/>
      <c r="Q33" s="3">
        <v>11.989000000000001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88</v>
      </c>
      <c r="C34" s="3" t="s">
        <v>147</v>
      </c>
      <c r="D34" s="3"/>
      <c r="E34" s="3" t="s">
        <v>147</v>
      </c>
      <c r="F34" s="3"/>
      <c r="G34" s="3"/>
      <c r="H34" s="3"/>
      <c r="I34" s="3"/>
      <c r="J34" s="3"/>
      <c r="K34" s="3"/>
      <c r="L34" s="3" t="s">
        <v>89</v>
      </c>
      <c r="M34" s="3">
        <v>60</v>
      </c>
      <c r="N34" s="3" t="s">
        <v>105</v>
      </c>
      <c r="O34" s="3"/>
      <c r="P34" s="3"/>
      <c r="Q34" s="3">
        <v>73.730999999999995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147</v>
      </c>
      <c r="D35" s="3"/>
      <c r="E35" s="3" t="s">
        <v>147</v>
      </c>
      <c r="F35" s="3"/>
      <c r="G35" s="3"/>
      <c r="H35" s="3"/>
      <c r="I35" s="3"/>
      <c r="J35" s="3"/>
      <c r="K35" s="3"/>
      <c r="L35" s="3" t="s">
        <v>89</v>
      </c>
      <c r="M35" s="3">
        <v>70</v>
      </c>
      <c r="N35" s="3" t="s">
        <v>20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147</v>
      </c>
      <c r="D36" s="3"/>
      <c r="E36" s="3" t="s">
        <v>147</v>
      </c>
      <c r="F36" s="3"/>
      <c r="G36" s="3"/>
      <c r="H36" s="3"/>
      <c r="I36" s="3"/>
      <c r="J36" s="3"/>
      <c r="K36" s="3"/>
      <c r="L36" s="3" t="s">
        <v>89</v>
      </c>
      <c r="M36" s="3">
        <v>80</v>
      </c>
      <c r="N36" s="3" t="s">
        <v>143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147</v>
      </c>
      <c r="D37" s="3"/>
      <c r="E37" s="3" t="s">
        <v>147</v>
      </c>
      <c r="F37" s="3"/>
      <c r="G37" s="3"/>
      <c r="H37" s="3"/>
      <c r="I37" s="3"/>
      <c r="J37" s="3"/>
      <c r="K37" s="3"/>
      <c r="L37" s="3" t="s">
        <v>89</v>
      </c>
      <c r="M37" s="3">
        <v>90</v>
      </c>
      <c r="N37" s="3" t="s">
        <v>21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147</v>
      </c>
      <c r="D38" s="3"/>
      <c r="E38" s="3" t="s">
        <v>147</v>
      </c>
      <c r="F38" s="3"/>
      <c r="G38" s="3"/>
      <c r="H38" s="3"/>
      <c r="I38" s="3"/>
      <c r="J38" s="3"/>
      <c r="K38" s="3"/>
      <c r="L38" s="3" t="s">
        <v>89</v>
      </c>
      <c r="M38" s="3">
        <v>100</v>
      </c>
      <c r="N38" s="3" t="s">
        <v>22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147</v>
      </c>
      <c r="D39" s="3"/>
      <c r="E39" s="3" t="s">
        <v>147</v>
      </c>
      <c r="F39" s="3"/>
      <c r="G39" s="3"/>
      <c r="H39" s="3"/>
      <c r="I39" s="3"/>
      <c r="J39" s="3"/>
      <c r="K39" s="3"/>
      <c r="L39" s="3" t="s">
        <v>89</v>
      </c>
      <c r="M39" s="3">
        <v>110</v>
      </c>
      <c r="N39" s="3" t="s">
        <v>144</v>
      </c>
      <c r="O39" s="3"/>
      <c r="P39" s="3"/>
      <c r="Q39" s="3">
        <v>0.39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147</v>
      </c>
      <c r="D40" s="3"/>
      <c r="E40" s="3" t="s">
        <v>147</v>
      </c>
      <c r="F40" s="3"/>
      <c r="G40" s="3"/>
      <c r="H40" s="3"/>
      <c r="I40" s="3"/>
      <c r="J40" s="3"/>
      <c r="K40" s="3"/>
      <c r="L40" s="3" t="s">
        <v>89</v>
      </c>
      <c r="M40" s="3">
        <v>120</v>
      </c>
      <c r="N40" s="3" t="s">
        <v>182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88</v>
      </c>
      <c r="C41" s="3" t="s">
        <v>148</v>
      </c>
      <c r="D41" s="3"/>
      <c r="E41" s="3" t="s">
        <v>148</v>
      </c>
      <c r="F41" s="3"/>
      <c r="G41" s="3"/>
      <c r="H41" s="3"/>
      <c r="I41" s="3"/>
      <c r="J41" s="3"/>
      <c r="K41" s="3"/>
      <c r="L41" s="3" t="s">
        <v>89</v>
      </c>
      <c r="M41" s="3">
        <v>10</v>
      </c>
      <c r="N41" s="3" t="s">
        <v>111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88</v>
      </c>
      <c r="C42" s="3" t="s">
        <v>148</v>
      </c>
      <c r="D42" s="3"/>
      <c r="E42" s="3" t="s">
        <v>148</v>
      </c>
      <c r="F42" s="3"/>
      <c r="G42" s="3"/>
      <c r="H42" s="3"/>
      <c r="I42" s="3"/>
      <c r="J42" s="3"/>
      <c r="K42" s="3"/>
      <c r="L42" s="3" t="s">
        <v>89</v>
      </c>
      <c r="M42" s="3">
        <v>20</v>
      </c>
      <c r="N42" s="3" t="s">
        <v>95</v>
      </c>
      <c r="O42" s="3"/>
      <c r="P42" s="3"/>
      <c r="Q42" s="3">
        <v>0.50700000000000001</v>
      </c>
      <c r="R42" s="3" t="s">
        <v>96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88</v>
      </c>
      <c r="C43" s="3" t="s">
        <v>148</v>
      </c>
      <c r="D43" s="3"/>
      <c r="E43" s="3" t="s">
        <v>148</v>
      </c>
      <c r="F43" s="3"/>
      <c r="G43" s="3"/>
      <c r="H43" s="3"/>
      <c r="I43" s="3"/>
      <c r="J43" s="3"/>
      <c r="K43" s="3"/>
      <c r="L43" s="3" t="s">
        <v>89</v>
      </c>
      <c r="M43" s="3">
        <v>30</v>
      </c>
      <c r="N43" s="3" t="s">
        <v>106</v>
      </c>
      <c r="O43" s="3"/>
      <c r="P43" s="3"/>
      <c r="Q43" s="3">
        <v>1.2450000000000001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88</v>
      </c>
      <c r="C44" s="3" t="s">
        <v>148</v>
      </c>
      <c r="D44" s="3"/>
      <c r="E44" s="3" t="s">
        <v>148</v>
      </c>
      <c r="F44" s="3"/>
      <c r="G44" s="3"/>
      <c r="H44" s="3"/>
      <c r="I44" s="3"/>
      <c r="J44" s="3"/>
      <c r="K44" s="3"/>
      <c r="L44" s="3" t="s">
        <v>89</v>
      </c>
      <c r="M44" s="3">
        <v>40</v>
      </c>
      <c r="N44" s="3" t="s">
        <v>107</v>
      </c>
      <c r="O44" s="3"/>
      <c r="P44" s="3"/>
      <c r="Q44" s="3">
        <v>1.2450000000000001</v>
      </c>
      <c r="R44" s="3" t="s">
        <v>15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88</v>
      </c>
      <c r="C45" s="3" t="s">
        <v>148</v>
      </c>
      <c r="D45" s="3"/>
      <c r="E45" s="3" t="s">
        <v>148</v>
      </c>
      <c r="F45" s="3"/>
      <c r="G45" s="3"/>
      <c r="H45" s="3"/>
      <c r="I45" s="3"/>
      <c r="J45" s="3"/>
      <c r="K45" s="3"/>
      <c r="L45" s="3" t="s">
        <v>89</v>
      </c>
      <c r="M45" s="3">
        <v>50</v>
      </c>
      <c r="N45" s="3" t="s">
        <v>104</v>
      </c>
      <c r="O45" s="3"/>
      <c r="P45" s="3"/>
      <c r="Q45" s="3">
        <v>12.598000000000001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88</v>
      </c>
      <c r="C46" s="3" t="s">
        <v>148</v>
      </c>
      <c r="D46" s="3"/>
      <c r="E46" s="3" t="s">
        <v>148</v>
      </c>
      <c r="F46" s="3"/>
      <c r="G46" s="3"/>
      <c r="H46" s="3"/>
      <c r="I46" s="3"/>
      <c r="J46" s="3"/>
      <c r="K46" s="3"/>
      <c r="L46" s="3" t="s">
        <v>89</v>
      </c>
      <c r="M46" s="3">
        <v>60</v>
      </c>
      <c r="N46" s="3" t="s">
        <v>105</v>
      </c>
      <c r="O46" s="3"/>
      <c r="P46" s="3"/>
      <c r="Q46" s="3">
        <v>77.48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88</v>
      </c>
      <c r="C47" s="3" t="s">
        <v>148</v>
      </c>
      <c r="D47" s="3"/>
      <c r="E47" s="3" t="s">
        <v>148</v>
      </c>
      <c r="F47" s="3"/>
      <c r="G47" s="3"/>
      <c r="H47" s="3"/>
      <c r="I47" s="3"/>
      <c r="J47" s="3"/>
      <c r="K47" s="3"/>
      <c r="L47" s="3" t="s">
        <v>89</v>
      </c>
      <c r="M47" s="3">
        <v>70</v>
      </c>
      <c r="N47" s="3" t="s">
        <v>20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88</v>
      </c>
      <c r="C48" s="3" t="s">
        <v>148</v>
      </c>
      <c r="D48" s="3"/>
      <c r="E48" s="3" t="s">
        <v>148</v>
      </c>
      <c r="F48" s="3"/>
      <c r="G48" s="3"/>
      <c r="H48" s="3"/>
      <c r="I48" s="3"/>
      <c r="J48" s="3"/>
      <c r="K48" s="3"/>
      <c r="L48" s="3" t="s">
        <v>89</v>
      </c>
      <c r="M48" s="3">
        <v>80</v>
      </c>
      <c r="N48" s="3" t="s">
        <v>143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88</v>
      </c>
      <c r="C49" s="3" t="s">
        <v>148</v>
      </c>
      <c r="D49" s="3"/>
      <c r="E49" s="3" t="s">
        <v>148</v>
      </c>
      <c r="F49" s="3"/>
      <c r="G49" s="3"/>
      <c r="H49" s="3"/>
      <c r="I49" s="3"/>
      <c r="J49" s="3"/>
      <c r="K49" s="3"/>
      <c r="L49" s="3" t="s">
        <v>89</v>
      </c>
      <c r="M49" s="3">
        <v>90</v>
      </c>
      <c r="N49" s="3" t="s">
        <v>21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148</v>
      </c>
      <c r="D50" s="3"/>
      <c r="E50" s="3" t="s">
        <v>148</v>
      </c>
      <c r="F50" s="3"/>
      <c r="G50" s="3"/>
      <c r="H50" s="3"/>
      <c r="I50" s="3"/>
      <c r="J50" s="3"/>
      <c r="K50" s="3"/>
      <c r="L50" s="3" t="s">
        <v>89</v>
      </c>
      <c r="M50" s="3">
        <v>100</v>
      </c>
      <c r="N50" s="3" t="s">
        <v>22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148</v>
      </c>
      <c r="D51" s="3"/>
      <c r="E51" s="3" t="s">
        <v>148</v>
      </c>
      <c r="F51" s="3"/>
      <c r="G51" s="3"/>
      <c r="H51" s="3"/>
      <c r="I51" s="3"/>
      <c r="J51" s="3"/>
      <c r="K51" s="3"/>
      <c r="L51" s="3" t="s">
        <v>89</v>
      </c>
      <c r="M51" s="3">
        <v>110</v>
      </c>
      <c r="N51" s="3" t="s">
        <v>144</v>
      </c>
      <c r="O51" s="3"/>
      <c r="P51" s="3"/>
      <c r="Q51" s="3">
        <v>0.435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148</v>
      </c>
      <c r="D52" s="3"/>
      <c r="E52" s="3" t="s">
        <v>148</v>
      </c>
      <c r="F52" s="3"/>
      <c r="G52" s="3"/>
      <c r="H52" s="3"/>
      <c r="I52" s="3"/>
      <c r="J52" s="3"/>
      <c r="K52" s="3"/>
      <c r="L52" s="3" t="s">
        <v>89</v>
      </c>
      <c r="M52" s="3">
        <v>120</v>
      </c>
      <c r="N52" s="3" t="s">
        <v>183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88</v>
      </c>
      <c r="C53" s="3" t="s">
        <v>149</v>
      </c>
      <c r="D53" s="3"/>
      <c r="E53" s="3" t="s">
        <v>149</v>
      </c>
      <c r="F53" s="3"/>
      <c r="G53" s="3"/>
      <c r="H53" s="3"/>
      <c r="I53" s="3"/>
      <c r="J53" s="3"/>
      <c r="K53" s="3"/>
      <c r="L53" s="3" t="s">
        <v>89</v>
      </c>
      <c r="M53" s="3">
        <v>10</v>
      </c>
      <c r="N53" s="3" t="s">
        <v>112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88</v>
      </c>
      <c r="C54" s="3" t="s">
        <v>149</v>
      </c>
      <c r="D54" s="3"/>
      <c r="E54" s="3" t="s">
        <v>149</v>
      </c>
      <c r="F54" s="3"/>
      <c r="G54" s="3"/>
      <c r="H54" s="3"/>
      <c r="I54" s="3"/>
      <c r="J54" s="3"/>
      <c r="K54" s="3"/>
      <c r="L54" s="3" t="s">
        <v>89</v>
      </c>
      <c r="M54" s="3">
        <v>20</v>
      </c>
      <c r="N54" s="3" t="s">
        <v>95</v>
      </c>
      <c r="O54" s="3"/>
      <c r="P54" s="3"/>
      <c r="Q54" s="3">
        <v>0.63600000000000001</v>
      </c>
      <c r="R54" s="3" t="s">
        <v>96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88</v>
      </c>
      <c r="C55" s="3" t="s">
        <v>149</v>
      </c>
      <c r="D55" s="3"/>
      <c r="E55" s="3" t="s">
        <v>149</v>
      </c>
      <c r="F55" s="3"/>
      <c r="G55" s="3"/>
      <c r="H55" s="3"/>
      <c r="I55" s="3"/>
      <c r="J55" s="3"/>
      <c r="K55" s="3"/>
      <c r="L55" s="3" t="s">
        <v>89</v>
      </c>
      <c r="M55" s="3">
        <v>30</v>
      </c>
      <c r="N55" s="3" t="s">
        <v>106</v>
      </c>
      <c r="O55" s="3"/>
      <c r="P55" s="3"/>
      <c r="Q55" s="3">
        <v>1.5489999999999999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88</v>
      </c>
      <c r="C56" s="3" t="s">
        <v>149</v>
      </c>
      <c r="D56" s="3"/>
      <c r="E56" s="3" t="s">
        <v>149</v>
      </c>
      <c r="F56" s="3"/>
      <c r="G56" s="3"/>
      <c r="H56" s="3"/>
      <c r="I56" s="3"/>
      <c r="J56" s="3"/>
      <c r="K56" s="3"/>
      <c r="L56" s="3" t="s">
        <v>89</v>
      </c>
      <c r="M56" s="3">
        <v>40</v>
      </c>
      <c r="N56" s="3" t="s">
        <v>107</v>
      </c>
      <c r="O56" s="3"/>
      <c r="P56" s="3"/>
      <c r="Q56" s="3">
        <v>1.5489999999999999</v>
      </c>
      <c r="R56" s="3" t="s">
        <v>15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88</v>
      </c>
      <c r="C57" s="3" t="s">
        <v>149</v>
      </c>
      <c r="D57" s="3"/>
      <c r="E57" s="3" t="s">
        <v>149</v>
      </c>
      <c r="F57" s="3"/>
      <c r="G57" s="3"/>
      <c r="H57" s="3"/>
      <c r="I57" s="3"/>
      <c r="J57" s="3"/>
      <c r="K57" s="3"/>
      <c r="L57" s="3" t="s">
        <v>89</v>
      </c>
      <c r="M57" s="3">
        <v>50</v>
      </c>
      <c r="N57" s="3" t="s">
        <v>104</v>
      </c>
      <c r="O57" s="3"/>
      <c r="P57" s="3"/>
      <c r="Q57" s="3">
        <v>13.818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88</v>
      </c>
      <c r="C58" s="3" t="s">
        <v>149</v>
      </c>
      <c r="D58" s="3"/>
      <c r="E58" s="3" t="s">
        <v>149</v>
      </c>
      <c r="F58" s="3"/>
      <c r="G58" s="3"/>
      <c r="H58" s="3"/>
      <c r="I58" s="3"/>
      <c r="J58" s="3"/>
      <c r="K58" s="3"/>
      <c r="L58" s="3" t="s">
        <v>89</v>
      </c>
      <c r="M58" s="3">
        <v>60</v>
      </c>
      <c r="N58" s="3" t="s">
        <v>105</v>
      </c>
      <c r="O58" s="3"/>
      <c r="P58" s="3"/>
      <c r="Q58" s="3">
        <v>84.977999999999994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88</v>
      </c>
      <c r="C59" s="3" t="s">
        <v>149</v>
      </c>
      <c r="D59" s="3"/>
      <c r="E59" s="3" t="s">
        <v>149</v>
      </c>
      <c r="F59" s="3"/>
      <c r="G59" s="3"/>
      <c r="H59" s="3"/>
      <c r="I59" s="3"/>
      <c r="J59" s="3"/>
      <c r="K59" s="3"/>
      <c r="L59" s="3" t="s">
        <v>89</v>
      </c>
      <c r="M59" s="3">
        <v>70</v>
      </c>
      <c r="N59" s="3" t="s">
        <v>20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88</v>
      </c>
      <c r="C60" s="3" t="s">
        <v>149</v>
      </c>
      <c r="D60" s="3"/>
      <c r="E60" s="3" t="s">
        <v>149</v>
      </c>
      <c r="F60" s="3"/>
      <c r="G60" s="3"/>
      <c r="H60" s="3"/>
      <c r="I60" s="3"/>
      <c r="J60" s="3"/>
      <c r="K60" s="3"/>
      <c r="L60" s="3" t="s">
        <v>89</v>
      </c>
      <c r="M60" s="3">
        <v>80</v>
      </c>
      <c r="N60" s="3" t="s">
        <v>143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88</v>
      </c>
      <c r="C61" s="3" t="s">
        <v>149</v>
      </c>
      <c r="D61" s="3"/>
      <c r="E61" s="3" t="s">
        <v>149</v>
      </c>
      <c r="F61" s="3"/>
      <c r="G61" s="3"/>
      <c r="H61" s="3"/>
      <c r="I61" s="3"/>
      <c r="J61" s="3"/>
      <c r="K61" s="3"/>
      <c r="L61" s="3" t="s">
        <v>89</v>
      </c>
      <c r="M61" s="3">
        <v>90</v>
      </c>
      <c r="N61" s="3" t="s">
        <v>21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88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89</v>
      </c>
      <c r="M62" s="3">
        <v>100</v>
      </c>
      <c r="N62" s="3" t="s">
        <v>22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88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89</v>
      </c>
      <c r="M63" s="3">
        <v>110</v>
      </c>
      <c r="N63" s="3" t="s">
        <v>144</v>
      </c>
      <c r="O63" s="3"/>
      <c r="P63" s="3"/>
      <c r="Q63" s="3">
        <v>0.52500000000000002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88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89</v>
      </c>
      <c r="M64" s="3">
        <v>120</v>
      </c>
      <c r="N64" s="3" t="s">
        <v>184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88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89</v>
      </c>
      <c r="M65" s="3">
        <v>10</v>
      </c>
      <c r="N65" s="3" t="s">
        <v>113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88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89</v>
      </c>
      <c r="M66" s="3">
        <v>20</v>
      </c>
      <c r="N66" s="3" t="s">
        <v>95</v>
      </c>
      <c r="O66" s="3"/>
      <c r="P66" s="3"/>
      <c r="Q66" s="3">
        <v>0.70099999999999996</v>
      </c>
      <c r="R66" s="3" t="s">
        <v>96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88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89</v>
      </c>
      <c r="M67" s="3">
        <v>30</v>
      </c>
      <c r="N67" s="3" t="s">
        <v>106</v>
      </c>
      <c r="O67" s="3"/>
      <c r="P67" s="3"/>
      <c r="Q67" s="3">
        <v>1.702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88</v>
      </c>
      <c r="C68" s="3" t="s">
        <v>150</v>
      </c>
      <c r="D68" s="3"/>
      <c r="E68" s="3" t="s">
        <v>150</v>
      </c>
      <c r="F68" s="3"/>
      <c r="G68" s="3"/>
      <c r="H68" s="3"/>
      <c r="I68" s="3"/>
      <c r="J68" s="3"/>
      <c r="K68" s="3"/>
      <c r="L68" s="3" t="s">
        <v>89</v>
      </c>
      <c r="M68" s="3">
        <v>40</v>
      </c>
      <c r="N68" s="3" t="s">
        <v>107</v>
      </c>
      <c r="O68" s="3"/>
      <c r="P68" s="3"/>
      <c r="Q68" s="3">
        <v>1.702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88</v>
      </c>
      <c r="C69" s="3" t="s">
        <v>150</v>
      </c>
      <c r="D69" s="3"/>
      <c r="E69" s="3" t="s">
        <v>150</v>
      </c>
      <c r="F69" s="3"/>
      <c r="G69" s="3"/>
      <c r="H69" s="3"/>
      <c r="I69" s="3"/>
      <c r="J69" s="3"/>
      <c r="K69" s="3"/>
      <c r="L69" s="3" t="s">
        <v>89</v>
      </c>
      <c r="M69" s="3">
        <v>50</v>
      </c>
      <c r="N69" s="3" t="s">
        <v>104</v>
      </c>
      <c r="O69" s="3"/>
      <c r="P69" s="3"/>
      <c r="Q69" s="3">
        <v>14.427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88</v>
      </c>
      <c r="C70" s="3" t="s">
        <v>150</v>
      </c>
      <c r="D70" s="3"/>
      <c r="E70" s="3" t="s">
        <v>150</v>
      </c>
      <c r="F70" s="3"/>
      <c r="G70" s="3"/>
      <c r="H70" s="3"/>
      <c r="I70" s="3"/>
      <c r="J70" s="3"/>
      <c r="K70" s="3"/>
      <c r="L70" s="3" t="s">
        <v>89</v>
      </c>
      <c r="M70" s="3">
        <v>60</v>
      </c>
      <c r="N70" s="3" t="s">
        <v>105</v>
      </c>
      <c r="O70" s="3"/>
      <c r="P70" s="3"/>
      <c r="Q70" s="3">
        <v>88.727000000000004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88</v>
      </c>
      <c r="C71" s="3" t="s">
        <v>150</v>
      </c>
      <c r="D71" s="3"/>
      <c r="E71" s="3" t="s">
        <v>150</v>
      </c>
      <c r="F71" s="3"/>
      <c r="G71" s="3"/>
      <c r="H71" s="3"/>
      <c r="I71" s="3"/>
      <c r="J71" s="3"/>
      <c r="K71" s="3"/>
      <c r="L71" s="3" t="s">
        <v>89</v>
      </c>
      <c r="M71" s="3">
        <v>70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88</v>
      </c>
      <c r="C72" s="3" t="s">
        <v>150</v>
      </c>
      <c r="D72" s="3"/>
      <c r="E72" s="3" t="s">
        <v>150</v>
      </c>
      <c r="F72" s="3"/>
      <c r="G72" s="3"/>
      <c r="H72" s="3"/>
      <c r="I72" s="3"/>
      <c r="J72" s="3"/>
      <c r="K72" s="3"/>
      <c r="L72" s="3" t="s">
        <v>89</v>
      </c>
      <c r="M72" s="3">
        <v>80</v>
      </c>
      <c r="N72" s="3" t="s">
        <v>143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88</v>
      </c>
      <c r="C73" s="3" t="s">
        <v>150</v>
      </c>
      <c r="D73" s="3"/>
      <c r="E73" s="3" t="s">
        <v>150</v>
      </c>
      <c r="F73" s="3"/>
      <c r="G73" s="3"/>
      <c r="H73" s="3"/>
      <c r="I73" s="3"/>
      <c r="J73" s="3"/>
      <c r="K73" s="3"/>
      <c r="L73" s="3" t="s">
        <v>89</v>
      </c>
      <c r="M73" s="3">
        <v>90</v>
      </c>
      <c r="N73" s="3" t="s">
        <v>21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88</v>
      </c>
      <c r="C74" s="3" t="s">
        <v>150</v>
      </c>
      <c r="D74" s="3"/>
      <c r="E74" s="3" t="s">
        <v>150</v>
      </c>
      <c r="F74" s="3"/>
      <c r="G74" s="3"/>
      <c r="H74" s="3"/>
      <c r="I74" s="3"/>
      <c r="J74" s="3"/>
      <c r="K74" s="3"/>
      <c r="L74" s="3" t="s">
        <v>89</v>
      </c>
      <c r="M74" s="3">
        <v>100</v>
      </c>
      <c r="N74" s="3" t="s">
        <v>22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88</v>
      </c>
      <c r="C75" s="3" t="s">
        <v>150</v>
      </c>
      <c r="D75" s="3"/>
      <c r="E75" s="3" t="s">
        <v>150</v>
      </c>
      <c r="F75" s="3"/>
      <c r="G75" s="3"/>
      <c r="H75" s="3"/>
      <c r="I75" s="3"/>
      <c r="J75" s="3"/>
      <c r="K75" s="3"/>
      <c r="L75" s="3" t="s">
        <v>89</v>
      </c>
      <c r="M75" s="3">
        <v>110</v>
      </c>
      <c r="N75" s="3" t="s">
        <v>144</v>
      </c>
      <c r="O75" s="3"/>
      <c r="P75" s="3"/>
      <c r="Q75" s="3">
        <v>0.56999999999999995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88</v>
      </c>
      <c r="C76" s="3" t="s">
        <v>150</v>
      </c>
      <c r="D76" s="3"/>
      <c r="E76" s="3" t="s">
        <v>150</v>
      </c>
      <c r="F76" s="3"/>
      <c r="G76" s="3"/>
      <c r="H76" s="3"/>
      <c r="I76" s="3"/>
      <c r="J76" s="3"/>
      <c r="K76" s="3"/>
      <c r="L76" s="3" t="s">
        <v>89</v>
      </c>
      <c r="M76" s="3">
        <v>120</v>
      </c>
      <c r="N76" s="3" t="s">
        <v>185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88</v>
      </c>
      <c r="C77" s="3" t="s">
        <v>151</v>
      </c>
      <c r="D77" s="3"/>
      <c r="E77" s="3" t="s">
        <v>151</v>
      </c>
      <c r="F77" s="3"/>
      <c r="G77" s="3"/>
      <c r="H77" s="3"/>
      <c r="I77" s="3"/>
      <c r="J77" s="3"/>
      <c r="K77" s="3"/>
      <c r="L77" s="3" t="s">
        <v>89</v>
      </c>
      <c r="M77" s="3">
        <v>10</v>
      </c>
      <c r="N77" s="3" t="s">
        <v>114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88</v>
      </c>
      <c r="C78" s="3" t="s">
        <v>151</v>
      </c>
      <c r="D78" s="3"/>
      <c r="E78" s="3" t="s">
        <v>151</v>
      </c>
      <c r="F78" s="3"/>
      <c r="G78" s="3"/>
      <c r="H78" s="3"/>
      <c r="I78" s="3"/>
      <c r="J78" s="3"/>
      <c r="K78" s="3"/>
      <c r="L78" s="3" t="s">
        <v>89</v>
      </c>
      <c r="M78" s="3">
        <v>20</v>
      </c>
      <c r="N78" s="3" t="s">
        <v>95</v>
      </c>
      <c r="O78" s="3"/>
      <c r="P78" s="3"/>
      <c r="Q78" s="3">
        <v>0.76600000000000001</v>
      </c>
      <c r="R78" s="3" t="s">
        <v>96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88</v>
      </c>
      <c r="C79" s="3" t="s">
        <v>151</v>
      </c>
      <c r="D79" s="3"/>
      <c r="E79" s="3" t="s">
        <v>151</v>
      </c>
      <c r="F79" s="3"/>
      <c r="G79" s="3"/>
      <c r="H79" s="3"/>
      <c r="I79" s="3"/>
      <c r="J79" s="3"/>
      <c r="K79" s="3"/>
      <c r="L79" s="3" t="s">
        <v>89</v>
      </c>
      <c r="M79" s="3">
        <v>30</v>
      </c>
      <c r="N79" s="3" t="s">
        <v>106</v>
      </c>
      <c r="O79" s="3"/>
      <c r="P79" s="3"/>
      <c r="Q79" s="3">
        <v>1.8540000000000001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88</v>
      </c>
      <c r="C80" s="3" t="s">
        <v>151</v>
      </c>
      <c r="D80" s="3"/>
      <c r="E80" s="3" t="s">
        <v>151</v>
      </c>
      <c r="F80" s="3"/>
      <c r="G80" s="3"/>
      <c r="H80" s="3"/>
      <c r="I80" s="3"/>
      <c r="J80" s="3"/>
      <c r="K80" s="3"/>
      <c r="L80" s="3" t="s">
        <v>89</v>
      </c>
      <c r="M80" s="3">
        <v>40</v>
      </c>
      <c r="N80" s="3" t="s">
        <v>107</v>
      </c>
      <c r="O80" s="3"/>
      <c r="P80" s="3"/>
      <c r="Q80" s="3">
        <v>1.8540000000000001</v>
      </c>
      <c r="R80" s="3" t="s">
        <v>15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88</v>
      </c>
      <c r="C81" s="3" t="s">
        <v>151</v>
      </c>
      <c r="D81" s="3"/>
      <c r="E81" s="3" t="s">
        <v>151</v>
      </c>
      <c r="F81" s="3"/>
      <c r="G81" s="3"/>
      <c r="H81" s="3"/>
      <c r="I81" s="3"/>
      <c r="J81" s="3"/>
      <c r="K81" s="3"/>
      <c r="L81" s="3" t="s">
        <v>89</v>
      </c>
      <c r="M81" s="3">
        <v>50</v>
      </c>
      <c r="N81" s="3" t="s">
        <v>104</v>
      </c>
      <c r="O81" s="3"/>
      <c r="P81" s="3"/>
      <c r="Q81" s="3">
        <v>15.037000000000001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88</v>
      </c>
      <c r="C82" s="3" t="s">
        <v>151</v>
      </c>
      <c r="D82" s="3"/>
      <c r="E82" s="3" t="s">
        <v>151</v>
      </c>
      <c r="F82" s="3"/>
      <c r="G82" s="3"/>
      <c r="H82" s="3"/>
      <c r="I82" s="3"/>
      <c r="J82" s="3"/>
      <c r="K82" s="3"/>
      <c r="L82" s="3" t="s">
        <v>89</v>
      </c>
      <c r="M82" s="3">
        <v>60</v>
      </c>
      <c r="N82" s="3" t="s">
        <v>105</v>
      </c>
      <c r="O82" s="3"/>
      <c r="P82" s="3"/>
      <c r="Q82" s="3">
        <v>92.475999999999999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88</v>
      </c>
      <c r="C83" s="3" t="s">
        <v>151</v>
      </c>
      <c r="D83" s="3"/>
      <c r="E83" s="3" t="s">
        <v>151</v>
      </c>
      <c r="F83" s="3"/>
      <c r="G83" s="3"/>
      <c r="H83" s="3"/>
      <c r="I83" s="3"/>
      <c r="J83" s="3"/>
      <c r="K83" s="3"/>
      <c r="L83" s="3" t="s">
        <v>89</v>
      </c>
      <c r="M83" s="3">
        <v>70</v>
      </c>
      <c r="N83" s="3" t="s">
        <v>20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88</v>
      </c>
      <c r="C84" s="3" t="s">
        <v>151</v>
      </c>
      <c r="D84" s="3"/>
      <c r="E84" s="3" t="s">
        <v>151</v>
      </c>
      <c r="F84" s="3"/>
      <c r="G84" s="3"/>
      <c r="H84" s="3"/>
      <c r="I84" s="3"/>
      <c r="J84" s="3"/>
      <c r="K84" s="3"/>
      <c r="L84" s="3" t="s">
        <v>89</v>
      </c>
      <c r="M84" s="3">
        <v>80</v>
      </c>
      <c r="N84" s="3" t="s">
        <v>143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88</v>
      </c>
      <c r="C85" s="3" t="s">
        <v>151</v>
      </c>
      <c r="D85" s="3"/>
      <c r="E85" s="3" t="s">
        <v>151</v>
      </c>
      <c r="F85" s="3"/>
      <c r="G85" s="3"/>
      <c r="H85" s="3"/>
      <c r="I85" s="3"/>
      <c r="J85" s="3"/>
      <c r="K85" s="3"/>
      <c r="L85" s="3" t="s">
        <v>89</v>
      </c>
      <c r="M85" s="3">
        <v>90</v>
      </c>
      <c r="N85" s="3" t="s">
        <v>21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88</v>
      </c>
      <c r="C86" s="3" t="s">
        <v>151</v>
      </c>
      <c r="D86" s="3"/>
      <c r="E86" s="3" t="s">
        <v>151</v>
      </c>
      <c r="F86" s="3"/>
      <c r="G86" s="3"/>
      <c r="H86" s="3"/>
      <c r="I86" s="3"/>
      <c r="J86" s="3"/>
      <c r="K86" s="3"/>
      <c r="L86" s="3" t="s">
        <v>89</v>
      </c>
      <c r="M86" s="3">
        <v>100</v>
      </c>
      <c r="N86" s="3" t="s">
        <v>22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88</v>
      </c>
      <c r="C87" s="3" t="s">
        <v>151</v>
      </c>
      <c r="D87" s="3"/>
      <c r="E87" s="3" t="s">
        <v>151</v>
      </c>
      <c r="F87" s="3"/>
      <c r="G87" s="3"/>
      <c r="H87" s="3"/>
      <c r="I87" s="3"/>
      <c r="J87" s="3"/>
      <c r="K87" s="3"/>
      <c r="L87" s="3" t="s">
        <v>89</v>
      </c>
      <c r="M87" s="3">
        <v>110</v>
      </c>
      <c r="N87" s="3" t="s">
        <v>144</v>
      </c>
      <c r="O87" s="3"/>
      <c r="P87" s="3"/>
      <c r="Q87" s="3">
        <v>0.61599999999999999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88</v>
      </c>
      <c r="C88" s="3" t="s">
        <v>151</v>
      </c>
      <c r="D88" s="3"/>
      <c r="E88" s="3" t="s">
        <v>151</v>
      </c>
      <c r="F88" s="3"/>
      <c r="G88" s="3"/>
      <c r="H88" s="3"/>
      <c r="I88" s="3"/>
      <c r="J88" s="3"/>
      <c r="K88" s="3"/>
      <c r="L88" s="3" t="s">
        <v>89</v>
      </c>
      <c r="M88" s="3">
        <v>120</v>
      </c>
      <c r="N88" s="3" t="s">
        <v>186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88</v>
      </c>
      <c r="C89" s="3" t="s">
        <v>152</v>
      </c>
      <c r="D89" s="3"/>
      <c r="E89" s="3" t="s">
        <v>152</v>
      </c>
      <c r="F89" s="3"/>
      <c r="G89" s="3"/>
      <c r="H89" s="3"/>
      <c r="I89" s="3"/>
      <c r="J89" s="3"/>
      <c r="K89" s="3"/>
      <c r="L89" s="3" t="s">
        <v>89</v>
      </c>
      <c r="M89" s="3">
        <v>10</v>
      </c>
      <c r="N89" s="3" t="s">
        <v>115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88</v>
      </c>
      <c r="C90" s="3" t="s">
        <v>152</v>
      </c>
      <c r="D90" s="3"/>
      <c r="E90" s="3" t="s">
        <v>152</v>
      </c>
      <c r="F90" s="3"/>
      <c r="G90" s="3"/>
      <c r="H90" s="3"/>
      <c r="I90" s="3"/>
      <c r="J90" s="3"/>
      <c r="K90" s="3"/>
      <c r="L90" s="3" t="s">
        <v>89</v>
      </c>
      <c r="M90" s="3">
        <v>20</v>
      </c>
      <c r="N90" s="3" t="s">
        <v>95</v>
      </c>
      <c r="O90" s="3"/>
      <c r="P90" s="3"/>
      <c r="Q90" s="3">
        <v>0.32600000000000001</v>
      </c>
      <c r="R90" s="3" t="s">
        <v>96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88</v>
      </c>
      <c r="C91" s="3" t="s">
        <v>152</v>
      </c>
      <c r="D91" s="3"/>
      <c r="E91" s="3" t="s">
        <v>152</v>
      </c>
      <c r="F91" s="3"/>
      <c r="G91" s="3"/>
      <c r="H91" s="3"/>
      <c r="I91" s="3"/>
      <c r="J91" s="3"/>
      <c r="K91" s="3"/>
      <c r="L91" s="3" t="s">
        <v>89</v>
      </c>
      <c r="M91" s="3">
        <v>30</v>
      </c>
      <c r="N91" s="3" t="s">
        <v>106</v>
      </c>
      <c r="O91" s="3"/>
      <c r="P91" s="3"/>
      <c r="Q91" s="3">
        <v>0.78700000000000003</v>
      </c>
      <c r="R91" s="3" t="s">
        <v>11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88</v>
      </c>
      <c r="C92" s="3" t="s">
        <v>152</v>
      </c>
      <c r="D92" s="3"/>
      <c r="E92" s="3" t="s">
        <v>152</v>
      </c>
      <c r="F92" s="3"/>
      <c r="G92" s="3"/>
      <c r="H92" s="3"/>
      <c r="I92" s="3"/>
      <c r="J92" s="3"/>
      <c r="K92" s="3"/>
      <c r="L92" s="3" t="s">
        <v>89</v>
      </c>
      <c r="M92" s="3">
        <v>40</v>
      </c>
      <c r="N92" s="3" t="s">
        <v>107</v>
      </c>
      <c r="O92" s="3"/>
      <c r="P92" s="3"/>
      <c r="Q92" s="3">
        <v>0.78700000000000003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88</v>
      </c>
      <c r="C93" s="3" t="s">
        <v>152</v>
      </c>
      <c r="D93" s="3"/>
      <c r="E93" s="3" t="s">
        <v>152</v>
      </c>
      <c r="F93" s="3"/>
      <c r="G93" s="3"/>
      <c r="H93" s="3"/>
      <c r="I93" s="3"/>
      <c r="J93" s="3"/>
      <c r="K93" s="3"/>
      <c r="L93" s="3" t="s">
        <v>89</v>
      </c>
      <c r="M93" s="3">
        <v>50</v>
      </c>
      <c r="N93" s="3" t="s">
        <v>104</v>
      </c>
      <c r="O93" s="3"/>
      <c r="P93" s="3"/>
      <c r="Q93" s="3">
        <v>11.074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88</v>
      </c>
      <c r="C94" s="3" t="s">
        <v>152</v>
      </c>
      <c r="D94" s="3"/>
      <c r="E94" s="3" t="s">
        <v>152</v>
      </c>
      <c r="F94" s="3"/>
      <c r="G94" s="3"/>
      <c r="H94" s="3"/>
      <c r="I94" s="3"/>
      <c r="J94" s="3"/>
      <c r="K94" s="3"/>
      <c r="L94" s="3" t="s">
        <v>89</v>
      </c>
      <c r="M94" s="3">
        <v>60</v>
      </c>
      <c r="N94" s="3" t="s">
        <v>105</v>
      </c>
      <c r="O94" s="3"/>
      <c r="P94" s="3"/>
      <c r="Q94" s="3">
        <v>68.108000000000004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88</v>
      </c>
      <c r="C95" s="3" t="s">
        <v>152</v>
      </c>
      <c r="D95" s="3"/>
      <c r="E95" s="3" t="s">
        <v>152</v>
      </c>
      <c r="F95" s="3"/>
      <c r="G95" s="3"/>
      <c r="H95" s="3"/>
      <c r="I95" s="3"/>
      <c r="J95" s="3"/>
      <c r="K95" s="3"/>
      <c r="L95" s="3" t="s">
        <v>89</v>
      </c>
      <c r="M95" s="3">
        <v>70</v>
      </c>
      <c r="N95" s="3" t="s">
        <v>20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88</v>
      </c>
      <c r="C96" s="3" t="s">
        <v>152</v>
      </c>
      <c r="D96" s="3"/>
      <c r="E96" s="3" t="s">
        <v>152</v>
      </c>
      <c r="F96" s="3"/>
      <c r="G96" s="3"/>
      <c r="H96" s="3"/>
      <c r="I96" s="3"/>
      <c r="J96" s="3"/>
      <c r="K96" s="3"/>
      <c r="L96" s="3" t="s">
        <v>89</v>
      </c>
      <c r="M96" s="3">
        <v>80</v>
      </c>
      <c r="N96" s="3" t="s">
        <v>143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88</v>
      </c>
      <c r="C97" s="3" t="s">
        <v>152</v>
      </c>
      <c r="D97" s="3"/>
      <c r="E97" s="3" t="s">
        <v>152</v>
      </c>
      <c r="F97" s="3"/>
      <c r="G97" s="3"/>
      <c r="H97" s="3"/>
      <c r="I97" s="3"/>
      <c r="J97" s="3"/>
      <c r="K97" s="3"/>
      <c r="L97" s="3" t="s">
        <v>89</v>
      </c>
      <c r="M97" s="3">
        <v>90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88</v>
      </c>
      <c r="C98" s="3" t="s">
        <v>152</v>
      </c>
      <c r="D98" s="3"/>
      <c r="E98" s="3" t="s">
        <v>152</v>
      </c>
      <c r="F98" s="3"/>
      <c r="G98" s="3"/>
      <c r="H98" s="3"/>
      <c r="I98" s="3"/>
      <c r="J98" s="3"/>
      <c r="K98" s="3"/>
      <c r="L98" s="3" t="s">
        <v>89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88</v>
      </c>
      <c r="C99" s="3" t="s">
        <v>152</v>
      </c>
      <c r="D99" s="3"/>
      <c r="E99" s="3" t="s">
        <v>152</v>
      </c>
      <c r="F99" s="3"/>
      <c r="G99" s="3"/>
      <c r="H99" s="3"/>
      <c r="I99" s="3"/>
      <c r="J99" s="3"/>
      <c r="K99" s="3"/>
      <c r="L99" s="3" t="s">
        <v>89</v>
      </c>
      <c r="M99" s="3">
        <v>110</v>
      </c>
      <c r="N99" s="3" t="s">
        <v>144</v>
      </c>
      <c r="O99" s="3"/>
      <c r="P99" s="3"/>
      <c r="Q99" s="3">
        <v>0.3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88</v>
      </c>
      <c r="C100" s="3" t="s">
        <v>152</v>
      </c>
      <c r="D100" s="3"/>
      <c r="E100" s="3" t="s">
        <v>152</v>
      </c>
      <c r="F100" s="3"/>
      <c r="G100" s="3"/>
      <c r="H100" s="3"/>
      <c r="I100" s="3"/>
      <c r="J100" s="3"/>
      <c r="K100" s="3"/>
      <c r="L100" s="3" t="s">
        <v>89</v>
      </c>
      <c r="M100" s="3">
        <v>120</v>
      </c>
      <c r="N100" s="3" t="s">
        <v>187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88</v>
      </c>
      <c r="C101" s="3" t="s">
        <v>153</v>
      </c>
      <c r="D101" s="3"/>
      <c r="E101" s="3" t="s">
        <v>153</v>
      </c>
      <c r="F101" s="3"/>
      <c r="G101" s="3"/>
      <c r="H101" s="3"/>
      <c r="I101" s="3"/>
      <c r="J101" s="3"/>
      <c r="K101" s="3"/>
      <c r="L101" s="3" t="s">
        <v>89</v>
      </c>
      <c r="M101" s="3">
        <v>10</v>
      </c>
      <c r="N101" s="3" t="s">
        <v>116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88</v>
      </c>
      <c r="C102" s="3" t="s">
        <v>153</v>
      </c>
      <c r="D102" s="3"/>
      <c r="E102" s="3" t="s">
        <v>153</v>
      </c>
      <c r="F102" s="3"/>
      <c r="G102" s="3"/>
      <c r="H102" s="3"/>
      <c r="I102" s="3"/>
      <c r="J102" s="3"/>
      <c r="K102" s="3"/>
      <c r="L102" s="3" t="s">
        <v>89</v>
      </c>
      <c r="M102" s="3">
        <v>20</v>
      </c>
      <c r="N102" s="3" t="s">
        <v>95</v>
      </c>
      <c r="O102" s="3"/>
      <c r="P102" s="3"/>
      <c r="Q102" s="3">
        <v>0.39300000000000002</v>
      </c>
      <c r="R102" s="3" t="s">
        <v>96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88</v>
      </c>
      <c r="C103" s="3" t="s">
        <v>153</v>
      </c>
      <c r="D103" s="3"/>
      <c r="E103" s="3" t="s">
        <v>153</v>
      </c>
      <c r="F103" s="3"/>
      <c r="G103" s="3"/>
      <c r="H103" s="3"/>
      <c r="I103" s="3"/>
      <c r="J103" s="3"/>
      <c r="K103" s="3"/>
      <c r="L103" s="3" t="s">
        <v>89</v>
      </c>
      <c r="M103" s="3">
        <v>30</v>
      </c>
      <c r="N103" s="3" t="s">
        <v>106</v>
      </c>
      <c r="O103" s="3"/>
      <c r="P103" s="3"/>
      <c r="Q103" s="3">
        <v>0.94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88</v>
      </c>
      <c r="C104" s="3" t="s">
        <v>153</v>
      </c>
      <c r="D104" s="3"/>
      <c r="E104" s="3" t="s">
        <v>153</v>
      </c>
      <c r="F104" s="3"/>
      <c r="G104" s="3"/>
      <c r="H104" s="3"/>
      <c r="I104" s="3"/>
      <c r="J104" s="3"/>
      <c r="K104" s="3"/>
      <c r="L104" s="3" t="s">
        <v>89</v>
      </c>
      <c r="M104" s="3">
        <v>40</v>
      </c>
      <c r="N104" s="3" t="s">
        <v>107</v>
      </c>
      <c r="O104" s="3"/>
      <c r="P104" s="3"/>
      <c r="Q104" s="3">
        <v>0.94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88</v>
      </c>
      <c r="C105" s="3" t="s">
        <v>153</v>
      </c>
      <c r="D105" s="3"/>
      <c r="E105" s="3" t="s">
        <v>153</v>
      </c>
      <c r="F105" s="3"/>
      <c r="G105" s="3"/>
      <c r="H105" s="3"/>
      <c r="I105" s="3"/>
      <c r="J105" s="3"/>
      <c r="K105" s="3"/>
      <c r="L105" s="3" t="s">
        <v>89</v>
      </c>
      <c r="M105" s="3">
        <v>50</v>
      </c>
      <c r="N105" s="3" t="s">
        <v>104</v>
      </c>
      <c r="O105" s="3"/>
      <c r="P105" s="3"/>
      <c r="Q105" s="3">
        <v>11.683999999999999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88</v>
      </c>
      <c r="C106" s="3" t="s">
        <v>153</v>
      </c>
      <c r="D106" s="3"/>
      <c r="E106" s="3" t="s">
        <v>153</v>
      </c>
      <c r="F106" s="3"/>
      <c r="G106" s="3"/>
      <c r="H106" s="3"/>
      <c r="I106" s="3"/>
      <c r="J106" s="3"/>
      <c r="K106" s="3"/>
      <c r="L106" s="3" t="s">
        <v>89</v>
      </c>
      <c r="M106" s="3">
        <v>60</v>
      </c>
      <c r="N106" s="3" t="s">
        <v>105</v>
      </c>
      <c r="O106" s="3"/>
      <c r="P106" s="3"/>
      <c r="Q106" s="3">
        <v>71.856999999999999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88</v>
      </c>
      <c r="C107" s="3" t="s">
        <v>153</v>
      </c>
      <c r="D107" s="3"/>
      <c r="E107" s="3" t="s">
        <v>153</v>
      </c>
      <c r="F107" s="3"/>
      <c r="G107" s="3"/>
      <c r="H107" s="3"/>
      <c r="I107" s="3"/>
      <c r="J107" s="3"/>
      <c r="K107" s="3"/>
      <c r="L107" s="3" t="s">
        <v>89</v>
      </c>
      <c r="M107" s="3">
        <v>70</v>
      </c>
      <c r="N107" s="3" t="s">
        <v>20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88</v>
      </c>
      <c r="C108" s="3" t="s">
        <v>153</v>
      </c>
      <c r="D108" s="3"/>
      <c r="E108" s="3" t="s">
        <v>153</v>
      </c>
      <c r="F108" s="3"/>
      <c r="G108" s="3"/>
      <c r="H108" s="3"/>
      <c r="I108" s="3"/>
      <c r="J108" s="3"/>
      <c r="K108" s="3"/>
      <c r="L108" s="3" t="s">
        <v>89</v>
      </c>
      <c r="M108" s="3">
        <v>80</v>
      </c>
      <c r="N108" s="3" t="s">
        <v>143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88</v>
      </c>
      <c r="C109" s="3" t="s">
        <v>153</v>
      </c>
      <c r="D109" s="3"/>
      <c r="E109" s="3" t="s">
        <v>153</v>
      </c>
      <c r="F109" s="3"/>
      <c r="G109" s="3"/>
      <c r="H109" s="3"/>
      <c r="I109" s="3"/>
      <c r="J109" s="3"/>
      <c r="K109" s="3"/>
      <c r="L109" s="3" t="s">
        <v>89</v>
      </c>
      <c r="M109" s="3">
        <v>90</v>
      </c>
      <c r="N109" s="3" t="s">
        <v>21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88</v>
      </c>
      <c r="C110" s="3" t="s">
        <v>153</v>
      </c>
      <c r="D110" s="3"/>
      <c r="E110" s="3" t="s">
        <v>153</v>
      </c>
      <c r="F110" s="3"/>
      <c r="G110" s="3"/>
      <c r="H110" s="3"/>
      <c r="I110" s="3"/>
      <c r="J110" s="3"/>
      <c r="K110" s="3"/>
      <c r="L110" s="3" t="s">
        <v>89</v>
      </c>
      <c r="M110" s="3">
        <v>100</v>
      </c>
      <c r="N110" s="3" t="s">
        <v>22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88</v>
      </c>
      <c r="C111" s="3" t="s">
        <v>153</v>
      </c>
      <c r="D111" s="3"/>
      <c r="E111" s="3" t="s">
        <v>153</v>
      </c>
      <c r="F111" s="3"/>
      <c r="G111" s="3"/>
      <c r="H111" s="3"/>
      <c r="I111" s="3"/>
      <c r="J111" s="3"/>
      <c r="K111" s="3"/>
      <c r="L111" s="3" t="s">
        <v>89</v>
      </c>
      <c r="M111" s="3">
        <v>110</v>
      </c>
      <c r="N111" s="3" t="s">
        <v>144</v>
      </c>
      <c r="O111" s="3"/>
      <c r="P111" s="3"/>
      <c r="Q111" s="3">
        <v>0.34499999999999997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88</v>
      </c>
      <c r="C112" s="3" t="s">
        <v>153</v>
      </c>
      <c r="D112" s="3"/>
      <c r="E112" s="3" t="s">
        <v>153</v>
      </c>
      <c r="F112" s="3"/>
      <c r="G112" s="3"/>
      <c r="H112" s="3"/>
      <c r="I112" s="3"/>
      <c r="J112" s="3"/>
      <c r="K112" s="3"/>
      <c r="L112" s="3" t="s">
        <v>89</v>
      </c>
      <c r="M112" s="3">
        <v>120</v>
      </c>
      <c r="N112" s="3" t="s">
        <v>188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88</v>
      </c>
      <c r="C113" s="3" t="s">
        <v>154</v>
      </c>
      <c r="D113" s="3"/>
      <c r="E113" s="3" t="s">
        <v>154</v>
      </c>
      <c r="F113" s="3"/>
      <c r="G113" s="3"/>
      <c r="H113" s="3"/>
      <c r="I113" s="3"/>
      <c r="J113" s="3"/>
      <c r="K113" s="3"/>
      <c r="L113" s="3" t="s">
        <v>89</v>
      </c>
      <c r="M113" s="3">
        <v>10</v>
      </c>
      <c r="N113" s="3" t="s">
        <v>117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88</v>
      </c>
      <c r="C114" s="3" t="s">
        <v>154</v>
      </c>
      <c r="D114" s="3"/>
      <c r="E114" s="3" t="s">
        <v>154</v>
      </c>
      <c r="F114" s="3"/>
      <c r="G114" s="3"/>
      <c r="H114" s="3"/>
      <c r="I114" s="3"/>
      <c r="J114" s="3"/>
      <c r="K114" s="3"/>
      <c r="L114" s="3" t="s">
        <v>89</v>
      </c>
      <c r="M114" s="3">
        <v>20</v>
      </c>
      <c r="N114" s="3" t="s">
        <v>95</v>
      </c>
      <c r="O114" s="3"/>
      <c r="P114" s="3"/>
      <c r="Q114" s="3">
        <v>0.46100000000000002</v>
      </c>
      <c r="R114" s="3" t="s">
        <v>96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88</v>
      </c>
      <c r="C115" s="3" t="s">
        <v>154</v>
      </c>
      <c r="D115" s="3"/>
      <c r="E115" s="3" t="s">
        <v>154</v>
      </c>
      <c r="F115" s="3"/>
      <c r="G115" s="3"/>
      <c r="H115" s="3"/>
      <c r="I115" s="3"/>
      <c r="J115" s="3"/>
      <c r="K115" s="3"/>
      <c r="L115" s="3" t="s">
        <v>89</v>
      </c>
      <c r="M115" s="3">
        <v>30</v>
      </c>
      <c r="N115" s="3" t="s">
        <v>106</v>
      </c>
      <c r="O115" s="3"/>
      <c r="P115" s="3"/>
      <c r="Q115" s="3">
        <v>1.0920000000000001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88</v>
      </c>
      <c r="C116" s="3" t="s">
        <v>154</v>
      </c>
      <c r="D116" s="3"/>
      <c r="E116" s="3" t="s">
        <v>154</v>
      </c>
      <c r="F116" s="3"/>
      <c r="G116" s="3"/>
      <c r="H116" s="3"/>
      <c r="I116" s="3"/>
      <c r="J116" s="3"/>
      <c r="K116" s="3"/>
      <c r="L116" s="3" t="s">
        <v>89</v>
      </c>
      <c r="M116" s="3">
        <v>40</v>
      </c>
      <c r="N116" s="3" t="s">
        <v>107</v>
      </c>
      <c r="O116" s="3"/>
      <c r="P116" s="3"/>
      <c r="Q116" s="3">
        <v>1.0920000000000001</v>
      </c>
      <c r="R116" s="3" t="s">
        <v>15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88</v>
      </c>
      <c r="C117" s="3" t="s">
        <v>154</v>
      </c>
      <c r="D117" s="3"/>
      <c r="E117" s="3" t="s">
        <v>154</v>
      </c>
      <c r="F117" s="3"/>
      <c r="G117" s="3"/>
      <c r="H117" s="3"/>
      <c r="I117" s="3"/>
      <c r="J117" s="3"/>
      <c r="K117" s="3"/>
      <c r="L117" s="3" t="s">
        <v>89</v>
      </c>
      <c r="M117" s="3">
        <v>50</v>
      </c>
      <c r="N117" s="3" t="s">
        <v>104</v>
      </c>
      <c r="O117" s="3"/>
      <c r="P117" s="3"/>
      <c r="Q117" s="3">
        <v>12.294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88</v>
      </c>
      <c r="C118" s="3" t="s">
        <v>154</v>
      </c>
      <c r="D118" s="3"/>
      <c r="E118" s="3" t="s">
        <v>154</v>
      </c>
      <c r="F118" s="3"/>
      <c r="G118" s="3"/>
      <c r="H118" s="3"/>
      <c r="I118" s="3"/>
      <c r="J118" s="3"/>
      <c r="K118" s="3"/>
      <c r="L118" s="3" t="s">
        <v>89</v>
      </c>
      <c r="M118" s="3">
        <v>60</v>
      </c>
      <c r="N118" s="3" t="s">
        <v>105</v>
      </c>
      <c r="O118" s="3"/>
      <c r="P118" s="3"/>
      <c r="Q118" s="3">
        <v>75.605999999999995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88</v>
      </c>
      <c r="C119" s="3" t="s">
        <v>154</v>
      </c>
      <c r="D119" s="3"/>
      <c r="E119" s="3" t="s">
        <v>154</v>
      </c>
      <c r="F119" s="3"/>
      <c r="G119" s="3"/>
      <c r="H119" s="3"/>
      <c r="I119" s="3"/>
      <c r="J119" s="3"/>
      <c r="K119" s="3"/>
      <c r="L119" s="3" t="s">
        <v>89</v>
      </c>
      <c r="M119" s="3">
        <v>70</v>
      </c>
      <c r="N119" s="3" t="s">
        <v>20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88</v>
      </c>
      <c r="C120" s="3" t="s">
        <v>154</v>
      </c>
      <c r="D120" s="3"/>
      <c r="E120" s="3" t="s">
        <v>154</v>
      </c>
      <c r="F120" s="3"/>
      <c r="G120" s="3"/>
      <c r="H120" s="3"/>
      <c r="I120" s="3"/>
      <c r="J120" s="3"/>
      <c r="K120" s="3"/>
      <c r="L120" s="3" t="s">
        <v>89</v>
      </c>
      <c r="M120" s="3">
        <v>80</v>
      </c>
      <c r="N120" s="3" t="s">
        <v>143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88</v>
      </c>
      <c r="C121" s="3" t="s">
        <v>154</v>
      </c>
      <c r="D121" s="3"/>
      <c r="E121" s="3" t="s">
        <v>154</v>
      </c>
      <c r="F121" s="3"/>
      <c r="G121" s="3"/>
      <c r="H121" s="3"/>
      <c r="I121" s="3"/>
      <c r="J121" s="3"/>
      <c r="K121" s="3"/>
      <c r="L121" s="3" t="s">
        <v>89</v>
      </c>
      <c r="M121" s="3">
        <v>90</v>
      </c>
      <c r="N121" s="3" t="s">
        <v>21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88</v>
      </c>
      <c r="C122" s="3" t="s">
        <v>154</v>
      </c>
      <c r="D122" s="3"/>
      <c r="E122" s="3" t="s">
        <v>154</v>
      </c>
      <c r="F122" s="3"/>
      <c r="G122" s="3"/>
      <c r="H122" s="3"/>
      <c r="I122" s="3"/>
      <c r="J122" s="3"/>
      <c r="K122" s="3"/>
      <c r="L122" s="3" t="s">
        <v>89</v>
      </c>
      <c r="M122" s="3">
        <v>100</v>
      </c>
      <c r="N122" s="3" t="s">
        <v>22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88</v>
      </c>
      <c r="C123" s="3" t="s">
        <v>154</v>
      </c>
      <c r="D123" s="3"/>
      <c r="E123" s="3" t="s">
        <v>154</v>
      </c>
      <c r="F123" s="3"/>
      <c r="G123" s="3"/>
      <c r="H123" s="3"/>
      <c r="I123" s="3"/>
      <c r="J123" s="3"/>
      <c r="K123" s="3"/>
      <c r="L123" s="3" t="s">
        <v>89</v>
      </c>
      <c r="M123" s="3">
        <v>110</v>
      </c>
      <c r="N123" s="3" t="s">
        <v>144</v>
      </c>
      <c r="O123" s="3"/>
      <c r="P123" s="3"/>
      <c r="Q123" s="3">
        <v>0.39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88</v>
      </c>
      <c r="C124" s="3" t="s">
        <v>154</v>
      </c>
      <c r="D124" s="3"/>
      <c r="E124" s="3" t="s">
        <v>154</v>
      </c>
      <c r="F124" s="3"/>
      <c r="G124" s="3"/>
      <c r="H124" s="3"/>
      <c r="I124" s="3"/>
      <c r="J124" s="3"/>
      <c r="K124" s="3"/>
      <c r="L124" s="3" t="s">
        <v>89</v>
      </c>
      <c r="M124" s="3">
        <v>120</v>
      </c>
      <c r="N124" s="3" t="s">
        <v>189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88</v>
      </c>
      <c r="C125" s="3" t="s">
        <v>155</v>
      </c>
      <c r="D125" s="3"/>
      <c r="E125" s="3" t="s">
        <v>155</v>
      </c>
      <c r="F125" s="3"/>
      <c r="G125" s="3"/>
      <c r="H125" s="3"/>
      <c r="I125" s="3"/>
      <c r="J125" s="3"/>
      <c r="K125" s="3"/>
      <c r="L125" s="3" t="s">
        <v>89</v>
      </c>
      <c r="M125" s="3">
        <v>10</v>
      </c>
      <c r="N125" s="3" t="s">
        <v>118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88</v>
      </c>
      <c r="C126" s="3" t="s">
        <v>155</v>
      </c>
      <c r="D126" s="3"/>
      <c r="E126" s="3" t="s">
        <v>155</v>
      </c>
      <c r="F126" s="3"/>
      <c r="G126" s="3"/>
      <c r="H126" s="3"/>
      <c r="I126" s="3"/>
      <c r="J126" s="3"/>
      <c r="K126" s="3"/>
      <c r="L126" s="3" t="s">
        <v>89</v>
      </c>
      <c r="M126" s="3">
        <v>20</v>
      </c>
      <c r="N126" s="3" t="s">
        <v>95</v>
      </c>
      <c r="O126" s="3"/>
      <c r="P126" s="3"/>
      <c r="Q126" s="3">
        <v>0.52800000000000002</v>
      </c>
      <c r="R126" s="3" t="s">
        <v>96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88</v>
      </c>
      <c r="C127" s="3" t="s">
        <v>155</v>
      </c>
      <c r="D127" s="3"/>
      <c r="E127" s="3" t="s">
        <v>155</v>
      </c>
      <c r="F127" s="3"/>
      <c r="G127" s="3"/>
      <c r="H127" s="3"/>
      <c r="I127" s="3"/>
      <c r="J127" s="3"/>
      <c r="K127" s="3"/>
      <c r="L127" s="3" t="s">
        <v>89</v>
      </c>
      <c r="M127" s="3">
        <v>30</v>
      </c>
      <c r="N127" s="3" t="s">
        <v>106</v>
      </c>
      <c r="O127" s="3"/>
      <c r="P127" s="3"/>
      <c r="Q127" s="3">
        <v>1.2450000000000001</v>
      </c>
      <c r="R127" s="3" t="s">
        <v>11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88</v>
      </c>
      <c r="C128" s="3" t="s">
        <v>155</v>
      </c>
      <c r="D128" s="3"/>
      <c r="E128" s="3" t="s">
        <v>155</v>
      </c>
      <c r="F128" s="3"/>
      <c r="G128" s="3"/>
      <c r="H128" s="3"/>
      <c r="I128" s="3"/>
      <c r="J128" s="3"/>
      <c r="K128" s="3"/>
      <c r="L128" s="3" t="s">
        <v>89</v>
      </c>
      <c r="M128" s="3">
        <v>40</v>
      </c>
      <c r="N128" s="3" t="s">
        <v>107</v>
      </c>
      <c r="O128" s="3"/>
      <c r="P128" s="3"/>
      <c r="Q128" s="3">
        <v>1.2450000000000001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88</v>
      </c>
      <c r="C129" s="3" t="s">
        <v>155</v>
      </c>
      <c r="D129" s="3"/>
      <c r="E129" s="3" t="s">
        <v>155</v>
      </c>
      <c r="F129" s="3"/>
      <c r="G129" s="3"/>
      <c r="H129" s="3"/>
      <c r="I129" s="3"/>
      <c r="J129" s="3"/>
      <c r="K129" s="3"/>
      <c r="L129" s="3" t="s">
        <v>89</v>
      </c>
      <c r="M129" s="3">
        <v>50</v>
      </c>
      <c r="N129" s="3" t="s">
        <v>104</v>
      </c>
      <c r="O129" s="3"/>
      <c r="P129" s="3"/>
      <c r="Q129" s="3">
        <v>12.903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88</v>
      </c>
      <c r="C130" s="3" t="s">
        <v>155</v>
      </c>
      <c r="D130" s="3"/>
      <c r="E130" s="3" t="s">
        <v>155</v>
      </c>
      <c r="F130" s="3"/>
      <c r="G130" s="3"/>
      <c r="H130" s="3"/>
      <c r="I130" s="3"/>
      <c r="J130" s="3"/>
      <c r="K130" s="3"/>
      <c r="L130" s="3" t="s">
        <v>89</v>
      </c>
      <c r="M130" s="3">
        <v>60</v>
      </c>
      <c r="N130" s="3" t="s">
        <v>105</v>
      </c>
      <c r="O130" s="3"/>
      <c r="P130" s="3"/>
      <c r="Q130" s="3">
        <v>79.355000000000004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88</v>
      </c>
      <c r="C131" s="3" t="s">
        <v>155</v>
      </c>
      <c r="D131" s="3"/>
      <c r="E131" s="3" t="s">
        <v>155</v>
      </c>
      <c r="F131" s="3"/>
      <c r="G131" s="3"/>
      <c r="H131" s="3"/>
      <c r="I131" s="3"/>
      <c r="J131" s="3"/>
      <c r="K131" s="3"/>
      <c r="L131" s="3" t="s">
        <v>89</v>
      </c>
      <c r="M131" s="3">
        <v>70</v>
      </c>
      <c r="N131" s="3" t="s">
        <v>20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88</v>
      </c>
      <c r="C132" s="3" t="s">
        <v>155</v>
      </c>
      <c r="D132" s="3"/>
      <c r="E132" s="3" t="s">
        <v>155</v>
      </c>
      <c r="F132" s="3"/>
      <c r="G132" s="3"/>
      <c r="H132" s="3"/>
      <c r="I132" s="3"/>
      <c r="J132" s="3"/>
      <c r="K132" s="3"/>
      <c r="L132" s="3" t="s">
        <v>89</v>
      </c>
      <c r="M132" s="3">
        <v>80</v>
      </c>
      <c r="N132" s="3" t="s">
        <v>143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88</v>
      </c>
      <c r="C133" s="3" t="s">
        <v>155</v>
      </c>
      <c r="D133" s="3"/>
      <c r="E133" s="3" t="s">
        <v>155</v>
      </c>
      <c r="F133" s="3"/>
      <c r="G133" s="3"/>
      <c r="H133" s="3"/>
      <c r="I133" s="3"/>
      <c r="J133" s="3"/>
      <c r="K133" s="3"/>
      <c r="L133" s="3" t="s">
        <v>89</v>
      </c>
      <c r="M133" s="3">
        <v>90</v>
      </c>
      <c r="N133" s="3" t="s">
        <v>21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88</v>
      </c>
      <c r="C134" s="3" t="s">
        <v>155</v>
      </c>
      <c r="D134" s="3"/>
      <c r="E134" s="3" t="s">
        <v>155</v>
      </c>
      <c r="F134" s="3"/>
      <c r="G134" s="3"/>
      <c r="H134" s="3"/>
      <c r="I134" s="3"/>
      <c r="J134" s="3"/>
      <c r="K134" s="3"/>
      <c r="L134" s="3" t="s">
        <v>89</v>
      </c>
      <c r="M134" s="3">
        <v>100</v>
      </c>
      <c r="N134" s="3" t="s">
        <v>22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88</v>
      </c>
      <c r="C135" s="3" t="s">
        <v>155</v>
      </c>
      <c r="D135" s="3"/>
      <c r="E135" s="3" t="s">
        <v>155</v>
      </c>
      <c r="F135" s="3"/>
      <c r="G135" s="3"/>
      <c r="H135" s="3"/>
      <c r="I135" s="3"/>
      <c r="J135" s="3"/>
      <c r="K135" s="3"/>
      <c r="L135" s="3" t="s">
        <v>89</v>
      </c>
      <c r="M135" s="3">
        <v>110</v>
      </c>
      <c r="N135" s="3" t="s">
        <v>144</v>
      </c>
      <c r="O135" s="3"/>
      <c r="P135" s="3"/>
      <c r="Q135" s="3">
        <v>0.435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88</v>
      </c>
      <c r="C136" s="3" t="s">
        <v>155</v>
      </c>
      <c r="D136" s="3"/>
      <c r="E136" s="3" t="s">
        <v>155</v>
      </c>
      <c r="F136" s="3"/>
      <c r="G136" s="3"/>
      <c r="H136" s="3"/>
      <c r="I136" s="3"/>
      <c r="J136" s="3"/>
      <c r="K136" s="3"/>
      <c r="L136" s="3" t="s">
        <v>89</v>
      </c>
      <c r="M136" s="3">
        <v>120</v>
      </c>
      <c r="N136" s="3" t="s">
        <v>190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88</v>
      </c>
      <c r="C137" s="3" t="s">
        <v>156</v>
      </c>
      <c r="D137" s="3"/>
      <c r="E137" s="3" t="s">
        <v>156</v>
      </c>
      <c r="F137" s="3"/>
      <c r="G137" s="3"/>
      <c r="H137" s="3"/>
      <c r="I137" s="3"/>
      <c r="J137" s="3"/>
      <c r="K137" s="3"/>
      <c r="L137" s="3" t="s">
        <v>89</v>
      </c>
      <c r="M137" s="3">
        <v>10</v>
      </c>
      <c r="N137" s="3" t="s">
        <v>119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88</v>
      </c>
      <c r="C138" s="3" t="s">
        <v>156</v>
      </c>
      <c r="D138" s="3"/>
      <c r="E138" s="3" t="s">
        <v>156</v>
      </c>
      <c r="F138" s="3"/>
      <c r="G138" s="3"/>
      <c r="H138" s="3"/>
      <c r="I138" s="3"/>
      <c r="J138" s="3"/>
      <c r="K138" s="3"/>
      <c r="L138" s="3" t="s">
        <v>89</v>
      </c>
      <c r="M138" s="3">
        <v>20</v>
      </c>
      <c r="N138" s="3" t="s">
        <v>95</v>
      </c>
      <c r="O138" s="3"/>
      <c r="P138" s="3"/>
      <c r="Q138" s="3">
        <v>0.66300000000000003</v>
      </c>
      <c r="R138" s="3" t="s">
        <v>96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88</v>
      </c>
      <c r="C139" s="3" t="s">
        <v>156</v>
      </c>
      <c r="D139" s="3"/>
      <c r="E139" s="3" t="s">
        <v>156</v>
      </c>
      <c r="F139" s="3"/>
      <c r="G139" s="3"/>
      <c r="H139" s="3"/>
      <c r="I139" s="3"/>
      <c r="J139" s="3"/>
      <c r="K139" s="3"/>
      <c r="L139" s="3" t="s">
        <v>89</v>
      </c>
      <c r="M139" s="3">
        <v>30</v>
      </c>
      <c r="N139" s="3" t="s">
        <v>106</v>
      </c>
      <c r="O139" s="3"/>
      <c r="P139" s="3"/>
      <c r="Q139" s="3">
        <v>1.5489999999999999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88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89</v>
      </c>
      <c r="M140" s="3">
        <v>40</v>
      </c>
      <c r="N140" s="3" t="s">
        <v>107</v>
      </c>
      <c r="O140" s="3"/>
      <c r="P140" s="3"/>
      <c r="Q140" s="3">
        <v>1.5489999999999999</v>
      </c>
      <c r="R140" s="3" t="s">
        <v>15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88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89</v>
      </c>
      <c r="M141" s="3">
        <v>50</v>
      </c>
      <c r="N141" s="3" t="s">
        <v>104</v>
      </c>
      <c r="O141" s="3"/>
      <c r="P141" s="3"/>
      <c r="Q141" s="3">
        <v>14.122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88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89</v>
      </c>
      <c r="M142" s="3">
        <v>60</v>
      </c>
      <c r="N142" s="3" t="s">
        <v>105</v>
      </c>
      <c r="O142" s="3"/>
      <c r="P142" s="3"/>
      <c r="Q142" s="3">
        <v>86.852999999999994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88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89</v>
      </c>
      <c r="M143" s="3">
        <v>70</v>
      </c>
      <c r="N143" s="3" t="s">
        <v>20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88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89</v>
      </c>
      <c r="M144" s="3">
        <v>80</v>
      </c>
      <c r="N144" s="3" t="s">
        <v>143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88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89</v>
      </c>
      <c r="M145" s="3">
        <v>90</v>
      </c>
      <c r="N145" s="3" t="s">
        <v>21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88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89</v>
      </c>
      <c r="M146" s="3">
        <v>100</v>
      </c>
      <c r="N146" s="3" t="s">
        <v>22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88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89</v>
      </c>
      <c r="M147" s="3">
        <v>110</v>
      </c>
      <c r="N147" s="3" t="s">
        <v>144</v>
      </c>
      <c r="O147" s="3"/>
      <c r="P147" s="3"/>
      <c r="Q147" s="3">
        <v>0.52500000000000002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88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89</v>
      </c>
      <c r="M148" s="3">
        <v>120</v>
      </c>
      <c r="N148" s="3" t="s">
        <v>191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88</v>
      </c>
      <c r="C149" s="3" t="s">
        <v>157</v>
      </c>
      <c r="D149" s="3"/>
      <c r="E149" s="3" t="s">
        <v>157</v>
      </c>
      <c r="F149" s="3"/>
      <c r="G149" s="3"/>
      <c r="H149" s="3"/>
      <c r="I149" s="3"/>
      <c r="J149" s="3"/>
      <c r="K149" s="3"/>
      <c r="L149" s="3" t="s">
        <v>89</v>
      </c>
      <c r="M149" s="3">
        <v>10</v>
      </c>
      <c r="N149" s="3" t="s">
        <v>120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88</v>
      </c>
      <c r="C150" s="3" t="s">
        <v>157</v>
      </c>
      <c r="D150" s="3"/>
      <c r="E150" s="3" t="s">
        <v>157</v>
      </c>
      <c r="F150" s="3"/>
      <c r="G150" s="3"/>
      <c r="H150" s="3"/>
      <c r="I150" s="3"/>
      <c r="J150" s="3"/>
      <c r="K150" s="3"/>
      <c r="L150" s="3" t="s">
        <v>89</v>
      </c>
      <c r="M150" s="3">
        <v>20</v>
      </c>
      <c r="N150" s="3" t="s">
        <v>95</v>
      </c>
      <c r="O150" s="3"/>
      <c r="P150" s="3"/>
      <c r="Q150" s="3">
        <v>0.73099999999999998</v>
      </c>
      <c r="R150" s="3" t="s">
        <v>96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88</v>
      </c>
      <c r="C151" s="3" t="s">
        <v>157</v>
      </c>
      <c r="D151" s="3"/>
      <c r="E151" s="3" t="s">
        <v>157</v>
      </c>
      <c r="F151" s="3"/>
      <c r="G151" s="3"/>
      <c r="H151" s="3"/>
      <c r="I151" s="3"/>
      <c r="J151" s="3"/>
      <c r="K151" s="3"/>
      <c r="L151" s="3" t="s">
        <v>89</v>
      </c>
      <c r="M151" s="3">
        <v>30</v>
      </c>
      <c r="N151" s="3" t="s">
        <v>106</v>
      </c>
      <c r="O151" s="3"/>
      <c r="P151" s="3"/>
      <c r="Q151" s="3">
        <v>1.702</v>
      </c>
      <c r="R151" s="3" t="s">
        <v>11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88</v>
      </c>
      <c r="C152" s="3" t="s">
        <v>157</v>
      </c>
      <c r="D152" s="3"/>
      <c r="E152" s="3" t="s">
        <v>157</v>
      </c>
      <c r="F152" s="3"/>
      <c r="G152" s="3"/>
      <c r="H152" s="3"/>
      <c r="I152" s="3"/>
      <c r="J152" s="3"/>
      <c r="K152" s="3"/>
      <c r="L152" s="3" t="s">
        <v>89</v>
      </c>
      <c r="M152" s="3">
        <v>40</v>
      </c>
      <c r="N152" s="3" t="s">
        <v>107</v>
      </c>
      <c r="O152" s="3"/>
      <c r="P152" s="3"/>
      <c r="Q152" s="3">
        <v>1.702</v>
      </c>
      <c r="R152" s="3" t="s">
        <v>15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88</v>
      </c>
      <c r="C153" s="3" t="s">
        <v>157</v>
      </c>
      <c r="D153" s="3"/>
      <c r="E153" s="3" t="s">
        <v>157</v>
      </c>
      <c r="F153" s="3"/>
      <c r="G153" s="3"/>
      <c r="H153" s="3"/>
      <c r="I153" s="3"/>
      <c r="J153" s="3"/>
      <c r="K153" s="3"/>
      <c r="L153" s="3" t="s">
        <v>89</v>
      </c>
      <c r="M153" s="3">
        <v>50</v>
      </c>
      <c r="N153" s="3" t="s">
        <v>104</v>
      </c>
      <c r="O153" s="3"/>
      <c r="P153" s="3"/>
      <c r="Q153" s="3">
        <v>14.731999999999999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88</v>
      </c>
      <c r="C154" s="3" t="s">
        <v>157</v>
      </c>
      <c r="D154" s="3"/>
      <c r="E154" s="3" t="s">
        <v>157</v>
      </c>
      <c r="F154" s="3"/>
      <c r="G154" s="3"/>
      <c r="H154" s="3"/>
      <c r="I154" s="3"/>
      <c r="J154" s="3"/>
      <c r="K154" s="3"/>
      <c r="L154" s="3" t="s">
        <v>89</v>
      </c>
      <c r="M154" s="3">
        <v>60</v>
      </c>
      <c r="N154" s="3" t="s">
        <v>105</v>
      </c>
      <c r="O154" s="3"/>
      <c r="P154" s="3"/>
      <c r="Q154" s="3">
        <v>90.602000000000004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88</v>
      </c>
      <c r="C155" s="3" t="s">
        <v>157</v>
      </c>
      <c r="D155" s="3"/>
      <c r="E155" s="3" t="s">
        <v>157</v>
      </c>
      <c r="F155" s="3"/>
      <c r="G155" s="3"/>
      <c r="H155" s="3"/>
      <c r="I155" s="3"/>
      <c r="J155" s="3"/>
      <c r="K155" s="3"/>
      <c r="L155" s="3" t="s">
        <v>89</v>
      </c>
      <c r="M155" s="3">
        <v>70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88</v>
      </c>
      <c r="C156" s="3" t="s">
        <v>157</v>
      </c>
      <c r="D156" s="3"/>
      <c r="E156" s="3" t="s">
        <v>157</v>
      </c>
      <c r="F156" s="3"/>
      <c r="G156" s="3"/>
      <c r="H156" s="3"/>
      <c r="I156" s="3"/>
      <c r="J156" s="3"/>
      <c r="K156" s="3"/>
      <c r="L156" s="3" t="s">
        <v>89</v>
      </c>
      <c r="M156" s="3">
        <v>80</v>
      </c>
      <c r="N156" s="3" t="s">
        <v>143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88</v>
      </c>
      <c r="C157" s="3" t="s">
        <v>157</v>
      </c>
      <c r="D157" s="3"/>
      <c r="E157" s="3" t="s">
        <v>157</v>
      </c>
      <c r="F157" s="3"/>
      <c r="G157" s="3"/>
      <c r="H157" s="3"/>
      <c r="I157" s="3"/>
      <c r="J157" s="3"/>
      <c r="K157" s="3"/>
      <c r="L157" s="3" t="s">
        <v>89</v>
      </c>
      <c r="M157" s="3">
        <v>90</v>
      </c>
      <c r="N157" s="3" t="s">
        <v>21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88</v>
      </c>
      <c r="C158" s="3" t="s">
        <v>157</v>
      </c>
      <c r="D158" s="3"/>
      <c r="E158" s="3" t="s">
        <v>157</v>
      </c>
      <c r="F158" s="3"/>
      <c r="G158" s="3"/>
      <c r="H158" s="3"/>
      <c r="I158" s="3"/>
      <c r="J158" s="3"/>
      <c r="K158" s="3"/>
      <c r="L158" s="3" t="s">
        <v>89</v>
      </c>
      <c r="M158" s="3">
        <v>100</v>
      </c>
      <c r="N158" s="3" t="s">
        <v>22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88</v>
      </c>
      <c r="C159" s="3" t="s">
        <v>157</v>
      </c>
      <c r="D159" s="3"/>
      <c r="E159" s="3" t="s">
        <v>157</v>
      </c>
      <c r="F159" s="3"/>
      <c r="G159" s="3"/>
      <c r="H159" s="3"/>
      <c r="I159" s="3"/>
      <c r="J159" s="3"/>
      <c r="K159" s="3"/>
      <c r="L159" s="3" t="s">
        <v>89</v>
      </c>
      <c r="M159" s="3">
        <v>110</v>
      </c>
      <c r="N159" s="3" t="s">
        <v>144</v>
      </c>
      <c r="O159" s="3"/>
      <c r="P159" s="3"/>
      <c r="Q159" s="3">
        <v>0.56999999999999995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88</v>
      </c>
      <c r="C160" s="3" t="s">
        <v>157</v>
      </c>
      <c r="D160" s="3"/>
      <c r="E160" s="3" t="s">
        <v>157</v>
      </c>
      <c r="F160" s="3"/>
      <c r="G160" s="3"/>
      <c r="H160" s="3"/>
      <c r="I160" s="3"/>
      <c r="J160" s="3"/>
      <c r="K160" s="3"/>
      <c r="L160" s="3" t="s">
        <v>89</v>
      </c>
      <c r="M160" s="3">
        <v>120</v>
      </c>
      <c r="N160" s="3" t="s">
        <v>192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88</v>
      </c>
      <c r="C161" s="3" t="s">
        <v>158</v>
      </c>
      <c r="D161" s="3"/>
      <c r="E161" s="3" t="s">
        <v>158</v>
      </c>
      <c r="F161" s="3"/>
      <c r="G161" s="3"/>
      <c r="H161" s="3"/>
      <c r="I161" s="3"/>
      <c r="J161" s="3"/>
      <c r="K161" s="3"/>
      <c r="L161" s="3" t="s">
        <v>89</v>
      </c>
      <c r="M161" s="3">
        <v>10</v>
      </c>
      <c r="N161" s="3" t="s">
        <v>121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88</v>
      </c>
      <c r="C162" s="3" t="s">
        <v>158</v>
      </c>
      <c r="D162" s="3"/>
      <c r="E162" s="3" t="s">
        <v>158</v>
      </c>
      <c r="F162" s="3"/>
      <c r="G162" s="3"/>
      <c r="H162" s="3"/>
      <c r="I162" s="3"/>
      <c r="J162" s="3"/>
      <c r="K162" s="3"/>
      <c r="L162" s="3" t="s">
        <v>89</v>
      </c>
      <c r="M162" s="3">
        <v>20</v>
      </c>
      <c r="N162" s="3" t="s">
        <v>95</v>
      </c>
      <c r="O162" s="3"/>
      <c r="P162" s="3"/>
      <c r="Q162" s="3">
        <v>0.79800000000000004</v>
      </c>
      <c r="R162" s="3" t="s">
        <v>96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88</v>
      </c>
      <c r="C163" s="3" t="s">
        <v>158</v>
      </c>
      <c r="D163" s="3"/>
      <c r="E163" s="3" t="s">
        <v>158</v>
      </c>
      <c r="F163" s="3"/>
      <c r="G163" s="3"/>
      <c r="H163" s="3"/>
      <c r="I163" s="3"/>
      <c r="J163" s="3"/>
      <c r="K163" s="3"/>
      <c r="L163" s="3" t="s">
        <v>89</v>
      </c>
      <c r="M163" s="3">
        <v>30</v>
      </c>
      <c r="N163" s="3" t="s">
        <v>106</v>
      </c>
      <c r="O163" s="3"/>
      <c r="P163" s="3"/>
      <c r="Q163" s="3">
        <v>1.8540000000000001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88</v>
      </c>
      <c r="C164" s="3" t="s">
        <v>158</v>
      </c>
      <c r="D164" s="3"/>
      <c r="E164" s="3" t="s">
        <v>158</v>
      </c>
      <c r="F164" s="3"/>
      <c r="G164" s="3"/>
      <c r="H164" s="3"/>
      <c r="I164" s="3"/>
      <c r="J164" s="3"/>
      <c r="K164" s="3"/>
      <c r="L164" s="3" t="s">
        <v>89</v>
      </c>
      <c r="M164" s="3">
        <v>40</v>
      </c>
      <c r="N164" s="3" t="s">
        <v>107</v>
      </c>
      <c r="O164" s="3"/>
      <c r="P164" s="3"/>
      <c r="Q164" s="3">
        <v>1.8540000000000001</v>
      </c>
      <c r="R164" s="3" t="s">
        <v>15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88</v>
      </c>
      <c r="C165" s="3" t="s">
        <v>158</v>
      </c>
      <c r="D165" s="3"/>
      <c r="E165" s="3" t="s">
        <v>158</v>
      </c>
      <c r="F165" s="3"/>
      <c r="G165" s="3"/>
      <c r="H165" s="3"/>
      <c r="I165" s="3"/>
      <c r="J165" s="3"/>
      <c r="K165" s="3"/>
      <c r="L165" s="3" t="s">
        <v>89</v>
      </c>
      <c r="M165" s="3">
        <v>50</v>
      </c>
      <c r="N165" s="3" t="s">
        <v>104</v>
      </c>
      <c r="O165" s="3"/>
      <c r="P165" s="3"/>
      <c r="Q165" s="3">
        <v>15.342000000000001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88</v>
      </c>
      <c r="C166" s="3" t="s">
        <v>158</v>
      </c>
      <c r="D166" s="3"/>
      <c r="E166" s="3" t="s">
        <v>158</v>
      </c>
      <c r="F166" s="3"/>
      <c r="G166" s="3"/>
      <c r="H166" s="3"/>
      <c r="I166" s="3"/>
      <c r="J166" s="3"/>
      <c r="K166" s="3"/>
      <c r="L166" s="3" t="s">
        <v>89</v>
      </c>
      <c r="M166" s="3">
        <v>60</v>
      </c>
      <c r="N166" s="3" t="s">
        <v>105</v>
      </c>
      <c r="O166" s="3"/>
      <c r="P166" s="3"/>
      <c r="Q166" s="3">
        <v>94.350999999999999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88</v>
      </c>
      <c r="C167" s="3" t="s">
        <v>158</v>
      </c>
      <c r="D167" s="3"/>
      <c r="E167" s="3" t="s">
        <v>158</v>
      </c>
      <c r="F167" s="3"/>
      <c r="G167" s="3"/>
      <c r="H167" s="3"/>
      <c r="I167" s="3"/>
      <c r="J167" s="3"/>
      <c r="K167" s="3"/>
      <c r="L167" s="3" t="s">
        <v>89</v>
      </c>
      <c r="M167" s="3">
        <v>70</v>
      </c>
      <c r="N167" s="3" t="s">
        <v>20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88</v>
      </c>
      <c r="C168" s="3" t="s">
        <v>158</v>
      </c>
      <c r="D168" s="3"/>
      <c r="E168" s="3" t="s">
        <v>158</v>
      </c>
      <c r="F168" s="3"/>
      <c r="G168" s="3"/>
      <c r="H168" s="3"/>
      <c r="I168" s="3"/>
      <c r="J168" s="3"/>
      <c r="K168" s="3"/>
      <c r="L168" s="3" t="s">
        <v>89</v>
      </c>
      <c r="M168" s="3">
        <v>80</v>
      </c>
      <c r="N168" s="3" t="s">
        <v>143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88</v>
      </c>
      <c r="C169" s="3" t="s">
        <v>158</v>
      </c>
      <c r="D169" s="3"/>
      <c r="E169" s="3" t="s">
        <v>158</v>
      </c>
      <c r="F169" s="3"/>
      <c r="G169" s="3"/>
      <c r="H169" s="3"/>
      <c r="I169" s="3"/>
      <c r="J169" s="3"/>
      <c r="K169" s="3"/>
      <c r="L169" s="3" t="s">
        <v>89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88</v>
      </c>
      <c r="C170" s="3" t="s">
        <v>158</v>
      </c>
      <c r="D170" s="3"/>
      <c r="E170" s="3" t="s">
        <v>158</v>
      </c>
      <c r="F170" s="3"/>
      <c r="G170" s="3"/>
      <c r="H170" s="3"/>
      <c r="I170" s="3"/>
      <c r="J170" s="3"/>
      <c r="K170" s="3"/>
      <c r="L170" s="3" t="s">
        <v>89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88</v>
      </c>
      <c r="C171" s="3" t="s">
        <v>158</v>
      </c>
      <c r="D171" s="3"/>
      <c r="E171" s="3" t="s">
        <v>158</v>
      </c>
      <c r="F171" s="3"/>
      <c r="G171" s="3"/>
      <c r="H171" s="3"/>
      <c r="I171" s="3"/>
      <c r="J171" s="3"/>
      <c r="K171" s="3"/>
      <c r="L171" s="3" t="s">
        <v>89</v>
      </c>
      <c r="M171" s="3">
        <v>110</v>
      </c>
      <c r="N171" s="3" t="s">
        <v>144</v>
      </c>
      <c r="O171" s="3"/>
      <c r="P171" s="3"/>
      <c r="Q171" s="3">
        <v>0.61599999999999999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88</v>
      </c>
      <c r="C172" s="3" t="s">
        <v>158</v>
      </c>
      <c r="D172" s="3"/>
      <c r="E172" s="3" t="s">
        <v>158</v>
      </c>
      <c r="F172" s="3"/>
      <c r="G172" s="3"/>
      <c r="H172" s="3"/>
      <c r="I172" s="3"/>
      <c r="J172" s="3"/>
      <c r="K172" s="3"/>
      <c r="L172" s="3" t="s">
        <v>89</v>
      </c>
      <c r="M172" s="3">
        <v>120</v>
      </c>
      <c r="N172" s="3" t="s">
        <v>193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88</v>
      </c>
      <c r="C173" s="3" t="s">
        <v>159</v>
      </c>
      <c r="D173" s="3"/>
      <c r="E173" s="3" t="s">
        <v>159</v>
      </c>
      <c r="F173" s="3"/>
      <c r="G173" s="3"/>
      <c r="H173" s="3"/>
      <c r="I173" s="3"/>
      <c r="J173" s="3"/>
      <c r="K173" s="3"/>
      <c r="L173" s="3" t="s">
        <v>89</v>
      </c>
      <c r="M173" s="3">
        <v>10</v>
      </c>
      <c r="N173" s="3" t="s">
        <v>122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88</v>
      </c>
      <c r="C174" s="3" t="s">
        <v>159</v>
      </c>
      <c r="D174" s="3"/>
      <c r="E174" s="3" t="s">
        <v>159</v>
      </c>
      <c r="F174" s="3"/>
      <c r="G174" s="3"/>
      <c r="H174" s="3"/>
      <c r="I174" s="3"/>
      <c r="J174" s="3"/>
      <c r="K174" s="3"/>
      <c r="L174" s="3" t="s">
        <v>89</v>
      </c>
      <c r="M174" s="3">
        <v>20</v>
      </c>
      <c r="N174" s="3" t="s">
        <v>95</v>
      </c>
      <c r="O174" s="3"/>
      <c r="P174" s="3"/>
      <c r="Q174" s="3">
        <v>0.33900000000000002</v>
      </c>
      <c r="R174" s="3" t="s">
        <v>96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88</v>
      </c>
      <c r="C175" s="3" t="s">
        <v>159</v>
      </c>
      <c r="D175" s="3"/>
      <c r="E175" s="3" t="s">
        <v>159</v>
      </c>
      <c r="F175" s="3"/>
      <c r="G175" s="3"/>
      <c r="H175" s="3"/>
      <c r="I175" s="3"/>
      <c r="J175" s="3"/>
      <c r="K175" s="3"/>
      <c r="L175" s="3" t="s">
        <v>89</v>
      </c>
      <c r="M175" s="3">
        <v>30</v>
      </c>
      <c r="N175" s="3" t="s">
        <v>106</v>
      </c>
      <c r="O175" s="3"/>
      <c r="P175" s="3"/>
      <c r="Q175" s="3">
        <v>0.78700000000000003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88</v>
      </c>
      <c r="C176" s="3" t="s">
        <v>159</v>
      </c>
      <c r="D176" s="3"/>
      <c r="E176" s="3" t="s">
        <v>159</v>
      </c>
      <c r="F176" s="3"/>
      <c r="G176" s="3"/>
      <c r="H176" s="3"/>
      <c r="I176" s="3"/>
      <c r="J176" s="3"/>
      <c r="K176" s="3"/>
      <c r="L176" s="3" t="s">
        <v>89</v>
      </c>
      <c r="M176" s="3">
        <v>40</v>
      </c>
      <c r="N176" s="3" t="s">
        <v>107</v>
      </c>
      <c r="O176" s="3"/>
      <c r="P176" s="3"/>
      <c r="Q176" s="3">
        <v>0.78700000000000003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88</v>
      </c>
      <c r="C177" s="3" t="s">
        <v>159</v>
      </c>
      <c r="D177" s="3"/>
      <c r="E177" s="3" t="s">
        <v>159</v>
      </c>
      <c r="F177" s="3"/>
      <c r="G177" s="3"/>
      <c r="H177" s="3"/>
      <c r="I177" s="3"/>
      <c r="J177" s="3"/>
      <c r="K177" s="3"/>
      <c r="L177" s="3" t="s">
        <v>89</v>
      </c>
      <c r="M177" s="3">
        <v>50</v>
      </c>
      <c r="N177" s="3" t="s">
        <v>104</v>
      </c>
      <c r="O177" s="3"/>
      <c r="P177" s="3"/>
      <c r="Q177" s="3">
        <v>11.379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88</v>
      </c>
      <c r="C178" s="3" t="s">
        <v>159</v>
      </c>
      <c r="D178" s="3"/>
      <c r="E178" s="3" t="s">
        <v>159</v>
      </c>
      <c r="F178" s="3"/>
      <c r="G178" s="3"/>
      <c r="H178" s="3"/>
      <c r="I178" s="3"/>
      <c r="J178" s="3"/>
      <c r="K178" s="3"/>
      <c r="L178" s="3" t="s">
        <v>89</v>
      </c>
      <c r="M178" s="3">
        <v>60</v>
      </c>
      <c r="N178" s="3" t="s">
        <v>105</v>
      </c>
      <c r="O178" s="3"/>
      <c r="P178" s="3"/>
      <c r="Q178" s="3">
        <v>69.981999999999999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88</v>
      </c>
      <c r="C179" s="3" t="s">
        <v>159</v>
      </c>
      <c r="D179" s="3"/>
      <c r="E179" s="3" t="s">
        <v>159</v>
      </c>
      <c r="F179" s="3"/>
      <c r="G179" s="3"/>
      <c r="H179" s="3"/>
      <c r="I179" s="3"/>
      <c r="J179" s="3"/>
      <c r="K179" s="3"/>
      <c r="L179" s="3" t="s">
        <v>89</v>
      </c>
      <c r="M179" s="3">
        <v>70</v>
      </c>
      <c r="N179" s="3" t="s">
        <v>20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88</v>
      </c>
      <c r="C180" s="3" t="s">
        <v>159</v>
      </c>
      <c r="D180" s="3"/>
      <c r="E180" s="3" t="s">
        <v>159</v>
      </c>
      <c r="F180" s="3"/>
      <c r="G180" s="3"/>
      <c r="H180" s="3"/>
      <c r="I180" s="3"/>
      <c r="J180" s="3"/>
      <c r="K180" s="3"/>
      <c r="L180" s="3" t="s">
        <v>89</v>
      </c>
      <c r="M180" s="3">
        <v>80</v>
      </c>
      <c r="N180" s="3" t="s">
        <v>143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88</v>
      </c>
      <c r="C181" s="3" t="s">
        <v>159</v>
      </c>
      <c r="D181" s="3"/>
      <c r="E181" s="3" t="s">
        <v>159</v>
      </c>
      <c r="F181" s="3"/>
      <c r="G181" s="3"/>
      <c r="H181" s="3"/>
      <c r="I181" s="3"/>
      <c r="J181" s="3"/>
      <c r="K181" s="3"/>
      <c r="L181" s="3" t="s">
        <v>89</v>
      </c>
      <c r="M181" s="3">
        <v>90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88</v>
      </c>
      <c r="C182" s="3" t="s">
        <v>159</v>
      </c>
      <c r="D182" s="3"/>
      <c r="E182" s="3" t="s">
        <v>159</v>
      </c>
      <c r="F182" s="3"/>
      <c r="G182" s="3"/>
      <c r="H182" s="3"/>
      <c r="I182" s="3"/>
      <c r="J182" s="3"/>
      <c r="K182" s="3"/>
      <c r="L182" s="3" t="s">
        <v>89</v>
      </c>
      <c r="M182" s="3">
        <v>100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88</v>
      </c>
      <c r="C183" s="3" t="s">
        <v>159</v>
      </c>
      <c r="D183" s="3"/>
      <c r="E183" s="3" t="s">
        <v>159</v>
      </c>
      <c r="F183" s="3"/>
      <c r="G183" s="3"/>
      <c r="H183" s="3"/>
      <c r="I183" s="3"/>
      <c r="J183" s="3"/>
      <c r="K183" s="3"/>
      <c r="L183" s="3" t="s">
        <v>89</v>
      </c>
      <c r="M183" s="3">
        <v>110</v>
      </c>
      <c r="N183" s="3" t="s">
        <v>144</v>
      </c>
      <c r="O183" s="3"/>
      <c r="P183" s="3"/>
      <c r="Q183" s="3">
        <v>0.66100000000000003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88</v>
      </c>
      <c r="C184" s="3" t="s">
        <v>159</v>
      </c>
      <c r="D184" s="3"/>
      <c r="E184" s="3" t="s">
        <v>159</v>
      </c>
      <c r="F184" s="3"/>
      <c r="G184" s="3"/>
      <c r="H184" s="3"/>
      <c r="I184" s="3"/>
      <c r="J184" s="3"/>
      <c r="K184" s="3"/>
      <c r="L184" s="3" t="s">
        <v>89</v>
      </c>
      <c r="M184" s="3">
        <v>120</v>
      </c>
      <c r="N184" s="3" t="s">
        <v>194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88</v>
      </c>
      <c r="C185" s="3" t="s">
        <v>160</v>
      </c>
      <c r="D185" s="3"/>
      <c r="E185" s="3" t="s">
        <v>160</v>
      </c>
      <c r="F185" s="3"/>
      <c r="G185" s="3"/>
      <c r="H185" s="3"/>
      <c r="I185" s="3"/>
      <c r="J185" s="3"/>
      <c r="K185" s="3"/>
      <c r="L185" s="3" t="s">
        <v>89</v>
      </c>
      <c r="M185" s="3">
        <v>10</v>
      </c>
      <c r="N185" s="3" t="s">
        <v>123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88</v>
      </c>
      <c r="C186" s="3" t="s">
        <v>160</v>
      </c>
      <c r="D186" s="3"/>
      <c r="E186" s="3" t="s">
        <v>160</v>
      </c>
      <c r="F186" s="3"/>
      <c r="G186" s="3"/>
      <c r="H186" s="3"/>
      <c r="I186" s="3"/>
      <c r="J186" s="3"/>
      <c r="K186" s="3"/>
      <c r="L186" s="3" t="s">
        <v>89</v>
      </c>
      <c r="M186" s="3">
        <v>20</v>
      </c>
      <c r="N186" s="3" t="s">
        <v>95</v>
      </c>
      <c r="O186" s="3"/>
      <c r="P186" s="3"/>
      <c r="Q186" s="3">
        <v>0.40899999999999997</v>
      </c>
      <c r="R186" s="3" t="s">
        <v>96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88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89</v>
      </c>
      <c r="M187" s="3">
        <v>30</v>
      </c>
      <c r="N187" s="3" t="s">
        <v>106</v>
      </c>
      <c r="O187" s="3"/>
      <c r="P187" s="3"/>
      <c r="Q187" s="3">
        <v>0.94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88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89</v>
      </c>
      <c r="M188" s="3">
        <v>40</v>
      </c>
      <c r="N188" s="3" t="s">
        <v>107</v>
      </c>
      <c r="O188" s="3"/>
      <c r="P188" s="3"/>
      <c r="Q188" s="3">
        <v>0.94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88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89</v>
      </c>
      <c r="M189" s="3">
        <v>50</v>
      </c>
      <c r="N189" s="3" t="s">
        <v>104</v>
      </c>
      <c r="O189" s="3"/>
      <c r="P189" s="3"/>
      <c r="Q189" s="3">
        <v>11.989000000000001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88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89</v>
      </c>
      <c r="M190" s="3">
        <v>60</v>
      </c>
      <c r="N190" s="3" t="s">
        <v>105</v>
      </c>
      <c r="O190" s="3"/>
      <c r="P190" s="3"/>
      <c r="Q190" s="3">
        <v>73.730999999999995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88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89</v>
      </c>
      <c r="M191" s="3">
        <v>70</v>
      </c>
      <c r="N191" s="3" t="s">
        <v>20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88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89</v>
      </c>
      <c r="M192" s="3">
        <v>80</v>
      </c>
      <c r="N192" s="3" t="s">
        <v>143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88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89</v>
      </c>
      <c r="M193" s="3">
        <v>90</v>
      </c>
      <c r="N193" s="3" t="s">
        <v>21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88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89</v>
      </c>
      <c r="M194" s="3">
        <v>100</v>
      </c>
      <c r="N194" s="3" t="s">
        <v>22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88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89</v>
      </c>
      <c r="M195" s="3">
        <v>110</v>
      </c>
      <c r="N195" s="3" t="s">
        <v>144</v>
      </c>
      <c r="O195" s="3"/>
      <c r="P195" s="3"/>
      <c r="Q195" s="3">
        <v>0.66100000000000003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88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89</v>
      </c>
      <c r="M196" s="3">
        <v>120</v>
      </c>
      <c r="N196" s="3" t="s">
        <v>195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88</v>
      </c>
      <c r="C197" s="3" t="s">
        <v>161</v>
      </c>
      <c r="D197" s="3"/>
      <c r="E197" s="3" t="s">
        <v>161</v>
      </c>
      <c r="F197" s="3"/>
      <c r="G197" s="3"/>
      <c r="H197" s="3"/>
      <c r="I197" s="3"/>
      <c r="J197" s="3"/>
      <c r="K197" s="3"/>
      <c r="L197" s="3" t="s">
        <v>89</v>
      </c>
      <c r="M197" s="3">
        <v>10</v>
      </c>
      <c r="N197" s="3" t="s">
        <v>124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88</v>
      </c>
      <c r="C198" s="3" t="s">
        <v>161</v>
      </c>
      <c r="D198" s="3"/>
      <c r="E198" s="3" t="s">
        <v>161</v>
      </c>
      <c r="F198" s="3"/>
      <c r="G198" s="3"/>
      <c r="H198" s="3"/>
      <c r="I198" s="3"/>
      <c r="J198" s="3"/>
      <c r="K198" s="3"/>
      <c r="L198" s="3" t="s">
        <v>89</v>
      </c>
      <c r="M198" s="3">
        <v>20</v>
      </c>
      <c r="N198" s="3" t="s">
        <v>95</v>
      </c>
      <c r="O198" s="3"/>
      <c r="P198" s="3"/>
      <c r="Q198" s="3">
        <v>0.47899999999999998</v>
      </c>
      <c r="R198" s="3" t="s">
        <v>96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88</v>
      </c>
      <c r="C199" s="3" t="s">
        <v>161</v>
      </c>
      <c r="D199" s="3"/>
      <c r="E199" s="3" t="s">
        <v>161</v>
      </c>
      <c r="F199" s="3"/>
      <c r="G199" s="3"/>
      <c r="H199" s="3"/>
      <c r="I199" s="3"/>
      <c r="J199" s="3"/>
      <c r="K199" s="3"/>
      <c r="L199" s="3" t="s">
        <v>89</v>
      </c>
      <c r="M199" s="3">
        <v>30</v>
      </c>
      <c r="N199" s="3" t="s">
        <v>106</v>
      </c>
      <c r="O199" s="3"/>
      <c r="P199" s="3"/>
      <c r="Q199" s="3">
        <v>1.0920000000000001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88</v>
      </c>
      <c r="C200" s="3" t="s">
        <v>161</v>
      </c>
      <c r="D200" s="3"/>
      <c r="E200" s="3" t="s">
        <v>161</v>
      </c>
      <c r="F200" s="3"/>
      <c r="G200" s="3"/>
      <c r="H200" s="3"/>
      <c r="I200" s="3"/>
      <c r="J200" s="3"/>
      <c r="K200" s="3"/>
      <c r="L200" s="3" t="s">
        <v>89</v>
      </c>
      <c r="M200" s="3">
        <v>40</v>
      </c>
      <c r="N200" s="3" t="s">
        <v>107</v>
      </c>
      <c r="O200" s="3"/>
      <c r="P200" s="3"/>
      <c r="Q200" s="3">
        <v>1.0920000000000001</v>
      </c>
      <c r="R200" s="3" t="s">
        <v>15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88</v>
      </c>
      <c r="C201" s="3" t="s">
        <v>161</v>
      </c>
      <c r="D201" s="3"/>
      <c r="E201" s="3" t="s">
        <v>161</v>
      </c>
      <c r="F201" s="3"/>
      <c r="G201" s="3"/>
      <c r="H201" s="3"/>
      <c r="I201" s="3"/>
      <c r="J201" s="3"/>
      <c r="K201" s="3"/>
      <c r="L201" s="3" t="s">
        <v>89</v>
      </c>
      <c r="M201" s="3">
        <v>50</v>
      </c>
      <c r="N201" s="3" t="s">
        <v>104</v>
      </c>
      <c r="O201" s="3"/>
      <c r="P201" s="3"/>
      <c r="Q201" s="3">
        <v>12.598000000000001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88</v>
      </c>
      <c r="C202" s="3" t="s">
        <v>161</v>
      </c>
      <c r="D202" s="3"/>
      <c r="E202" s="3" t="s">
        <v>161</v>
      </c>
      <c r="F202" s="3"/>
      <c r="G202" s="3"/>
      <c r="H202" s="3"/>
      <c r="I202" s="3"/>
      <c r="J202" s="3"/>
      <c r="K202" s="3"/>
      <c r="L202" s="3" t="s">
        <v>89</v>
      </c>
      <c r="M202" s="3">
        <v>60</v>
      </c>
      <c r="N202" s="3" t="s">
        <v>105</v>
      </c>
      <c r="O202" s="3"/>
      <c r="P202" s="3"/>
      <c r="Q202" s="3">
        <v>77.48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88</v>
      </c>
      <c r="C203" s="3" t="s">
        <v>161</v>
      </c>
      <c r="D203" s="3"/>
      <c r="E203" s="3" t="s">
        <v>161</v>
      </c>
      <c r="F203" s="3"/>
      <c r="G203" s="3"/>
      <c r="H203" s="3"/>
      <c r="I203" s="3"/>
      <c r="J203" s="3"/>
      <c r="K203" s="3"/>
      <c r="L203" s="3" t="s">
        <v>89</v>
      </c>
      <c r="M203" s="3">
        <v>70</v>
      </c>
      <c r="N203" s="3" t="s">
        <v>20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88</v>
      </c>
      <c r="C204" s="3" t="s">
        <v>161</v>
      </c>
      <c r="D204" s="3"/>
      <c r="E204" s="3" t="s">
        <v>161</v>
      </c>
      <c r="F204" s="3"/>
      <c r="G204" s="3"/>
      <c r="H204" s="3"/>
      <c r="I204" s="3"/>
      <c r="J204" s="3"/>
      <c r="K204" s="3"/>
      <c r="L204" s="3" t="s">
        <v>89</v>
      </c>
      <c r="M204" s="3">
        <v>80</v>
      </c>
      <c r="N204" s="3" t="s">
        <v>143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88</v>
      </c>
      <c r="C205" s="3" t="s">
        <v>161</v>
      </c>
      <c r="D205" s="3"/>
      <c r="E205" s="3" t="s">
        <v>161</v>
      </c>
      <c r="F205" s="3"/>
      <c r="G205" s="3"/>
      <c r="H205" s="3"/>
      <c r="I205" s="3"/>
      <c r="J205" s="3"/>
      <c r="K205" s="3"/>
      <c r="L205" s="3" t="s">
        <v>89</v>
      </c>
      <c r="M205" s="3">
        <v>90</v>
      </c>
      <c r="N205" s="3" t="s">
        <v>21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88</v>
      </c>
      <c r="C206" s="3" t="s">
        <v>161</v>
      </c>
      <c r="D206" s="3"/>
      <c r="E206" s="3" t="s">
        <v>161</v>
      </c>
      <c r="F206" s="3"/>
      <c r="G206" s="3"/>
      <c r="H206" s="3"/>
      <c r="I206" s="3"/>
      <c r="J206" s="3"/>
      <c r="K206" s="3"/>
      <c r="L206" s="3" t="s">
        <v>89</v>
      </c>
      <c r="M206" s="3">
        <v>100</v>
      </c>
      <c r="N206" s="3" t="s">
        <v>22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88</v>
      </c>
      <c r="C207" s="3" t="s">
        <v>161</v>
      </c>
      <c r="D207" s="3"/>
      <c r="E207" s="3" t="s">
        <v>161</v>
      </c>
      <c r="F207" s="3"/>
      <c r="G207" s="3"/>
      <c r="H207" s="3"/>
      <c r="I207" s="3"/>
      <c r="J207" s="3"/>
      <c r="K207" s="3"/>
      <c r="L207" s="3" t="s">
        <v>89</v>
      </c>
      <c r="M207" s="3">
        <v>110</v>
      </c>
      <c r="N207" s="3" t="s">
        <v>144</v>
      </c>
      <c r="O207" s="3"/>
      <c r="P207" s="3"/>
      <c r="Q207" s="3">
        <v>0.66100000000000003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88</v>
      </c>
      <c r="C208" s="3" t="s">
        <v>161</v>
      </c>
      <c r="D208" s="3"/>
      <c r="E208" s="3" t="s">
        <v>161</v>
      </c>
      <c r="F208" s="3"/>
      <c r="G208" s="3"/>
      <c r="H208" s="3"/>
      <c r="I208" s="3"/>
      <c r="J208" s="3"/>
      <c r="K208" s="3"/>
      <c r="L208" s="3" t="s">
        <v>89</v>
      </c>
      <c r="M208" s="3">
        <v>120</v>
      </c>
      <c r="N208" s="3" t="s">
        <v>196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88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89</v>
      </c>
      <c r="M209" s="3">
        <v>10</v>
      </c>
      <c r="N209" s="3" t="s">
        <v>125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88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89</v>
      </c>
      <c r="M210" s="3">
        <v>20</v>
      </c>
      <c r="N210" s="3" t="s">
        <v>95</v>
      </c>
      <c r="O210" s="3"/>
      <c r="P210" s="3"/>
      <c r="Q210" s="3">
        <v>0.55000000000000004</v>
      </c>
      <c r="R210" s="3" t="s">
        <v>96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88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89</v>
      </c>
      <c r="M211" s="3">
        <v>30</v>
      </c>
      <c r="N211" s="3" t="s">
        <v>106</v>
      </c>
      <c r="O211" s="3"/>
      <c r="P211" s="3"/>
      <c r="Q211" s="3">
        <v>1.2450000000000001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88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89</v>
      </c>
      <c r="M212" s="3">
        <v>40</v>
      </c>
      <c r="N212" s="3" t="s">
        <v>107</v>
      </c>
      <c r="O212" s="3"/>
      <c r="P212" s="3"/>
      <c r="Q212" s="3">
        <v>1.2450000000000001</v>
      </c>
      <c r="R212" s="3" t="s">
        <v>15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88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89</v>
      </c>
      <c r="M213" s="3">
        <v>50</v>
      </c>
      <c r="N213" s="3" t="s">
        <v>104</v>
      </c>
      <c r="O213" s="3"/>
      <c r="P213" s="3"/>
      <c r="Q213" s="3">
        <v>13.208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88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89</v>
      </c>
      <c r="M214" s="3">
        <v>60</v>
      </c>
      <c r="N214" s="3" t="s">
        <v>105</v>
      </c>
      <c r="O214" s="3"/>
      <c r="P214" s="3"/>
      <c r="Q214" s="3">
        <v>81.228999999999999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88</v>
      </c>
      <c r="C215" s="3" t="s">
        <v>162</v>
      </c>
      <c r="D215" s="3"/>
      <c r="E215" s="3" t="s">
        <v>162</v>
      </c>
      <c r="F215" s="3"/>
      <c r="G215" s="3"/>
      <c r="H215" s="3"/>
      <c r="I215" s="3"/>
      <c r="J215" s="3"/>
      <c r="K215" s="3"/>
      <c r="L215" s="3" t="s">
        <v>89</v>
      </c>
      <c r="M215" s="3">
        <v>70</v>
      </c>
      <c r="N215" s="3" t="s">
        <v>20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88</v>
      </c>
      <c r="C216" s="3" t="s">
        <v>162</v>
      </c>
      <c r="D216" s="3"/>
      <c r="E216" s="3" t="s">
        <v>162</v>
      </c>
      <c r="F216" s="3"/>
      <c r="G216" s="3"/>
      <c r="H216" s="3"/>
      <c r="I216" s="3"/>
      <c r="J216" s="3"/>
      <c r="K216" s="3"/>
      <c r="L216" s="3" t="s">
        <v>89</v>
      </c>
      <c r="M216" s="3">
        <v>80</v>
      </c>
      <c r="N216" s="3" t="s">
        <v>143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88</v>
      </c>
      <c r="C217" s="3" t="s">
        <v>162</v>
      </c>
      <c r="D217" s="3"/>
      <c r="E217" s="3" t="s">
        <v>162</v>
      </c>
      <c r="F217" s="3"/>
      <c r="G217" s="3"/>
      <c r="H217" s="3"/>
      <c r="I217" s="3"/>
      <c r="J217" s="3"/>
      <c r="K217" s="3"/>
      <c r="L217" s="3" t="s">
        <v>89</v>
      </c>
      <c r="M217" s="3">
        <v>90</v>
      </c>
      <c r="N217" s="3" t="s">
        <v>21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88</v>
      </c>
      <c r="C218" s="3" t="s">
        <v>162</v>
      </c>
      <c r="D218" s="3"/>
      <c r="E218" s="3" t="s">
        <v>162</v>
      </c>
      <c r="F218" s="3"/>
      <c r="G218" s="3"/>
      <c r="H218" s="3"/>
      <c r="I218" s="3"/>
      <c r="J218" s="3"/>
      <c r="K218" s="3"/>
      <c r="L218" s="3" t="s">
        <v>89</v>
      </c>
      <c r="M218" s="3">
        <v>100</v>
      </c>
      <c r="N218" s="3" t="s">
        <v>22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88</v>
      </c>
      <c r="C219" s="3" t="s">
        <v>162</v>
      </c>
      <c r="D219" s="3"/>
      <c r="E219" s="3" t="s">
        <v>162</v>
      </c>
      <c r="F219" s="3"/>
      <c r="G219" s="3"/>
      <c r="H219" s="3"/>
      <c r="I219" s="3"/>
      <c r="J219" s="3"/>
      <c r="K219" s="3"/>
      <c r="L219" s="3" t="s">
        <v>89</v>
      </c>
      <c r="M219" s="3">
        <v>110</v>
      </c>
      <c r="N219" s="3" t="s">
        <v>144</v>
      </c>
      <c r="O219" s="3"/>
      <c r="P219" s="3"/>
      <c r="Q219" s="3">
        <v>0.66100000000000003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88</v>
      </c>
      <c r="C220" s="3" t="s">
        <v>162</v>
      </c>
      <c r="D220" s="3"/>
      <c r="E220" s="3" t="s">
        <v>162</v>
      </c>
      <c r="F220" s="3"/>
      <c r="G220" s="3"/>
      <c r="H220" s="3"/>
      <c r="I220" s="3"/>
      <c r="J220" s="3"/>
      <c r="K220" s="3"/>
      <c r="L220" s="3" t="s">
        <v>89</v>
      </c>
      <c r="M220" s="3">
        <v>120</v>
      </c>
      <c r="N220" s="3" t="s">
        <v>197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88</v>
      </c>
      <c r="C221" s="3" t="s">
        <v>163</v>
      </c>
      <c r="D221" s="3"/>
      <c r="E221" s="3" t="s">
        <v>163</v>
      </c>
      <c r="F221" s="3"/>
      <c r="G221" s="3"/>
      <c r="H221" s="3"/>
      <c r="I221" s="3"/>
      <c r="J221" s="3"/>
      <c r="K221" s="3"/>
      <c r="L221" s="3" t="s">
        <v>89</v>
      </c>
      <c r="M221" s="3">
        <v>10</v>
      </c>
      <c r="N221" s="3" t="s">
        <v>126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88</v>
      </c>
      <c r="C222" s="3" t="s">
        <v>163</v>
      </c>
      <c r="D222" s="3"/>
      <c r="E222" s="3" t="s">
        <v>163</v>
      </c>
      <c r="F222" s="3"/>
      <c r="G222" s="3"/>
      <c r="H222" s="3"/>
      <c r="I222" s="3"/>
      <c r="J222" s="3"/>
      <c r="K222" s="3"/>
      <c r="L222" s="3" t="s">
        <v>89</v>
      </c>
      <c r="M222" s="3">
        <v>20</v>
      </c>
      <c r="N222" s="3" t="s">
        <v>95</v>
      </c>
      <c r="O222" s="3"/>
      <c r="P222" s="3"/>
      <c r="Q222" s="3">
        <v>0.69</v>
      </c>
      <c r="R222" s="3" t="s">
        <v>96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88</v>
      </c>
      <c r="C223" s="3" t="s">
        <v>163</v>
      </c>
      <c r="D223" s="3"/>
      <c r="E223" s="3" t="s">
        <v>163</v>
      </c>
      <c r="F223" s="3"/>
      <c r="G223" s="3"/>
      <c r="H223" s="3"/>
      <c r="I223" s="3"/>
      <c r="J223" s="3"/>
      <c r="K223" s="3"/>
      <c r="L223" s="3" t="s">
        <v>89</v>
      </c>
      <c r="M223" s="3">
        <v>30</v>
      </c>
      <c r="N223" s="3" t="s">
        <v>106</v>
      </c>
      <c r="O223" s="3"/>
      <c r="P223" s="3"/>
      <c r="Q223" s="3">
        <v>1.5489999999999999</v>
      </c>
      <c r="R223" s="3" t="s">
        <v>11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88</v>
      </c>
      <c r="C224" s="3" t="s">
        <v>163</v>
      </c>
      <c r="D224" s="3"/>
      <c r="E224" s="3" t="s">
        <v>163</v>
      </c>
      <c r="F224" s="3"/>
      <c r="G224" s="3"/>
      <c r="H224" s="3"/>
      <c r="I224" s="3"/>
      <c r="J224" s="3"/>
      <c r="K224" s="3"/>
      <c r="L224" s="3" t="s">
        <v>89</v>
      </c>
      <c r="M224" s="3">
        <v>40</v>
      </c>
      <c r="N224" s="3" t="s">
        <v>107</v>
      </c>
      <c r="O224" s="3"/>
      <c r="P224" s="3"/>
      <c r="Q224" s="3">
        <v>1.5489999999999999</v>
      </c>
      <c r="R224" s="3" t="s">
        <v>15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88</v>
      </c>
      <c r="C225" s="3" t="s">
        <v>163</v>
      </c>
      <c r="D225" s="3"/>
      <c r="E225" s="3" t="s">
        <v>163</v>
      </c>
      <c r="F225" s="3"/>
      <c r="G225" s="3"/>
      <c r="H225" s="3"/>
      <c r="I225" s="3"/>
      <c r="J225" s="3"/>
      <c r="K225" s="3"/>
      <c r="L225" s="3" t="s">
        <v>89</v>
      </c>
      <c r="M225" s="3">
        <v>50</v>
      </c>
      <c r="N225" s="3" t="s">
        <v>104</v>
      </c>
      <c r="O225" s="3"/>
      <c r="P225" s="3"/>
      <c r="Q225" s="3">
        <v>14.427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88</v>
      </c>
      <c r="C226" s="3" t="s">
        <v>163</v>
      </c>
      <c r="D226" s="3"/>
      <c r="E226" s="3" t="s">
        <v>163</v>
      </c>
      <c r="F226" s="3"/>
      <c r="G226" s="3"/>
      <c r="H226" s="3"/>
      <c r="I226" s="3"/>
      <c r="J226" s="3"/>
      <c r="K226" s="3"/>
      <c r="L226" s="3" t="s">
        <v>89</v>
      </c>
      <c r="M226" s="3">
        <v>60</v>
      </c>
      <c r="N226" s="3" t="s">
        <v>105</v>
      </c>
      <c r="O226" s="3"/>
      <c r="P226" s="3"/>
      <c r="Q226" s="3">
        <v>88.727000000000004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88</v>
      </c>
      <c r="C227" s="3" t="s">
        <v>163</v>
      </c>
      <c r="D227" s="3"/>
      <c r="E227" s="3" t="s">
        <v>163</v>
      </c>
      <c r="F227" s="3"/>
      <c r="G227" s="3"/>
      <c r="H227" s="3"/>
      <c r="I227" s="3"/>
      <c r="J227" s="3"/>
      <c r="K227" s="3"/>
      <c r="L227" s="3" t="s">
        <v>89</v>
      </c>
      <c r="M227" s="3">
        <v>70</v>
      </c>
      <c r="N227" s="3" t="s">
        <v>20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88</v>
      </c>
      <c r="C228" s="3" t="s">
        <v>163</v>
      </c>
      <c r="D228" s="3"/>
      <c r="E228" s="3" t="s">
        <v>163</v>
      </c>
      <c r="F228" s="3"/>
      <c r="G228" s="3"/>
      <c r="H228" s="3"/>
      <c r="I228" s="3"/>
      <c r="J228" s="3"/>
      <c r="K228" s="3"/>
      <c r="L228" s="3" t="s">
        <v>89</v>
      </c>
      <c r="M228" s="3">
        <v>80</v>
      </c>
      <c r="N228" s="3" t="s">
        <v>143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88</v>
      </c>
      <c r="C229" s="3" t="s">
        <v>163</v>
      </c>
      <c r="D229" s="3"/>
      <c r="E229" s="3" t="s">
        <v>163</v>
      </c>
      <c r="F229" s="3"/>
      <c r="G229" s="3"/>
      <c r="H229" s="3"/>
      <c r="I229" s="3"/>
      <c r="J229" s="3"/>
      <c r="K229" s="3"/>
      <c r="L229" s="3" t="s">
        <v>89</v>
      </c>
      <c r="M229" s="3">
        <v>90</v>
      </c>
      <c r="N229" s="3" t="s">
        <v>21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88</v>
      </c>
      <c r="C230" s="3" t="s">
        <v>163</v>
      </c>
      <c r="D230" s="3"/>
      <c r="E230" s="3" t="s">
        <v>163</v>
      </c>
      <c r="F230" s="3"/>
      <c r="G230" s="3"/>
      <c r="H230" s="3"/>
      <c r="I230" s="3"/>
      <c r="J230" s="3"/>
      <c r="K230" s="3"/>
      <c r="L230" s="3" t="s">
        <v>89</v>
      </c>
      <c r="M230" s="3">
        <v>100</v>
      </c>
      <c r="N230" s="3" t="s">
        <v>22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88</v>
      </c>
      <c r="C231" s="3" t="s">
        <v>163</v>
      </c>
      <c r="D231" s="3"/>
      <c r="E231" s="3" t="s">
        <v>163</v>
      </c>
      <c r="F231" s="3"/>
      <c r="G231" s="3"/>
      <c r="H231" s="3"/>
      <c r="I231" s="3"/>
      <c r="J231" s="3"/>
      <c r="K231" s="3"/>
      <c r="L231" s="3" t="s">
        <v>89</v>
      </c>
      <c r="M231" s="3">
        <v>110</v>
      </c>
      <c r="N231" s="3" t="s">
        <v>144</v>
      </c>
      <c r="O231" s="3"/>
      <c r="P231" s="3"/>
      <c r="Q231" s="3">
        <v>0.66100000000000003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88</v>
      </c>
      <c r="C232" s="3" t="s">
        <v>163</v>
      </c>
      <c r="D232" s="3"/>
      <c r="E232" s="3" t="s">
        <v>163</v>
      </c>
      <c r="F232" s="3"/>
      <c r="G232" s="3"/>
      <c r="H232" s="3"/>
      <c r="I232" s="3"/>
      <c r="J232" s="3"/>
      <c r="K232" s="3"/>
      <c r="L232" s="3" t="s">
        <v>89</v>
      </c>
      <c r="M232" s="3">
        <v>120</v>
      </c>
      <c r="N232" s="3" t="s">
        <v>198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88</v>
      </c>
      <c r="C233" s="3" t="s">
        <v>164</v>
      </c>
      <c r="D233" s="3"/>
      <c r="E233" s="3" t="s">
        <v>164</v>
      </c>
      <c r="F233" s="3"/>
      <c r="G233" s="3"/>
      <c r="H233" s="3"/>
      <c r="I233" s="3"/>
      <c r="J233" s="3"/>
      <c r="K233" s="3"/>
      <c r="L233" s="3" t="s">
        <v>89</v>
      </c>
      <c r="M233" s="3">
        <v>10</v>
      </c>
      <c r="N233" s="3" t="s">
        <v>127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88</v>
      </c>
      <c r="C234" s="3" t="s">
        <v>164</v>
      </c>
      <c r="D234" s="3"/>
      <c r="E234" s="3" t="s">
        <v>164</v>
      </c>
      <c r="F234" s="3"/>
      <c r="G234" s="3"/>
      <c r="H234" s="3"/>
      <c r="I234" s="3"/>
      <c r="J234" s="3"/>
      <c r="K234" s="3"/>
      <c r="L234" s="3" t="s">
        <v>89</v>
      </c>
      <c r="M234" s="3">
        <v>20</v>
      </c>
      <c r="N234" s="3" t="s">
        <v>95</v>
      </c>
      <c r="O234" s="3"/>
      <c r="P234" s="3"/>
      <c r="Q234" s="3">
        <v>0.76</v>
      </c>
      <c r="R234" s="3" t="s">
        <v>96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88</v>
      </c>
      <c r="C235" s="3" t="s">
        <v>164</v>
      </c>
      <c r="D235" s="3"/>
      <c r="E235" s="3" t="s">
        <v>164</v>
      </c>
      <c r="F235" s="3"/>
      <c r="G235" s="3"/>
      <c r="H235" s="3"/>
      <c r="I235" s="3"/>
      <c r="J235" s="3"/>
      <c r="K235" s="3"/>
      <c r="L235" s="3" t="s">
        <v>89</v>
      </c>
      <c r="M235" s="3">
        <v>30</v>
      </c>
      <c r="N235" s="3" t="s">
        <v>106</v>
      </c>
      <c r="O235" s="3"/>
      <c r="P235" s="3"/>
      <c r="Q235" s="3">
        <v>1.702</v>
      </c>
      <c r="R235" s="3" t="s">
        <v>11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88</v>
      </c>
      <c r="C236" s="3" t="s">
        <v>164</v>
      </c>
      <c r="D236" s="3"/>
      <c r="E236" s="3" t="s">
        <v>164</v>
      </c>
      <c r="F236" s="3"/>
      <c r="G236" s="3"/>
      <c r="H236" s="3"/>
      <c r="I236" s="3"/>
      <c r="J236" s="3"/>
      <c r="K236" s="3"/>
      <c r="L236" s="3" t="s">
        <v>89</v>
      </c>
      <c r="M236" s="3">
        <v>40</v>
      </c>
      <c r="N236" s="3" t="s">
        <v>107</v>
      </c>
      <c r="O236" s="3"/>
      <c r="P236" s="3"/>
      <c r="Q236" s="3">
        <v>1.702</v>
      </c>
      <c r="R236" s="3" t="s">
        <v>15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88</v>
      </c>
      <c r="C237" s="3" t="s">
        <v>164</v>
      </c>
      <c r="D237" s="3"/>
      <c r="E237" s="3" t="s">
        <v>164</v>
      </c>
      <c r="F237" s="3"/>
      <c r="G237" s="3"/>
      <c r="H237" s="3"/>
      <c r="I237" s="3"/>
      <c r="J237" s="3"/>
      <c r="K237" s="3"/>
      <c r="L237" s="3" t="s">
        <v>89</v>
      </c>
      <c r="M237" s="3">
        <v>50</v>
      </c>
      <c r="N237" s="3" t="s">
        <v>104</v>
      </c>
      <c r="O237" s="3"/>
      <c r="P237" s="3"/>
      <c r="Q237" s="3">
        <v>15.037000000000001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88</v>
      </c>
      <c r="C238" s="3" t="s">
        <v>164</v>
      </c>
      <c r="D238" s="3"/>
      <c r="E238" s="3" t="s">
        <v>164</v>
      </c>
      <c r="F238" s="3"/>
      <c r="G238" s="3"/>
      <c r="H238" s="3"/>
      <c r="I238" s="3"/>
      <c r="J238" s="3"/>
      <c r="K238" s="3"/>
      <c r="L238" s="3" t="s">
        <v>89</v>
      </c>
      <c r="M238" s="3">
        <v>60</v>
      </c>
      <c r="N238" s="3" t="s">
        <v>105</v>
      </c>
      <c r="O238" s="3"/>
      <c r="P238" s="3"/>
      <c r="Q238" s="3">
        <v>92.475999999999999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88</v>
      </c>
      <c r="C239" s="3" t="s">
        <v>164</v>
      </c>
      <c r="D239" s="3"/>
      <c r="E239" s="3" t="s">
        <v>164</v>
      </c>
      <c r="F239" s="3"/>
      <c r="G239" s="3"/>
      <c r="H239" s="3"/>
      <c r="I239" s="3"/>
      <c r="J239" s="3"/>
      <c r="K239" s="3"/>
      <c r="L239" s="3" t="s">
        <v>89</v>
      </c>
      <c r="M239" s="3">
        <v>70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88</v>
      </c>
      <c r="C240" s="3" t="s">
        <v>164</v>
      </c>
      <c r="D240" s="3"/>
      <c r="E240" s="3" t="s">
        <v>164</v>
      </c>
      <c r="F240" s="3"/>
      <c r="G240" s="3"/>
      <c r="H240" s="3"/>
      <c r="I240" s="3"/>
      <c r="J240" s="3"/>
      <c r="K240" s="3"/>
      <c r="L240" s="3" t="s">
        <v>89</v>
      </c>
      <c r="M240" s="3">
        <v>80</v>
      </c>
      <c r="N240" s="3" t="s">
        <v>143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88</v>
      </c>
      <c r="C241" s="3" t="s">
        <v>164</v>
      </c>
      <c r="D241" s="3"/>
      <c r="E241" s="3" t="s">
        <v>164</v>
      </c>
      <c r="F241" s="3"/>
      <c r="G241" s="3"/>
      <c r="H241" s="3"/>
      <c r="I241" s="3"/>
      <c r="J241" s="3"/>
      <c r="K241" s="3"/>
      <c r="L241" s="3" t="s">
        <v>89</v>
      </c>
      <c r="M241" s="3">
        <v>90</v>
      </c>
      <c r="N241" s="3" t="s">
        <v>21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88</v>
      </c>
      <c r="C242" s="3" t="s">
        <v>164</v>
      </c>
      <c r="D242" s="3"/>
      <c r="E242" s="3" t="s">
        <v>164</v>
      </c>
      <c r="F242" s="3"/>
      <c r="G242" s="3"/>
      <c r="H242" s="3"/>
      <c r="I242" s="3"/>
      <c r="J242" s="3"/>
      <c r="K242" s="3"/>
      <c r="L242" s="3" t="s">
        <v>89</v>
      </c>
      <c r="M242" s="3">
        <v>100</v>
      </c>
      <c r="N242" s="3" t="s">
        <v>22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88</v>
      </c>
      <c r="C243" s="3" t="s">
        <v>164</v>
      </c>
      <c r="D243" s="3"/>
      <c r="E243" s="3" t="s">
        <v>164</v>
      </c>
      <c r="F243" s="3"/>
      <c r="G243" s="3"/>
      <c r="H243" s="3"/>
      <c r="I243" s="3"/>
      <c r="J243" s="3"/>
      <c r="K243" s="3"/>
      <c r="L243" s="3" t="s">
        <v>89</v>
      </c>
      <c r="M243" s="3">
        <v>110</v>
      </c>
      <c r="N243" s="3" t="s">
        <v>144</v>
      </c>
      <c r="O243" s="3"/>
      <c r="P243" s="3"/>
      <c r="Q243" s="3">
        <v>0.66100000000000003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88</v>
      </c>
      <c r="C244" s="3" t="s">
        <v>164</v>
      </c>
      <c r="D244" s="3"/>
      <c r="E244" s="3" t="s">
        <v>164</v>
      </c>
      <c r="F244" s="3"/>
      <c r="G244" s="3"/>
      <c r="H244" s="3"/>
      <c r="I244" s="3"/>
      <c r="J244" s="3"/>
      <c r="K244" s="3"/>
      <c r="L244" s="3" t="s">
        <v>89</v>
      </c>
      <c r="M244" s="3">
        <v>120</v>
      </c>
      <c r="N244" s="3" t="s">
        <v>199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88</v>
      </c>
      <c r="C245" s="3" t="s">
        <v>165</v>
      </c>
      <c r="D245" s="3"/>
      <c r="E245" s="3" t="s">
        <v>165</v>
      </c>
      <c r="F245" s="3"/>
      <c r="G245" s="3"/>
      <c r="H245" s="3"/>
      <c r="I245" s="3"/>
      <c r="J245" s="3"/>
      <c r="K245" s="3"/>
      <c r="L245" s="3" t="s">
        <v>89</v>
      </c>
      <c r="M245" s="3">
        <v>10</v>
      </c>
      <c r="N245" s="3" t="s">
        <v>128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88</v>
      </c>
      <c r="C246" s="3" t="s">
        <v>165</v>
      </c>
      <c r="D246" s="3"/>
      <c r="E246" s="3" t="s">
        <v>165</v>
      </c>
      <c r="F246" s="3"/>
      <c r="G246" s="3"/>
      <c r="H246" s="3"/>
      <c r="I246" s="3"/>
      <c r="J246" s="3"/>
      <c r="K246" s="3"/>
      <c r="L246" s="3" t="s">
        <v>89</v>
      </c>
      <c r="M246" s="3">
        <v>20</v>
      </c>
      <c r="N246" s="3" t="s">
        <v>95</v>
      </c>
      <c r="O246" s="3"/>
      <c r="P246" s="3"/>
      <c r="Q246" s="3">
        <v>0.83</v>
      </c>
      <c r="R246" s="3" t="s">
        <v>96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88</v>
      </c>
      <c r="C247" s="3" t="s">
        <v>165</v>
      </c>
      <c r="D247" s="3"/>
      <c r="E247" s="3" t="s">
        <v>165</v>
      </c>
      <c r="F247" s="3"/>
      <c r="G247" s="3"/>
      <c r="H247" s="3"/>
      <c r="I247" s="3"/>
      <c r="J247" s="3"/>
      <c r="K247" s="3"/>
      <c r="L247" s="3" t="s">
        <v>89</v>
      </c>
      <c r="M247" s="3">
        <v>30</v>
      </c>
      <c r="N247" s="3" t="s">
        <v>106</v>
      </c>
      <c r="O247" s="3"/>
      <c r="P247" s="3"/>
      <c r="Q247" s="3">
        <v>1.8540000000000001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88</v>
      </c>
      <c r="C248" s="3" t="s">
        <v>165</v>
      </c>
      <c r="D248" s="3"/>
      <c r="E248" s="3" t="s">
        <v>165</v>
      </c>
      <c r="F248" s="3"/>
      <c r="G248" s="3"/>
      <c r="H248" s="3"/>
      <c r="I248" s="3"/>
      <c r="J248" s="3"/>
      <c r="K248" s="3"/>
      <c r="L248" s="3" t="s">
        <v>89</v>
      </c>
      <c r="M248" s="3">
        <v>40</v>
      </c>
      <c r="N248" s="3" t="s">
        <v>107</v>
      </c>
      <c r="O248" s="3"/>
      <c r="P248" s="3"/>
      <c r="Q248" s="3">
        <v>1.8540000000000001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88</v>
      </c>
      <c r="C249" s="3" t="s">
        <v>165</v>
      </c>
      <c r="D249" s="3"/>
      <c r="E249" s="3" t="s">
        <v>165</v>
      </c>
      <c r="F249" s="3"/>
      <c r="G249" s="3"/>
      <c r="H249" s="3"/>
      <c r="I249" s="3"/>
      <c r="J249" s="3"/>
      <c r="K249" s="3"/>
      <c r="L249" s="3" t="s">
        <v>89</v>
      </c>
      <c r="M249" s="3">
        <v>50</v>
      </c>
      <c r="N249" s="3" t="s">
        <v>104</v>
      </c>
      <c r="O249" s="3"/>
      <c r="P249" s="3"/>
      <c r="Q249" s="3">
        <v>15.646000000000001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88</v>
      </c>
      <c r="C250" s="3" t="s">
        <v>165</v>
      </c>
      <c r="D250" s="3"/>
      <c r="E250" s="3" t="s">
        <v>165</v>
      </c>
      <c r="F250" s="3"/>
      <c r="G250" s="3"/>
      <c r="H250" s="3"/>
      <c r="I250" s="3"/>
      <c r="J250" s="3"/>
      <c r="K250" s="3"/>
      <c r="L250" s="3" t="s">
        <v>89</v>
      </c>
      <c r="M250" s="3">
        <v>60</v>
      </c>
      <c r="N250" s="3" t="s">
        <v>105</v>
      </c>
      <c r="O250" s="3"/>
      <c r="P250" s="3"/>
      <c r="Q250" s="3">
        <v>96.224999999999994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88</v>
      </c>
      <c r="C251" s="3" t="s">
        <v>165</v>
      </c>
      <c r="D251" s="3"/>
      <c r="E251" s="3" t="s">
        <v>165</v>
      </c>
      <c r="F251" s="3"/>
      <c r="G251" s="3"/>
      <c r="H251" s="3"/>
      <c r="I251" s="3"/>
      <c r="J251" s="3"/>
      <c r="K251" s="3"/>
      <c r="L251" s="3" t="s">
        <v>89</v>
      </c>
      <c r="M251" s="3">
        <v>70</v>
      </c>
      <c r="N251" s="3" t="s">
        <v>20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88</v>
      </c>
      <c r="C252" s="3" t="s">
        <v>165</v>
      </c>
      <c r="D252" s="3"/>
      <c r="E252" s="3" t="s">
        <v>165</v>
      </c>
      <c r="F252" s="3"/>
      <c r="G252" s="3"/>
      <c r="H252" s="3"/>
      <c r="I252" s="3"/>
      <c r="J252" s="3"/>
      <c r="K252" s="3"/>
      <c r="L252" s="3" t="s">
        <v>89</v>
      </c>
      <c r="M252" s="3">
        <v>80</v>
      </c>
      <c r="N252" s="3" t="s">
        <v>143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88</v>
      </c>
      <c r="C253" s="3" t="s">
        <v>165</v>
      </c>
      <c r="D253" s="3"/>
      <c r="E253" s="3" t="s">
        <v>165</v>
      </c>
      <c r="F253" s="3"/>
      <c r="G253" s="3"/>
      <c r="H253" s="3"/>
      <c r="I253" s="3"/>
      <c r="J253" s="3"/>
      <c r="K253" s="3"/>
      <c r="L253" s="3" t="s">
        <v>89</v>
      </c>
      <c r="M253" s="3">
        <v>90</v>
      </c>
      <c r="N253" s="3" t="s">
        <v>21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88</v>
      </c>
      <c r="C254" s="3" t="s">
        <v>165</v>
      </c>
      <c r="D254" s="3"/>
      <c r="E254" s="3" t="s">
        <v>165</v>
      </c>
      <c r="F254" s="3"/>
      <c r="G254" s="3"/>
      <c r="H254" s="3"/>
      <c r="I254" s="3"/>
      <c r="J254" s="3"/>
      <c r="K254" s="3"/>
      <c r="L254" s="3" t="s">
        <v>89</v>
      </c>
      <c r="M254" s="3">
        <v>100</v>
      </c>
      <c r="N254" s="3" t="s">
        <v>22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88</v>
      </c>
      <c r="C255" s="3" t="s">
        <v>165</v>
      </c>
      <c r="D255" s="3"/>
      <c r="E255" s="3" t="s">
        <v>165</v>
      </c>
      <c r="F255" s="3"/>
      <c r="G255" s="3"/>
      <c r="H255" s="3"/>
      <c r="I255" s="3"/>
      <c r="J255" s="3"/>
      <c r="K255" s="3"/>
      <c r="L255" s="3" t="s">
        <v>89</v>
      </c>
      <c r="M255" s="3">
        <v>110</v>
      </c>
      <c r="N255" s="3" t="s">
        <v>144</v>
      </c>
      <c r="O255" s="3"/>
      <c r="P255" s="3"/>
      <c r="Q255" s="3">
        <v>0.66100000000000003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88</v>
      </c>
      <c r="C256" s="3" t="s">
        <v>165</v>
      </c>
      <c r="D256" s="3"/>
      <c r="E256" s="3" t="s">
        <v>165</v>
      </c>
      <c r="F256" s="3"/>
      <c r="G256" s="3"/>
      <c r="H256" s="3"/>
      <c r="I256" s="3"/>
      <c r="J256" s="3"/>
      <c r="K256" s="3"/>
      <c r="L256" s="3" t="s">
        <v>89</v>
      </c>
      <c r="M256" s="3">
        <v>120</v>
      </c>
      <c r="N256" s="3" t="s">
        <v>200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88</v>
      </c>
      <c r="C257" s="3" t="s">
        <v>166</v>
      </c>
      <c r="D257" s="3"/>
      <c r="E257" s="3" t="s">
        <v>166</v>
      </c>
      <c r="F257" s="3"/>
      <c r="G257" s="3"/>
      <c r="H257" s="3"/>
      <c r="I257" s="3"/>
      <c r="J257" s="3"/>
      <c r="K257" s="3"/>
      <c r="L257" s="3" t="s">
        <v>89</v>
      </c>
      <c r="M257" s="3">
        <v>10</v>
      </c>
      <c r="N257" s="3" t="s">
        <v>129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88</v>
      </c>
      <c r="C258" s="3" t="s">
        <v>166</v>
      </c>
      <c r="D258" s="3"/>
      <c r="E258" s="3" t="s">
        <v>166</v>
      </c>
      <c r="F258" s="3"/>
      <c r="G258" s="3"/>
      <c r="H258" s="3"/>
      <c r="I258" s="3"/>
      <c r="J258" s="3"/>
      <c r="K258" s="3"/>
      <c r="L258" s="3" t="s">
        <v>89</v>
      </c>
      <c r="M258" s="3">
        <v>20</v>
      </c>
      <c r="N258" s="3" t="s">
        <v>95</v>
      </c>
      <c r="O258" s="3"/>
      <c r="P258" s="3"/>
      <c r="Q258" s="3">
        <v>0.34799999999999998</v>
      </c>
      <c r="R258" s="3" t="s">
        <v>96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88</v>
      </c>
      <c r="C259" s="3" t="s">
        <v>166</v>
      </c>
      <c r="D259" s="3"/>
      <c r="E259" s="3" t="s">
        <v>166</v>
      </c>
      <c r="F259" s="3"/>
      <c r="G259" s="3"/>
      <c r="H259" s="3"/>
      <c r="I259" s="3"/>
      <c r="J259" s="3"/>
      <c r="K259" s="3"/>
      <c r="L259" s="3" t="s">
        <v>89</v>
      </c>
      <c r="M259" s="3">
        <v>30</v>
      </c>
      <c r="N259" s="3" t="s">
        <v>106</v>
      </c>
      <c r="O259" s="3"/>
      <c r="P259" s="3"/>
      <c r="Q259" s="3">
        <v>2.0569999999999999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88</v>
      </c>
      <c r="C260" s="3" t="s">
        <v>166</v>
      </c>
      <c r="D260" s="3"/>
      <c r="E260" s="3" t="s">
        <v>166</v>
      </c>
      <c r="F260" s="3"/>
      <c r="G260" s="3"/>
      <c r="H260" s="3"/>
      <c r="I260" s="3"/>
      <c r="J260" s="3"/>
      <c r="K260" s="3"/>
      <c r="L260" s="3" t="s">
        <v>89</v>
      </c>
      <c r="M260" s="3">
        <v>40</v>
      </c>
      <c r="N260" s="3" t="s">
        <v>107</v>
      </c>
      <c r="O260" s="3"/>
      <c r="P260" s="3"/>
      <c r="Q260" s="3">
        <v>2.0569999999999999</v>
      </c>
      <c r="R260" s="3" t="s">
        <v>15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88</v>
      </c>
      <c r="C261" s="3" t="s">
        <v>166</v>
      </c>
      <c r="D261" s="3"/>
      <c r="E261" s="3" t="s">
        <v>166</v>
      </c>
      <c r="F261" s="3"/>
      <c r="G261" s="3"/>
      <c r="H261" s="3"/>
      <c r="I261" s="3"/>
      <c r="J261" s="3"/>
      <c r="K261" s="3"/>
      <c r="L261" s="3" t="s">
        <v>89</v>
      </c>
      <c r="M261" s="3">
        <v>50</v>
      </c>
      <c r="N261" s="3" t="s">
        <v>104</v>
      </c>
      <c r="O261" s="3"/>
      <c r="P261" s="3"/>
      <c r="Q261" s="3">
        <v>11.582000000000001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88</v>
      </c>
      <c r="C262" s="3" t="s">
        <v>166</v>
      </c>
      <c r="D262" s="3"/>
      <c r="E262" s="3" t="s">
        <v>166</v>
      </c>
      <c r="F262" s="3"/>
      <c r="G262" s="3"/>
      <c r="H262" s="3"/>
      <c r="I262" s="3"/>
      <c r="J262" s="3"/>
      <c r="K262" s="3"/>
      <c r="L262" s="3" t="s">
        <v>89</v>
      </c>
      <c r="M262" s="3">
        <v>60</v>
      </c>
      <c r="N262" s="3" t="s">
        <v>105</v>
      </c>
      <c r="O262" s="3"/>
      <c r="P262" s="3"/>
      <c r="Q262" s="3">
        <v>71.231999999999999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88</v>
      </c>
      <c r="C263" s="3" t="s">
        <v>166</v>
      </c>
      <c r="D263" s="3"/>
      <c r="E263" s="3" t="s">
        <v>166</v>
      </c>
      <c r="F263" s="3"/>
      <c r="G263" s="3"/>
      <c r="H263" s="3"/>
      <c r="I263" s="3"/>
      <c r="J263" s="3"/>
      <c r="K263" s="3"/>
      <c r="L263" s="3" t="s">
        <v>89</v>
      </c>
      <c r="M263" s="3">
        <v>70</v>
      </c>
      <c r="N263" s="3" t="s">
        <v>20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88</v>
      </c>
      <c r="C264" s="3" t="s">
        <v>166</v>
      </c>
      <c r="D264" s="3"/>
      <c r="E264" s="3" t="s">
        <v>166</v>
      </c>
      <c r="F264" s="3"/>
      <c r="G264" s="3"/>
      <c r="H264" s="3"/>
      <c r="I264" s="3"/>
      <c r="J264" s="3"/>
      <c r="K264" s="3"/>
      <c r="L264" s="3" t="s">
        <v>89</v>
      </c>
      <c r="M264" s="3">
        <v>80</v>
      </c>
      <c r="N264" s="3" t="s">
        <v>143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88</v>
      </c>
      <c r="C265" s="3" t="s">
        <v>166</v>
      </c>
      <c r="D265" s="3"/>
      <c r="E265" s="3" t="s">
        <v>166</v>
      </c>
      <c r="F265" s="3"/>
      <c r="G265" s="3"/>
      <c r="H265" s="3"/>
      <c r="I265" s="3"/>
      <c r="J265" s="3"/>
      <c r="K265" s="3"/>
      <c r="L265" s="3" t="s">
        <v>89</v>
      </c>
      <c r="M265" s="3">
        <v>90</v>
      </c>
      <c r="N265" s="3" t="s">
        <v>21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88</v>
      </c>
      <c r="C266" s="3" t="s">
        <v>166</v>
      </c>
      <c r="D266" s="3"/>
      <c r="E266" s="3" t="s">
        <v>166</v>
      </c>
      <c r="F266" s="3"/>
      <c r="G266" s="3"/>
      <c r="H266" s="3"/>
      <c r="I266" s="3"/>
      <c r="J266" s="3"/>
      <c r="K266" s="3"/>
      <c r="L266" s="3" t="s">
        <v>89</v>
      </c>
      <c r="M266" s="3">
        <v>100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88</v>
      </c>
      <c r="C267" s="3" t="s">
        <v>166</v>
      </c>
      <c r="D267" s="3"/>
      <c r="E267" s="3" t="s">
        <v>166</v>
      </c>
      <c r="F267" s="3"/>
      <c r="G267" s="3"/>
      <c r="H267" s="3"/>
      <c r="I267" s="3"/>
      <c r="J267" s="3"/>
      <c r="K267" s="3"/>
      <c r="L267" s="3" t="s">
        <v>89</v>
      </c>
      <c r="M267" s="3">
        <v>110</v>
      </c>
      <c r="N267" s="3" t="s">
        <v>144</v>
      </c>
      <c r="O267" s="3"/>
      <c r="P267" s="3"/>
      <c r="Q267" s="3">
        <v>0.67600000000000005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88</v>
      </c>
      <c r="C268" s="3" t="s">
        <v>166</v>
      </c>
      <c r="D268" s="3"/>
      <c r="E268" s="3" t="s">
        <v>166</v>
      </c>
      <c r="F268" s="3"/>
      <c r="G268" s="3"/>
      <c r="H268" s="3"/>
      <c r="I268" s="3"/>
      <c r="J268" s="3"/>
      <c r="K268" s="3"/>
      <c r="L268" s="3" t="s">
        <v>89</v>
      </c>
      <c r="M268" s="3">
        <v>120</v>
      </c>
      <c r="N268" s="3" t="s">
        <v>201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88</v>
      </c>
      <c r="C269" s="3" t="s">
        <v>167</v>
      </c>
      <c r="D269" s="3"/>
      <c r="E269" s="3" t="s">
        <v>167</v>
      </c>
      <c r="F269" s="3"/>
      <c r="G269" s="3"/>
      <c r="H269" s="3"/>
      <c r="I269" s="3"/>
      <c r="J269" s="3"/>
      <c r="K269" s="3"/>
      <c r="L269" s="3" t="s">
        <v>89</v>
      </c>
      <c r="M269" s="3">
        <v>10</v>
      </c>
      <c r="N269" s="3" t="s">
        <v>130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88</v>
      </c>
      <c r="C270" s="3" t="s">
        <v>167</v>
      </c>
      <c r="D270" s="3"/>
      <c r="E270" s="3" t="s">
        <v>167</v>
      </c>
      <c r="F270" s="3"/>
      <c r="G270" s="3"/>
      <c r="H270" s="3"/>
      <c r="I270" s="3"/>
      <c r="J270" s="3"/>
      <c r="K270" s="3"/>
      <c r="L270" s="3" t="s">
        <v>89</v>
      </c>
      <c r="M270" s="3">
        <v>20</v>
      </c>
      <c r="N270" s="3" t="s">
        <v>95</v>
      </c>
      <c r="O270" s="3"/>
      <c r="P270" s="3"/>
      <c r="Q270" s="3">
        <v>0.42</v>
      </c>
      <c r="R270" s="3" t="s">
        <v>96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88</v>
      </c>
      <c r="C271" s="3" t="s">
        <v>167</v>
      </c>
      <c r="D271" s="3"/>
      <c r="E271" s="3" t="s">
        <v>167</v>
      </c>
      <c r="F271" s="3"/>
      <c r="G271" s="3"/>
      <c r="H271" s="3"/>
      <c r="I271" s="3"/>
      <c r="J271" s="3"/>
      <c r="K271" s="3"/>
      <c r="L271" s="3" t="s">
        <v>89</v>
      </c>
      <c r="M271" s="3">
        <v>30</v>
      </c>
      <c r="N271" s="3" t="s">
        <v>106</v>
      </c>
      <c r="O271" s="3"/>
      <c r="P271" s="3"/>
      <c r="Q271" s="3">
        <v>2.0569999999999999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88</v>
      </c>
      <c r="C272" s="3" t="s">
        <v>167</v>
      </c>
      <c r="D272" s="3"/>
      <c r="E272" s="3" t="s">
        <v>167</v>
      </c>
      <c r="F272" s="3"/>
      <c r="G272" s="3"/>
      <c r="H272" s="3"/>
      <c r="I272" s="3"/>
      <c r="J272" s="3"/>
      <c r="K272" s="3"/>
      <c r="L272" s="3" t="s">
        <v>89</v>
      </c>
      <c r="M272" s="3">
        <v>40</v>
      </c>
      <c r="N272" s="3" t="s">
        <v>107</v>
      </c>
      <c r="O272" s="3"/>
      <c r="P272" s="3"/>
      <c r="Q272" s="3">
        <v>2.0569999999999999</v>
      </c>
      <c r="R272" s="3" t="s">
        <v>15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88</v>
      </c>
      <c r="C273" s="3" t="s">
        <v>167</v>
      </c>
      <c r="D273" s="3"/>
      <c r="E273" s="3" t="s">
        <v>167</v>
      </c>
      <c r="F273" s="3"/>
      <c r="G273" s="3"/>
      <c r="H273" s="3"/>
      <c r="I273" s="3"/>
      <c r="J273" s="3"/>
      <c r="K273" s="3"/>
      <c r="L273" s="3" t="s">
        <v>89</v>
      </c>
      <c r="M273" s="3">
        <v>50</v>
      </c>
      <c r="N273" s="3" t="s">
        <v>104</v>
      </c>
      <c r="O273" s="3"/>
      <c r="P273" s="3"/>
      <c r="Q273" s="3">
        <v>12.192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88</v>
      </c>
      <c r="C274" s="3" t="s">
        <v>167</v>
      </c>
      <c r="D274" s="3"/>
      <c r="E274" s="3" t="s">
        <v>167</v>
      </c>
      <c r="F274" s="3"/>
      <c r="G274" s="3"/>
      <c r="H274" s="3"/>
      <c r="I274" s="3"/>
      <c r="J274" s="3"/>
      <c r="K274" s="3"/>
      <c r="L274" s="3" t="s">
        <v>89</v>
      </c>
      <c r="M274" s="3">
        <v>60</v>
      </c>
      <c r="N274" s="3" t="s">
        <v>105</v>
      </c>
      <c r="O274" s="3"/>
      <c r="P274" s="3"/>
      <c r="Q274" s="3">
        <v>74.980999999999995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88</v>
      </c>
      <c r="C275" s="3" t="s">
        <v>167</v>
      </c>
      <c r="D275" s="3"/>
      <c r="E275" s="3" t="s">
        <v>167</v>
      </c>
      <c r="F275" s="3"/>
      <c r="G275" s="3"/>
      <c r="H275" s="3"/>
      <c r="I275" s="3"/>
      <c r="J275" s="3"/>
      <c r="K275" s="3"/>
      <c r="L275" s="3" t="s">
        <v>89</v>
      </c>
      <c r="M275" s="3">
        <v>70</v>
      </c>
      <c r="N275" s="3" t="s">
        <v>20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88</v>
      </c>
      <c r="C276" s="3" t="s">
        <v>167</v>
      </c>
      <c r="D276" s="3"/>
      <c r="E276" s="3" t="s">
        <v>167</v>
      </c>
      <c r="F276" s="3"/>
      <c r="G276" s="3"/>
      <c r="H276" s="3"/>
      <c r="I276" s="3"/>
      <c r="J276" s="3"/>
      <c r="K276" s="3"/>
      <c r="L276" s="3" t="s">
        <v>89</v>
      </c>
      <c r="M276" s="3">
        <v>80</v>
      </c>
      <c r="N276" s="3" t="s">
        <v>143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88</v>
      </c>
      <c r="C277" s="3" t="s">
        <v>167</v>
      </c>
      <c r="D277" s="3"/>
      <c r="E277" s="3" t="s">
        <v>167</v>
      </c>
      <c r="F277" s="3"/>
      <c r="G277" s="3"/>
      <c r="H277" s="3"/>
      <c r="I277" s="3"/>
      <c r="J277" s="3"/>
      <c r="K277" s="3"/>
      <c r="L277" s="3" t="s">
        <v>89</v>
      </c>
      <c r="M277" s="3">
        <v>90</v>
      </c>
      <c r="N277" s="3" t="s">
        <v>21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88</v>
      </c>
      <c r="C278" s="3" t="s">
        <v>167</v>
      </c>
      <c r="D278" s="3"/>
      <c r="E278" s="3" t="s">
        <v>167</v>
      </c>
      <c r="F278" s="3"/>
      <c r="G278" s="3"/>
      <c r="H278" s="3"/>
      <c r="I278" s="3"/>
      <c r="J278" s="3"/>
      <c r="K278" s="3"/>
      <c r="L278" s="3" t="s">
        <v>89</v>
      </c>
      <c r="M278" s="3">
        <v>100</v>
      </c>
      <c r="N278" s="3" t="s">
        <v>22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88</v>
      </c>
      <c r="C279" s="3" t="s">
        <v>167</v>
      </c>
      <c r="D279" s="3"/>
      <c r="E279" s="3" t="s">
        <v>167</v>
      </c>
      <c r="F279" s="3"/>
      <c r="G279" s="3"/>
      <c r="H279" s="3"/>
      <c r="I279" s="3"/>
      <c r="J279" s="3"/>
      <c r="K279" s="3"/>
      <c r="L279" s="3" t="s">
        <v>89</v>
      </c>
      <c r="M279" s="3">
        <v>110</v>
      </c>
      <c r="N279" s="3" t="s">
        <v>144</v>
      </c>
      <c r="O279" s="3"/>
      <c r="P279" s="3"/>
      <c r="Q279" s="3">
        <v>0.67600000000000005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88</v>
      </c>
      <c r="C280" s="3" t="s">
        <v>167</v>
      </c>
      <c r="D280" s="3"/>
      <c r="E280" s="3" t="s">
        <v>167</v>
      </c>
      <c r="F280" s="3"/>
      <c r="G280" s="3"/>
      <c r="H280" s="3"/>
      <c r="I280" s="3"/>
      <c r="J280" s="3"/>
      <c r="K280" s="3"/>
      <c r="L280" s="3" t="s">
        <v>89</v>
      </c>
      <c r="M280" s="3">
        <v>120</v>
      </c>
      <c r="N280" s="3" t="s">
        <v>202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88</v>
      </c>
      <c r="C281" s="3" t="s">
        <v>168</v>
      </c>
      <c r="D281" s="3"/>
      <c r="E281" s="3" t="s">
        <v>168</v>
      </c>
      <c r="F281" s="3"/>
      <c r="G281" s="3"/>
      <c r="H281" s="3"/>
      <c r="I281" s="3"/>
      <c r="J281" s="3"/>
      <c r="K281" s="3"/>
      <c r="L281" s="3" t="s">
        <v>89</v>
      </c>
      <c r="M281" s="3">
        <v>10</v>
      </c>
      <c r="N281" s="3" t="s">
        <v>131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88</v>
      </c>
      <c r="C282" s="3" t="s">
        <v>168</v>
      </c>
      <c r="D282" s="3"/>
      <c r="E282" s="3" t="s">
        <v>168</v>
      </c>
      <c r="F282" s="3"/>
      <c r="G282" s="3"/>
      <c r="H282" s="3"/>
      <c r="I282" s="3"/>
      <c r="J282" s="3"/>
      <c r="K282" s="3"/>
      <c r="L282" s="3" t="s">
        <v>89</v>
      </c>
      <c r="M282" s="3">
        <v>20</v>
      </c>
      <c r="N282" s="3" t="s">
        <v>95</v>
      </c>
      <c r="O282" s="3"/>
      <c r="P282" s="3"/>
      <c r="Q282" s="3">
        <v>0.49199999999999999</v>
      </c>
      <c r="R282" s="3" t="s">
        <v>96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88</v>
      </c>
      <c r="C283" s="3" t="s">
        <v>168</v>
      </c>
      <c r="D283" s="3"/>
      <c r="E283" s="3" t="s">
        <v>168</v>
      </c>
      <c r="F283" s="3"/>
      <c r="G283" s="3"/>
      <c r="H283" s="3"/>
      <c r="I283" s="3"/>
      <c r="J283" s="3"/>
      <c r="K283" s="3"/>
      <c r="L283" s="3" t="s">
        <v>89</v>
      </c>
      <c r="M283" s="3">
        <v>30</v>
      </c>
      <c r="N283" s="3" t="s">
        <v>106</v>
      </c>
      <c r="O283" s="3"/>
      <c r="P283" s="3"/>
      <c r="Q283" s="3">
        <v>2.0569999999999999</v>
      </c>
      <c r="R283" s="3" t="s">
        <v>11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88</v>
      </c>
      <c r="C284" s="3" t="s">
        <v>168</v>
      </c>
      <c r="D284" s="3"/>
      <c r="E284" s="3" t="s">
        <v>168</v>
      </c>
      <c r="F284" s="3"/>
      <c r="G284" s="3"/>
      <c r="H284" s="3"/>
      <c r="I284" s="3"/>
      <c r="J284" s="3"/>
      <c r="K284" s="3"/>
      <c r="L284" s="3" t="s">
        <v>89</v>
      </c>
      <c r="M284" s="3">
        <v>40</v>
      </c>
      <c r="N284" s="3" t="s">
        <v>107</v>
      </c>
      <c r="O284" s="3"/>
      <c r="P284" s="3"/>
      <c r="Q284" s="3">
        <v>2.0569999999999999</v>
      </c>
      <c r="R284" s="3" t="s">
        <v>15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88</v>
      </c>
      <c r="C285" s="3" t="s">
        <v>168</v>
      </c>
      <c r="D285" s="3"/>
      <c r="E285" s="3" t="s">
        <v>168</v>
      </c>
      <c r="F285" s="3"/>
      <c r="G285" s="3"/>
      <c r="H285" s="3"/>
      <c r="I285" s="3"/>
      <c r="J285" s="3"/>
      <c r="K285" s="3"/>
      <c r="L285" s="3" t="s">
        <v>89</v>
      </c>
      <c r="M285" s="3">
        <v>50</v>
      </c>
      <c r="N285" s="3" t="s">
        <v>104</v>
      </c>
      <c r="O285" s="3"/>
      <c r="P285" s="3"/>
      <c r="Q285" s="3">
        <v>12.802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88</v>
      </c>
      <c r="C286" s="3" t="s">
        <v>168</v>
      </c>
      <c r="D286" s="3"/>
      <c r="E286" s="3" t="s">
        <v>168</v>
      </c>
      <c r="F286" s="3"/>
      <c r="G286" s="3"/>
      <c r="H286" s="3"/>
      <c r="I286" s="3"/>
      <c r="J286" s="3"/>
      <c r="K286" s="3"/>
      <c r="L286" s="3" t="s">
        <v>89</v>
      </c>
      <c r="M286" s="3">
        <v>60</v>
      </c>
      <c r="N286" s="3" t="s">
        <v>105</v>
      </c>
      <c r="O286" s="3"/>
      <c r="P286" s="3"/>
      <c r="Q286" s="3">
        <v>78.73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88</v>
      </c>
      <c r="C287" s="3" t="s">
        <v>168</v>
      </c>
      <c r="D287" s="3"/>
      <c r="E287" s="3" t="s">
        <v>168</v>
      </c>
      <c r="F287" s="3"/>
      <c r="G287" s="3"/>
      <c r="H287" s="3"/>
      <c r="I287" s="3"/>
      <c r="J287" s="3"/>
      <c r="K287" s="3"/>
      <c r="L287" s="3" t="s">
        <v>89</v>
      </c>
      <c r="M287" s="3">
        <v>70</v>
      </c>
      <c r="N287" s="3" t="s">
        <v>20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88</v>
      </c>
      <c r="C288" s="3" t="s">
        <v>168</v>
      </c>
      <c r="D288" s="3"/>
      <c r="E288" s="3" t="s">
        <v>168</v>
      </c>
      <c r="F288" s="3"/>
      <c r="G288" s="3"/>
      <c r="H288" s="3"/>
      <c r="I288" s="3"/>
      <c r="J288" s="3"/>
      <c r="K288" s="3"/>
      <c r="L288" s="3" t="s">
        <v>89</v>
      </c>
      <c r="M288" s="3">
        <v>80</v>
      </c>
      <c r="N288" s="3" t="s">
        <v>143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88</v>
      </c>
      <c r="C289" s="3" t="s">
        <v>168</v>
      </c>
      <c r="D289" s="3"/>
      <c r="E289" s="3" t="s">
        <v>168</v>
      </c>
      <c r="F289" s="3"/>
      <c r="G289" s="3"/>
      <c r="H289" s="3"/>
      <c r="I289" s="3"/>
      <c r="J289" s="3"/>
      <c r="K289" s="3"/>
      <c r="L289" s="3" t="s">
        <v>89</v>
      </c>
      <c r="M289" s="3">
        <v>90</v>
      </c>
      <c r="N289" s="3" t="s">
        <v>21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88</v>
      </c>
      <c r="C290" s="3" t="s">
        <v>168</v>
      </c>
      <c r="D290" s="3"/>
      <c r="E290" s="3" t="s">
        <v>168</v>
      </c>
      <c r="F290" s="3"/>
      <c r="G290" s="3"/>
      <c r="H290" s="3"/>
      <c r="I290" s="3"/>
      <c r="J290" s="3"/>
      <c r="K290" s="3"/>
      <c r="L290" s="3" t="s">
        <v>89</v>
      </c>
      <c r="M290" s="3">
        <v>100</v>
      </c>
      <c r="N290" s="3" t="s">
        <v>22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88</v>
      </c>
      <c r="C291" s="3" t="s">
        <v>168</v>
      </c>
      <c r="D291" s="3"/>
      <c r="E291" s="3" t="s">
        <v>168</v>
      </c>
      <c r="F291" s="3"/>
      <c r="G291" s="3"/>
      <c r="H291" s="3"/>
      <c r="I291" s="3"/>
      <c r="J291" s="3"/>
      <c r="K291" s="3"/>
      <c r="L291" s="3" t="s">
        <v>89</v>
      </c>
      <c r="M291" s="3">
        <v>110</v>
      </c>
      <c r="N291" s="3" t="s">
        <v>144</v>
      </c>
      <c r="O291" s="3"/>
      <c r="P291" s="3"/>
      <c r="Q291" s="3">
        <v>0.67600000000000005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88</v>
      </c>
      <c r="C292" s="3" t="s">
        <v>168</v>
      </c>
      <c r="D292" s="3"/>
      <c r="E292" s="3" t="s">
        <v>168</v>
      </c>
      <c r="F292" s="3"/>
      <c r="G292" s="3"/>
      <c r="H292" s="3"/>
      <c r="I292" s="3"/>
      <c r="J292" s="3"/>
      <c r="K292" s="3"/>
      <c r="L292" s="3" t="s">
        <v>89</v>
      </c>
      <c r="M292" s="3">
        <v>120</v>
      </c>
      <c r="N292" s="3" t="s">
        <v>203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88</v>
      </c>
      <c r="C293" s="3" t="s">
        <v>169</v>
      </c>
      <c r="D293" s="3"/>
      <c r="E293" s="3" t="s">
        <v>169</v>
      </c>
      <c r="F293" s="3"/>
      <c r="G293" s="3"/>
      <c r="H293" s="3"/>
      <c r="I293" s="3"/>
      <c r="J293" s="3"/>
      <c r="K293" s="3"/>
      <c r="L293" s="3" t="s">
        <v>89</v>
      </c>
      <c r="M293" s="3">
        <v>10</v>
      </c>
      <c r="N293" s="3" t="s">
        <v>132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88</v>
      </c>
      <c r="C294" s="3" t="s">
        <v>169</v>
      </c>
      <c r="D294" s="3"/>
      <c r="E294" s="3" t="s">
        <v>169</v>
      </c>
      <c r="F294" s="3"/>
      <c r="G294" s="3"/>
      <c r="H294" s="3"/>
      <c r="I294" s="3"/>
      <c r="J294" s="3"/>
      <c r="K294" s="3"/>
      <c r="L294" s="3" t="s">
        <v>89</v>
      </c>
      <c r="M294" s="3">
        <v>20</v>
      </c>
      <c r="N294" s="3" t="s">
        <v>95</v>
      </c>
      <c r="O294" s="3"/>
      <c r="P294" s="3"/>
      <c r="Q294" s="3">
        <v>0.56399999999999995</v>
      </c>
      <c r="R294" s="3" t="s">
        <v>96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88</v>
      </c>
      <c r="C295" s="3" t="s">
        <v>169</v>
      </c>
      <c r="D295" s="3"/>
      <c r="E295" s="3" t="s">
        <v>169</v>
      </c>
      <c r="F295" s="3"/>
      <c r="G295" s="3"/>
      <c r="H295" s="3"/>
      <c r="I295" s="3"/>
      <c r="J295" s="3"/>
      <c r="K295" s="3"/>
      <c r="L295" s="3" t="s">
        <v>89</v>
      </c>
      <c r="M295" s="3">
        <v>30</v>
      </c>
      <c r="N295" s="3" t="s">
        <v>106</v>
      </c>
      <c r="O295" s="3"/>
      <c r="P295" s="3"/>
      <c r="Q295" s="3">
        <v>2.0569999999999999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88</v>
      </c>
      <c r="C296" s="3" t="s">
        <v>169</v>
      </c>
      <c r="D296" s="3"/>
      <c r="E296" s="3" t="s">
        <v>169</v>
      </c>
      <c r="F296" s="3"/>
      <c r="G296" s="3"/>
      <c r="H296" s="3"/>
      <c r="I296" s="3"/>
      <c r="J296" s="3"/>
      <c r="K296" s="3"/>
      <c r="L296" s="3" t="s">
        <v>89</v>
      </c>
      <c r="M296" s="3">
        <v>40</v>
      </c>
      <c r="N296" s="3" t="s">
        <v>107</v>
      </c>
      <c r="O296" s="3"/>
      <c r="P296" s="3"/>
      <c r="Q296" s="3">
        <v>2.0569999999999999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88</v>
      </c>
      <c r="C297" s="3" t="s">
        <v>169</v>
      </c>
      <c r="D297" s="3"/>
      <c r="E297" s="3" t="s">
        <v>169</v>
      </c>
      <c r="F297" s="3"/>
      <c r="G297" s="3"/>
      <c r="H297" s="3"/>
      <c r="I297" s="3"/>
      <c r="J297" s="3"/>
      <c r="K297" s="3"/>
      <c r="L297" s="3" t="s">
        <v>89</v>
      </c>
      <c r="M297" s="3">
        <v>50</v>
      </c>
      <c r="N297" s="3" t="s">
        <v>104</v>
      </c>
      <c r="O297" s="3"/>
      <c r="P297" s="3"/>
      <c r="Q297" s="3">
        <v>13.411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88</v>
      </c>
      <c r="C298" s="3" t="s">
        <v>169</v>
      </c>
      <c r="D298" s="3"/>
      <c r="E298" s="3" t="s">
        <v>169</v>
      </c>
      <c r="F298" s="3"/>
      <c r="G298" s="3"/>
      <c r="H298" s="3"/>
      <c r="I298" s="3"/>
      <c r="J298" s="3"/>
      <c r="K298" s="3"/>
      <c r="L298" s="3" t="s">
        <v>89</v>
      </c>
      <c r="M298" s="3">
        <v>60</v>
      </c>
      <c r="N298" s="3" t="s">
        <v>105</v>
      </c>
      <c r="O298" s="3"/>
      <c r="P298" s="3"/>
      <c r="Q298" s="3">
        <v>82.478999999999999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88</v>
      </c>
      <c r="C299" s="3" t="s">
        <v>169</v>
      </c>
      <c r="D299" s="3"/>
      <c r="E299" s="3" t="s">
        <v>169</v>
      </c>
      <c r="F299" s="3"/>
      <c r="G299" s="3"/>
      <c r="H299" s="3"/>
      <c r="I299" s="3"/>
      <c r="J299" s="3"/>
      <c r="K299" s="3"/>
      <c r="L299" s="3" t="s">
        <v>89</v>
      </c>
      <c r="M299" s="3">
        <v>70</v>
      </c>
      <c r="N299" s="3" t="s">
        <v>20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88</v>
      </c>
      <c r="C300" s="3" t="s">
        <v>169</v>
      </c>
      <c r="D300" s="3"/>
      <c r="E300" s="3" t="s">
        <v>169</v>
      </c>
      <c r="F300" s="3"/>
      <c r="G300" s="3"/>
      <c r="H300" s="3"/>
      <c r="I300" s="3"/>
      <c r="J300" s="3"/>
      <c r="K300" s="3"/>
      <c r="L300" s="3" t="s">
        <v>89</v>
      </c>
      <c r="M300" s="3">
        <v>80</v>
      </c>
      <c r="N300" s="3" t="s">
        <v>143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88</v>
      </c>
      <c r="C301" s="3" t="s">
        <v>169</v>
      </c>
      <c r="D301" s="3"/>
      <c r="E301" s="3" t="s">
        <v>169</v>
      </c>
      <c r="F301" s="3"/>
      <c r="G301" s="3"/>
      <c r="H301" s="3"/>
      <c r="I301" s="3"/>
      <c r="J301" s="3"/>
      <c r="K301" s="3"/>
      <c r="L301" s="3" t="s">
        <v>89</v>
      </c>
      <c r="M301" s="3">
        <v>90</v>
      </c>
      <c r="N301" s="3" t="s">
        <v>21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88</v>
      </c>
      <c r="C302" s="3" t="s">
        <v>169</v>
      </c>
      <c r="D302" s="3"/>
      <c r="E302" s="3" t="s">
        <v>169</v>
      </c>
      <c r="F302" s="3"/>
      <c r="G302" s="3"/>
      <c r="H302" s="3"/>
      <c r="I302" s="3"/>
      <c r="J302" s="3"/>
      <c r="K302" s="3"/>
      <c r="L302" s="3" t="s">
        <v>89</v>
      </c>
      <c r="M302" s="3">
        <v>100</v>
      </c>
      <c r="N302" s="3" t="s">
        <v>22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88</v>
      </c>
      <c r="C303" s="3" t="s">
        <v>169</v>
      </c>
      <c r="D303" s="3"/>
      <c r="E303" s="3" t="s">
        <v>169</v>
      </c>
      <c r="F303" s="3"/>
      <c r="G303" s="3"/>
      <c r="H303" s="3"/>
      <c r="I303" s="3"/>
      <c r="J303" s="3"/>
      <c r="K303" s="3"/>
      <c r="L303" s="3" t="s">
        <v>89</v>
      </c>
      <c r="M303" s="3">
        <v>110</v>
      </c>
      <c r="N303" s="3" t="s">
        <v>144</v>
      </c>
      <c r="O303" s="3"/>
      <c r="P303" s="3"/>
      <c r="Q303" s="3">
        <v>0.67600000000000005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88</v>
      </c>
      <c r="C304" s="3" t="s">
        <v>169</v>
      </c>
      <c r="D304" s="3"/>
      <c r="E304" s="3" t="s">
        <v>169</v>
      </c>
      <c r="F304" s="3"/>
      <c r="G304" s="3"/>
      <c r="H304" s="3"/>
      <c r="I304" s="3"/>
      <c r="J304" s="3"/>
      <c r="K304" s="3"/>
      <c r="L304" s="3" t="s">
        <v>89</v>
      </c>
      <c r="M304" s="3">
        <v>120</v>
      </c>
      <c r="N304" s="3" t="s">
        <v>204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88</v>
      </c>
      <c r="C305" s="3" t="s">
        <v>170</v>
      </c>
      <c r="D305" s="3"/>
      <c r="E305" s="3" t="s">
        <v>170</v>
      </c>
      <c r="F305" s="3"/>
      <c r="G305" s="3"/>
      <c r="H305" s="3"/>
      <c r="I305" s="3"/>
      <c r="J305" s="3"/>
      <c r="K305" s="3"/>
      <c r="L305" s="3" t="s">
        <v>89</v>
      </c>
      <c r="M305" s="3">
        <v>10</v>
      </c>
      <c r="N305" s="3" t="s">
        <v>133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88</v>
      </c>
      <c r="C306" s="3" t="s">
        <v>170</v>
      </c>
      <c r="D306" s="3"/>
      <c r="E306" s="3" t="s">
        <v>170</v>
      </c>
      <c r="F306" s="3"/>
      <c r="G306" s="3"/>
      <c r="H306" s="3"/>
      <c r="I306" s="3"/>
      <c r="J306" s="3"/>
      <c r="K306" s="3"/>
      <c r="L306" s="3" t="s">
        <v>89</v>
      </c>
      <c r="M306" s="3">
        <v>20</v>
      </c>
      <c r="N306" s="3" t="s">
        <v>95</v>
      </c>
      <c r="O306" s="3"/>
      <c r="P306" s="3"/>
      <c r="Q306" s="3">
        <v>0.70799999999999996</v>
      </c>
      <c r="R306" s="3" t="s">
        <v>96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88</v>
      </c>
      <c r="C307" s="3" t="s">
        <v>170</v>
      </c>
      <c r="D307" s="3"/>
      <c r="E307" s="3" t="s">
        <v>170</v>
      </c>
      <c r="F307" s="3"/>
      <c r="G307" s="3"/>
      <c r="H307" s="3"/>
      <c r="I307" s="3"/>
      <c r="J307" s="3"/>
      <c r="K307" s="3"/>
      <c r="L307" s="3" t="s">
        <v>89</v>
      </c>
      <c r="M307" s="3">
        <v>30</v>
      </c>
      <c r="N307" s="3" t="s">
        <v>106</v>
      </c>
      <c r="O307" s="3"/>
      <c r="P307" s="3"/>
      <c r="Q307" s="3">
        <v>2.0569999999999999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88</v>
      </c>
      <c r="C308" s="3" t="s">
        <v>170</v>
      </c>
      <c r="D308" s="3"/>
      <c r="E308" s="3" t="s">
        <v>170</v>
      </c>
      <c r="F308" s="3"/>
      <c r="G308" s="3"/>
      <c r="H308" s="3"/>
      <c r="I308" s="3"/>
      <c r="J308" s="3"/>
      <c r="K308" s="3"/>
      <c r="L308" s="3" t="s">
        <v>89</v>
      </c>
      <c r="M308" s="3">
        <v>40</v>
      </c>
      <c r="N308" s="3" t="s">
        <v>107</v>
      </c>
      <c r="O308" s="3"/>
      <c r="P308" s="3"/>
      <c r="Q308" s="3">
        <v>2.0569999999999999</v>
      </c>
      <c r="R308" s="3" t="s">
        <v>15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88</v>
      </c>
      <c r="C309" s="3" t="s">
        <v>170</v>
      </c>
      <c r="D309" s="3"/>
      <c r="E309" s="3" t="s">
        <v>170</v>
      </c>
      <c r="F309" s="3"/>
      <c r="G309" s="3"/>
      <c r="H309" s="3"/>
      <c r="I309" s="3"/>
      <c r="J309" s="3"/>
      <c r="K309" s="3"/>
      <c r="L309" s="3" t="s">
        <v>89</v>
      </c>
      <c r="M309" s="3">
        <v>50</v>
      </c>
      <c r="N309" s="3" t="s">
        <v>104</v>
      </c>
      <c r="O309" s="3"/>
      <c r="P309" s="3"/>
      <c r="Q309" s="3">
        <v>14.63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88</v>
      </c>
      <c r="C310" s="3" t="s">
        <v>170</v>
      </c>
      <c r="D310" s="3"/>
      <c r="E310" s="3" t="s">
        <v>170</v>
      </c>
      <c r="F310" s="3"/>
      <c r="G310" s="3"/>
      <c r="H310" s="3"/>
      <c r="I310" s="3"/>
      <c r="J310" s="3"/>
      <c r="K310" s="3"/>
      <c r="L310" s="3" t="s">
        <v>89</v>
      </c>
      <c r="M310" s="3">
        <v>60</v>
      </c>
      <c r="N310" s="3" t="s">
        <v>105</v>
      </c>
      <c r="O310" s="3"/>
      <c r="P310" s="3"/>
      <c r="Q310" s="3">
        <v>89.977000000000004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88</v>
      </c>
      <c r="C311" s="3" t="s">
        <v>170</v>
      </c>
      <c r="D311" s="3"/>
      <c r="E311" s="3" t="s">
        <v>170</v>
      </c>
      <c r="F311" s="3"/>
      <c r="G311" s="3"/>
      <c r="H311" s="3"/>
      <c r="I311" s="3"/>
      <c r="J311" s="3"/>
      <c r="K311" s="3"/>
      <c r="L311" s="3" t="s">
        <v>89</v>
      </c>
      <c r="M311" s="3">
        <v>70</v>
      </c>
      <c r="N311" s="3" t="s">
        <v>20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88</v>
      </c>
      <c r="C312" s="3" t="s">
        <v>170</v>
      </c>
      <c r="D312" s="3"/>
      <c r="E312" s="3" t="s">
        <v>170</v>
      </c>
      <c r="F312" s="3"/>
      <c r="G312" s="3"/>
      <c r="H312" s="3"/>
      <c r="I312" s="3"/>
      <c r="J312" s="3"/>
      <c r="K312" s="3"/>
      <c r="L312" s="3" t="s">
        <v>89</v>
      </c>
      <c r="M312" s="3">
        <v>80</v>
      </c>
      <c r="N312" s="3" t="s">
        <v>143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88</v>
      </c>
      <c r="C313" s="3" t="s">
        <v>170</v>
      </c>
      <c r="D313" s="3"/>
      <c r="E313" s="3" t="s">
        <v>170</v>
      </c>
      <c r="F313" s="3"/>
      <c r="G313" s="3"/>
      <c r="H313" s="3"/>
      <c r="I313" s="3"/>
      <c r="J313" s="3"/>
      <c r="K313" s="3"/>
      <c r="L313" s="3" t="s">
        <v>89</v>
      </c>
      <c r="M313" s="3">
        <v>90</v>
      </c>
      <c r="N313" s="3" t="s">
        <v>21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88</v>
      </c>
      <c r="C314" s="3" t="s">
        <v>170</v>
      </c>
      <c r="D314" s="3"/>
      <c r="E314" s="3" t="s">
        <v>170</v>
      </c>
      <c r="F314" s="3"/>
      <c r="G314" s="3"/>
      <c r="H314" s="3"/>
      <c r="I314" s="3"/>
      <c r="J314" s="3"/>
      <c r="K314" s="3"/>
      <c r="L314" s="3" t="s">
        <v>89</v>
      </c>
      <c r="M314" s="3">
        <v>100</v>
      </c>
      <c r="N314" s="3" t="s">
        <v>22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88</v>
      </c>
      <c r="C315" s="3" t="s">
        <v>170</v>
      </c>
      <c r="D315" s="3"/>
      <c r="E315" s="3" t="s">
        <v>170</v>
      </c>
      <c r="F315" s="3"/>
      <c r="G315" s="3"/>
      <c r="H315" s="3"/>
      <c r="I315" s="3"/>
      <c r="J315" s="3"/>
      <c r="K315" s="3"/>
      <c r="L315" s="3" t="s">
        <v>89</v>
      </c>
      <c r="M315" s="3">
        <v>110</v>
      </c>
      <c r="N315" s="3" t="s">
        <v>144</v>
      </c>
      <c r="O315" s="3"/>
      <c r="P315" s="3"/>
      <c r="Q315" s="3">
        <v>0.67600000000000005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88</v>
      </c>
      <c r="C316" s="3" t="s">
        <v>170</v>
      </c>
      <c r="D316" s="3"/>
      <c r="E316" s="3" t="s">
        <v>170</v>
      </c>
      <c r="F316" s="3"/>
      <c r="G316" s="3"/>
      <c r="H316" s="3"/>
      <c r="I316" s="3"/>
      <c r="J316" s="3"/>
      <c r="K316" s="3"/>
      <c r="L316" s="3" t="s">
        <v>89</v>
      </c>
      <c r="M316" s="3">
        <v>120</v>
      </c>
      <c r="N316" s="3" t="s">
        <v>205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88</v>
      </c>
      <c r="C317" s="3" t="s">
        <v>171</v>
      </c>
      <c r="D317" s="3"/>
      <c r="E317" s="3" t="s">
        <v>171</v>
      </c>
      <c r="F317" s="3"/>
      <c r="G317" s="3"/>
      <c r="H317" s="3"/>
      <c r="I317" s="3"/>
      <c r="J317" s="3"/>
      <c r="K317" s="3"/>
      <c r="L317" s="3" t="s">
        <v>89</v>
      </c>
      <c r="M317" s="3">
        <v>10</v>
      </c>
      <c r="N317" s="3" t="s">
        <v>134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88</v>
      </c>
      <c r="C318" s="3" t="s">
        <v>171</v>
      </c>
      <c r="D318" s="3"/>
      <c r="E318" s="3" t="s">
        <v>171</v>
      </c>
      <c r="F318" s="3"/>
      <c r="G318" s="3"/>
      <c r="H318" s="3"/>
      <c r="I318" s="3"/>
      <c r="J318" s="3"/>
      <c r="K318" s="3"/>
      <c r="L318" s="3" t="s">
        <v>89</v>
      </c>
      <c r="M318" s="3">
        <v>20</v>
      </c>
      <c r="N318" s="3" t="s">
        <v>95</v>
      </c>
      <c r="O318" s="3"/>
      <c r="P318" s="3"/>
      <c r="Q318" s="3">
        <v>0.78</v>
      </c>
      <c r="R318" s="3" t="s">
        <v>96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88</v>
      </c>
      <c r="C319" s="3" t="s">
        <v>171</v>
      </c>
      <c r="D319" s="3"/>
      <c r="E319" s="3" t="s">
        <v>171</v>
      </c>
      <c r="F319" s="3"/>
      <c r="G319" s="3"/>
      <c r="H319" s="3"/>
      <c r="I319" s="3"/>
      <c r="J319" s="3"/>
      <c r="K319" s="3"/>
      <c r="L319" s="3" t="s">
        <v>89</v>
      </c>
      <c r="M319" s="3">
        <v>30</v>
      </c>
      <c r="N319" s="3" t="s">
        <v>106</v>
      </c>
      <c r="O319" s="3"/>
      <c r="P319" s="3"/>
      <c r="Q319" s="3">
        <v>2.0569999999999999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88</v>
      </c>
      <c r="C320" s="3" t="s">
        <v>171</v>
      </c>
      <c r="D320" s="3"/>
      <c r="E320" s="3" t="s">
        <v>171</v>
      </c>
      <c r="F320" s="3"/>
      <c r="G320" s="3"/>
      <c r="H320" s="3"/>
      <c r="I320" s="3"/>
      <c r="J320" s="3"/>
      <c r="K320" s="3"/>
      <c r="L320" s="3" t="s">
        <v>89</v>
      </c>
      <c r="M320" s="3">
        <v>40</v>
      </c>
      <c r="N320" s="3" t="s">
        <v>107</v>
      </c>
      <c r="O320" s="3"/>
      <c r="P320" s="3"/>
      <c r="Q320" s="3">
        <v>2.0569999999999999</v>
      </c>
      <c r="R320" s="3" t="s">
        <v>15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88</v>
      </c>
      <c r="C321" s="3" t="s">
        <v>171</v>
      </c>
      <c r="D321" s="3"/>
      <c r="E321" s="3" t="s">
        <v>171</v>
      </c>
      <c r="F321" s="3"/>
      <c r="G321" s="3"/>
      <c r="H321" s="3"/>
      <c r="I321" s="3"/>
      <c r="J321" s="3"/>
      <c r="K321" s="3"/>
      <c r="L321" s="3" t="s">
        <v>89</v>
      </c>
      <c r="M321" s="3">
        <v>50</v>
      </c>
      <c r="N321" s="3" t="s">
        <v>104</v>
      </c>
      <c r="O321" s="3"/>
      <c r="P321" s="3"/>
      <c r="Q321" s="3">
        <v>15.24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88</v>
      </c>
      <c r="C322" s="3" t="s">
        <v>171</v>
      </c>
      <c r="D322" s="3"/>
      <c r="E322" s="3" t="s">
        <v>171</v>
      </c>
      <c r="F322" s="3"/>
      <c r="G322" s="3"/>
      <c r="H322" s="3"/>
      <c r="I322" s="3"/>
      <c r="J322" s="3"/>
      <c r="K322" s="3"/>
      <c r="L322" s="3" t="s">
        <v>89</v>
      </c>
      <c r="M322" s="3">
        <v>60</v>
      </c>
      <c r="N322" s="3" t="s">
        <v>105</v>
      </c>
      <c r="O322" s="3"/>
      <c r="P322" s="3"/>
      <c r="Q322" s="3">
        <v>93.725999999999999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88</v>
      </c>
      <c r="C323" s="3" t="s">
        <v>171</v>
      </c>
      <c r="D323" s="3"/>
      <c r="E323" s="3" t="s">
        <v>171</v>
      </c>
      <c r="F323" s="3"/>
      <c r="G323" s="3"/>
      <c r="H323" s="3"/>
      <c r="I323" s="3"/>
      <c r="J323" s="3"/>
      <c r="K323" s="3"/>
      <c r="L323" s="3" t="s">
        <v>89</v>
      </c>
      <c r="M323" s="3">
        <v>70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88</v>
      </c>
      <c r="C324" s="3" t="s">
        <v>171</v>
      </c>
      <c r="D324" s="3"/>
      <c r="E324" s="3" t="s">
        <v>171</v>
      </c>
      <c r="F324" s="3"/>
      <c r="G324" s="3"/>
      <c r="H324" s="3"/>
      <c r="I324" s="3"/>
      <c r="J324" s="3"/>
      <c r="K324" s="3"/>
      <c r="L324" s="3" t="s">
        <v>89</v>
      </c>
      <c r="M324" s="3">
        <v>80</v>
      </c>
      <c r="N324" s="3" t="s">
        <v>143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88</v>
      </c>
      <c r="C325" s="3" t="s">
        <v>171</v>
      </c>
      <c r="D325" s="3"/>
      <c r="E325" s="3" t="s">
        <v>171</v>
      </c>
      <c r="F325" s="3"/>
      <c r="G325" s="3"/>
      <c r="H325" s="3"/>
      <c r="I325" s="3"/>
      <c r="J325" s="3"/>
      <c r="K325" s="3"/>
      <c r="L325" s="3" t="s">
        <v>89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88</v>
      </c>
      <c r="C326" s="3" t="s">
        <v>171</v>
      </c>
      <c r="D326" s="3"/>
      <c r="E326" s="3" t="s">
        <v>171</v>
      </c>
      <c r="F326" s="3"/>
      <c r="G326" s="3"/>
      <c r="H326" s="3"/>
      <c r="I326" s="3"/>
      <c r="J326" s="3"/>
      <c r="K326" s="3"/>
      <c r="L326" s="3" t="s">
        <v>89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88</v>
      </c>
      <c r="C327" s="3" t="s">
        <v>171</v>
      </c>
      <c r="D327" s="3"/>
      <c r="E327" s="3" t="s">
        <v>171</v>
      </c>
      <c r="F327" s="3"/>
      <c r="G327" s="3"/>
      <c r="H327" s="3"/>
      <c r="I327" s="3"/>
      <c r="J327" s="3"/>
      <c r="K327" s="3"/>
      <c r="L327" s="3" t="s">
        <v>89</v>
      </c>
      <c r="M327" s="3">
        <v>110</v>
      </c>
      <c r="N327" s="3" t="s">
        <v>144</v>
      </c>
      <c r="O327" s="3"/>
      <c r="P327" s="3"/>
      <c r="Q327" s="3">
        <v>0.67600000000000005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88</v>
      </c>
      <c r="C328" s="3" t="s">
        <v>171</v>
      </c>
      <c r="D328" s="3"/>
      <c r="E328" s="3" t="s">
        <v>171</v>
      </c>
      <c r="F328" s="3"/>
      <c r="G328" s="3"/>
      <c r="H328" s="3"/>
      <c r="I328" s="3"/>
      <c r="J328" s="3"/>
      <c r="K328" s="3"/>
      <c r="L328" s="3" t="s">
        <v>89</v>
      </c>
      <c r="M328" s="3">
        <v>120</v>
      </c>
      <c r="N328" s="3" t="s">
        <v>206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88</v>
      </c>
      <c r="C329" s="3" t="s">
        <v>172</v>
      </c>
      <c r="D329" s="3"/>
      <c r="E329" s="3" t="s">
        <v>172</v>
      </c>
      <c r="F329" s="3"/>
      <c r="G329" s="3"/>
      <c r="H329" s="3"/>
      <c r="I329" s="3"/>
      <c r="J329" s="3"/>
      <c r="K329" s="3"/>
      <c r="L329" s="3" t="s">
        <v>89</v>
      </c>
      <c r="M329" s="3">
        <v>10</v>
      </c>
      <c r="N329" s="3" t="s">
        <v>135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88</v>
      </c>
      <c r="C330" s="3" t="s">
        <v>172</v>
      </c>
      <c r="D330" s="3"/>
      <c r="E330" s="3" t="s">
        <v>172</v>
      </c>
      <c r="F330" s="3"/>
      <c r="G330" s="3"/>
      <c r="H330" s="3"/>
      <c r="I330" s="3"/>
      <c r="J330" s="3"/>
      <c r="K330" s="3"/>
      <c r="L330" s="3" t="s">
        <v>89</v>
      </c>
      <c r="M330" s="3">
        <v>20</v>
      </c>
      <c r="N330" s="3" t="s">
        <v>95</v>
      </c>
      <c r="O330" s="3"/>
      <c r="P330" s="3"/>
      <c r="Q330" s="3">
        <v>0.85199999999999998</v>
      </c>
      <c r="R330" s="3" t="s">
        <v>96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88</v>
      </c>
      <c r="C331" s="3" t="s">
        <v>172</v>
      </c>
      <c r="D331" s="3"/>
      <c r="E331" s="3" t="s">
        <v>172</v>
      </c>
      <c r="F331" s="3"/>
      <c r="G331" s="3"/>
      <c r="H331" s="3"/>
      <c r="I331" s="3"/>
      <c r="J331" s="3"/>
      <c r="K331" s="3"/>
      <c r="L331" s="3" t="s">
        <v>89</v>
      </c>
      <c r="M331" s="3">
        <v>30</v>
      </c>
      <c r="N331" s="3" t="s">
        <v>106</v>
      </c>
      <c r="O331" s="3"/>
      <c r="P331" s="3"/>
      <c r="Q331" s="3">
        <v>2.0569999999999999</v>
      </c>
      <c r="R331" s="3" t="s">
        <v>11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88</v>
      </c>
      <c r="C332" s="3" t="s">
        <v>172</v>
      </c>
      <c r="D332" s="3"/>
      <c r="E332" s="3" t="s">
        <v>172</v>
      </c>
      <c r="F332" s="3"/>
      <c r="G332" s="3"/>
      <c r="H332" s="3"/>
      <c r="I332" s="3"/>
      <c r="J332" s="3"/>
      <c r="K332" s="3"/>
      <c r="L332" s="3" t="s">
        <v>89</v>
      </c>
      <c r="M332" s="3">
        <v>40</v>
      </c>
      <c r="N332" s="3" t="s">
        <v>107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88</v>
      </c>
      <c r="C333" s="3" t="s">
        <v>172</v>
      </c>
      <c r="D333" s="3"/>
      <c r="E333" s="3" t="s">
        <v>172</v>
      </c>
      <c r="F333" s="3"/>
      <c r="G333" s="3"/>
      <c r="H333" s="3"/>
      <c r="I333" s="3"/>
      <c r="J333" s="3"/>
      <c r="K333" s="3"/>
      <c r="L333" s="3" t="s">
        <v>89</v>
      </c>
      <c r="M333" s="3">
        <v>50</v>
      </c>
      <c r="N333" s="3" t="s">
        <v>104</v>
      </c>
      <c r="O333" s="3"/>
      <c r="P333" s="3"/>
      <c r="Q333" s="3">
        <v>15.85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88</v>
      </c>
      <c r="C334" s="3" t="s">
        <v>172</v>
      </c>
      <c r="D334" s="3"/>
      <c r="E334" s="3" t="s">
        <v>172</v>
      </c>
      <c r="F334" s="3"/>
      <c r="G334" s="3"/>
      <c r="H334" s="3"/>
      <c r="I334" s="3"/>
      <c r="J334" s="3"/>
      <c r="K334" s="3"/>
      <c r="L334" s="3" t="s">
        <v>89</v>
      </c>
      <c r="M334" s="3">
        <v>60</v>
      </c>
      <c r="N334" s="3" t="s">
        <v>105</v>
      </c>
      <c r="O334" s="3"/>
      <c r="P334" s="3"/>
      <c r="Q334" s="3">
        <v>97.474999999999994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88</v>
      </c>
      <c r="C335" s="3" t="s">
        <v>172</v>
      </c>
      <c r="D335" s="3"/>
      <c r="E335" s="3" t="s">
        <v>172</v>
      </c>
      <c r="F335" s="3"/>
      <c r="G335" s="3"/>
      <c r="H335" s="3"/>
      <c r="I335" s="3"/>
      <c r="J335" s="3"/>
      <c r="K335" s="3"/>
      <c r="L335" s="3" t="s">
        <v>89</v>
      </c>
      <c r="M335" s="3">
        <v>70</v>
      </c>
      <c r="N335" s="3" t="s">
        <v>20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88</v>
      </c>
      <c r="C336" s="3" t="s">
        <v>172</v>
      </c>
      <c r="D336" s="3"/>
      <c r="E336" s="3" t="s">
        <v>172</v>
      </c>
      <c r="F336" s="3"/>
      <c r="G336" s="3"/>
      <c r="H336" s="3"/>
      <c r="I336" s="3"/>
      <c r="J336" s="3"/>
      <c r="K336" s="3"/>
      <c r="L336" s="3" t="s">
        <v>89</v>
      </c>
      <c r="M336" s="3">
        <v>80</v>
      </c>
      <c r="N336" s="3" t="s">
        <v>143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88</v>
      </c>
      <c r="C337" s="3" t="s">
        <v>172</v>
      </c>
      <c r="D337" s="3"/>
      <c r="E337" s="3" t="s">
        <v>172</v>
      </c>
      <c r="F337" s="3"/>
      <c r="G337" s="3"/>
      <c r="H337" s="3"/>
      <c r="I337" s="3"/>
      <c r="J337" s="3"/>
      <c r="K337" s="3"/>
      <c r="L337" s="3" t="s">
        <v>89</v>
      </c>
      <c r="M337" s="3">
        <v>90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88</v>
      </c>
      <c r="C338" s="3" t="s">
        <v>172</v>
      </c>
      <c r="D338" s="3"/>
      <c r="E338" s="3" t="s">
        <v>172</v>
      </c>
      <c r="F338" s="3"/>
      <c r="G338" s="3"/>
      <c r="H338" s="3"/>
      <c r="I338" s="3"/>
      <c r="J338" s="3"/>
      <c r="K338" s="3"/>
      <c r="L338" s="3" t="s">
        <v>89</v>
      </c>
      <c r="M338" s="3">
        <v>100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88</v>
      </c>
      <c r="C339" s="3" t="s">
        <v>172</v>
      </c>
      <c r="D339" s="3"/>
      <c r="E339" s="3" t="s">
        <v>172</v>
      </c>
      <c r="F339" s="3"/>
      <c r="G339" s="3"/>
      <c r="H339" s="3"/>
      <c r="I339" s="3"/>
      <c r="J339" s="3"/>
      <c r="K339" s="3"/>
      <c r="L339" s="3" t="s">
        <v>89</v>
      </c>
      <c r="M339" s="3">
        <v>110</v>
      </c>
      <c r="N339" s="3" t="s">
        <v>144</v>
      </c>
      <c r="O339" s="3"/>
      <c r="P339" s="3"/>
      <c r="Q339" s="3">
        <v>0.67600000000000005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88</v>
      </c>
      <c r="C340" s="3" t="s">
        <v>172</v>
      </c>
      <c r="D340" s="3"/>
      <c r="E340" s="3" t="s">
        <v>172</v>
      </c>
      <c r="F340" s="3"/>
      <c r="G340" s="3"/>
      <c r="H340" s="3"/>
      <c r="I340" s="3"/>
      <c r="J340" s="3"/>
      <c r="K340" s="3"/>
      <c r="L340" s="3" t="s">
        <v>89</v>
      </c>
      <c r="M340" s="3">
        <v>120</v>
      </c>
      <c r="N340" s="3" t="s">
        <v>207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88</v>
      </c>
      <c r="C341" s="3" t="s">
        <v>173</v>
      </c>
      <c r="D341" s="3"/>
      <c r="E341" s="3" t="s">
        <v>173</v>
      </c>
      <c r="F341" s="3"/>
      <c r="G341" s="3"/>
      <c r="H341" s="3"/>
      <c r="I341" s="3"/>
      <c r="J341" s="3"/>
      <c r="K341" s="3"/>
      <c r="L341" s="3" t="s">
        <v>89</v>
      </c>
      <c r="M341" s="3">
        <v>10</v>
      </c>
      <c r="N341" s="3" t="s">
        <v>136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88</v>
      </c>
      <c r="C342" s="3" t="s">
        <v>173</v>
      </c>
      <c r="D342" s="3"/>
      <c r="E342" s="3" t="s">
        <v>173</v>
      </c>
      <c r="F342" s="3"/>
      <c r="G342" s="3"/>
      <c r="H342" s="3"/>
      <c r="I342" s="3"/>
      <c r="J342" s="3"/>
      <c r="K342" s="3"/>
      <c r="L342" s="3" t="s">
        <v>89</v>
      </c>
      <c r="M342" s="3">
        <v>20</v>
      </c>
      <c r="N342" s="3" t="s">
        <v>95</v>
      </c>
      <c r="O342" s="3"/>
      <c r="P342" s="3"/>
      <c r="Q342" s="3">
        <v>0.36599999999999999</v>
      </c>
      <c r="R342" s="3" t="s">
        <v>96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88</v>
      </c>
      <c r="C343" s="3" t="s">
        <v>173</v>
      </c>
      <c r="D343" s="3"/>
      <c r="E343" s="3" t="s">
        <v>173</v>
      </c>
      <c r="F343" s="3"/>
      <c r="G343" s="3"/>
      <c r="H343" s="3"/>
      <c r="I343" s="3"/>
      <c r="J343" s="3"/>
      <c r="K343" s="3"/>
      <c r="L343" s="3" t="s">
        <v>89</v>
      </c>
      <c r="M343" s="3">
        <v>30</v>
      </c>
      <c r="N343" s="3" t="s">
        <v>106</v>
      </c>
      <c r="O343" s="3"/>
      <c r="P343" s="3"/>
      <c r="Q343" s="3">
        <v>2.1589999999999998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88</v>
      </c>
      <c r="C344" s="3" t="s">
        <v>173</v>
      </c>
      <c r="D344" s="3"/>
      <c r="E344" s="3" t="s">
        <v>173</v>
      </c>
      <c r="F344" s="3"/>
      <c r="G344" s="3"/>
      <c r="H344" s="3"/>
      <c r="I344" s="3"/>
      <c r="J344" s="3"/>
      <c r="K344" s="3"/>
      <c r="L344" s="3" t="s">
        <v>89</v>
      </c>
      <c r="M344" s="3">
        <v>40</v>
      </c>
      <c r="N344" s="3" t="s">
        <v>107</v>
      </c>
      <c r="O344" s="3"/>
      <c r="P344" s="3"/>
      <c r="Q344" s="3">
        <v>2.1589999999999998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88</v>
      </c>
      <c r="C345" s="3" t="s">
        <v>173</v>
      </c>
      <c r="D345" s="3"/>
      <c r="E345" s="3" t="s">
        <v>173</v>
      </c>
      <c r="F345" s="3"/>
      <c r="G345" s="3"/>
      <c r="H345" s="3"/>
      <c r="I345" s="3"/>
      <c r="J345" s="3"/>
      <c r="K345" s="3"/>
      <c r="L345" s="3" t="s">
        <v>89</v>
      </c>
      <c r="M345" s="3">
        <v>50</v>
      </c>
      <c r="N345" s="3" t="s">
        <v>104</v>
      </c>
      <c r="O345" s="3"/>
      <c r="P345" s="3"/>
      <c r="Q345" s="3">
        <v>11.989000000000001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88</v>
      </c>
      <c r="C346" s="3" t="s">
        <v>173</v>
      </c>
      <c r="D346" s="3"/>
      <c r="E346" s="3" t="s">
        <v>173</v>
      </c>
      <c r="F346" s="3"/>
      <c r="G346" s="3"/>
      <c r="H346" s="3"/>
      <c r="I346" s="3"/>
      <c r="J346" s="3"/>
      <c r="K346" s="3"/>
      <c r="L346" s="3" t="s">
        <v>89</v>
      </c>
      <c r="M346" s="3">
        <v>60</v>
      </c>
      <c r="N346" s="3" t="s">
        <v>105</v>
      </c>
      <c r="O346" s="3"/>
      <c r="P346" s="3"/>
      <c r="Q346" s="3">
        <v>73.730999999999995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88</v>
      </c>
      <c r="C347" s="3" t="s">
        <v>173</v>
      </c>
      <c r="D347" s="3"/>
      <c r="E347" s="3" t="s">
        <v>173</v>
      </c>
      <c r="F347" s="3"/>
      <c r="G347" s="3"/>
      <c r="H347" s="3"/>
      <c r="I347" s="3"/>
      <c r="J347" s="3"/>
      <c r="K347" s="3"/>
      <c r="L347" s="3" t="s">
        <v>89</v>
      </c>
      <c r="M347" s="3">
        <v>70</v>
      </c>
      <c r="N347" s="3" t="s">
        <v>20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88</v>
      </c>
      <c r="C348" s="3" t="s">
        <v>173</v>
      </c>
      <c r="D348" s="3"/>
      <c r="E348" s="3" t="s">
        <v>173</v>
      </c>
      <c r="F348" s="3"/>
      <c r="G348" s="3"/>
      <c r="H348" s="3"/>
      <c r="I348" s="3"/>
      <c r="J348" s="3"/>
      <c r="K348" s="3"/>
      <c r="L348" s="3" t="s">
        <v>89</v>
      </c>
      <c r="M348" s="3">
        <v>80</v>
      </c>
      <c r="N348" s="3" t="s">
        <v>143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88</v>
      </c>
      <c r="C349" s="3" t="s">
        <v>173</v>
      </c>
      <c r="D349" s="3"/>
      <c r="E349" s="3" t="s">
        <v>173</v>
      </c>
      <c r="F349" s="3"/>
      <c r="G349" s="3"/>
      <c r="H349" s="3"/>
      <c r="I349" s="3"/>
      <c r="J349" s="3"/>
      <c r="K349" s="3"/>
      <c r="L349" s="3" t="s">
        <v>89</v>
      </c>
      <c r="M349" s="3">
        <v>90</v>
      </c>
      <c r="N349" s="3" t="s">
        <v>21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88</v>
      </c>
      <c r="C350" s="3" t="s">
        <v>173</v>
      </c>
      <c r="D350" s="3"/>
      <c r="E350" s="3" t="s">
        <v>173</v>
      </c>
      <c r="F350" s="3"/>
      <c r="G350" s="3"/>
      <c r="H350" s="3"/>
      <c r="I350" s="3"/>
      <c r="J350" s="3"/>
      <c r="K350" s="3"/>
      <c r="L350" s="3" t="s">
        <v>89</v>
      </c>
      <c r="M350" s="3">
        <v>100</v>
      </c>
      <c r="N350" s="3" t="s">
        <v>22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88</v>
      </c>
      <c r="C351" s="3" t="s">
        <v>173</v>
      </c>
      <c r="D351" s="3"/>
      <c r="E351" s="3" t="s">
        <v>173</v>
      </c>
      <c r="F351" s="3"/>
      <c r="G351" s="3"/>
      <c r="H351" s="3"/>
      <c r="I351" s="3"/>
      <c r="J351" s="3"/>
      <c r="K351" s="3"/>
      <c r="L351" s="3" t="s">
        <v>89</v>
      </c>
      <c r="M351" s="3">
        <v>110</v>
      </c>
      <c r="N351" s="3" t="s">
        <v>144</v>
      </c>
      <c r="O351" s="3"/>
      <c r="P351" s="3"/>
      <c r="Q351" s="3">
        <v>0.70599999999999996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88</v>
      </c>
      <c r="C352" s="3" t="s">
        <v>173</v>
      </c>
      <c r="D352" s="3"/>
      <c r="E352" s="3" t="s">
        <v>173</v>
      </c>
      <c r="F352" s="3"/>
      <c r="G352" s="3"/>
      <c r="H352" s="3"/>
      <c r="I352" s="3"/>
      <c r="J352" s="3"/>
      <c r="K352" s="3"/>
      <c r="L352" s="3" t="s">
        <v>89</v>
      </c>
      <c r="M352" s="3">
        <v>120</v>
      </c>
      <c r="N352" s="3" t="s">
        <v>208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88</v>
      </c>
      <c r="C353" s="3" t="s">
        <v>174</v>
      </c>
      <c r="D353" s="3"/>
      <c r="E353" s="3" t="s">
        <v>174</v>
      </c>
      <c r="F353" s="3"/>
      <c r="G353" s="3"/>
      <c r="H353" s="3"/>
      <c r="I353" s="3"/>
      <c r="J353" s="3"/>
      <c r="K353" s="3"/>
      <c r="L353" s="3" t="s">
        <v>89</v>
      </c>
      <c r="M353" s="3">
        <v>10</v>
      </c>
      <c r="N353" s="3" t="s">
        <v>137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88</v>
      </c>
      <c r="C354" s="3" t="s">
        <v>174</v>
      </c>
      <c r="D354" s="3"/>
      <c r="E354" s="3" t="s">
        <v>174</v>
      </c>
      <c r="F354" s="3"/>
      <c r="G354" s="3"/>
      <c r="H354" s="3"/>
      <c r="I354" s="3"/>
      <c r="J354" s="3"/>
      <c r="K354" s="3"/>
      <c r="L354" s="3" t="s">
        <v>89</v>
      </c>
      <c r="M354" s="3">
        <v>20</v>
      </c>
      <c r="N354" s="3" t="s">
        <v>95</v>
      </c>
      <c r="O354" s="3"/>
      <c r="P354" s="3"/>
      <c r="Q354" s="3">
        <v>0.441</v>
      </c>
      <c r="R354" s="3" t="s">
        <v>96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88</v>
      </c>
      <c r="C355" s="3" t="s">
        <v>174</v>
      </c>
      <c r="D355" s="3"/>
      <c r="E355" s="3" t="s">
        <v>174</v>
      </c>
      <c r="F355" s="3"/>
      <c r="G355" s="3"/>
      <c r="H355" s="3"/>
      <c r="I355" s="3"/>
      <c r="J355" s="3"/>
      <c r="K355" s="3"/>
      <c r="L355" s="3" t="s">
        <v>89</v>
      </c>
      <c r="M355" s="3">
        <v>30</v>
      </c>
      <c r="N355" s="3" t="s">
        <v>106</v>
      </c>
      <c r="O355" s="3"/>
      <c r="P355" s="3"/>
      <c r="Q355" s="3">
        <v>2.1589999999999998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88</v>
      </c>
      <c r="C356" s="3" t="s">
        <v>174</v>
      </c>
      <c r="D356" s="3"/>
      <c r="E356" s="3" t="s">
        <v>174</v>
      </c>
      <c r="F356" s="3"/>
      <c r="G356" s="3"/>
      <c r="H356" s="3"/>
      <c r="I356" s="3"/>
      <c r="J356" s="3"/>
      <c r="K356" s="3"/>
      <c r="L356" s="3" t="s">
        <v>89</v>
      </c>
      <c r="M356" s="3">
        <v>40</v>
      </c>
      <c r="N356" s="3" t="s">
        <v>107</v>
      </c>
      <c r="O356" s="3"/>
      <c r="P356" s="3"/>
      <c r="Q356" s="3">
        <v>2.1589999999999998</v>
      </c>
      <c r="R356" s="3" t="s">
        <v>15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88</v>
      </c>
      <c r="C357" s="3" t="s">
        <v>174</v>
      </c>
      <c r="D357" s="3"/>
      <c r="E357" s="3" t="s">
        <v>174</v>
      </c>
      <c r="F357" s="3"/>
      <c r="G357" s="3"/>
      <c r="H357" s="3"/>
      <c r="I357" s="3"/>
      <c r="J357" s="3"/>
      <c r="K357" s="3"/>
      <c r="L357" s="3" t="s">
        <v>89</v>
      </c>
      <c r="M357" s="3">
        <v>50</v>
      </c>
      <c r="N357" s="3" t="s">
        <v>104</v>
      </c>
      <c r="O357" s="3"/>
      <c r="P357" s="3"/>
      <c r="Q357" s="3">
        <v>12.598000000000001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88</v>
      </c>
      <c r="C358" s="3" t="s">
        <v>174</v>
      </c>
      <c r="D358" s="3"/>
      <c r="E358" s="3" t="s">
        <v>174</v>
      </c>
      <c r="F358" s="3"/>
      <c r="G358" s="3"/>
      <c r="H358" s="3"/>
      <c r="I358" s="3"/>
      <c r="J358" s="3"/>
      <c r="K358" s="3"/>
      <c r="L358" s="3" t="s">
        <v>89</v>
      </c>
      <c r="M358" s="3">
        <v>60</v>
      </c>
      <c r="N358" s="3" t="s">
        <v>105</v>
      </c>
      <c r="O358" s="3"/>
      <c r="P358" s="3"/>
      <c r="Q358" s="3">
        <v>77.48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88</v>
      </c>
      <c r="C359" s="3" t="s">
        <v>174</v>
      </c>
      <c r="D359" s="3"/>
      <c r="E359" s="3" t="s">
        <v>174</v>
      </c>
      <c r="F359" s="3"/>
      <c r="G359" s="3"/>
      <c r="H359" s="3"/>
      <c r="I359" s="3"/>
      <c r="J359" s="3"/>
      <c r="K359" s="3"/>
      <c r="L359" s="3" t="s">
        <v>89</v>
      </c>
      <c r="M359" s="3">
        <v>70</v>
      </c>
      <c r="N359" s="3" t="s">
        <v>20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88</v>
      </c>
      <c r="C360" s="3" t="s">
        <v>174</v>
      </c>
      <c r="D360" s="3"/>
      <c r="E360" s="3" t="s">
        <v>174</v>
      </c>
      <c r="F360" s="3"/>
      <c r="G360" s="3"/>
      <c r="H360" s="3"/>
      <c r="I360" s="3"/>
      <c r="J360" s="3"/>
      <c r="K360" s="3"/>
      <c r="L360" s="3" t="s">
        <v>89</v>
      </c>
      <c r="M360" s="3">
        <v>80</v>
      </c>
      <c r="N360" s="3" t="s">
        <v>143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88</v>
      </c>
      <c r="C361" s="3" t="s">
        <v>174</v>
      </c>
      <c r="D361" s="3"/>
      <c r="E361" s="3" t="s">
        <v>174</v>
      </c>
      <c r="F361" s="3"/>
      <c r="G361" s="3"/>
      <c r="H361" s="3"/>
      <c r="I361" s="3"/>
      <c r="J361" s="3"/>
      <c r="K361" s="3"/>
      <c r="L361" s="3" t="s">
        <v>89</v>
      </c>
      <c r="M361" s="3">
        <v>90</v>
      </c>
      <c r="N361" s="3" t="s">
        <v>21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88</v>
      </c>
      <c r="C362" s="3" t="s">
        <v>174</v>
      </c>
      <c r="D362" s="3"/>
      <c r="E362" s="3" t="s">
        <v>174</v>
      </c>
      <c r="F362" s="3"/>
      <c r="G362" s="3"/>
      <c r="H362" s="3"/>
      <c r="I362" s="3"/>
      <c r="J362" s="3"/>
      <c r="K362" s="3"/>
      <c r="L362" s="3" t="s">
        <v>89</v>
      </c>
      <c r="M362" s="3">
        <v>100</v>
      </c>
      <c r="N362" s="3" t="s">
        <v>22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88</v>
      </c>
      <c r="C363" s="3" t="s">
        <v>174</v>
      </c>
      <c r="D363" s="3"/>
      <c r="E363" s="3" t="s">
        <v>174</v>
      </c>
      <c r="F363" s="3"/>
      <c r="G363" s="3"/>
      <c r="H363" s="3"/>
      <c r="I363" s="3"/>
      <c r="J363" s="3"/>
      <c r="K363" s="3"/>
      <c r="L363" s="3" t="s">
        <v>89</v>
      </c>
      <c r="M363" s="3">
        <v>110</v>
      </c>
      <c r="N363" s="3" t="s">
        <v>144</v>
      </c>
      <c r="O363" s="3"/>
      <c r="P363" s="3"/>
      <c r="Q363" s="3">
        <v>0.70599999999999996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88</v>
      </c>
      <c r="C364" s="3" t="s">
        <v>174</v>
      </c>
      <c r="D364" s="3"/>
      <c r="E364" s="3" t="s">
        <v>174</v>
      </c>
      <c r="F364" s="3"/>
      <c r="G364" s="3"/>
      <c r="H364" s="3"/>
      <c r="I364" s="3"/>
      <c r="J364" s="3"/>
      <c r="K364" s="3"/>
      <c r="L364" s="3" t="s">
        <v>89</v>
      </c>
      <c r="M364" s="3">
        <v>120</v>
      </c>
      <c r="N364" s="3" t="s">
        <v>209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88</v>
      </c>
      <c r="C365" s="3" t="s">
        <v>175</v>
      </c>
      <c r="D365" s="3"/>
      <c r="E365" s="3" t="s">
        <v>175</v>
      </c>
      <c r="F365" s="3"/>
      <c r="G365" s="3"/>
      <c r="H365" s="3"/>
      <c r="I365" s="3"/>
      <c r="J365" s="3"/>
      <c r="K365" s="3"/>
      <c r="L365" s="3" t="s">
        <v>89</v>
      </c>
      <c r="M365" s="3">
        <v>10</v>
      </c>
      <c r="N365" s="3" t="s">
        <v>138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88</v>
      </c>
      <c r="C366" s="3" t="s">
        <v>175</v>
      </c>
      <c r="D366" s="3"/>
      <c r="E366" s="3" t="s">
        <v>175</v>
      </c>
      <c r="F366" s="3"/>
      <c r="G366" s="3"/>
      <c r="H366" s="3"/>
      <c r="I366" s="3"/>
      <c r="J366" s="3"/>
      <c r="K366" s="3"/>
      <c r="L366" s="3" t="s">
        <v>89</v>
      </c>
      <c r="M366" s="3">
        <v>20</v>
      </c>
      <c r="N366" s="3" t="s">
        <v>95</v>
      </c>
      <c r="O366" s="3"/>
      <c r="P366" s="3"/>
      <c r="Q366" s="3">
        <v>0.51700000000000002</v>
      </c>
      <c r="R366" s="3" t="s">
        <v>96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88</v>
      </c>
      <c r="C367" s="3" t="s">
        <v>175</v>
      </c>
      <c r="D367" s="3"/>
      <c r="E367" s="3" t="s">
        <v>175</v>
      </c>
      <c r="F367" s="3"/>
      <c r="G367" s="3"/>
      <c r="H367" s="3"/>
      <c r="I367" s="3"/>
      <c r="J367" s="3"/>
      <c r="K367" s="3"/>
      <c r="L367" s="3" t="s">
        <v>89</v>
      </c>
      <c r="M367" s="3">
        <v>30</v>
      </c>
      <c r="N367" s="3" t="s">
        <v>106</v>
      </c>
      <c r="O367" s="3"/>
      <c r="P367" s="3"/>
      <c r="Q367" s="3">
        <v>2.1589999999999998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88</v>
      </c>
      <c r="C368" s="3" t="s">
        <v>175</v>
      </c>
      <c r="D368" s="3"/>
      <c r="E368" s="3" t="s">
        <v>175</v>
      </c>
      <c r="F368" s="3"/>
      <c r="G368" s="3"/>
      <c r="H368" s="3"/>
      <c r="I368" s="3"/>
      <c r="J368" s="3"/>
      <c r="K368" s="3"/>
      <c r="L368" s="3" t="s">
        <v>89</v>
      </c>
      <c r="M368" s="3">
        <v>40</v>
      </c>
      <c r="N368" s="3" t="s">
        <v>107</v>
      </c>
      <c r="O368" s="3"/>
      <c r="P368" s="3"/>
      <c r="Q368" s="3">
        <v>2.1589999999999998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88</v>
      </c>
      <c r="C369" s="3" t="s">
        <v>175</v>
      </c>
      <c r="D369" s="3"/>
      <c r="E369" s="3" t="s">
        <v>175</v>
      </c>
      <c r="F369" s="3"/>
      <c r="G369" s="3"/>
      <c r="H369" s="3"/>
      <c r="I369" s="3"/>
      <c r="J369" s="3"/>
      <c r="K369" s="3"/>
      <c r="L369" s="3" t="s">
        <v>89</v>
      </c>
      <c r="M369" s="3">
        <v>50</v>
      </c>
      <c r="N369" s="3" t="s">
        <v>104</v>
      </c>
      <c r="O369" s="3"/>
      <c r="P369" s="3"/>
      <c r="Q369" s="3">
        <v>13.208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88</v>
      </c>
      <c r="C370" s="3" t="s">
        <v>175</v>
      </c>
      <c r="D370" s="3"/>
      <c r="E370" s="3" t="s">
        <v>175</v>
      </c>
      <c r="F370" s="3"/>
      <c r="G370" s="3"/>
      <c r="H370" s="3"/>
      <c r="I370" s="3"/>
      <c r="J370" s="3"/>
      <c r="K370" s="3"/>
      <c r="L370" s="3" t="s">
        <v>89</v>
      </c>
      <c r="M370" s="3">
        <v>60</v>
      </c>
      <c r="N370" s="3" t="s">
        <v>105</v>
      </c>
      <c r="O370" s="3"/>
      <c r="P370" s="3"/>
      <c r="Q370" s="3">
        <v>81.228999999999999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88</v>
      </c>
      <c r="C371" s="3" t="s">
        <v>175</v>
      </c>
      <c r="D371" s="3"/>
      <c r="E371" s="3" t="s">
        <v>175</v>
      </c>
      <c r="F371" s="3"/>
      <c r="G371" s="3"/>
      <c r="H371" s="3"/>
      <c r="I371" s="3"/>
      <c r="J371" s="3"/>
      <c r="K371" s="3"/>
      <c r="L371" s="3" t="s">
        <v>89</v>
      </c>
      <c r="M371" s="3">
        <v>70</v>
      </c>
      <c r="N371" s="3" t="s">
        <v>20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88</v>
      </c>
      <c r="C372" s="3" t="s">
        <v>175</v>
      </c>
      <c r="D372" s="3"/>
      <c r="E372" s="3" t="s">
        <v>175</v>
      </c>
      <c r="F372" s="3"/>
      <c r="G372" s="3"/>
      <c r="H372" s="3"/>
      <c r="I372" s="3"/>
      <c r="J372" s="3"/>
      <c r="K372" s="3"/>
      <c r="L372" s="3" t="s">
        <v>89</v>
      </c>
      <c r="M372" s="3">
        <v>80</v>
      </c>
      <c r="N372" s="3" t="s">
        <v>143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88</v>
      </c>
      <c r="C373" s="3" t="s">
        <v>175</v>
      </c>
      <c r="D373" s="3"/>
      <c r="E373" s="3" t="s">
        <v>175</v>
      </c>
      <c r="F373" s="3"/>
      <c r="G373" s="3"/>
      <c r="H373" s="3"/>
      <c r="I373" s="3"/>
      <c r="J373" s="3"/>
      <c r="K373" s="3"/>
      <c r="L373" s="3" t="s">
        <v>89</v>
      </c>
      <c r="M373" s="3">
        <v>90</v>
      </c>
      <c r="N373" s="3" t="s">
        <v>21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88</v>
      </c>
      <c r="C374" s="3" t="s">
        <v>175</v>
      </c>
      <c r="D374" s="3"/>
      <c r="E374" s="3" t="s">
        <v>175</v>
      </c>
      <c r="F374" s="3"/>
      <c r="G374" s="3"/>
      <c r="H374" s="3"/>
      <c r="I374" s="3"/>
      <c r="J374" s="3"/>
      <c r="K374" s="3"/>
      <c r="L374" s="3" t="s">
        <v>89</v>
      </c>
      <c r="M374" s="3">
        <v>100</v>
      </c>
      <c r="N374" s="3" t="s">
        <v>22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88</v>
      </c>
      <c r="C375" s="3" t="s">
        <v>175</v>
      </c>
      <c r="D375" s="3"/>
      <c r="E375" s="3" t="s">
        <v>175</v>
      </c>
      <c r="F375" s="3"/>
      <c r="G375" s="3"/>
      <c r="H375" s="3"/>
      <c r="I375" s="3"/>
      <c r="J375" s="3"/>
      <c r="K375" s="3"/>
      <c r="L375" s="3" t="s">
        <v>89</v>
      </c>
      <c r="M375" s="3">
        <v>110</v>
      </c>
      <c r="N375" s="3" t="s">
        <v>144</v>
      </c>
      <c r="O375" s="3"/>
      <c r="P375" s="3"/>
      <c r="Q375" s="3">
        <v>0.70599999999999996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88</v>
      </c>
      <c r="C376" s="3" t="s">
        <v>175</v>
      </c>
      <c r="D376" s="3"/>
      <c r="E376" s="3" t="s">
        <v>175</v>
      </c>
      <c r="F376" s="3"/>
      <c r="G376" s="3"/>
      <c r="H376" s="3"/>
      <c r="I376" s="3"/>
      <c r="J376" s="3"/>
      <c r="K376" s="3"/>
      <c r="L376" s="3" t="s">
        <v>89</v>
      </c>
      <c r="M376" s="3">
        <v>120</v>
      </c>
      <c r="N376" s="3" t="s">
        <v>210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88</v>
      </c>
      <c r="C377" s="3" t="s">
        <v>176</v>
      </c>
      <c r="D377" s="3"/>
      <c r="E377" s="3" t="s">
        <v>176</v>
      </c>
      <c r="F377" s="3"/>
      <c r="G377" s="3"/>
      <c r="H377" s="3"/>
      <c r="I377" s="3"/>
      <c r="J377" s="3"/>
      <c r="K377" s="3"/>
      <c r="L377" s="3" t="s">
        <v>89</v>
      </c>
      <c r="M377" s="3">
        <v>10</v>
      </c>
      <c r="N377" s="3" t="s">
        <v>139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88</v>
      </c>
      <c r="C378" s="3" t="s">
        <v>176</v>
      </c>
      <c r="D378" s="3"/>
      <c r="E378" s="3" t="s">
        <v>176</v>
      </c>
      <c r="F378" s="3"/>
      <c r="G378" s="3"/>
      <c r="H378" s="3"/>
      <c r="I378" s="3"/>
      <c r="J378" s="3"/>
      <c r="K378" s="3"/>
      <c r="L378" s="3" t="s">
        <v>89</v>
      </c>
      <c r="M378" s="3">
        <v>20</v>
      </c>
      <c r="N378" s="3" t="s">
        <v>95</v>
      </c>
      <c r="O378" s="3"/>
      <c r="P378" s="3"/>
      <c r="Q378" s="3">
        <v>0.59199999999999997</v>
      </c>
      <c r="R378" s="3" t="s">
        <v>96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88</v>
      </c>
      <c r="C379" s="3" t="s">
        <v>176</v>
      </c>
      <c r="D379" s="3"/>
      <c r="E379" s="3" t="s">
        <v>176</v>
      </c>
      <c r="F379" s="3"/>
      <c r="G379" s="3"/>
      <c r="H379" s="3"/>
      <c r="I379" s="3"/>
      <c r="J379" s="3"/>
      <c r="K379" s="3"/>
      <c r="L379" s="3" t="s">
        <v>89</v>
      </c>
      <c r="M379" s="3">
        <v>30</v>
      </c>
      <c r="N379" s="3" t="s">
        <v>106</v>
      </c>
      <c r="O379" s="3"/>
      <c r="P379" s="3"/>
      <c r="Q379" s="3">
        <v>2.1589999999999998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88</v>
      </c>
      <c r="C380" s="3" t="s">
        <v>176</v>
      </c>
      <c r="D380" s="3"/>
      <c r="E380" s="3" t="s">
        <v>176</v>
      </c>
      <c r="F380" s="3"/>
      <c r="G380" s="3"/>
      <c r="H380" s="3"/>
      <c r="I380" s="3"/>
      <c r="J380" s="3"/>
      <c r="K380" s="3"/>
      <c r="L380" s="3" t="s">
        <v>89</v>
      </c>
      <c r="M380" s="3">
        <v>40</v>
      </c>
      <c r="N380" s="3" t="s">
        <v>107</v>
      </c>
      <c r="O380" s="3"/>
      <c r="P380" s="3"/>
      <c r="Q380" s="3">
        <v>2.1589999999999998</v>
      </c>
      <c r="R380" s="3" t="s">
        <v>15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88</v>
      </c>
      <c r="C381" s="3" t="s">
        <v>176</v>
      </c>
      <c r="D381" s="3"/>
      <c r="E381" s="3" t="s">
        <v>176</v>
      </c>
      <c r="F381" s="3"/>
      <c r="G381" s="3"/>
      <c r="H381" s="3"/>
      <c r="I381" s="3"/>
      <c r="J381" s="3"/>
      <c r="K381" s="3"/>
      <c r="L381" s="3" t="s">
        <v>89</v>
      </c>
      <c r="M381" s="3">
        <v>50</v>
      </c>
      <c r="N381" s="3" t="s">
        <v>104</v>
      </c>
      <c r="O381" s="3"/>
      <c r="P381" s="3"/>
      <c r="Q381" s="3">
        <v>13.818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88</v>
      </c>
      <c r="C382" s="3" t="s">
        <v>176</v>
      </c>
      <c r="D382" s="3"/>
      <c r="E382" s="3" t="s">
        <v>176</v>
      </c>
      <c r="F382" s="3"/>
      <c r="G382" s="3"/>
      <c r="H382" s="3"/>
      <c r="I382" s="3"/>
      <c r="J382" s="3"/>
      <c r="K382" s="3"/>
      <c r="L382" s="3" t="s">
        <v>89</v>
      </c>
      <c r="M382" s="3">
        <v>60</v>
      </c>
      <c r="N382" s="3" t="s">
        <v>105</v>
      </c>
      <c r="O382" s="3"/>
      <c r="P382" s="3"/>
      <c r="Q382" s="3">
        <v>84.977999999999994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88</v>
      </c>
      <c r="C383" s="3" t="s">
        <v>176</v>
      </c>
      <c r="D383" s="3"/>
      <c r="E383" s="3" t="s">
        <v>176</v>
      </c>
      <c r="F383" s="3"/>
      <c r="G383" s="3"/>
      <c r="H383" s="3"/>
      <c r="I383" s="3"/>
      <c r="J383" s="3"/>
      <c r="K383" s="3"/>
      <c r="L383" s="3" t="s">
        <v>89</v>
      </c>
      <c r="M383" s="3">
        <v>70</v>
      </c>
      <c r="N383" s="3" t="s">
        <v>20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88</v>
      </c>
      <c r="C384" s="3" t="s">
        <v>176</v>
      </c>
      <c r="D384" s="3"/>
      <c r="E384" s="3" t="s">
        <v>176</v>
      </c>
      <c r="F384" s="3"/>
      <c r="G384" s="3"/>
      <c r="H384" s="3"/>
      <c r="I384" s="3"/>
      <c r="J384" s="3"/>
      <c r="K384" s="3"/>
      <c r="L384" s="3" t="s">
        <v>89</v>
      </c>
      <c r="M384" s="3">
        <v>80</v>
      </c>
      <c r="N384" s="3" t="s">
        <v>143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88</v>
      </c>
      <c r="C385" s="3" t="s">
        <v>176</v>
      </c>
      <c r="D385" s="3"/>
      <c r="E385" s="3" t="s">
        <v>176</v>
      </c>
      <c r="F385" s="3"/>
      <c r="G385" s="3"/>
      <c r="H385" s="3"/>
      <c r="I385" s="3"/>
      <c r="J385" s="3"/>
      <c r="K385" s="3"/>
      <c r="L385" s="3" t="s">
        <v>89</v>
      </c>
      <c r="M385" s="3">
        <v>90</v>
      </c>
      <c r="N385" s="3" t="s">
        <v>21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88</v>
      </c>
      <c r="C386" s="3" t="s">
        <v>176</v>
      </c>
      <c r="D386" s="3"/>
      <c r="E386" s="3" t="s">
        <v>176</v>
      </c>
      <c r="F386" s="3"/>
      <c r="G386" s="3"/>
      <c r="H386" s="3"/>
      <c r="I386" s="3"/>
      <c r="J386" s="3"/>
      <c r="K386" s="3"/>
      <c r="L386" s="3" t="s">
        <v>89</v>
      </c>
      <c r="M386" s="3">
        <v>100</v>
      </c>
      <c r="N386" s="3" t="s">
        <v>22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88</v>
      </c>
      <c r="C387" s="3" t="s">
        <v>176</v>
      </c>
      <c r="D387" s="3"/>
      <c r="E387" s="3" t="s">
        <v>176</v>
      </c>
      <c r="F387" s="3"/>
      <c r="G387" s="3"/>
      <c r="H387" s="3"/>
      <c r="I387" s="3"/>
      <c r="J387" s="3"/>
      <c r="K387" s="3"/>
      <c r="L387" s="3" t="s">
        <v>89</v>
      </c>
      <c r="M387" s="3">
        <v>110</v>
      </c>
      <c r="N387" s="3" t="s">
        <v>144</v>
      </c>
      <c r="O387" s="3"/>
      <c r="P387" s="3"/>
      <c r="Q387" s="3">
        <v>0.70599999999999996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88</v>
      </c>
      <c r="C388" s="3" t="s">
        <v>176</v>
      </c>
      <c r="D388" s="3"/>
      <c r="E388" s="3" t="s">
        <v>176</v>
      </c>
      <c r="F388" s="3"/>
      <c r="G388" s="3"/>
      <c r="H388" s="3"/>
      <c r="I388" s="3"/>
      <c r="J388" s="3"/>
      <c r="K388" s="3"/>
      <c r="L388" s="3" t="s">
        <v>89</v>
      </c>
      <c r="M388" s="3">
        <v>120</v>
      </c>
      <c r="N388" s="3" t="s">
        <v>211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88</v>
      </c>
      <c r="C389" s="3" t="s">
        <v>177</v>
      </c>
      <c r="D389" s="3"/>
      <c r="E389" s="3" t="s">
        <v>177</v>
      </c>
      <c r="F389" s="3"/>
      <c r="G389" s="3"/>
      <c r="H389" s="3"/>
      <c r="I389" s="3"/>
      <c r="J389" s="3"/>
      <c r="K389" s="3"/>
      <c r="L389" s="3" t="s">
        <v>89</v>
      </c>
      <c r="M389" s="3">
        <v>10</v>
      </c>
      <c r="N389" s="3" t="s">
        <v>140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88</v>
      </c>
      <c r="C390" s="3" t="s">
        <v>177</v>
      </c>
      <c r="D390" s="3"/>
      <c r="E390" s="3" t="s">
        <v>177</v>
      </c>
      <c r="F390" s="3"/>
      <c r="G390" s="3"/>
      <c r="H390" s="3"/>
      <c r="I390" s="3"/>
      <c r="J390" s="3"/>
      <c r="K390" s="3"/>
      <c r="L390" s="3" t="s">
        <v>89</v>
      </c>
      <c r="M390" s="3">
        <v>20</v>
      </c>
      <c r="N390" s="3" t="s">
        <v>95</v>
      </c>
      <c r="O390" s="3"/>
      <c r="P390" s="3"/>
      <c r="Q390" s="3">
        <v>0.74399999999999999</v>
      </c>
      <c r="R390" s="3" t="s">
        <v>96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88</v>
      </c>
      <c r="C391" s="3" t="s">
        <v>177</v>
      </c>
      <c r="D391" s="3"/>
      <c r="E391" s="3" t="s">
        <v>177</v>
      </c>
      <c r="F391" s="3"/>
      <c r="G391" s="3"/>
      <c r="H391" s="3"/>
      <c r="I391" s="3"/>
      <c r="J391" s="3"/>
      <c r="K391" s="3"/>
      <c r="L391" s="3" t="s">
        <v>89</v>
      </c>
      <c r="M391" s="3">
        <v>30</v>
      </c>
      <c r="N391" s="3" t="s">
        <v>106</v>
      </c>
      <c r="O391" s="3"/>
      <c r="P391" s="3"/>
      <c r="Q391" s="3">
        <v>2.1589999999999998</v>
      </c>
      <c r="R391" s="3" t="s">
        <v>11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88</v>
      </c>
      <c r="C392" s="3" t="s">
        <v>177</v>
      </c>
      <c r="D392" s="3"/>
      <c r="E392" s="3" t="s">
        <v>177</v>
      </c>
      <c r="F392" s="3"/>
      <c r="G392" s="3"/>
      <c r="H392" s="3"/>
      <c r="I392" s="3"/>
      <c r="J392" s="3"/>
      <c r="K392" s="3"/>
      <c r="L392" s="3" t="s">
        <v>89</v>
      </c>
      <c r="M392" s="3">
        <v>40</v>
      </c>
      <c r="N392" s="3" t="s">
        <v>107</v>
      </c>
      <c r="O392" s="3"/>
      <c r="P392" s="3"/>
      <c r="Q392" s="3">
        <v>2.1589999999999998</v>
      </c>
      <c r="R392" s="3" t="s">
        <v>15</v>
      </c>
      <c r="S392" s="3"/>
      <c r="T392" s="3">
        <v>10</v>
      </c>
      <c r="U392" s="3"/>
      <c r="V392" s="3" t="s">
        <v>16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88</v>
      </c>
      <c r="C393" s="3" t="s">
        <v>177</v>
      </c>
      <c r="D393" s="3"/>
      <c r="E393" s="3" t="s">
        <v>177</v>
      </c>
      <c r="F393" s="3"/>
      <c r="G393" s="3"/>
      <c r="H393" s="3"/>
      <c r="I393" s="3"/>
      <c r="J393" s="3"/>
      <c r="K393" s="3"/>
      <c r="L393" s="3" t="s">
        <v>89</v>
      </c>
      <c r="M393" s="3">
        <v>50</v>
      </c>
      <c r="N393" s="3" t="s">
        <v>104</v>
      </c>
      <c r="O393" s="3"/>
      <c r="P393" s="3"/>
      <c r="Q393" s="3">
        <v>15.037000000000001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88</v>
      </c>
      <c r="C394" s="3" t="s">
        <v>177</v>
      </c>
      <c r="D394" s="3"/>
      <c r="E394" s="3" t="s">
        <v>177</v>
      </c>
      <c r="F394" s="3"/>
      <c r="G394" s="3"/>
      <c r="H394" s="3"/>
      <c r="I394" s="3"/>
      <c r="J394" s="3"/>
      <c r="K394" s="3"/>
      <c r="L394" s="3" t="s">
        <v>89</v>
      </c>
      <c r="M394" s="3">
        <v>60</v>
      </c>
      <c r="N394" s="3" t="s">
        <v>105</v>
      </c>
      <c r="O394" s="3"/>
      <c r="P394" s="3"/>
      <c r="Q394" s="3">
        <v>92.475999999999999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88</v>
      </c>
      <c r="C395" s="3" t="s">
        <v>177</v>
      </c>
      <c r="D395" s="3"/>
      <c r="E395" s="3" t="s">
        <v>177</v>
      </c>
      <c r="F395" s="3"/>
      <c r="G395" s="3"/>
      <c r="H395" s="3"/>
      <c r="I395" s="3"/>
      <c r="J395" s="3"/>
      <c r="K395" s="3"/>
      <c r="L395" s="3" t="s">
        <v>89</v>
      </c>
      <c r="M395" s="3">
        <v>70</v>
      </c>
      <c r="N395" s="3" t="s">
        <v>20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88</v>
      </c>
      <c r="C396" s="3" t="s">
        <v>177</v>
      </c>
      <c r="D396" s="3"/>
      <c r="E396" s="3" t="s">
        <v>177</v>
      </c>
      <c r="F396" s="3"/>
      <c r="G396" s="3"/>
      <c r="H396" s="3"/>
      <c r="I396" s="3"/>
      <c r="J396" s="3"/>
      <c r="K396" s="3"/>
      <c r="L396" s="3" t="s">
        <v>89</v>
      </c>
      <c r="M396" s="3">
        <v>80</v>
      </c>
      <c r="N396" s="3" t="s">
        <v>143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88</v>
      </c>
      <c r="C397" s="3" t="s">
        <v>177</v>
      </c>
      <c r="D397" s="3"/>
      <c r="E397" s="3" t="s">
        <v>177</v>
      </c>
      <c r="F397" s="3"/>
      <c r="G397" s="3"/>
      <c r="H397" s="3"/>
      <c r="I397" s="3"/>
      <c r="J397" s="3"/>
      <c r="K397" s="3"/>
      <c r="L397" s="3" t="s">
        <v>89</v>
      </c>
      <c r="M397" s="3">
        <v>90</v>
      </c>
      <c r="N397" s="3" t="s">
        <v>21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88</v>
      </c>
      <c r="C398" s="3" t="s">
        <v>177</v>
      </c>
      <c r="D398" s="3"/>
      <c r="E398" s="3" t="s">
        <v>177</v>
      </c>
      <c r="F398" s="3"/>
      <c r="G398" s="3"/>
      <c r="H398" s="3"/>
      <c r="I398" s="3"/>
      <c r="J398" s="3"/>
      <c r="K398" s="3"/>
      <c r="L398" s="3" t="s">
        <v>89</v>
      </c>
      <c r="M398" s="3">
        <v>100</v>
      </c>
      <c r="N398" s="3" t="s">
        <v>22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88</v>
      </c>
      <c r="C399" s="3" t="s">
        <v>177</v>
      </c>
      <c r="D399" s="3"/>
      <c r="E399" s="3" t="s">
        <v>177</v>
      </c>
      <c r="F399" s="3"/>
      <c r="G399" s="3"/>
      <c r="H399" s="3"/>
      <c r="I399" s="3"/>
      <c r="J399" s="3"/>
      <c r="K399" s="3"/>
      <c r="L399" s="3" t="s">
        <v>89</v>
      </c>
      <c r="M399" s="3">
        <v>110</v>
      </c>
      <c r="N399" s="3" t="s">
        <v>144</v>
      </c>
      <c r="O399" s="3"/>
      <c r="P399" s="3"/>
      <c r="Q399" s="3">
        <v>0.70599999999999996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88</v>
      </c>
      <c r="C400" s="3" t="s">
        <v>177</v>
      </c>
      <c r="D400" s="3"/>
      <c r="E400" s="3" t="s">
        <v>177</v>
      </c>
      <c r="F400" s="3"/>
      <c r="G400" s="3"/>
      <c r="H400" s="3"/>
      <c r="I400" s="3"/>
      <c r="J400" s="3"/>
      <c r="K400" s="3"/>
      <c r="L400" s="3" t="s">
        <v>89</v>
      </c>
      <c r="M400" s="3">
        <v>120</v>
      </c>
      <c r="N400" s="3" t="s">
        <v>212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88</v>
      </c>
      <c r="C401" s="3" t="s">
        <v>178</v>
      </c>
      <c r="D401" s="3"/>
      <c r="E401" s="3" t="s">
        <v>178</v>
      </c>
      <c r="F401" s="3"/>
      <c r="G401" s="3"/>
      <c r="H401" s="3"/>
      <c r="I401" s="3"/>
      <c r="J401" s="3"/>
      <c r="K401" s="3"/>
      <c r="L401" s="3" t="s">
        <v>89</v>
      </c>
      <c r="M401" s="3">
        <v>10</v>
      </c>
      <c r="N401" s="3" t="s">
        <v>141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88</v>
      </c>
      <c r="C402" s="3" t="s">
        <v>178</v>
      </c>
      <c r="D402" s="3"/>
      <c r="E402" s="3" t="s">
        <v>178</v>
      </c>
      <c r="F402" s="3"/>
      <c r="G402" s="3"/>
      <c r="H402" s="3"/>
      <c r="I402" s="3"/>
      <c r="J402" s="3"/>
      <c r="K402" s="3"/>
      <c r="L402" s="3" t="s">
        <v>89</v>
      </c>
      <c r="M402" s="3">
        <v>20</v>
      </c>
      <c r="N402" s="3" t="s">
        <v>95</v>
      </c>
      <c r="O402" s="3"/>
      <c r="P402" s="3"/>
      <c r="Q402" s="3">
        <v>0.81899999999999995</v>
      </c>
      <c r="R402" s="3" t="s">
        <v>96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88</v>
      </c>
      <c r="C403" s="3" t="s">
        <v>178</v>
      </c>
      <c r="D403" s="3"/>
      <c r="E403" s="3" t="s">
        <v>178</v>
      </c>
      <c r="F403" s="3"/>
      <c r="G403" s="3"/>
      <c r="H403" s="3"/>
      <c r="I403" s="3"/>
      <c r="J403" s="3"/>
      <c r="K403" s="3"/>
      <c r="L403" s="3" t="s">
        <v>89</v>
      </c>
      <c r="M403" s="3">
        <v>30</v>
      </c>
      <c r="N403" s="3" t="s">
        <v>106</v>
      </c>
      <c r="O403" s="3"/>
      <c r="P403" s="3"/>
      <c r="Q403" s="3">
        <v>2.1589999999999998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88</v>
      </c>
      <c r="C404" s="3" t="s">
        <v>178</v>
      </c>
      <c r="D404" s="3"/>
      <c r="E404" s="3" t="s">
        <v>178</v>
      </c>
      <c r="F404" s="3"/>
      <c r="G404" s="3"/>
      <c r="H404" s="3"/>
      <c r="I404" s="3"/>
      <c r="J404" s="3"/>
      <c r="K404" s="3"/>
      <c r="L404" s="3" t="s">
        <v>89</v>
      </c>
      <c r="M404" s="3">
        <v>40</v>
      </c>
      <c r="N404" s="3" t="s">
        <v>107</v>
      </c>
      <c r="O404" s="3"/>
      <c r="P404" s="3"/>
      <c r="Q404" s="3">
        <v>2.1589999999999998</v>
      </c>
      <c r="R404" s="3" t="s">
        <v>15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88</v>
      </c>
      <c r="C405" s="3" t="s">
        <v>178</v>
      </c>
      <c r="D405" s="3"/>
      <c r="E405" s="3" t="s">
        <v>178</v>
      </c>
      <c r="F405" s="3"/>
      <c r="G405" s="3"/>
      <c r="H405" s="3"/>
      <c r="I405" s="3"/>
      <c r="J405" s="3"/>
      <c r="K405" s="3"/>
      <c r="L405" s="3" t="s">
        <v>89</v>
      </c>
      <c r="M405" s="3">
        <v>50</v>
      </c>
      <c r="N405" s="3" t="s">
        <v>104</v>
      </c>
      <c r="O405" s="3"/>
      <c r="P405" s="3"/>
      <c r="Q405" s="3">
        <v>15.646000000000001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88</v>
      </c>
      <c r="C406" s="3" t="s">
        <v>178</v>
      </c>
      <c r="D406" s="3"/>
      <c r="E406" s="3" t="s">
        <v>178</v>
      </c>
      <c r="F406" s="3"/>
      <c r="G406" s="3"/>
      <c r="H406" s="3"/>
      <c r="I406" s="3"/>
      <c r="J406" s="3"/>
      <c r="K406" s="3"/>
      <c r="L406" s="3" t="s">
        <v>89</v>
      </c>
      <c r="M406" s="3">
        <v>60</v>
      </c>
      <c r="N406" s="3" t="s">
        <v>105</v>
      </c>
      <c r="O406" s="3"/>
      <c r="P406" s="3"/>
      <c r="Q406" s="3">
        <v>96.224999999999994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88</v>
      </c>
      <c r="C407" s="3" t="s">
        <v>178</v>
      </c>
      <c r="D407" s="3"/>
      <c r="E407" s="3" t="s">
        <v>178</v>
      </c>
      <c r="F407" s="3"/>
      <c r="G407" s="3"/>
      <c r="H407" s="3"/>
      <c r="I407" s="3"/>
      <c r="J407" s="3"/>
      <c r="K407" s="3"/>
      <c r="L407" s="3" t="s">
        <v>89</v>
      </c>
      <c r="M407" s="3">
        <v>70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88</v>
      </c>
      <c r="C408" s="3" t="s">
        <v>178</v>
      </c>
      <c r="D408" s="3"/>
      <c r="E408" s="3" t="s">
        <v>178</v>
      </c>
      <c r="F408" s="3"/>
      <c r="G408" s="3"/>
      <c r="H408" s="3"/>
      <c r="I408" s="3"/>
      <c r="J408" s="3"/>
      <c r="K408" s="3"/>
      <c r="L408" s="3" t="s">
        <v>89</v>
      </c>
      <c r="M408" s="3">
        <v>80</v>
      </c>
      <c r="N408" s="3" t="s">
        <v>143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88</v>
      </c>
      <c r="C409" s="3" t="s">
        <v>178</v>
      </c>
      <c r="D409" s="3"/>
      <c r="E409" s="3" t="s">
        <v>178</v>
      </c>
      <c r="F409" s="3"/>
      <c r="G409" s="3"/>
      <c r="H409" s="3"/>
      <c r="I409" s="3"/>
      <c r="J409" s="3"/>
      <c r="K409" s="3"/>
      <c r="L409" s="3" t="s">
        <v>89</v>
      </c>
      <c r="M409" s="3">
        <v>90</v>
      </c>
      <c r="N409" s="3" t="s">
        <v>21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88</v>
      </c>
      <c r="C410" s="3" t="s">
        <v>178</v>
      </c>
      <c r="D410" s="3"/>
      <c r="E410" s="3" t="s">
        <v>178</v>
      </c>
      <c r="F410" s="3"/>
      <c r="G410" s="3"/>
      <c r="H410" s="3"/>
      <c r="I410" s="3"/>
      <c r="J410" s="3"/>
      <c r="K410" s="3"/>
      <c r="L410" s="3" t="s">
        <v>89</v>
      </c>
      <c r="M410" s="3">
        <v>100</v>
      </c>
      <c r="N410" s="3" t="s">
        <v>22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88</v>
      </c>
      <c r="C411" s="3" t="s">
        <v>178</v>
      </c>
      <c r="D411" s="3"/>
      <c r="E411" s="3" t="s">
        <v>178</v>
      </c>
      <c r="F411" s="3"/>
      <c r="G411" s="3"/>
      <c r="H411" s="3"/>
      <c r="I411" s="3"/>
      <c r="J411" s="3"/>
      <c r="K411" s="3"/>
      <c r="L411" s="3" t="s">
        <v>89</v>
      </c>
      <c r="M411" s="3">
        <v>110</v>
      </c>
      <c r="N411" s="3" t="s">
        <v>144</v>
      </c>
      <c r="O411" s="3"/>
      <c r="P411" s="3"/>
      <c r="Q411" s="3">
        <v>0.70599999999999996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88</v>
      </c>
      <c r="C412" s="3" t="s">
        <v>178</v>
      </c>
      <c r="D412" s="3"/>
      <c r="E412" s="3" t="s">
        <v>178</v>
      </c>
      <c r="F412" s="3"/>
      <c r="G412" s="3"/>
      <c r="H412" s="3"/>
      <c r="I412" s="3"/>
      <c r="J412" s="3"/>
      <c r="K412" s="3"/>
      <c r="L412" s="3" t="s">
        <v>89</v>
      </c>
      <c r="M412" s="3">
        <v>120</v>
      </c>
      <c r="N412" s="3" t="s">
        <v>213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88</v>
      </c>
      <c r="C413" s="3" t="s">
        <v>179</v>
      </c>
      <c r="D413" s="3"/>
      <c r="E413" s="3" t="s">
        <v>179</v>
      </c>
      <c r="F413" s="3"/>
      <c r="G413" s="3"/>
      <c r="H413" s="3"/>
      <c r="I413" s="3"/>
      <c r="J413" s="3"/>
      <c r="K413" s="3"/>
      <c r="L413" s="3" t="s">
        <v>89</v>
      </c>
      <c r="M413" s="3">
        <v>10</v>
      </c>
      <c r="N413" s="3" t="s">
        <v>142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88</v>
      </c>
      <c r="C414" s="3" t="s">
        <v>179</v>
      </c>
      <c r="D414" s="3"/>
      <c r="E414" s="3" t="s">
        <v>179</v>
      </c>
      <c r="F414" s="3"/>
      <c r="G414" s="3"/>
      <c r="H414" s="3"/>
      <c r="I414" s="3"/>
      <c r="J414" s="3"/>
      <c r="K414" s="3"/>
      <c r="L414" s="3" t="s">
        <v>89</v>
      </c>
      <c r="M414" s="3">
        <v>20</v>
      </c>
      <c r="N414" s="3" t="s">
        <v>95</v>
      </c>
      <c r="O414" s="3"/>
      <c r="P414" s="3"/>
      <c r="Q414" s="3">
        <v>0.89500000000000002</v>
      </c>
      <c r="R414" s="3" t="s">
        <v>96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88</v>
      </c>
      <c r="C415" s="3" t="s">
        <v>179</v>
      </c>
      <c r="D415" s="3"/>
      <c r="E415" s="3" t="s">
        <v>179</v>
      </c>
      <c r="F415" s="3"/>
      <c r="G415" s="3"/>
      <c r="H415" s="3"/>
      <c r="I415" s="3"/>
      <c r="J415" s="3"/>
      <c r="K415" s="3"/>
      <c r="L415" s="3" t="s">
        <v>89</v>
      </c>
      <c r="M415" s="3">
        <v>30</v>
      </c>
      <c r="N415" s="3" t="s">
        <v>106</v>
      </c>
      <c r="O415" s="3"/>
      <c r="P415" s="3"/>
      <c r="Q415" s="3">
        <v>2.1589999999999998</v>
      </c>
      <c r="R415" s="3" t="s">
        <v>11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88</v>
      </c>
      <c r="C416" s="3" t="s">
        <v>179</v>
      </c>
      <c r="D416" s="3"/>
      <c r="E416" s="3" t="s">
        <v>179</v>
      </c>
      <c r="F416" s="3"/>
      <c r="G416" s="3"/>
      <c r="H416" s="3"/>
      <c r="I416" s="3"/>
      <c r="J416" s="3"/>
      <c r="K416" s="3"/>
      <c r="L416" s="3" t="s">
        <v>89</v>
      </c>
      <c r="M416" s="3">
        <v>40</v>
      </c>
      <c r="N416" s="3" t="s">
        <v>107</v>
      </c>
      <c r="O416" s="3"/>
      <c r="P416" s="3"/>
      <c r="Q416" s="3">
        <v>2.1589999999999998</v>
      </c>
      <c r="R416" s="3" t="s">
        <v>15</v>
      </c>
      <c r="S416" s="3"/>
      <c r="T416" s="3">
        <v>10</v>
      </c>
      <c r="U416" s="3"/>
      <c r="V416" s="3" t="s">
        <v>16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88</v>
      </c>
      <c r="C417" s="3" t="s">
        <v>179</v>
      </c>
      <c r="D417" s="3"/>
      <c r="E417" s="3" t="s">
        <v>179</v>
      </c>
      <c r="F417" s="3"/>
      <c r="G417" s="3"/>
      <c r="H417" s="3"/>
      <c r="I417" s="3"/>
      <c r="J417" s="3"/>
      <c r="K417" s="3"/>
      <c r="L417" s="3" t="s">
        <v>89</v>
      </c>
      <c r="M417" s="3">
        <v>50</v>
      </c>
      <c r="N417" s="3" t="s">
        <v>104</v>
      </c>
      <c r="O417" s="3"/>
      <c r="P417" s="3"/>
      <c r="Q417" s="3">
        <v>16.256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88</v>
      </c>
      <c r="C418" s="3" t="s">
        <v>179</v>
      </c>
      <c r="D418" s="3"/>
      <c r="E418" s="3" t="s">
        <v>179</v>
      </c>
      <c r="F418" s="3"/>
      <c r="G418" s="3"/>
      <c r="H418" s="3"/>
      <c r="I418" s="3"/>
      <c r="J418" s="3"/>
      <c r="K418" s="3"/>
      <c r="L418" s="3" t="s">
        <v>89</v>
      </c>
      <c r="M418" s="3">
        <v>60</v>
      </c>
      <c r="N418" s="3" t="s">
        <v>105</v>
      </c>
      <c r="O418" s="3"/>
      <c r="P418" s="3"/>
      <c r="Q418" s="3">
        <v>99.974000000000004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88</v>
      </c>
      <c r="C419" s="3" t="s">
        <v>179</v>
      </c>
      <c r="D419" s="3"/>
      <c r="E419" s="3" t="s">
        <v>179</v>
      </c>
      <c r="F419" s="3"/>
      <c r="G419" s="3"/>
      <c r="H419" s="3"/>
      <c r="I419" s="3"/>
      <c r="J419" s="3"/>
      <c r="K419" s="3"/>
      <c r="L419" s="3" t="s">
        <v>89</v>
      </c>
      <c r="M419" s="3">
        <v>70</v>
      </c>
      <c r="N419" s="3" t="s">
        <v>20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88</v>
      </c>
      <c r="C420" s="3" t="s">
        <v>179</v>
      </c>
      <c r="D420" s="3"/>
      <c r="E420" s="3" t="s">
        <v>179</v>
      </c>
      <c r="F420" s="3"/>
      <c r="G420" s="3"/>
      <c r="H420" s="3"/>
      <c r="I420" s="3"/>
      <c r="J420" s="3"/>
      <c r="K420" s="3"/>
      <c r="L420" s="3" t="s">
        <v>89</v>
      </c>
      <c r="M420" s="3">
        <v>80</v>
      </c>
      <c r="N420" s="3" t="s">
        <v>143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88</v>
      </c>
      <c r="C421" s="3" t="s">
        <v>179</v>
      </c>
      <c r="D421" s="3"/>
      <c r="E421" s="3" t="s">
        <v>179</v>
      </c>
      <c r="F421" s="3"/>
      <c r="G421" s="3"/>
      <c r="H421" s="3"/>
      <c r="I421" s="3"/>
      <c r="J421" s="3"/>
      <c r="K421" s="3"/>
      <c r="L421" s="3" t="s">
        <v>89</v>
      </c>
      <c r="M421" s="3">
        <v>90</v>
      </c>
      <c r="N421" s="3" t="s">
        <v>21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88</v>
      </c>
      <c r="C422" s="3" t="s">
        <v>179</v>
      </c>
      <c r="D422" s="3"/>
      <c r="E422" s="3" t="s">
        <v>179</v>
      </c>
      <c r="F422" s="3"/>
      <c r="G422" s="3"/>
      <c r="H422" s="3"/>
      <c r="I422" s="3"/>
      <c r="J422" s="3"/>
      <c r="K422" s="3"/>
      <c r="L422" s="3" t="s">
        <v>89</v>
      </c>
      <c r="M422" s="3">
        <v>100</v>
      </c>
      <c r="N422" s="3" t="s">
        <v>22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88</v>
      </c>
      <c r="C423" s="3" t="s">
        <v>179</v>
      </c>
      <c r="D423" s="3"/>
      <c r="E423" s="3" t="s">
        <v>179</v>
      </c>
      <c r="F423" s="3"/>
      <c r="G423" s="3"/>
      <c r="H423" s="3"/>
      <c r="I423" s="3"/>
      <c r="J423" s="3"/>
      <c r="K423" s="3"/>
      <c r="L423" s="3" t="s">
        <v>89</v>
      </c>
      <c r="M423" s="3">
        <v>110</v>
      </c>
      <c r="N423" s="3" t="s">
        <v>144</v>
      </c>
      <c r="O423" s="3"/>
      <c r="P423" s="3"/>
      <c r="Q423" s="3">
        <v>0.70599999999999996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88</v>
      </c>
      <c r="C424" s="3" t="s">
        <v>179</v>
      </c>
      <c r="D424" s="3"/>
      <c r="E424" s="3" t="s">
        <v>179</v>
      </c>
      <c r="F424" s="3"/>
      <c r="G424" s="3"/>
      <c r="H424" s="3"/>
      <c r="I424" s="3"/>
      <c r="J424" s="3"/>
      <c r="K424" s="3"/>
      <c r="L424" s="3" t="s">
        <v>89</v>
      </c>
      <c r="M424" s="3">
        <v>120</v>
      </c>
      <c r="N424" s="3" t="s">
        <v>214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2026-06-02T10:49:59Z</dcterms:modified>
</cp:coreProperties>
</file>