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-Double side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/>
  <c r="E14" i="13" l="1"/>
  <c r="G4" i="13" l="1"/>
  <c r="H4" i="13" s="1"/>
  <c r="D4" i="13"/>
  <c r="H14" i="13" l="1"/>
  <c r="D14" i="13"/>
  <c r="G12" i="13"/>
  <c r="G5" i="13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H5" i="13"/>
  <c r="D5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<sst xmlns="http://schemas.openxmlformats.org/spreadsheetml/2006/main" count="11081" uniqueCount="412">
  <si>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</si>
  <si>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</si>
  <si>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</si>
  <si>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</si>
  <si>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</si>
  <si>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</si>
  <si>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</si>
  <si>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</si>
  <si>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</si>
  <si>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</si>
  <si>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</si>
  <si>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</si>
  <si>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</si>
  <si>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</si>
  <si>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</si>
  <si>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</si>
  <si>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</si>
  <si>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</si>
  <si>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</si>
  <si>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</si>
  <si>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</si>
  <si>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</si>
  <si>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</si>
  <si>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</si>
  <si>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</si>
  <si>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</si>
  <si>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</si>
  <si>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</si>
  <si>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</si>
  <si>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</si>
  <si>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</si>
  <si>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</si>
  <si>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</si>
  <si>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</si>
  <si>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</si>
  <si>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</si>
  <si>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</si>
  <si>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</si>
  <si>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</si>
  <si>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</si>
  <si>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</si>
  <si>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</si>
  <si>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</si>
  <si>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</si>
  <si>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</si>
  <si>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</si>
  <si>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</si>
  <si>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</si>
  <si>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</si>
  <si>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</si>
  <si>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</si>
  <si>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</si>
  <si>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</si>
  <si>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</si>
  <si>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</si>
  <si>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</si>
  <si>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</si>
  <si>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</si>
  <si>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</si>
  <si>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</si>
  <si>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</si>
  <si>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</si>
  <si>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</si>
  <si>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</si>
  <si>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</si>
  <si>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</si>
  <si>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</si>
  <si>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</si>
  <si>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</si>
  <si>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</si>
  <si>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</si>
  <si>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</si>
  <si>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</si>
  <si>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</si>
  <si>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</si>
  <si>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</si>
  <si>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</si>
  <si>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</si>
  <si>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</si>
  <si>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</si>
  <si>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</si>
  <si>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</si>
  <si>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</si>
  <si>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</si>
  <si>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</si>
  <si>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</si>
  <si>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</si>
  <si>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</si>
  <si>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</si>
  <si>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</si>
  <si>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</si>
  <si>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</si>
  <si>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</si>
  <si>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</si>
  <si>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</si>
  <si>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</si>
  <si>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</si>
  <si>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</si>
  <si>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</si>
  <si>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</si>
  <si>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</si>
  <si>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</si>
  <si>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</si>
  <si>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</si>
  <si>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</si>
  <si>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</si>
  <si>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</si>
  <si>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</si>
  <si>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</si>
  <si>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SFG-RTHTMTRG-BONPOC-QUILT</t>
  </si>
  <si>
    <t>RMI-PVC-90</t>
  </si>
  <si>
    <t>RTHTMTPKRG72X33X10</t>
  </si>
  <si>
    <t>RML-CS-PL-10.5</t>
  </si>
  <si>
    <t>RTHTMTPKRG72X39X10</t>
  </si>
  <si>
    <t>RTHTMTPKRG72X45X10</t>
  </si>
  <si>
    <t>RTHTMTPKRG72X51X10</t>
  </si>
  <si>
    <t>RTHTMTPKRG72X54X10</t>
  </si>
  <si>
    <t>RTHTMTPKRG72X57X10</t>
  </si>
  <si>
    <t>RTHTMTPKRG72X63X10</t>
  </si>
  <si>
    <t>RTHTMTPKRG72X69X10</t>
  </si>
  <si>
    <t>RTHTMTPKRG75X33X10</t>
  </si>
  <si>
    <t>RTHTMTPKRG75X39X10</t>
  </si>
  <si>
    <t>RTHTMTPKRG75X45X10</t>
  </si>
  <si>
    <t>RTHTMTPKRG75X51X10</t>
  </si>
  <si>
    <t>RTHTMTPKRG75X54X10</t>
  </si>
  <si>
    <t>RTHTMTPKRG75X57X10</t>
  </si>
  <si>
    <t>RTHTMTPKRG75X63X10</t>
  </si>
  <si>
    <t>RTHTMTPKRG75X69X10</t>
  </si>
  <si>
    <t>RTHTMTPKRG78X33X10</t>
  </si>
  <si>
    <t>RTHTMTPKRG78X39X10</t>
  </si>
  <si>
    <t>RTHTMTPKRG78X45X10</t>
  </si>
  <si>
    <t>RTHTMTPKRG78X51X10</t>
  </si>
  <si>
    <t>RTHTMTPKRG78X54X10</t>
  </si>
  <si>
    <t>RTHTMTPKRG78X57X10</t>
  </si>
  <si>
    <t>RTHTMTPKRG78X63X10</t>
  </si>
  <si>
    <t>RTHTMTPKRG78X69X10</t>
  </si>
  <si>
    <t>RTHTMTPKRG80X33X10</t>
  </si>
  <si>
    <t>RTHTMTPKRG80X39X10</t>
  </si>
  <si>
    <t>RTHTMTPKRG80X45X10</t>
  </si>
  <si>
    <t>RTHTMTPKRG80X51X10</t>
  </si>
  <si>
    <t>RTHTMTPKRG80X54X10</t>
  </si>
  <si>
    <t>RTHTMTPKRG80X57X10</t>
  </si>
  <si>
    <t>RTHTMTPKRG80X63X10</t>
  </si>
  <si>
    <t>RTHTMTPKRG80X69X10</t>
  </si>
  <si>
    <t>RTHTMTPKRG84X33X10</t>
  </si>
  <si>
    <t>RTHTMTPKRG84X39X10</t>
  </si>
  <si>
    <t>RTHTMTPKRG84X45X10</t>
  </si>
  <si>
    <t>RTHTMTPKRG84X51X10</t>
  </si>
  <si>
    <t>RTHTMTPKRG84X54X10</t>
  </si>
  <si>
    <t>RTHTMTPKRG84X57X10</t>
  </si>
  <si>
    <t>RTHTMTPKRG84X63X10</t>
  </si>
  <si>
    <t>RTHTMTPKRG84X69X10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</si>
  <si>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</si>
  <si>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</si>
  <si>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</si>
  <si>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</si>
  <si>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</si>
  <si>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</si>
  <si>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</si>
  <si>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</si>
  <si>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</si>
  <si>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</si>
  <si>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</si>
  <si>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</si>
  <si>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</si>
  <si>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</si>
  <si>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</si>
  <si>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</si>
  <si>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</si>
  <si>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</si>
  <si>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</si>
  <si>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</si>
  <si>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</si>
  <si>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</si>
  <si>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</si>
  <si>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</si>
  <si>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</si>
  <si>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</si>
  <si>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</si>
  <si>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</si>
  <si>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</si>
  <si>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</si>
  <si>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</si>
  <si>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</si>
  <si>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</si>
  <si>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</si>
  <si>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</si>
  <si>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</si>
  <si>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</si>
  <si>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</si>
  <si>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</si>
  <si>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</si>
  <si>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RTHTMTPKRG72X30X10</t>
  </si>
  <si>
    <t>60D-RB-MAT-FOAM-71.50X29.50X15MM</t>
  </si>
  <si>
    <t>RTHTMTPKRG72X36X10</t>
  </si>
  <si>
    <t>60D-RB-MAT-FOAM-71.50X35.50X15MM</t>
  </si>
  <si>
    <t>RTHTMTPKRG72X42X10</t>
  </si>
  <si>
    <t>60D-RB-MAT-FOAM-71.50X41.50X15MM</t>
  </si>
  <si>
    <t>RTHTMTPKRG72X48X10</t>
  </si>
  <si>
    <t>60D-RB-MAT-FOAM-71.50X47.50X15MM</t>
  </si>
  <si>
    <t>RTHTMTPKRG72X60X10</t>
  </si>
  <si>
    <t>60D-RB-MAT-FOAM-71.50X59.50X15MM</t>
  </si>
  <si>
    <t>RTHTMTPKRG72X66X10</t>
  </si>
  <si>
    <t>60D-RB-MAT-FOAM-71.50X65.50X15MM</t>
  </si>
  <si>
    <t>RTHTMTPKRG72X72X10</t>
  </si>
  <si>
    <t>60D-RB-MAT-FOAM-71.50X71.50X15MM</t>
  </si>
  <si>
    <t>RTHTMTPKRG75X30X10</t>
  </si>
  <si>
    <t>60D-RB-MAT-FOAM-74.50X29.50X15MM</t>
  </si>
  <si>
    <t>RTHTMTPKRG75X36X10</t>
  </si>
  <si>
    <t>60D-RB-MAT-FOAM-74.50X35.50X15MM</t>
  </si>
  <si>
    <t>RTHTMTPKRG75X42X10</t>
  </si>
  <si>
    <t>60D-RB-MAT-FOAM-74.50X41.50X15MM</t>
  </si>
  <si>
    <t>RTHTMTPKRG75X48X10</t>
  </si>
  <si>
    <t>60D-RB-MAT-FOAM-74.50X47.50X15MM</t>
  </si>
  <si>
    <t>RTHTMTPKRG75X60X10</t>
  </si>
  <si>
    <t>60D-RB-MAT-FOAM-74.50X59.50X15MM</t>
  </si>
  <si>
    <t>RTHTMTPKRG75X66X10</t>
  </si>
  <si>
    <t>60D-RB-MAT-FOAM-74.50X65.50X15MM</t>
  </si>
  <si>
    <t>RTHTMTPKRG75X72X10</t>
  </si>
  <si>
    <t>60D-RB-MAT-FOAM-74.50X71.50X15MM</t>
  </si>
  <si>
    <t>RTHTMTPKRG78X30X10</t>
  </si>
  <si>
    <t>60D-RB-MAT-FOAM-77.50X29.50X15MM</t>
  </si>
  <si>
    <t>RTHTMTPKRG78X36X10</t>
  </si>
  <si>
    <t>60D-RB-MAT-FOAM-77.50X35.50X15MM</t>
  </si>
  <si>
    <t>RTHTMTPKRG78X42X10</t>
  </si>
  <si>
    <t>60D-RB-MAT-FOAM-77.50X41.50X15MM</t>
  </si>
  <si>
    <t>RTHTMTPKRG78X48X10</t>
  </si>
  <si>
    <t>60D-RB-MAT-FOAM-77.50X47.50X15MM</t>
  </si>
  <si>
    <t>RTHTMTPKRG78X60X10</t>
  </si>
  <si>
    <t>60D-RB-MAT-FOAM-77.50X59.50X15MM</t>
  </si>
  <si>
    <t>RTHTMTPKRG78X66X10</t>
  </si>
  <si>
    <t>60D-RB-MAT-FOAM-77.50X65.50X15MM</t>
  </si>
  <si>
    <t>RTHTMTPKRG78X72X10</t>
  </si>
  <si>
    <t>60D-RB-MAT-FOAM-77.50X71.50X15MM</t>
  </si>
  <si>
    <t>RTHTMTPKRG80X30X10</t>
  </si>
  <si>
    <t>60D-RB-MAT-FOAM-79.50X29.50X15MM</t>
  </si>
  <si>
    <t>RTHTMTPKRG80X36X10</t>
  </si>
  <si>
    <t>60D-RB-MAT-FOAM-79.50X35.50X15MM</t>
  </si>
  <si>
    <t>RTHTMTPKRG80X42X10</t>
  </si>
  <si>
    <t>60D-RB-MAT-FOAM-79.50X41.50X15MM</t>
  </si>
  <si>
    <t>RTHTMTPKRG80X48X10</t>
  </si>
  <si>
    <t>60D-RB-MAT-FOAM-79.50X47.50X15MM</t>
  </si>
  <si>
    <t>RTHTMTPKRG80X60X10</t>
  </si>
  <si>
    <t>60D-RB-MAT-FOAM-79.50X59.50X15MM</t>
  </si>
  <si>
    <t>RTHTMTPKRG80X66X10</t>
  </si>
  <si>
    <t>60D-RB-MAT-FOAM-79.50X65.50X15MM</t>
  </si>
  <si>
    <t>RTHTMTPKRG80X72X10</t>
  </si>
  <si>
    <t>60D-RB-MAT-FOAM-79.50X71.50X15MM</t>
  </si>
  <si>
    <t>RTHTMTPKRG84X30X10</t>
  </si>
  <si>
    <t>60D-RB-MAT-FOAM-83.50X29.50X15MM</t>
  </si>
  <si>
    <t>RTHTMTPKRG84X36X10</t>
  </si>
  <si>
    <t>60D-RB-MAT-FOAM-83.50X35.50X15MM</t>
  </si>
  <si>
    <t>RTHTMTPKRG84X42X10</t>
  </si>
  <si>
    <t>60D-RB-MAT-FOAM-83.50X41.50X15MM</t>
  </si>
  <si>
    <t>RTHTMTPKRG84X48X10</t>
  </si>
  <si>
    <t>60D-RB-MAT-FOAM-83.50X47.50X15MM</t>
  </si>
  <si>
    <t>RTHTMTPKRG84X60X10</t>
  </si>
  <si>
    <t>60D-RB-MAT-FOAM-83.50X59.50X15MM</t>
  </si>
  <si>
    <t>RTHTMTPKRG84X66X10</t>
  </si>
  <si>
    <t>60D-RB-MAT-FOAM-83.50X65.50X15MM</t>
  </si>
  <si>
    <t>RTHTMTPKRG84X72X10</t>
  </si>
  <si>
    <t>60D-RB-MAT-FOAM-83.50X71.50X15MM</t>
  </si>
  <si>
    <t>OEPKBOXSR71.50X32.50X180</t>
  </si>
  <si>
    <t>25D-HELIXA-FOAM-71.50X32.50X15MM</t>
  </si>
  <si>
    <t>OEPKBOXSR71.50X38.50X180</t>
  </si>
  <si>
    <t>25D-HELIXA-FOAM-71.50X38.50X15MM</t>
  </si>
  <si>
    <t>OEPKBOXSR71.50X44.50X180</t>
  </si>
  <si>
    <t>25D-HELIXA-FOAM-71.50X44.50X15MM</t>
  </si>
  <si>
    <t>OEPKBOXSR71.50X50.50X180</t>
  </si>
  <si>
    <t>25D-HELIXA-FOAM-71.50X50.50X15MM</t>
  </si>
  <si>
    <t>OEPKBOXSR71.50X53.50X180</t>
  </si>
  <si>
    <t>25D-HELIXA-FOAM-71.50X53.50X15MM</t>
  </si>
  <si>
    <t>OEPKBOXSR71.50X56.50X180</t>
  </si>
  <si>
    <t>25D-HELIXA-FOAM-71.50X56.50X15MM</t>
  </si>
  <si>
    <t>OEPKBOXSR71.50X62.50X180</t>
  </si>
  <si>
    <t>25D-HELIXA-FOAM-71.50X62.50X15MM</t>
  </si>
  <si>
    <t>OEPKBOXSR71.50X68.50X180</t>
  </si>
  <si>
    <t>25D-HELIXA-FOAM-71.50X68.50X15MM</t>
  </si>
  <si>
    <t>OEPKBOXSR74.50X32.50X180</t>
  </si>
  <si>
    <t>25D-HELIXA-FOAM-74.50X32.50X15MM</t>
  </si>
  <si>
    <t>OEPKBOXSR74.50X38.50X180</t>
  </si>
  <si>
    <t>25D-HELIXA-FOAM-74.50X38.50X15MM</t>
  </si>
  <si>
    <t>OEPKBOXSR74.50X44.50X180</t>
  </si>
  <si>
    <t>25D-HELIXA-FOAM-74.50X44.50X15MM</t>
  </si>
  <si>
    <t>OEPKBOXSR74.50X50.50X180</t>
  </si>
  <si>
    <t>25D-HELIXA-FOAM-74.50X50.50X15MM</t>
  </si>
  <si>
    <t>OEPKBOXSR74.50X53.50X180</t>
  </si>
  <si>
    <t>25D-HELIXA-FOAM-74.50X53.50X15MM</t>
  </si>
  <si>
    <t>OEPKBOXSR74.50X56.50X180</t>
  </si>
  <si>
    <t>25D-HELIXA-FOAM-74.50X56.50X15MM</t>
  </si>
  <si>
    <t>OEPKBOXSR74.50X62.50X180</t>
  </si>
  <si>
    <t>25D-HELIXA-FOAM-74.50X62.50X15MM</t>
  </si>
  <si>
    <t>OEPKBOXSR74.50X68.50X180</t>
  </si>
  <si>
    <t>25D-HELIXA-FOAM-74.50X68.50X15MM</t>
  </si>
  <si>
    <t>OEPKBOXSR77.50X32.50X180</t>
  </si>
  <si>
    <t>25D-HELIXA-FOAM-77.50X32.50X15MM</t>
  </si>
  <si>
    <t>OEPKBOXSR77.50X38.50X180</t>
  </si>
  <si>
    <t>25D-HELIXA-FOAM-77.50X38.50X15MM</t>
  </si>
  <si>
    <t>OEPKBOXSR77.50X44.50X180</t>
  </si>
  <si>
    <t>25D-HELIXA-FOAM-77.50X44.50X15MM</t>
  </si>
  <si>
    <t>OEPKBOXSR77.50X50.50X180</t>
  </si>
  <si>
    <t>25D-HELIXA-FOAM-77.50X50.50X15MM</t>
  </si>
  <si>
    <t>OEPKBOXSR77.50X53.50X180</t>
  </si>
  <si>
    <t>25D-HELIXA-FOAM-77.50X53.50X15MM</t>
  </si>
  <si>
    <t>OEPKBOXSR77.50X56.50X180</t>
  </si>
  <si>
    <t>25D-HELIXA-FOAM-77.50X56.50X15MM</t>
  </si>
  <si>
    <t>OEPKBOXSR77.50X62.50X180</t>
  </si>
  <si>
    <t>25D-HELIXA-FOAM-77.50X62.50X15MM</t>
  </si>
  <si>
    <t>OEPKBOXSR77.50X68.50X180</t>
  </si>
  <si>
    <t>25D-HELIXA-FOAM-77.50X68.50X15MM</t>
  </si>
  <si>
    <t>OEPKBOXSR79.50X32.50X180</t>
  </si>
  <si>
    <t>25D-HELIXA-FOAM-79.50X32.50X15MM</t>
  </si>
  <si>
    <t>OEPKBOXSR79.50X38.50X180</t>
  </si>
  <si>
    <t>25D-HELIXA-FOAM-79.50X38.50X15MM</t>
  </si>
  <si>
    <t>OEPKBOXSR79.50X44.50X180</t>
  </si>
  <si>
    <t>25D-HELIXA-FOAM-79.50X44.50X15MM</t>
  </si>
  <si>
    <t>OEPKBOXSR79.50X50.50X180</t>
  </si>
  <si>
    <t>25D-HELIXA-FOAM-79.50X50.50X15MM</t>
  </si>
  <si>
    <t>OEPKBOXSR79.50X53.50X180</t>
  </si>
  <si>
    <t>25D-HELIXA-FOAM-79.50X53.50X15MM</t>
  </si>
  <si>
    <t>OEPKBOXSR79.50X56.50X180</t>
  </si>
  <si>
    <t>25D-HELIXA-FOAM-79.50X56.50X15MM</t>
  </si>
  <si>
    <t>OEPKBOXSR79.50X62.50X180</t>
  </si>
  <si>
    <t>25D-HELIXA-FOAM-79.50X62.50X15MM</t>
  </si>
  <si>
    <t>OEPKBOXSR79.50X68.50X180</t>
  </si>
  <si>
    <t>25D-HELIXA-FOAM-79.50X68.50X15MM</t>
  </si>
  <si>
    <t>OEPKBOXSR83.50X32.50X180</t>
  </si>
  <si>
    <t>25D-HELIXA-FOAM-83.50X32.50X15MM</t>
  </si>
  <si>
    <t>OEPKBOXSR83.50X38.50X180</t>
  </si>
  <si>
    <t>25D-HELIXA-FOAM-83.50X38.50X15MM</t>
  </si>
  <si>
    <t>OEPKBOXSR83.50X44.50X180</t>
  </si>
  <si>
    <t>25D-HELIXA-FOAM-83.50X44.50X15MM</t>
  </si>
  <si>
    <t>OEPKBOXSR83.50X50.50X180</t>
  </si>
  <si>
    <t>25D-HELIXA-FOAM-83.50X50.50X15MM</t>
  </si>
  <si>
    <t>OEPKBOXSR83.50X53.50X180</t>
  </si>
  <si>
    <t>25D-HELIXA-FOAM-83.50X53.50X15MM</t>
  </si>
  <si>
    <t>OEPKBOXSR83.50X56.50X180</t>
  </si>
  <si>
    <t>25D-HELIXA-FOAM-83.50X56.50X15MM</t>
  </si>
  <si>
    <t>OEPKBOXSR83.50X62.50X180</t>
  </si>
  <si>
    <t>25D-HELIXA-FOAM-83.50X62.50X15MM</t>
  </si>
  <si>
    <t>OEPKBOXSR83.50X68.50X180</t>
  </si>
  <si>
    <t>25D-HELIXA-FOAM-83.50X68.50X15MM</t>
  </si>
  <si>
    <t>OEPKBOXSR71.50X29.50X180</t>
  </si>
  <si>
    <t>25D-HELIXA-FOAM-71.50X29.50X15MM</t>
  </si>
  <si>
    <t>OEPKBOXSR71.50X35.50X180</t>
  </si>
  <si>
    <t>25D-HELIXA-FOAM-71.50X35.50X15MM</t>
  </si>
  <si>
    <t>OEPKBOXSR71.50X41.50X180</t>
  </si>
  <si>
    <t>25D-HELIXA-FOAM-71.50X41.50X15MM</t>
  </si>
  <si>
    <t>OEPKBOXSR71.50X47.50X180</t>
  </si>
  <si>
    <t>25D-HELIXA-FOAM-71.50X47.50X15MM</t>
  </si>
  <si>
    <t>OEPKBOXSR71.50X59.50X180</t>
  </si>
  <si>
    <t>25D-HELIXA-FOAM-71.50X59.50X15MM</t>
  </si>
  <si>
    <t>OEPKBOXSR71.50X65.50X180</t>
  </si>
  <si>
    <t>25D-HELIXA-FOAM-71.50X65.50X15MM</t>
  </si>
  <si>
    <t>OEPKBOXSR71.50X71.50X180</t>
  </si>
  <si>
    <t>25D-HELIXA-FOAM-71.50X71.50X15MM</t>
  </si>
  <si>
    <t>OEPKBOXSR74.50X29.50X180</t>
  </si>
  <si>
    <t>25D-HELIXA-FOAM-74.50X29.50X15MM</t>
  </si>
  <si>
    <t>OEPKBOXSR74.50X35.50X180</t>
  </si>
  <si>
    <t>25D-HELIXA-FOAM-74.50X35.50X15MM</t>
  </si>
  <si>
    <t>OEPKBOXSR74.50X41.50X180</t>
  </si>
  <si>
    <t>25D-HELIXA-FOAM-74.50X41.50X15MM</t>
  </si>
  <si>
    <t>OEPKBOXSR74.50X47.50X180</t>
  </si>
  <si>
    <t>25D-HELIXA-FOAM-74.50X47.50X15MM</t>
  </si>
  <si>
    <t>OEPKBOXSR74.50X59.50X180</t>
  </si>
  <si>
    <t>25D-HELIXA-FOAM-74.50X59.50X15MM</t>
  </si>
  <si>
    <t>OEPKBOXSR74.50X65.50X180</t>
  </si>
  <si>
    <t>25D-HELIXA-FOAM-74.50X65.50X15MM</t>
  </si>
  <si>
    <t>OEPKBOXSR74.50X71.50X180</t>
  </si>
  <si>
    <t>25D-HELIXA-FOAM-74.50X71.50X15MM</t>
  </si>
  <si>
    <t>OEPKBOXSR77.50X29.50X180</t>
  </si>
  <si>
    <t>25D-HELIXA-FOAM-77.50X29.50X15MM</t>
  </si>
  <si>
    <t>OEPKBOXSR77.50X35.50X180</t>
  </si>
  <si>
    <t>25D-HELIXA-FOAM-77.50X35.50X15MM</t>
  </si>
  <si>
    <t>OEPKBOXSR77.50X41.50X180</t>
  </si>
  <si>
    <t>25D-HELIXA-FOAM-77.50X41.50X15MM</t>
  </si>
  <si>
    <t>OEPKBOXSR77.50X47.50X180</t>
  </si>
  <si>
    <t>25D-HELIXA-FOAM-77.50X47.50X15MM</t>
  </si>
  <si>
    <t>OEPKBOXSR77.50X59.50X180</t>
  </si>
  <si>
    <t>25D-HELIXA-FOAM-77.50X59.50X15MM</t>
  </si>
  <si>
    <t>OEPKBOXSR77.50X65.50X180</t>
  </si>
  <si>
    <t>25D-HELIXA-FOAM-77.50X65.50X15MM</t>
  </si>
  <si>
    <t>OEPKBOXSR77.50X71.50X180</t>
  </si>
  <si>
    <t>25D-HELIXA-FOAM-77.50X71.50X15MM</t>
  </si>
  <si>
    <t>OEPKBOXSR79.50X29.50X180</t>
  </si>
  <si>
    <t>25D-HELIXA-FOAM-79.50X29.50X15MM</t>
  </si>
  <si>
    <t>OEPKBOXSR79.50X35.50X180</t>
  </si>
  <si>
    <t>25D-HELIXA-FOAM-79.50X35.50X15MM</t>
  </si>
  <si>
    <t>OEPKBOXSR79.50X41.50X180</t>
  </si>
  <si>
    <t>25D-HELIXA-FOAM-79.50X41.50X15MM</t>
  </si>
  <si>
    <t>OEPKBOXSR79.50X47.50X180</t>
  </si>
  <si>
    <t>25D-HELIXA-FOAM-79.50X47.50X15MM</t>
  </si>
  <si>
    <t>OEPKBOXSR79.50X59.50X180</t>
  </si>
  <si>
    <t>25D-HELIXA-FOAM-79.50X59.50X15MM</t>
  </si>
  <si>
    <t>OEPKBOXSR79.50X65.50X180</t>
  </si>
  <si>
    <t>25D-HELIXA-FOAM-79.50X65.50X15MM</t>
  </si>
  <si>
    <t>OEPKBOXSR79.50X71.50X180</t>
  </si>
  <si>
    <t>25D-HELIXA-FOAM-79.50X71.50X15MM</t>
  </si>
  <si>
    <t>OEPKBOXSR83.50X29.50X180</t>
  </si>
  <si>
    <t>25D-HELIXA-FOAM-83.50X29.50X15MM</t>
  </si>
  <si>
    <t>OEPKBOXSR83.50X35.50X180</t>
  </si>
  <si>
    <t>25D-HELIXA-FOAM-83.50X35.50X15MM</t>
  </si>
  <si>
    <t>OEPKBOXSR83.50X41.50X180</t>
  </si>
  <si>
    <t>25D-HELIXA-FOAM-83.50X41.50X15MM</t>
  </si>
  <si>
    <t>OEPKBOXSR83.50X47.50X180</t>
  </si>
  <si>
    <t>25D-HELIXA-FOAM-83.50X47.50X15MM</t>
  </si>
  <si>
    <t>OEPKBOXSR83.50X59.50X180</t>
  </si>
  <si>
    <t>25D-HELIXA-FOAM-83.50X59.50X15MM</t>
  </si>
  <si>
    <t>OEPKBOXSR83.50X65.50X180</t>
  </si>
  <si>
    <t>25D-HELIXA-FOAM-83.50X65.50X15MM</t>
  </si>
  <si>
    <t>OEPKBOXSR83.50X71.50X180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</si>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</sst>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1" sqref="E1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5.855468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"RTHTMTPKRG"&amp;$K$2&amp;"X"&amp;$L$2&amp;"X"&amp;IF($M$2&gt;9,$M$2,"0"&amp;$M$2)</f>
        <v>RTHTMTPKRG75X36X10</v>
      </c>
      <c r="E2" s="1" t="str">
        <f>"OEPKBOXSR"&amp;(K2-0.5)&amp;"0"&amp;"X"&amp;(L2-0.5)&amp;"0"&amp;"X"&amp;IF(M2=6,"110",IF(M2=8,"160",IF(M2&gt;9,"180",0)))</f>
        <v>OEPKBOXSR74.50X35.50X180</v>
      </c>
      <c r="F2" s="11" t="s">
        <v>11</v>
      </c>
      <c r="G2" s="10">
        <v>1</v>
      </c>
      <c r="H2" s="10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7">
        <v>10</v>
      </c>
      <c r="N2" s="6" t="s">
        <v>108</v>
      </c>
      <c r="P2" s="4" t="s">
        <v>91</v>
      </c>
      <c r="R2" s="34" t="s">
        <v>92</v>
      </c>
      <c r="S2" s="34" t="s">
        <v>93</v>
      </c>
      <c r="T2" s="34">
        <v>10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1">"RTHTMTPKRG"&amp;$K$2&amp;"X"&amp;$L$2&amp;"X"&amp;IF($M$2&gt;9,$M$2,"0"&amp;$M$2)</f>
        <v>RTHTMTPKRG75X36X10</v>
      </c>
      <c r="E3" s="19" t="s">
        <v>109</v>
      </c>
      <c r="F3" s="11" t="s">
        <v>15</v>
      </c>
      <c r="G3" s="26">
        <f>IF(K2&lt;79,(L2+1)*2,IF(L2&lt;37,(K2+1),(K2+1)*2))*0.0254</f>
        <v>1.8795999999999999</v>
      </c>
      <c r="H3" s="10">
        <f>ROUND(G3,3)</f>
        <v>1.88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10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RTHTMTPKRG75X36X10</v>
      </c>
      <c r="E4" s="21" t="s">
        <v>18</v>
      </c>
      <c r="F4" s="40" t="s">
        <v>15</v>
      </c>
      <c r="G4" s="16">
        <f>(K2+L2+1.5)*4*0.0254*8</f>
        <v>91.44</v>
      </c>
      <c r="H4" s="10">
        <f>ROUND(G4,3)</f>
        <v>91.44</v>
      </c>
      <c r="I4" s="8" t="s">
        <v>14</v>
      </c>
      <c r="J4" s="12"/>
      <c r="O4" s="18"/>
      <c r="R4" s="34" t="s">
        <v>92</v>
      </c>
      <c r="S4" s="34" t="s">
        <v>95</v>
      </c>
      <c r="T4" s="34">
        <v>10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RTHTMTPKRG75X36X10</v>
      </c>
      <c r="E5" s="21" t="s">
        <v>105</v>
      </c>
      <c r="F5" s="15" t="s">
        <v>106</v>
      </c>
      <c r="G5" s="23">
        <f>((K2-1)*(L2-1)/144)*0.00729*6</f>
        <v>0.78671249999999993</v>
      </c>
      <c r="H5" s="10">
        <f t="shared" ref="H5:H13" si="2">ROUND(G5,3)</f>
        <v>0.78700000000000003</v>
      </c>
      <c r="I5" s="8" t="s">
        <v>14</v>
      </c>
      <c r="J5" s="12"/>
      <c r="O5" s="18"/>
      <c r="R5" s="34" t="s">
        <v>92</v>
      </c>
      <c r="S5" s="34" t="s">
        <v>96</v>
      </c>
      <c r="T5" s="34">
        <v>10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RTHTMTPKRG75X36X10</v>
      </c>
      <c r="E6" s="21" t="s">
        <v>107</v>
      </c>
      <c r="F6" s="11" t="s">
        <v>15</v>
      </c>
      <c r="G6" s="10">
        <f>(K2+L2+4)*2*0.0254*2</f>
        <v>11.683999999999999</v>
      </c>
      <c r="H6" s="10">
        <f t="shared" si="2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10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RTHTMTPKRG75X36X10</v>
      </c>
      <c r="E7" s="21" t="s">
        <v>18</v>
      </c>
      <c r="F7" s="11" t="s">
        <v>15</v>
      </c>
      <c r="G7" s="10">
        <f>(K2+L2+4)*2*0.0254*(4.73+1.42)*2</f>
        <v>71.8566</v>
      </c>
      <c r="H7" s="10">
        <f t="shared" si="2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10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1"/>
        <v>RTHTMTPKRG75X36X10</v>
      </c>
      <c r="E8" s="21" t="str">
        <f>IF(M2=6,"RML-CS-PL-6.5""",IF(M2=8,"RML-CS-PL-8.5",IF(M2=10,"RML-CS-PL-10.5",IF(M2=12,"RML-CS-PL-12.25"))))</f>
        <v>RML-CS-PL-10.5</v>
      </c>
      <c r="F8" s="11" t="s">
        <v>11</v>
      </c>
      <c r="G8" s="10">
        <v>4</v>
      </c>
      <c r="H8" s="10">
        <f t="shared" si="2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10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1"/>
        <v>RTHTMTPKRG75X36X10</v>
      </c>
      <c r="E9" s="21" t="s">
        <v>21</v>
      </c>
      <c r="F9" s="11" t="s">
        <v>11</v>
      </c>
      <c r="G9" s="10">
        <v>1</v>
      </c>
      <c r="H9" s="10">
        <f t="shared" si="2"/>
        <v>1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10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1"/>
        <v>RTHTMTPKRG75X36X10</v>
      </c>
      <c r="E10" s="21" t="s">
        <v>22</v>
      </c>
      <c r="F10" s="11" t="s">
        <v>11</v>
      </c>
      <c r="G10" s="14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10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RTHTMTPKRG75X36X10</v>
      </c>
      <c r="E11" s="21" t="s">
        <v>23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10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RTHTMTPKRG75X36X10</v>
      </c>
      <c r="E12" s="18" t="s">
        <v>110</v>
      </c>
      <c r="F12" s="11" t="s">
        <v>13</v>
      </c>
      <c r="G12" s="24">
        <f>IF(K2&lt;76,((L2*2)+(M2*2)+4),((K2*2)+(M2*2)+4))*0.0254*89.5*0.0254*0.00009*1300</f>
        <v>0.64855612223999992</v>
      </c>
      <c r="H12" s="10">
        <f t="shared" si="2"/>
        <v>0.64900000000000002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10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1"/>
        <v>RTHTMTPKRG75X36X10</v>
      </c>
      <c r="E13" s="39" t="str">
        <f>"25D-HELIXA-FOAM-"&amp;(K2-0.5)&amp;"0"&amp;"X"&amp;(L2-0.5)&amp;"0"&amp;"X15MM"</f>
        <v>25D-HELIXA-FOAM-74.50X35.50X15MM</v>
      </c>
      <c r="F13" s="8" t="s">
        <v>11</v>
      </c>
      <c r="G13" s="14">
        <v>2</v>
      </c>
      <c r="H13" s="10">
        <f t="shared" si="2"/>
        <v>2</v>
      </c>
      <c r="I13" s="20" t="s">
        <v>16</v>
      </c>
      <c r="J13" s="12"/>
      <c r="K13" s="22"/>
      <c r="R13" s="34" t="s">
        <v>101</v>
      </c>
      <c r="S13" s="34" t="s">
        <v>96</v>
      </c>
      <c r="T13" s="34">
        <v>10</v>
      </c>
      <c r="U13" s="35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1"/>
        <v>RTHTMTPKRG75X36X10</v>
      </c>
      <c r="E14" s="39" t="str">
        <f>"60D-RB-MAT-FOAM-"&amp;(K2-0.5)&amp;"0"&amp;"X"&amp;(L2-0.5)&amp;"0"&amp;"X15MM"</f>
        <v>60D-RB-MAT-FOAM-74.50X35.50X15MM</v>
      </c>
      <c r="F14" s="8" t="s">
        <v>11</v>
      </c>
      <c r="G14" s="14">
        <v>2</v>
      </c>
      <c r="H14" s="10">
        <f t="shared" ref="H14" si="3">ROUND(G14,3)</f>
        <v>2</v>
      </c>
      <c r="I14" s="20" t="s">
        <v>16</v>
      </c>
      <c r="J14" s="12"/>
      <c r="M14" s="22"/>
      <c r="O14" s="22"/>
      <c r="R14" s="34" t="s">
        <v>101</v>
      </c>
      <c r="S14" s="34" t="s">
        <v>97</v>
      </c>
      <c r="T14" s="34">
        <v>10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10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10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10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10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10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10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10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10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10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10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10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10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10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10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10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10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10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10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10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10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10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10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10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10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10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10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10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10</v>
      </c>
      <c r="U42" s="35" t="s">
        <v>108</v>
      </c>
    </row>
    <row r="43" spans="14:21" x14ac:dyDescent="0.25">
      <c r="N43"/>
      <c r="O43"/>
      <c r="R43" s="34">
        <v>72</v>
      </c>
      <c r="S43" s="34">
        <v>36</v>
      </c>
      <c r="T43" s="34">
        <v>10</v>
      </c>
      <c r="U43" s="35" t="s">
        <v>108</v>
      </c>
    </row>
    <row r="44" spans="14:21" x14ac:dyDescent="0.25">
      <c r="N44"/>
      <c r="O44"/>
      <c r="R44" s="34">
        <v>72</v>
      </c>
      <c r="S44" s="34">
        <v>42</v>
      </c>
      <c r="T44" s="34">
        <v>10</v>
      </c>
      <c r="U44" s="35" t="s">
        <v>108</v>
      </c>
    </row>
    <row r="45" spans="14:21" x14ac:dyDescent="0.25">
      <c r="N45"/>
      <c r="O45"/>
      <c r="R45" s="34">
        <v>72</v>
      </c>
      <c r="S45" s="34">
        <v>48</v>
      </c>
      <c r="T45" s="34">
        <v>10</v>
      </c>
      <c r="U45" s="35" t="s">
        <v>108</v>
      </c>
    </row>
    <row r="46" spans="14:21" x14ac:dyDescent="0.25">
      <c r="N46"/>
      <c r="O46"/>
      <c r="R46" s="34">
        <v>72</v>
      </c>
      <c r="S46" s="34">
        <v>60</v>
      </c>
      <c r="T46" s="34">
        <v>10</v>
      </c>
      <c r="U46" s="35" t="s">
        <v>108</v>
      </c>
    </row>
    <row r="47" spans="14:21" x14ac:dyDescent="0.25">
      <c r="N47"/>
      <c r="O47"/>
      <c r="R47" s="34">
        <v>72</v>
      </c>
      <c r="S47" s="34">
        <v>66</v>
      </c>
      <c r="T47" s="34">
        <v>10</v>
      </c>
      <c r="U47" s="35" t="s">
        <v>108</v>
      </c>
    </row>
    <row r="48" spans="14:21" x14ac:dyDescent="0.25">
      <c r="N48"/>
      <c r="O48"/>
      <c r="R48" s="34">
        <v>72</v>
      </c>
      <c r="S48" s="34">
        <v>72</v>
      </c>
      <c r="T48" s="34">
        <v>10</v>
      </c>
      <c r="U48" s="35" t="s">
        <v>108</v>
      </c>
    </row>
    <row r="49" spans="14:21" x14ac:dyDescent="0.25">
      <c r="N49"/>
      <c r="O49"/>
      <c r="R49" s="34">
        <v>75</v>
      </c>
      <c r="S49" s="34">
        <v>30</v>
      </c>
      <c r="T49" s="34">
        <v>10</v>
      </c>
      <c r="U49" s="35" t="s">
        <v>108</v>
      </c>
    </row>
    <row r="50" spans="14:21" x14ac:dyDescent="0.25">
      <c r="R50" s="34">
        <v>75</v>
      </c>
      <c r="S50" s="34">
        <v>36</v>
      </c>
      <c r="T50" s="34">
        <v>10</v>
      </c>
      <c r="U50" s="35" t="s">
        <v>108</v>
      </c>
    </row>
    <row r="51" spans="14:21" x14ac:dyDescent="0.25">
      <c r="R51" s="34">
        <v>75</v>
      </c>
      <c r="S51" s="34">
        <v>42</v>
      </c>
      <c r="T51" s="34">
        <v>10</v>
      </c>
      <c r="U51" s="35" t="s">
        <v>108</v>
      </c>
    </row>
    <row r="52" spans="14:21" x14ac:dyDescent="0.25">
      <c r="R52" s="34">
        <v>75</v>
      </c>
      <c r="S52" s="34">
        <v>48</v>
      </c>
      <c r="T52" s="34">
        <v>10</v>
      </c>
      <c r="U52" s="35" t="s">
        <v>108</v>
      </c>
    </row>
    <row r="53" spans="14:21" x14ac:dyDescent="0.25">
      <c r="R53" s="34">
        <v>75</v>
      </c>
      <c r="S53" s="34">
        <v>60</v>
      </c>
      <c r="T53" s="34">
        <v>10</v>
      </c>
      <c r="U53" s="35" t="s">
        <v>108</v>
      </c>
    </row>
    <row r="54" spans="14:21" x14ac:dyDescent="0.25">
      <c r="R54" s="34">
        <v>75</v>
      </c>
      <c r="S54" s="34">
        <v>66</v>
      </c>
      <c r="T54" s="34">
        <v>10</v>
      </c>
      <c r="U54" s="35" t="s">
        <v>108</v>
      </c>
    </row>
    <row r="55" spans="14:21" x14ac:dyDescent="0.25">
      <c r="R55" s="34">
        <v>75</v>
      </c>
      <c r="S55" s="34">
        <v>72</v>
      </c>
      <c r="T55" s="34">
        <v>10</v>
      </c>
      <c r="U55" s="35" t="s">
        <v>108</v>
      </c>
    </row>
    <row r="56" spans="14:21" x14ac:dyDescent="0.25">
      <c r="R56" s="34">
        <v>78</v>
      </c>
      <c r="S56" s="34">
        <v>30</v>
      </c>
      <c r="T56" s="34">
        <v>10</v>
      </c>
      <c r="U56" s="35" t="s">
        <v>108</v>
      </c>
    </row>
    <row r="57" spans="14:21" x14ac:dyDescent="0.25">
      <c r="R57" s="34">
        <v>78</v>
      </c>
      <c r="S57" s="34">
        <v>36</v>
      </c>
      <c r="T57" s="34">
        <v>10</v>
      </c>
      <c r="U57" s="35" t="s">
        <v>108</v>
      </c>
    </row>
    <row r="58" spans="14:21" x14ac:dyDescent="0.25">
      <c r="R58" s="34">
        <v>78</v>
      </c>
      <c r="S58" s="34">
        <v>42</v>
      </c>
      <c r="T58" s="34">
        <v>10</v>
      </c>
      <c r="U58" s="35" t="s">
        <v>108</v>
      </c>
    </row>
    <row r="59" spans="14:21" x14ac:dyDescent="0.25">
      <c r="R59" s="34">
        <v>78</v>
      </c>
      <c r="S59" s="34">
        <v>48</v>
      </c>
      <c r="T59" s="34">
        <v>10</v>
      </c>
      <c r="U59" s="35" t="s">
        <v>108</v>
      </c>
    </row>
    <row r="60" spans="14:21" x14ac:dyDescent="0.25">
      <c r="R60" s="34">
        <v>78</v>
      </c>
      <c r="S60" s="34">
        <v>60</v>
      </c>
      <c r="T60" s="34">
        <v>10</v>
      </c>
      <c r="U60" s="35" t="s">
        <v>108</v>
      </c>
    </row>
    <row r="61" spans="14:21" x14ac:dyDescent="0.25">
      <c r="R61" s="34">
        <v>78</v>
      </c>
      <c r="S61" s="34">
        <v>66</v>
      </c>
      <c r="T61" s="34">
        <v>10</v>
      </c>
      <c r="U61" s="35" t="s">
        <v>108</v>
      </c>
    </row>
    <row r="62" spans="14:21" x14ac:dyDescent="0.25">
      <c r="R62" s="34">
        <v>78</v>
      </c>
      <c r="S62" s="34">
        <v>72</v>
      </c>
      <c r="T62" s="34">
        <v>10</v>
      </c>
      <c r="U62" s="35" t="s">
        <v>108</v>
      </c>
    </row>
    <row r="63" spans="14:21" x14ac:dyDescent="0.25">
      <c r="R63" s="34">
        <v>80</v>
      </c>
      <c r="S63" s="34">
        <v>30</v>
      </c>
      <c r="T63" s="34">
        <v>10</v>
      </c>
      <c r="U63" s="35" t="s">
        <v>108</v>
      </c>
    </row>
    <row r="64" spans="14:21" x14ac:dyDescent="0.25">
      <c r="R64" s="34">
        <v>80</v>
      </c>
      <c r="S64" s="34">
        <v>36</v>
      </c>
      <c r="T64" s="34">
        <v>10</v>
      </c>
      <c r="U64" s="35" t="s">
        <v>108</v>
      </c>
    </row>
    <row r="65" spans="18:21" x14ac:dyDescent="0.25">
      <c r="R65" s="34">
        <v>80</v>
      </c>
      <c r="S65" s="34">
        <v>42</v>
      </c>
      <c r="T65" s="34">
        <v>10</v>
      </c>
      <c r="U65" s="35" t="s">
        <v>108</v>
      </c>
    </row>
    <row r="66" spans="18:21" x14ac:dyDescent="0.25">
      <c r="R66" s="34">
        <v>80</v>
      </c>
      <c r="S66" s="34">
        <v>48</v>
      </c>
      <c r="T66" s="34">
        <v>10</v>
      </c>
      <c r="U66" s="35" t="s">
        <v>108</v>
      </c>
    </row>
    <row r="67" spans="18:21" x14ac:dyDescent="0.25">
      <c r="R67" s="34">
        <v>80</v>
      </c>
      <c r="S67" s="34">
        <v>60</v>
      </c>
      <c r="T67" s="34">
        <v>10</v>
      </c>
      <c r="U67" s="35" t="s">
        <v>108</v>
      </c>
    </row>
    <row r="68" spans="18:21" x14ac:dyDescent="0.25">
      <c r="R68" s="34">
        <v>80</v>
      </c>
      <c r="S68" s="34">
        <v>66</v>
      </c>
      <c r="T68" s="34">
        <v>10</v>
      </c>
      <c r="U68" s="35" t="s">
        <v>108</v>
      </c>
    </row>
    <row r="69" spans="18:21" x14ac:dyDescent="0.25">
      <c r="R69" s="34">
        <v>80</v>
      </c>
      <c r="S69" s="34">
        <v>72</v>
      </c>
      <c r="T69" s="34">
        <v>10</v>
      </c>
      <c r="U69" s="35" t="s">
        <v>108</v>
      </c>
    </row>
    <row r="70" spans="18:21" x14ac:dyDescent="0.25">
      <c r="R70" s="34">
        <v>84</v>
      </c>
      <c r="S70" s="34">
        <v>30</v>
      </c>
      <c r="T70" s="34">
        <v>10</v>
      </c>
      <c r="U70" s="35" t="s">
        <v>108</v>
      </c>
    </row>
    <row r="71" spans="18:21" x14ac:dyDescent="0.25">
      <c r="R71" s="34">
        <v>84</v>
      </c>
      <c r="S71" s="34">
        <v>36</v>
      </c>
      <c r="T71" s="34">
        <v>10</v>
      </c>
      <c r="U71" s="35" t="s">
        <v>108</v>
      </c>
    </row>
    <row r="72" spans="18:21" x14ac:dyDescent="0.25">
      <c r="R72" s="34">
        <v>84</v>
      </c>
      <c r="S72" s="34">
        <v>42</v>
      </c>
      <c r="T72" s="34">
        <v>10</v>
      </c>
      <c r="U72" s="35" t="s">
        <v>108</v>
      </c>
    </row>
    <row r="73" spans="18:21" x14ac:dyDescent="0.25">
      <c r="R73" s="34">
        <v>84</v>
      </c>
      <c r="S73" s="34">
        <v>48</v>
      </c>
      <c r="T73" s="34">
        <v>10</v>
      </c>
      <c r="U73" s="35" t="s">
        <v>108</v>
      </c>
    </row>
    <row r="74" spans="18:21" x14ac:dyDescent="0.25">
      <c r="R74" s="34">
        <v>84</v>
      </c>
      <c r="S74" s="34">
        <v>60</v>
      </c>
      <c r="T74" s="34">
        <v>10</v>
      </c>
      <c r="U74" s="35" t="s">
        <v>108</v>
      </c>
    </row>
    <row r="75" spans="18:21" x14ac:dyDescent="0.25">
      <c r="R75" s="34">
        <v>84</v>
      </c>
      <c r="S75" s="34">
        <v>66</v>
      </c>
      <c r="T75" s="34">
        <v>10</v>
      </c>
      <c r="U75" s="35" t="s">
        <v>108</v>
      </c>
    </row>
    <row r="76" spans="18:21" x14ac:dyDescent="0.25">
      <c r="R76" s="34">
        <v>84</v>
      </c>
      <c r="S76" s="34">
        <v>72</v>
      </c>
      <c r="T76" s="34">
        <v>10</v>
      </c>
      <c r="U76" s="35" t="s">
        <v>108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111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111</v>
      </c>
      <c r="C3">
        <v>20</v>
      </c>
      <c r="D3" t="s">
        <v>109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111</v>
      </c>
      <c r="C4">
        <v>30</v>
      </c>
      <c r="D4" t="s">
        <v>18</v>
      </c>
      <c r="E4" t="s">
        <v>15</v>
      </c>
      <c r="F4">
        <v>86.563000000000002</v>
      </c>
      <c r="G4" t="s">
        <v>14</v>
      </c>
    </row>
    <row r="5" spans="1:7" x14ac:dyDescent="0.25">
      <c r="A5">
        <v>1</v>
      </c>
      <c r="B5" t="s">
        <v>111</v>
      </c>
      <c r="C5">
        <v>40</v>
      </c>
      <c r="D5" t="s">
        <v>105</v>
      </c>
      <c r="E5" t="s">
        <v>106</v>
      </c>
      <c r="F5">
        <v>0.69</v>
      </c>
      <c r="G5" t="s">
        <v>14</v>
      </c>
    </row>
    <row r="6" spans="1:7" x14ac:dyDescent="0.25">
      <c r="A6">
        <v>1</v>
      </c>
      <c r="B6" t="s">
        <v>111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111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111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111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111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111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111</v>
      </c>
      <c r="C12">
        <v>110</v>
      </c>
      <c r="D12" t="s">
        <v>110</v>
      </c>
      <c r="E12" t="s">
        <v>13</v>
      </c>
      <c r="F12">
        <v>0.60799999999999998</v>
      </c>
      <c r="G12" t="s">
        <v>14</v>
      </c>
    </row>
    <row r="13" spans="1:7" x14ac:dyDescent="0.25">
      <c r="A13">
        <v>1</v>
      </c>
      <c r="B13" t="s">
        <v>111</v>
      </c>
      <c r="C13">
        <v>120</v>
      </c>
      <c r="D13" t="s">
        <v>263</v>
      </c>
      <c r="E13" t="s">
        <v>11</v>
      </c>
      <c r="F13">
        <v>2</v>
      </c>
      <c r="G13" t="s">
        <v>16</v>
      </c>
    </row>
    <row r="14" spans="1:7" x14ac:dyDescent="0.25">
      <c r="A14">
        <v>1</v>
      </c>
      <c r="B14" t="s">
        <v>111</v>
      </c>
      <c r="C14">
        <v>130</v>
      </c>
      <c r="D14" t="s">
        <v>152</v>
      </c>
      <c r="E14" t="s">
        <v>11</v>
      </c>
      <c r="F14">
        <v>2</v>
      </c>
      <c r="G14" t="s">
        <v>16</v>
      </c>
    </row>
    <row r="15" spans="1:7" x14ac:dyDescent="0.25">
      <c r="A15">
        <v>2</v>
      </c>
      <c r="B15" t="s">
        <v>113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113</v>
      </c>
      <c r="C16">
        <v>20</v>
      </c>
      <c r="D16" t="s">
        <v>109</v>
      </c>
      <c r="E16" t="s">
        <v>15</v>
      </c>
      <c r="F16">
        <v>2.032</v>
      </c>
      <c r="G16" t="s">
        <v>16</v>
      </c>
    </row>
    <row r="17" spans="1:7" x14ac:dyDescent="0.25">
      <c r="A17">
        <v>2</v>
      </c>
      <c r="B17" t="s">
        <v>113</v>
      </c>
      <c r="C17">
        <v>30</v>
      </c>
      <c r="D17" t="s">
        <v>18</v>
      </c>
      <c r="E17" t="s">
        <v>15</v>
      </c>
      <c r="F17">
        <v>91.44</v>
      </c>
      <c r="G17" t="s">
        <v>14</v>
      </c>
    </row>
    <row r="18" spans="1:7" x14ac:dyDescent="0.25">
      <c r="A18">
        <v>2</v>
      </c>
      <c r="B18" t="s">
        <v>113</v>
      </c>
      <c r="C18">
        <v>40</v>
      </c>
      <c r="D18" t="s">
        <v>105</v>
      </c>
      <c r="E18" t="s">
        <v>106</v>
      </c>
      <c r="F18">
        <v>0.82</v>
      </c>
      <c r="G18" t="s">
        <v>14</v>
      </c>
    </row>
    <row r="19" spans="1:7" x14ac:dyDescent="0.25">
      <c r="A19">
        <v>2</v>
      </c>
      <c r="B19" t="s">
        <v>113</v>
      </c>
      <c r="C19">
        <v>50</v>
      </c>
      <c r="D19" t="s">
        <v>107</v>
      </c>
      <c r="E19" t="s">
        <v>15</v>
      </c>
      <c r="F19">
        <v>11.683999999999999</v>
      </c>
      <c r="G19" t="s">
        <v>14</v>
      </c>
    </row>
    <row r="20" spans="1:7" x14ac:dyDescent="0.25">
      <c r="A20">
        <v>2</v>
      </c>
      <c r="B20" t="s">
        <v>113</v>
      </c>
      <c r="C20">
        <v>60</v>
      </c>
      <c r="D20" t="s">
        <v>18</v>
      </c>
      <c r="E20" t="s">
        <v>15</v>
      </c>
      <c r="F20">
        <v>71.856999999999999</v>
      </c>
      <c r="G20" t="s">
        <v>14</v>
      </c>
    </row>
    <row r="21" spans="1:7" x14ac:dyDescent="0.25">
      <c r="A21">
        <v>2</v>
      </c>
      <c r="B21" t="s">
        <v>113</v>
      </c>
      <c r="C21">
        <v>70</v>
      </c>
      <c r="D21" t="s">
        <v>112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113</v>
      </c>
      <c r="C22">
        <v>80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113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113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113</v>
      </c>
      <c r="C25">
        <v>110</v>
      </c>
      <c r="D25" t="s">
        <v>110</v>
      </c>
      <c r="E25" t="s">
        <v>13</v>
      </c>
      <c r="F25">
        <v>0.68899999999999995</v>
      </c>
      <c r="G25" t="s">
        <v>14</v>
      </c>
    </row>
    <row r="26" spans="1:7" x14ac:dyDescent="0.25">
      <c r="A26">
        <v>2</v>
      </c>
      <c r="B26" t="s">
        <v>113</v>
      </c>
      <c r="C26">
        <v>120</v>
      </c>
      <c r="D26" t="s">
        <v>265</v>
      </c>
      <c r="E26" t="s">
        <v>11</v>
      </c>
      <c r="F26">
        <v>2</v>
      </c>
      <c r="G26" t="s">
        <v>16</v>
      </c>
    </row>
    <row r="27" spans="1:7" x14ac:dyDescent="0.25">
      <c r="A27">
        <v>2</v>
      </c>
      <c r="B27" t="s">
        <v>113</v>
      </c>
      <c r="C27">
        <v>130</v>
      </c>
      <c r="D27" t="s">
        <v>153</v>
      </c>
      <c r="E27" t="s">
        <v>11</v>
      </c>
      <c r="F27">
        <v>2</v>
      </c>
      <c r="G27" t="s">
        <v>16</v>
      </c>
    </row>
    <row r="28" spans="1:7" x14ac:dyDescent="0.25">
      <c r="A28">
        <v>3</v>
      </c>
      <c r="B28" t="s">
        <v>114</v>
      </c>
      <c r="C28">
        <v>10</v>
      </c>
      <c r="D28" t="s">
        <v>266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114</v>
      </c>
      <c r="C29">
        <v>20</v>
      </c>
      <c r="D29" t="s">
        <v>109</v>
      </c>
      <c r="E29" t="s">
        <v>15</v>
      </c>
      <c r="F29">
        <v>2.3370000000000002</v>
      </c>
      <c r="G29" t="s">
        <v>16</v>
      </c>
    </row>
    <row r="30" spans="1:7" x14ac:dyDescent="0.25">
      <c r="A30">
        <v>3</v>
      </c>
      <c r="B30" t="s">
        <v>114</v>
      </c>
      <c r="C30">
        <v>30</v>
      </c>
      <c r="D30" t="s">
        <v>18</v>
      </c>
      <c r="E30" t="s">
        <v>15</v>
      </c>
      <c r="F30">
        <v>96.316999999999993</v>
      </c>
      <c r="G30" t="s">
        <v>14</v>
      </c>
    </row>
    <row r="31" spans="1:7" x14ac:dyDescent="0.25">
      <c r="A31">
        <v>3</v>
      </c>
      <c r="B31" t="s">
        <v>114</v>
      </c>
      <c r="C31">
        <v>40</v>
      </c>
      <c r="D31" t="s">
        <v>105</v>
      </c>
      <c r="E31" t="s">
        <v>106</v>
      </c>
      <c r="F31">
        <v>0.94899999999999995</v>
      </c>
      <c r="G31" t="s">
        <v>14</v>
      </c>
    </row>
    <row r="32" spans="1:7" x14ac:dyDescent="0.25">
      <c r="A32">
        <v>3</v>
      </c>
      <c r="B32" t="s">
        <v>114</v>
      </c>
      <c r="C32">
        <v>50</v>
      </c>
      <c r="D32" t="s">
        <v>107</v>
      </c>
      <c r="E32" t="s">
        <v>15</v>
      </c>
      <c r="F32">
        <v>12.294</v>
      </c>
      <c r="G32" t="s">
        <v>14</v>
      </c>
    </row>
    <row r="33" spans="1:7" x14ac:dyDescent="0.25">
      <c r="A33">
        <v>3</v>
      </c>
      <c r="B33" t="s">
        <v>114</v>
      </c>
      <c r="C33">
        <v>60</v>
      </c>
      <c r="D33" t="s">
        <v>18</v>
      </c>
      <c r="E33" t="s">
        <v>15</v>
      </c>
      <c r="F33">
        <v>75.605999999999995</v>
      </c>
      <c r="G33" t="s">
        <v>14</v>
      </c>
    </row>
    <row r="34" spans="1:7" x14ac:dyDescent="0.25">
      <c r="A34">
        <v>3</v>
      </c>
      <c r="B34" t="s">
        <v>114</v>
      </c>
      <c r="C34">
        <v>70</v>
      </c>
      <c r="D34" t="s">
        <v>112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114</v>
      </c>
      <c r="C35">
        <v>80</v>
      </c>
      <c r="D35" t="s">
        <v>21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114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114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114</v>
      </c>
      <c r="C38">
        <v>110</v>
      </c>
      <c r="D38" t="s">
        <v>110</v>
      </c>
      <c r="E38" t="s">
        <v>13</v>
      </c>
      <c r="F38">
        <v>0.77</v>
      </c>
      <c r="G38" t="s">
        <v>14</v>
      </c>
    </row>
    <row r="39" spans="1:7" x14ac:dyDescent="0.25">
      <c r="A39">
        <v>3</v>
      </c>
      <c r="B39" t="s">
        <v>114</v>
      </c>
      <c r="C39">
        <v>120</v>
      </c>
      <c r="D39" t="s">
        <v>267</v>
      </c>
      <c r="E39" t="s">
        <v>11</v>
      </c>
      <c r="F39">
        <v>2</v>
      </c>
      <c r="G39" t="s">
        <v>16</v>
      </c>
    </row>
    <row r="40" spans="1:7" x14ac:dyDescent="0.25">
      <c r="A40">
        <v>3</v>
      </c>
      <c r="B40" t="s">
        <v>114</v>
      </c>
      <c r="C40">
        <v>130</v>
      </c>
      <c r="D40" t="s">
        <v>154</v>
      </c>
      <c r="E40" t="s">
        <v>11</v>
      </c>
      <c r="F40">
        <v>2</v>
      </c>
      <c r="G40" t="s">
        <v>16</v>
      </c>
    </row>
    <row r="41" spans="1:7" x14ac:dyDescent="0.25">
      <c r="A41">
        <v>4</v>
      </c>
      <c r="B41" t="s">
        <v>115</v>
      </c>
      <c r="C41">
        <v>10</v>
      </c>
      <c r="D41" t="s">
        <v>268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115</v>
      </c>
      <c r="C42">
        <v>20</v>
      </c>
      <c r="D42" t="s">
        <v>109</v>
      </c>
      <c r="E42" t="s">
        <v>15</v>
      </c>
      <c r="F42">
        <v>2.6419999999999999</v>
      </c>
      <c r="G42" t="s">
        <v>16</v>
      </c>
    </row>
    <row r="43" spans="1:7" x14ac:dyDescent="0.25">
      <c r="A43">
        <v>4</v>
      </c>
      <c r="B43" t="s">
        <v>115</v>
      </c>
      <c r="C43">
        <v>30</v>
      </c>
      <c r="D43" t="s">
        <v>18</v>
      </c>
      <c r="E43" t="s">
        <v>15</v>
      </c>
      <c r="F43">
        <v>101.194</v>
      </c>
      <c r="G43" t="s">
        <v>14</v>
      </c>
    </row>
    <row r="44" spans="1:7" x14ac:dyDescent="0.25">
      <c r="A44">
        <v>4</v>
      </c>
      <c r="B44" t="s">
        <v>115</v>
      </c>
      <c r="C44">
        <v>40</v>
      </c>
      <c r="D44" t="s">
        <v>105</v>
      </c>
      <c r="E44" t="s">
        <v>106</v>
      </c>
      <c r="F44">
        <v>1.0780000000000001</v>
      </c>
      <c r="G44" t="s">
        <v>14</v>
      </c>
    </row>
    <row r="45" spans="1:7" x14ac:dyDescent="0.25">
      <c r="A45">
        <v>4</v>
      </c>
      <c r="B45" t="s">
        <v>115</v>
      </c>
      <c r="C45">
        <v>50</v>
      </c>
      <c r="D45" t="s">
        <v>107</v>
      </c>
      <c r="E45" t="s">
        <v>15</v>
      </c>
      <c r="F45">
        <v>12.903</v>
      </c>
      <c r="G45" t="s">
        <v>14</v>
      </c>
    </row>
    <row r="46" spans="1:7" x14ac:dyDescent="0.25">
      <c r="A46">
        <v>4</v>
      </c>
      <c r="B46" t="s">
        <v>115</v>
      </c>
      <c r="C46">
        <v>60</v>
      </c>
      <c r="D46" t="s">
        <v>18</v>
      </c>
      <c r="E46" t="s">
        <v>15</v>
      </c>
      <c r="F46">
        <v>79.355000000000004</v>
      </c>
      <c r="G46" t="s">
        <v>14</v>
      </c>
    </row>
    <row r="47" spans="1:7" x14ac:dyDescent="0.25">
      <c r="A47">
        <v>4</v>
      </c>
      <c r="B47" t="s">
        <v>115</v>
      </c>
      <c r="C47">
        <v>70</v>
      </c>
      <c r="D47" t="s">
        <v>112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115</v>
      </c>
      <c r="C48">
        <v>80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115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115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115</v>
      </c>
      <c r="C51">
        <v>110</v>
      </c>
      <c r="D51" t="s">
        <v>110</v>
      </c>
      <c r="E51" t="s">
        <v>13</v>
      </c>
      <c r="F51">
        <v>0.85099999999999998</v>
      </c>
      <c r="G51" t="s">
        <v>14</v>
      </c>
    </row>
    <row r="52" spans="1:7" x14ac:dyDescent="0.25">
      <c r="A52">
        <v>4</v>
      </c>
      <c r="B52" t="s">
        <v>115</v>
      </c>
      <c r="C52">
        <v>120</v>
      </c>
      <c r="D52" t="s">
        <v>269</v>
      </c>
      <c r="E52" t="s">
        <v>11</v>
      </c>
      <c r="F52">
        <v>2</v>
      </c>
      <c r="G52" t="s">
        <v>16</v>
      </c>
    </row>
    <row r="53" spans="1:7" x14ac:dyDescent="0.25">
      <c r="A53">
        <v>4</v>
      </c>
      <c r="B53" t="s">
        <v>115</v>
      </c>
      <c r="C53">
        <v>130</v>
      </c>
      <c r="D53" t="s">
        <v>155</v>
      </c>
      <c r="E53" t="s">
        <v>11</v>
      </c>
      <c r="F53">
        <v>2</v>
      </c>
      <c r="G53" t="s">
        <v>16</v>
      </c>
    </row>
    <row r="54" spans="1:7" x14ac:dyDescent="0.25">
      <c r="A54">
        <v>5</v>
      </c>
      <c r="B54" t="s">
        <v>116</v>
      </c>
      <c r="C54">
        <v>10</v>
      </c>
      <c r="D54" t="s">
        <v>270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116</v>
      </c>
      <c r="C55">
        <v>20</v>
      </c>
      <c r="D55" t="s">
        <v>109</v>
      </c>
      <c r="E55" t="s">
        <v>15</v>
      </c>
      <c r="F55">
        <v>2.794</v>
      </c>
      <c r="G55" t="s">
        <v>16</v>
      </c>
    </row>
    <row r="56" spans="1:7" x14ac:dyDescent="0.25">
      <c r="A56">
        <v>5</v>
      </c>
      <c r="B56" t="s">
        <v>116</v>
      </c>
      <c r="C56">
        <v>30</v>
      </c>
      <c r="D56" t="s">
        <v>18</v>
      </c>
      <c r="E56" t="s">
        <v>15</v>
      </c>
      <c r="F56">
        <v>103.63200000000001</v>
      </c>
      <c r="G56" t="s">
        <v>14</v>
      </c>
    </row>
    <row r="57" spans="1:7" x14ac:dyDescent="0.25">
      <c r="A57">
        <v>5</v>
      </c>
      <c r="B57" t="s">
        <v>116</v>
      </c>
      <c r="C57">
        <v>40</v>
      </c>
      <c r="D57" t="s">
        <v>105</v>
      </c>
      <c r="E57" t="s">
        <v>106</v>
      </c>
      <c r="F57">
        <v>1.143</v>
      </c>
      <c r="G57" t="s">
        <v>14</v>
      </c>
    </row>
    <row r="58" spans="1:7" x14ac:dyDescent="0.25">
      <c r="A58">
        <v>5</v>
      </c>
      <c r="B58" t="s">
        <v>116</v>
      </c>
      <c r="C58">
        <v>50</v>
      </c>
      <c r="D58" t="s">
        <v>107</v>
      </c>
      <c r="E58" t="s">
        <v>15</v>
      </c>
      <c r="F58">
        <v>13.208</v>
      </c>
      <c r="G58" t="s">
        <v>14</v>
      </c>
    </row>
    <row r="59" spans="1:7" x14ac:dyDescent="0.25">
      <c r="A59">
        <v>5</v>
      </c>
      <c r="B59" t="s">
        <v>116</v>
      </c>
      <c r="C59">
        <v>60</v>
      </c>
      <c r="D59" t="s">
        <v>18</v>
      </c>
      <c r="E59" t="s">
        <v>15</v>
      </c>
      <c r="F59">
        <v>81.228999999999999</v>
      </c>
      <c r="G59" t="s">
        <v>14</v>
      </c>
    </row>
    <row r="60" spans="1:7" x14ac:dyDescent="0.25">
      <c r="A60">
        <v>5</v>
      </c>
      <c r="B60" t="s">
        <v>116</v>
      </c>
      <c r="C60">
        <v>70</v>
      </c>
      <c r="D60" t="s">
        <v>112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116</v>
      </c>
      <c r="C61">
        <v>80</v>
      </c>
      <c r="D61" t="s">
        <v>21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116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116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116</v>
      </c>
      <c r="C64">
        <v>110</v>
      </c>
      <c r="D64" t="s">
        <v>110</v>
      </c>
      <c r="E64" t="s">
        <v>13</v>
      </c>
      <c r="F64">
        <v>0.89200000000000002</v>
      </c>
      <c r="G64" t="s">
        <v>14</v>
      </c>
    </row>
    <row r="65" spans="1:7" x14ac:dyDescent="0.25">
      <c r="A65">
        <v>5</v>
      </c>
      <c r="B65" t="s">
        <v>116</v>
      </c>
      <c r="C65">
        <v>120</v>
      </c>
      <c r="D65" t="s">
        <v>271</v>
      </c>
      <c r="E65" t="s">
        <v>11</v>
      </c>
      <c r="F65">
        <v>2</v>
      </c>
      <c r="G65" t="s">
        <v>16</v>
      </c>
    </row>
    <row r="66" spans="1:7" x14ac:dyDescent="0.25">
      <c r="A66">
        <v>5</v>
      </c>
      <c r="B66" t="s">
        <v>116</v>
      </c>
      <c r="C66">
        <v>130</v>
      </c>
      <c r="D66" t="s">
        <v>156</v>
      </c>
      <c r="E66" t="s">
        <v>11</v>
      </c>
      <c r="F66">
        <v>2</v>
      </c>
      <c r="G66" t="s">
        <v>16</v>
      </c>
    </row>
    <row r="67" spans="1:7" x14ac:dyDescent="0.25">
      <c r="A67">
        <v>6</v>
      </c>
      <c r="B67" t="s">
        <v>117</v>
      </c>
      <c r="C67">
        <v>10</v>
      </c>
      <c r="D67" t="s">
        <v>272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117</v>
      </c>
      <c r="C68">
        <v>20</v>
      </c>
      <c r="D68" t="s">
        <v>109</v>
      </c>
      <c r="E68" t="s">
        <v>15</v>
      </c>
      <c r="F68">
        <v>2.9460000000000002</v>
      </c>
      <c r="G68" t="s">
        <v>16</v>
      </c>
    </row>
    <row r="69" spans="1:7" x14ac:dyDescent="0.25">
      <c r="A69">
        <v>6</v>
      </c>
      <c r="B69" t="s">
        <v>117</v>
      </c>
      <c r="C69">
        <v>30</v>
      </c>
      <c r="D69" t="s">
        <v>18</v>
      </c>
      <c r="E69" t="s">
        <v>15</v>
      </c>
      <c r="F69">
        <v>106.07</v>
      </c>
      <c r="G69" t="s">
        <v>14</v>
      </c>
    </row>
    <row r="70" spans="1:7" x14ac:dyDescent="0.25">
      <c r="A70">
        <v>6</v>
      </c>
      <c r="B70" t="s">
        <v>117</v>
      </c>
      <c r="C70">
        <v>40</v>
      </c>
      <c r="D70" t="s">
        <v>105</v>
      </c>
      <c r="E70" t="s">
        <v>106</v>
      </c>
      <c r="F70">
        <v>1.208</v>
      </c>
      <c r="G70" t="s">
        <v>14</v>
      </c>
    </row>
    <row r="71" spans="1:7" x14ac:dyDescent="0.25">
      <c r="A71">
        <v>6</v>
      </c>
      <c r="B71" t="s">
        <v>117</v>
      </c>
      <c r="C71">
        <v>50</v>
      </c>
      <c r="D71" t="s">
        <v>107</v>
      </c>
      <c r="E71" t="s">
        <v>15</v>
      </c>
      <c r="F71">
        <v>13.513</v>
      </c>
      <c r="G71" t="s">
        <v>14</v>
      </c>
    </row>
    <row r="72" spans="1:7" x14ac:dyDescent="0.25">
      <c r="A72">
        <v>6</v>
      </c>
      <c r="B72" t="s">
        <v>117</v>
      </c>
      <c r="C72">
        <v>60</v>
      </c>
      <c r="D72" t="s">
        <v>18</v>
      </c>
      <c r="E72" t="s">
        <v>15</v>
      </c>
      <c r="F72">
        <v>83.103999999999999</v>
      </c>
      <c r="G72" t="s">
        <v>14</v>
      </c>
    </row>
    <row r="73" spans="1:7" x14ac:dyDescent="0.25">
      <c r="A73">
        <v>6</v>
      </c>
      <c r="B73" t="s">
        <v>117</v>
      </c>
      <c r="C73">
        <v>70</v>
      </c>
      <c r="D73" t="s">
        <v>112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117</v>
      </c>
      <c r="C74">
        <v>80</v>
      </c>
      <c r="D74" t="s">
        <v>21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117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117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117</v>
      </c>
      <c r="C77">
        <v>110</v>
      </c>
      <c r="D77" t="s">
        <v>110</v>
      </c>
      <c r="E77" t="s">
        <v>13</v>
      </c>
      <c r="F77">
        <v>0.93200000000000005</v>
      </c>
      <c r="G77" t="s">
        <v>14</v>
      </c>
    </row>
    <row r="78" spans="1:7" x14ac:dyDescent="0.25">
      <c r="A78">
        <v>6</v>
      </c>
      <c r="B78" t="s">
        <v>117</v>
      </c>
      <c r="C78">
        <v>120</v>
      </c>
      <c r="D78" t="s">
        <v>273</v>
      </c>
      <c r="E78" t="s">
        <v>11</v>
      </c>
      <c r="F78">
        <v>2</v>
      </c>
      <c r="G78" t="s">
        <v>16</v>
      </c>
    </row>
    <row r="79" spans="1:7" x14ac:dyDescent="0.25">
      <c r="A79">
        <v>6</v>
      </c>
      <c r="B79" t="s">
        <v>117</v>
      </c>
      <c r="C79">
        <v>130</v>
      </c>
      <c r="D79" t="s">
        <v>157</v>
      </c>
      <c r="E79" t="s">
        <v>11</v>
      </c>
      <c r="F79">
        <v>2</v>
      </c>
      <c r="G79" t="s">
        <v>16</v>
      </c>
    </row>
    <row r="80" spans="1:7" x14ac:dyDescent="0.25">
      <c r="A80">
        <v>7</v>
      </c>
      <c r="B80" t="s">
        <v>118</v>
      </c>
      <c r="C80">
        <v>10</v>
      </c>
      <c r="D80" t="s">
        <v>274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118</v>
      </c>
      <c r="C81">
        <v>20</v>
      </c>
      <c r="D81" t="s">
        <v>109</v>
      </c>
      <c r="E81" t="s">
        <v>15</v>
      </c>
      <c r="F81">
        <v>3.2509999999999999</v>
      </c>
      <c r="G81" t="s">
        <v>16</v>
      </c>
    </row>
    <row r="82" spans="1:7" x14ac:dyDescent="0.25">
      <c r="A82">
        <v>7</v>
      </c>
      <c r="B82" t="s">
        <v>118</v>
      </c>
      <c r="C82">
        <v>30</v>
      </c>
      <c r="D82" t="s">
        <v>18</v>
      </c>
      <c r="E82" t="s">
        <v>15</v>
      </c>
      <c r="F82">
        <v>110.947</v>
      </c>
      <c r="G82" t="s">
        <v>14</v>
      </c>
    </row>
    <row r="83" spans="1:7" x14ac:dyDescent="0.25">
      <c r="A83">
        <v>7</v>
      </c>
      <c r="B83" t="s">
        <v>118</v>
      </c>
      <c r="C83">
        <v>40</v>
      </c>
      <c r="D83" t="s">
        <v>105</v>
      </c>
      <c r="E83" t="s">
        <v>106</v>
      </c>
      <c r="F83">
        <v>1.337</v>
      </c>
      <c r="G83" t="s">
        <v>14</v>
      </c>
    </row>
    <row r="84" spans="1:7" x14ac:dyDescent="0.25">
      <c r="A84">
        <v>7</v>
      </c>
      <c r="B84" t="s">
        <v>118</v>
      </c>
      <c r="C84">
        <v>50</v>
      </c>
      <c r="D84" t="s">
        <v>107</v>
      </c>
      <c r="E84" t="s">
        <v>15</v>
      </c>
      <c r="F84">
        <v>14.122</v>
      </c>
      <c r="G84" t="s">
        <v>14</v>
      </c>
    </row>
    <row r="85" spans="1:7" x14ac:dyDescent="0.25">
      <c r="A85">
        <v>7</v>
      </c>
      <c r="B85" t="s">
        <v>118</v>
      </c>
      <c r="C85">
        <v>60</v>
      </c>
      <c r="D85" t="s">
        <v>18</v>
      </c>
      <c r="E85" t="s">
        <v>15</v>
      </c>
      <c r="F85">
        <v>86.852999999999994</v>
      </c>
      <c r="G85" t="s">
        <v>14</v>
      </c>
    </row>
    <row r="86" spans="1:7" x14ac:dyDescent="0.25">
      <c r="A86">
        <v>7</v>
      </c>
      <c r="B86" t="s">
        <v>118</v>
      </c>
      <c r="C86">
        <v>70</v>
      </c>
      <c r="D86" t="s">
        <v>112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118</v>
      </c>
      <c r="C87">
        <v>80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118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118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118</v>
      </c>
      <c r="C90">
        <v>110</v>
      </c>
      <c r="D90" t="s">
        <v>110</v>
      </c>
      <c r="E90" t="s">
        <v>13</v>
      </c>
      <c r="F90">
        <v>1.0129999999999999</v>
      </c>
      <c r="G90" t="s">
        <v>14</v>
      </c>
    </row>
    <row r="91" spans="1:7" x14ac:dyDescent="0.25">
      <c r="A91">
        <v>7</v>
      </c>
      <c r="B91" t="s">
        <v>118</v>
      </c>
      <c r="C91">
        <v>120</v>
      </c>
      <c r="D91" t="s">
        <v>275</v>
      </c>
      <c r="E91" t="s">
        <v>11</v>
      </c>
      <c r="F91">
        <v>2</v>
      </c>
      <c r="G91" t="s">
        <v>16</v>
      </c>
    </row>
    <row r="92" spans="1:7" x14ac:dyDescent="0.25">
      <c r="A92">
        <v>7</v>
      </c>
      <c r="B92" t="s">
        <v>118</v>
      </c>
      <c r="C92">
        <v>130</v>
      </c>
      <c r="D92" t="s">
        <v>158</v>
      </c>
      <c r="E92" t="s">
        <v>11</v>
      </c>
      <c r="F92">
        <v>2</v>
      </c>
      <c r="G92" t="s">
        <v>16</v>
      </c>
    </row>
    <row r="93" spans="1:7" x14ac:dyDescent="0.25">
      <c r="A93">
        <v>8</v>
      </c>
      <c r="B93" t="s">
        <v>119</v>
      </c>
      <c r="C93">
        <v>10</v>
      </c>
      <c r="D93" t="s">
        <v>276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119</v>
      </c>
      <c r="C94">
        <v>20</v>
      </c>
      <c r="D94" t="s">
        <v>109</v>
      </c>
      <c r="E94" t="s">
        <v>15</v>
      </c>
      <c r="F94">
        <v>3.556</v>
      </c>
      <c r="G94" t="s">
        <v>16</v>
      </c>
    </row>
    <row r="95" spans="1:7" x14ac:dyDescent="0.25">
      <c r="A95">
        <v>8</v>
      </c>
      <c r="B95" t="s">
        <v>119</v>
      </c>
      <c r="C95">
        <v>30</v>
      </c>
      <c r="D95" t="s">
        <v>18</v>
      </c>
      <c r="E95" t="s">
        <v>15</v>
      </c>
      <c r="F95">
        <v>115.824</v>
      </c>
      <c r="G95" t="s">
        <v>14</v>
      </c>
    </row>
    <row r="96" spans="1:7" x14ac:dyDescent="0.25">
      <c r="A96">
        <v>8</v>
      </c>
      <c r="B96" t="s">
        <v>119</v>
      </c>
      <c r="C96">
        <v>40</v>
      </c>
      <c r="D96" t="s">
        <v>105</v>
      </c>
      <c r="E96" t="s">
        <v>106</v>
      </c>
      <c r="F96">
        <v>1.4670000000000001</v>
      </c>
      <c r="G96" t="s">
        <v>14</v>
      </c>
    </row>
    <row r="97" spans="1:7" x14ac:dyDescent="0.25">
      <c r="A97">
        <v>8</v>
      </c>
      <c r="B97" t="s">
        <v>119</v>
      </c>
      <c r="C97">
        <v>50</v>
      </c>
      <c r="D97" t="s">
        <v>107</v>
      </c>
      <c r="E97" t="s">
        <v>15</v>
      </c>
      <c r="F97">
        <v>14.731999999999999</v>
      </c>
      <c r="G97" t="s">
        <v>14</v>
      </c>
    </row>
    <row r="98" spans="1:7" x14ac:dyDescent="0.25">
      <c r="A98">
        <v>8</v>
      </c>
      <c r="B98" t="s">
        <v>119</v>
      </c>
      <c r="C98">
        <v>60</v>
      </c>
      <c r="D98" t="s">
        <v>18</v>
      </c>
      <c r="E98" t="s">
        <v>15</v>
      </c>
      <c r="F98">
        <v>90.602000000000004</v>
      </c>
      <c r="G98" t="s">
        <v>14</v>
      </c>
    </row>
    <row r="99" spans="1:7" x14ac:dyDescent="0.25">
      <c r="A99">
        <v>8</v>
      </c>
      <c r="B99" t="s">
        <v>119</v>
      </c>
      <c r="C99">
        <v>70</v>
      </c>
      <c r="D99" t="s">
        <v>112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119</v>
      </c>
      <c r="C100">
        <v>80</v>
      </c>
      <c r="D100" t="s">
        <v>21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119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119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119</v>
      </c>
      <c r="C103">
        <v>110</v>
      </c>
      <c r="D103" t="s">
        <v>110</v>
      </c>
      <c r="E103" t="s">
        <v>13</v>
      </c>
      <c r="F103">
        <v>1.0940000000000001</v>
      </c>
      <c r="G103" t="s">
        <v>14</v>
      </c>
    </row>
    <row r="104" spans="1:7" x14ac:dyDescent="0.25">
      <c r="A104">
        <v>8</v>
      </c>
      <c r="B104" t="s">
        <v>119</v>
      </c>
      <c r="C104">
        <v>120</v>
      </c>
      <c r="D104" t="s">
        <v>277</v>
      </c>
      <c r="E104" t="s">
        <v>11</v>
      </c>
      <c r="F104">
        <v>2</v>
      </c>
      <c r="G104" t="s">
        <v>16</v>
      </c>
    </row>
    <row r="105" spans="1:7" x14ac:dyDescent="0.25">
      <c r="A105">
        <v>8</v>
      </c>
      <c r="B105" t="s">
        <v>119</v>
      </c>
      <c r="C105">
        <v>130</v>
      </c>
      <c r="D105" t="s">
        <v>159</v>
      </c>
      <c r="E105" t="s">
        <v>11</v>
      </c>
      <c r="F105">
        <v>2</v>
      </c>
      <c r="G105" t="s">
        <v>16</v>
      </c>
    </row>
    <row r="106" spans="1:7" x14ac:dyDescent="0.25">
      <c r="A106">
        <v>9</v>
      </c>
      <c r="B106" t="s">
        <v>120</v>
      </c>
      <c r="C106">
        <v>10</v>
      </c>
      <c r="D106" t="s">
        <v>278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120</v>
      </c>
      <c r="C107">
        <v>20</v>
      </c>
      <c r="D107" t="s">
        <v>109</v>
      </c>
      <c r="E107" t="s">
        <v>15</v>
      </c>
      <c r="F107">
        <v>1.7270000000000001</v>
      </c>
      <c r="G107" t="s">
        <v>16</v>
      </c>
    </row>
    <row r="108" spans="1:7" x14ac:dyDescent="0.25">
      <c r="A108">
        <v>9</v>
      </c>
      <c r="B108" t="s">
        <v>120</v>
      </c>
      <c r="C108">
        <v>30</v>
      </c>
      <c r="D108" t="s">
        <v>18</v>
      </c>
      <c r="E108" t="s">
        <v>15</v>
      </c>
      <c r="F108">
        <v>89.001999999999995</v>
      </c>
      <c r="G108" t="s">
        <v>14</v>
      </c>
    </row>
    <row r="109" spans="1:7" x14ac:dyDescent="0.25">
      <c r="A109">
        <v>9</v>
      </c>
      <c r="B109" t="s">
        <v>120</v>
      </c>
      <c r="C109">
        <v>40</v>
      </c>
      <c r="D109" t="s">
        <v>105</v>
      </c>
      <c r="E109" t="s">
        <v>106</v>
      </c>
      <c r="F109">
        <v>0.71899999999999997</v>
      </c>
      <c r="G109" t="s">
        <v>14</v>
      </c>
    </row>
    <row r="110" spans="1:7" x14ac:dyDescent="0.25">
      <c r="A110">
        <v>9</v>
      </c>
      <c r="B110" t="s">
        <v>120</v>
      </c>
      <c r="C110">
        <v>50</v>
      </c>
      <c r="D110" t="s">
        <v>107</v>
      </c>
      <c r="E110" t="s">
        <v>15</v>
      </c>
      <c r="F110">
        <v>11.379</v>
      </c>
      <c r="G110" t="s">
        <v>14</v>
      </c>
    </row>
    <row r="111" spans="1:7" x14ac:dyDescent="0.25">
      <c r="A111">
        <v>9</v>
      </c>
      <c r="B111" t="s">
        <v>120</v>
      </c>
      <c r="C111">
        <v>60</v>
      </c>
      <c r="D111" t="s">
        <v>18</v>
      </c>
      <c r="E111" t="s">
        <v>15</v>
      </c>
      <c r="F111">
        <v>69.981999999999999</v>
      </c>
      <c r="G111" t="s">
        <v>14</v>
      </c>
    </row>
    <row r="112" spans="1:7" x14ac:dyDescent="0.25">
      <c r="A112">
        <v>9</v>
      </c>
      <c r="B112" t="s">
        <v>120</v>
      </c>
      <c r="C112">
        <v>70</v>
      </c>
      <c r="D112" t="s">
        <v>112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120</v>
      </c>
      <c r="C113">
        <v>80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120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120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120</v>
      </c>
      <c r="C116">
        <v>110</v>
      </c>
      <c r="D116" t="s">
        <v>110</v>
      </c>
      <c r="E116" t="s">
        <v>13</v>
      </c>
      <c r="F116">
        <v>0.60799999999999998</v>
      </c>
      <c r="G116" t="s">
        <v>14</v>
      </c>
    </row>
    <row r="117" spans="1:7" x14ac:dyDescent="0.25">
      <c r="A117">
        <v>9</v>
      </c>
      <c r="B117" t="s">
        <v>120</v>
      </c>
      <c r="C117">
        <v>120</v>
      </c>
      <c r="D117" t="s">
        <v>279</v>
      </c>
      <c r="E117" t="s">
        <v>11</v>
      </c>
      <c r="F117">
        <v>2</v>
      </c>
      <c r="G117" t="s">
        <v>16</v>
      </c>
    </row>
    <row r="118" spans="1:7" x14ac:dyDescent="0.25">
      <c r="A118">
        <v>9</v>
      </c>
      <c r="B118" t="s">
        <v>120</v>
      </c>
      <c r="C118">
        <v>130</v>
      </c>
      <c r="D118" t="s">
        <v>160</v>
      </c>
      <c r="E118" t="s">
        <v>11</v>
      </c>
      <c r="F118">
        <v>2</v>
      </c>
      <c r="G118" t="s">
        <v>16</v>
      </c>
    </row>
    <row r="119" spans="1:7" x14ac:dyDescent="0.25">
      <c r="A119">
        <v>10</v>
      </c>
      <c r="B119" t="s">
        <v>121</v>
      </c>
      <c r="C119">
        <v>10</v>
      </c>
      <c r="D119" t="s">
        <v>280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121</v>
      </c>
      <c r="C120">
        <v>20</v>
      </c>
      <c r="D120" t="s">
        <v>109</v>
      </c>
      <c r="E120" t="s">
        <v>15</v>
      </c>
      <c r="F120">
        <v>2.032</v>
      </c>
      <c r="G120" t="s">
        <v>16</v>
      </c>
    </row>
    <row r="121" spans="1:7" x14ac:dyDescent="0.25">
      <c r="A121">
        <v>10</v>
      </c>
      <c r="B121" t="s">
        <v>121</v>
      </c>
      <c r="C121">
        <v>30</v>
      </c>
      <c r="D121" t="s">
        <v>18</v>
      </c>
      <c r="E121" t="s">
        <v>15</v>
      </c>
      <c r="F121">
        <v>93.878</v>
      </c>
      <c r="G121" t="s">
        <v>14</v>
      </c>
    </row>
    <row r="122" spans="1:7" x14ac:dyDescent="0.25">
      <c r="A122">
        <v>10</v>
      </c>
      <c r="B122" t="s">
        <v>121</v>
      </c>
      <c r="C122">
        <v>40</v>
      </c>
      <c r="D122" t="s">
        <v>105</v>
      </c>
      <c r="E122" t="s">
        <v>106</v>
      </c>
      <c r="F122">
        <v>0.85399999999999998</v>
      </c>
      <c r="G122" t="s">
        <v>14</v>
      </c>
    </row>
    <row r="123" spans="1:7" x14ac:dyDescent="0.25">
      <c r="A123">
        <v>10</v>
      </c>
      <c r="B123" t="s">
        <v>121</v>
      </c>
      <c r="C123">
        <v>50</v>
      </c>
      <c r="D123" t="s">
        <v>107</v>
      </c>
      <c r="E123" t="s">
        <v>15</v>
      </c>
      <c r="F123">
        <v>11.989000000000001</v>
      </c>
      <c r="G123" t="s">
        <v>14</v>
      </c>
    </row>
    <row r="124" spans="1:7" x14ac:dyDescent="0.25">
      <c r="A124">
        <v>10</v>
      </c>
      <c r="B124" t="s">
        <v>121</v>
      </c>
      <c r="C124">
        <v>60</v>
      </c>
      <c r="D124" t="s">
        <v>18</v>
      </c>
      <c r="E124" t="s">
        <v>15</v>
      </c>
      <c r="F124">
        <v>73.730999999999995</v>
      </c>
      <c r="G124" t="s">
        <v>14</v>
      </c>
    </row>
    <row r="125" spans="1:7" x14ac:dyDescent="0.25">
      <c r="A125">
        <v>10</v>
      </c>
      <c r="B125" t="s">
        <v>121</v>
      </c>
      <c r="C125">
        <v>70</v>
      </c>
      <c r="D125" t="s">
        <v>112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121</v>
      </c>
      <c r="C126">
        <v>80</v>
      </c>
      <c r="D126" t="s">
        <v>21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121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121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121</v>
      </c>
      <c r="C129">
        <v>110</v>
      </c>
      <c r="D129" t="s">
        <v>110</v>
      </c>
      <c r="E129" t="s">
        <v>13</v>
      </c>
      <c r="F129">
        <v>0.68899999999999995</v>
      </c>
      <c r="G129" t="s">
        <v>14</v>
      </c>
    </row>
    <row r="130" spans="1:7" x14ac:dyDescent="0.25">
      <c r="A130">
        <v>10</v>
      </c>
      <c r="B130" t="s">
        <v>121</v>
      </c>
      <c r="C130">
        <v>120</v>
      </c>
      <c r="D130" t="s">
        <v>281</v>
      </c>
      <c r="E130" t="s">
        <v>11</v>
      </c>
      <c r="F130">
        <v>2</v>
      </c>
      <c r="G130" t="s">
        <v>16</v>
      </c>
    </row>
    <row r="131" spans="1:7" x14ac:dyDescent="0.25">
      <c r="A131">
        <v>10</v>
      </c>
      <c r="B131" t="s">
        <v>121</v>
      </c>
      <c r="C131">
        <v>130</v>
      </c>
      <c r="D131" t="s">
        <v>161</v>
      </c>
      <c r="E131" t="s">
        <v>11</v>
      </c>
      <c r="F131">
        <v>2</v>
      </c>
      <c r="G131" t="s">
        <v>16</v>
      </c>
    </row>
    <row r="132" spans="1:7" x14ac:dyDescent="0.25">
      <c r="A132">
        <v>11</v>
      </c>
      <c r="B132" t="s">
        <v>122</v>
      </c>
      <c r="C132">
        <v>10</v>
      </c>
      <c r="D132" t="s">
        <v>282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122</v>
      </c>
      <c r="C133">
        <v>20</v>
      </c>
      <c r="D133" t="s">
        <v>109</v>
      </c>
      <c r="E133" t="s">
        <v>15</v>
      </c>
      <c r="F133">
        <v>2.3370000000000002</v>
      </c>
      <c r="G133" t="s">
        <v>16</v>
      </c>
    </row>
    <row r="134" spans="1:7" x14ac:dyDescent="0.25">
      <c r="A134">
        <v>11</v>
      </c>
      <c r="B134" t="s">
        <v>122</v>
      </c>
      <c r="C134">
        <v>30</v>
      </c>
      <c r="D134" t="s">
        <v>18</v>
      </c>
      <c r="E134" t="s">
        <v>15</v>
      </c>
      <c r="F134">
        <v>98.754999999999995</v>
      </c>
      <c r="G134" t="s">
        <v>14</v>
      </c>
    </row>
    <row r="135" spans="1:7" x14ac:dyDescent="0.25">
      <c r="A135">
        <v>11</v>
      </c>
      <c r="B135" t="s">
        <v>122</v>
      </c>
      <c r="C135">
        <v>40</v>
      </c>
      <c r="D135" t="s">
        <v>105</v>
      </c>
      <c r="E135" t="s">
        <v>106</v>
      </c>
      <c r="F135">
        <v>0.98899999999999999</v>
      </c>
      <c r="G135" t="s">
        <v>14</v>
      </c>
    </row>
    <row r="136" spans="1:7" x14ac:dyDescent="0.25">
      <c r="A136">
        <v>11</v>
      </c>
      <c r="B136" t="s">
        <v>122</v>
      </c>
      <c r="C136">
        <v>50</v>
      </c>
      <c r="D136" t="s">
        <v>107</v>
      </c>
      <c r="E136" t="s">
        <v>15</v>
      </c>
      <c r="F136">
        <v>12.598000000000001</v>
      </c>
      <c r="G136" t="s">
        <v>14</v>
      </c>
    </row>
    <row r="137" spans="1:7" x14ac:dyDescent="0.25">
      <c r="A137">
        <v>11</v>
      </c>
      <c r="B137" t="s">
        <v>122</v>
      </c>
      <c r="C137">
        <v>60</v>
      </c>
      <c r="D137" t="s">
        <v>18</v>
      </c>
      <c r="E137" t="s">
        <v>15</v>
      </c>
      <c r="F137">
        <v>77.48</v>
      </c>
      <c r="G137" t="s">
        <v>14</v>
      </c>
    </row>
    <row r="138" spans="1:7" x14ac:dyDescent="0.25">
      <c r="A138">
        <v>11</v>
      </c>
      <c r="B138" t="s">
        <v>122</v>
      </c>
      <c r="C138">
        <v>70</v>
      </c>
      <c r="D138" t="s">
        <v>112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122</v>
      </c>
      <c r="C139">
        <v>80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122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122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122</v>
      </c>
      <c r="C142">
        <v>110</v>
      </c>
      <c r="D142" t="s">
        <v>110</v>
      </c>
      <c r="E142" t="s">
        <v>13</v>
      </c>
      <c r="F142">
        <v>0.77</v>
      </c>
      <c r="G142" t="s">
        <v>14</v>
      </c>
    </row>
    <row r="143" spans="1:7" x14ac:dyDescent="0.25">
      <c r="A143">
        <v>11</v>
      </c>
      <c r="B143" t="s">
        <v>122</v>
      </c>
      <c r="C143">
        <v>120</v>
      </c>
      <c r="D143" t="s">
        <v>283</v>
      </c>
      <c r="E143" t="s">
        <v>11</v>
      </c>
      <c r="F143">
        <v>2</v>
      </c>
      <c r="G143" t="s">
        <v>16</v>
      </c>
    </row>
    <row r="144" spans="1:7" x14ac:dyDescent="0.25">
      <c r="A144">
        <v>11</v>
      </c>
      <c r="B144" t="s">
        <v>122</v>
      </c>
      <c r="C144">
        <v>130</v>
      </c>
      <c r="D144" t="s">
        <v>162</v>
      </c>
      <c r="E144" t="s">
        <v>11</v>
      </c>
      <c r="F144">
        <v>2</v>
      </c>
      <c r="G144" t="s">
        <v>16</v>
      </c>
    </row>
    <row r="145" spans="1:7" x14ac:dyDescent="0.25">
      <c r="A145">
        <v>12</v>
      </c>
      <c r="B145" t="s">
        <v>123</v>
      </c>
      <c r="C145">
        <v>10</v>
      </c>
      <c r="D145" t="s">
        <v>284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123</v>
      </c>
      <c r="C146">
        <v>20</v>
      </c>
      <c r="D146" t="s">
        <v>109</v>
      </c>
      <c r="E146" t="s">
        <v>15</v>
      </c>
      <c r="F146">
        <v>2.6419999999999999</v>
      </c>
      <c r="G146" t="s">
        <v>16</v>
      </c>
    </row>
    <row r="147" spans="1:7" x14ac:dyDescent="0.25">
      <c r="A147">
        <v>12</v>
      </c>
      <c r="B147" t="s">
        <v>123</v>
      </c>
      <c r="C147">
        <v>30</v>
      </c>
      <c r="D147" t="s">
        <v>18</v>
      </c>
      <c r="E147" t="s">
        <v>15</v>
      </c>
      <c r="F147">
        <v>103.63200000000001</v>
      </c>
      <c r="G147" t="s">
        <v>14</v>
      </c>
    </row>
    <row r="148" spans="1:7" x14ac:dyDescent="0.25">
      <c r="A148">
        <v>12</v>
      </c>
      <c r="B148" t="s">
        <v>123</v>
      </c>
      <c r="C148">
        <v>40</v>
      </c>
      <c r="D148" t="s">
        <v>105</v>
      </c>
      <c r="E148" t="s">
        <v>106</v>
      </c>
      <c r="F148">
        <v>1.1240000000000001</v>
      </c>
      <c r="G148" t="s">
        <v>14</v>
      </c>
    </row>
    <row r="149" spans="1:7" x14ac:dyDescent="0.25">
      <c r="A149">
        <v>12</v>
      </c>
      <c r="B149" t="s">
        <v>123</v>
      </c>
      <c r="C149">
        <v>50</v>
      </c>
      <c r="D149" t="s">
        <v>107</v>
      </c>
      <c r="E149" t="s">
        <v>15</v>
      </c>
      <c r="F149">
        <v>13.208</v>
      </c>
      <c r="G149" t="s">
        <v>14</v>
      </c>
    </row>
    <row r="150" spans="1:7" x14ac:dyDescent="0.25">
      <c r="A150">
        <v>12</v>
      </c>
      <c r="B150" t="s">
        <v>123</v>
      </c>
      <c r="C150">
        <v>60</v>
      </c>
      <c r="D150" t="s">
        <v>18</v>
      </c>
      <c r="E150" t="s">
        <v>15</v>
      </c>
      <c r="F150">
        <v>81.228999999999999</v>
      </c>
      <c r="G150" t="s">
        <v>14</v>
      </c>
    </row>
    <row r="151" spans="1:7" x14ac:dyDescent="0.25">
      <c r="A151">
        <v>12</v>
      </c>
      <c r="B151" t="s">
        <v>123</v>
      </c>
      <c r="C151">
        <v>70</v>
      </c>
      <c r="D151" t="s">
        <v>112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123</v>
      </c>
      <c r="C152">
        <v>80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123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123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123</v>
      </c>
      <c r="C155">
        <v>110</v>
      </c>
      <c r="D155" t="s">
        <v>110</v>
      </c>
      <c r="E155" t="s">
        <v>13</v>
      </c>
      <c r="F155">
        <v>0.85099999999999998</v>
      </c>
      <c r="G155" t="s">
        <v>14</v>
      </c>
    </row>
    <row r="156" spans="1:7" x14ac:dyDescent="0.25">
      <c r="A156">
        <v>12</v>
      </c>
      <c r="B156" t="s">
        <v>123</v>
      </c>
      <c r="C156">
        <v>120</v>
      </c>
      <c r="D156" t="s">
        <v>285</v>
      </c>
      <c r="E156" t="s">
        <v>11</v>
      </c>
      <c r="F156">
        <v>2</v>
      </c>
      <c r="G156" t="s">
        <v>16</v>
      </c>
    </row>
    <row r="157" spans="1:7" x14ac:dyDescent="0.25">
      <c r="A157">
        <v>12</v>
      </c>
      <c r="B157" t="s">
        <v>123</v>
      </c>
      <c r="C157">
        <v>130</v>
      </c>
      <c r="D157" t="s">
        <v>163</v>
      </c>
      <c r="E157" t="s">
        <v>11</v>
      </c>
      <c r="F157">
        <v>2</v>
      </c>
      <c r="G157" t="s">
        <v>16</v>
      </c>
    </row>
    <row r="158" spans="1:7" x14ac:dyDescent="0.25">
      <c r="A158">
        <v>13</v>
      </c>
      <c r="B158" t="s">
        <v>124</v>
      </c>
      <c r="C158">
        <v>10</v>
      </c>
      <c r="D158" t="s">
        <v>286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124</v>
      </c>
      <c r="C159">
        <v>20</v>
      </c>
      <c r="D159" t="s">
        <v>109</v>
      </c>
      <c r="E159" t="s">
        <v>15</v>
      </c>
      <c r="F159">
        <v>2.794</v>
      </c>
      <c r="G159" t="s">
        <v>16</v>
      </c>
    </row>
    <row r="160" spans="1:7" x14ac:dyDescent="0.25">
      <c r="A160">
        <v>13</v>
      </c>
      <c r="B160" t="s">
        <v>124</v>
      </c>
      <c r="C160">
        <v>30</v>
      </c>
      <c r="D160" t="s">
        <v>18</v>
      </c>
      <c r="E160" t="s">
        <v>15</v>
      </c>
      <c r="F160">
        <v>106.07</v>
      </c>
      <c r="G160" t="s">
        <v>14</v>
      </c>
    </row>
    <row r="161" spans="1:7" x14ac:dyDescent="0.25">
      <c r="A161">
        <v>13</v>
      </c>
      <c r="B161" t="s">
        <v>124</v>
      </c>
      <c r="C161">
        <v>40</v>
      </c>
      <c r="D161" t="s">
        <v>105</v>
      </c>
      <c r="E161" t="s">
        <v>106</v>
      </c>
      <c r="F161">
        <v>1.1910000000000001</v>
      </c>
      <c r="G161" t="s">
        <v>14</v>
      </c>
    </row>
    <row r="162" spans="1:7" x14ac:dyDescent="0.25">
      <c r="A162">
        <v>13</v>
      </c>
      <c r="B162" t="s">
        <v>124</v>
      </c>
      <c r="C162">
        <v>50</v>
      </c>
      <c r="D162" t="s">
        <v>107</v>
      </c>
      <c r="E162" t="s">
        <v>15</v>
      </c>
      <c r="F162">
        <v>13.513</v>
      </c>
      <c r="G162" t="s">
        <v>14</v>
      </c>
    </row>
    <row r="163" spans="1:7" x14ac:dyDescent="0.25">
      <c r="A163">
        <v>13</v>
      </c>
      <c r="B163" t="s">
        <v>124</v>
      </c>
      <c r="C163">
        <v>60</v>
      </c>
      <c r="D163" t="s">
        <v>18</v>
      </c>
      <c r="E163" t="s">
        <v>15</v>
      </c>
      <c r="F163">
        <v>83.103999999999999</v>
      </c>
      <c r="G163" t="s">
        <v>14</v>
      </c>
    </row>
    <row r="164" spans="1:7" x14ac:dyDescent="0.25">
      <c r="A164">
        <v>13</v>
      </c>
      <c r="B164" t="s">
        <v>124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124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124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124</v>
      </c>
      <c r="C168">
        <v>110</v>
      </c>
      <c r="D168" t="s">
        <v>110</v>
      </c>
      <c r="E168" t="s">
        <v>13</v>
      </c>
      <c r="F168">
        <v>0.89200000000000002</v>
      </c>
      <c r="G168" t="s">
        <v>14</v>
      </c>
    </row>
    <row r="169" spans="1:7" x14ac:dyDescent="0.25">
      <c r="A169">
        <v>13</v>
      </c>
      <c r="B169" t="s">
        <v>124</v>
      </c>
      <c r="C169">
        <v>120</v>
      </c>
      <c r="D169" t="s">
        <v>287</v>
      </c>
      <c r="E169" t="s">
        <v>11</v>
      </c>
      <c r="F169">
        <v>2</v>
      </c>
      <c r="G169" t="s">
        <v>16</v>
      </c>
    </row>
    <row r="170" spans="1:7" x14ac:dyDescent="0.25">
      <c r="A170">
        <v>13</v>
      </c>
      <c r="B170" t="s">
        <v>124</v>
      </c>
      <c r="C170">
        <v>130</v>
      </c>
      <c r="D170" t="s">
        <v>164</v>
      </c>
      <c r="E170" t="s">
        <v>11</v>
      </c>
      <c r="F170">
        <v>2</v>
      </c>
      <c r="G170" t="s">
        <v>16</v>
      </c>
    </row>
    <row r="171" spans="1:7" x14ac:dyDescent="0.25">
      <c r="A171">
        <v>14</v>
      </c>
      <c r="B171" t="s">
        <v>125</v>
      </c>
      <c r="C171">
        <v>10</v>
      </c>
      <c r="D171" t="s">
        <v>288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125</v>
      </c>
      <c r="C172">
        <v>20</v>
      </c>
      <c r="D172" t="s">
        <v>109</v>
      </c>
      <c r="E172" t="s">
        <v>15</v>
      </c>
      <c r="F172">
        <v>2.9460000000000002</v>
      </c>
      <c r="G172" t="s">
        <v>16</v>
      </c>
    </row>
    <row r="173" spans="1:7" x14ac:dyDescent="0.25">
      <c r="A173">
        <v>14</v>
      </c>
      <c r="B173" t="s">
        <v>125</v>
      </c>
      <c r="C173">
        <v>30</v>
      </c>
      <c r="D173" t="s">
        <v>18</v>
      </c>
      <c r="E173" t="s">
        <v>15</v>
      </c>
      <c r="F173">
        <v>108.509</v>
      </c>
      <c r="G173" t="s">
        <v>14</v>
      </c>
    </row>
    <row r="174" spans="1:7" x14ac:dyDescent="0.25">
      <c r="A174">
        <v>14</v>
      </c>
      <c r="B174" t="s">
        <v>125</v>
      </c>
      <c r="C174">
        <v>40</v>
      </c>
      <c r="D174" t="s">
        <v>105</v>
      </c>
      <c r="E174" t="s">
        <v>106</v>
      </c>
      <c r="F174">
        <v>1.2589999999999999</v>
      </c>
      <c r="G174" t="s">
        <v>14</v>
      </c>
    </row>
    <row r="175" spans="1:7" x14ac:dyDescent="0.25">
      <c r="A175">
        <v>14</v>
      </c>
      <c r="B175" t="s">
        <v>125</v>
      </c>
      <c r="C175">
        <v>50</v>
      </c>
      <c r="D175" t="s">
        <v>107</v>
      </c>
      <c r="E175" t="s">
        <v>15</v>
      </c>
      <c r="F175">
        <v>13.818</v>
      </c>
      <c r="G175" t="s">
        <v>14</v>
      </c>
    </row>
    <row r="176" spans="1:7" x14ac:dyDescent="0.25">
      <c r="A176">
        <v>14</v>
      </c>
      <c r="B176" t="s">
        <v>125</v>
      </c>
      <c r="C176">
        <v>60</v>
      </c>
      <c r="D176" t="s">
        <v>18</v>
      </c>
      <c r="E176" t="s">
        <v>15</v>
      </c>
      <c r="F176">
        <v>84.977999999999994</v>
      </c>
      <c r="G176" t="s">
        <v>14</v>
      </c>
    </row>
    <row r="177" spans="1:7" x14ac:dyDescent="0.25">
      <c r="A177">
        <v>14</v>
      </c>
      <c r="B177" t="s">
        <v>125</v>
      </c>
      <c r="C177">
        <v>70</v>
      </c>
      <c r="D177" t="s">
        <v>112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125</v>
      </c>
      <c r="C178">
        <v>80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125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125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125</v>
      </c>
      <c r="C181">
        <v>110</v>
      </c>
      <c r="D181" t="s">
        <v>110</v>
      </c>
      <c r="E181" t="s">
        <v>13</v>
      </c>
      <c r="F181">
        <v>0.93200000000000005</v>
      </c>
      <c r="G181" t="s">
        <v>14</v>
      </c>
    </row>
    <row r="182" spans="1:7" x14ac:dyDescent="0.25">
      <c r="A182">
        <v>14</v>
      </c>
      <c r="B182" t="s">
        <v>125</v>
      </c>
      <c r="C182">
        <v>120</v>
      </c>
      <c r="D182" t="s">
        <v>289</v>
      </c>
      <c r="E182" t="s">
        <v>11</v>
      </c>
      <c r="F182">
        <v>2</v>
      </c>
      <c r="G182" t="s">
        <v>16</v>
      </c>
    </row>
    <row r="183" spans="1:7" x14ac:dyDescent="0.25">
      <c r="A183">
        <v>14</v>
      </c>
      <c r="B183" t="s">
        <v>125</v>
      </c>
      <c r="C183">
        <v>130</v>
      </c>
      <c r="D183" t="s">
        <v>165</v>
      </c>
      <c r="E183" t="s">
        <v>11</v>
      </c>
      <c r="F183">
        <v>2</v>
      </c>
      <c r="G183" t="s">
        <v>16</v>
      </c>
    </row>
    <row r="184" spans="1:7" x14ac:dyDescent="0.25">
      <c r="A184">
        <v>15</v>
      </c>
      <c r="B184" t="s">
        <v>126</v>
      </c>
      <c r="C184">
        <v>10</v>
      </c>
      <c r="D184" t="s">
        <v>290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126</v>
      </c>
      <c r="C185">
        <v>20</v>
      </c>
      <c r="D185" t="s">
        <v>109</v>
      </c>
      <c r="E185" t="s">
        <v>15</v>
      </c>
      <c r="F185">
        <v>3.2509999999999999</v>
      </c>
      <c r="G185" t="s">
        <v>16</v>
      </c>
    </row>
    <row r="186" spans="1:7" x14ac:dyDescent="0.25">
      <c r="A186">
        <v>15</v>
      </c>
      <c r="B186" t="s">
        <v>126</v>
      </c>
      <c r="C186">
        <v>30</v>
      </c>
      <c r="D186" t="s">
        <v>18</v>
      </c>
      <c r="E186" t="s">
        <v>15</v>
      </c>
      <c r="F186">
        <v>113.386</v>
      </c>
      <c r="G186" t="s">
        <v>14</v>
      </c>
    </row>
    <row r="187" spans="1:7" x14ac:dyDescent="0.25">
      <c r="A187">
        <v>15</v>
      </c>
      <c r="B187" t="s">
        <v>126</v>
      </c>
      <c r="C187">
        <v>40</v>
      </c>
      <c r="D187" t="s">
        <v>105</v>
      </c>
      <c r="E187" t="s">
        <v>106</v>
      </c>
      <c r="F187">
        <v>1.3939999999999999</v>
      </c>
      <c r="G187" t="s">
        <v>14</v>
      </c>
    </row>
    <row r="188" spans="1:7" x14ac:dyDescent="0.25">
      <c r="A188">
        <v>15</v>
      </c>
      <c r="B188" t="s">
        <v>126</v>
      </c>
      <c r="C188">
        <v>50</v>
      </c>
      <c r="D188" t="s">
        <v>107</v>
      </c>
      <c r="E188" t="s">
        <v>15</v>
      </c>
      <c r="F188">
        <v>14.427</v>
      </c>
      <c r="G188" t="s">
        <v>14</v>
      </c>
    </row>
    <row r="189" spans="1:7" x14ac:dyDescent="0.25">
      <c r="A189">
        <v>15</v>
      </c>
      <c r="B189" t="s">
        <v>126</v>
      </c>
      <c r="C189">
        <v>60</v>
      </c>
      <c r="D189" t="s">
        <v>18</v>
      </c>
      <c r="E189" t="s">
        <v>15</v>
      </c>
      <c r="F189">
        <v>88.727000000000004</v>
      </c>
      <c r="G189" t="s">
        <v>14</v>
      </c>
    </row>
    <row r="190" spans="1:7" x14ac:dyDescent="0.25">
      <c r="A190">
        <v>15</v>
      </c>
      <c r="B190" t="s">
        <v>126</v>
      </c>
      <c r="C190">
        <v>70</v>
      </c>
      <c r="D190" t="s">
        <v>112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126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126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126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126</v>
      </c>
      <c r="C194">
        <v>110</v>
      </c>
      <c r="D194" t="s">
        <v>110</v>
      </c>
      <c r="E194" t="s">
        <v>13</v>
      </c>
      <c r="F194">
        <v>1.0129999999999999</v>
      </c>
      <c r="G194" t="s">
        <v>14</v>
      </c>
    </row>
    <row r="195" spans="1:7" x14ac:dyDescent="0.25">
      <c r="A195">
        <v>15</v>
      </c>
      <c r="B195" t="s">
        <v>126</v>
      </c>
      <c r="C195">
        <v>120</v>
      </c>
      <c r="D195" t="s">
        <v>291</v>
      </c>
      <c r="E195" t="s">
        <v>11</v>
      </c>
      <c r="F195">
        <v>2</v>
      </c>
      <c r="G195" t="s">
        <v>16</v>
      </c>
    </row>
    <row r="196" spans="1:7" x14ac:dyDescent="0.25">
      <c r="A196">
        <v>15</v>
      </c>
      <c r="B196" t="s">
        <v>126</v>
      </c>
      <c r="C196">
        <v>130</v>
      </c>
      <c r="D196" t="s">
        <v>166</v>
      </c>
      <c r="E196" t="s">
        <v>11</v>
      </c>
      <c r="F196">
        <v>2</v>
      </c>
      <c r="G196" t="s">
        <v>16</v>
      </c>
    </row>
    <row r="197" spans="1:7" x14ac:dyDescent="0.25">
      <c r="A197">
        <v>16</v>
      </c>
      <c r="B197" t="s">
        <v>127</v>
      </c>
      <c r="C197">
        <v>10</v>
      </c>
      <c r="D197" t="s">
        <v>292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127</v>
      </c>
      <c r="C198">
        <v>20</v>
      </c>
      <c r="D198" t="s">
        <v>109</v>
      </c>
      <c r="E198" t="s">
        <v>15</v>
      </c>
      <c r="F198">
        <v>3.556</v>
      </c>
      <c r="G198" t="s">
        <v>16</v>
      </c>
    </row>
    <row r="199" spans="1:7" x14ac:dyDescent="0.25">
      <c r="A199">
        <v>16</v>
      </c>
      <c r="B199" t="s">
        <v>127</v>
      </c>
      <c r="C199">
        <v>30</v>
      </c>
      <c r="D199" t="s">
        <v>18</v>
      </c>
      <c r="E199" t="s">
        <v>15</v>
      </c>
      <c r="F199">
        <v>118.262</v>
      </c>
      <c r="G199" t="s">
        <v>14</v>
      </c>
    </row>
    <row r="200" spans="1:7" x14ac:dyDescent="0.25">
      <c r="A200">
        <v>16</v>
      </c>
      <c r="B200" t="s">
        <v>127</v>
      </c>
      <c r="C200">
        <v>40</v>
      </c>
      <c r="D200" t="s">
        <v>105</v>
      </c>
      <c r="E200" t="s">
        <v>106</v>
      </c>
      <c r="F200">
        <v>1.528</v>
      </c>
      <c r="G200" t="s">
        <v>14</v>
      </c>
    </row>
    <row r="201" spans="1:7" x14ac:dyDescent="0.25">
      <c r="A201">
        <v>16</v>
      </c>
      <c r="B201" t="s">
        <v>127</v>
      </c>
      <c r="C201">
        <v>50</v>
      </c>
      <c r="D201" t="s">
        <v>107</v>
      </c>
      <c r="E201" t="s">
        <v>15</v>
      </c>
      <c r="F201">
        <v>15.037000000000001</v>
      </c>
      <c r="G201" t="s">
        <v>14</v>
      </c>
    </row>
    <row r="202" spans="1:7" x14ac:dyDescent="0.25">
      <c r="A202">
        <v>16</v>
      </c>
      <c r="B202" t="s">
        <v>127</v>
      </c>
      <c r="C202">
        <v>60</v>
      </c>
      <c r="D202" t="s">
        <v>18</v>
      </c>
      <c r="E202" t="s">
        <v>15</v>
      </c>
      <c r="F202">
        <v>92.475999999999999</v>
      </c>
      <c r="G202" t="s">
        <v>14</v>
      </c>
    </row>
    <row r="203" spans="1:7" x14ac:dyDescent="0.25">
      <c r="A203">
        <v>16</v>
      </c>
      <c r="B203" t="s">
        <v>127</v>
      </c>
      <c r="C203">
        <v>70</v>
      </c>
      <c r="D203" t="s">
        <v>112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127</v>
      </c>
      <c r="C204">
        <v>80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127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127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127</v>
      </c>
      <c r="C207">
        <v>110</v>
      </c>
      <c r="D207" t="s">
        <v>110</v>
      </c>
      <c r="E207" t="s">
        <v>13</v>
      </c>
      <c r="F207">
        <v>1.0940000000000001</v>
      </c>
      <c r="G207" t="s">
        <v>14</v>
      </c>
    </row>
    <row r="208" spans="1:7" x14ac:dyDescent="0.25">
      <c r="A208">
        <v>16</v>
      </c>
      <c r="B208" t="s">
        <v>127</v>
      </c>
      <c r="C208">
        <v>120</v>
      </c>
      <c r="D208" t="s">
        <v>293</v>
      </c>
      <c r="E208" t="s">
        <v>11</v>
      </c>
      <c r="F208">
        <v>2</v>
      </c>
      <c r="G208" t="s">
        <v>16</v>
      </c>
    </row>
    <row r="209" spans="1:7" x14ac:dyDescent="0.25">
      <c r="A209">
        <v>16</v>
      </c>
      <c r="B209" t="s">
        <v>127</v>
      </c>
      <c r="C209">
        <v>130</v>
      </c>
      <c r="D209" t="s">
        <v>167</v>
      </c>
      <c r="E209" t="s">
        <v>11</v>
      </c>
      <c r="F209">
        <v>2</v>
      </c>
      <c r="G209" t="s">
        <v>16</v>
      </c>
    </row>
    <row r="210" spans="1:7" x14ac:dyDescent="0.25">
      <c r="A210">
        <v>17</v>
      </c>
      <c r="B210" t="s">
        <v>128</v>
      </c>
      <c r="C210">
        <v>10</v>
      </c>
      <c r="D210" t="s">
        <v>294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128</v>
      </c>
      <c r="C211">
        <v>20</v>
      </c>
      <c r="D211" t="s">
        <v>109</v>
      </c>
      <c r="E211" t="s">
        <v>15</v>
      </c>
      <c r="F211">
        <v>1.7270000000000001</v>
      </c>
      <c r="G211" t="s">
        <v>16</v>
      </c>
    </row>
    <row r="212" spans="1:7" x14ac:dyDescent="0.25">
      <c r="A212">
        <v>17</v>
      </c>
      <c r="B212" t="s">
        <v>128</v>
      </c>
      <c r="C212">
        <v>30</v>
      </c>
      <c r="D212" t="s">
        <v>18</v>
      </c>
      <c r="E212" t="s">
        <v>15</v>
      </c>
      <c r="F212">
        <v>91.44</v>
      </c>
      <c r="G212" t="s">
        <v>14</v>
      </c>
    </row>
    <row r="213" spans="1:7" x14ac:dyDescent="0.25">
      <c r="A213">
        <v>17</v>
      </c>
      <c r="B213" t="s">
        <v>128</v>
      </c>
      <c r="C213">
        <v>40</v>
      </c>
      <c r="D213" t="s">
        <v>105</v>
      </c>
      <c r="E213" t="s">
        <v>106</v>
      </c>
      <c r="F213">
        <v>0.748</v>
      </c>
      <c r="G213" t="s">
        <v>14</v>
      </c>
    </row>
    <row r="214" spans="1:7" x14ac:dyDescent="0.25">
      <c r="A214">
        <v>17</v>
      </c>
      <c r="B214" t="s">
        <v>128</v>
      </c>
      <c r="C214">
        <v>50</v>
      </c>
      <c r="D214" t="s">
        <v>107</v>
      </c>
      <c r="E214" t="s">
        <v>15</v>
      </c>
      <c r="F214">
        <v>11.683999999999999</v>
      </c>
      <c r="G214" t="s">
        <v>14</v>
      </c>
    </row>
    <row r="215" spans="1:7" x14ac:dyDescent="0.25">
      <c r="A215">
        <v>17</v>
      </c>
      <c r="B215" t="s">
        <v>128</v>
      </c>
      <c r="C215">
        <v>60</v>
      </c>
      <c r="D215" t="s">
        <v>18</v>
      </c>
      <c r="E215" t="s">
        <v>15</v>
      </c>
      <c r="F215">
        <v>71.856999999999999</v>
      </c>
      <c r="G215" t="s">
        <v>14</v>
      </c>
    </row>
    <row r="216" spans="1:7" x14ac:dyDescent="0.25">
      <c r="A216">
        <v>17</v>
      </c>
      <c r="B216" t="s">
        <v>128</v>
      </c>
      <c r="C216">
        <v>70</v>
      </c>
      <c r="D216" t="s">
        <v>112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128</v>
      </c>
      <c r="C217">
        <v>80</v>
      </c>
      <c r="D217" t="s">
        <v>21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128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128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128</v>
      </c>
      <c r="C220">
        <v>110</v>
      </c>
      <c r="D220" t="s">
        <v>110</v>
      </c>
      <c r="E220" t="s">
        <v>13</v>
      </c>
      <c r="F220">
        <v>1.216</v>
      </c>
      <c r="G220" t="s">
        <v>14</v>
      </c>
    </row>
    <row r="221" spans="1:7" x14ac:dyDescent="0.25">
      <c r="A221">
        <v>17</v>
      </c>
      <c r="B221" t="s">
        <v>128</v>
      </c>
      <c r="C221">
        <v>120</v>
      </c>
      <c r="D221" t="s">
        <v>295</v>
      </c>
      <c r="E221" t="s">
        <v>11</v>
      </c>
      <c r="F221">
        <v>2</v>
      </c>
      <c r="G221" t="s">
        <v>16</v>
      </c>
    </row>
    <row r="222" spans="1:7" x14ac:dyDescent="0.25">
      <c r="A222">
        <v>17</v>
      </c>
      <c r="B222" t="s">
        <v>128</v>
      </c>
      <c r="C222">
        <v>130</v>
      </c>
      <c r="D222" t="s">
        <v>168</v>
      </c>
      <c r="E222" t="s">
        <v>11</v>
      </c>
      <c r="F222">
        <v>2</v>
      </c>
      <c r="G222" t="s">
        <v>16</v>
      </c>
    </row>
    <row r="223" spans="1:7" x14ac:dyDescent="0.25">
      <c r="A223">
        <v>18</v>
      </c>
      <c r="B223" t="s">
        <v>129</v>
      </c>
      <c r="C223">
        <v>10</v>
      </c>
      <c r="D223" t="s">
        <v>296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129</v>
      </c>
      <c r="C224">
        <v>20</v>
      </c>
      <c r="D224" t="s">
        <v>109</v>
      </c>
      <c r="E224" t="s">
        <v>15</v>
      </c>
      <c r="F224">
        <v>2.032</v>
      </c>
      <c r="G224" t="s">
        <v>16</v>
      </c>
    </row>
    <row r="225" spans="1:7" x14ac:dyDescent="0.25">
      <c r="A225">
        <v>18</v>
      </c>
      <c r="B225" t="s">
        <v>129</v>
      </c>
      <c r="C225">
        <v>30</v>
      </c>
      <c r="D225" t="s">
        <v>18</v>
      </c>
      <c r="E225" t="s">
        <v>15</v>
      </c>
      <c r="F225">
        <v>96.316999999999993</v>
      </c>
      <c r="G225" t="s">
        <v>14</v>
      </c>
    </row>
    <row r="226" spans="1:7" x14ac:dyDescent="0.25">
      <c r="A226">
        <v>18</v>
      </c>
      <c r="B226" t="s">
        <v>129</v>
      </c>
      <c r="C226">
        <v>40</v>
      </c>
      <c r="D226" t="s">
        <v>105</v>
      </c>
      <c r="E226" t="s">
        <v>106</v>
      </c>
      <c r="F226">
        <v>0.88900000000000001</v>
      </c>
      <c r="G226" t="s">
        <v>14</v>
      </c>
    </row>
    <row r="227" spans="1:7" x14ac:dyDescent="0.25">
      <c r="A227">
        <v>18</v>
      </c>
      <c r="B227" t="s">
        <v>129</v>
      </c>
      <c r="C227">
        <v>50</v>
      </c>
      <c r="D227" t="s">
        <v>107</v>
      </c>
      <c r="E227" t="s">
        <v>15</v>
      </c>
      <c r="F227">
        <v>12.294</v>
      </c>
      <c r="G227" t="s">
        <v>14</v>
      </c>
    </row>
    <row r="228" spans="1:7" x14ac:dyDescent="0.25">
      <c r="A228">
        <v>18</v>
      </c>
      <c r="B228" t="s">
        <v>129</v>
      </c>
      <c r="C228">
        <v>60</v>
      </c>
      <c r="D228" t="s">
        <v>18</v>
      </c>
      <c r="E228" t="s">
        <v>15</v>
      </c>
      <c r="F228">
        <v>75.605999999999995</v>
      </c>
      <c r="G228" t="s">
        <v>14</v>
      </c>
    </row>
    <row r="229" spans="1:7" x14ac:dyDescent="0.25">
      <c r="A229">
        <v>18</v>
      </c>
      <c r="B229" t="s">
        <v>129</v>
      </c>
      <c r="C229">
        <v>70</v>
      </c>
      <c r="D229" t="s">
        <v>112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129</v>
      </c>
      <c r="C230">
        <v>80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129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129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129</v>
      </c>
      <c r="C233">
        <v>110</v>
      </c>
      <c r="D233" t="s">
        <v>110</v>
      </c>
      <c r="E233" t="s">
        <v>13</v>
      </c>
      <c r="F233">
        <v>1.216</v>
      </c>
      <c r="G233" t="s">
        <v>14</v>
      </c>
    </row>
    <row r="234" spans="1:7" x14ac:dyDescent="0.25">
      <c r="A234">
        <v>18</v>
      </c>
      <c r="B234" t="s">
        <v>129</v>
      </c>
      <c r="C234">
        <v>120</v>
      </c>
      <c r="D234" t="s">
        <v>297</v>
      </c>
      <c r="E234" t="s">
        <v>11</v>
      </c>
      <c r="F234">
        <v>2</v>
      </c>
      <c r="G234" t="s">
        <v>16</v>
      </c>
    </row>
    <row r="235" spans="1:7" x14ac:dyDescent="0.25">
      <c r="A235">
        <v>18</v>
      </c>
      <c r="B235" t="s">
        <v>129</v>
      </c>
      <c r="C235">
        <v>130</v>
      </c>
      <c r="D235" t="s">
        <v>169</v>
      </c>
      <c r="E235" t="s">
        <v>11</v>
      </c>
      <c r="F235">
        <v>2</v>
      </c>
      <c r="G235" t="s">
        <v>16</v>
      </c>
    </row>
    <row r="236" spans="1:7" x14ac:dyDescent="0.25">
      <c r="A236">
        <v>19</v>
      </c>
      <c r="B236" t="s">
        <v>130</v>
      </c>
      <c r="C236">
        <v>10</v>
      </c>
      <c r="D236" t="s">
        <v>298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130</v>
      </c>
      <c r="C237">
        <v>20</v>
      </c>
      <c r="D237" t="s">
        <v>109</v>
      </c>
      <c r="E237" t="s">
        <v>15</v>
      </c>
      <c r="F237">
        <v>2.3370000000000002</v>
      </c>
      <c r="G237" t="s">
        <v>16</v>
      </c>
    </row>
    <row r="238" spans="1:7" x14ac:dyDescent="0.25">
      <c r="A238">
        <v>19</v>
      </c>
      <c r="B238" t="s">
        <v>130</v>
      </c>
      <c r="C238">
        <v>30</v>
      </c>
      <c r="D238" t="s">
        <v>18</v>
      </c>
      <c r="E238" t="s">
        <v>15</v>
      </c>
      <c r="F238">
        <v>101.194</v>
      </c>
      <c r="G238" t="s">
        <v>14</v>
      </c>
    </row>
    <row r="239" spans="1:7" x14ac:dyDescent="0.25">
      <c r="A239">
        <v>19</v>
      </c>
      <c r="B239" t="s">
        <v>130</v>
      </c>
      <c r="C239">
        <v>40</v>
      </c>
      <c r="D239" t="s">
        <v>105</v>
      </c>
      <c r="E239" t="s">
        <v>106</v>
      </c>
      <c r="F239">
        <v>1.0289999999999999</v>
      </c>
      <c r="G239" t="s">
        <v>14</v>
      </c>
    </row>
    <row r="240" spans="1:7" x14ac:dyDescent="0.25">
      <c r="A240">
        <v>19</v>
      </c>
      <c r="B240" t="s">
        <v>130</v>
      </c>
      <c r="C240">
        <v>50</v>
      </c>
      <c r="D240" t="s">
        <v>107</v>
      </c>
      <c r="E240" t="s">
        <v>15</v>
      </c>
      <c r="F240">
        <v>12.903</v>
      </c>
      <c r="G240" t="s">
        <v>14</v>
      </c>
    </row>
    <row r="241" spans="1:7" x14ac:dyDescent="0.25">
      <c r="A241">
        <v>19</v>
      </c>
      <c r="B241" t="s">
        <v>130</v>
      </c>
      <c r="C241">
        <v>60</v>
      </c>
      <c r="D241" t="s">
        <v>18</v>
      </c>
      <c r="E241" t="s">
        <v>15</v>
      </c>
      <c r="F241">
        <v>79.355000000000004</v>
      </c>
      <c r="G241" t="s">
        <v>14</v>
      </c>
    </row>
    <row r="242" spans="1:7" x14ac:dyDescent="0.25">
      <c r="A242">
        <v>19</v>
      </c>
      <c r="B242" t="s">
        <v>130</v>
      </c>
      <c r="C242">
        <v>70</v>
      </c>
      <c r="D242" t="s">
        <v>112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130</v>
      </c>
      <c r="C243">
        <v>80</v>
      </c>
      <c r="D243" t="s">
        <v>21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130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130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130</v>
      </c>
      <c r="C246">
        <v>110</v>
      </c>
      <c r="D246" t="s">
        <v>110</v>
      </c>
      <c r="E246" t="s">
        <v>13</v>
      </c>
      <c r="F246">
        <v>1.216</v>
      </c>
      <c r="G246" t="s">
        <v>14</v>
      </c>
    </row>
    <row r="247" spans="1:7" x14ac:dyDescent="0.25">
      <c r="A247">
        <v>19</v>
      </c>
      <c r="B247" t="s">
        <v>130</v>
      </c>
      <c r="C247">
        <v>120</v>
      </c>
      <c r="D247" t="s">
        <v>299</v>
      </c>
      <c r="E247" t="s">
        <v>11</v>
      </c>
      <c r="F247">
        <v>2</v>
      </c>
      <c r="G247" t="s">
        <v>16</v>
      </c>
    </row>
    <row r="248" spans="1:7" x14ac:dyDescent="0.25">
      <c r="A248">
        <v>19</v>
      </c>
      <c r="B248" t="s">
        <v>130</v>
      </c>
      <c r="C248">
        <v>130</v>
      </c>
      <c r="D248" t="s">
        <v>170</v>
      </c>
      <c r="E248" t="s">
        <v>11</v>
      </c>
      <c r="F248">
        <v>2</v>
      </c>
      <c r="G248" t="s">
        <v>16</v>
      </c>
    </row>
    <row r="249" spans="1:7" x14ac:dyDescent="0.25">
      <c r="A249">
        <v>20</v>
      </c>
      <c r="B249" t="s">
        <v>131</v>
      </c>
      <c r="C249">
        <v>10</v>
      </c>
      <c r="D249" t="s">
        <v>300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131</v>
      </c>
      <c r="C250">
        <v>20</v>
      </c>
      <c r="D250" t="s">
        <v>109</v>
      </c>
      <c r="E250" t="s">
        <v>15</v>
      </c>
      <c r="F250">
        <v>2.6419999999999999</v>
      </c>
      <c r="G250" t="s">
        <v>16</v>
      </c>
    </row>
    <row r="251" spans="1:7" x14ac:dyDescent="0.25">
      <c r="A251">
        <v>20</v>
      </c>
      <c r="B251" t="s">
        <v>131</v>
      </c>
      <c r="C251">
        <v>30</v>
      </c>
      <c r="D251" t="s">
        <v>18</v>
      </c>
      <c r="E251" t="s">
        <v>15</v>
      </c>
      <c r="F251">
        <v>106.07</v>
      </c>
      <c r="G251" t="s">
        <v>14</v>
      </c>
    </row>
    <row r="252" spans="1:7" x14ac:dyDescent="0.25">
      <c r="A252">
        <v>20</v>
      </c>
      <c r="B252" t="s">
        <v>131</v>
      </c>
      <c r="C252">
        <v>40</v>
      </c>
      <c r="D252" t="s">
        <v>105</v>
      </c>
      <c r="E252" t="s">
        <v>106</v>
      </c>
      <c r="F252">
        <v>1.169</v>
      </c>
      <c r="G252" t="s">
        <v>14</v>
      </c>
    </row>
    <row r="253" spans="1:7" x14ac:dyDescent="0.25">
      <c r="A253">
        <v>20</v>
      </c>
      <c r="B253" t="s">
        <v>131</v>
      </c>
      <c r="C253">
        <v>50</v>
      </c>
      <c r="D253" t="s">
        <v>107</v>
      </c>
      <c r="E253" t="s">
        <v>15</v>
      </c>
      <c r="F253">
        <v>13.513</v>
      </c>
      <c r="G253" t="s">
        <v>14</v>
      </c>
    </row>
    <row r="254" spans="1:7" x14ac:dyDescent="0.25">
      <c r="A254">
        <v>20</v>
      </c>
      <c r="B254" t="s">
        <v>131</v>
      </c>
      <c r="C254">
        <v>60</v>
      </c>
      <c r="D254" t="s">
        <v>18</v>
      </c>
      <c r="E254" t="s">
        <v>15</v>
      </c>
      <c r="F254">
        <v>83.103999999999999</v>
      </c>
      <c r="G254" t="s">
        <v>14</v>
      </c>
    </row>
    <row r="255" spans="1:7" x14ac:dyDescent="0.25">
      <c r="A255">
        <v>20</v>
      </c>
      <c r="B255" t="s">
        <v>131</v>
      </c>
      <c r="C255">
        <v>70</v>
      </c>
      <c r="D255" t="s">
        <v>112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131</v>
      </c>
      <c r="C256">
        <v>80</v>
      </c>
      <c r="D256" t="s">
        <v>21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131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131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131</v>
      </c>
      <c r="C259">
        <v>110</v>
      </c>
      <c r="D259" t="s">
        <v>110</v>
      </c>
      <c r="E259" t="s">
        <v>13</v>
      </c>
      <c r="F259">
        <v>1.216</v>
      </c>
      <c r="G259" t="s">
        <v>14</v>
      </c>
    </row>
    <row r="260" spans="1:7" x14ac:dyDescent="0.25">
      <c r="A260">
        <v>20</v>
      </c>
      <c r="B260" t="s">
        <v>131</v>
      </c>
      <c r="C260">
        <v>120</v>
      </c>
      <c r="D260" t="s">
        <v>301</v>
      </c>
      <c r="E260" t="s">
        <v>11</v>
      </c>
      <c r="F260">
        <v>2</v>
      </c>
      <c r="G260" t="s">
        <v>16</v>
      </c>
    </row>
    <row r="261" spans="1:7" x14ac:dyDescent="0.25">
      <c r="A261">
        <v>20</v>
      </c>
      <c r="B261" t="s">
        <v>131</v>
      </c>
      <c r="C261">
        <v>130</v>
      </c>
      <c r="D261" t="s">
        <v>171</v>
      </c>
      <c r="E261" t="s">
        <v>11</v>
      </c>
      <c r="F261">
        <v>2</v>
      </c>
      <c r="G261" t="s">
        <v>16</v>
      </c>
    </row>
    <row r="262" spans="1:7" x14ac:dyDescent="0.25">
      <c r="A262">
        <v>21</v>
      </c>
      <c r="B262" t="s">
        <v>132</v>
      </c>
      <c r="C262">
        <v>10</v>
      </c>
      <c r="D262" t="s">
        <v>302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132</v>
      </c>
      <c r="C263">
        <v>20</v>
      </c>
      <c r="D263" t="s">
        <v>109</v>
      </c>
      <c r="E263" t="s">
        <v>15</v>
      </c>
      <c r="F263">
        <v>2.794</v>
      </c>
      <c r="G263" t="s">
        <v>16</v>
      </c>
    </row>
    <row r="264" spans="1:7" x14ac:dyDescent="0.25">
      <c r="A264">
        <v>21</v>
      </c>
      <c r="B264" t="s">
        <v>132</v>
      </c>
      <c r="C264">
        <v>30</v>
      </c>
      <c r="D264" t="s">
        <v>18</v>
      </c>
      <c r="E264" t="s">
        <v>15</v>
      </c>
      <c r="F264">
        <v>108.509</v>
      </c>
      <c r="G264" t="s">
        <v>14</v>
      </c>
    </row>
    <row r="265" spans="1:7" x14ac:dyDescent="0.25">
      <c r="A265">
        <v>21</v>
      </c>
      <c r="B265" t="s">
        <v>132</v>
      </c>
      <c r="C265">
        <v>40</v>
      </c>
      <c r="D265" t="s">
        <v>105</v>
      </c>
      <c r="E265" t="s">
        <v>106</v>
      </c>
      <c r="F265">
        <v>1.24</v>
      </c>
      <c r="G265" t="s">
        <v>14</v>
      </c>
    </row>
    <row r="266" spans="1:7" x14ac:dyDescent="0.25">
      <c r="A266">
        <v>21</v>
      </c>
      <c r="B266" t="s">
        <v>132</v>
      </c>
      <c r="C266">
        <v>50</v>
      </c>
      <c r="D266" t="s">
        <v>107</v>
      </c>
      <c r="E266" t="s">
        <v>15</v>
      </c>
      <c r="F266">
        <v>13.818</v>
      </c>
      <c r="G266" t="s">
        <v>14</v>
      </c>
    </row>
    <row r="267" spans="1:7" x14ac:dyDescent="0.25">
      <c r="A267">
        <v>21</v>
      </c>
      <c r="B267" t="s">
        <v>132</v>
      </c>
      <c r="C267">
        <v>60</v>
      </c>
      <c r="D267" t="s">
        <v>18</v>
      </c>
      <c r="E267" t="s">
        <v>15</v>
      </c>
      <c r="F267">
        <v>84.977999999999994</v>
      </c>
      <c r="G267" t="s">
        <v>14</v>
      </c>
    </row>
    <row r="268" spans="1:7" x14ac:dyDescent="0.25">
      <c r="A268">
        <v>21</v>
      </c>
      <c r="B268" t="s">
        <v>132</v>
      </c>
      <c r="C268">
        <v>70</v>
      </c>
      <c r="D268" t="s">
        <v>112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132</v>
      </c>
      <c r="C269">
        <v>80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132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132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132</v>
      </c>
      <c r="C272">
        <v>110</v>
      </c>
      <c r="D272" t="s">
        <v>110</v>
      </c>
      <c r="E272" t="s">
        <v>13</v>
      </c>
      <c r="F272">
        <v>1.216</v>
      </c>
      <c r="G272" t="s">
        <v>14</v>
      </c>
    </row>
    <row r="273" spans="1:7" x14ac:dyDescent="0.25">
      <c r="A273">
        <v>21</v>
      </c>
      <c r="B273" t="s">
        <v>132</v>
      </c>
      <c r="C273">
        <v>120</v>
      </c>
      <c r="D273" t="s">
        <v>303</v>
      </c>
      <c r="E273" t="s">
        <v>11</v>
      </c>
      <c r="F273">
        <v>2</v>
      </c>
      <c r="G273" t="s">
        <v>16</v>
      </c>
    </row>
    <row r="274" spans="1:7" x14ac:dyDescent="0.25">
      <c r="A274">
        <v>21</v>
      </c>
      <c r="B274" t="s">
        <v>132</v>
      </c>
      <c r="C274">
        <v>130</v>
      </c>
      <c r="D274" t="s">
        <v>172</v>
      </c>
      <c r="E274" t="s">
        <v>11</v>
      </c>
      <c r="F274">
        <v>2</v>
      </c>
      <c r="G274" t="s">
        <v>16</v>
      </c>
    </row>
    <row r="275" spans="1:7" x14ac:dyDescent="0.25">
      <c r="A275">
        <v>22</v>
      </c>
      <c r="B275" t="s">
        <v>133</v>
      </c>
      <c r="C275">
        <v>10</v>
      </c>
      <c r="D275" t="s">
        <v>304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133</v>
      </c>
      <c r="C276">
        <v>20</v>
      </c>
      <c r="D276" t="s">
        <v>109</v>
      </c>
      <c r="E276" t="s">
        <v>15</v>
      </c>
      <c r="F276">
        <v>2.9460000000000002</v>
      </c>
      <c r="G276" t="s">
        <v>16</v>
      </c>
    </row>
    <row r="277" spans="1:7" x14ac:dyDescent="0.25">
      <c r="A277">
        <v>22</v>
      </c>
      <c r="B277" t="s">
        <v>133</v>
      </c>
      <c r="C277">
        <v>30</v>
      </c>
      <c r="D277" t="s">
        <v>18</v>
      </c>
      <c r="E277" t="s">
        <v>15</v>
      </c>
      <c r="F277">
        <v>110.947</v>
      </c>
      <c r="G277" t="s">
        <v>14</v>
      </c>
    </row>
    <row r="278" spans="1:7" x14ac:dyDescent="0.25">
      <c r="A278">
        <v>22</v>
      </c>
      <c r="B278" t="s">
        <v>133</v>
      </c>
      <c r="C278">
        <v>40</v>
      </c>
      <c r="D278" t="s">
        <v>105</v>
      </c>
      <c r="E278" t="s">
        <v>106</v>
      </c>
      <c r="F278">
        <v>1.31</v>
      </c>
      <c r="G278" t="s">
        <v>14</v>
      </c>
    </row>
    <row r="279" spans="1:7" x14ac:dyDescent="0.25">
      <c r="A279">
        <v>22</v>
      </c>
      <c r="B279" t="s">
        <v>133</v>
      </c>
      <c r="C279">
        <v>50</v>
      </c>
      <c r="D279" t="s">
        <v>107</v>
      </c>
      <c r="E279" t="s">
        <v>15</v>
      </c>
      <c r="F279">
        <v>14.122</v>
      </c>
      <c r="G279" t="s">
        <v>14</v>
      </c>
    </row>
    <row r="280" spans="1:7" x14ac:dyDescent="0.25">
      <c r="A280">
        <v>22</v>
      </c>
      <c r="B280" t="s">
        <v>133</v>
      </c>
      <c r="C280">
        <v>60</v>
      </c>
      <c r="D280" t="s">
        <v>18</v>
      </c>
      <c r="E280" t="s">
        <v>15</v>
      </c>
      <c r="F280">
        <v>86.852999999999994</v>
      </c>
      <c r="G280" t="s">
        <v>14</v>
      </c>
    </row>
    <row r="281" spans="1:7" x14ac:dyDescent="0.25">
      <c r="A281">
        <v>22</v>
      </c>
      <c r="B281" t="s">
        <v>133</v>
      </c>
      <c r="C281">
        <v>70</v>
      </c>
      <c r="D281" t="s">
        <v>112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133</v>
      </c>
      <c r="C282">
        <v>80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133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133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133</v>
      </c>
      <c r="C285">
        <v>110</v>
      </c>
      <c r="D285" t="s">
        <v>110</v>
      </c>
      <c r="E285" t="s">
        <v>13</v>
      </c>
      <c r="F285">
        <v>1.216</v>
      </c>
      <c r="G285" t="s">
        <v>14</v>
      </c>
    </row>
    <row r="286" spans="1:7" x14ac:dyDescent="0.25">
      <c r="A286">
        <v>22</v>
      </c>
      <c r="B286" t="s">
        <v>133</v>
      </c>
      <c r="C286">
        <v>120</v>
      </c>
      <c r="D286" t="s">
        <v>305</v>
      </c>
      <c r="E286" t="s">
        <v>11</v>
      </c>
      <c r="F286">
        <v>2</v>
      </c>
      <c r="G286" t="s">
        <v>16</v>
      </c>
    </row>
    <row r="287" spans="1:7" x14ac:dyDescent="0.25">
      <c r="A287">
        <v>22</v>
      </c>
      <c r="B287" t="s">
        <v>133</v>
      </c>
      <c r="C287">
        <v>130</v>
      </c>
      <c r="D287" t="s">
        <v>173</v>
      </c>
      <c r="E287" t="s">
        <v>11</v>
      </c>
      <c r="F287">
        <v>2</v>
      </c>
      <c r="G287" t="s">
        <v>16</v>
      </c>
    </row>
    <row r="288" spans="1:7" x14ac:dyDescent="0.25">
      <c r="A288">
        <v>23</v>
      </c>
      <c r="B288" t="s">
        <v>134</v>
      </c>
      <c r="C288">
        <v>10</v>
      </c>
      <c r="D288" t="s">
        <v>306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134</v>
      </c>
      <c r="C289">
        <v>20</v>
      </c>
      <c r="D289" t="s">
        <v>109</v>
      </c>
      <c r="E289" t="s">
        <v>15</v>
      </c>
      <c r="F289">
        <v>3.2509999999999999</v>
      </c>
      <c r="G289" t="s">
        <v>16</v>
      </c>
    </row>
    <row r="290" spans="1:7" x14ac:dyDescent="0.25">
      <c r="A290">
        <v>23</v>
      </c>
      <c r="B290" t="s">
        <v>134</v>
      </c>
      <c r="C290">
        <v>30</v>
      </c>
      <c r="D290" t="s">
        <v>18</v>
      </c>
      <c r="E290" t="s">
        <v>15</v>
      </c>
      <c r="F290">
        <v>115.824</v>
      </c>
      <c r="G290" t="s">
        <v>14</v>
      </c>
    </row>
    <row r="291" spans="1:7" x14ac:dyDescent="0.25">
      <c r="A291">
        <v>23</v>
      </c>
      <c r="B291" t="s">
        <v>134</v>
      </c>
      <c r="C291">
        <v>40</v>
      </c>
      <c r="D291" t="s">
        <v>105</v>
      </c>
      <c r="E291" t="s">
        <v>106</v>
      </c>
      <c r="F291">
        <v>1.45</v>
      </c>
      <c r="G291" t="s">
        <v>14</v>
      </c>
    </row>
    <row r="292" spans="1:7" x14ac:dyDescent="0.25">
      <c r="A292">
        <v>23</v>
      </c>
      <c r="B292" t="s">
        <v>134</v>
      </c>
      <c r="C292">
        <v>50</v>
      </c>
      <c r="D292" t="s">
        <v>107</v>
      </c>
      <c r="E292" t="s">
        <v>15</v>
      </c>
      <c r="F292">
        <v>14.731999999999999</v>
      </c>
      <c r="G292" t="s">
        <v>14</v>
      </c>
    </row>
    <row r="293" spans="1:7" x14ac:dyDescent="0.25">
      <c r="A293">
        <v>23</v>
      </c>
      <c r="B293" t="s">
        <v>134</v>
      </c>
      <c r="C293">
        <v>60</v>
      </c>
      <c r="D293" t="s">
        <v>18</v>
      </c>
      <c r="E293" t="s">
        <v>15</v>
      </c>
      <c r="F293">
        <v>90.602000000000004</v>
      </c>
      <c r="G293" t="s">
        <v>14</v>
      </c>
    </row>
    <row r="294" spans="1:7" x14ac:dyDescent="0.25">
      <c r="A294">
        <v>23</v>
      </c>
      <c r="B294" t="s">
        <v>134</v>
      </c>
      <c r="C294">
        <v>70</v>
      </c>
      <c r="D294" t="s">
        <v>112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134</v>
      </c>
      <c r="C295">
        <v>80</v>
      </c>
      <c r="D295" t="s">
        <v>21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134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134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134</v>
      </c>
      <c r="C298">
        <v>110</v>
      </c>
      <c r="D298" t="s">
        <v>110</v>
      </c>
      <c r="E298" t="s">
        <v>13</v>
      </c>
      <c r="F298">
        <v>1.216</v>
      </c>
      <c r="G298" t="s">
        <v>14</v>
      </c>
    </row>
    <row r="299" spans="1:7" x14ac:dyDescent="0.25">
      <c r="A299">
        <v>23</v>
      </c>
      <c r="B299" t="s">
        <v>134</v>
      </c>
      <c r="C299">
        <v>120</v>
      </c>
      <c r="D299" t="s">
        <v>307</v>
      </c>
      <c r="E299" t="s">
        <v>11</v>
      </c>
      <c r="F299">
        <v>2</v>
      </c>
      <c r="G299" t="s">
        <v>16</v>
      </c>
    </row>
    <row r="300" spans="1:7" x14ac:dyDescent="0.25">
      <c r="A300">
        <v>23</v>
      </c>
      <c r="B300" t="s">
        <v>134</v>
      </c>
      <c r="C300">
        <v>130</v>
      </c>
      <c r="D300" t="s">
        <v>174</v>
      </c>
      <c r="E300" t="s">
        <v>11</v>
      </c>
      <c r="F300">
        <v>2</v>
      </c>
      <c r="G300" t="s">
        <v>16</v>
      </c>
    </row>
    <row r="301" spans="1:7" x14ac:dyDescent="0.25">
      <c r="A301">
        <v>24</v>
      </c>
      <c r="B301" t="s">
        <v>135</v>
      </c>
      <c r="C301">
        <v>10</v>
      </c>
      <c r="D301" t="s">
        <v>308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135</v>
      </c>
      <c r="C302">
        <v>20</v>
      </c>
      <c r="D302" t="s">
        <v>109</v>
      </c>
      <c r="E302" t="s">
        <v>15</v>
      </c>
      <c r="F302">
        <v>3.556</v>
      </c>
      <c r="G302" t="s">
        <v>16</v>
      </c>
    </row>
    <row r="303" spans="1:7" x14ac:dyDescent="0.25">
      <c r="A303">
        <v>24</v>
      </c>
      <c r="B303" t="s">
        <v>135</v>
      </c>
      <c r="C303">
        <v>30</v>
      </c>
      <c r="D303" t="s">
        <v>18</v>
      </c>
      <c r="E303" t="s">
        <v>15</v>
      </c>
      <c r="F303">
        <v>120.70099999999999</v>
      </c>
      <c r="G303" t="s">
        <v>14</v>
      </c>
    </row>
    <row r="304" spans="1:7" x14ac:dyDescent="0.25">
      <c r="A304">
        <v>24</v>
      </c>
      <c r="B304" t="s">
        <v>135</v>
      </c>
      <c r="C304">
        <v>40</v>
      </c>
      <c r="D304" t="s">
        <v>105</v>
      </c>
      <c r="E304" t="s">
        <v>106</v>
      </c>
      <c r="F304">
        <v>1.59</v>
      </c>
      <c r="G304" t="s">
        <v>14</v>
      </c>
    </row>
    <row r="305" spans="1:7" x14ac:dyDescent="0.25">
      <c r="A305">
        <v>24</v>
      </c>
      <c r="B305" t="s">
        <v>135</v>
      </c>
      <c r="C305">
        <v>50</v>
      </c>
      <c r="D305" t="s">
        <v>107</v>
      </c>
      <c r="E305" t="s">
        <v>15</v>
      </c>
      <c r="F305">
        <v>15.342000000000001</v>
      </c>
      <c r="G305" t="s">
        <v>14</v>
      </c>
    </row>
    <row r="306" spans="1:7" x14ac:dyDescent="0.25">
      <c r="A306">
        <v>24</v>
      </c>
      <c r="B306" t="s">
        <v>135</v>
      </c>
      <c r="C306">
        <v>60</v>
      </c>
      <c r="D306" t="s">
        <v>18</v>
      </c>
      <c r="E306" t="s">
        <v>15</v>
      </c>
      <c r="F306">
        <v>94.350999999999999</v>
      </c>
      <c r="G306" t="s">
        <v>14</v>
      </c>
    </row>
    <row r="307" spans="1:7" x14ac:dyDescent="0.25">
      <c r="A307">
        <v>24</v>
      </c>
      <c r="B307" t="s">
        <v>135</v>
      </c>
      <c r="C307">
        <v>70</v>
      </c>
      <c r="D307" t="s">
        <v>112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135</v>
      </c>
      <c r="C308">
        <v>80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135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135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135</v>
      </c>
      <c r="C311">
        <v>110</v>
      </c>
      <c r="D311" t="s">
        <v>110</v>
      </c>
      <c r="E311" t="s">
        <v>13</v>
      </c>
      <c r="F311">
        <v>1.216</v>
      </c>
      <c r="G311" t="s">
        <v>14</v>
      </c>
    </row>
    <row r="312" spans="1:7" x14ac:dyDescent="0.25">
      <c r="A312">
        <v>24</v>
      </c>
      <c r="B312" t="s">
        <v>135</v>
      </c>
      <c r="C312">
        <v>120</v>
      </c>
      <c r="D312" t="s">
        <v>309</v>
      </c>
      <c r="E312" t="s">
        <v>11</v>
      </c>
      <c r="F312">
        <v>2</v>
      </c>
      <c r="G312" t="s">
        <v>16</v>
      </c>
    </row>
    <row r="313" spans="1:7" x14ac:dyDescent="0.25">
      <c r="A313">
        <v>24</v>
      </c>
      <c r="B313" t="s">
        <v>135</v>
      </c>
      <c r="C313">
        <v>130</v>
      </c>
      <c r="D313" t="s">
        <v>175</v>
      </c>
      <c r="E313" t="s">
        <v>11</v>
      </c>
      <c r="F313">
        <v>2</v>
      </c>
      <c r="G313" t="s">
        <v>16</v>
      </c>
    </row>
    <row r="314" spans="1:7" x14ac:dyDescent="0.25">
      <c r="A314">
        <v>25</v>
      </c>
      <c r="B314" t="s">
        <v>136</v>
      </c>
      <c r="C314">
        <v>10</v>
      </c>
      <c r="D314" t="s">
        <v>310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136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136</v>
      </c>
      <c r="C316">
        <v>30</v>
      </c>
      <c r="D316" t="s">
        <v>18</v>
      </c>
      <c r="E316" t="s">
        <v>15</v>
      </c>
      <c r="F316">
        <v>93.066000000000003</v>
      </c>
      <c r="G316" t="s">
        <v>14</v>
      </c>
    </row>
    <row r="317" spans="1:7" x14ac:dyDescent="0.25">
      <c r="A317">
        <v>25</v>
      </c>
      <c r="B317" t="s">
        <v>136</v>
      </c>
      <c r="C317">
        <v>40</v>
      </c>
      <c r="D317" t="s">
        <v>105</v>
      </c>
      <c r="E317" t="s">
        <v>106</v>
      </c>
      <c r="F317">
        <v>0.76800000000000002</v>
      </c>
      <c r="G317" t="s">
        <v>14</v>
      </c>
    </row>
    <row r="318" spans="1:7" x14ac:dyDescent="0.25">
      <c r="A318">
        <v>25</v>
      </c>
      <c r="B318" t="s">
        <v>136</v>
      </c>
      <c r="C318">
        <v>50</v>
      </c>
      <c r="D318" t="s">
        <v>107</v>
      </c>
      <c r="E318" t="s">
        <v>15</v>
      </c>
      <c r="F318">
        <v>11.887</v>
      </c>
      <c r="G318" t="s">
        <v>14</v>
      </c>
    </row>
    <row r="319" spans="1:7" x14ac:dyDescent="0.25">
      <c r="A319">
        <v>25</v>
      </c>
      <c r="B319" t="s">
        <v>136</v>
      </c>
      <c r="C319">
        <v>60</v>
      </c>
      <c r="D319" t="s">
        <v>18</v>
      </c>
      <c r="E319" t="s">
        <v>15</v>
      </c>
      <c r="F319">
        <v>73.105999999999995</v>
      </c>
      <c r="G319" t="s">
        <v>14</v>
      </c>
    </row>
    <row r="320" spans="1:7" x14ac:dyDescent="0.25">
      <c r="A320">
        <v>25</v>
      </c>
      <c r="B320" t="s">
        <v>136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136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136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136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136</v>
      </c>
      <c r="C324">
        <v>110</v>
      </c>
      <c r="D324" t="s">
        <v>110</v>
      </c>
      <c r="E324" t="s">
        <v>13</v>
      </c>
      <c r="F324">
        <v>1.2430000000000001</v>
      </c>
      <c r="G324" t="s">
        <v>14</v>
      </c>
    </row>
    <row r="325" spans="1:7" x14ac:dyDescent="0.25">
      <c r="A325">
        <v>25</v>
      </c>
      <c r="B325" t="s">
        <v>136</v>
      </c>
      <c r="C325">
        <v>120</v>
      </c>
      <c r="D325" t="s">
        <v>311</v>
      </c>
      <c r="E325" t="s">
        <v>11</v>
      </c>
      <c r="F325">
        <v>2</v>
      </c>
      <c r="G325" t="s">
        <v>16</v>
      </c>
    </row>
    <row r="326" spans="1:7" x14ac:dyDescent="0.25">
      <c r="A326">
        <v>25</v>
      </c>
      <c r="B326" t="s">
        <v>136</v>
      </c>
      <c r="C326">
        <v>130</v>
      </c>
      <c r="D326" t="s">
        <v>176</v>
      </c>
      <c r="E326" t="s">
        <v>11</v>
      </c>
      <c r="F326">
        <v>2</v>
      </c>
      <c r="G326" t="s">
        <v>16</v>
      </c>
    </row>
    <row r="327" spans="1:7" x14ac:dyDescent="0.25">
      <c r="A327">
        <v>26</v>
      </c>
      <c r="B327" t="s">
        <v>137</v>
      </c>
      <c r="C327">
        <v>10</v>
      </c>
      <c r="D327" t="s">
        <v>312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137</v>
      </c>
      <c r="C328">
        <v>20</v>
      </c>
      <c r="D328" t="s">
        <v>109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26</v>
      </c>
      <c r="B329" t="s">
        <v>137</v>
      </c>
      <c r="C329">
        <v>30</v>
      </c>
      <c r="D329" t="s">
        <v>18</v>
      </c>
      <c r="E329" t="s">
        <v>15</v>
      </c>
      <c r="F329">
        <v>97.941999999999993</v>
      </c>
      <c r="G329" t="s">
        <v>14</v>
      </c>
    </row>
    <row r="330" spans="1:7" x14ac:dyDescent="0.25">
      <c r="A330">
        <v>26</v>
      </c>
      <c r="B330" t="s">
        <v>137</v>
      </c>
      <c r="C330">
        <v>40</v>
      </c>
      <c r="D330" t="s">
        <v>105</v>
      </c>
      <c r="E330" t="s">
        <v>106</v>
      </c>
      <c r="F330">
        <v>0.91200000000000003</v>
      </c>
      <c r="G330" t="s">
        <v>14</v>
      </c>
    </row>
    <row r="331" spans="1:7" x14ac:dyDescent="0.25">
      <c r="A331">
        <v>26</v>
      </c>
      <c r="B331" t="s">
        <v>137</v>
      </c>
      <c r="C331">
        <v>50</v>
      </c>
      <c r="D331" t="s">
        <v>107</v>
      </c>
      <c r="E331" t="s">
        <v>15</v>
      </c>
      <c r="F331">
        <v>12.497</v>
      </c>
      <c r="G331" t="s">
        <v>14</v>
      </c>
    </row>
    <row r="332" spans="1:7" x14ac:dyDescent="0.25">
      <c r="A332">
        <v>26</v>
      </c>
      <c r="B332" t="s">
        <v>137</v>
      </c>
      <c r="C332">
        <v>60</v>
      </c>
      <c r="D332" t="s">
        <v>18</v>
      </c>
      <c r="E332" t="s">
        <v>15</v>
      </c>
      <c r="F332">
        <v>76.855000000000004</v>
      </c>
      <c r="G332" t="s">
        <v>14</v>
      </c>
    </row>
    <row r="333" spans="1:7" x14ac:dyDescent="0.25">
      <c r="A333">
        <v>26</v>
      </c>
      <c r="B333" t="s">
        <v>137</v>
      </c>
      <c r="C333">
        <v>70</v>
      </c>
      <c r="D333" t="s">
        <v>112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137</v>
      </c>
      <c r="C334">
        <v>80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137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137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137</v>
      </c>
      <c r="C337">
        <v>110</v>
      </c>
      <c r="D337" t="s">
        <v>110</v>
      </c>
      <c r="E337" t="s">
        <v>13</v>
      </c>
      <c r="F337">
        <v>1.2430000000000001</v>
      </c>
      <c r="G337" t="s">
        <v>14</v>
      </c>
    </row>
    <row r="338" spans="1:7" x14ac:dyDescent="0.25">
      <c r="A338">
        <v>26</v>
      </c>
      <c r="B338" t="s">
        <v>137</v>
      </c>
      <c r="C338">
        <v>120</v>
      </c>
      <c r="D338" t="s">
        <v>313</v>
      </c>
      <c r="E338" t="s">
        <v>11</v>
      </c>
      <c r="F338">
        <v>2</v>
      </c>
      <c r="G338" t="s">
        <v>16</v>
      </c>
    </row>
    <row r="339" spans="1:7" x14ac:dyDescent="0.25">
      <c r="A339">
        <v>26</v>
      </c>
      <c r="B339" t="s">
        <v>137</v>
      </c>
      <c r="C339">
        <v>130</v>
      </c>
      <c r="D339" t="s">
        <v>177</v>
      </c>
      <c r="E339" t="s">
        <v>11</v>
      </c>
      <c r="F339">
        <v>2</v>
      </c>
      <c r="G339" t="s">
        <v>16</v>
      </c>
    </row>
    <row r="340" spans="1:7" x14ac:dyDescent="0.25">
      <c r="A340">
        <v>27</v>
      </c>
      <c r="B340" t="s">
        <v>138</v>
      </c>
      <c r="C340">
        <v>10</v>
      </c>
      <c r="D340" t="s">
        <v>314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138</v>
      </c>
      <c r="C341">
        <v>20</v>
      </c>
      <c r="D341" t="s">
        <v>109</v>
      </c>
      <c r="E341" t="s">
        <v>15</v>
      </c>
      <c r="F341">
        <v>4.1150000000000002</v>
      </c>
      <c r="G341" t="s">
        <v>16</v>
      </c>
    </row>
    <row r="342" spans="1:7" x14ac:dyDescent="0.25">
      <c r="A342">
        <v>27</v>
      </c>
      <c r="B342" t="s">
        <v>138</v>
      </c>
      <c r="C342">
        <v>30</v>
      </c>
      <c r="D342" t="s">
        <v>18</v>
      </c>
      <c r="E342" t="s">
        <v>15</v>
      </c>
      <c r="F342">
        <v>102.819</v>
      </c>
      <c r="G342" t="s">
        <v>14</v>
      </c>
    </row>
    <row r="343" spans="1:7" x14ac:dyDescent="0.25">
      <c r="A343">
        <v>27</v>
      </c>
      <c r="B343" t="s">
        <v>138</v>
      </c>
      <c r="C343">
        <v>40</v>
      </c>
      <c r="D343" t="s">
        <v>105</v>
      </c>
      <c r="E343" t="s">
        <v>106</v>
      </c>
      <c r="F343">
        <v>1.056</v>
      </c>
      <c r="G343" t="s">
        <v>14</v>
      </c>
    </row>
    <row r="344" spans="1:7" x14ac:dyDescent="0.25">
      <c r="A344">
        <v>27</v>
      </c>
      <c r="B344" t="s">
        <v>138</v>
      </c>
      <c r="C344">
        <v>50</v>
      </c>
      <c r="D344" t="s">
        <v>107</v>
      </c>
      <c r="E344" t="s">
        <v>15</v>
      </c>
      <c r="F344">
        <v>13.106</v>
      </c>
      <c r="G344" t="s">
        <v>14</v>
      </c>
    </row>
    <row r="345" spans="1:7" x14ac:dyDescent="0.25">
      <c r="A345">
        <v>27</v>
      </c>
      <c r="B345" t="s">
        <v>138</v>
      </c>
      <c r="C345">
        <v>60</v>
      </c>
      <c r="D345" t="s">
        <v>18</v>
      </c>
      <c r="E345" t="s">
        <v>15</v>
      </c>
      <c r="F345">
        <v>80.603999999999999</v>
      </c>
      <c r="G345" t="s">
        <v>14</v>
      </c>
    </row>
    <row r="346" spans="1:7" x14ac:dyDescent="0.25">
      <c r="A346">
        <v>27</v>
      </c>
      <c r="B346" t="s">
        <v>138</v>
      </c>
      <c r="C346">
        <v>70</v>
      </c>
      <c r="D346" t="s">
        <v>112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138</v>
      </c>
      <c r="C347">
        <v>80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138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138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138</v>
      </c>
      <c r="C350">
        <v>110</v>
      </c>
      <c r="D350" t="s">
        <v>110</v>
      </c>
      <c r="E350" t="s">
        <v>13</v>
      </c>
      <c r="F350">
        <v>1.2430000000000001</v>
      </c>
      <c r="G350" t="s">
        <v>14</v>
      </c>
    </row>
    <row r="351" spans="1:7" x14ac:dyDescent="0.25">
      <c r="A351">
        <v>27</v>
      </c>
      <c r="B351" t="s">
        <v>138</v>
      </c>
      <c r="C351">
        <v>120</v>
      </c>
      <c r="D351" t="s">
        <v>315</v>
      </c>
      <c r="E351" t="s">
        <v>11</v>
      </c>
      <c r="F351">
        <v>2</v>
      </c>
      <c r="G351" t="s">
        <v>16</v>
      </c>
    </row>
    <row r="352" spans="1:7" x14ac:dyDescent="0.25">
      <c r="A352">
        <v>27</v>
      </c>
      <c r="B352" t="s">
        <v>138</v>
      </c>
      <c r="C352">
        <v>130</v>
      </c>
      <c r="D352" t="s">
        <v>178</v>
      </c>
      <c r="E352" t="s">
        <v>11</v>
      </c>
      <c r="F352">
        <v>2</v>
      </c>
      <c r="G352" t="s">
        <v>16</v>
      </c>
    </row>
    <row r="353" spans="1:7" x14ac:dyDescent="0.25">
      <c r="A353">
        <v>28</v>
      </c>
      <c r="B353" t="s">
        <v>139</v>
      </c>
      <c r="C353">
        <v>10</v>
      </c>
      <c r="D353" t="s">
        <v>316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139</v>
      </c>
      <c r="C354">
        <v>20</v>
      </c>
      <c r="D354" t="s">
        <v>109</v>
      </c>
      <c r="E354" t="s">
        <v>15</v>
      </c>
      <c r="F354">
        <v>4.1150000000000002</v>
      </c>
      <c r="G354" t="s">
        <v>16</v>
      </c>
    </row>
    <row r="355" spans="1:7" x14ac:dyDescent="0.25">
      <c r="A355">
        <v>28</v>
      </c>
      <c r="B355" t="s">
        <v>139</v>
      </c>
      <c r="C355">
        <v>30</v>
      </c>
      <c r="D355" t="s">
        <v>18</v>
      </c>
      <c r="E355" t="s">
        <v>15</v>
      </c>
      <c r="F355">
        <v>107.696</v>
      </c>
      <c r="G355" t="s">
        <v>14</v>
      </c>
    </row>
    <row r="356" spans="1:7" x14ac:dyDescent="0.25">
      <c r="A356">
        <v>28</v>
      </c>
      <c r="B356" t="s">
        <v>139</v>
      </c>
      <c r="C356">
        <v>40</v>
      </c>
      <c r="D356" t="s">
        <v>105</v>
      </c>
      <c r="E356" t="s">
        <v>106</v>
      </c>
      <c r="F356">
        <v>1.2</v>
      </c>
      <c r="G356" t="s">
        <v>14</v>
      </c>
    </row>
    <row r="357" spans="1:7" x14ac:dyDescent="0.25">
      <c r="A357">
        <v>28</v>
      </c>
      <c r="B357" t="s">
        <v>139</v>
      </c>
      <c r="C357">
        <v>50</v>
      </c>
      <c r="D357" t="s">
        <v>107</v>
      </c>
      <c r="E357" t="s">
        <v>15</v>
      </c>
      <c r="F357">
        <v>13.715999999999999</v>
      </c>
      <c r="G357" t="s">
        <v>14</v>
      </c>
    </row>
    <row r="358" spans="1:7" x14ac:dyDescent="0.25">
      <c r="A358">
        <v>28</v>
      </c>
      <c r="B358" t="s">
        <v>139</v>
      </c>
      <c r="C358">
        <v>60</v>
      </c>
      <c r="D358" t="s">
        <v>18</v>
      </c>
      <c r="E358" t="s">
        <v>15</v>
      </c>
      <c r="F358">
        <v>84.352999999999994</v>
      </c>
      <c r="G358" t="s">
        <v>14</v>
      </c>
    </row>
    <row r="359" spans="1:7" x14ac:dyDescent="0.25">
      <c r="A359">
        <v>28</v>
      </c>
      <c r="B359" t="s">
        <v>139</v>
      </c>
      <c r="C359">
        <v>70</v>
      </c>
      <c r="D359" t="s">
        <v>112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139</v>
      </c>
      <c r="C360">
        <v>80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139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139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139</v>
      </c>
      <c r="C363">
        <v>110</v>
      </c>
      <c r="D363" t="s">
        <v>110</v>
      </c>
      <c r="E363" t="s">
        <v>13</v>
      </c>
      <c r="F363">
        <v>1.2430000000000001</v>
      </c>
      <c r="G363" t="s">
        <v>14</v>
      </c>
    </row>
    <row r="364" spans="1:7" x14ac:dyDescent="0.25">
      <c r="A364">
        <v>28</v>
      </c>
      <c r="B364" t="s">
        <v>139</v>
      </c>
      <c r="C364">
        <v>120</v>
      </c>
      <c r="D364" t="s">
        <v>317</v>
      </c>
      <c r="E364" t="s">
        <v>11</v>
      </c>
      <c r="F364">
        <v>2</v>
      </c>
      <c r="G364" t="s">
        <v>16</v>
      </c>
    </row>
    <row r="365" spans="1:7" x14ac:dyDescent="0.25">
      <c r="A365">
        <v>28</v>
      </c>
      <c r="B365" t="s">
        <v>139</v>
      </c>
      <c r="C365">
        <v>130</v>
      </c>
      <c r="D365" t="s">
        <v>179</v>
      </c>
      <c r="E365" t="s">
        <v>11</v>
      </c>
      <c r="F365">
        <v>2</v>
      </c>
      <c r="G365" t="s">
        <v>16</v>
      </c>
    </row>
    <row r="366" spans="1:7" x14ac:dyDescent="0.25">
      <c r="A366">
        <v>29</v>
      </c>
      <c r="B366" t="s">
        <v>140</v>
      </c>
      <c r="C366">
        <v>10</v>
      </c>
      <c r="D366" t="s">
        <v>318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140</v>
      </c>
      <c r="C367">
        <v>20</v>
      </c>
      <c r="D367" t="s">
        <v>109</v>
      </c>
      <c r="E367" t="s">
        <v>15</v>
      </c>
      <c r="F367">
        <v>4.1150000000000002</v>
      </c>
      <c r="G367" t="s">
        <v>16</v>
      </c>
    </row>
    <row r="368" spans="1:7" x14ac:dyDescent="0.25">
      <c r="A368">
        <v>29</v>
      </c>
      <c r="B368" t="s">
        <v>140</v>
      </c>
      <c r="C368">
        <v>30</v>
      </c>
      <c r="D368" t="s">
        <v>18</v>
      </c>
      <c r="E368" t="s">
        <v>15</v>
      </c>
      <c r="F368">
        <v>110.134</v>
      </c>
      <c r="G368" t="s">
        <v>14</v>
      </c>
    </row>
    <row r="369" spans="1:7" x14ac:dyDescent="0.25">
      <c r="A369">
        <v>29</v>
      </c>
      <c r="B369" t="s">
        <v>140</v>
      </c>
      <c r="C369">
        <v>40</v>
      </c>
      <c r="D369" t="s">
        <v>105</v>
      </c>
      <c r="E369" t="s">
        <v>106</v>
      </c>
      <c r="F369">
        <v>1.272</v>
      </c>
      <c r="G369" t="s">
        <v>14</v>
      </c>
    </row>
    <row r="370" spans="1:7" x14ac:dyDescent="0.25">
      <c r="A370">
        <v>29</v>
      </c>
      <c r="B370" t="s">
        <v>140</v>
      </c>
      <c r="C370">
        <v>50</v>
      </c>
      <c r="D370" t="s">
        <v>107</v>
      </c>
      <c r="E370" t="s">
        <v>15</v>
      </c>
      <c r="F370">
        <v>14.021000000000001</v>
      </c>
      <c r="G370" t="s">
        <v>14</v>
      </c>
    </row>
    <row r="371" spans="1:7" x14ac:dyDescent="0.25">
      <c r="A371">
        <v>29</v>
      </c>
      <c r="B371" t="s">
        <v>140</v>
      </c>
      <c r="C371">
        <v>60</v>
      </c>
      <c r="D371" t="s">
        <v>18</v>
      </c>
      <c r="E371" t="s">
        <v>15</v>
      </c>
      <c r="F371">
        <v>86.227999999999994</v>
      </c>
      <c r="G371" t="s">
        <v>14</v>
      </c>
    </row>
    <row r="372" spans="1:7" x14ac:dyDescent="0.25">
      <c r="A372">
        <v>29</v>
      </c>
      <c r="B372" t="s">
        <v>140</v>
      </c>
      <c r="C372">
        <v>70</v>
      </c>
      <c r="D372" t="s">
        <v>112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140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140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140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140</v>
      </c>
      <c r="C376">
        <v>110</v>
      </c>
      <c r="D376" t="s">
        <v>110</v>
      </c>
      <c r="E376" t="s">
        <v>13</v>
      </c>
      <c r="F376">
        <v>1.2430000000000001</v>
      </c>
      <c r="G376" t="s">
        <v>14</v>
      </c>
    </row>
    <row r="377" spans="1:7" x14ac:dyDescent="0.25">
      <c r="A377">
        <v>29</v>
      </c>
      <c r="B377" t="s">
        <v>140</v>
      </c>
      <c r="C377">
        <v>120</v>
      </c>
      <c r="D377" t="s">
        <v>319</v>
      </c>
      <c r="E377" t="s">
        <v>11</v>
      </c>
      <c r="F377">
        <v>2</v>
      </c>
      <c r="G377" t="s">
        <v>16</v>
      </c>
    </row>
    <row r="378" spans="1:7" x14ac:dyDescent="0.25">
      <c r="A378">
        <v>29</v>
      </c>
      <c r="B378" t="s">
        <v>140</v>
      </c>
      <c r="C378">
        <v>130</v>
      </c>
      <c r="D378" t="s">
        <v>180</v>
      </c>
      <c r="E378" t="s">
        <v>11</v>
      </c>
      <c r="F378">
        <v>2</v>
      </c>
      <c r="G378" t="s">
        <v>16</v>
      </c>
    </row>
    <row r="379" spans="1:7" x14ac:dyDescent="0.25">
      <c r="A379">
        <v>30</v>
      </c>
      <c r="B379" t="s">
        <v>141</v>
      </c>
      <c r="C379">
        <v>10</v>
      </c>
      <c r="D379" t="s">
        <v>320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141</v>
      </c>
      <c r="C380">
        <v>20</v>
      </c>
      <c r="D380" t="s">
        <v>109</v>
      </c>
      <c r="E380" t="s">
        <v>15</v>
      </c>
      <c r="F380">
        <v>4.1150000000000002</v>
      </c>
      <c r="G380" t="s">
        <v>16</v>
      </c>
    </row>
    <row r="381" spans="1:7" x14ac:dyDescent="0.25">
      <c r="A381">
        <v>30</v>
      </c>
      <c r="B381" t="s">
        <v>141</v>
      </c>
      <c r="C381">
        <v>30</v>
      </c>
      <c r="D381" t="s">
        <v>18</v>
      </c>
      <c r="E381" t="s">
        <v>15</v>
      </c>
      <c r="F381">
        <v>112.57299999999999</v>
      </c>
      <c r="G381" t="s">
        <v>14</v>
      </c>
    </row>
    <row r="382" spans="1:7" x14ac:dyDescent="0.25">
      <c r="A382">
        <v>30</v>
      </c>
      <c r="B382" t="s">
        <v>141</v>
      </c>
      <c r="C382">
        <v>40</v>
      </c>
      <c r="D382" t="s">
        <v>105</v>
      </c>
      <c r="E382" t="s">
        <v>106</v>
      </c>
      <c r="F382">
        <v>1.3440000000000001</v>
      </c>
      <c r="G382" t="s">
        <v>14</v>
      </c>
    </row>
    <row r="383" spans="1:7" x14ac:dyDescent="0.25">
      <c r="A383">
        <v>30</v>
      </c>
      <c r="B383" t="s">
        <v>141</v>
      </c>
      <c r="C383">
        <v>50</v>
      </c>
      <c r="D383" t="s">
        <v>107</v>
      </c>
      <c r="E383" t="s">
        <v>15</v>
      </c>
      <c r="F383">
        <v>14.326000000000001</v>
      </c>
      <c r="G383" t="s">
        <v>14</v>
      </c>
    </row>
    <row r="384" spans="1:7" x14ac:dyDescent="0.25">
      <c r="A384">
        <v>30</v>
      </c>
      <c r="B384" t="s">
        <v>141</v>
      </c>
      <c r="C384">
        <v>60</v>
      </c>
      <c r="D384" t="s">
        <v>18</v>
      </c>
      <c r="E384" t="s">
        <v>15</v>
      </c>
      <c r="F384">
        <v>88.102000000000004</v>
      </c>
      <c r="G384" t="s">
        <v>14</v>
      </c>
    </row>
    <row r="385" spans="1:7" x14ac:dyDescent="0.25">
      <c r="A385">
        <v>30</v>
      </c>
      <c r="B385" t="s">
        <v>141</v>
      </c>
      <c r="C385">
        <v>70</v>
      </c>
      <c r="D385" t="s">
        <v>112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141</v>
      </c>
      <c r="C386">
        <v>80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141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141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141</v>
      </c>
      <c r="C389">
        <v>110</v>
      </c>
      <c r="D389" t="s">
        <v>110</v>
      </c>
      <c r="E389" t="s">
        <v>13</v>
      </c>
      <c r="F389">
        <v>1.2430000000000001</v>
      </c>
      <c r="G389" t="s">
        <v>14</v>
      </c>
    </row>
    <row r="390" spans="1:7" x14ac:dyDescent="0.25">
      <c r="A390">
        <v>30</v>
      </c>
      <c r="B390" t="s">
        <v>141</v>
      </c>
      <c r="C390">
        <v>120</v>
      </c>
      <c r="D390" t="s">
        <v>321</v>
      </c>
      <c r="E390" t="s">
        <v>11</v>
      </c>
      <c r="F390">
        <v>2</v>
      </c>
      <c r="G390" t="s">
        <v>16</v>
      </c>
    </row>
    <row r="391" spans="1:7" x14ac:dyDescent="0.25">
      <c r="A391">
        <v>30</v>
      </c>
      <c r="B391" t="s">
        <v>141</v>
      </c>
      <c r="C391">
        <v>130</v>
      </c>
      <c r="D391" t="s">
        <v>181</v>
      </c>
      <c r="E391" t="s">
        <v>11</v>
      </c>
      <c r="F391">
        <v>2</v>
      </c>
      <c r="G391" t="s">
        <v>16</v>
      </c>
    </row>
    <row r="392" spans="1:7" x14ac:dyDescent="0.25">
      <c r="A392">
        <v>31</v>
      </c>
      <c r="B392" t="s">
        <v>142</v>
      </c>
      <c r="C392">
        <v>10</v>
      </c>
      <c r="D392" t="s">
        <v>322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142</v>
      </c>
      <c r="C393">
        <v>20</v>
      </c>
      <c r="D393" t="s">
        <v>109</v>
      </c>
      <c r="E393" t="s">
        <v>15</v>
      </c>
      <c r="F393">
        <v>4.1150000000000002</v>
      </c>
      <c r="G393" t="s">
        <v>16</v>
      </c>
    </row>
    <row r="394" spans="1:7" x14ac:dyDescent="0.25">
      <c r="A394">
        <v>31</v>
      </c>
      <c r="B394" t="s">
        <v>142</v>
      </c>
      <c r="C394">
        <v>30</v>
      </c>
      <c r="D394" t="s">
        <v>18</v>
      </c>
      <c r="E394" t="s">
        <v>15</v>
      </c>
      <c r="F394">
        <v>117.45</v>
      </c>
      <c r="G394" t="s">
        <v>14</v>
      </c>
    </row>
    <row r="395" spans="1:7" x14ac:dyDescent="0.25">
      <c r="A395">
        <v>31</v>
      </c>
      <c r="B395" t="s">
        <v>142</v>
      </c>
      <c r="C395">
        <v>40</v>
      </c>
      <c r="D395" t="s">
        <v>105</v>
      </c>
      <c r="E395" t="s">
        <v>106</v>
      </c>
      <c r="F395">
        <v>1.488</v>
      </c>
      <c r="G395" t="s">
        <v>14</v>
      </c>
    </row>
    <row r="396" spans="1:7" x14ac:dyDescent="0.25">
      <c r="A396">
        <v>31</v>
      </c>
      <c r="B396" t="s">
        <v>142</v>
      </c>
      <c r="C396">
        <v>50</v>
      </c>
      <c r="D396" t="s">
        <v>107</v>
      </c>
      <c r="E396" t="s">
        <v>15</v>
      </c>
      <c r="F396">
        <v>14.935</v>
      </c>
      <c r="G396" t="s">
        <v>14</v>
      </c>
    </row>
    <row r="397" spans="1:7" x14ac:dyDescent="0.25">
      <c r="A397">
        <v>31</v>
      </c>
      <c r="B397" t="s">
        <v>142</v>
      </c>
      <c r="C397">
        <v>60</v>
      </c>
      <c r="D397" t="s">
        <v>18</v>
      </c>
      <c r="E397" t="s">
        <v>15</v>
      </c>
      <c r="F397">
        <v>91.850999999999999</v>
      </c>
      <c r="G397" t="s">
        <v>14</v>
      </c>
    </row>
    <row r="398" spans="1:7" x14ac:dyDescent="0.25">
      <c r="A398">
        <v>31</v>
      </c>
      <c r="B398" t="s">
        <v>142</v>
      </c>
      <c r="C398">
        <v>70</v>
      </c>
      <c r="D398" t="s">
        <v>112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142</v>
      </c>
      <c r="C399">
        <v>80</v>
      </c>
      <c r="D399" t="s">
        <v>21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142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142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142</v>
      </c>
      <c r="C402">
        <v>110</v>
      </c>
      <c r="D402" t="s">
        <v>110</v>
      </c>
      <c r="E402" t="s">
        <v>13</v>
      </c>
      <c r="F402">
        <v>1.2430000000000001</v>
      </c>
      <c r="G402" t="s">
        <v>14</v>
      </c>
    </row>
    <row r="403" spans="1:7" x14ac:dyDescent="0.25">
      <c r="A403">
        <v>31</v>
      </c>
      <c r="B403" t="s">
        <v>142</v>
      </c>
      <c r="C403">
        <v>120</v>
      </c>
      <c r="D403" t="s">
        <v>323</v>
      </c>
      <c r="E403" t="s">
        <v>11</v>
      </c>
      <c r="F403">
        <v>2</v>
      </c>
      <c r="G403" t="s">
        <v>16</v>
      </c>
    </row>
    <row r="404" spans="1:7" x14ac:dyDescent="0.25">
      <c r="A404">
        <v>31</v>
      </c>
      <c r="B404" t="s">
        <v>142</v>
      </c>
      <c r="C404">
        <v>130</v>
      </c>
      <c r="D404" t="s">
        <v>182</v>
      </c>
      <c r="E404" t="s">
        <v>11</v>
      </c>
      <c r="F404">
        <v>2</v>
      </c>
      <c r="G404" t="s">
        <v>16</v>
      </c>
    </row>
    <row r="405" spans="1:7" x14ac:dyDescent="0.25">
      <c r="A405">
        <v>32</v>
      </c>
      <c r="B405" t="s">
        <v>143</v>
      </c>
      <c r="C405">
        <v>10</v>
      </c>
      <c r="D405" t="s">
        <v>324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143</v>
      </c>
      <c r="C406">
        <v>20</v>
      </c>
      <c r="D406" t="s">
        <v>109</v>
      </c>
      <c r="E406" t="s">
        <v>15</v>
      </c>
      <c r="F406">
        <v>4.1150000000000002</v>
      </c>
      <c r="G406" t="s">
        <v>16</v>
      </c>
    </row>
    <row r="407" spans="1:7" x14ac:dyDescent="0.25">
      <c r="A407">
        <v>32</v>
      </c>
      <c r="B407" t="s">
        <v>143</v>
      </c>
      <c r="C407">
        <v>30</v>
      </c>
      <c r="D407" t="s">
        <v>18</v>
      </c>
      <c r="E407" t="s">
        <v>15</v>
      </c>
      <c r="F407">
        <v>122.32599999999999</v>
      </c>
      <c r="G407" t="s">
        <v>14</v>
      </c>
    </row>
    <row r="408" spans="1:7" x14ac:dyDescent="0.25">
      <c r="A408">
        <v>32</v>
      </c>
      <c r="B408" t="s">
        <v>143</v>
      </c>
      <c r="C408">
        <v>40</v>
      </c>
      <c r="D408" t="s">
        <v>105</v>
      </c>
      <c r="E408" t="s">
        <v>106</v>
      </c>
      <c r="F408">
        <v>1.6319999999999999</v>
      </c>
      <c r="G408" t="s">
        <v>14</v>
      </c>
    </row>
    <row r="409" spans="1:7" x14ac:dyDescent="0.25">
      <c r="A409">
        <v>32</v>
      </c>
      <c r="B409" t="s">
        <v>143</v>
      </c>
      <c r="C409">
        <v>50</v>
      </c>
      <c r="D409" t="s">
        <v>107</v>
      </c>
      <c r="E409" t="s">
        <v>15</v>
      </c>
      <c r="F409">
        <v>15.545</v>
      </c>
      <c r="G409" t="s">
        <v>14</v>
      </c>
    </row>
    <row r="410" spans="1:7" x14ac:dyDescent="0.25">
      <c r="A410">
        <v>32</v>
      </c>
      <c r="B410" t="s">
        <v>143</v>
      </c>
      <c r="C410">
        <v>60</v>
      </c>
      <c r="D410" t="s">
        <v>18</v>
      </c>
      <c r="E410" t="s">
        <v>15</v>
      </c>
      <c r="F410">
        <v>95.600999999999999</v>
      </c>
      <c r="G410" t="s">
        <v>14</v>
      </c>
    </row>
    <row r="411" spans="1:7" x14ac:dyDescent="0.25">
      <c r="A411">
        <v>32</v>
      </c>
      <c r="B411" t="s">
        <v>143</v>
      </c>
      <c r="C411">
        <v>70</v>
      </c>
      <c r="D411" t="s">
        <v>112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143</v>
      </c>
      <c r="C412">
        <v>80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143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143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143</v>
      </c>
      <c r="C415">
        <v>110</v>
      </c>
      <c r="D415" t="s">
        <v>110</v>
      </c>
      <c r="E415" t="s">
        <v>13</v>
      </c>
      <c r="F415">
        <v>1.2430000000000001</v>
      </c>
      <c r="G415" t="s">
        <v>14</v>
      </c>
    </row>
    <row r="416" spans="1:7" x14ac:dyDescent="0.25">
      <c r="A416">
        <v>32</v>
      </c>
      <c r="B416" t="s">
        <v>143</v>
      </c>
      <c r="C416">
        <v>120</v>
      </c>
      <c r="D416" t="s">
        <v>325</v>
      </c>
      <c r="E416" t="s">
        <v>11</v>
      </c>
      <c r="F416">
        <v>2</v>
      </c>
      <c r="G416" t="s">
        <v>16</v>
      </c>
    </row>
    <row r="417" spans="1:7" x14ac:dyDescent="0.25">
      <c r="A417">
        <v>32</v>
      </c>
      <c r="B417" t="s">
        <v>143</v>
      </c>
      <c r="C417">
        <v>130</v>
      </c>
      <c r="D417" t="s">
        <v>183</v>
      </c>
      <c r="E417" t="s">
        <v>11</v>
      </c>
      <c r="F417">
        <v>2</v>
      </c>
      <c r="G417" t="s">
        <v>16</v>
      </c>
    </row>
    <row r="418" spans="1:7" x14ac:dyDescent="0.25">
      <c r="A418">
        <v>33</v>
      </c>
      <c r="B418" t="s">
        <v>144</v>
      </c>
      <c r="C418">
        <v>10</v>
      </c>
      <c r="D418" t="s">
        <v>326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144</v>
      </c>
      <c r="C419">
        <v>20</v>
      </c>
      <c r="D419" t="s">
        <v>109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144</v>
      </c>
      <c r="C420">
        <v>30</v>
      </c>
      <c r="D420" t="s">
        <v>18</v>
      </c>
      <c r="E420" t="s">
        <v>15</v>
      </c>
      <c r="F420">
        <v>96.316999999999993</v>
      </c>
      <c r="G420" t="s">
        <v>14</v>
      </c>
    </row>
    <row r="421" spans="1:7" x14ac:dyDescent="0.25">
      <c r="A421">
        <v>33</v>
      </c>
      <c r="B421" t="s">
        <v>144</v>
      </c>
      <c r="C421">
        <v>40</v>
      </c>
      <c r="D421" t="s">
        <v>105</v>
      </c>
      <c r="E421" t="s">
        <v>106</v>
      </c>
      <c r="F421">
        <v>0.80700000000000005</v>
      </c>
      <c r="G421" t="s">
        <v>14</v>
      </c>
    </row>
    <row r="422" spans="1:7" x14ac:dyDescent="0.25">
      <c r="A422">
        <v>33</v>
      </c>
      <c r="B422" t="s">
        <v>144</v>
      </c>
      <c r="C422">
        <v>50</v>
      </c>
      <c r="D422" t="s">
        <v>107</v>
      </c>
      <c r="E422" t="s">
        <v>15</v>
      </c>
      <c r="F422">
        <v>12.294</v>
      </c>
      <c r="G422" t="s">
        <v>14</v>
      </c>
    </row>
    <row r="423" spans="1:7" x14ac:dyDescent="0.25">
      <c r="A423">
        <v>33</v>
      </c>
      <c r="B423" t="s">
        <v>144</v>
      </c>
      <c r="C423">
        <v>60</v>
      </c>
      <c r="D423" t="s">
        <v>18</v>
      </c>
      <c r="E423" t="s">
        <v>15</v>
      </c>
      <c r="F423">
        <v>75.605999999999995</v>
      </c>
      <c r="G423" t="s">
        <v>14</v>
      </c>
    </row>
    <row r="424" spans="1:7" x14ac:dyDescent="0.25">
      <c r="A424">
        <v>33</v>
      </c>
      <c r="B424" t="s">
        <v>144</v>
      </c>
      <c r="C424">
        <v>70</v>
      </c>
      <c r="D424" t="s">
        <v>112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144</v>
      </c>
      <c r="C425">
        <v>80</v>
      </c>
      <c r="D425" t="s">
        <v>21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144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144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144</v>
      </c>
      <c r="C428">
        <v>110</v>
      </c>
      <c r="D428" t="s">
        <v>110</v>
      </c>
      <c r="E428" t="s">
        <v>13</v>
      </c>
      <c r="F428">
        <v>1.2969999999999999</v>
      </c>
      <c r="G428" t="s">
        <v>14</v>
      </c>
    </row>
    <row r="429" spans="1:7" x14ac:dyDescent="0.25">
      <c r="A429">
        <v>33</v>
      </c>
      <c r="B429" t="s">
        <v>144</v>
      </c>
      <c r="C429">
        <v>120</v>
      </c>
      <c r="D429" t="s">
        <v>327</v>
      </c>
      <c r="E429" t="s">
        <v>11</v>
      </c>
      <c r="F429">
        <v>2</v>
      </c>
      <c r="G429" t="s">
        <v>16</v>
      </c>
    </row>
    <row r="430" spans="1:7" x14ac:dyDescent="0.25">
      <c r="A430">
        <v>33</v>
      </c>
      <c r="B430" t="s">
        <v>144</v>
      </c>
      <c r="C430">
        <v>130</v>
      </c>
      <c r="D430" t="s">
        <v>184</v>
      </c>
      <c r="E430" t="s">
        <v>11</v>
      </c>
      <c r="F430">
        <v>2</v>
      </c>
      <c r="G430" t="s">
        <v>16</v>
      </c>
    </row>
    <row r="431" spans="1:7" x14ac:dyDescent="0.25">
      <c r="A431">
        <v>34</v>
      </c>
      <c r="B431" t="s">
        <v>145</v>
      </c>
      <c r="C431">
        <v>10</v>
      </c>
      <c r="D431" t="s">
        <v>328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145</v>
      </c>
      <c r="C432">
        <v>20</v>
      </c>
      <c r="D432" t="s">
        <v>109</v>
      </c>
      <c r="E432" t="s">
        <v>15</v>
      </c>
      <c r="F432">
        <v>4.3179999999999996</v>
      </c>
      <c r="G432" t="s">
        <v>16</v>
      </c>
    </row>
    <row r="433" spans="1:7" x14ac:dyDescent="0.25">
      <c r="A433">
        <v>34</v>
      </c>
      <c r="B433" t="s">
        <v>145</v>
      </c>
      <c r="C433">
        <v>30</v>
      </c>
      <c r="D433" t="s">
        <v>18</v>
      </c>
      <c r="E433" t="s">
        <v>15</v>
      </c>
      <c r="F433">
        <v>101.194</v>
      </c>
      <c r="G433" t="s">
        <v>14</v>
      </c>
    </row>
    <row r="434" spans="1:7" x14ac:dyDescent="0.25">
      <c r="A434">
        <v>34</v>
      </c>
      <c r="B434" t="s">
        <v>145</v>
      </c>
      <c r="C434">
        <v>40</v>
      </c>
      <c r="D434" t="s">
        <v>105</v>
      </c>
      <c r="E434" t="s">
        <v>106</v>
      </c>
      <c r="F434">
        <v>0.95799999999999996</v>
      </c>
      <c r="G434" t="s">
        <v>14</v>
      </c>
    </row>
    <row r="435" spans="1:7" x14ac:dyDescent="0.25">
      <c r="A435">
        <v>34</v>
      </c>
      <c r="B435" t="s">
        <v>145</v>
      </c>
      <c r="C435">
        <v>50</v>
      </c>
      <c r="D435" t="s">
        <v>107</v>
      </c>
      <c r="E435" t="s">
        <v>15</v>
      </c>
      <c r="F435">
        <v>12.903</v>
      </c>
      <c r="G435" t="s">
        <v>14</v>
      </c>
    </row>
    <row r="436" spans="1:7" x14ac:dyDescent="0.25">
      <c r="A436">
        <v>34</v>
      </c>
      <c r="B436" t="s">
        <v>145</v>
      </c>
      <c r="C436">
        <v>60</v>
      </c>
      <c r="D436" t="s">
        <v>18</v>
      </c>
      <c r="E436" t="s">
        <v>15</v>
      </c>
      <c r="F436">
        <v>79.355000000000004</v>
      </c>
      <c r="G436" t="s">
        <v>14</v>
      </c>
    </row>
    <row r="437" spans="1:7" x14ac:dyDescent="0.25">
      <c r="A437">
        <v>34</v>
      </c>
      <c r="B437" t="s">
        <v>145</v>
      </c>
      <c r="C437">
        <v>70</v>
      </c>
      <c r="D437" t="s">
        <v>112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145</v>
      </c>
      <c r="C438">
        <v>80</v>
      </c>
      <c r="D438" t="s">
        <v>21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145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145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145</v>
      </c>
      <c r="C441">
        <v>110</v>
      </c>
      <c r="D441" t="s">
        <v>110</v>
      </c>
      <c r="E441" t="s">
        <v>13</v>
      </c>
      <c r="F441">
        <v>1.2969999999999999</v>
      </c>
      <c r="G441" t="s">
        <v>14</v>
      </c>
    </row>
    <row r="442" spans="1:7" x14ac:dyDescent="0.25">
      <c r="A442">
        <v>34</v>
      </c>
      <c r="B442" t="s">
        <v>145</v>
      </c>
      <c r="C442">
        <v>120</v>
      </c>
      <c r="D442" t="s">
        <v>329</v>
      </c>
      <c r="E442" t="s">
        <v>11</v>
      </c>
      <c r="F442">
        <v>2</v>
      </c>
      <c r="G442" t="s">
        <v>16</v>
      </c>
    </row>
    <row r="443" spans="1:7" x14ac:dyDescent="0.25">
      <c r="A443">
        <v>34</v>
      </c>
      <c r="B443" t="s">
        <v>145</v>
      </c>
      <c r="C443">
        <v>130</v>
      </c>
      <c r="D443" t="s">
        <v>185</v>
      </c>
      <c r="E443" t="s">
        <v>11</v>
      </c>
      <c r="F443">
        <v>2</v>
      </c>
      <c r="G443" t="s">
        <v>16</v>
      </c>
    </row>
    <row r="444" spans="1:7" x14ac:dyDescent="0.25">
      <c r="A444">
        <v>35</v>
      </c>
      <c r="B444" t="s">
        <v>146</v>
      </c>
      <c r="C444">
        <v>10</v>
      </c>
      <c r="D444" t="s">
        <v>330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146</v>
      </c>
      <c r="C445">
        <v>20</v>
      </c>
      <c r="D445" t="s">
        <v>109</v>
      </c>
      <c r="E445" t="s">
        <v>15</v>
      </c>
      <c r="F445">
        <v>4.3179999999999996</v>
      </c>
      <c r="G445" t="s">
        <v>16</v>
      </c>
    </row>
    <row r="446" spans="1:7" x14ac:dyDescent="0.25">
      <c r="A446">
        <v>35</v>
      </c>
      <c r="B446" t="s">
        <v>146</v>
      </c>
      <c r="C446">
        <v>30</v>
      </c>
      <c r="D446" t="s">
        <v>18</v>
      </c>
      <c r="E446" t="s">
        <v>15</v>
      </c>
      <c r="F446">
        <v>106.07</v>
      </c>
      <c r="G446" t="s">
        <v>14</v>
      </c>
    </row>
    <row r="447" spans="1:7" x14ac:dyDescent="0.25">
      <c r="A447">
        <v>35</v>
      </c>
      <c r="B447" t="s">
        <v>146</v>
      </c>
      <c r="C447">
        <v>40</v>
      </c>
      <c r="D447" t="s">
        <v>105</v>
      </c>
      <c r="E447" t="s">
        <v>106</v>
      </c>
      <c r="F447">
        <v>1.109</v>
      </c>
      <c r="G447" t="s">
        <v>14</v>
      </c>
    </row>
    <row r="448" spans="1:7" x14ac:dyDescent="0.25">
      <c r="A448">
        <v>35</v>
      </c>
      <c r="B448" t="s">
        <v>146</v>
      </c>
      <c r="C448">
        <v>50</v>
      </c>
      <c r="D448" t="s">
        <v>107</v>
      </c>
      <c r="E448" t="s">
        <v>15</v>
      </c>
      <c r="F448">
        <v>13.513</v>
      </c>
      <c r="G448" t="s">
        <v>14</v>
      </c>
    </row>
    <row r="449" spans="1:7" x14ac:dyDescent="0.25">
      <c r="A449">
        <v>35</v>
      </c>
      <c r="B449" t="s">
        <v>146</v>
      </c>
      <c r="C449">
        <v>60</v>
      </c>
      <c r="D449" t="s">
        <v>18</v>
      </c>
      <c r="E449" t="s">
        <v>15</v>
      </c>
      <c r="F449">
        <v>83.103999999999999</v>
      </c>
      <c r="G449" t="s">
        <v>14</v>
      </c>
    </row>
    <row r="450" spans="1:7" x14ac:dyDescent="0.25">
      <c r="A450">
        <v>35</v>
      </c>
      <c r="B450" t="s">
        <v>146</v>
      </c>
      <c r="C450">
        <v>70</v>
      </c>
      <c r="D450" t="s">
        <v>112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146</v>
      </c>
      <c r="C451">
        <v>80</v>
      </c>
      <c r="D451" t="s">
        <v>21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146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146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146</v>
      </c>
      <c r="C454">
        <v>110</v>
      </c>
      <c r="D454" t="s">
        <v>110</v>
      </c>
      <c r="E454" t="s">
        <v>13</v>
      </c>
      <c r="F454">
        <v>1.2969999999999999</v>
      </c>
      <c r="G454" t="s">
        <v>14</v>
      </c>
    </row>
    <row r="455" spans="1:7" x14ac:dyDescent="0.25">
      <c r="A455">
        <v>35</v>
      </c>
      <c r="B455" t="s">
        <v>146</v>
      </c>
      <c r="C455">
        <v>120</v>
      </c>
      <c r="D455" t="s">
        <v>331</v>
      </c>
      <c r="E455" t="s">
        <v>11</v>
      </c>
      <c r="F455">
        <v>2</v>
      </c>
      <c r="G455" t="s">
        <v>16</v>
      </c>
    </row>
    <row r="456" spans="1:7" x14ac:dyDescent="0.25">
      <c r="A456">
        <v>35</v>
      </c>
      <c r="B456" t="s">
        <v>146</v>
      </c>
      <c r="C456">
        <v>130</v>
      </c>
      <c r="D456" t="s">
        <v>186</v>
      </c>
      <c r="E456" t="s">
        <v>11</v>
      </c>
      <c r="F456">
        <v>2</v>
      </c>
      <c r="G456" t="s">
        <v>16</v>
      </c>
    </row>
    <row r="457" spans="1:7" x14ac:dyDescent="0.25">
      <c r="A457">
        <v>36</v>
      </c>
      <c r="B457" t="s">
        <v>147</v>
      </c>
      <c r="C457">
        <v>10</v>
      </c>
      <c r="D457" t="s">
        <v>332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147</v>
      </c>
      <c r="C458">
        <v>20</v>
      </c>
      <c r="D458" t="s">
        <v>109</v>
      </c>
      <c r="E458" t="s">
        <v>15</v>
      </c>
      <c r="F458">
        <v>4.3179999999999996</v>
      </c>
      <c r="G458" t="s">
        <v>16</v>
      </c>
    </row>
    <row r="459" spans="1:7" x14ac:dyDescent="0.25">
      <c r="A459">
        <v>36</v>
      </c>
      <c r="B459" t="s">
        <v>147</v>
      </c>
      <c r="C459">
        <v>30</v>
      </c>
      <c r="D459" t="s">
        <v>18</v>
      </c>
      <c r="E459" t="s">
        <v>15</v>
      </c>
      <c r="F459">
        <v>110.947</v>
      </c>
      <c r="G459" t="s">
        <v>14</v>
      </c>
    </row>
    <row r="460" spans="1:7" x14ac:dyDescent="0.25">
      <c r="A460">
        <v>36</v>
      </c>
      <c r="B460" t="s">
        <v>147</v>
      </c>
      <c r="C460">
        <v>40</v>
      </c>
      <c r="D460" t="s">
        <v>105</v>
      </c>
      <c r="E460" t="s">
        <v>106</v>
      </c>
      <c r="F460">
        <v>1.2609999999999999</v>
      </c>
      <c r="G460" t="s">
        <v>14</v>
      </c>
    </row>
    <row r="461" spans="1:7" x14ac:dyDescent="0.25">
      <c r="A461">
        <v>36</v>
      </c>
      <c r="B461" t="s">
        <v>147</v>
      </c>
      <c r="C461">
        <v>50</v>
      </c>
      <c r="D461" t="s">
        <v>107</v>
      </c>
      <c r="E461" t="s">
        <v>15</v>
      </c>
      <c r="F461">
        <v>14.122</v>
      </c>
      <c r="G461" t="s">
        <v>14</v>
      </c>
    </row>
    <row r="462" spans="1:7" x14ac:dyDescent="0.25">
      <c r="A462">
        <v>36</v>
      </c>
      <c r="B462" t="s">
        <v>147</v>
      </c>
      <c r="C462">
        <v>60</v>
      </c>
      <c r="D462" t="s">
        <v>18</v>
      </c>
      <c r="E462" t="s">
        <v>15</v>
      </c>
      <c r="F462">
        <v>86.852999999999994</v>
      </c>
      <c r="G462" t="s">
        <v>14</v>
      </c>
    </row>
    <row r="463" spans="1:7" x14ac:dyDescent="0.25">
      <c r="A463">
        <v>36</v>
      </c>
      <c r="B463" t="s">
        <v>147</v>
      </c>
      <c r="C463">
        <v>70</v>
      </c>
      <c r="D463" t="s">
        <v>112</v>
      </c>
      <c r="E463" t="s">
        <v>11</v>
      </c>
      <c r="F463">
        <v>4</v>
      </c>
      <c r="G463" t="s">
        <v>14</v>
      </c>
    </row>
    <row r="464" spans="1:7" x14ac:dyDescent="0.25">
      <c r="A464">
        <v>36</v>
      </c>
      <c r="B464" t="s">
        <v>147</v>
      </c>
      <c r="C464">
        <v>80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36</v>
      </c>
      <c r="B465" t="s">
        <v>147</v>
      </c>
      <c r="C465">
        <v>90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147</v>
      </c>
      <c r="C466">
        <v>100</v>
      </c>
      <c r="D466" t="s">
        <v>23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147</v>
      </c>
      <c r="C467">
        <v>110</v>
      </c>
      <c r="D467" t="s">
        <v>110</v>
      </c>
      <c r="E467" t="s">
        <v>13</v>
      </c>
      <c r="F467">
        <v>1.2969999999999999</v>
      </c>
      <c r="G467" t="s">
        <v>14</v>
      </c>
    </row>
    <row r="468" spans="1:7" x14ac:dyDescent="0.25">
      <c r="A468">
        <v>36</v>
      </c>
      <c r="B468" t="s">
        <v>147</v>
      </c>
      <c r="C468">
        <v>120</v>
      </c>
      <c r="D468" t="s">
        <v>333</v>
      </c>
      <c r="E468" t="s">
        <v>11</v>
      </c>
      <c r="F468">
        <v>2</v>
      </c>
      <c r="G468" t="s">
        <v>16</v>
      </c>
    </row>
    <row r="469" spans="1:7" x14ac:dyDescent="0.25">
      <c r="A469">
        <v>36</v>
      </c>
      <c r="B469" t="s">
        <v>147</v>
      </c>
      <c r="C469">
        <v>130</v>
      </c>
      <c r="D469" t="s">
        <v>187</v>
      </c>
      <c r="E469" t="s">
        <v>11</v>
      </c>
      <c r="F469">
        <v>2</v>
      </c>
      <c r="G469" t="s">
        <v>16</v>
      </c>
    </row>
    <row r="470" spans="1:7" x14ac:dyDescent="0.25">
      <c r="A470">
        <v>37</v>
      </c>
      <c r="B470" t="s">
        <v>148</v>
      </c>
      <c r="C470">
        <v>10</v>
      </c>
      <c r="D470" t="s">
        <v>334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148</v>
      </c>
      <c r="C471">
        <v>20</v>
      </c>
      <c r="D471" t="s">
        <v>109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37</v>
      </c>
      <c r="B472" t="s">
        <v>148</v>
      </c>
      <c r="C472">
        <v>30</v>
      </c>
      <c r="D472" t="s">
        <v>18</v>
      </c>
      <c r="E472" t="s">
        <v>15</v>
      </c>
      <c r="F472">
        <v>113.386</v>
      </c>
      <c r="G472" t="s">
        <v>14</v>
      </c>
    </row>
    <row r="473" spans="1:7" x14ac:dyDescent="0.25">
      <c r="A473">
        <v>37</v>
      </c>
      <c r="B473" t="s">
        <v>148</v>
      </c>
      <c r="C473">
        <v>40</v>
      </c>
      <c r="D473" t="s">
        <v>105</v>
      </c>
      <c r="E473" t="s">
        <v>106</v>
      </c>
      <c r="F473">
        <v>1.3360000000000001</v>
      </c>
      <c r="G473" t="s">
        <v>14</v>
      </c>
    </row>
    <row r="474" spans="1:7" x14ac:dyDescent="0.25">
      <c r="A474">
        <v>37</v>
      </c>
      <c r="B474" t="s">
        <v>148</v>
      </c>
      <c r="C474">
        <v>50</v>
      </c>
      <c r="D474" t="s">
        <v>107</v>
      </c>
      <c r="E474" t="s">
        <v>15</v>
      </c>
      <c r="F474">
        <v>14.427</v>
      </c>
      <c r="G474" t="s">
        <v>14</v>
      </c>
    </row>
    <row r="475" spans="1:7" x14ac:dyDescent="0.25">
      <c r="A475">
        <v>37</v>
      </c>
      <c r="B475" t="s">
        <v>148</v>
      </c>
      <c r="C475">
        <v>60</v>
      </c>
      <c r="D475" t="s">
        <v>18</v>
      </c>
      <c r="E475" t="s">
        <v>15</v>
      </c>
      <c r="F475">
        <v>88.727000000000004</v>
      </c>
      <c r="G475" t="s">
        <v>14</v>
      </c>
    </row>
    <row r="476" spans="1:7" x14ac:dyDescent="0.25">
      <c r="A476">
        <v>37</v>
      </c>
      <c r="B476" t="s">
        <v>148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37</v>
      </c>
      <c r="B477" t="s">
        <v>148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37</v>
      </c>
      <c r="B478" t="s">
        <v>148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148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148</v>
      </c>
      <c r="C480">
        <v>110</v>
      </c>
      <c r="D480" t="s">
        <v>110</v>
      </c>
      <c r="E480" t="s">
        <v>13</v>
      </c>
      <c r="F480">
        <v>1.2969999999999999</v>
      </c>
      <c r="G480" t="s">
        <v>14</v>
      </c>
    </row>
    <row r="481" spans="1:7" x14ac:dyDescent="0.25">
      <c r="A481">
        <v>37</v>
      </c>
      <c r="B481" t="s">
        <v>148</v>
      </c>
      <c r="C481">
        <v>120</v>
      </c>
      <c r="D481" t="s">
        <v>335</v>
      </c>
      <c r="E481" t="s">
        <v>11</v>
      </c>
      <c r="F481">
        <v>2</v>
      </c>
      <c r="G481" t="s">
        <v>16</v>
      </c>
    </row>
    <row r="482" spans="1:7" x14ac:dyDescent="0.25">
      <c r="A482">
        <v>37</v>
      </c>
      <c r="B482" t="s">
        <v>148</v>
      </c>
      <c r="C482">
        <v>130</v>
      </c>
      <c r="D482" t="s">
        <v>188</v>
      </c>
      <c r="E482" t="s">
        <v>11</v>
      </c>
      <c r="F482">
        <v>2</v>
      </c>
      <c r="G482" t="s">
        <v>16</v>
      </c>
    </row>
    <row r="483" spans="1:7" x14ac:dyDescent="0.25">
      <c r="A483">
        <v>38</v>
      </c>
      <c r="B483" t="s">
        <v>149</v>
      </c>
      <c r="C483">
        <v>10</v>
      </c>
      <c r="D483" t="s">
        <v>336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149</v>
      </c>
      <c r="C484">
        <v>20</v>
      </c>
      <c r="D484" t="s">
        <v>109</v>
      </c>
      <c r="E484" t="s">
        <v>15</v>
      </c>
      <c r="F484">
        <v>4.3179999999999996</v>
      </c>
      <c r="G484" t="s">
        <v>16</v>
      </c>
    </row>
    <row r="485" spans="1:7" x14ac:dyDescent="0.25">
      <c r="A485">
        <v>38</v>
      </c>
      <c r="B485" t="s">
        <v>149</v>
      </c>
      <c r="C485">
        <v>30</v>
      </c>
      <c r="D485" t="s">
        <v>18</v>
      </c>
      <c r="E485" t="s">
        <v>15</v>
      </c>
      <c r="F485">
        <v>115.824</v>
      </c>
      <c r="G485" t="s">
        <v>14</v>
      </c>
    </row>
    <row r="486" spans="1:7" x14ac:dyDescent="0.25">
      <c r="A486">
        <v>38</v>
      </c>
      <c r="B486" t="s">
        <v>149</v>
      </c>
      <c r="C486">
        <v>40</v>
      </c>
      <c r="D486" t="s">
        <v>105</v>
      </c>
      <c r="E486" t="s">
        <v>106</v>
      </c>
      <c r="F486">
        <v>1.4119999999999999</v>
      </c>
      <c r="G486" t="s">
        <v>14</v>
      </c>
    </row>
    <row r="487" spans="1:7" x14ac:dyDescent="0.25">
      <c r="A487">
        <v>38</v>
      </c>
      <c r="B487" t="s">
        <v>149</v>
      </c>
      <c r="C487">
        <v>50</v>
      </c>
      <c r="D487" t="s">
        <v>107</v>
      </c>
      <c r="E487" t="s">
        <v>15</v>
      </c>
      <c r="F487">
        <v>14.731999999999999</v>
      </c>
      <c r="G487" t="s">
        <v>14</v>
      </c>
    </row>
    <row r="488" spans="1:7" x14ac:dyDescent="0.25">
      <c r="A488">
        <v>38</v>
      </c>
      <c r="B488" t="s">
        <v>149</v>
      </c>
      <c r="C488">
        <v>60</v>
      </c>
      <c r="D488" t="s">
        <v>18</v>
      </c>
      <c r="E488" t="s">
        <v>15</v>
      </c>
      <c r="F488">
        <v>90.602000000000004</v>
      </c>
      <c r="G488" t="s">
        <v>14</v>
      </c>
    </row>
    <row r="489" spans="1:7" x14ac:dyDescent="0.25">
      <c r="A489">
        <v>38</v>
      </c>
      <c r="B489" t="s">
        <v>149</v>
      </c>
      <c r="C489">
        <v>70</v>
      </c>
      <c r="D489" t="s">
        <v>112</v>
      </c>
      <c r="E489" t="s">
        <v>11</v>
      </c>
      <c r="F489">
        <v>4</v>
      </c>
      <c r="G489" t="s">
        <v>14</v>
      </c>
    </row>
    <row r="490" spans="1:7" x14ac:dyDescent="0.25">
      <c r="A490">
        <v>38</v>
      </c>
      <c r="B490" t="s">
        <v>149</v>
      </c>
      <c r="C490">
        <v>80</v>
      </c>
      <c r="D490" t="s">
        <v>21</v>
      </c>
      <c r="E490" t="s">
        <v>11</v>
      </c>
      <c r="F490">
        <v>1</v>
      </c>
      <c r="G490" t="s">
        <v>14</v>
      </c>
    </row>
    <row r="491" spans="1:7" x14ac:dyDescent="0.25">
      <c r="A491">
        <v>38</v>
      </c>
      <c r="B491" t="s">
        <v>149</v>
      </c>
      <c r="C491">
        <v>90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149</v>
      </c>
      <c r="C492">
        <v>100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149</v>
      </c>
      <c r="C493">
        <v>110</v>
      </c>
      <c r="D493" t="s">
        <v>110</v>
      </c>
      <c r="E493" t="s">
        <v>13</v>
      </c>
      <c r="F493">
        <v>1.2969999999999999</v>
      </c>
      <c r="G493" t="s">
        <v>14</v>
      </c>
    </row>
    <row r="494" spans="1:7" x14ac:dyDescent="0.25">
      <c r="A494">
        <v>38</v>
      </c>
      <c r="B494" t="s">
        <v>149</v>
      </c>
      <c r="C494">
        <v>120</v>
      </c>
      <c r="D494" t="s">
        <v>337</v>
      </c>
      <c r="E494" t="s">
        <v>11</v>
      </c>
      <c r="F494">
        <v>2</v>
      </c>
      <c r="G494" t="s">
        <v>16</v>
      </c>
    </row>
    <row r="495" spans="1:7" x14ac:dyDescent="0.25">
      <c r="A495">
        <v>38</v>
      </c>
      <c r="B495" t="s">
        <v>149</v>
      </c>
      <c r="C495">
        <v>130</v>
      </c>
      <c r="D495" t="s">
        <v>189</v>
      </c>
      <c r="E495" t="s">
        <v>11</v>
      </c>
      <c r="F495">
        <v>2</v>
      </c>
      <c r="G495" t="s">
        <v>16</v>
      </c>
    </row>
    <row r="496" spans="1:7" x14ac:dyDescent="0.25">
      <c r="A496">
        <v>39</v>
      </c>
      <c r="B496" t="s">
        <v>150</v>
      </c>
      <c r="C496">
        <v>10</v>
      </c>
      <c r="D496" t="s">
        <v>338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150</v>
      </c>
      <c r="C497">
        <v>20</v>
      </c>
      <c r="D497" t="s">
        <v>109</v>
      </c>
      <c r="E497" t="s">
        <v>15</v>
      </c>
      <c r="F497">
        <v>4.3179999999999996</v>
      </c>
      <c r="G497" t="s">
        <v>16</v>
      </c>
    </row>
    <row r="498" spans="1:7" x14ac:dyDescent="0.25">
      <c r="A498">
        <v>39</v>
      </c>
      <c r="B498" t="s">
        <v>150</v>
      </c>
      <c r="C498">
        <v>30</v>
      </c>
      <c r="D498" t="s">
        <v>18</v>
      </c>
      <c r="E498" t="s">
        <v>15</v>
      </c>
      <c r="F498">
        <v>120.70099999999999</v>
      </c>
      <c r="G498" t="s">
        <v>14</v>
      </c>
    </row>
    <row r="499" spans="1:7" x14ac:dyDescent="0.25">
      <c r="A499">
        <v>39</v>
      </c>
      <c r="B499" t="s">
        <v>150</v>
      </c>
      <c r="C499">
        <v>40</v>
      </c>
      <c r="D499" t="s">
        <v>105</v>
      </c>
      <c r="E499" t="s">
        <v>106</v>
      </c>
      <c r="F499">
        <v>1.5629999999999999</v>
      </c>
      <c r="G499" t="s">
        <v>14</v>
      </c>
    </row>
    <row r="500" spans="1:7" x14ac:dyDescent="0.25">
      <c r="A500">
        <v>39</v>
      </c>
      <c r="B500" t="s">
        <v>150</v>
      </c>
      <c r="C500">
        <v>50</v>
      </c>
      <c r="D500" t="s">
        <v>107</v>
      </c>
      <c r="E500" t="s">
        <v>15</v>
      </c>
      <c r="F500">
        <v>15.342000000000001</v>
      </c>
      <c r="G500" t="s">
        <v>14</v>
      </c>
    </row>
    <row r="501" spans="1:7" x14ac:dyDescent="0.25">
      <c r="A501">
        <v>39</v>
      </c>
      <c r="B501" t="s">
        <v>150</v>
      </c>
      <c r="C501">
        <v>60</v>
      </c>
      <c r="D501" t="s">
        <v>18</v>
      </c>
      <c r="E501" t="s">
        <v>15</v>
      </c>
      <c r="F501">
        <v>94.350999999999999</v>
      </c>
      <c r="G501" t="s">
        <v>14</v>
      </c>
    </row>
    <row r="502" spans="1:7" x14ac:dyDescent="0.25">
      <c r="A502">
        <v>39</v>
      </c>
      <c r="B502" t="s">
        <v>150</v>
      </c>
      <c r="C502">
        <v>70</v>
      </c>
      <c r="D502" t="s">
        <v>112</v>
      </c>
      <c r="E502" t="s">
        <v>11</v>
      </c>
      <c r="F502">
        <v>4</v>
      </c>
      <c r="G502" t="s">
        <v>14</v>
      </c>
    </row>
    <row r="503" spans="1:7" x14ac:dyDescent="0.25">
      <c r="A503">
        <v>39</v>
      </c>
      <c r="B503" t="s">
        <v>150</v>
      </c>
      <c r="C503">
        <v>80</v>
      </c>
      <c r="D503" t="s">
        <v>21</v>
      </c>
      <c r="E503" t="s">
        <v>11</v>
      </c>
      <c r="F503">
        <v>1</v>
      </c>
      <c r="G503" t="s">
        <v>14</v>
      </c>
    </row>
    <row r="504" spans="1:7" x14ac:dyDescent="0.25">
      <c r="A504">
        <v>39</v>
      </c>
      <c r="B504" t="s">
        <v>150</v>
      </c>
      <c r="C504">
        <v>90</v>
      </c>
      <c r="D504" t="s">
        <v>22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150</v>
      </c>
      <c r="C505">
        <v>100</v>
      </c>
      <c r="D505" t="s">
        <v>23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150</v>
      </c>
      <c r="C506">
        <v>110</v>
      </c>
      <c r="D506" t="s">
        <v>110</v>
      </c>
      <c r="E506" t="s">
        <v>13</v>
      </c>
      <c r="F506">
        <v>1.2969999999999999</v>
      </c>
      <c r="G506" t="s">
        <v>14</v>
      </c>
    </row>
    <row r="507" spans="1:7" x14ac:dyDescent="0.25">
      <c r="A507">
        <v>39</v>
      </c>
      <c r="B507" t="s">
        <v>150</v>
      </c>
      <c r="C507">
        <v>120</v>
      </c>
      <c r="D507" t="s">
        <v>339</v>
      </c>
      <c r="E507" t="s">
        <v>11</v>
      </c>
      <c r="F507">
        <v>2</v>
      </c>
      <c r="G507" t="s">
        <v>16</v>
      </c>
    </row>
    <row r="508" spans="1:7" x14ac:dyDescent="0.25">
      <c r="A508">
        <v>39</v>
      </c>
      <c r="B508" t="s">
        <v>150</v>
      </c>
      <c r="C508">
        <v>130</v>
      </c>
      <c r="D508" t="s">
        <v>190</v>
      </c>
      <c r="E508" t="s">
        <v>11</v>
      </c>
      <c r="F508">
        <v>2</v>
      </c>
      <c r="G508" t="s">
        <v>16</v>
      </c>
    </row>
    <row r="509" spans="1:7" x14ac:dyDescent="0.25">
      <c r="A509">
        <v>40</v>
      </c>
      <c r="B509" t="s">
        <v>151</v>
      </c>
      <c r="C509">
        <v>10</v>
      </c>
      <c r="D509" t="s">
        <v>340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151</v>
      </c>
      <c r="C510">
        <v>20</v>
      </c>
      <c r="D510" t="s">
        <v>109</v>
      </c>
      <c r="E510" t="s">
        <v>15</v>
      </c>
      <c r="F510">
        <v>4.3179999999999996</v>
      </c>
      <c r="G510" t="s">
        <v>16</v>
      </c>
    </row>
    <row r="511" spans="1:7" x14ac:dyDescent="0.25">
      <c r="A511">
        <v>40</v>
      </c>
      <c r="B511" t="s">
        <v>151</v>
      </c>
      <c r="C511">
        <v>30</v>
      </c>
      <c r="D511" t="s">
        <v>18</v>
      </c>
      <c r="E511" t="s">
        <v>15</v>
      </c>
      <c r="F511">
        <v>125.578</v>
      </c>
      <c r="G511" t="s">
        <v>14</v>
      </c>
    </row>
    <row r="512" spans="1:7" x14ac:dyDescent="0.25">
      <c r="A512">
        <v>40</v>
      </c>
      <c r="B512" t="s">
        <v>151</v>
      </c>
      <c r="C512">
        <v>40</v>
      </c>
      <c r="D512" t="s">
        <v>105</v>
      </c>
      <c r="E512" t="s">
        <v>106</v>
      </c>
      <c r="F512">
        <v>1.714</v>
      </c>
      <c r="G512" t="s">
        <v>14</v>
      </c>
    </row>
    <row r="513" spans="1:7" x14ac:dyDescent="0.25">
      <c r="A513">
        <v>40</v>
      </c>
      <c r="B513" t="s">
        <v>151</v>
      </c>
      <c r="C513">
        <v>50</v>
      </c>
      <c r="D513" t="s">
        <v>107</v>
      </c>
      <c r="E513" t="s">
        <v>15</v>
      </c>
      <c r="F513">
        <v>15.951000000000001</v>
      </c>
      <c r="G513" t="s">
        <v>14</v>
      </c>
    </row>
    <row r="514" spans="1:7" x14ac:dyDescent="0.25">
      <c r="A514">
        <v>40</v>
      </c>
      <c r="B514" t="s">
        <v>151</v>
      </c>
      <c r="C514">
        <v>60</v>
      </c>
      <c r="D514" t="s">
        <v>18</v>
      </c>
      <c r="E514" t="s">
        <v>15</v>
      </c>
      <c r="F514">
        <v>98.1</v>
      </c>
      <c r="G514" t="s">
        <v>14</v>
      </c>
    </row>
    <row r="515" spans="1:7" x14ac:dyDescent="0.25">
      <c r="A515">
        <v>40</v>
      </c>
      <c r="B515" t="s">
        <v>151</v>
      </c>
      <c r="C515">
        <v>70</v>
      </c>
      <c r="D515" t="s">
        <v>112</v>
      </c>
      <c r="E515" t="s">
        <v>11</v>
      </c>
      <c r="F515">
        <v>4</v>
      </c>
      <c r="G515" t="s">
        <v>14</v>
      </c>
    </row>
    <row r="516" spans="1:7" x14ac:dyDescent="0.25">
      <c r="A516">
        <v>40</v>
      </c>
      <c r="B516" t="s">
        <v>151</v>
      </c>
      <c r="C516">
        <v>80</v>
      </c>
      <c r="D516" t="s">
        <v>21</v>
      </c>
      <c r="E516" t="s">
        <v>11</v>
      </c>
      <c r="F516">
        <v>1</v>
      </c>
      <c r="G516" t="s">
        <v>14</v>
      </c>
    </row>
    <row r="517" spans="1:7" x14ac:dyDescent="0.25">
      <c r="A517">
        <v>40</v>
      </c>
      <c r="B517" t="s">
        <v>151</v>
      </c>
      <c r="C517">
        <v>90</v>
      </c>
      <c r="D517" t="s">
        <v>22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151</v>
      </c>
      <c r="C518">
        <v>100</v>
      </c>
      <c r="D518" t="s">
        <v>23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151</v>
      </c>
      <c r="C519">
        <v>110</v>
      </c>
      <c r="D519" t="s">
        <v>110</v>
      </c>
      <c r="E519" t="s">
        <v>13</v>
      </c>
      <c r="F519">
        <v>1.2969999999999999</v>
      </c>
      <c r="G519" t="s">
        <v>14</v>
      </c>
    </row>
    <row r="520" spans="1:7" x14ac:dyDescent="0.25">
      <c r="A520">
        <v>40</v>
      </c>
      <c r="B520" t="s">
        <v>151</v>
      </c>
      <c r="C520">
        <v>120</v>
      </c>
      <c r="D520" t="s">
        <v>341</v>
      </c>
      <c r="E520" t="s">
        <v>11</v>
      </c>
      <c r="F520">
        <v>2</v>
      </c>
      <c r="G520" t="s">
        <v>16</v>
      </c>
    </row>
    <row r="521" spans="1:7" x14ac:dyDescent="0.25">
      <c r="A521">
        <v>40</v>
      </c>
      <c r="B521" t="s">
        <v>151</v>
      </c>
      <c r="C521">
        <v>130</v>
      </c>
      <c r="D521" t="s">
        <v>191</v>
      </c>
      <c r="E521" t="s">
        <v>11</v>
      </c>
      <c r="F521">
        <v>2</v>
      </c>
      <c r="G521" t="s">
        <v>16</v>
      </c>
    </row>
    <row r="522" spans="1:7" x14ac:dyDescent="0.25">
      <c r="A522">
        <v>41</v>
      </c>
      <c r="B522" t="s">
        <v>192</v>
      </c>
      <c r="C522">
        <v>10</v>
      </c>
      <c r="D522" t="s">
        <v>342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192</v>
      </c>
      <c r="C523">
        <v>20</v>
      </c>
      <c r="D523" t="s">
        <v>109</v>
      </c>
      <c r="E523" t="s">
        <v>15</v>
      </c>
      <c r="F523">
        <v>1.575</v>
      </c>
      <c r="G523" t="s">
        <v>16</v>
      </c>
    </row>
    <row r="524" spans="1:7" x14ac:dyDescent="0.25">
      <c r="A524">
        <v>41</v>
      </c>
      <c r="B524" t="s">
        <v>192</v>
      </c>
      <c r="C524">
        <v>30</v>
      </c>
      <c r="D524" t="s">
        <v>18</v>
      </c>
      <c r="E524" t="s">
        <v>15</v>
      </c>
      <c r="F524">
        <v>84.125</v>
      </c>
      <c r="G524" t="s">
        <v>14</v>
      </c>
    </row>
    <row r="525" spans="1:7" x14ac:dyDescent="0.25">
      <c r="A525">
        <v>41</v>
      </c>
      <c r="B525" t="s">
        <v>192</v>
      </c>
      <c r="C525">
        <v>40</v>
      </c>
      <c r="D525" t="s">
        <v>105</v>
      </c>
      <c r="E525" t="s">
        <v>106</v>
      </c>
      <c r="F525">
        <v>0.625</v>
      </c>
      <c r="G525" t="s">
        <v>14</v>
      </c>
    </row>
    <row r="526" spans="1:7" x14ac:dyDescent="0.25">
      <c r="A526">
        <v>41</v>
      </c>
      <c r="B526" t="s">
        <v>192</v>
      </c>
      <c r="C526">
        <v>50</v>
      </c>
      <c r="D526" t="s">
        <v>107</v>
      </c>
      <c r="E526" t="s">
        <v>15</v>
      </c>
      <c r="F526">
        <v>10.77</v>
      </c>
      <c r="G526" t="s">
        <v>14</v>
      </c>
    </row>
    <row r="527" spans="1:7" x14ac:dyDescent="0.25">
      <c r="A527">
        <v>41</v>
      </c>
      <c r="B527" t="s">
        <v>192</v>
      </c>
      <c r="C527">
        <v>60</v>
      </c>
      <c r="D527" t="s">
        <v>18</v>
      </c>
      <c r="E527" t="s">
        <v>15</v>
      </c>
      <c r="F527">
        <v>66.233000000000004</v>
      </c>
      <c r="G527" t="s">
        <v>14</v>
      </c>
    </row>
    <row r="528" spans="1:7" x14ac:dyDescent="0.25">
      <c r="A528">
        <v>41</v>
      </c>
      <c r="B528" t="s">
        <v>192</v>
      </c>
      <c r="C528">
        <v>70</v>
      </c>
      <c r="D528" t="s">
        <v>112</v>
      </c>
      <c r="E528" t="s">
        <v>11</v>
      </c>
      <c r="F528">
        <v>4</v>
      </c>
      <c r="G528" t="s">
        <v>14</v>
      </c>
    </row>
    <row r="529" spans="1:7" x14ac:dyDescent="0.25">
      <c r="A529">
        <v>41</v>
      </c>
      <c r="B529" t="s">
        <v>192</v>
      </c>
      <c r="C529">
        <v>80</v>
      </c>
      <c r="D529" t="s">
        <v>21</v>
      </c>
      <c r="E529" t="s">
        <v>11</v>
      </c>
      <c r="F529">
        <v>1</v>
      </c>
      <c r="G529" t="s">
        <v>14</v>
      </c>
    </row>
    <row r="530" spans="1:7" x14ac:dyDescent="0.25">
      <c r="A530">
        <v>41</v>
      </c>
      <c r="B530" t="s">
        <v>192</v>
      </c>
      <c r="C530">
        <v>90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192</v>
      </c>
      <c r="C531">
        <v>100</v>
      </c>
      <c r="D531" t="s">
        <v>23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192</v>
      </c>
      <c r="C532">
        <v>110</v>
      </c>
      <c r="D532" t="s">
        <v>110</v>
      </c>
      <c r="E532" t="s">
        <v>13</v>
      </c>
      <c r="F532">
        <v>0.56699999999999995</v>
      </c>
      <c r="G532" t="s">
        <v>14</v>
      </c>
    </row>
    <row r="533" spans="1:7" x14ac:dyDescent="0.25">
      <c r="A533">
        <v>41</v>
      </c>
      <c r="B533" t="s">
        <v>192</v>
      </c>
      <c r="C533">
        <v>120</v>
      </c>
      <c r="D533" t="s">
        <v>343</v>
      </c>
      <c r="E533" t="s">
        <v>11</v>
      </c>
      <c r="F533">
        <v>2</v>
      </c>
      <c r="G533" t="s">
        <v>16</v>
      </c>
    </row>
    <row r="534" spans="1:7" x14ac:dyDescent="0.25">
      <c r="A534">
        <v>41</v>
      </c>
      <c r="B534" t="s">
        <v>192</v>
      </c>
      <c r="C534">
        <v>130</v>
      </c>
      <c r="D534" t="s">
        <v>193</v>
      </c>
      <c r="E534" t="s">
        <v>11</v>
      </c>
      <c r="F534">
        <v>2</v>
      </c>
      <c r="G534" t="s">
        <v>16</v>
      </c>
    </row>
    <row r="535" spans="1:7" x14ac:dyDescent="0.25">
      <c r="A535">
        <v>42</v>
      </c>
      <c r="B535" t="s">
        <v>194</v>
      </c>
      <c r="C535">
        <v>10</v>
      </c>
      <c r="D535" t="s">
        <v>344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194</v>
      </c>
      <c r="C536">
        <v>20</v>
      </c>
      <c r="D536" t="s">
        <v>109</v>
      </c>
      <c r="E536" t="s">
        <v>15</v>
      </c>
      <c r="F536">
        <v>1.88</v>
      </c>
      <c r="G536" t="s">
        <v>16</v>
      </c>
    </row>
    <row r="537" spans="1:7" x14ac:dyDescent="0.25">
      <c r="A537">
        <v>42</v>
      </c>
      <c r="B537" t="s">
        <v>194</v>
      </c>
      <c r="C537">
        <v>30</v>
      </c>
      <c r="D537" t="s">
        <v>18</v>
      </c>
      <c r="E537" t="s">
        <v>15</v>
      </c>
      <c r="F537">
        <v>89.001999999999995</v>
      </c>
      <c r="G537" t="s">
        <v>14</v>
      </c>
    </row>
    <row r="538" spans="1:7" x14ac:dyDescent="0.25">
      <c r="A538">
        <v>42</v>
      </c>
      <c r="B538" t="s">
        <v>194</v>
      </c>
      <c r="C538">
        <v>40</v>
      </c>
      <c r="D538" t="s">
        <v>105</v>
      </c>
      <c r="E538" t="s">
        <v>106</v>
      </c>
      <c r="F538">
        <v>0.755</v>
      </c>
      <c r="G538" t="s">
        <v>14</v>
      </c>
    </row>
    <row r="539" spans="1:7" x14ac:dyDescent="0.25">
      <c r="A539">
        <v>42</v>
      </c>
      <c r="B539" t="s">
        <v>194</v>
      </c>
      <c r="C539">
        <v>50</v>
      </c>
      <c r="D539" t="s">
        <v>107</v>
      </c>
      <c r="E539" t="s">
        <v>15</v>
      </c>
      <c r="F539">
        <v>11.379</v>
      </c>
      <c r="G539" t="s">
        <v>14</v>
      </c>
    </row>
    <row r="540" spans="1:7" x14ac:dyDescent="0.25">
      <c r="A540">
        <v>42</v>
      </c>
      <c r="B540" t="s">
        <v>194</v>
      </c>
      <c r="C540">
        <v>60</v>
      </c>
      <c r="D540" t="s">
        <v>18</v>
      </c>
      <c r="E540" t="s">
        <v>15</v>
      </c>
      <c r="F540">
        <v>69.981999999999999</v>
      </c>
      <c r="G540" t="s">
        <v>14</v>
      </c>
    </row>
    <row r="541" spans="1:7" x14ac:dyDescent="0.25">
      <c r="A541">
        <v>42</v>
      </c>
      <c r="B541" t="s">
        <v>194</v>
      </c>
      <c r="C541">
        <v>70</v>
      </c>
      <c r="D541" t="s">
        <v>112</v>
      </c>
      <c r="E541" t="s">
        <v>11</v>
      </c>
      <c r="F541">
        <v>4</v>
      </c>
      <c r="G541" t="s">
        <v>14</v>
      </c>
    </row>
    <row r="542" spans="1:7" x14ac:dyDescent="0.25">
      <c r="A542">
        <v>42</v>
      </c>
      <c r="B542" t="s">
        <v>194</v>
      </c>
      <c r="C542">
        <v>80</v>
      </c>
      <c r="D542" t="s">
        <v>21</v>
      </c>
      <c r="E542" t="s">
        <v>11</v>
      </c>
      <c r="F542">
        <v>1</v>
      </c>
      <c r="G542" t="s">
        <v>14</v>
      </c>
    </row>
    <row r="543" spans="1:7" x14ac:dyDescent="0.25">
      <c r="A543">
        <v>42</v>
      </c>
      <c r="B543" t="s">
        <v>194</v>
      </c>
      <c r="C543">
        <v>90</v>
      </c>
      <c r="D543" t="s">
        <v>22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194</v>
      </c>
      <c r="C544">
        <v>100</v>
      </c>
      <c r="D544" t="s">
        <v>23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194</v>
      </c>
      <c r="C545">
        <v>110</v>
      </c>
      <c r="D545" t="s">
        <v>110</v>
      </c>
      <c r="E545" t="s">
        <v>13</v>
      </c>
      <c r="F545">
        <v>0.64900000000000002</v>
      </c>
      <c r="G545" t="s">
        <v>14</v>
      </c>
    </row>
    <row r="546" spans="1:7" x14ac:dyDescent="0.25">
      <c r="A546">
        <v>42</v>
      </c>
      <c r="B546" t="s">
        <v>194</v>
      </c>
      <c r="C546">
        <v>120</v>
      </c>
      <c r="D546" t="s">
        <v>345</v>
      </c>
      <c r="E546" t="s">
        <v>11</v>
      </c>
      <c r="F546">
        <v>2</v>
      </c>
      <c r="G546" t="s">
        <v>16</v>
      </c>
    </row>
    <row r="547" spans="1:7" x14ac:dyDescent="0.25">
      <c r="A547">
        <v>42</v>
      </c>
      <c r="B547" t="s">
        <v>194</v>
      </c>
      <c r="C547">
        <v>130</v>
      </c>
      <c r="D547" t="s">
        <v>195</v>
      </c>
      <c r="E547" t="s">
        <v>11</v>
      </c>
      <c r="F547">
        <v>2</v>
      </c>
      <c r="G547" t="s">
        <v>16</v>
      </c>
    </row>
    <row r="548" spans="1:7" x14ac:dyDescent="0.25">
      <c r="A548">
        <v>43</v>
      </c>
      <c r="B548" t="s">
        <v>196</v>
      </c>
      <c r="C548">
        <v>10</v>
      </c>
      <c r="D548" t="s">
        <v>346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196</v>
      </c>
      <c r="C549">
        <v>20</v>
      </c>
      <c r="D549" t="s">
        <v>109</v>
      </c>
      <c r="E549" t="s">
        <v>15</v>
      </c>
      <c r="F549">
        <v>2.1840000000000002</v>
      </c>
      <c r="G549" t="s">
        <v>16</v>
      </c>
    </row>
    <row r="550" spans="1:7" x14ac:dyDescent="0.25">
      <c r="A550">
        <v>43</v>
      </c>
      <c r="B550" t="s">
        <v>196</v>
      </c>
      <c r="C550">
        <v>30</v>
      </c>
      <c r="D550" t="s">
        <v>18</v>
      </c>
      <c r="E550" t="s">
        <v>15</v>
      </c>
      <c r="F550">
        <v>93.878</v>
      </c>
      <c r="G550" t="s">
        <v>14</v>
      </c>
    </row>
    <row r="551" spans="1:7" x14ac:dyDescent="0.25">
      <c r="A551">
        <v>43</v>
      </c>
      <c r="B551" t="s">
        <v>196</v>
      </c>
      <c r="C551">
        <v>40</v>
      </c>
      <c r="D551" t="s">
        <v>105</v>
      </c>
      <c r="E551" t="s">
        <v>106</v>
      </c>
      <c r="F551">
        <v>0.88400000000000001</v>
      </c>
      <c r="G551" t="s">
        <v>14</v>
      </c>
    </row>
    <row r="552" spans="1:7" x14ac:dyDescent="0.25">
      <c r="A552">
        <v>43</v>
      </c>
      <c r="B552" t="s">
        <v>196</v>
      </c>
      <c r="C552">
        <v>50</v>
      </c>
      <c r="D552" t="s">
        <v>107</v>
      </c>
      <c r="E552" t="s">
        <v>15</v>
      </c>
      <c r="F552">
        <v>11.989000000000001</v>
      </c>
      <c r="G552" t="s">
        <v>14</v>
      </c>
    </row>
    <row r="553" spans="1:7" x14ac:dyDescent="0.25">
      <c r="A553">
        <v>43</v>
      </c>
      <c r="B553" t="s">
        <v>196</v>
      </c>
      <c r="C553">
        <v>60</v>
      </c>
      <c r="D553" t="s">
        <v>18</v>
      </c>
      <c r="E553" t="s">
        <v>15</v>
      </c>
      <c r="F553">
        <v>73.730999999999995</v>
      </c>
      <c r="G553" t="s">
        <v>14</v>
      </c>
    </row>
    <row r="554" spans="1:7" x14ac:dyDescent="0.25">
      <c r="A554">
        <v>43</v>
      </c>
      <c r="B554" t="s">
        <v>196</v>
      </c>
      <c r="C554">
        <v>70</v>
      </c>
      <c r="D554" t="s">
        <v>112</v>
      </c>
      <c r="E554" t="s">
        <v>11</v>
      </c>
      <c r="F554">
        <v>4</v>
      </c>
      <c r="G554" t="s">
        <v>14</v>
      </c>
    </row>
    <row r="555" spans="1:7" x14ac:dyDescent="0.25">
      <c r="A555">
        <v>43</v>
      </c>
      <c r="B555" t="s">
        <v>196</v>
      </c>
      <c r="C555">
        <v>80</v>
      </c>
      <c r="D555" t="s">
        <v>21</v>
      </c>
      <c r="E555" t="s">
        <v>11</v>
      </c>
      <c r="F555">
        <v>1</v>
      </c>
      <c r="G555" t="s">
        <v>14</v>
      </c>
    </row>
    <row r="556" spans="1:7" x14ac:dyDescent="0.25">
      <c r="A556">
        <v>43</v>
      </c>
      <c r="B556" t="s">
        <v>196</v>
      </c>
      <c r="C556">
        <v>90</v>
      </c>
      <c r="D556" t="s">
        <v>22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196</v>
      </c>
      <c r="C557">
        <v>100</v>
      </c>
      <c r="D557" t="s">
        <v>23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196</v>
      </c>
      <c r="C558">
        <v>110</v>
      </c>
      <c r="D558" t="s">
        <v>110</v>
      </c>
      <c r="E558" t="s">
        <v>13</v>
      </c>
      <c r="F558">
        <v>0.73</v>
      </c>
      <c r="G558" t="s">
        <v>14</v>
      </c>
    </row>
    <row r="559" spans="1:7" x14ac:dyDescent="0.25">
      <c r="A559">
        <v>43</v>
      </c>
      <c r="B559" t="s">
        <v>196</v>
      </c>
      <c r="C559">
        <v>120</v>
      </c>
      <c r="D559" t="s">
        <v>347</v>
      </c>
      <c r="E559" t="s">
        <v>11</v>
      </c>
      <c r="F559">
        <v>2</v>
      </c>
      <c r="G559" t="s">
        <v>16</v>
      </c>
    </row>
    <row r="560" spans="1:7" x14ac:dyDescent="0.25">
      <c r="A560">
        <v>43</v>
      </c>
      <c r="B560" t="s">
        <v>196</v>
      </c>
      <c r="C560">
        <v>130</v>
      </c>
      <c r="D560" t="s">
        <v>197</v>
      </c>
      <c r="E560" t="s">
        <v>11</v>
      </c>
      <c r="F560">
        <v>2</v>
      </c>
      <c r="G560" t="s">
        <v>16</v>
      </c>
    </row>
    <row r="561" spans="1:7" x14ac:dyDescent="0.25">
      <c r="A561">
        <v>44</v>
      </c>
      <c r="B561" t="s">
        <v>198</v>
      </c>
      <c r="C561">
        <v>10</v>
      </c>
      <c r="D561" t="s">
        <v>348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198</v>
      </c>
      <c r="C562">
        <v>20</v>
      </c>
      <c r="D562" t="s">
        <v>109</v>
      </c>
      <c r="E562" t="s">
        <v>15</v>
      </c>
      <c r="F562">
        <v>2.4889999999999999</v>
      </c>
      <c r="G562" t="s">
        <v>16</v>
      </c>
    </row>
    <row r="563" spans="1:7" x14ac:dyDescent="0.25">
      <c r="A563">
        <v>44</v>
      </c>
      <c r="B563" t="s">
        <v>198</v>
      </c>
      <c r="C563">
        <v>30</v>
      </c>
      <c r="D563" t="s">
        <v>18</v>
      </c>
      <c r="E563" t="s">
        <v>15</v>
      </c>
      <c r="F563">
        <v>98.754999999999995</v>
      </c>
      <c r="G563" t="s">
        <v>14</v>
      </c>
    </row>
    <row r="564" spans="1:7" x14ac:dyDescent="0.25">
      <c r="A564">
        <v>44</v>
      </c>
      <c r="B564" t="s">
        <v>198</v>
      </c>
      <c r="C564">
        <v>40</v>
      </c>
      <c r="D564" t="s">
        <v>105</v>
      </c>
      <c r="E564" t="s">
        <v>106</v>
      </c>
      <c r="F564">
        <v>1.014</v>
      </c>
      <c r="G564" t="s">
        <v>14</v>
      </c>
    </row>
    <row r="565" spans="1:7" x14ac:dyDescent="0.25">
      <c r="A565">
        <v>44</v>
      </c>
      <c r="B565" t="s">
        <v>198</v>
      </c>
      <c r="C565">
        <v>50</v>
      </c>
      <c r="D565" t="s">
        <v>107</v>
      </c>
      <c r="E565" t="s">
        <v>15</v>
      </c>
      <c r="F565">
        <v>12.598000000000001</v>
      </c>
      <c r="G565" t="s">
        <v>14</v>
      </c>
    </row>
    <row r="566" spans="1:7" x14ac:dyDescent="0.25">
      <c r="A566">
        <v>44</v>
      </c>
      <c r="B566" t="s">
        <v>198</v>
      </c>
      <c r="C566">
        <v>60</v>
      </c>
      <c r="D566" t="s">
        <v>18</v>
      </c>
      <c r="E566" t="s">
        <v>15</v>
      </c>
      <c r="F566">
        <v>77.48</v>
      </c>
      <c r="G566" t="s">
        <v>14</v>
      </c>
    </row>
    <row r="567" spans="1:7" x14ac:dyDescent="0.25">
      <c r="A567">
        <v>44</v>
      </c>
      <c r="B567" t="s">
        <v>198</v>
      </c>
      <c r="C567">
        <v>70</v>
      </c>
      <c r="D567" t="s">
        <v>112</v>
      </c>
      <c r="E567" t="s">
        <v>11</v>
      </c>
      <c r="F567">
        <v>4</v>
      </c>
      <c r="G567" t="s">
        <v>14</v>
      </c>
    </row>
    <row r="568" spans="1:7" x14ac:dyDescent="0.25">
      <c r="A568">
        <v>44</v>
      </c>
      <c r="B568" t="s">
        <v>198</v>
      </c>
      <c r="C568">
        <v>80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44</v>
      </c>
      <c r="B569" t="s">
        <v>198</v>
      </c>
      <c r="C569">
        <v>90</v>
      </c>
      <c r="D569" t="s">
        <v>22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198</v>
      </c>
      <c r="C570">
        <v>100</v>
      </c>
      <c r="D570" t="s">
        <v>23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198</v>
      </c>
      <c r="C571">
        <v>110</v>
      </c>
      <c r="D571" t="s">
        <v>110</v>
      </c>
      <c r="E571" t="s">
        <v>13</v>
      </c>
      <c r="F571">
        <v>0.81100000000000005</v>
      </c>
      <c r="G571" t="s">
        <v>14</v>
      </c>
    </row>
    <row r="572" spans="1:7" x14ac:dyDescent="0.25">
      <c r="A572">
        <v>44</v>
      </c>
      <c r="B572" t="s">
        <v>198</v>
      </c>
      <c r="C572">
        <v>120</v>
      </c>
      <c r="D572" t="s">
        <v>349</v>
      </c>
      <c r="E572" t="s">
        <v>11</v>
      </c>
      <c r="F572">
        <v>2</v>
      </c>
      <c r="G572" t="s">
        <v>16</v>
      </c>
    </row>
    <row r="573" spans="1:7" x14ac:dyDescent="0.25">
      <c r="A573">
        <v>44</v>
      </c>
      <c r="B573" t="s">
        <v>198</v>
      </c>
      <c r="C573">
        <v>130</v>
      </c>
      <c r="D573" t="s">
        <v>199</v>
      </c>
      <c r="E573" t="s">
        <v>11</v>
      </c>
      <c r="F573">
        <v>2</v>
      </c>
      <c r="G573" t="s">
        <v>16</v>
      </c>
    </row>
    <row r="574" spans="1:7" x14ac:dyDescent="0.25">
      <c r="A574">
        <v>45</v>
      </c>
      <c r="B574" t="s">
        <v>200</v>
      </c>
      <c r="C574">
        <v>10</v>
      </c>
      <c r="D574" t="s">
        <v>350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200</v>
      </c>
      <c r="C575">
        <v>20</v>
      </c>
      <c r="D575" t="s">
        <v>109</v>
      </c>
      <c r="E575" t="s">
        <v>15</v>
      </c>
      <c r="F575">
        <v>3.0990000000000002</v>
      </c>
      <c r="G575" t="s">
        <v>16</v>
      </c>
    </row>
    <row r="576" spans="1:7" x14ac:dyDescent="0.25">
      <c r="A576">
        <v>45</v>
      </c>
      <c r="B576" t="s">
        <v>200</v>
      </c>
      <c r="C576">
        <v>30</v>
      </c>
      <c r="D576" t="s">
        <v>18</v>
      </c>
      <c r="E576" t="s">
        <v>15</v>
      </c>
      <c r="F576">
        <v>108.509</v>
      </c>
      <c r="G576" t="s">
        <v>14</v>
      </c>
    </row>
    <row r="577" spans="1:7" x14ac:dyDescent="0.25">
      <c r="A577">
        <v>45</v>
      </c>
      <c r="B577" t="s">
        <v>200</v>
      </c>
      <c r="C577">
        <v>40</v>
      </c>
      <c r="D577" t="s">
        <v>105</v>
      </c>
      <c r="E577" t="s">
        <v>106</v>
      </c>
      <c r="F577">
        <v>1.272</v>
      </c>
      <c r="G577" t="s">
        <v>14</v>
      </c>
    </row>
    <row r="578" spans="1:7" x14ac:dyDescent="0.25">
      <c r="A578">
        <v>45</v>
      </c>
      <c r="B578" t="s">
        <v>200</v>
      </c>
      <c r="C578">
        <v>50</v>
      </c>
      <c r="D578" t="s">
        <v>107</v>
      </c>
      <c r="E578" t="s">
        <v>15</v>
      </c>
      <c r="F578">
        <v>13.818</v>
      </c>
      <c r="G578" t="s">
        <v>14</v>
      </c>
    </row>
    <row r="579" spans="1:7" x14ac:dyDescent="0.25">
      <c r="A579">
        <v>45</v>
      </c>
      <c r="B579" t="s">
        <v>200</v>
      </c>
      <c r="C579">
        <v>60</v>
      </c>
      <c r="D579" t="s">
        <v>18</v>
      </c>
      <c r="E579" t="s">
        <v>15</v>
      </c>
      <c r="F579">
        <v>84.977999999999994</v>
      </c>
      <c r="G579" t="s">
        <v>14</v>
      </c>
    </row>
    <row r="580" spans="1:7" x14ac:dyDescent="0.25">
      <c r="A580">
        <v>45</v>
      </c>
      <c r="B580" t="s">
        <v>200</v>
      </c>
      <c r="C580">
        <v>70</v>
      </c>
      <c r="D580" t="s">
        <v>112</v>
      </c>
      <c r="E580" t="s">
        <v>11</v>
      </c>
      <c r="F580">
        <v>4</v>
      </c>
      <c r="G580" t="s">
        <v>14</v>
      </c>
    </row>
    <row r="581" spans="1:7" x14ac:dyDescent="0.25">
      <c r="A581">
        <v>45</v>
      </c>
      <c r="B581" t="s">
        <v>200</v>
      </c>
      <c r="C581">
        <v>80</v>
      </c>
      <c r="D581" t="s">
        <v>21</v>
      </c>
      <c r="E581" t="s">
        <v>11</v>
      </c>
      <c r="F581">
        <v>1</v>
      </c>
      <c r="G581" t="s">
        <v>14</v>
      </c>
    </row>
    <row r="582" spans="1:7" x14ac:dyDescent="0.25">
      <c r="A582">
        <v>45</v>
      </c>
      <c r="B582" t="s">
        <v>200</v>
      </c>
      <c r="C582">
        <v>90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200</v>
      </c>
      <c r="C583">
        <v>100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200</v>
      </c>
      <c r="C584">
        <v>110</v>
      </c>
      <c r="D584" t="s">
        <v>110</v>
      </c>
      <c r="E584" t="s">
        <v>13</v>
      </c>
      <c r="F584">
        <v>0.97299999999999998</v>
      </c>
      <c r="G584" t="s">
        <v>14</v>
      </c>
    </row>
    <row r="585" spans="1:7" x14ac:dyDescent="0.25">
      <c r="A585">
        <v>45</v>
      </c>
      <c r="B585" t="s">
        <v>200</v>
      </c>
      <c r="C585">
        <v>120</v>
      </c>
      <c r="D585" t="s">
        <v>351</v>
      </c>
      <c r="E585" t="s">
        <v>11</v>
      </c>
      <c r="F585">
        <v>2</v>
      </c>
      <c r="G585" t="s">
        <v>16</v>
      </c>
    </row>
    <row r="586" spans="1:7" x14ac:dyDescent="0.25">
      <c r="A586">
        <v>45</v>
      </c>
      <c r="B586" t="s">
        <v>200</v>
      </c>
      <c r="C586">
        <v>130</v>
      </c>
      <c r="D586" t="s">
        <v>201</v>
      </c>
      <c r="E586" t="s">
        <v>11</v>
      </c>
      <c r="F586">
        <v>2</v>
      </c>
      <c r="G586" t="s">
        <v>16</v>
      </c>
    </row>
    <row r="587" spans="1:7" x14ac:dyDescent="0.25">
      <c r="A587">
        <v>46</v>
      </c>
      <c r="B587" t="s">
        <v>202</v>
      </c>
      <c r="C587">
        <v>10</v>
      </c>
      <c r="D587" t="s">
        <v>352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202</v>
      </c>
      <c r="C588">
        <v>20</v>
      </c>
      <c r="D588" t="s">
        <v>109</v>
      </c>
      <c r="E588" t="s">
        <v>15</v>
      </c>
      <c r="F588">
        <v>3.4039999999999999</v>
      </c>
      <c r="G588" t="s">
        <v>16</v>
      </c>
    </row>
    <row r="589" spans="1:7" x14ac:dyDescent="0.25">
      <c r="A589">
        <v>46</v>
      </c>
      <c r="B589" t="s">
        <v>202</v>
      </c>
      <c r="C589">
        <v>30</v>
      </c>
      <c r="D589" t="s">
        <v>18</v>
      </c>
      <c r="E589" t="s">
        <v>15</v>
      </c>
      <c r="F589">
        <v>113.386</v>
      </c>
      <c r="G589" t="s">
        <v>14</v>
      </c>
    </row>
    <row r="590" spans="1:7" x14ac:dyDescent="0.25">
      <c r="A590">
        <v>46</v>
      </c>
      <c r="B590" t="s">
        <v>202</v>
      </c>
      <c r="C590">
        <v>40</v>
      </c>
      <c r="D590" t="s">
        <v>105</v>
      </c>
      <c r="E590" t="s">
        <v>106</v>
      </c>
      <c r="F590">
        <v>1.4019999999999999</v>
      </c>
      <c r="G590" t="s">
        <v>14</v>
      </c>
    </row>
    <row r="591" spans="1:7" x14ac:dyDescent="0.25">
      <c r="A591">
        <v>46</v>
      </c>
      <c r="B591" t="s">
        <v>202</v>
      </c>
      <c r="C591">
        <v>50</v>
      </c>
      <c r="D591" t="s">
        <v>107</v>
      </c>
      <c r="E591" t="s">
        <v>15</v>
      </c>
      <c r="F591">
        <v>14.427</v>
      </c>
      <c r="G591" t="s">
        <v>14</v>
      </c>
    </row>
    <row r="592" spans="1:7" x14ac:dyDescent="0.25">
      <c r="A592">
        <v>46</v>
      </c>
      <c r="B592" t="s">
        <v>202</v>
      </c>
      <c r="C592">
        <v>60</v>
      </c>
      <c r="D592" t="s">
        <v>18</v>
      </c>
      <c r="E592" t="s">
        <v>15</v>
      </c>
      <c r="F592">
        <v>88.727000000000004</v>
      </c>
      <c r="G592" t="s">
        <v>14</v>
      </c>
    </row>
    <row r="593" spans="1:7" x14ac:dyDescent="0.25">
      <c r="A593">
        <v>46</v>
      </c>
      <c r="B593" t="s">
        <v>202</v>
      </c>
      <c r="C593">
        <v>70</v>
      </c>
      <c r="D593" t="s">
        <v>112</v>
      </c>
      <c r="E593" t="s">
        <v>11</v>
      </c>
      <c r="F593">
        <v>4</v>
      </c>
      <c r="G593" t="s">
        <v>14</v>
      </c>
    </row>
    <row r="594" spans="1:7" x14ac:dyDescent="0.25">
      <c r="A594">
        <v>46</v>
      </c>
      <c r="B594" t="s">
        <v>202</v>
      </c>
      <c r="C594">
        <v>80</v>
      </c>
      <c r="D594" t="s">
        <v>21</v>
      </c>
      <c r="E594" t="s">
        <v>11</v>
      </c>
      <c r="F594">
        <v>1</v>
      </c>
      <c r="G594" t="s">
        <v>14</v>
      </c>
    </row>
    <row r="595" spans="1:7" x14ac:dyDescent="0.25">
      <c r="A595">
        <v>46</v>
      </c>
      <c r="B595" t="s">
        <v>202</v>
      </c>
      <c r="C595">
        <v>90</v>
      </c>
      <c r="D595" t="s">
        <v>22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202</v>
      </c>
      <c r="C596">
        <v>100</v>
      </c>
      <c r="D596" t="s">
        <v>23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202</v>
      </c>
      <c r="C597">
        <v>110</v>
      </c>
      <c r="D597" t="s">
        <v>110</v>
      </c>
      <c r="E597" t="s">
        <v>13</v>
      </c>
      <c r="F597">
        <v>1.054</v>
      </c>
      <c r="G597" t="s">
        <v>14</v>
      </c>
    </row>
    <row r="598" spans="1:7" x14ac:dyDescent="0.25">
      <c r="A598">
        <v>46</v>
      </c>
      <c r="B598" t="s">
        <v>202</v>
      </c>
      <c r="C598">
        <v>120</v>
      </c>
      <c r="D598" t="s">
        <v>353</v>
      </c>
      <c r="E598" t="s">
        <v>11</v>
      </c>
      <c r="F598">
        <v>2</v>
      </c>
      <c r="G598" t="s">
        <v>16</v>
      </c>
    </row>
    <row r="599" spans="1:7" x14ac:dyDescent="0.25">
      <c r="A599">
        <v>46</v>
      </c>
      <c r="B599" t="s">
        <v>202</v>
      </c>
      <c r="C599">
        <v>130</v>
      </c>
      <c r="D599" t="s">
        <v>203</v>
      </c>
      <c r="E599" t="s">
        <v>11</v>
      </c>
      <c r="F599">
        <v>2</v>
      </c>
      <c r="G599" t="s">
        <v>16</v>
      </c>
    </row>
    <row r="600" spans="1:7" x14ac:dyDescent="0.25">
      <c r="A600">
        <v>47</v>
      </c>
      <c r="B600" t="s">
        <v>204</v>
      </c>
      <c r="C600">
        <v>10</v>
      </c>
      <c r="D600" t="s">
        <v>354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204</v>
      </c>
      <c r="C601">
        <v>20</v>
      </c>
      <c r="D601" t="s">
        <v>109</v>
      </c>
      <c r="E601" t="s">
        <v>15</v>
      </c>
      <c r="F601">
        <v>3.7080000000000002</v>
      </c>
      <c r="G601" t="s">
        <v>16</v>
      </c>
    </row>
    <row r="602" spans="1:7" x14ac:dyDescent="0.25">
      <c r="A602">
        <v>47</v>
      </c>
      <c r="B602" t="s">
        <v>204</v>
      </c>
      <c r="C602">
        <v>30</v>
      </c>
      <c r="D602" t="s">
        <v>18</v>
      </c>
      <c r="E602" t="s">
        <v>15</v>
      </c>
      <c r="F602">
        <v>118.262</v>
      </c>
      <c r="G602" t="s">
        <v>14</v>
      </c>
    </row>
    <row r="603" spans="1:7" x14ac:dyDescent="0.25">
      <c r="A603">
        <v>47</v>
      </c>
      <c r="B603" t="s">
        <v>204</v>
      </c>
      <c r="C603">
        <v>40</v>
      </c>
      <c r="D603" t="s">
        <v>105</v>
      </c>
      <c r="E603" t="s">
        <v>106</v>
      </c>
      <c r="F603">
        <v>1.5309999999999999</v>
      </c>
      <c r="G603" t="s">
        <v>14</v>
      </c>
    </row>
    <row r="604" spans="1:7" x14ac:dyDescent="0.25">
      <c r="A604">
        <v>47</v>
      </c>
      <c r="B604" t="s">
        <v>204</v>
      </c>
      <c r="C604">
        <v>50</v>
      </c>
      <c r="D604" t="s">
        <v>107</v>
      </c>
      <c r="E604" t="s">
        <v>15</v>
      </c>
      <c r="F604">
        <v>15.037000000000001</v>
      </c>
      <c r="G604" t="s">
        <v>14</v>
      </c>
    </row>
    <row r="605" spans="1:7" x14ac:dyDescent="0.25">
      <c r="A605">
        <v>47</v>
      </c>
      <c r="B605" t="s">
        <v>204</v>
      </c>
      <c r="C605">
        <v>60</v>
      </c>
      <c r="D605" t="s">
        <v>18</v>
      </c>
      <c r="E605" t="s">
        <v>15</v>
      </c>
      <c r="F605">
        <v>92.475999999999999</v>
      </c>
      <c r="G605" t="s">
        <v>14</v>
      </c>
    </row>
    <row r="606" spans="1:7" x14ac:dyDescent="0.25">
      <c r="A606">
        <v>47</v>
      </c>
      <c r="B606" t="s">
        <v>204</v>
      </c>
      <c r="C606">
        <v>70</v>
      </c>
      <c r="D606" t="s">
        <v>112</v>
      </c>
      <c r="E606" t="s">
        <v>11</v>
      </c>
      <c r="F606">
        <v>4</v>
      </c>
      <c r="G606" t="s">
        <v>14</v>
      </c>
    </row>
    <row r="607" spans="1:7" x14ac:dyDescent="0.25">
      <c r="A607">
        <v>47</v>
      </c>
      <c r="B607" t="s">
        <v>204</v>
      </c>
      <c r="C607">
        <v>80</v>
      </c>
      <c r="D607" t="s">
        <v>21</v>
      </c>
      <c r="E607" t="s">
        <v>11</v>
      </c>
      <c r="F607">
        <v>1</v>
      </c>
      <c r="G607" t="s">
        <v>14</v>
      </c>
    </row>
    <row r="608" spans="1:7" x14ac:dyDescent="0.25">
      <c r="A608">
        <v>47</v>
      </c>
      <c r="B608" t="s">
        <v>204</v>
      </c>
      <c r="C608">
        <v>90</v>
      </c>
      <c r="D608" t="s">
        <v>22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204</v>
      </c>
      <c r="C609">
        <v>100</v>
      </c>
      <c r="D609" t="s">
        <v>23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204</v>
      </c>
      <c r="C610">
        <v>110</v>
      </c>
      <c r="D610" t="s">
        <v>110</v>
      </c>
      <c r="E610" t="s">
        <v>13</v>
      </c>
      <c r="F610">
        <v>1.135</v>
      </c>
      <c r="G610" t="s">
        <v>14</v>
      </c>
    </row>
    <row r="611" spans="1:7" x14ac:dyDescent="0.25">
      <c r="A611">
        <v>47</v>
      </c>
      <c r="B611" t="s">
        <v>204</v>
      </c>
      <c r="C611">
        <v>120</v>
      </c>
      <c r="D611" t="s">
        <v>355</v>
      </c>
      <c r="E611" t="s">
        <v>11</v>
      </c>
      <c r="F611">
        <v>2</v>
      </c>
      <c r="G611" t="s">
        <v>16</v>
      </c>
    </row>
    <row r="612" spans="1:7" x14ac:dyDescent="0.25">
      <c r="A612">
        <v>47</v>
      </c>
      <c r="B612" t="s">
        <v>204</v>
      </c>
      <c r="C612">
        <v>130</v>
      </c>
      <c r="D612" t="s">
        <v>205</v>
      </c>
      <c r="E612" t="s">
        <v>11</v>
      </c>
      <c r="F612">
        <v>2</v>
      </c>
      <c r="G612" t="s">
        <v>16</v>
      </c>
    </row>
    <row r="613" spans="1:7" x14ac:dyDescent="0.25">
      <c r="A613">
        <v>48</v>
      </c>
      <c r="B613" t="s">
        <v>206</v>
      </c>
      <c r="C613">
        <v>10</v>
      </c>
      <c r="D613" t="s">
        <v>356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206</v>
      </c>
      <c r="C614">
        <v>20</v>
      </c>
      <c r="D614" t="s">
        <v>109</v>
      </c>
      <c r="E614" t="s">
        <v>15</v>
      </c>
      <c r="F614">
        <v>1.575</v>
      </c>
      <c r="G614" t="s">
        <v>16</v>
      </c>
    </row>
    <row r="615" spans="1:7" x14ac:dyDescent="0.25">
      <c r="A615">
        <v>48</v>
      </c>
      <c r="B615" t="s">
        <v>206</v>
      </c>
      <c r="C615">
        <v>30</v>
      </c>
      <c r="D615" t="s">
        <v>18</v>
      </c>
      <c r="E615" t="s">
        <v>15</v>
      </c>
      <c r="F615">
        <v>86.563000000000002</v>
      </c>
      <c r="G615" t="s">
        <v>14</v>
      </c>
    </row>
    <row r="616" spans="1:7" x14ac:dyDescent="0.25">
      <c r="A616">
        <v>48</v>
      </c>
      <c r="B616" t="s">
        <v>206</v>
      </c>
      <c r="C616">
        <v>40</v>
      </c>
      <c r="D616" t="s">
        <v>105</v>
      </c>
      <c r="E616" t="s">
        <v>106</v>
      </c>
      <c r="F616">
        <v>0.65200000000000002</v>
      </c>
      <c r="G616" t="s">
        <v>14</v>
      </c>
    </row>
    <row r="617" spans="1:7" x14ac:dyDescent="0.25">
      <c r="A617">
        <v>48</v>
      </c>
      <c r="B617" t="s">
        <v>206</v>
      </c>
      <c r="C617">
        <v>50</v>
      </c>
      <c r="D617" t="s">
        <v>107</v>
      </c>
      <c r="E617" t="s">
        <v>15</v>
      </c>
      <c r="F617">
        <v>11.074</v>
      </c>
      <c r="G617" t="s">
        <v>14</v>
      </c>
    </row>
    <row r="618" spans="1:7" x14ac:dyDescent="0.25">
      <c r="A618">
        <v>48</v>
      </c>
      <c r="B618" t="s">
        <v>206</v>
      </c>
      <c r="C618">
        <v>60</v>
      </c>
      <c r="D618" t="s">
        <v>18</v>
      </c>
      <c r="E618" t="s">
        <v>15</v>
      </c>
      <c r="F618">
        <v>68.108000000000004</v>
      </c>
      <c r="G618" t="s">
        <v>14</v>
      </c>
    </row>
    <row r="619" spans="1:7" x14ac:dyDescent="0.25">
      <c r="A619">
        <v>48</v>
      </c>
      <c r="B619" t="s">
        <v>206</v>
      </c>
      <c r="C619">
        <v>70</v>
      </c>
      <c r="D619" t="s">
        <v>112</v>
      </c>
      <c r="E619" t="s">
        <v>11</v>
      </c>
      <c r="F619">
        <v>4</v>
      </c>
      <c r="G619" t="s">
        <v>14</v>
      </c>
    </row>
    <row r="620" spans="1:7" x14ac:dyDescent="0.25">
      <c r="A620">
        <v>48</v>
      </c>
      <c r="B620" t="s">
        <v>206</v>
      </c>
      <c r="C620">
        <v>80</v>
      </c>
      <c r="D620" t="s">
        <v>21</v>
      </c>
      <c r="E620" t="s">
        <v>11</v>
      </c>
      <c r="F620">
        <v>1</v>
      </c>
      <c r="G620" t="s">
        <v>14</v>
      </c>
    </row>
    <row r="621" spans="1:7" x14ac:dyDescent="0.25">
      <c r="A621">
        <v>48</v>
      </c>
      <c r="B621" t="s">
        <v>206</v>
      </c>
      <c r="C621">
        <v>90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206</v>
      </c>
      <c r="C622">
        <v>100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206</v>
      </c>
      <c r="C623">
        <v>110</v>
      </c>
      <c r="D623" t="s">
        <v>110</v>
      </c>
      <c r="E623" t="s">
        <v>13</v>
      </c>
      <c r="F623">
        <v>0.56699999999999995</v>
      </c>
      <c r="G623" t="s">
        <v>14</v>
      </c>
    </row>
    <row r="624" spans="1:7" x14ac:dyDescent="0.25">
      <c r="A624">
        <v>48</v>
      </c>
      <c r="B624" t="s">
        <v>206</v>
      </c>
      <c r="C624">
        <v>120</v>
      </c>
      <c r="D624" t="s">
        <v>357</v>
      </c>
      <c r="E624" t="s">
        <v>11</v>
      </c>
      <c r="F624">
        <v>2</v>
      </c>
      <c r="G624" t="s">
        <v>16</v>
      </c>
    </row>
    <row r="625" spans="1:7" x14ac:dyDescent="0.25">
      <c r="A625">
        <v>48</v>
      </c>
      <c r="B625" t="s">
        <v>206</v>
      </c>
      <c r="C625">
        <v>130</v>
      </c>
      <c r="D625" t="s">
        <v>207</v>
      </c>
      <c r="E625" t="s">
        <v>11</v>
      </c>
      <c r="F625">
        <v>2</v>
      </c>
      <c r="G625" t="s">
        <v>16</v>
      </c>
    </row>
    <row r="626" spans="1:7" x14ac:dyDescent="0.25">
      <c r="A626">
        <v>49</v>
      </c>
      <c r="B626" t="s">
        <v>208</v>
      </c>
      <c r="C626">
        <v>10</v>
      </c>
      <c r="D626" t="s">
        <v>358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208</v>
      </c>
      <c r="C627">
        <v>20</v>
      </c>
      <c r="D627" t="s">
        <v>109</v>
      </c>
      <c r="E627" t="s">
        <v>15</v>
      </c>
      <c r="F627">
        <v>1.88</v>
      </c>
      <c r="G627" t="s">
        <v>16</v>
      </c>
    </row>
    <row r="628" spans="1:7" x14ac:dyDescent="0.25">
      <c r="A628">
        <v>49</v>
      </c>
      <c r="B628" t="s">
        <v>208</v>
      </c>
      <c r="C628">
        <v>30</v>
      </c>
      <c r="D628" t="s">
        <v>18</v>
      </c>
      <c r="E628" t="s">
        <v>15</v>
      </c>
      <c r="F628">
        <v>91.44</v>
      </c>
      <c r="G628" t="s">
        <v>14</v>
      </c>
    </row>
    <row r="629" spans="1:7" x14ac:dyDescent="0.25">
      <c r="A629">
        <v>49</v>
      </c>
      <c r="B629" t="s">
        <v>208</v>
      </c>
      <c r="C629">
        <v>40</v>
      </c>
      <c r="D629" t="s">
        <v>105</v>
      </c>
      <c r="E629" t="s">
        <v>106</v>
      </c>
      <c r="F629">
        <v>0.78700000000000003</v>
      </c>
      <c r="G629" t="s">
        <v>14</v>
      </c>
    </row>
    <row r="630" spans="1:7" x14ac:dyDescent="0.25">
      <c r="A630">
        <v>49</v>
      </c>
      <c r="B630" t="s">
        <v>208</v>
      </c>
      <c r="C630">
        <v>50</v>
      </c>
      <c r="D630" t="s">
        <v>107</v>
      </c>
      <c r="E630" t="s">
        <v>15</v>
      </c>
      <c r="F630">
        <v>11.683999999999999</v>
      </c>
      <c r="G630" t="s">
        <v>14</v>
      </c>
    </row>
    <row r="631" spans="1:7" x14ac:dyDescent="0.25">
      <c r="A631">
        <v>49</v>
      </c>
      <c r="B631" t="s">
        <v>208</v>
      </c>
      <c r="C631">
        <v>60</v>
      </c>
      <c r="D631" t="s">
        <v>18</v>
      </c>
      <c r="E631" t="s">
        <v>15</v>
      </c>
      <c r="F631">
        <v>71.856999999999999</v>
      </c>
      <c r="G631" t="s">
        <v>14</v>
      </c>
    </row>
    <row r="632" spans="1:7" x14ac:dyDescent="0.25">
      <c r="A632">
        <v>49</v>
      </c>
      <c r="B632" t="s">
        <v>208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49</v>
      </c>
      <c r="B633" t="s">
        <v>208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49</v>
      </c>
      <c r="B634" t="s">
        <v>208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208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208</v>
      </c>
      <c r="C636">
        <v>110</v>
      </c>
      <c r="D636" t="s">
        <v>110</v>
      </c>
      <c r="E636" t="s">
        <v>13</v>
      </c>
      <c r="F636">
        <v>0.64900000000000002</v>
      </c>
      <c r="G636" t="s">
        <v>14</v>
      </c>
    </row>
    <row r="637" spans="1:7" x14ac:dyDescent="0.25">
      <c r="A637">
        <v>49</v>
      </c>
      <c r="B637" t="s">
        <v>208</v>
      </c>
      <c r="C637">
        <v>120</v>
      </c>
      <c r="D637" t="s">
        <v>359</v>
      </c>
      <c r="E637" t="s">
        <v>11</v>
      </c>
      <c r="F637">
        <v>2</v>
      </c>
      <c r="G637" t="s">
        <v>16</v>
      </c>
    </row>
    <row r="638" spans="1:7" x14ac:dyDescent="0.25">
      <c r="A638">
        <v>49</v>
      </c>
      <c r="B638" t="s">
        <v>208</v>
      </c>
      <c r="C638">
        <v>130</v>
      </c>
      <c r="D638" t="s">
        <v>209</v>
      </c>
      <c r="E638" t="s">
        <v>11</v>
      </c>
      <c r="F638">
        <v>2</v>
      </c>
      <c r="G638" t="s">
        <v>16</v>
      </c>
    </row>
    <row r="639" spans="1:7" x14ac:dyDescent="0.25">
      <c r="A639">
        <v>50</v>
      </c>
      <c r="B639" t="s">
        <v>210</v>
      </c>
      <c r="C639">
        <v>10</v>
      </c>
      <c r="D639" t="s">
        <v>360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210</v>
      </c>
      <c r="C640">
        <v>20</v>
      </c>
      <c r="D640" t="s">
        <v>109</v>
      </c>
      <c r="E640" t="s">
        <v>15</v>
      </c>
      <c r="F640">
        <v>2.1840000000000002</v>
      </c>
      <c r="G640" t="s">
        <v>16</v>
      </c>
    </row>
    <row r="641" spans="1:7" x14ac:dyDescent="0.25">
      <c r="A641">
        <v>50</v>
      </c>
      <c r="B641" t="s">
        <v>210</v>
      </c>
      <c r="C641">
        <v>30</v>
      </c>
      <c r="D641" t="s">
        <v>18</v>
      </c>
      <c r="E641" t="s">
        <v>15</v>
      </c>
      <c r="F641">
        <v>96.316999999999993</v>
      </c>
      <c r="G641" t="s">
        <v>14</v>
      </c>
    </row>
    <row r="642" spans="1:7" x14ac:dyDescent="0.25">
      <c r="A642">
        <v>50</v>
      </c>
      <c r="B642" t="s">
        <v>210</v>
      </c>
      <c r="C642">
        <v>40</v>
      </c>
      <c r="D642" t="s">
        <v>105</v>
      </c>
      <c r="E642" t="s">
        <v>106</v>
      </c>
      <c r="F642">
        <v>0.92200000000000004</v>
      </c>
      <c r="G642" t="s">
        <v>14</v>
      </c>
    </row>
    <row r="643" spans="1:7" x14ac:dyDescent="0.25">
      <c r="A643">
        <v>50</v>
      </c>
      <c r="B643" t="s">
        <v>210</v>
      </c>
      <c r="C643">
        <v>50</v>
      </c>
      <c r="D643" t="s">
        <v>107</v>
      </c>
      <c r="E643" t="s">
        <v>15</v>
      </c>
      <c r="F643">
        <v>12.294</v>
      </c>
      <c r="G643" t="s">
        <v>14</v>
      </c>
    </row>
    <row r="644" spans="1:7" x14ac:dyDescent="0.25">
      <c r="A644">
        <v>50</v>
      </c>
      <c r="B644" t="s">
        <v>210</v>
      </c>
      <c r="C644">
        <v>60</v>
      </c>
      <c r="D644" t="s">
        <v>18</v>
      </c>
      <c r="E644" t="s">
        <v>15</v>
      </c>
      <c r="F644">
        <v>75.605999999999995</v>
      </c>
      <c r="G644" t="s">
        <v>14</v>
      </c>
    </row>
    <row r="645" spans="1:7" x14ac:dyDescent="0.25">
      <c r="A645">
        <v>50</v>
      </c>
      <c r="B645" t="s">
        <v>210</v>
      </c>
      <c r="C645">
        <v>70</v>
      </c>
      <c r="D645" t="s">
        <v>112</v>
      </c>
      <c r="E645" t="s">
        <v>11</v>
      </c>
      <c r="F645">
        <v>4</v>
      </c>
      <c r="G645" t="s">
        <v>14</v>
      </c>
    </row>
    <row r="646" spans="1:7" x14ac:dyDescent="0.25">
      <c r="A646">
        <v>50</v>
      </c>
      <c r="B646" t="s">
        <v>210</v>
      </c>
      <c r="C646">
        <v>80</v>
      </c>
      <c r="D646" t="s">
        <v>21</v>
      </c>
      <c r="E646" t="s">
        <v>11</v>
      </c>
      <c r="F646">
        <v>1</v>
      </c>
      <c r="G646" t="s">
        <v>14</v>
      </c>
    </row>
    <row r="647" spans="1:7" x14ac:dyDescent="0.25">
      <c r="A647">
        <v>50</v>
      </c>
      <c r="B647" t="s">
        <v>210</v>
      </c>
      <c r="C647">
        <v>90</v>
      </c>
      <c r="D647" t="s">
        <v>22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210</v>
      </c>
      <c r="C648">
        <v>100</v>
      </c>
      <c r="D648" t="s">
        <v>23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210</v>
      </c>
      <c r="C649">
        <v>110</v>
      </c>
      <c r="D649" t="s">
        <v>110</v>
      </c>
      <c r="E649" t="s">
        <v>13</v>
      </c>
      <c r="F649">
        <v>0.73</v>
      </c>
      <c r="G649" t="s">
        <v>14</v>
      </c>
    </row>
    <row r="650" spans="1:7" x14ac:dyDescent="0.25">
      <c r="A650">
        <v>50</v>
      </c>
      <c r="B650" t="s">
        <v>210</v>
      </c>
      <c r="C650">
        <v>120</v>
      </c>
      <c r="D650" t="s">
        <v>361</v>
      </c>
      <c r="E650" t="s">
        <v>11</v>
      </c>
      <c r="F650">
        <v>2</v>
      </c>
      <c r="G650" t="s">
        <v>16</v>
      </c>
    </row>
    <row r="651" spans="1:7" x14ac:dyDescent="0.25">
      <c r="A651">
        <v>50</v>
      </c>
      <c r="B651" t="s">
        <v>210</v>
      </c>
      <c r="C651">
        <v>130</v>
      </c>
      <c r="D651" t="s">
        <v>211</v>
      </c>
      <c r="E651" t="s">
        <v>11</v>
      </c>
      <c r="F651">
        <v>2</v>
      </c>
      <c r="G651" t="s">
        <v>16</v>
      </c>
    </row>
    <row r="652" spans="1:7" x14ac:dyDescent="0.25">
      <c r="A652">
        <v>51</v>
      </c>
      <c r="B652" t="s">
        <v>212</v>
      </c>
      <c r="C652">
        <v>10</v>
      </c>
      <c r="D652" t="s">
        <v>362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212</v>
      </c>
      <c r="C653">
        <v>20</v>
      </c>
      <c r="D653" t="s">
        <v>109</v>
      </c>
      <c r="E653" t="s">
        <v>15</v>
      </c>
      <c r="F653">
        <v>2.4889999999999999</v>
      </c>
      <c r="G653" t="s">
        <v>16</v>
      </c>
    </row>
    <row r="654" spans="1:7" x14ac:dyDescent="0.25">
      <c r="A654">
        <v>51</v>
      </c>
      <c r="B654" t="s">
        <v>212</v>
      </c>
      <c r="C654">
        <v>30</v>
      </c>
      <c r="D654" t="s">
        <v>18</v>
      </c>
      <c r="E654" t="s">
        <v>15</v>
      </c>
      <c r="F654">
        <v>101.194</v>
      </c>
      <c r="G654" t="s">
        <v>14</v>
      </c>
    </row>
    <row r="655" spans="1:7" x14ac:dyDescent="0.25">
      <c r="A655">
        <v>51</v>
      </c>
      <c r="B655" t="s">
        <v>212</v>
      </c>
      <c r="C655">
        <v>40</v>
      </c>
      <c r="D655" t="s">
        <v>105</v>
      </c>
      <c r="E655" t="s">
        <v>106</v>
      </c>
      <c r="F655">
        <v>1.056</v>
      </c>
      <c r="G655" t="s">
        <v>14</v>
      </c>
    </row>
    <row r="656" spans="1:7" x14ac:dyDescent="0.25">
      <c r="A656">
        <v>51</v>
      </c>
      <c r="B656" t="s">
        <v>212</v>
      </c>
      <c r="C656">
        <v>50</v>
      </c>
      <c r="D656" t="s">
        <v>107</v>
      </c>
      <c r="E656" t="s">
        <v>15</v>
      </c>
      <c r="F656">
        <v>12.903</v>
      </c>
      <c r="G656" t="s">
        <v>14</v>
      </c>
    </row>
    <row r="657" spans="1:7" x14ac:dyDescent="0.25">
      <c r="A657">
        <v>51</v>
      </c>
      <c r="B657" t="s">
        <v>212</v>
      </c>
      <c r="C657">
        <v>60</v>
      </c>
      <c r="D657" t="s">
        <v>18</v>
      </c>
      <c r="E657" t="s">
        <v>15</v>
      </c>
      <c r="F657">
        <v>79.355000000000004</v>
      </c>
      <c r="G657" t="s">
        <v>14</v>
      </c>
    </row>
    <row r="658" spans="1:7" x14ac:dyDescent="0.25">
      <c r="A658">
        <v>51</v>
      </c>
      <c r="B658" t="s">
        <v>212</v>
      </c>
      <c r="C658">
        <v>70</v>
      </c>
      <c r="D658" t="s">
        <v>112</v>
      </c>
      <c r="E658" t="s">
        <v>11</v>
      </c>
      <c r="F658">
        <v>4</v>
      </c>
      <c r="G658" t="s">
        <v>14</v>
      </c>
    </row>
    <row r="659" spans="1:7" x14ac:dyDescent="0.25">
      <c r="A659">
        <v>51</v>
      </c>
      <c r="B659" t="s">
        <v>212</v>
      </c>
      <c r="C659">
        <v>80</v>
      </c>
      <c r="D659" t="s">
        <v>21</v>
      </c>
      <c r="E659" t="s">
        <v>11</v>
      </c>
      <c r="F659">
        <v>1</v>
      </c>
      <c r="G659" t="s">
        <v>14</v>
      </c>
    </row>
    <row r="660" spans="1:7" x14ac:dyDescent="0.25">
      <c r="A660">
        <v>51</v>
      </c>
      <c r="B660" t="s">
        <v>212</v>
      </c>
      <c r="C660">
        <v>90</v>
      </c>
      <c r="D660" t="s">
        <v>22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212</v>
      </c>
      <c r="C661">
        <v>100</v>
      </c>
      <c r="D661" t="s">
        <v>23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212</v>
      </c>
      <c r="C662">
        <v>110</v>
      </c>
      <c r="D662" t="s">
        <v>110</v>
      </c>
      <c r="E662" t="s">
        <v>13</v>
      </c>
      <c r="F662">
        <v>0.81100000000000005</v>
      </c>
      <c r="G662" t="s">
        <v>14</v>
      </c>
    </row>
    <row r="663" spans="1:7" x14ac:dyDescent="0.25">
      <c r="A663">
        <v>51</v>
      </c>
      <c r="B663" t="s">
        <v>212</v>
      </c>
      <c r="C663">
        <v>120</v>
      </c>
      <c r="D663" t="s">
        <v>363</v>
      </c>
      <c r="E663" t="s">
        <v>11</v>
      </c>
      <c r="F663">
        <v>2</v>
      </c>
      <c r="G663" t="s">
        <v>16</v>
      </c>
    </row>
    <row r="664" spans="1:7" x14ac:dyDescent="0.25">
      <c r="A664">
        <v>51</v>
      </c>
      <c r="B664" t="s">
        <v>212</v>
      </c>
      <c r="C664">
        <v>130</v>
      </c>
      <c r="D664" t="s">
        <v>213</v>
      </c>
      <c r="E664" t="s">
        <v>11</v>
      </c>
      <c r="F664">
        <v>2</v>
      </c>
      <c r="G664" t="s">
        <v>16</v>
      </c>
    </row>
    <row r="665" spans="1:7" x14ac:dyDescent="0.25">
      <c r="A665">
        <v>52</v>
      </c>
      <c r="B665" t="s">
        <v>214</v>
      </c>
      <c r="C665">
        <v>10</v>
      </c>
      <c r="D665" t="s">
        <v>364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214</v>
      </c>
      <c r="C666">
        <v>20</v>
      </c>
      <c r="D666" t="s">
        <v>109</v>
      </c>
      <c r="E666" t="s">
        <v>15</v>
      </c>
      <c r="F666">
        <v>3.0990000000000002</v>
      </c>
      <c r="G666" t="s">
        <v>16</v>
      </c>
    </row>
    <row r="667" spans="1:7" x14ac:dyDescent="0.25">
      <c r="A667">
        <v>52</v>
      </c>
      <c r="B667" t="s">
        <v>214</v>
      </c>
      <c r="C667">
        <v>30</v>
      </c>
      <c r="D667" t="s">
        <v>18</v>
      </c>
      <c r="E667" t="s">
        <v>15</v>
      </c>
      <c r="F667">
        <v>110.947</v>
      </c>
      <c r="G667" t="s">
        <v>14</v>
      </c>
    </row>
    <row r="668" spans="1:7" x14ac:dyDescent="0.25">
      <c r="A668">
        <v>52</v>
      </c>
      <c r="B668" t="s">
        <v>214</v>
      </c>
      <c r="C668">
        <v>40</v>
      </c>
      <c r="D668" t="s">
        <v>105</v>
      </c>
      <c r="E668" t="s">
        <v>106</v>
      </c>
      <c r="F668">
        <v>1.3260000000000001</v>
      </c>
      <c r="G668" t="s">
        <v>14</v>
      </c>
    </row>
    <row r="669" spans="1:7" x14ac:dyDescent="0.25">
      <c r="A669">
        <v>52</v>
      </c>
      <c r="B669" t="s">
        <v>214</v>
      </c>
      <c r="C669">
        <v>50</v>
      </c>
      <c r="D669" t="s">
        <v>107</v>
      </c>
      <c r="E669" t="s">
        <v>15</v>
      </c>
      <c r="F669">
        <v>14.122</v>
      </c>
      <c r="G669" t="s">
        <v>14</v>
      </c>
    </row>
    <row r="670" spans="1:7" x14ac:dyDescent="0.25">
      <c r="A670">
        <v>52</v>
      </c>
      <c r="B670" t="s">
        <v>214</v>
      </c>
      <c r="C670">
        <v>60</v>
      </c>
      <c r="D670" t="s">
        <v>18</v>
      </c>
      <c r="E670" t="s">
        <v>15</v>
      </c>
      <c r="F670">
        <v>86.852999999999994</v>
      </c>
      <c r="G670" t="s">
        <v>14</v>
      </c>
    </row>
    <row r="671" spans="1:7" x14ac:dyDescent="0.25">
      <c r="A671">
        <v>52</v>
      </c>
      <c r="B671" t="s">
        <v>214</v>
      </c>
      <c r="C671">
        <v>70</v>
      </c>
      <c r="D671" t="s">
        <v>112</v>
      </c>
      <c r="E671" t="s">
        <v>11</v>
      </c>
      <c r="F671">
        <v>4</v>
      </c>
      <c r="G671" t="s">
        <v>14</v>
      </c>
    </row>
    <row r="672" spans="1:7" x14ac:dyDescent="0.25">
      <c r="A672">
        <v>52</v>
      </c>
      <c r="B672" t="s">
        <v>214</v>
      </c>
      <c r="C672">
        <v>80</v>
      </c>
      <c r="D672" t="s">
        <v>21</v>
      </c>
      <c r="E672" t="s">
        <v>11</v>
      </c>
      <c r="F672">
        <v>1</v>
      </c>
      <c r="G672" t="s">
        <v>14</v>
      </c>
    </row>
    <row r="673" spans="1:7" x14ac:dyDescent="0.25">
      <c r="A673">
        <v>52</v>
      </c>
      <c r="B673" t="s">
        <v>214</v>
      </c>
      <c r="C673">
        <v>90</v>
      </c>
      <c r="D673" t="s">
        <v>22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214</v>
      </c>
      <c r="C674">
        <v>100</v>
      </c>
      <c r="D674" t="s">
        <v>23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214</v>
      </c>
      <c r="C675">
        <v>110</v>
      </c>
      <c r="D675" t="s">
        <v>110</v>
      </c>
      <c r="E675" t="s">
        <v>13</v>
      </c>
      <c r="F675">
        <v>0.97299999999999998</v>
      </c>
      <c r="G675" t="s">
        <v>14</v>
      </c>
    </row>
    <row r="676" spans="1:7" x14ac:dyDescent="0.25">
      <c r="A676">
        <v>52</v>
      </c>
      <c r="B676" t="s">
        <v>214</v>
      </c>
      <c r="C676">
        <v>120</v>
      </c>
      <c r="D676" t="s">
        <v>365</v>
      </c>
      <c r="E676" t="s">
        <v>11</v>
      </c>
      <c r="F676">
        <v>2</v>
      </c>
      <c r="G676" t="s">
        <v>16</v>
      </c>
    </row>
    <row r="677" spans="1:7" x14ac:dyDescent="0.25">
      <c r="A677">
        <v>52</v>
      </c>
      <c r="B677" t="s">
        <v>214</v>
      </c>
      <c r="C677">
        <v>130</v>
      </c>
      <c r="D677" t="s">
        <v>215</v>
      </c>
      <c r="E677" t="s">
        <v>11</v>
      </c>
      <c r="F677">
        <v>2</v>
      </c>
      <c r="G677" t="s">
        <v>16</v>
      </c>
    </row>
    <row r="678" spans="1:7" x14ac:dyDescent="0.25">
      <c r="A678">
        <v>53</v>
      </c>
      <c r="B678" t="s">
        <v>216</v>
      </c>
      <c r="C678">
        <v>10</v>
      </c>
      <c r="D678" t="s">
        <v>366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216</v>
      </c>
      <c r="C679">
        <v>20</v>
      </c>
      <c r="D679" t="s">
        <v>109</v>
      </c>
      <c r="E679" t="s">
        <v>15</v>
      </c>
      <c r="F679">
        <v>3.4039999999999999</v>
      </c>
      <c r="G679" t="s">
        <v>16</v>
      </c>
    </row>
    <row r="680" spans="1:7" x14ac:dyDescent="0.25">
      <c r="A680">
        <v>53</v>
      </c>
      <c r="B680" t="s">
        <v>216</v>
      </c>
      <c r="C680">
        <v>30</v>
      </c>
      <c r="D680" t="s">
        <v>18</v>
      </c>
      <c r="E680" t="s">
        <v>15</v>
      </c>
      <c r="F680">
        <v>115.824</v>
      </c>
      <c r="G680" t="s">
        <v>14</v>
      </c>
    </row>
    <row r="681" spans="1:7" x14ac:dyDescent="0.25">
      <c r="A681">
        <v>53</v>
      </c>
      <c r="B681" t="s">
        <v>216</v>
      </c>
      <c r="C681">
        <v>40</v>
      </c>
      <c r="D681" t="s">
        <v>105</v>
      </c>
      <c r="E681" t="s">
        <v>106</v>
      </c>
      <c r="F681">
        <v>1.4610000000000001</v>
      </c>
      <c r="G681" t="s">
        <v>14</v>
      </c>
    </row>
    <row r="682" spans="1:7" x14ac:dyDescent="0.25">
      <c r="A682">
        <v>53</v>
      </c>
      <c r="B682" t="s">
        <v>216</v>
      </c>
      <c r="C682">
        <v>50</v>
      </c>
      <c r="D682" t="s">
        <v>107</v>
      </c>
      <c r="E682" t="s">
        <v>15</v>
      </c>
      <c r="F682">
        <v>14.731999999999999</v>
      </c>
      <c r="G682" t="s">
        <v>14</v>
      </c>
    </row>
    <row r="683" spans="1:7" x14ac:dyDescent="0.25">
      <c r="A683">
        <v>53</v>
      </c>
      <c r="B683" t="s">
        <v>216</v>
      </c>
      <c r="C683">
        <v>60</v>
      </c>
      <c r="D683" t="s">
        <v>18</v>
      </c>
      <c r="E683" t="s">
        <v>15</v>
      </c>
      <c r="F683">
        <v>90.602000000000004</v>
      </c>
      <c r="G683" t="s">
        <v>14</v>
      </c>
    </row>
    <row r="684" spans="1:7" x14ac:dyDescent="0.25">
      <c r="A684">
        <v>53</v>
      </c>
      <c r="B684" t="s">
        <v>216</v>
      </c>
      <c r="C684">
        <v>70</v>
      </c>
      <c r="D684" t="s">
        <v>112</v>
      </c>
      <c r="E684" t="s">
        <v>11</v>
      </c>
      <c r="F684">
        <v>4</v>
      </c>
      <c r="G684" t="s">
        <v>14</v>
      </c>
    </row>
    <row r="685" spans="1:7" x14ac:dyDescent="0.25">
      <c r="A685">
        <v>53</v>
      </c>
      <c r="B685" t="s">
        <v>216</v>
      </c>
      <c r="C685">
        <v>80</v>
      </c>
      <c r="D685" t="s">
        <v>21</v>
      </c>
      <c r="E685" t="s">
        <v>11</v>
      </c>
      <c r="F685">
        <v>1</v>
      </c>
      <c r="G685" t="s">
        <v>14</v>
      </c>
    </row>
    <row r="686" spans="1:7" x14ac:dyDescent="0.25">
      <c r="A686">
        <v>53</v>
      </c>
      <c r="B686" t="s">
        <v>216</v>
      </c>
      <c r="C686">
        <v>90</v>
      </c>
      <c r="D686" t="s">
        <v>22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216</v>
      </c>
      <c r="C687">
        <v>100</v>
      </c>
      <c r="D687" t="s">
        <v>23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216</v>
      </c>
      <c r="C688">
        <v>110</v>
      </c>
      <c r="D688" t="s">
        <v>110</v>
      </c>
      <c r="E688" t="s">
        <v>13</v>
      </c>
      <c r="F688">
        <v>1.054</v>
      </c>
      <c r="G688" t="s">
        <v>14</v>
      </c>
    </row>
    <row r="689" spans="1:7" x14ac:dyDescent="0.25">
      <c r="A689">
        <v>53</v>
      </c>
      <c r="B689" t="s">
        <v>216</v>
      </c>
      <c r="C689">
        <v>120</v>
      </c>
      <c r="D689" t="s">
        <v>367</v>
      </c>
      <c r="E689" t="s">
        <v>11</v>
      </c>
      <c r="F689">
        <v>2</v>
      </c>
      <c r="G689" t="s">
        <v>16</v>
      </c>
    </row>
    <row r="690" spans="1:7" x14ac:dyDescent="0.25">
      <c r="A690">
        <v>53</v>
      </c>
      <c r="B690" t="s">
        <v>216</v>
      </c>
      <c r="C690">
        <v>130</v>
      </c>
      <c r="D690" t="s">
        <v>217</v>
      </c>
      <c r="E690" t="s">
        <v>11</v>
      </c>
      <c r="F690">
        <v>2</v>
      </c>
      <c r="G690" t="s">
        <v>16</v>
      </c>
    </row>
    <row r="691" spans="1:7" x14ac:dyDescent="0.25">
      <c r="A691">
        <v>54</v>
      </c>
      <c r="B691" t="s">
        <v>218</v>
      </c>
      <c r="C691">
        <v>10</v>
      </c>
      <c r="D691" t="s">
        <v>368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218</v>
      </c>
      <c r="C692">
        <v>20</v>
      </c>
      <c r="D692" t="s">
        <v>109</v>
      </c>
      <c r="E692" t="s">
        <v>15</v>
      </c>
      <c r="F692">
        <v>3.7080000000000002</v>
      </c>
      <c r="G692" t="s">
        <v>16</v>
      </c>
    </row>
    <row r="693" spans="1:7" x14ac:dyDescent="0.25">
      <c r="A693">
        <v>54</v>
      </c>
      <c r="B693" t="s">
        <v>218</v>
      </c>
      <c r="C693">
        <v>30</v>
      </c>
      <c r="D693" t="s">
        <v>18</v>
      </c>
      <c r="E693" t="s">
        <v>15</v>
      </c>
      <c r="F693">
        <v>120.70099999999999</v>
      </c>
      <c r="G693" t="s">
        <v>14</v>
      </c>
    </row>
    <row r="694" spans="1:7" x14ac:dyDescent="0.25">
      <c r="A694">
        <v>54</v>
      </c>
      <c r="B694" t="s">
        <v>218</v>
      </c>
      <c r="C694">
        <v>40</v>
      </c>
      <c r="D694" t="s">
        <v>105</v>
      </c>
      <c r="E694" t="s">
        <v>106</v>
      </c>
      <c r="F694">
        <v>1.5960000000000001</v>
      </c>
      <c r="G694" t="s">
        <v>14</v>
      </c>
    </row>
    <row r="695" spans="1:7" x14ac:dyDescent="0.25">
      <c r="A695">
        <v>54</v>
      </c>
      <c r="B695" t="s">
        <v>218</v>
      </c>
      <c r="C695">
        <v>50</v>
      </c>
      <c r="D695" t="s">
        <v>107</v>
      </c>
      <c r="E695" t="s">
        <v>15</v>
      </c>
      <c r="F695">
        <v>15.342000000000001</v>
      </c>
      <c r="G695" t="s">
        <v>14</v>
      </c>
    </row>
    <row r="696" spans="1:7" x14ac:dyDescent="0.25">
      <c r="A696">
        <v>54</v>
      </c>
      <c r="B696" t="s">
        <v>218</v>
      </c>
      <c r="C696">
        <v>60</v>
      </c>
      <c r="D696" t="s">
        <v>18</v>
      </c>
      <c r="E696" t="s">
        <v>15</v>
      </c>
      <c r="F696">
        <v>94.350999999999999</v>
      </c>
      <c r="G696" t="s">
        <v>14</v>
      </c>
    </row>
    <row r="697" spans="1:7" x14ac:dyDescent="0.25">
      <c r="A697">
        <v>54</v>
      </c>
      <c r="B697" t="s">
        <v>218</v>
      </c>
      <c r="C697">
        <v>70</v>
      </c>
      <c r="D697" t="s">
        <v>112</v>
      </c>
      <c r="E697" t="s">
        <v>11</v>
      </c>
      <c r="F697">
        <v>4</v>
      </c>
      <c r="G697" t="s">
        <v>14</v>
      </c>
    </row>
    <row r="698" spans="1:7" x14ac:dyDescent="0.25">
      <c r="A698">
        <v>54</v>
      </c>
      <c r="B698" t="s">
        <v>218</v>
      </c>
      <c r="C698">
        <v>80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54</v>
      </c>
      <c r="B699" t="s">
        <v>218</v>
      </c>
      <c r="C699">
        <v>90</v>
      </c>
      <c r="D699" t="s">
        <v>22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218</v>
      </c>
      <c r="C700">
        <v>100</v>
      </c>
      <c r="D700" t="s">
        <v>23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218</v>
      </c>
      <c r="C701">
        <v>110</v>
      </c>
      <c r="D701" t="s">
        <v>110</v>
      </c>
      <c r="E701" t="s">
        <v>13</v>
      </c>
      <c r="F701">
        <v>1.135</v>
      </c>
      <c r="G701" t="s">
        <v>14</v>
      </c>
    </row>
    <row r="702" spans="1:7" x14ac:dyDescent="0.25">
      <c r="A702">
        <v>54</v>
      </c>
      <c r="B702" t="s">
        <v>218</v>
      </c>
      <c r="C702">
        <v>120</v>
      </c>
      <c r="D702" t="s">
        <v>369</v>
      </c>
      <c r="E702" t="s">
        <v>11</v>
      </c>
      <c r="F702">
        <v>2</v>
      </c>
      <c r="G702" t="s">
        <v>16</v>
      </c>
    </row>
    <row r="703" spans="1:7" x14ac:dyDescent="0.25">
      <c r="A703">
        <v>54</v>
      </c>
      <c r="B703" t="s">
        <v>218</v>
      </c>
      <c r="C703">
        <v>130</v>
      </c>
      <c r="D703" t="s">
        <v>219</v>
      </c>
      <c r="E703" t="s">
        <v>11</v>
      </c>
      <c r="F703">
        <v>2</v>
      </c>
      <c r="G703" t="s">
        <v>16</v>
      </c>
    </row>
    <row r="704" spans="1:7" x14ac:dyDescent="0.25">
      <c r="A704">
        <v>55</v>
      </c>
      <c r="B704" t="s">
        <v>220</v>
      </c>
      <c r="C704">
        <v>10</v>
      </c>
      <c r="D704" t="s">
        <v>370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220</v>
      </c>
      <c r="C705">
        <v>20</v>
      </c>
      <c r="D705" t="s">
        <v>109</v>
      </c>
      <c r="E705" t="s">
        <v>15</v>
      </c>
      <c r="F705">
        <v>1.575</v>
      </c>
      <c r="G705" t="s">
        <v>16</v>
      </c>
    </row>
    <row r="706" spans="1:7" x14ac:dyDescent="0.25">
      <c r="A706">
        <v>55</v>
      </c>
      <c r="B706" t="s">
        <v>220</v>
      </c>
      <c r="C706">
        <v>30</v>
      </c>
      <c r="D706" t="s">
        <v>18</v>
      </c>
      <c r="E706" t="s">
        <v>15</v>
      </c>
      <c r="F706">
        <v>89.001999999999995</v>
      </c>
      <c r="G706" t="s">
        <v>14</v>
      </c>
    </row>
    <row r="707" spans="1:7" x14ac:dyDescent="0.25">
      <c r="A707">
        <v>55</v>
      </c>
      <c r="B707" t="s">
        <v>220</v>
      </c>
      <c r="C707">
        <v>40</v>
      </c>
      <c r="D707" t="s">
        <v>105</v>
      </c>
      <c r="E707" t="s">
        <v>106</v>
      </c>
      <c r="F707">
        <v>0.67800000000000005</v>
      </c>
      <c r="G707" t="s">
        <v>14</v>
      </c>
    </row>
    <row r="708" spans="1:7" x14ac:dyDescent="0.25">
      <c r="A708">
        <v>55</v>
      </c>
      <c r="B708" t="s">
        <v>220</v>
      </c>
      <c r="C708">
        <v>50</v>
      </c>
      <c r="D708" t="s">
        <v>107</v>
      </c>
      <c r="E708" t="s">
        <v>15</v>
      </c>
      <c r="F708">
        <v>11.379</v>
      </c>
      <c r="G708" t="s">
        <v>14</v>
      </c>
    </row>
    <row r="709" spans="1:7" x14ac:dyDescent="0.25">
      <c r="A709">
        <v>55</v>
      </c>
      <c r="B709" t="s">
        <v>220</v>
      </c>
      <c r="C709">
        <v>60</v>
      </c>
      <c r="D709" t="s">
        <v>18</v>
      </c>
      <c r="E709" t="s">
        <v>15</v>
      </c>
      <c r="F709">
        <v>69.981999999999999</v>
      </c>
      <c r="G709" t="s">
        <v>14</v>
      </c>
    </row>
    <row r="710" spans="1:7" x14ac:dyDescent="0.25">
      <c r="A710">
        <v>55</v>
      </c>
      <c r="B710" t="s">
        <v>220</v>
      </c>
      <c r="C710">
        <v>70</v>
      </c>
      <c r="D710" t="s">
        <v>112</v>
      </c>
      <c r="E710" t="s">
        <v>11</v>
      </c>
      <c r="F710">
        <v>4</v>
      </c>
      <c r="G710" t="s">
        <v>14</v>
      </c>
    </row>
    <row r="711" spans="1:7" x14ac:dyDescent="0.25">
      <c r="A711">
        <v>55</v>
      </c>
      <c r="B711" t="s">
        <v>220</v>
      </c>
      <c r="C711">
        <v>80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55</v>
      </c>
      <c r="B712" t="s">
        <v>220</v>
      </c>
      <c r="C712">
        <v>90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220</v>
      </c>
      <c r="C713">
        <v>100</v>
      </c>
      <c r="D713" t="s">
        <v>23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220</v>
      </c>
      <c r="C714">
        <v>110</v>
      </c>
      <c r="D714" t="s">
        <v>110</v>
      </c>
      <c r="E714" t="s">
        <v>13</v>
      </c>
      <c r="F714">
        <v>1.216</v>
      </c>
      <c r="G714" t="s">
        <v>14</v>
      </c>
    </row>
    <row r="715" spans="1:7" x14ac:dyDescent="0.25">
      <c r="A715">
        <v>55</v>
      </c>
      <c r="B715" t="s">
        <v>220</v>
      </c>
      <c r="C715">
        <v>120</v>
      </c>
      <c r="D715" t="s">
        <v>371</v>
      </c>
      <c r="E715" t="s">
        <v>11</v>
      </c>
      <c r="F715">
        <v>2</v>
      </c>
      <c r="G715" t="s">
        <v>16</v>
      </c>
    </row>
    <row r="716" spans="1:7" x14ac:dyDescent="0.25">
      <c r="A716">
        <v>55</v>
      </c>
      <c r="B716" t="s">
        <v>220</v>
      </c>
      <c r="C716">
        <v>130</v>
      </c>
      <c r="D716" t="s">
        <v>221</v>
      </c>
      <c r="E716" t="s">
        <v>11</v>
      </c>
      <c r="F716">
        <v>2</v>
      </c>
      <c r="G716" t="s">
        <v>16</v>
      </c>
    </row>
    <row r="717" spans="1:7" x14ac:dyDescent="0.25">
      <c r="A717">
        <v>56</v>
      </c>
      <c r="B717" t="s">
        <v>222</v>
      </c>
      <c r="C717">
        <v>10</v>
      </c>
      <c r="D717" t="s">
        <v>372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222</v>
      </c>
      <c r="C718">
        <v>20</v>
      </c>
      <c r="D718" t="s">
        <v>109</v>
      </c>
      <c r="E718" t="s">
        <v>15</v>
      </c>
      <c r="F718">
        <v>1.88</v>
      </c>
      <c r="G718" t="s">
        <v>16</v>
      </c>
    </row>
    <row r="719" spans="1:7" x14ac:dyDescent="0.25">
      <c r="A719">
        <v>56</v>
      </c>
      <c r="B719" t="s">
        <v>222</v>
      </c>
      <c r="C719">
        <v>30</v>
      </c>
      <c r="D719" t="s">
        <v>18</v>
      </c>
      <c r="E719" t="s">
        <v>15</v>
      </c>
      <c r="F719">
        <v>93.878</v>
      </c>
      <c r="G719" t="s">
        <v>14</v>
      </c>
    </row>
    <row r="720" spans="1:7" x14ac:dyDescent="0.25">
      <c r="A720">
        <v>56</v>
      </c>
      <c r="B720" t="s">
        <v>222</v>
      </c>
      <c r="C720">
        <v>40</v>
      </c>
      <c r="D720" t="s">
        <v>105</v>
      </c>
      <c r="E720" t="s">
        <v>106</v>
      </c>
      <c r="F720">
        <v>0.81899999999999995</v>
      </c>
      <c r="G720" t="s">
        <v>14</v>
      </c>
    </row>
    <row r="721" spans="1:7" x14ac:dyDescent="0.25">
      <c r="A721">
        <v>56</v>
      </c>
      <c r="B721" t="s">
        <v>222</v>
      </c>
      <c r="C721">
        <v>50</v>
      </c>
      <c r="D721" t="s">
        <v>107</v>
      </c>
      <c r="E721" t="s">
        <v>15</v>
      </c>
      <c r="F721">
        <v>11.989000000000001</v>
      </c>
      <c r="G721" t="s">
        <v>14</v>
      </c>
    </row>
    <row r="722" spans="1:7" x14ac:dyDescent="0.25">
      <c r="A722">
        <v>56</v>
      </c>
      <c r="B722" t="s">
        <v>222</v>
      </c>
      <c r="C722">
        <v>60</v>
      </c>
      <c r="D722" t="s">
        <v>18</v>
      </c>
      <c r="E722" t="s">
        <v>15</v>
      </c>
      <c r="F722">
        <v>73.730999999999995</v>
      </c>
      <c r="G722" t="s">
        <v>14</v>
      </c>
    </row>
    <row r="723" spans="1:7" x14ac:dyDescent="0.25">
      <c r="A723">
        <v>56</v>
      </c>
      <c r="B723" t="s">
        <v>222</v>
      </c>
      <c r="C723">
        <v>70</v>
      </c>
      <c r="D723" t="s">
        <v>112</v>
      </c>
      <c r="E723" t="s">
        <v>11</v>
      </c>
      <c r="F723">
        <v>4</v>
      </c>
      <c r="G723" t="s">
        <v>14</v>
      </c>
    </row>
    <row r="724" spans="1:7" x14ac:dyDescent="0.25">
      <c r="A724">
        <v>56</v>
      </c>
      <c r="B724" t="s">
        <v>222</v>
      </c>
      <c r="C724">
        <v>80</v>
      </c>
      <c r="D724" t="s">
        <v>21</v>
      </c>
      <c r="E724" t="s">
        <v>11</v>
      </c>
      <c r="F724">
        <v>1</v>
      </c>
      <c r="G724" t="s">
        <v>14</v>
      </c>
    </row>
    <row r="725" spans="1:7" x14ac:dyDescent="0.25">
      <c r="A725">
        <v>56</v>
      </c>
      <c r="B725" t="s">
        <v>222</v>
      </c>
      <c r="C725">
        <v>90</v>
      </c>
      <c r="D725" t="s">
        <v>22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222</v>
      </c>
      <c r="C726">
        <v>100</v>
      </c>
      <c r="D726" t="s">
        <v>23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222</v>
      </c>
      <c r="C727">
        <v>110</v>
      </c>
      <c r="D727" t="s">
        <v>110</v>
      </c>
      <c r="E727" t="s">
        <v>13</v>
      </c>
      <c r="F727">
        <v>1.216</v>
      </c>
      <c r="G727" t="s">
        <v>14</v>
      </c>
    </row>
    <row r="728" spans="1:7" x14ac:dyDescent="0.25">
      <c r="A728">
        <v>56</v>
      </c>
      <c r="B728" t="s">
        <v>222</v>
      </c>
      <c r="C728">
        <v>120</v>
      </c>
      <c r="D728" t="s">
        <v>373</v>
      </c>
      <c r="E728" t="s">
        <v>11</v>
      </c>
      <c r="F728">
        <v>2</v>
      </c>
      <c r="G728" t="s">
        <v>16</v>
      </c>
    </row>
    <row r="729" spans="1:7" x14ac:dyDescent="0.25">
      <c r="A729">
        <v>56</v>
      </c>
      <c r="B729" t="s">
        <v>222</v>
      </c>
      <c r="C729">
        <v>130</v>
      </c>
      <c r="D729" t="s">
        <v>223</v>
      </c>
      <c r="E729" t="s">
        <v>11</v>
      </c>
      <c r="F729">
        <v>2</v>
      </c>
      <c r="G729" t="s">
        <v>16</v>
      </c>
    </row>
    <row r="730" spans="1:7" x14ac:dyDescent="0.25">
      <c r="A730">
        <v>57</v>
      </c>
      <c r="B730" t="s">
        <v>224</v>
      </c>
      <c r="C730">
        <v>10</v>
      </c>
      <c r="D730" t="s">
        <v>374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224</v>
      </c>
      <c r="C731">
        <v>20</v>
      </c>
      <c r="D731" t="s">
        <v>109</v>
      </c>
      <c r="E731" t="s">
        <v>15</v>
      </c>
      <c r="F731">
        <v>2.1840000000000002</v>
      </c>
      <c r="G731" t="s">
        <v>16</v>
      </c>
    </row>
    <row r="732" spans="1:7" x14ac:dyDescent="0.25">
      <c r="A732">
        <v>57</v>
      </c>
      <c r="B732" t="s">
        <v>224</v>
      </c>
      <c r="C732">
        <v>30</v>
      </c>
      <c r="D732" t="s">
        <v>18</v>
      </c>
      <c r="E732" t="s">
        <v>15</v>
      </c>
      <c r="F732">
        <v>98.754999999999995</v>
      </c>
      <c r="G732" t="s">
        <v>14</v>
      </c>
    </row>
    <row r="733" spans="1:7" x14ac:dyDescent="0.25">
      <c r="A733">
        <v>57</v>
      </c>
      <c r="B733" t="s">
        <v>224</v>
      </c>
      <c r="C733">
        <v>40</v>
      </c>
      <c r="D733" t="s">
        <v>105</v>
      </c>
      <c r="E733" t="s">
        <v>106</v>
      </c>
      <c r="F733">
        <v>0.95899999999999996</v>
      </c>
      <c r="G733" t="s">
        <v>14</v>
      </c>
    </row>
    <row r="734" spans="1:7" x14ac:dyDescent="0.25">
      <c r="A734">
        <v>57</v>
      </c>
      <c r="B734" t="s">
        <v>224</v>
      </c>
      <c r="C734">
        <v>50</v>
      </c>
      <c r="D734" t="s">
        <v>107</v>
      </c>
      <c r="E734" t="s">
        <v>15</v>
      </c>
      <c r="F734">
        <v>12.598000000000001</v>
      </c>
      <c r="G734" t="s">
        <v>14</v>
      </c>
    </row>
    <row r="735" spans="1:7" x14ac:dyDescent="0.25">
      <c r="A735">
        <v>57</v>
      </c>
      <c r="B735" t="s">
        <v>224</v>
      </c>
      <c r="C735">
        <v>60</v>
      </c>
      <c r="D735" t="s">
        <v>18</v>
      </c>
      <c r="E735" t="s">
        <v>15</v>
      </c>
      <c r="F735">
        <v>77.48</v>
      </c>
      <c r="G735" t="s">
        <v>14</v>
      </c>
    </row>
    <row r="736" spans="1:7" x14ac:dyDescent="0.25">
      <c r="A736">
        <v>57</v>
      </c>
      <c r="B736" t="s">
        <v>224</v>
      </c>
      <c r="C736">
        <v>70</v>
      </c>
      <c r="D736" t="s">
        <v>112</v>
      </c>
      <c r="E736" t="s">
        <v>11</v>
      </c>
      <c r="F736">
        <v>4</v>
      </c>
      <c r="G736" t="s">
        <v>14</v>
      </c>
    </row>
    <row r="737" spans="1:7" x14ac:dyDescent="0.25">
      <c r="A737">
        <v>57</v>
      </c>
      <c r="B737" t="s">
        <v>224</v>
      </c>
      <c r="C737">
        <v>80</v>
      </c>
      <c r="D737" t="s">
        <v>21</v>
      </c>
      <c r="E737" t="s">
        <v>11</v>
      </c>
      <c r="F737">
        <v>1</v>
      </c>
      <c r="G737" t="s">
        <v>14</v>
      </c>
    </row>
    <row r="738" spans="1:7" x14ac:dyDescent="0.25">
      <c r="A738">
        <v>57</v>
      </c>
      <c r="B738" t="s">
        <v>224</v>
      </c>
      <c r="C738">
        <v>90</v>
      </c>
      <c r="D738" t="s">
        <v>22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224</v>
      </c>
      <c r="C739">
        <v>100</v>
      </c>
      <c r="D739" t="s">
        <v>23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224</v>
      </c>
      <c r="C740">
        <v>110</v>
      </c>
      <c r="D740" t="s">
        <v>110</v>
      </c>
      <c r="E740" t="s">
        <v>13</v>
      </c>
      <c r="F740">
        <v>1.216</v>
      </c>
      <c r="G740" t="s">
        <v>14</v>
      </c>
    </row>
    <row r="741" spans="1:7" x14ac:dyDescent="0.25">
      <c r="A741">
        <v>57</v>
      </c>
      <c r="B741" t="s">
        <v>224</v>
      </c>
      <c r="C741">
        <v>120</v>
      </c>
      <c r="D741" t="s">
        <v>375</v>
      </c>
      <c r="E741" t="s">
        <v>11</v>
      </c>
      <c r="F741">
        <v>2</v>
      </c>
      <c r="G741" t="s">
        <v>16</v>
      </c>
    </row>
    <row r="742" spans="1:7" x14ac:dyDescent="0.25">
      <c r="A742">
        <v>57</v>
      </c>
      <c r="B742" t="s">
        <v>224</v>
      </c>
      <c r="C742">
        <v>130</v>
      </c>
      <c r="D742" t="s">
        <v>225</v>
      </c>
      <c r="E742" t="s">
        <v>11</v>
      </c>
      <c r="F742">
        <v>2</v>
      </c>
      <c r="G742" t="s">
        <v>16</v>
      </c>
    </row>
    <row r="743" spans="1:7" x14ac:dyDescent="0.25">
      <c r="A743">
        <v>58</v>
      </c>
      <c r="B743" t="s">
        <v>226</v>
      </c>
      <c r="C743">
        <v>10</v>
      </c>
      <c r="D743" t="s">
        <v>376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226</v>
      </c>
      <c r="C744">
        <v>20</v>
      </c>
      <c r="D744" t="s">
        <v>109</v>
      </c>
      <c r="E744" t="s">
        <v>15</v>
      </c>
      <c r="F744">
        <v>2.4889999999999999</v>
      </c>
      <c r="G744" t="s">
        <v>16</v>
      </c>
    </row>
    <row r="745" spans="1:7" x14ac:dyDescent="0.25">
      <c r="A745">
        <v>58</v>
      </c>
      <c r="B745" t="s">
        <v>226</v>
      </c>
      <c r="C745">
        <v>30</v>
      </c>
      <c r="D745" t="s">
        <v>18</v>
      </c>
      <c r="E745" t="s">
        <v>15</v>
      </c>
      <c r="F745">
        <v>103.63200000000001</v>
      </c>
      <c r="G745" t="s">
        <v>14</v>
      </c>
    </row>
    <row r="746" spans="1:7" x14ac:dyDescent="0.25">
      <c r="A746">
        <v>58</v>
      </c>
      <c r="B746" t="s">
        <v>226</v>
      </c>
      <c r="C746">
        <v>40</v>
      </c>
      <c r="D746" t="s">
        <v>105</v>
      </c>
      <c r="E746" t="s">
        <v>106</v>
      </c>
      <c r="F746">
        <v>1.099</v>
      </c>
      <c r="G746" t="s">
        <v>14</v>
      </c>
    </row>
    <row r="747" spans="1:7" x14ac:dyDescent="0.25">
      <c r="A747">
        <v>58</v>
      </c>
      <c r="B747" t="s">
        <v>226</v>
      </c>
      <c r="C747">
        <v>50</v>
      </c>
      <c r="D747" t="s">
        <v>107</v>
      </c>
      <c r="E747" t="s">
        <v>15</v>
      </c>
      <c r="F747">
        <v>13.208</v>
      </c>
      <c r="G747" t="s">
        <v>14</v>
      </c>
    </row>
    <row r="748" spans="1:7" x14ac:dyDescent="0.25">
      <c r="A748">
        <v>58</v>
      </c>
      <c r="B748" t="s">
        <v>226</v>
      </c>
      <c r="C748">
        <v>60</v>
      </c>
      <c r="D748" t="s">
        <v>18</v>
      </c>
      <c r="E748" t="s">
        <v>15</v>
      </c>
      <c r="F748">
        <v>81.228999999999999</v>
      </c>
      <c r="G748" t="s">
        <v>14</v>
      </c>
    </row>
    <row r="749" spans="1:7" x14ac:dyDescent="0.25">
      <c r="A749">
        <v>58</v>
      </c>
      <c r="B749" t="s">
        <v>226</v>
      </c>
      <c r="C749">
        <v>70</v>
      </c>
      <c r="D749" t="s">
        <v>112</v>
      </c>
      <c r="E749" t="s">
        <v>11</v>
      </c>
      <c r="F749">
        <v>4</v>
      </c>
      <c r="G749" t="s">
        <v>14</v>
      </c>
    </row>
    <row r="750" spans="1:7" x14ac:dyDescent="0.25">
      <c r="A750">
        <v>58</v>
      </c>
      <c r="B750" t="s">
        <v>226</v>
      </c>
      <c r="C750">
        <v>80</v>
      </c>
      <c r="D750" t="s">
        <v>21</v>
      </c>
      <c r="E750" t="s">
        <v>11</v>
      </c>
      <c r="F750">
        <v>1</v>
      </c>
      <c r="G750" t="s">
        <v>14</v>
      </c>
    </row>
    <row r="751" spans="1:7" x14ac:dyDescent="0.25">
      <c r="A751">
        <v>58</v>
      </c>
      <c r="B751" t="s">
        <v>226</v>
      </c>
      <c r="C751">
        <v>90</v>
      </c>
      <c r="D751" t="s">
        <v>22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226</v>
      </c>
      <c r="C752">
        <v>100</v>
      </c>
      <c r="D752" t="s">
        <v>23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226</v>
      </c>
      <c r="C753">
        <v>110</v>
      </c>
      <c r="D753" t="s">
        <v>110</v>
      </c>
      <c r="E753" t="s">
        <v>13</v>
      </c>
      <c r="F753">
        <v>1.216</v>
      </c>
      <c r="G753" t="s">
        <v>14</v>
      </c>
    </row>
    <row r="754" spans="1:7" x14ac:dyDescent="0.25">
      <c r="A754">
        <v>58</v>
      </c>
      <c r="B754" t="s">
        <v>226</v>
      </c>
      <c r="C754">
        <v>120</v>
      </c>
      <c r="D754" t="s">
        <v>377</v>
      </c>
      <c r="E754" t="s">
        <v>11</v>
      </c>
      <c r="F754">
        <v>2</v>
      </c>
      <c r="G754" t="s">
        <v>16</v>
      </c>
    </row>
    <row r="755" spans="1:7" x14ac:dyDescent="0.25">
      <c r="A755">
        <v>58</v>
      </c>
      <c r="B755" t="s">
        <v>226</v>
      </c>
      <c r="C755">
        <v>130</v>
      </c>
      <c r="D755" t="s">
        <v>227</v>
      </c>
      <c r="E755" t="s">
        <v>11</v>
      </c>
      <c r="F755">
        <v>2</v>
      </c>
      <c r="G755" t="s">
        <v>16</v>
      </c>
    </row>
    <row r="756" spans="1:7" x14ac:dyDescent="0.25">
      <c r="A756">
        <v>59</v>
      </c>
      <c r="B756" t="s">
        <v>228</v>
      </c>
      <c r="C756">
        <v>10</v>
      </c>
      <c r="D756" t="s">
        <v>378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228</v>
      </c>
      <c r="C757">
        <v>20</v>
      </c>
      <c r="D757" t="s">
        <v>109</v>
      </c>
      <c r="E757" t="s">
        <v>15</v>
      </c>
      <c r="F757">
        <v>3.0990000000000002</v>
      </c>
      <c r="G757" t="s">
        <v>16</v>
      </c>
    </row>
    <row r="758" spans="1:7" x14ac:dyDescent="0.25">
      <c r="A758">
        <v>59</v>
      </c>
      <c r="B758" t="s">
        <v>228</v>
      </c>
      <c r="C758">
        <v>30</v>
      </c>
      <c r="D758" t="s">
        <v>18</v>
      </c>
      <c r="E758" t="s">
        <v>15</v>
      </c>
      <c r="F758">
        <v>113.386</v>
      </c>
      <c r="G758" t="s">
        <v>14</v>
      </c>
    </row>
    <row r="759" spans="1:7" x14ac:dyDescent="0.25">
      <c r="A759">
        <v>59</v>
      </c>
      <c r="B759" t="s">
        <v>228</v>
      </c>
      <c r="C759">
        <v>40</v>
      </c>
      <c r="D759" t="s">
        <v>105</v>
      </c>
      <c r="E759" t="s">
        <v>106</v>
      </c>
      <c r="F759">
        <v>1.38</v>
      </c>
      <c r="G759" t="s">
        <v>14</v>
      </c>
    </row>
    <row r="760" spans="1:7" x14ac:dyDescent="0.25">
      <c r="A760">
        <v>59</v>
      </c>
      <c r="B760" t="s">
        <v>228</v>
      </c>
      <c r="C760">
        <v>50</v>
      </c>
      <c r="D760" t="s">
        <v>107</v>
      </c>
      <c r="E760" t="s">
        <v>15</v>
      </c>
      <c r="F760">
        <v>14.427</v>
      </c>
      <c r="G760" t="s">
        <v>14</v>
      </c>
    </row>
    <row r="761" spans="1:7" x14ac:dyDescent="0.25">
      <c r="A761">
        <v>59</v>
      </c>
      <c r="B761" t="s">
        <v>228</v>
      </c>
      <c r="C761">
        <v>60</v>
      </c>
      <c r="D761" t="s">
        <v>18</v>
      </c>
      <c r="E761" t="s">
        <v>15</v>
      </c>
      <c r="F761">
        <v>88.727000000000004</v>
      </c>
      <c r="G761" t="s">
        <v>14</v>
      </c>
    </row>
    <row r="762" spans="1:7" x14ac:dyDescent="0.25">
      <c r="A762">
        <v>59</v>
      </c>
      <c r="B762" t="s">
        <v>228</v>
      </c>
      <c r="C762">
        <v>70</v>
      </c>
      <c r="D762" t="s">
        <v>112</v>
      </c>
      <c r="E762" t="s">
        <v>11</v>
      </c>
      <c r="F762">
        <v>4</v>
      </c>
      <c r="G762" t="s">
        <v>14</v>
      </c>
    </row>
    <row r="763" spans="1:7" x14ac:dyDescent="0.25">
      <c r="A763">
        <v>59</v>
      </c>
      <c r="B763" t="s">
        <v>228</v>
      </c>
      <c r="C763">
        <v>80</v>
      </c>
      <c r="D763" t="s">
        <v>21</v>
      </c>
      <c r="E763" t="s">
        <v>11</v>
      </c>
      <c r="F763">
        <v>1</v>
      </c>
      <c r="G763" t="s">
        <v>14</v>
      </c>
    </row>
    <row r="764" spans="1:7" x14ac:dyDescent="0.25">
      <c r="A764">
        <v>59</v>
      </c>
      <c r="B764" t="s">
        <v>228</v>
      </c>
      <c r="C764">
        <v>90</v>
      </c>
      <c r="D764" t="s">
        <v>22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228</v>
      </c>
      <c r="C765">
        <v>100</v>
      </c>
      <c r="D765" t="s">
        <v>23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228</v>
      </c>
      <c r="C766">
        <v>110</v>
      </c>
      <c r="D766" t="s">
        <v>110</v>
      </c>
      <c r="E766" t="s">
        <v>13</v>
      </c>
      <c r="F766">
        <v>1.216</v>
      </c>
      <c r="G766" t="s">
        <v>14</v>
      </c>
    </row>
    <row r="767" spans="1:7" x14ac:dyDescent="0.25">
      <c r="A767">
        <v>59</v>
      </c>
      <c r="B767" t="s">
        <v>228</v>
      </c>
      <c r="C767">
        <v>120</v>
      </c>
      <c r="D767" t="s">
        <v>379</v>
      </c>
      <c r="E767" t="s">
        <v>11</v>
      </c>
      <c r="F767">
        <v>2</v>
      </c>
      <c r="G767" t="s">
        <v>16</v>
      </c>
    </row>
    <row r="768" spans="1:7" x14ac:dyDescent="0.25">
      <c r="A768">
        <v>59</v>
      </c>
      <c r="B768" t="s">
        <v>228</v>
      </c>
      <c r="C768">
        <v>130</v>
      </c>
      <c r="D768" t="s">
        <v>229</v>
      </c>
      <c r="E768" t="s">
        <v>11</v>
      </c>
      <c r="F768">
        <v>2</v>
      </c>
      <c r="G768" t="s">
        <v>16</v>
      </c>
    </row>
    <row r="769" spans="1:7" x14ac:dyDescent="0.25">
      <c r="A769">
        <v>60</v>
      </c>
      <c r="B769" t="s">
        <v>230</v>
      </c>
      <c r="C769">
        <v>10</v>
      </c>
      <c r="D769" t="s">
        <v>380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230</v>
      </c>
      <c r="C770">
        <v>20</v>
      </c>
      <c r="D770" t="s">
        <v>109</v>
      </c>
      <c r="E770" t="s">
        <v>15</v>
      </c>
      <c r="F770">
        <v>3.4039999999999999</v>
      </c>
      <c r="G770" t="s">
        <v>16</v>
      </c>
    </row>
    <row r="771" spans="1:7" x14ac:dyDescent="0.25">
      <c r="A771">
        <v>60</v>
      </c>
      <c r="B771" t="s">
        <v>230</v>
      </c>
      <c r="C771">
        <v>30</v>
      </c>
      <c r="D771" t="s">
        <v>18</v>
      </c>
      <c r="E771" t="s">
        <v>15</v>
      </c>
      <c r="F771">
        <v>118.262</v>
      </c>
      <c r="G771" t="s">
        <v>14</v>
      </c>
    </row>
    <row r="772" spans="1:7" x14ac:dyDescent="0.25">
      <c r="A772">
        <v>60</v>
      </c>
      <c r="B772" t="s">
        <v>230</v>
      </c>
      <c r="C772">
        <v>40</v>
      </c>
      <c r="D772" t="s">
        <v>105</v>
      </c>
      <c r="E772" t="s">
        <v>106</v>
      </c>
      <c r="F772">
        <v>1.52</v>
      </c>
      <c r="G772" t="s">
        <v>14</v>
      </c>
    </row>
    <row r="773" spans="1:7" x14ac:dyDescent="0.25">
      <c r="A773">
        <v>60</v>
      </c>
      <c r="B773" t="s">
        <v>230</v>
      </c>
      <c r="C773">
        <v>50</v>
      </c>
      <c r="D773" t="s">
        <v>107</v>
      </c>
      <c r="E773" t="s">
        <v>15</v>
      </c>
      <c r="F773">
        <v>15.037000000000001</v>
      </c>
      <c r="G773" t="s">
        <v>14</v>
      </c>
    </row>
    <row r="774" spans="1:7" x14ac:dyDescent="0.25">
      <c r="A774">
        <v>60</v>
      </c>
      <c r="B774" t="s">
        <v>230</v>
      </c>
      <c r="C774">
        <v>60</v>
      </c>
      <c r="D774" t="s">
        <v>18</v>
      </c>
      <c r="E774" t="s">
        <v>15</v>
      </c>
      <c r="F774">
        <v>92.475999999999999</v>
      </c>
      <c r="G774" t="s">
        <v>14</v>
      </c>
    </row>
    <row r="775" spans="1:7" x14ac:dyDescent="0.25">
      <c r="A775">
        <v>60</v>
      </c>
      <c r="B775" t="s">
        <v>230</v>
      </c>
      <c r="C775">
        <v>70</v>
      </c>
      <c r="D775" t="s">
        <v>112</v>
      </c>
      <c r="E775" t="s">
        <v>11</v>
      </c>
      <c r="F775">
        <v>4</v>
      </c>
      <c r="G775" t="s">
        <v>14</v>
      </c>
    </row>
    <row r="776" spans="1:7" x14ac:dyDescent="0.25">
      <c r="A776">
        <v>60</v>
      </c>
      <c r="B776" t="s">
        <v>230</v>
      </c>
      <c r="C776">
        <v>80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60</v>
      </c>
      <c r="B777" t="s">
        <v>230</v>
      </c>
      <c r="C777">
        <v>90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230</v>
      </c>
      <c r="C778">
        <v>100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230</v>
      </c>
      <c r="C779">
        <v>110</v>
      </c>
      <c r="D779" t="s">
        <v>110</v>
      </c>
      <c r="E779" t="s">
        <v>13</v>
      </c>
      <c r="F779">
        <v>1.216</v>
      </c>
      <c r="G779" t="s">
        <v>14</v>
      </c>
    </row>
    <row r="780" spans="1:7" x14ac:dyDescent="0.25">
      <c r="A780">
        <v>60</v>
      </c>
      <c r="B780" t="s">
        <v>230</v>
      </c>
      <c r="C780">
        <v>120</v>
      </c>
      <c r="D780" t="s">
        <v>381</v>
      </c>
      <c r="E780" t="s">
        <v>11</v>
      </c>
      <c r="F780">
        <v>2</v>
      </c>
      <c r="G780" t="s">
        <v>16</v>
      </c>
    </row>
    <row r="781" spans="1:7" x14ac:dyDescent="0.25">
      <c r="A781">
        <v>60</v>
      </c>
      <c r="B781" t="s">
        <v>230</v>
      </c>
      <c r="C781">
        <v>130</v>
      </c>
      <c r="D781" t="s">
        <v>231</v>
      </c>
      <c r="E781" t="s">
        <v>11</v>
      </c>
      <c r="F781">
        <v>2</v>
      </c>
      <c r="G781" t="s">
        <v>16</v>
      </c>
    </row>
    <row r="782" spans="1:7" x14ac:dyDescent="0.25">
      <c r="A782">
        <v>61</v>
      </c>
      <c r="B782" t="s">
        <v>232</v>
      </c>
      <c r="C782">
        <v>10</v>
      </c>
      <c r="D782" t="s">
        <v>382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232</v>
      </c>
      <c r="C783">
        <v>20</v>
      </c>
      <c r="D783" t="s">
        <v>109</v>
      </c>
      <c r="E783" t="s">
        <v>15</v>
      </c>
      <c r="F783">
        <v>3.7080000000000002</v>
      </c>
      <c r="G783" t="s">
        <v>16</v>
      </c>
    </row>
    <row r="784" spans="1:7" x14ac:dyDescent="0.25">
      <c r="A784">
        <v>61</v>
      </c>
      <c r="B784" t="s">
        <v>232</v>
      </c>
      <c r="C784">
        <v>30</v>
      </c>
      <c r="D784" t="s">
        <v>18</v>
      </c>
      <c r="E784" t="s">
        <v>15</v>
      </c>
      <c r="F784">
        <v>123.139</v>
      </c>
      <c r="G784" t="s">
        <v>14</v>
      </c>
    </row>
    <row r="785" spans="1:7" x14ac:dyDescent="0.25">
      <c r="A785">
        <v>61</v>
      </c>
      <c r="B785" t="s">
        <v>232</v>
      </c>
      <c r="C785">
        <v>40</v>
      </c>
      <c r="D785" t="s">
        <v>105</v>
      </c>
      <c r="E785" t="s">
        <v>106</v>
      </c>
      <c r="F785">
        <v>1.661</v>
      </c>
      <c r="G785" t="s">
        <v>14</v>
      </c>
    </row>
    <row r="786" spans="1:7" x14ac:dyDescent="0.25">
      <c r="A786">
        <v>61</v>
      </c>
      <c r="B786" t="s">
        <v>232</v>
      </c>
      <c r="C786">
        <v>50</v>
      </c>
      <c r="D786" t="s">
        <v>107</v>
      </c>
      <c r="E786" t="s">
        <v>15</v>
      </c>
      <c r="F786">
        <v>15.646000000000001</v>
      </c>
      <c r="G786" t="s">
        <v>14</v>
      </c>
    </row>
    <row r="787" spans="1:7" x14ac:dyDescent="0.25">
      <c r="A787">
        <v>61</v>
      </c>
      <c r="B787" t="s">
        <v>232</v>
      </c>
      <c r="C787">
        <v>60</v>
      </c>
      <c r="D787" t="s">
        <v>18</v>
      </c>
      <c r="E787" t="s">
        <v>15</v>
      </c>
      <c r="F787">
        <v>96.224999999999994</v>
      </c>
      <c r="G787" t="s">
        <v>14</v>
      </c>
    </row>
    <row r="788" spans="1:7" x14ac:dyDescent="0.25">
      <c r="A788">
        <v>61</v>
      </c>
      <c r="B788" t="s">
        <v>232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61</v>
      </c>
      <c r="B789" t="s">
        <v>232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61</v>
      </c>
      <c r="B790" t="s">
        <v>232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232</v>
      </c>
      <c r="C792">
        <v>110</v>
      </c>
      <c r="D792" t="s">
        <v>110</v>
      </c>
      <c r="E792" t="s">
        <v>13</v>
      </c>
      <c r="F792">
        <v>1.216</v>
      </c>
      <c r="G792" t="s">
        <v>14</v>
      </c>
    </row>
    <row r="793" spans="1:7" x14ac:dyDescent="0.25">
      <c r="A793">
        <v>61</v>
      </c>
      <c r="B793" t="s">
        <v>232</v>
      </c>
      <c r="C793">
        <v>120</v>
      </c>
      <c r="D793" t="s">
        <v>383</v>
      </c>
      <c r="E793" t="s">
        <v>11</v>
      </c>
      <c r="F793">
        <v>2</v>
      </c>
      <c r="G793" t="s">
        <v>16</v>
      </c>
    </row>
    <row r="794" spans="1:7" x14ac:dyDescent="0.25">
      <c r="A794">
        <v>61</v>
      </c>
      <c r="B794" t="s">
        <v>232</v>
      </c>
      <c r="C794">
        <v>130</v>
      </c>
      <c r="D794" t="s">
        <v>233</v>
      </c>
      <c r="E794" t="s">
        <v>11</v>
      </c>
      <c r="F794">
        <v>2</v>
      </c>
      <c r="G794" t="s">
        <v>16</v>
      </c>
    </row>
    <row r="795" spans="1:7" x14ac:dyDescent="0.25">
      <c r="A795">
        <v>62</v>
      </c>
      <c r="B795" t="s">
        <v>234</v>
      </c>
      <c r="C795">
        <v>10</v>
      </c>
      <c r="D795" t="s">
        <v>384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234</v>
      </c>
      <c r="C796">
        <v>20</v>
      </c>
      <c r="D796" t="s">
        <v>109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234</v>
      </c>
      <c r="C797">
        <v>30</v>
      </c>
      <c r="D797" t="s">
        <v>18</v>
      </c>
      <c r="E797" t="s">
        <v>15</v>
      </c>
      <c r="F797">
        <v>90.626999999999995</v>
      </c>
      <c r="G797" t="s">
        <v>14</v>
      </c>
    </row>
    <row r="798" spans="1:7" x14ac:dyDescent="0.25">
      <c r="A798">
        <v>62</v>
      </c>
      <c r="B798" t="s">
        <v>234</v>
      </c>
      <c r="C798">
        <v>40</v>
      </c>
      <c r="D798" t="s">
        <v>105</v>
      </c>
      <c r="E798" t="s">
        <v>106</v>
      </c>
      <c r="F798">
        <v>0.69599999999999995</v>
      </c>
      <c r="G798" t="s">
        <v>14</v>
      </c>
    </row>
    <row r="799" spans="1:7" x14ac:dyDescent="0.25">
      <c r="A799">
        <v>62</v>
      </c>
      <c r="B799" t="s">
        <v>234</v>
      </c>
      <c r="C799">
        <v>50</v>
      </c>
      <c r="D799" t="s">
        <v>107</v>
      </c>
      <c r="E799" t="s">
        <v>15</v>
      </c>
      <c r="F799">
        <v>11.582000000000001</v>
      </c>
      <c r="G799" t="s">
        <v>14</v>
      </c>
    </row>
    <row r="800" spans="1:7" x14ac:dyDescent="0.25">
      <c r="A800">
        <v>62</v>
      </c>
      <c r="B800" t="s">
        <v>234</v>
      </c>
      <c r="C800">
        <v>60</v>
      </c>
      <c r="D800" t="s">
        <v>18</v>
      </c>
      <c r="E800" t="s">
        <v>15</v>
      </c>
      <c r="F800">
        <v>71.231999999999999</v>
      </c>
      <c r="G800" t="s">
        <v>14</v>
      </c>
    </row>
    <row r="801" spans="1:7" x14ac:dyDescent="0.25">
      <c r="A801">
        <v>62</v>
      </c>
      <c r="B801" t="s">
        <v>234</v>
      </c>
      <c r="C801">
        <v>70</v>
      </c>
      <c r="D801" t="s">
        <v>112</v>
      </c>
      <c r="E801" t="s">
        <v>11</v>
      </c>
      <c r="F801">
        <v>4</v>
      </c>
      <c r="G801" t="s">
        <v>14</v>
      </c>
    </row>
    <row r="802" spans="1:7" x14ac:dyDescent="0.25">
      <c r="A802">
        <v>62</v>
      </c>
      <c r="B802" t="s">
        <v>234</v>
      </c>
      <c r="C802">
        <v>80</v>
      </c>
      <c r="D802" t="s">
        <v>21</v>
      </c>
      <c r="E802" t="s">
        <v>11</v>
      </c>
      <c r="F802">
        <v>1</v>
      </c>
      <c r="G802" t="s">
        <v>14</v>
      </c>
    </row>
    <row r="803" spans="1:7" x14ac:dyDescent="0.25">
      <c r="A803">
        <v>62</v>
      </c>
      <c r="B803" t="s">
        <v>234</v>
      </c>
      <c r="C803">
        <v>90</v>
      </c>
      <c r="D803" t="s">
        <v>22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234</v>
      </c>
      <c r="C804">
        <v>100</v>
      </c>
      <c r="D804" t="s">
        <v>23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234</v>
      </c>
      <c r="C805">
        <v>110</v>
      </c>
      <c r="D805" t="s">
        <v>110</v>
      </c>
      <c r="E805" t="s">
        <v>13</v>
      </c>
      <c r="F805">
        <v>1.2430000000000001</v>
      </c>
      <c r="G805" t="s">
        <v>14</v>
      </c>
    </row>
    <row r="806" spans="1:7" x14ac:dyDescent="0.25">
      <c r="A806">
        <v>62</v>
      </c>
      <c r="B806" t="s">
        <v>234</v>
      </c>
      <c r="C806">
        <v>120</v>
      </c>
      <c r="D806" t="s">
        <v>385</v>
      </c>
      <c r="E806" t="s">
        <v>11</v>
      </c>
      <c r="F806">
        <v>2</v>
      </c>
      <c r="G806" t="s">
        <v>16</v>
      </c>
    </row>
    <row r="807" spans="1:7" x14ac:dyDescent="0.25">
      <c r="A807">
        <v>62</v>
      </c>
      <c r="B807" t="s">
        <v>234</v>
      </c>
      <c r="C807">
        <v>130</v>
      </c>
      <c r="D807" t="s">
        <v>235</v>
      </c>
      <c r="E807" t="s">
        <v>11</v>
      </c>
      <c r="F807">
        <v>2</v>
      </c>
      <c r="G807" t="s">
        <v>16</v>
      </c>
    </row>
    <row r="808" spans="1:7" x14ac:dyDescent="0.25">
      <c r="A808">
        <v>63</v>
      </c>
      <c r="B808" t="s">
        <v>236</v>
      </c>
      <c r="C808">
        <v>10</v>
      </c>
      <c r="D808" t="s">
        <v>386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236</v>
      </c>
      <c r="C809">
        <v>20</v>
      </c>
      <c r="D809" t="s">
        <v>109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236</v>
      </c>
      <c r="C810">
        <v>30</v>
      </c>
      <c r="D810" t="s">
        <v>18</v>
      </c>
      <c r="E810" t="s">
        <v>15</v>
      </c>
      <c r="F810">
        <v>95.504000000000005</v>
      </c>
      <c r="G810" t="s">
        <v>14</v>
      </c>
    </row>
    <row r="811" spans="1:7" x14ac:dyDescent="0.25">
      <c r="A811">
        <v>63</v>
      </c>
      <c r="B811" t="s">
        <v>236</v>
      </c>
      <c r="C811">
        <v>40</v>
      </c>
      <c r="D811" t="s">
        <v>105</v>
      </c>
      <c r="E811" t="s">
        <v>106</v>
      </c>
      <c r="F811">
        <v>0.84</v>
      </c>
      <c r="G811" t="s">
        <v>14</v>
      </c>
    </row>
    <row r="812" spans="1:7" x14ac:dyDescent="0.25">
      <c r="A812">
        <v>63</v>
      </c>
      <c r="B812" t="s">
        <v>236</v>
      </c>
      <c r="C812">
        <v>50</v>
      </c>
      <c r="D812" t="s">
        <v>107</v>
      </c>
      <c r="E812" t="s">
        <v>15</v>
      </c>
      <c r="F812">
        <v>12.192</v>
      </c>
      <c r="G812" t="s">
        <v>14</v>
      </c>
    </row>
    <row r="813" spans="1:7" x14ac:dyDescent="0.25">
      <c r="A813">
        <v>63</v>
      </c>
      <c r="B813" t="s">
        <v>236</v>
      </c>
      <c r="C813">
        <v>60</v>
      </c>
      <c r="D813" t="s">
        <v>18</v>
      </c>
      <c r="E813" t="s">
        <v>15</v>
      </c>
      <c r="F813">
        <v>74.980999999999995</v>
      </c>
      <c r="G813" t="s">
        <v>14</v>
      </c>
    </row>
    <row r="814" spans="1:7" x14ac:dyDescent="0.25">
      <c r="A814">
        <v>63</v>
      </c>
      <c r="B814" t="s">
        <v>236</v>
      </c>
      <c r="C814">
        <v>70</v>
      </c>
      <c r="D814" t="s">
        <v>112</v>
      </c>
      <c r="E814" t="s">
        <v>11</v>
      </c>
      <c r="F814">
        <v>4</v>
      </c>
      <c r="G814" t="s">
        <v>14</v>
      </c>
    </row>
    <row r="815" spans="1:7" x14ac:dyDescent="0.25">
      <c r="A815">
        <v>63</v>
      </c>
      <c r="B815" t="s">
        <v>236</v>
      </c>
      <c r="C815">
        <v>80</v>
      </c>
      <c r="D815" t="s">
        <v>21</v>
      </c>
      <c r="E815" t="s">
        <v>11</v>
      </c>
      <c r="F815">
        <v>1</v>
      </c>
      <c r="G815" t="s">
        <v>14</v>
      </c>
    </row>
    <row r="816" spans="1:7" x14ac:dyDescent="0.25">
      <c r="A816">
        <v>63</v>
      </c>
      <c r="B816" t="s">
        <v>236</v>
      </c>
      <c r="C816">
        <v>90</v>
      </c>
      <c r="D816" t="s">
        <v>22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236</v>
      </c>
      <c r="C817">
        <v>100</v>
      </c>
      <c r="D817" t="s">
        <v>23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236</v>
      </c>
      <c r="C818">
        <v>110</v>
      </c>
      <c r="D818" t="s">
        <v>110</v>
      </c>
      <c r="E818" t="s">
        <v>13</v>
      </c>
      <c r="F818">
        <v>1.2430000000000001</v>
      </c>
      <c r="G818" t="s">
        <v>14</v>
      </c>
    </row>
    <row r="819" spans="1:7" x14ac:dyDescent="0.25">
      <c r="A819">
        <v>63</v>
      </c>
      <c r="B819" t="s">
        <v>236</v>
      </c>
      <c r="C819">
        <v>120</v>
      </c>
      <c r="D819" t="s">
        <v>387</v>
      </c>
      <c r="E819" t="s">
        <v>11</v>
      </c>
      <c r="F819">
        <v>2</v>
      </c>
      <c r="G819" t="s">
        <v>16</v>
      </c>
    </row>
    <row r="820" spans="1:7" x14ac:dyDescent="0.25">
      <c r="A820">
        <v>63</v>
      </c>
      <c r="B820" t="s">
        <v>236</v>
      </c>
      <c r="C820">
        <v>130</v>
      </c>
      <c r="D820" t="s">
        <v>237</v>
      </c>
      <c r="E820" t="s">
        <v>11</v>
      </c>
      <c r="F820">
        <v>2</v>
      </c>
      <c r="G820" t="s">
        <v>16</v>
      </c>
    </row>
    <row r="821" spans="1:7" x14ac:dyDescent="0.25">
      <c r="A821">
        <v>64</v>
      </c>
      <c r="B821" t="s">
        <v>238</v>
      </c>
      <c r="C821">
        <v>10</v>
      </c>
      <c r="D821" t="s">
        <v>388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238</v>
      </c>
      <c r="C822">
        <v>20</v>
      </c>
      <c r="D822" t="s">
        <v>109</v>
      </c>
      <c r="E822" t="s">
        <v>15</v>
      </c>
      <c r="F822">
        <v>4.1150000000000002</v>
      </c>
      <c r="G822" t="s">
        <v>16</v>
      </c>
    </row>
    <row r="823" spans="1:7" x14ac:dyDescent="0.25">
      <c r="A823">
        <v>64</v>
      </c>
      <c r="B823" t="s">
        <v>238</v>
      </c>
      <c r="C823">
        <v>30</v>
      </c>
      <c r="D823" t="s">
        <v>18</v>
      </c>
      <c r="E823" t="s">
        <v>15</v>
      </c>
      <c r="F823">
        <v>100.381</v>
      </c>
      <c r="G823" t="s">
        <v>14</v>
      </c>
    </row>
    <row r="824" spans="1:7" x14ac:dyDescent="0.25">
      <c r="A824">
        <v>64</v>
      </c>
      <c r="B824" t="s">
        <v>238</v>
      </c>
      <c r="C824">
        <v>40</v>
      </c>
      <c r="D824" t="s">
        <v>105</v>
      </c>
      <c r="E824" t="s">
        <v>106</v>
      </c>
      <c r="F824">
        <v>0.98399999999999999</v>
      </c>
      <c r="G824" t="s">
        <v>14</v>
      </c>
    </row>
    <row r="825" spans="1:7" x14ac:dyDescent="0.25">
      <c r="A825">
        <v>64</v>
      </c>
      <c r="B825" t="s">
        <v>238</v>
      </c>
      <c r="C825">
        <v>50</v>
      </c>
      <c r="D825" t="s">
        <v>107</v>
      </c>
      <c r="E825" t="s">
        <v>15</v>
      </c>
      <c r="F825">
        <v>12.802</v>
      </c>
      <c r="G825" t="s">
        <v>14</v>
      </c>
    </row>
    <row r="826" spans="1:7" x14ac:dyDescent="0.25">
      <c r="A826">
        <v>64</v>
      </c>
      <c r="B826" t="s">
        <v>238</v>
      </c>
      <c r="C826">
        <v>60</v>
      </c>
      <c r="D826" t="s">
        <v>18</v>
      </c>
      <c r="E826" t="s">
        <v>15</v>
      </c>
      <c r="F826">
        <v>78.73</v>
      </c>
      <c r="G826" t="s">
        <v>14</v>
      </c>
    </row>
    <row r="827" spans="1:7" x14ac:dyDescent="0.25">
      <c r="A827">
        <v>64</v>
      </c>
      <c r="B827" t="s">
        <v>238</v>
      </c>
      <c r="C827">
        <v>70</v>
      </c>
      <c r="D827" t="s">
        <v>112</v>
      </c>
      <c r="E827" t="s">
        <v>11</v>
      </c>
      <c r="F827">
        <v>4</v>
      </c>
      <c r="G827" t="s">
        <v>14</v>
      </c>
    </row>
    <row r="828" spans="1:7" x14ac:dyDescent="0.25">
      <c r="A828">
        <v>64</v>
      </c>
      <c r="B828" t="s">
        <v>238</v>
      </c>
      <c r="C828">
        <v>80</v>
      </c>
      <c r="D828" t="s">
        <v>21</v>
      </c>
      <c r="E828" t="s">
        <v>11</v>
      </c>
      <c r="F828">
        <v>1</v>
      </c>
      <c r="G828" t="s">
        <v>14</v>
      </c>
    </row>
    <row r="829" spans="1:7" x14ac:dyDescent="0.25">
      <c r="A829">
        <v>64</v>
      </c>
      <c r="B829" t="s">
        <v>238</v>
      </c>
      <c r="C829">
        <v>90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238</v>
      </c>
      <c r="C830">
        <v>100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238</v>
      </c>
      <c r="C831">
        <v>110</v>
      </c>
      <c r="D831" t="s">
        <v>110</v>
      </c>
      <c r="E831" t="s">
        <v>13</v>
      </c>
      <c r="F831">
        <v>1.2430000000000001</v>
      </c>
      <c r="G831" t="s">
        <v>14</v>
      </c>
    </row>
    <row r="832" spans="1:7" x14ac:dyDescent="0.25">
      <c r="A832">
        <v>64</v>
      </c>
      <c r="B832" t="s">
        <v>238</v>
      </c>
      <c r="C832">
        <v>120</v>
      </c>
      <c r="D832" t="s">
        <v>389</v>
      </c>
      <c r="E832" t="s">
        <v>11</v>
      </c>
      <c r="F832">
        <v>2</v>
      </c>
      <c r="G832" t="s">
        <v>16</v>
      </c>
    </row>
    <row r="833" spans="1:7" x14ac:dyDescent="0.25">
      <c r="A833">
        <v>64</v>
      </c>
      <c r="B833" t="s">
        <v>238</v>
      </c>
      <c r="C833">
        <v>130</v>
      </c>
      <c r="D833" t="s">
        <v>239</v>
      </c>
      <c r="E833" t="s">
        <v>11</v>
      </c>
      <c r="F833">
        <v>2</v>
      </c>
      <c r="G833" t="s">
        <v>16</v>
      </c>
    </row>
    <row r="834" spans="1:7" x14ac:dyDescent="0.25">
      <c r="A834">
        <v>65</v>
      </c>
      <c r="B834" t="s">
        <v>240</v>
      </c>
      <c r="C834">
        <v>10</v>
      </c>
      <c r="D834" t="s">
        <v>390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240</v>
      </c>
      <c r="C835">
        <v>20</v>
      </c>
      <c r="D835" t="s">
        <v>109</v>
      </c>
      <c r="E835" t="s">
        <v>15</v>
      </c>
      <c r="F835">
        <v>4.1150000000000002</v>
      </c>
      <c r="G835" t="s">
        <v>16</v>
      </c>
    </row>
    <row r="836" spans="1:7" x14ac:dyDescent="0.25">
      <c r="A836">
        <v>65</v>
      </c>
      <c r="B836" t="s">
        <v>240</v>
      </c>
      <c r="C836">
        <v>30</v>
      </c>
      <c r="D836" t="s">
        <v>18</v>
      </c>
      <c r="E836" t="s">
        <v>15</v>
      </c>
      <c r="F836">
        <v>105.258</v>
      </c>
      <c r="G836" t="s">
        <v>14</v>
      </c>
    </row>
    <row r="837" spans="1:7" x14ac:dyDescent="0.25">
      <c r="A837">
        <v>65</v>
      </c>
      <c r="B837" t="s">
        <v>240</v>
      </c>
      <c r="C837">
        <v>40</v>
      </c>
      <c r="D837" t="s">
        <v>105</v>
      </c>
      <c r="E837" t="s">
        <v>106</v>
      </c>
      <c r="F837">
        <v>1.1279999999999999</v>
      </c>
      <c r="G837" t="s">
        <v>14</v>
      </c>
    </row>
    <row r="838" spans="1:7" x14ac:dyDescent="0.25">
      <c r="A838">
        <v>65</v>
      </c>
      <c r="B838" t="s">
        <v>240</v>
      </c>
      <c r="C838">
        <v>50</v>
      </c>
      <c r="D838" t="s">
        <v>107</v>
      </c>
      <c r="E838" t="s">
        <v>15</v>
      </c>
      <c r="F838">
        <v>13.411</v>
      </c>
      <c r="G838" t="s">
        <v>14</v>
      </c>
    </row>
    <row r="839" spans="1:7" x14ac:dyDescent="0.25">
      <c r="A839">
        <v>65</v>
      </c>
      <c r="B839" t="s">
        <v>240</v>
      </c>
      <c r="C839">
        <v>60</v>
      </c>
      <c r="D839" t="s">
        <v>18</v>
      </c>
      <c r="E839" t="s">
        <v>15</v>
      </c>
      <c r="F839">
        <v>82.478999999999999</v>
      </c>
      <c r="G839" t="s">
        <v>14</v>
      </c>
    </row>
    <row r="840" spans="1:7" x14ac:dyDescent="0.25">
      <c r="A840">
        <v>65</v>
      </c>
      <c r="B840" t="s">
        <v>240</v>
      </c>
      <c r="C840">
        <v>70</v>
      </c>
      <c r="D840" t="s">
        <v>112</v>
      </c>
      <c r="E840" t="s">
        <v>11</v>
      </c>
      <c r="F840">
        <v>4</v>
      </c>
      <c r="G840" t="s">
        <v>14</v>
      </c>
    </row>
    <row r="841" spans="1:7" x14ac:dyDescent="0.25">
      <c r="A841">
        <v>65</v>
      </c>
      <c r="B841" t="s">
        <v>240</v>
      </c>
      <c r="C841">
        <v>80</v>
      </c>
      <c r="D841" t="s">
        <v>21</v>
      </c>
      <c r="E841" t="s">
        <v>11</v>
      </c>
      <c r="F841">
        <v>1</v>
      </c>
      <c r="G841" t="s">
        <v>14</v>
      </c>
    </row>
    <row r="842" spans="1:7" x14ac:dyDescent="0.25">
      <c r="A842">
        <v>65</v>
      </c>
      <c r="B842" t="s">
        <v>240</v>
      </c>
      <c r="C842">
        <v>90</v>
      </c>
      <c r="D842" t="s">
        <v>22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240</v>
      </c>
      <c r="C843">
        <v>100</v>
      </c>
      <c r="D843" t="s">
        <v>23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240</v>
      </c>
      <c r="C844">
        <v>110</v>
      </c>
      <c r="D844" t="s">
        <v>110</v>
      </c>
      <c r="E844" t="s">
        <v>13</v>
      </c>
      <c r="F844">
        <v>1.2430000000000001</v>
      </c>
      <c r="G844" t="s">
        <v>14</v>
      </c>
    </row>
    <row r="845" spans="1:7" x14ac:dyDescent="0.25">
      <c r="A845">
        <v>65</v>
      </c>
      <c r="B845" t="s">
        <v>240</v>
      </c>
      <c r="C845">
        <v>120</v>
      </c>
      <c r="D845" t="s">
        <v>391</v>
      </c>
      <c r="E845" t="s">
        <v>11</v>
      </c>
      <c r="F845">
        <v>2</v>
      </c>
      <c r="G845" t="s">
        <v>16</v>
      </c>
    </row>
    <row r="846" spans="1:7" x14ac:dyDescent="0.25">
      <c r="A846">
        <v>65</v>
      </c>
      <c r="B846" t="s">
        <v>240</v>
      </c>
      <c r="C846">
        <v>130</v>
      </c>
      <c r="D846" t="s">
        <v>241</v>
      </c>
      <c r="E846" t="s">
        <v>11</v>
      </c>
      <c r="F846">
        <v>2</v>
      </c>
      <c r="G846" t="s">
        <v>16</v>
      </c>
    </row>
    <row r="847" spans="1:7" x14ac:dyDescent="0.25">
      <c r="A847">
        <v>66</v>
      </c>
      <c r="B847" t="s">
        <v>242</v>
      </c>
      <c r="C847">
        <v>10</v>
      </c>
      <c r="D847" t="s">
        <v>392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242</v>
      </c>
      <c r="C848">
        <v>20</v>
      </c>
      <c r="D848" t="s">
        <v>109</v>
      </c>
      <c r="E848" t="s">
        <v>15</v>
      </c>
      <c r="F848">
        <v>4.1150000000000002</v>
      </c>
      <c r="G848" t="s">
        <v>16</v>
      </c>
    </row>
    <row r="849" spans="1:7" x14ac:dyDescent="0.25">
      <c r="A849">
        <v>66</v>
      </c>
      <c r="B849" t="s">
        <v>242</v>
      </c>
      <c r="C849">
        <v>30</v>
      </c>
      <c r="D849" t="s">
        <v>18</v>
      </c>
      <c r="E849" t="s">
        <v>15</v>
      </c>
      <c r="F849">
        <v>115.011</v>
      </c>
      <c r="G849" t="s">
        <v>14</v>
      </c>
    </row>
    <row r="850" spans="1:7" x14ac:dyDescent="0.25">
      <c r="A850">
        <v>66</v>
      </c>
      <c r="B850" t="s">
        <v>242</v>
      </c>
      <c r="C850">
        <v>40</v>
      </c>
      <c r="D850" t="s">
        <v>105</v>
      </c>
      <c r="E850" t="s">
        <v>106</v>
      </c>
      <c r="F850">
        <v>1.4159999999999999</v>
      </c>
      <c r="G850" t="s">
        <v>14</v>
      </c>
    </row>
    <row r="851" spans="1:7" x14ac:dyDescent="0.25">
      <c r="A851">
        <v>66</v>
      </c>
      <c r="B851" t="s">
        <v>242</v>
      </c>
      <c r="C851">
        <v>50</v>
      </c>
      <c r="D851" t="s">
        <v>107</v>
      </c>
      <c r="E851" t="s">
        <v>15</v>
      </c>
      <c r="F851">
        <v>14.63</v>
      </c>
      <c r="G851" t="s">
        <v>14</v>
      </c>
    </row>
    <row r="852" spans="1:7" x14ac:dyDescent="0.25">
      <c r="A852">
        <v>66</v>
      </c>
      <c r="B852" t="s">
        <v>242</v>
      </c>
      <c r="C852">
        <v>60</v>
      </c>
      <c r="D852" t="s">
        <v>18</v>
      </c>
      <c r="E852" t="s">
        <v>15</v>
      </c>
      <c r="F852">
        <v>89.977000000000004</v>
      </c>
      <c r="G852" t="s">
        <v>14</v>
      </c>
    </row>
    <row r="853" spans="1:7" x14ac:dyDescent="0.25">
      <c r="A853">
        <v>66</v>
      </c>
      <c r="B853" t="s">
        <v>242</v>
      </c>
      <c r="C853">
        <v>70</v>
      </c>
      <c r="D853" t="s">
        <v>112</v>
      </c>
      <c r="E853" t="s">
        <v>11</v>
      </c>
      <c r="F853">
        <v>4</v>
      </c>
      <c r="G853" t="s">
        <v>14</v>
      </c>
    </row>
    <row r="854" spans="1:7" x14ac:dyDescent="0.25">
      <c r="A854">
        <v>66</v>
      </c>
      <c r="B854" t="s">
        <v>242</v>
      </c>
      <c r="C854">
        <v>80</v>
      </c>
      <c r="D854" t="s">
        <v>21</v>
      </c>
      <c r="E854" t="s">
        <v>11</v>
      </c>
      <c r="F854">
        <v>1</v>
      </c>
      <c r="G854" t="s">
        <v>14</v>
      </c>
    </row>
    <row r="855" spans="1:7" x14ac:dyDescent="0.25">
      <c r="A855">
        <v>66</v>
      </c>
      <c r="B855" t="s">
        <v>242</v>
      </c>
      <c r="C855">
        <v>90</v>
      </c>
      <c r="D855" t="s">
        <v>22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242</v>
      </c>
      <c r="C856">
        <v>100</v>
      </c>
      <c r="D856" t="s">
        <v>23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242</v>
      </c>
      <c r="C857">
        <v>110</v>
      </c>
      <c r="D857" t="s">
        <v>110</v>
      </c>
      <c r="E857" t="s">
        <v>13</v>
      </c>
      <c r="F857">
        <v>1.2430000000000001</v>
      </c>
      <c r="G857" t="s">
        <v>14</v>
      </c>
    </row>
    <row r="858" spans="1:7" x14ac:dyDescent="0.25">
      <c r="A858">
        <v>66</v>
      </c>
      <c r="B858" t="s">
        <v>242</v>
      </c>
      <c r="C858">
        <v>120</v>
      </c>
      <c r="D858" t="s">
        <v>393</v>
      </c>
      <c r="E858" t="s">
        <v>11</v>
      </c>
      <c r="F858">
        <v>2</v>
      </c>
      <c r="G858" t="s">
        <v>16</v>
      </c>
    </row>
    <row r="859" spans="1:7" x14ac:dyDescent="0.25">
      <c r="A859">
        <v>66</v>
      </c>
      <c r="B859" t="s">
        <v>242</v>
      </c>
      <c r="C859">
        <v>130</v>
      </c>
      <c r="D859" t="s">
        <v>243</v>
      </c>
      <c r="E859" t="s">
        <v>11</v>
      </c>
      <c r="F859">
        <v>2</v>
      </c>
      <c r="G859" t="s">
        <v>16</v>
      </c>
    </row>
    <row r="860" spans="1:7" x14ac:dyDescent="0.25">
      <c r="A860">
        <v>67</v>
      </c>
      <c r="B860" t="s">
        <v>244</v>
      </c>
      <c r="C860">
        <v>10</v>
      </c>
      <c r="D860" t="s">
        <v>394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244</v>
      </c>
      <c r="C861">
        <v>20</v>
      </c>
      <c r="D861" t="s">
        <v>109</v>
      </c>
      <c r="E861" t="s">
        <v>15</v>
      </c>
      <c r="F861">
        <v>4.1150000000000002</v>
      </c>
      <c r="G861" t="s">
        <v>16</v>
      </c>
    </row>
    <row r="862" spans="1:7" x14ac:dyDescent="0.25">
      <c r="A862">
        <v>67</v>
      </c>
      <c r="B862" t="s">
        <v>244</v>
      </c>
      <c r="C862">
        <v>30</v>
      </c>
      <c r="D862" t="s">
        <v>18</v>
      </c>
      <c r="E862" t="s">
        <v>15</v>
      </c>
      <c r="F862">
        <v>119.88800000000001</v>
      </c>
      <c r="G862" t="s">
        <v>14</v>
      </c>
    </row>
    <row r="863" spans="1:7" x14ac:dyDescent="0.25">
      <c r="A863">
        <v>67</v>
      </c>
      <c r="B863" t="s">
        <v>244</v>
      </c>
      <c r="C863">
        <v>40</v>
      </c>
      <c r="D863" t="s">
        <v>105</v>
      </c>
      <c r="E863" t="s">
        <v>106</v>
      </c>
      <c r="F863">
        <v>1.56</v>
      </c>
      <c r="G863" t="s">
        <v>14</v>
      </c>
    </row>
    <row r="864" spans="1:7" x14ac:dyDescent="0.25">
      <c r="A864">
        <v>67</v>
      </c>
      <c r="B864" t="s">
        <v>244</v>
      </c>
      <c r="C864">
        <v>50</v>
      </c>
      <c r="D864" t="s">
        <v>107</v>
      </c>
      <c r="E864" t="s">
        <v>15</v>
      </c>
      <c r="F864">
        <v>15.24</v>
      </c>
      <c r="G864" t="s">
        <v>14</v>
      </c>
    </row>
    <row r="865" spans="1:7" x14ac:dyDescent="0.25">
      <c r="A865">
        <v>67</v>
      </c>
      <c r="B865" t="s">
        <v>244</v>
      </c>
      <c r="C865">
        <v>60</v>
      </c>
      <c r="D865" t="s">
        <v>18</v>
      </c>
      <c r="E865" t="s">
        <v>15</v>
      </c>
      <c r="F865">
        <v>93.725999999999999</v>
      </c>
      <c r="G865" t="s">
        <v>14</v>
      </c>
    </row>
    <row r="866" spans="1:7" x14ac:dyDescent="0.25">
      <c r="A866">
        <v>67</v>
      </c>
      <c r="B866" t="s">
        <v>244</v>
      </c>
      <c r="C866">
        <v>70</v>
      </c>
      <c r="D866" t="s">
        <v>112</v>
      </c>
      <c r="E866" t="s">
        <v>11</v>
      </c>
      <c r="F866">
        <v>4</v>
      </c>
      <c r="G866" t="s">
        <v>14</v>
      </c>
    </row>
    <row r="867" spans="1:7" x14ac:dyDescent="0.25">
      <c r="A867">
        <v>67</v>
      </c>
      <c r="B867" t="s">
        <v>244</v>
      </c>
      <c r="C867">
        <v>80</v>
      </c>
      <c r="D867" t="s">
        <v>21</v>
      </c>
      <c r="E867" t="s">
        <v>11</v>
      </c>
      <c r="F867">
        <v>1</v>
      </c>
      <c r="G867" t="s">
        <v>14</v>
      </c>
    </row>
    <row r="868" spans="1:7" x14ac:dyDescent="0.25">
      <c r="A868">
        <v>67</v>
      </c>
      <c r="B868" t="s">
        <v>244</v>
      </c>
      <c r="C868">
        <v>90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244</v>
      </c>
      <c r="C869">
        <v>100</v>
      </c>
      <c r="D869" t="s">
        <v>23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244</v>
      </c>
      <c r="C870">
        <v>110</v>
      </c>
      <c r="D870" t="s">
        <v>110</v>
      </c>
      <c r="E870" t="s">
        <v>13</v>
      </c>
      <c r="F870">
        <v>1.2430000000000001</v>
      </c>
      <c r="G870" t="s">
        <v>14</v>
      </c>
    </row>
    <row r="871" spans="1:7" x14ac:dyDescent="0.25">
      <c r="A871">
        <v>67</v>
      </c>
      <c r="B871" t="s">
        <v>244</v>
      </c>
      <c r="C871">
        <v>120</v>
      </c>
      <c r="D871" t="s">
        <v>395</v>
      </c>
      <c r="E871" t="s">
        <v>11</v>
      </c>
      <c r="F871">
        <v>2</v>
      </c>
      <c r="G871" t="s">
        <v>16</v>
      </c>
    </row>
    <row r="872" spans="1:7" x14ac:dyDescent="0.25">
      <c r="A872">
        <v>67</v>
      </c>
      <c r="B872" t="s">
        <v>244</v>
      </c>
      <c r="C872">
        <v>130</v>
      </c>
      <c r="D872" t="s">
        <v>245</v>
      </c>
      <c r="E872" t="s">
        <v>11</v>
      </c>
      <c r="F872">
        <v>2</v>
      </c>
      <c r="G872" t="s">
        <v>16</v>
      </c>
    </row>
    <row r="873" spans="1:7" x14ac:dyDescent="0.25">
      <c r="A873">
        <v>68</v>
      </c>
      <c r="B873" t="s">
        <v>246</v>
      </c>
      <c r="C873">
        <v>10</v>
      </c>
      <c r="D873" t="s">
        <v>396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246</v>
      </c>
      <c r="C874">
        <v>20</v>
      </c>
      <c r="D874" t="s">
        <v>109</v>
      </c>
      <c r="E874" t="s">
        <v>15</v>
      </c>
      <c r="F874">
        <v>4.1150000000000002</v>
      </c>
      <c r="G874" t="s">
        <v>16</v>
      </c>
    </row>
    <row r="875" spans="1:7" x14ac:dyDescent="0.25">
      <c r="A875">
        <v>68</v>
      </c>
      <c r="B875" t="s">
        <v>246</v>
      </c>
      <c r="C875">
        <v>30</v>
      </c>
      <c r="D875" t="s">
        <v>18</v>
      </c>
      <c r="E875" t="s">
        <v>15</v>
      </c>
      <c r="F875">
        <v>124.765</v>
      </c>
      <c r="G875" t="s">
        <v>14</v>
      </c>
    </row>
    <row r="876" spans="1:7" x14ac:dyDescent="0.25">
      <c r="A876">
        <v>68</v>
      </c>
      <c r="B876" t="s">
        <v>246</v>
      </c>
      <c r="C876">
        <v>40</v>
      </c>
      <c r="D876" t="s">
        <v>105</v>
      </c>
      <c r="E876" t="s">
        <v>106</v>
      </c>
      <c r="F876">
        <v>1.704</v>
      </c>
      <c r="G876" t="s">
        <v>14</v>
      </c>
    </row>
    <row r="877" spans="1:7" x14ac:dyDescent="0.25">
      <c r="A877">
        <v>68</v>
      </c>
      <c r="B877" t="s">
        <v>246</v>
      </c>
      <c r="C877">
        <v>50</v>
      </c>
      <c r="D877" t="s">
        <v>107</v>
      </c>
      <c r="E877" t="s">
        <v>15</v>
      </c>
      <c r="F877">
        <v>15.85</v>
      </c>
      <c r="G877" t="s">
        <v>14</v>
      </c>
    </row>
    <row r="878" spans="1:7" x14ac:dyDescent="0.25">
      <c r="A878">
        <v>68</v>
      </c>
      <c r="B878" t="s">
        <v>246</v>
      </c>
      <c r="C878">
        <v>60</v>
      </c>
      <c r="D878" t="s">
        <v>18</v>
      </c>
      <c r="E878" t="s">
        <v>15</v>
      </c>
      <c r="F878">
        <v>97.474999999999994</v>
      </c>
      <c r="G878" t="s">
        <v>14</v>
      </c>
    </row>
    <row r="879" spans="1:7" x14ac:dyDescent="0.25">
      <c r="A879">
        <v>68</v>
      </c>
      <c r="B879" t="s">
        <v>246</v>
      </c>
      <c r="C879">
        <v>70</v>
      </c>
      <c r="D879" t="s">
        <v>112</v>
      </c>
      <c r="E879" t="s">
        <v>11</v>
      </c>
      <c r="F879">
        <v>4</v>
      </c>
      <c r="G879" t="s">
        <v>14</v>
      </c>
    </row>
    <row r="880" spans="1:7" x14ac:dyDescent="0.25">
      <c r="A880">
        <v>68</v>
      </c>
      <c r="B880" t="s">
        <v>246</v>
      </c>
      <c r="C880">
        <v>80</v>
      </c>
      <c r="D880" t="s">
        <v>21</v>
      </c>
      <c r="E880" t="s">
        <v>11</v>
      </c>
      <c r="F880">
        <v>1</v>
      </c>
      <c r="G880" t="s">
        <v>14</v>
      </c>
    </row>
    <row r="881" spans="1:7" x14ac:dyDescent="0.25">
      <c r="A881">
        <v>68</v>
      </c>
      <c r="B881" t="s">
        <v>246</v>
      </c>
      <c r="C881">
        <v>90</v>
      </c>
      <c r="D881" t="s">
        <v>22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246</v>
      </c>
      <c r="C882">
        <v>100</v>
      </c>
      <c r="D882" t="s">
        <v>23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246</v>
      </c>
      <c r="C883">
        <v>110</v>
      </c>
      <c r="D883" t="s">
        <v>110</v>
      </c>
      <c r="E883" t="s">
        <v>13</v>
      </c>
      <c r="F883">
        <v>1.2430000000000001</v>
      </c>
      <c r="G883" t="s">
        <v>14</v>
      </c>
    </row>
    <row r="884" spans="1:7" x14ac:dyDescent="0.25">
      <c r="A884">
        <v>68</v>
      </c>
      <c r="B884" t="s">
        <v>246</v>
      </c>
      <c r="C884">
        <v>120</v>
      </c>
      <c r="D884" t="s">
        <v>397</v>
      </c>
      <c r="E884" t="s">
        <v>11</v>
      </c>
      <c r="F884">
        <v>2</v>
      </c>
      <c r="G884" t="s">
        <v>16</v>
      </c>
    </row>
    <row r="885" spans="1:7" x14ac:dyDescent="0.25">
      <c r="A885">
        <v>68</v>
      </c>
      <c r="B885" t="s">
        <v>246</v>
      </c>
      <c r="C885">
        <v>130</v>
      </c>
      <c r="D885" t="s">
        <v>247</v>
      </c>
      <c r="E885" t="s">
        <v>11</v>
      </c>
      <c r="F885">
        <v>2</v>
      </c>
      <c r="G885" t="s">
        <v>16</v>
      </c>
    </row>
    <row r="886" spans="1:7" x14ac:dyDescent="0.25">
      <c r="A886">
        <v>69</v>
      </c>
      <c r="B886" t="s">
        <v>248</v>
      </c>
      <c r="C886">
        <v>10</v>
      </c>
      <c r="D886" t="s">
        <v>398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248</v>
      </c>
      <c r="C887">
        <v>20</v>
      </c>
      <c r="D887" t="s">
        <v>109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248</v>
      </c>
      <c r="C888">
        <v>30</v>
      </c>
      <c r="D888" t="s">
        <v>18</v>
      </c>
      <c r="E888" t="s">
        <v>15</v>
      </c>
      <c r="F888">
        <v>93.878</v>
      </c>
      <c r="G888" t="s">
        <v>14</v>
      </c>
    </row>
    <row r="889" spans="1:7" x14ac:dyDescent="0.25">
      <c r="A889">
        <v>69</v>
      </c>
      <c r="B889" t="s">
        <v>248</v>
      </c>
      <c r="C889">
        <v>40</v>
      </c>
      <c r="D889" t="s">
        <v>105</v>
      </c>
      <c r="E889" t="s">
        <v>106</v>
      </c>
      <c r="F889">
        <v>0.73099999999999998</v>
      </c>
      <c r="G889" t="s">
        <v>14</v>
      </c>
    </row>
    <row r="890" spans="1:7" x14ac:dyDescent="0.25">
      <c r="A890">
        <v>69</v>
      </c>
      <c r="B890" t="s">
        <v>248</v>
      </c>
      <c r="C890">
        <v>50</v>
      </c>
      <c r="D890" t="s">
        <v>107</v>
      </c>
      <c r="E890" t="s">
        <v>15</v>
      </c>
      <c r="F890">
        <v>11.989000000000001</v>
      </c>
      <c r="G890" t="s">
        <v>14</v>
      </c>
    </row>
    <row r="891" spans="1:7" x14ac:dyDescent="0.25">
      <c r="A891">
        <v>69</v>
      </c>
      <c r="B891" t="s">
        <v>248</v>
      </c>
      <c r="C891">
        <v>60</v>
      </c>
      <c r="D891" t="s">
        <v>18</v>
      </c>
      <c r="E891" t="s">
        <v>15</v>
      </c>
      <c r="F891">
        <v>73.730999999999995</v>
      </c>
      <c r="G891" t="s">
        <v>14</v>
      </c>
    </row>
    <row r="892" spans="1:7" x14ac:dyDescent="0.25">
      <c r="A892">
        <v>69</v>
      </c>
      <c r="B892" t="s">
        <v>248</v>
      </c>
      <c r="C892">
        <v>70</v>
      </c>
      <c r="D892" t="s">
        <v>112</v>
      </c>
      <c r="E892" t="s">
        <v>11</v>
      </c>
      <c r="F892">
        <v>4</v>
      </c>
      <c r="G892" t="s">
        <v>14</v>
      </c>
    </row>
    <row r="893" spans="1:7" x14ac:dyDescent="0.25">
      <c r="A893">
        <v>69</v>
      </c>
      <c r="B893" t="s">
        <v>248</v>
      </c>
      <c r="C893">
        <v>80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69</v>
      </c>
      <c r="B894" t="s">
        <v>248</v>
      </c>
      <c r="C894">
        <v>90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248</v>
      </c>
      <c r="C895">
        <v>100</v>
      </c>
      <c r="D895" t="s">
        <v>23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248</v>
      </c>
      <c r="C896">
        <v>110</v>
      </c>
      <c r="D896" t="s">
        <v>110</v>
      </c>
      <c r="E896" t="s">
        <v>13</v>
      </c>
      <c r="F896">
        <v>1.2969999999999999</v>
      </c>
      <c r="G896" t="s">
        <v>14</v>
      </c>
    </row>
    <row r="897" spans="1:7" x14ac:dyDescent="0.25">
      <c r="A897">
        <v>69</v>
      </c>
      <c r="B897" t="s">
        <v>248</v>
      </c>
      <c r="C897">
        <v>120</v>
      </c>
      <c r="D897" t="s">
        <v>399</v>
      </c>
      <c r="E897" t="s">
        <v>11</v>
      </c>
      <c r="F897">
        <v>2</v>
      </c>
      <c r="G897" t="s">
        <v>16</v>
      </c>
    </row>
    <row r="898" spans="1:7" x14ac:dyDescent="0.25">
      <c r="A898">
        <v>69</v>
      </c>
      <c r="B898" t="s">
        <v>248</v>
      </c>
      <c r="C898">
        <v>130</v>
      </c>
      <c r="D898" t="s">
        <v>249</v>
      </c>
      <c r="E898" t="s">
        <v>11</v>
      </c>
      <c r="F898">
        <v>2</v>
      </c>
      <c r="G898" t="s">
        <v>16</v>
      </c>
    </row>
    <row r="899" spans="1:7" x14ac:dyDescent="0.25">
      <c r="A899">
        <v>70</v>
      </c>
      <c r="B899" t="s">
        <v>250</v>
      </c>
      <c r="C899">
        <v>10</v>
      </c>
      <c r="D899" t="s">
        <v>400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250</v>
      </c>
      <c r="C900">
        <v>20</v>
      </c>
      <c r="D900" t="s">
        <v>109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250</v>
      </c>
      <c r="C901">
        <v>30</v>
      </c>
      <c r="D901" t="s">
        <v>18</v>
      </c>
      <c r="E901" t="s">
        <v>15</v>
      </c>
      <c r="F901">
        <v>98.754999999999995</v>
      </c>
      <c r="G901" t="s">
        <v>14</v>
      </c>
    </row>
    <row r="902" spans="1:7" x14ac:dyDescent="0.25">
      <c r="A902">
        <v>70</v>
      </c>
      <c r="B902" t="s">
        <v>250</v>
      </c>
      <c r="C902">
        <v>40</v>
      </c>
      <c r="D902" t="s">
        <v>105</v>
      </c>
      <c r="E902" t="s">
        <v>106</v>
      </c>
      <c r="F902">
        <v>0.88200000000000001</v>
      </c>
      <c r="G902" t="s">
        <v>14</v>
      </c>
    </row>
    <row r="903" spans="1:7" x14ac:dyDescent="0.25">
      <c r="A903">
        <v>70</v>
      </c>
      <c r="B903" t="s">
        <v>250</v>
      </c>
      <c r="C903">
        <v>50</v>
      </c>
      <c r="D903" t="s">
        <v>107</v>
      </c>
      <c r="E903" t="s">
        <v>15</v>
      </c>
      <c r="F903">
        <v>12.598000000000001</v>
      </c>
      <c r="G903" t="s">
        <v>14</v>
      </c>
    </row>
    <row r="904" spans="1:7" x14ac:dyDescent="0.25">
      <c r="A904">
        <v>70</v>
      </c>
      <c r="B904" t="s">
        <v>250</v>
      </c>
      <c r="C904">
        <v>60</v>
      </c>
      <c r="D904" t="s">
        <v>18</v>
      </c>
      <c r="E904" t="s">
        <v>15</v>
      </c>
      <c r="F904">
        <v>77.48</v>
      </c>
      <c r="G904" t="s">
        <v>14</v>
      </c>
    </row>
    <row r="905" spans="1:7" x14ac:dyDescent="0.25">
      <c r="A905">
        <v>70</v>
      </c>
      <c r="B905" t="s">
        <v>250</v>
      </c>
      <c r="C905">
        <v>70</v>
      </c>
      <c r="D905" t="s">
        <v>112</v>
      </c>
      <c r="E905" t="s">
        <v>11</v>
      </c>
      <c r="F905">
        <v>4</v>
      </c>
      <c r="G905" t="s">
        <v>14</v>
      </c>
    </row>
    <row r="906" spans="1:7" x14ac:dyDescent="0.25">
      <c r="A906">
        <v>70</v>
      </c>
      <c r="B906" t="s">
        <v>250</v>
      </c>
      <c r="C906">
        <v>80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70</v>
      </c>
      <c r="B907" t="s">
        <v>250</v>
      </c>
      <c r="C907">
        <v>90</v>
      </c>
      <c r="D907" t="s">
        <v>22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250</v>
      </c>
      <c r="C908">
        <v>100</v>
      </c>
      <c r="D908" t="s">
        <v>23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250</v>
      </c>
      <c r="C909">
        <v>110</v>
      </c>
      <c r="D909" t="s">
        <v>110</v>
      </c>
      <c r="E909" t="s">
        <v>13</v>
      </c>
      <c r="F909">
        <v>1.2969999999999999</v>
      </c>
      <c r="G909" t="s">
        <v>14</v>
      </c>
    </row>
    <row r="910" spans="1:7" x14ac:dyDescent="0.25">
      <c r="A910">
        <v>70</v>
      </c>
      <c r="B910" t="s">
        <v>250</v>
      </c>
      <c r="C910">
        <v>120</v>
      </c>
      <c r="D910" t="s">
        <v>401</v>
      </c>
      <c r="E910" t="s">
        <v>11</v>
      </c>
      <c r="F910">
        <v>2</v>
      </c>
      <c r="G910" t="s">
        <v>16</v>
      </c>
    </row>
    <row r="911" spans="1:7" x14ac:dyDescent="0.25">
      <c r="A911">
        <v>70</v>
      </c>
      <c r="B911" t="s">
        <v>250</v>
      </c>
      <c r="C911">
        <v>130</v>
      </c>
      <c r="D911" t="s">
        <v>251</v>
      </c>
      <c r="E911" t="s">
        <v>11</v>
      </c>
      <c r="F911">
        <v>2</v>
      </c>
      <c r="G911" t="s">
        <v>16</v>
      </c>
    </row>
    <row r="912" spans="1:7" x14ac:dyDescent="0.25">
      <c r="A912">
        <v>71</v>
      </c>
      <c r="B912" t="s">
        <v>252</v>
      </c>
      <c r="C912">
        <v>10</v>
      </c>
      <c r="D912" t="s">
        <v>402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252</v>
      </c>
      <c r="C913">
        <v>20</v>
      </c>
      <c r="D913" t="s">
        <v>109</v>
      </c>
      <c r="E913" t="s">
        <v>15</v>
      </c>
      <c r="F913">
        <v>4.3179999999999996</v>
      </c>
      <c r="G913" t="s">
        <v>16</v>
      </c>
    </row>
    <row r="914" spans="1:7" x14ac:dyDescent="0.25">
      <c r="A914">
        <v>71</v>
      </c>
      <c r="B914" t="s">
        <v>252</v>
      </c>
      <c r="C914">
        <v>30</v>
      </c>
      <c r="D914" t="s">
        <v>18</v>
      </c>
      <c r="E914" t="s">
        <v>15</v>
      </c>
      <c r="F914">
        <v>103.63200000000001</v>
      </c>
      <c r="G914" t="s">
        <v>14</v>
      </c>
    </row>
    <row r="915" spans="1:7" x14ac:dyDescent="0.25">
      <c r="A915">
        <v>71</v>
      </c>
      <c r="B915" t="s">
        <v>252</v>
      </c>
      <c r="C915">
        <v>40</v>
      </c>
      <c r="D915" t="s">
        <v>105</v>
      </c>
      <c r="E915" t="s">
        <v>106</v>
      </c>
      <c r="F915">
        <v>1.034</v>
      </c>
      <c r="G915" t="s">
        <v>14</v>
      </c>
    </row>
    <row r="916" spans="1:7" x14ac:dyDescent="0.25">
      <c r="A916">
        <v>71</v>
      </c>
      <c r="B916" t="s">
        <v>252</v>
      </c>
      <c r="C916">
        <v>50</v>
      </c>
      <c r="D916" t="s">
        <v>107</v>
      </c>
      <c r="E916" t="s">
        <v>15</v>
      </c>
      <c r="F916">
        <v>13.208</v>
      </c>
      <c r="G916" t="s">
        <v>14</v>
      </c>
    </row>
    <row r="917" spans="1:7" x14ac:dyDescent="0.25">
      <c r="A917">
        <v>71</v>
      </c>
      <c r="B917" t="s">
        <v>252</v>
      </c>
      <c r="C917">
        <v>60</v>
      </c>
      <c r="D917" t="s">
        <v>18</v>
      </c>
      <c r="E917" t="s">
        <v>15</v>
      </c>
      <c r="F917">
        <v>81.228999999999999</v>
      </c>
      <c r="G917" t="s">
        <v>14</v>
      </c>
    </row>
    <row r="918" spans="1:7" x14ac:dyDescent="0.25">
      <c r="A918">
        <v>71</v>
      </c>
      <c r="B918" t="s">
        <v>252</v>
      </c>
      <c r="C918">
        <v>70</v>
      </c>
      <c r="D918" t="s">
        <v>112</v>
      </c>
      <c r="E918" t="s">
        <v>11</v>
      </c>
      <c r="F918">
        <v>4</v>
      </c>
      <c r="G918" t="s">
        <v>14</v>
      </c>
    </row>
    <row r="919" spans="1:7" x14ac:dyDescent="0.25">
      <c r="A919">
        <v>71</v>
      </c>
      <c r="B919" t="s">
        <v>252</v>
      </c>
      <c r="C919">
        <v>80</v>
      </c>
      <c r="D919" t="s">
        <v>21</v>
      </c>
      <c r="E919" t="s">
        <v>11</v>
      </c>
      <c r="F919">
        <v>1</v>
      </c>
      <c r="G919" t="s">
        <v>14</v>
      </c>
    </row>
    <row r="920" spans="1:7" x14ac:dyDescent="0.25">
      <c r="A920">
        <v>71</v>
      </c>
      <c r="B920" t="s">
        <v>252</v>
      </c>
      <c r="C920">
        <v>90</v>
      </c>
      <c r="D920" t="s">
        <v>22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252</v>
      </c>
      <c r="C921">
        <v>100</v>
      </c>
      <c r="D921" t="s">
        <v>23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252</v>
      </c>
      <c r="C922">
        <v>110</v>
      </c>
      <c r="D922" t="s">
        <v>110</v>
      </c>
      <c r="E922" t="s">
        <v>13</v>
      </c>
      <c r="F922">
        <v>1.2969999999999999</v>
      </c>
      <c r="G922" t="s">
        <v>14</v>
      </c>
    </row>
    <row r="923" spans="1:7" x14ac:dyDescent="0.25">
      <c r="A923">
        <v>71</v>
      </c>
      <c r="B923" t="s">
        <v>252</v>
      </c>
      <c r="C923">
        <v>120</v>
      </c>
      <c r="D923" t="s">
        <v>403</v>
      </c>
      <c r="E923" t="s">
        <v>11</v>
      </c>
      <c r="F923">
        <v>2</v>
      </c>
      <c r="G923" t="s">
        <v>16</v>
      </c>
    </row>
    <row r="924" spans="1:7" x14ac:dyDescent="0.25">
      <c r="A924">
        <v>71</v>
      </c>
      <c r="B924" t="s">
        <v>252</v>
      </c>
      <c r="C924">
        <v>130</v>
      </c>
      <c r="D924" t="s">
        <v>253</v>
      </c>
      <c r="E924" t="s">
        <v>11</v>
      </c>
      <c r="F924">
        <v>2</v>
      </c>
      <c r="G924" t="s">
        <v>16</v>
      </c>
    </row>
    <row r="925" spans="1:7" x14ac:dyDescent="0.25">
      <c r="A925">
        <v>72</v>
      </c>
      <c r="B925" t="s">
        <v>254</v>
      </c>
      <c r="C925">
        <v>10</v>
      </c>
      <c r="D925" t="s">
        <v>404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254</v>
      </c>
      <c r="C926">
        <v>20</v>
      </c>
      <c r="D926" t="s">
        <v>109</v>
      </c>
      <c r="E926" t="s">
        <v>15</v>
      </c>
      <c r="F926">
        <v>4.3179999999999996</v>
      </c>
      <c r="G926" t="s">
        <v>16</v>
      </c>
    </row>
    <row r="927" spans="1:7" x14ac:dyDescent="0.25">
      <c r="A927">
        <v>72</v>
      </c>
      <c r="B927" t="s">
        <v>254</v>
      </c>
      <c r="C927">
        <v>30</v>
      </c>
      <c r="D927" t="s">
        <v>18</v>
      </c>
      <c r="E927" t="s">
        <v>15</v>
      </c>
      <c r="F927">
        <v>108.509</v>
      </c>
      <c r="G927" t="s">
        <v>14</v>
      </c>
    </row>
    <row r="928" spans="1:7" x14ac:dyDescent="0.25">
      <c r="A928">
        <v>72</v>
      </c>
      <c r="B928" t="s">
        <v>254</v>
      </c>
      <c r="C928">
        <v>40</v>
      </c>
      <c r="D928" t="s">
        <v>105</v>
      </c>
      <c r="E928" t="s">
        <v>106</v>
      </c>
      <c r="F928">
        <v>1.1850000000000001</v>
      </c>
      <c r="G928" t="s">
        <v>14</v>
      </c>
    </row>
    <row r="929" spans="1:7" x14ac:dyDescent="0.25">
      <c r="A929">
        <v>72</v>
      </c>
      <c r="B929" t="s">
        <v>254</v>
      </c>
      <c r="C929">
        <v>50</v>
      </c>
      <c r="D929" t="s">
        <v>107</v>
      </c>
      <c r="E929" t="s">
        <v>15</v>
      </c>
      <c r="F929">
        <v>13.818</v>
      </c>
      <c r="G929" t="s">
        <v>14</v>
      </c>
    </row>
    <row r="930" spans="1:7" x14ac:dyDescent="0.25">
      <c r="A930">
        <v>72</v>
      </c>
      <c r="B930" t="s">
        <v>254</v>
      </c>
      <c r="C930">
        <v>60</v>
      </c>
      <c r="D930" t="s">
        <v>18</v>
      </c>
      <c r="E930" t="s">
        <v>15</v>
      </c>
      <c r="F930">
        <v>84.977999999999994</v>
      </c>
      <c r="G930" t="s">
        <v>14</v>
      </c>
    </row>
    <row r="931" spans="1:7" x14ac:dyDescent="0.25">
      <c r="A931">
        <v>72</v>
      </c>
      <c r="B931" t="s">
        <v>254</v>
      </c>
      <c r="C931">
        <v>70</v>
      </c>
      <c r="D931" t="s">
        <v>112</v>
      </c>
      <c r="E931" t="s">
        <v>11</v>
      </c>
      <c r="F931">
        <v>4</v>
      </c>
      <c r="G931" t="s">
        <v>14</v>
      </c>
    </row>
    <row r="932" spans="1:7" x14ac:dyDescent="0.25">
      <c r="A932">
        <v>72</v>
      </c>
      <c r="B932" t="s">
        <v>254</v>
      </c>
      <c r="C932">
        <v>80</v>
      </c>
      <c r="D932" t="s">
        <v>21</v>
      </c>
      <c r="E932" t="s">
        <v>11</v>
      </c>
      <c r="F932">
        <v>1</v>
      </c>
      <c r="G932" t="s">
        <v>14</v>
      </c>
    </row>
    <row r="933" spans="1:7" x14ac:dyDescent="0.25">
      <c r="A933">
        <v>72</v>
      </c>
      <c r="B933" t="s">
        <v>254</v>
      </c>
      <c r="C933">
        <v>90</v>
      </c>
      <c r="D933" t="s">
        <v>22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254</v>
      </c>
      <c r="C934">
        <v>100</v>
      </c>
      <c r="D934" t="s">
        <v>23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254</v>
      </c>
      <c r="C935">
        <v>110</v>
      </c>
      <c r="D935" t="s">
        <v>110</v>
      </c>
      <c r="E935" t="s">
        <v>13</v>
      </c>
      <c r="F935">
        <v>1.2969999999999999</v>
      </c>
      <c r="G935" t="s">
        <v>14</v>
      </c>
    </row>
    <row r="936" spans="1:7" x14ac:dyDescent="0.25">
      <c r="A936">
        <v>72</v>
      </c>
      <c r="B936" t="s">
        <v>254</v>
      </c>
      <c r="C936">
        <v>120</v>
      </c>
      <c r="D936" t="s">
        <v>405</v>
      </c>
      <c r="E936" t="s">
        <v>11</v>
      </c>
      <c r="F936">
        <v>2</v>
      </c>
      <c r="G936" t="s">
        <v>16</v>
      </c>
    </row>
    <row r="937" spans="1:7" x14ac:dyDescent="0.25">
      <c r="A937">
        <v>72</v>
      </c>
      <c r="B937" t="s">
        <v>254</v>
      </c>
      <c r="C937">
        <v>130</v>
      </c>
      <c r="D937" t="s">
        <v>255</v>
      </c>
      <c r="E937" t="s">
        <v>11</v>
      </c>
      <c r="F937">
        <v>2</v>
      </c>
      <c r="G937" t="s">
        <v>16</v>
      </c>
    </row>
    <row r="938" spans="1:7" x14ac:dyDescent="0.25">
      <c r="A938">
        <v>73</v>
      </c>
      <c r="B938" t="s">
        <v>256</v>
      </c>
      <c r="C938">
        <v>10</v>
      </c>
      <c r="D938" t="s">
        <v>406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256</v>
      </c>
      <c r="C939">
        <v>20</v>
      </c>
      <c r="D939" t="s">
        <v>109</v>
      </c>
      <c r="E939" t="s">
        <v>15</v>
      </c>
      <c r="F939">
        <v>4.3179999999999996</v>
      </c>
      <c r="G939" t="s">
        <v>16</v>
      </c>
    </row>
    <row r="940" spans="1:7" x14ac:dyDescent="0.25">
      <c r="A940">
        <v>73</v>
      </c>
      <c r="B940" t="s">
        <v>256</v>
      </c>
      <c r="C940">
        <v>30</v>
      </c>
      <c r="D940" t="s">
        <v>18</v>
      </c>
      <c r="E940" t="s">
        <v>15</v>
      </c>
      <c r="F940">
        <v>118.262</v>
      </c>
      <c r="G940" t="s">
        <v>14</v>
      </c>
    </row>
    <row r="941" spans="1:7" x14ac:dyDescent="0.25">
      <c r="A941">
        <v>73</v>
      </c>
      <c r="B941" t="s">
        <v>256</v>
      </c>
      <c r="C941">
        <v>40</v>
      </c>
      <c r="D941" t="s">
        <v>105</v>
      </c>
      <c r="E941" t="s">
        <v>106</v>
      </c>
      <c r="F941">
        <v>1.4870000000000001</v>
      </c>
      <c r="G941" t="s">
        <v>14</v>
      </c>
    </row>
    <row r="942" spans="1:7" x14ac:dyDescent="0.25">
      <c r="A942">
        <v>73</v>
      </c>
      <c r="B942" t="s">
        <v>256</v>
      </c>
      <c r="C942">
        <v>50</v>
      </c>
      <c r="D942" t="s">
        <v>107</v>
      </c>
      <c r="E942" t="s">
        <v>15</v>
      </c>
      <c r="F942">
        <v>15.037000000000001</v>
      </c>
      <c r="G942" t="s">
        <v>14</v>
      </c>
    </row>
    <row r="943" spans="1:7" x14ac:dyDescent="0.25">
      <c r="A943">
        <v>73</v>
      </c>
      <c r="B943" t="s">
        <v>256</v>
      </c>
      <c r="C943">
        <v>60</v>
      </c>
      <c r="D943" t="s">
        <v>18</v>
      </c>
      <c r="E943" t="s">
        <v>15</v>
      </c>
      <c r="F943">
        <v>92.475999999999999</v>
      </c>
      <c r="G943" t="s">
        <v>14</v>
      </c>
    </row>
    <row r="944" spans="1:7" x14ac:dyDescent="0.25">
      <c r="A944">
        <v>73</v>
      </c>
      <c r="B944" t="s">
        <v>256</v>
      </c>
      <c r="C944">
        <v>70</v>
      </c>
      <c r="D944" t="s">
        <v>112</v>
      </c>
      <c r="E944" t="s">
        <v>11</v>
      </c>
      <c r="F944">
        <v>4</v>
      </c>
      <c r="G944" t="s">
        <v>14</v>
      </c>
    </row>
    <row r="945" spans="1:7" x14ac:dyDescent="0.25">
      <c r="A945">
        <v>73</v>
      </c>
      <c r="B945" t="s">
        <v>256</v>
      </c>
      <c r="C945">
        <v>80</v>
      </c>
      <c r="D945" t="s">
        <v>21</v>
      </c>
      <c r="E945" t="s">
        <v>11</v>
      </c>
      <c r="F945">
        <v>1</v>
      </c>
      <c r="G945" t="s">
        <v>14</v>
      </c>
    </row>
    <row r="946" spans="1:7" x14ac:dyDescent="0.25">
      <c r="A946">
        <v>73</v>
      </c>
      <c r="B946" t="s">
        <v>256</v>
      </c>
      <c r="C946">
        <v>90</v>
      </c>
      <c r="D946" t="s">
        <v>22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256</v>
      </c>
      <c r="C947">
        <v>100</v>
      </c>
      <c r="D947" t="s">
        <v>23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256</v>
      </c>
      <c r="C948">
        <v>110</v>
      </c>
      <c r="D948" t="s">
        <v>110</v>
      </c>
      <c r="E948" t="s">
        <v>13</v>
      </c>
      <c r="F948">
        <v>1.2969999999999999</v>
      </c>
      <c r="G948" t="s">
        <v>14</v>
      </c>
    </row>
    <row r="949" spans="1:7" x14ac:dyDescent="0.25">
      <c r="A949">
        <v>73</v>
      </c>
      <c r="B949" t="s">
        <v>256</v>
      </c>
      <c r="C949">
        <v>120</v>
      </c>
      <c r="D949" t="s">
        <v>407</v>
      </c>
      <c r="E949" t="s">
        <v>11</v>
      </c>
      <c r="F949">
        <v>2</v>
      </c>
      <c r="G949" t="s">
        <v>16</v>
      </c>
    </row>
    <row r="950" spans="1:7" x14ac:dyDescent="0.25">
      <c r="A950">
        <v>73</v>
      </c>
      <c r="B950" t="s">
        <v>256</v>
      </c>
      <c r="C950">
        <v>130</v>
      </c>
      <c r="D950" t="s">
        <v>257</v>
      </c>
      <c r="E950" t="s">
        <v>11</v>
      </c>
      <c r="F950">
        <v>2</v>
      </c>
      <c r="G950" t="s">
        <v>16</v>
      </c>
    </row>
    <row r="951" spans="1:7" x14ac:dyDescent="0.25">
      <c r="A951">
        <v>74</v>
      </c>
      <c r="B951" t="s">
        <v>258</v>
      </c>
      <c r="C951">
        <v>10</v>
      </c>
      <c r="D951" t="s">
        <v>408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258</v>
      </c>
      <c r="C952">
        <v>20</v>
      </c>
      <c r="D952" t="s">
        <v>109</v>
      </c>
      <c r="E952" t="s">
        <v>15</v>
      </c>
      <c r="F952">
        <v>4.3179999999999996</v>
      </c>
      <c r="G952" t="s">
        <v>16</v>
      </c>
    </row>
    <row r="953" spans="1:7" x14ac:dyDescent="0.25">
      <c r="A953">
        <v>74</v>
      </c>
      <c r="B953" t="s">
        <v>258</v>
      </c>
      <c r="C953">
        <v>30</v>
      </c>
      <c r="D953" t="s">
        <v>18</v>
      </c>
      <c r="E953" t="s">
        <v>15</v>
      </c>
      <c r="F953">
        <v>123.139</v>
      </c>
      <c r="G953" t="s">
        <v>14</v>
      </c>
    </row>
    <row r="954" spans="1:7" x14ac:dyDescent="0.25">
      <c r="A954">
        <v>74</v>
      </c>
      <c r="B954" t="s">
        <v>258</v>
      </c>
      <c r="C954">
        <v>40</v>
      </c>
      <c r="D954" t="s">
        <v>105</v>
      </c>
      <c r="E954" t="s">
        <v>106</v>
      </c>
      <c r="F954">
        <v>1.639</v>
      </c>
      <c r="G954" t="s">
        <v>14</v>
      </c>
    </row>
    <row r="955" spans="1:7" x14ac:dyDescent="0.25">
      <c r="A955">
        <v>74</v>
      </c>
      <c r="B955" t="s">
        <v>258</v>
      </c>
      <c r="C955">
        <v>50</v>
      </c>
      <c r="D955" t="s">
        <v>107</v>
      </c>
      <c r="E955" t="s">
        <v>15</v>
      </c>
      <c r="F955">
        <v>15.646000000000001</v>
      </c>
      <c r="G955" t="s">
        <v>14</v>
      </c>
    </row>
    <row r="956" spans="1:7" x14ac:dyDescent="0.25">
      <c r="A956">
        <v>74</v>
      </c>
      <c r="B956" t="s">
        <v>258</v>
      </c>
      <c r="C956">
        <v>60</v>
      </c>
      <c r="D956" t="s">
        <v>18</v>
      </c>
      <c r="E956" t="s">
        <v>15</v>
      </c>
      <c r="F956">
        <v>96.224999999999994</v>
      </c>
      <c r="G956" t="s">
        <v>14</v>
      </c>
    </row>
    <row r="957" spans="1:7" x14ac:dyDescent="0.25">
      <c r="A957">
        <v>74</v>
      </c>
      <c r="B957" t="s">
        <v>258</v>
      </c>
      <c r="C957">
        <v>70</v>
      </c>
      <c r="D957" t="s">
        <v>112</v>
      </c>
      <c r="E957" t="s">
        <v>11</v>
      </c>
      <c r="F957">
        <v>4</v>
      </c>
      <c r="G957" t="s">
        <v>14</v>
      </c>
    </row>
    <row r="958" spans="1:7" x14ac:dyDescent="0.25">
      <c r="A958">
        <v>74</v>
      </c>
      <c r="B958" t="s">
        <v>258</v>
      </c>
      <c r="C958">
        <v>80</v>
      </c>
      <c r="D958" t="s">
        <v>21</v>
      </c>
      <c r="E958" t="s">
        <v>11</v>
      </c>
      <c r="F958">
        <v>1</v>
      </c>
      <c r="G958" t="s">
        <v>14</v>
      </c>
    </row>
    <row r="959" spans="1:7" x14ac:dyDescent="0.25">
      <c r="A959">
        <v>74</v>
      </c>
      <c r="B959" t="s">
        <v>258</v>
      </c>
      <c r="C959">
        <v>90</v>
      </c>
      <c r="D959" t="s">
        <v>22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258</v>
      </c>
      <c r="C960">
        <v>100</v>
      </c>
      <c r="D960" t="s">
        <v>23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258</v>
      </c>
      <c r="C961">
        <v>110</v>
      </c>
      <c r="D961" t="s">
        <v>110</v>
      </c>
      <c r="E961" t="s">
        <v>13</v>
      </c>
      <c r="F961">
        <v>1.2969999999999999</v>
      </c>
      <c r="G961" t="s">
        <v>14</v>
      </c>
    </row>
    <row r="962" spans="1:7" x14ac:dyDescent="0.25">
      <c r="A962">
        <v>74</v>
      </c>
      <c r="B962" t="s">
        <v>258</v>
      </c>
      <c r="C962">
        <v>120</v>
      </c>
      <c r="D962" t="s">
        <v>409</v>
      </c>
      <c r="E962" t="s">
        <v>11</v>
      </c>
      <c r="F962">
        <v>2</v>
      </c>
      <c r="G962" t="s">
        <v>16</v>
      </c>
    </row>
    <row r="963" spans="1:7" x14ac:dyDescent="0.25">
      <c r="A963">
        <v>74</v>
      </c>
      <c r="B963" t="s">
        <v>258</v>
      </c>
      <c r="C963">
        <v>130</v>
      </c>
      <c r="D963" t="s">
        <v>259</v>
      </c>
      <c r="E963" t="s">
        <v>11</v>
      </c>
      <c r="F963">
        <v>2</v>
      </c>
      <c r="G963" t="s">
        <v>16</v>
      </c>
    </row>
    <row r="964" spans="1:7" x14ac:dyDescent="0.25">
      <c r="A964">
        <v>75</v>
      </c>
      <c r="B964" t="s">
        <v>260</v>
      </c>
      <c r="C964">
        <v>10</v>
      </c>
      <c r="D964" t="s">
        <v>410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260</v>
      </c>
      <c r="C965">
        <v>20</v>
      </c>
      <c r="D965" t="s">
        <v>109</v>
      </c>
      <c r="E965" t="s">
        <v>15</v>
      </c>
      <c r="F965">
        <v>4.3179999999999996</v>
      </c>
      <c r="G965" t="s">
        <v>16</v>
      </c>
    </row>
    <row r="966" spans="1:7" x14ac:dyDescent="0.25">
      <c r="A966">
        <v>75</v>
      </c>
      <c r="B966" t="s">
        <v>260</v>
      </c>
      <c r="C966">
        <v>30</v>
      </c>
      <c r="D966" t="s">
        <v>18</v>
      </c>
      <c r="E966" t="s">
        <v>15</v>
      </c>
      <c r="F966">
        <v>128.01599999999999</v>
      </c>
      <c r="G966" t="s">
        <v>14</v>
      </c>
    </row>
    <row r="967" spans="1:7" x14ac:dyDescent="0.25">
      <c r="A967">
        <v>75</v>
      </c>
      <c r="B967" t="s">
        <v>260</v>
      </c>
      <c r="C967">
        <v>40</v>
      </c>
      <c r="D967" t="s">
        <v>105</v>
      </c>
      <c r="E967" t="s">
        <v>106</v>
      </c>
      <c r="F967">
        <v>1.79</v>
      </c>
      <c r="G967" t="s">
        <v>14</v>
      </c>
    </row>
    <row r="968" spans="1:7" x14ac:dyDescent="0.25">
      <c r="A968">
        <v>75</v>
      </c>
      <c r="B968" t="s">
        <v>260</v>
      </c>
      <c r="C968">
        <v>50</v>
      </c>
      <c r="D968" t="s">
        <v>107</v>
      </c>
      <c r="E968" t="s">
        <v>15</v>
      </c>
      <c r="F968">
        <v>16.256</v>
      </c>
      <c r="G968" t="s">
        <v>14</v>
      </c>
    </row>
    <row r="969" spans="1:7" x14ac:dyDescent="0.25">
      <c r="A969">
        <v>75</v>
      </c>
      <c r="B969" t="s">
        <v>260</v>
      </c>
      <c r="C969">
        <v>60</v>
      </c>
      <c r="D969" t="s">
        <v>18</v>
      </c>
      <c r="E969" t="s">
        <v>15</v>
      </c>
      <c r="F969">
        <v>99.974000000000004</v>
      </c>
      <c r="G969" t="s">
        <v>14</v>
      </c>
    </row>
    <row r="970" spans="1:7" x14ac:dyDescent="0.25">
      <c r="A970">
        <v>75</v>
      </c>
      <c r="B970" t="s">
        <v>260</v>
      </c>
      <c r="C970">
        <v>70</v>
      </c>
      <c r="D970" t="s">
        <v>112</v>
      </c>
      <c r="E970" t="s">
        <v>11</v>
      </c>
      <c r="F970">
        <v>4</v>
      </c>
      <c r="G970" t="s">
        <v>14</v>
      </c>
    </row>
    <row r="971" spans="1:7" x14ac:dyDescent="0.25">
      <c r="A971">
        <v>75</v>
      </c>
      <c r="B971" t="s">
        <v>260</v>
      </c>
      <c r="C971">
        <v>80</v>
      </c>
      <c r="D971" t="s">
        <v>21</v>
      </c>
      <c r="E971" t="s">
        <v>11</v>
      </c>
      <c r="F971">
        <v>1</v>
      </c>
      <c r="G971" t="s">
        <v>14</v>
      </c>
    </row>
    <row r="972" spans="1:7" x14ac:dyDescent="0.25">
      <c r="A972">
        <v>75</v>
      </c>
      <c r="B972" t="s">
        <v>260</v>
      </c>
      <c r="C972">
        <v>90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260</v>
      </c>
      <c r="C973">
        <v>100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260</v>
      </c>
      <c r="C974">
        <v>110</v>
      </c>
      <c r="D974" t="s">
        <v>110</v>
      </c>
      <c r="E974" t="s">
        <v>13</v>
      </c>
      <c r="F974">
        <v>1.2969999999999999</v>
      </c>
      <c r="G974" t="s">
        <v>14</v>
      </c>
    </row>
    <row r="975" spans="1:7" x14ac:dyDescent="0.25">
      <c r="A975">
        <v>75</v>
      </c>
      <c r="B975" t="s">
        <v>260</v>
      </c>
      <c r="C975">
        <v>120</v>
      </c>
      <c r="D975" t="s">
        <v>411</v>
      </c>
      <c r="E975" t="s">
        <v>11</v>
      </c>
      <c r="F975">
        <v>2</v>
      </c>
      <c r="G975" t="s">
        <v>16</v>
      </c>
    </row>
    <row r="976" spans="1:7" x14ac:dyDescent="0.25">
      <c r="A976">
        <v>75</v>
      </c>
      <c r="B976" t="s">
        <v>260</v>
      </c>
      <c r="C976">
        <v>130</v>
      </c>
      <c r="D976" t="s">
        <v>261</v>
      </c>
      <c r="E976" t="s">
        <v>11</v>
      </c>
      <c r="F976">
        <v>2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0" sqref="N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40.140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111</v>
      </c>
      <c r="D5" s="3"/>
      <c r="E5" s="3" t="s">
        <v>111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111</v>
      </c>
      <c r="D6" s="3"/>
      <c r="E6" s="3" t="s">
        <v>111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111</v>
      </c>
      <c r="D7" s="3"/>
      <c r="E7" s="3" t="s">
        <v>111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18</v>
      </c>
      <c r="O7" s="3"/>
      <c r="P7" s="3"/>
      <c r="Q7" s="3">
        <v>86.563000000000002</v>
      </c>
      <c r="R7" s="3" t="s">
        <v>15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111</v>
      </c>
      <c r="D8" s="3"/>
      <c r="E8" s="3" t="s">
        <v>111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0.69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111</v>
      </c>
      <c r="D9" s="3"/>
      <c r="E9" s="3" t="s">
        <v>111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111</v>
      </c>
      <c r="D10" s="3"/>
      <c r="E10" s="3" t="s">
        <v>111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111</v>
      </c>
      <c r="D11" s="3"/>
      <c r="E11" s="3" t="s">
        <v>111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111</v>
      </c>
      <c r="D12" s="3"/>
      <c r="E12" s="3" t="s">
        <v>111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111</v>
      </c>
      <c r="D13" s="3"/>
      <c r="E13" s="3" t="s">
        <v>111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111</v>
      </c>
      <c r="D14" s="3"/>
      <c r="E14" s="3" t="s">
        <v>111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111</v>
      </c>
      <c r="D15" s="3"/>
      <c r="E15" s="3" t="s">
        <v>111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110</v>
      </c>
      <c r="O15" s="3"/>
      <c r="P15" s="3"/>
      <c r="Q15" s="3">
        <v>0.60799999999999998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111</v>
      </c>
      <c r="D16" s="3"/>
      <c r="E16" s="3" t="s">
        <v>111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263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152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109</v>
      </c>
      <c r="O19" s="3"/>
      <c r="P19" s="3"/>
      <c r="Q19" s="3">
        <v>2.032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18</v>
      </c>
      <c r="O20" s="3"/>
      <c r="P20" s="3"/>
      <c r="Q20" s="3">
        <v>91.44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0.82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107</v>
      </c>
      <c r="O22" s="3"/>
      <c r="P22" s="3"/>
      <c r="Q22" s="3">
        <v>11.683999999999999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71.856999999999999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112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110</v>
      </c>
      <c r="O28" s="3"/>
      <c r="P28" s="3"/>
      <c r="Q28" s="3">
        <v>0.68899999999999995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265</v>
      </c>
      <c r="O29" s="3"/>
      <c r="P29" s="3"/>
      <c r="Q29" s="3">
        <v>2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153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114</v>
      </c>
      <c r="D31" s="3"/>
      <c r="E31" s="3" t="s">
        <v>114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114</v>
      </c>
      <c r="D32" s="3"/>
      <c r="E32" s="3" t="s">
        <v>114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109</v>
      </c>
      <c r="O32" s="3"/>
      <c r="P32" s="3"/>
      <c r="Q32" s="3">
        <v>2.3370000000000002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114</v>
      </c>
      <c r="D33" s="3"/>
      <c r="E33" s="3" t="s">
        <v>114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18</v>
      </c>
      <c r="O33" s="3"/>
      <c r="P33" s="3"/>
      <c r="Q33" s="3">
        <v>96.316999999999993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114</v>
      </c>
      <c r="D34" s="3"/>
      <c r="E34" s="3" t="s">
        <v>114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0.94899999999999995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114</v>
      </c>
      <c r="D35" s="3"/>
      <c r="E35" s="3" t="s">
        <v>114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107</v>
      </c>
      <c r="O35" s="3"/>
      <c r="P35" s="3"/>
      <c r="Q35" s="3">
        <v>12.294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114</v>
      </c>
      <c r="D36" s="3"/>
      <c r="E36" s="3" t="s">
        <v>114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75.605999999999995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114</v>
      </c>
      <c r="D37" s="3"/>
      <c r="E37" s="3" t="s">
        <v>114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112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114</v>
      </c>
      <c r="D38" s="3"/>
      <c r="E38" s="3" t="s">
        <v>114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114</v>
      </c>
      <c r="D39" s="3"/>
      <c r="E39" s="3" t="s">
        <v>114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114</v>
      </c>
      <c r="D40" s="3"/>
      <c r="E40" s="3" t="s">
        <v>114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110</v>
      </c>
      <c r="O41" s="3"/>
      <c r="P41" s="3"/>
      <c r="Q41" s="3">
        <v>0.77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267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154</v>
      </c>
      <c r="O43" s="3"/>
      <c r="P43" s="3"/>
      <c r="Q43" s="3">
        <v>2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109</v>
      </c>
      <c r="O45" s="3"/>
      <c r="P45" s="3"/>
      <c r="Q45" s="3">
        <v>2.6419999999999999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18</v>
      </c>
      <c r="O46" s="3"/>
      <c r="P46" s="3"/>
      <c r="Q46" s="3">
        <v>101.194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1.0780000000000001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107</v>
      </c>
      <c r="O48" s="3"/>
      <c r="P48" s="3"/>
      <c r="Q48" s="3">
        <v>12.903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79.355000000000004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112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110</v>
      </c>
      <c r="O54" s="3"/>
      <c r="P54" s="3"/>
      <c r="Q54" s="3">
        <v>0.85099999999999998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269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155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270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109</v>
      </c>
      <c r="O58" s="3"/>
      <c r="P58" s="3"/>
      <c r="Q58" s="3">
        <v>2.794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18</v>
      </c>
      <c r="O59" s="3"/>
      <c r="P59" s="3"/>
      <c r="Q59" s="3">
        <v>103.63200000000001</v>
      </c>
      <c r="R59" s="3" t="s">
        <v>15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1.143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107</v>
      </c>
      <c r="O61" s="3"/>
      <c r="P61" s="3"/>
      <c r="Q61" s="3">
        <v>13.208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81.228999999999999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112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110</v>
      </c>
      <c r="O67" s="3"/>
      <c r="P67" s="3"/>
      <c r="Q67" s="3">
        <v>0.89200000000000002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271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156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272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109</v>
      </c>
      <c r="O71" s="3"/>
      <c r="P71" s="3"/>
      <c r="Q71" s="3">
        <v>2.9460000000000002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18</v>
      </c>
      <c r="O72" s="3"/>
      <c r="P72" s="3"/>
      <c r="Q72" s="3">
        <v>106.07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1.208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107</v>
      </c>
      <c r="O74" s="3"/>
      <c r="P74" s="3"/>
      <c r="Q74" s="3">
        <v>13.513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83.103999999999999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112</v>
      </c>
      <c r="O76" s="3"/>
      <c r="P76" s="3"/>
      <c r="Q76" s="3">
        <v>4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110</v>
      </c>
      <c r="O80" s="3"/>
      <c r="P80" s="3"/>
      <c r="Q80" s="3">
        <v>0.93200000000000005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273</v>
      </c>
      <c r="O81" s="3"/>
      <c r="P81" s="3"/>
      <c r="Q81" s="3">
        <v>2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157</v>
      </c>
      <c r="O82" s="3"/>
      <c r="P82" s="3"/>
      <c r="Q82" s="3">
        <v>2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118</v>
      </c>
      <c r="D83" s="3"/>
      <c r="E83" s="3" t="s">
        <v>118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274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118</v>
      </c>
      <c r="D84" s="3"/>
      <c r="E84" s="3" t="s">
        <v>118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109</v>
      </c>
      <c r="O84" s="3"/>
      <c r="P84" s="3"/>
      <c r="Q84" s="3">
        <v>3.2509999999999999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118</v>
      </c>
      <c r="D85" s="3"/>
      <c r="E85" s="3" t="s">
        <v>118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18</v>
      </c>
      <c r="O85" s="3"/>
      <c r="P85" s="3"/>
      <c r="Q85" s="3">
        <v>110.947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118</v>
      </c>
      <c r="D86" s="3"/>
      <c r="E86" s="3" t="s">
        <v>118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1.337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118</v>
      </c>
      <c r="D87" s="3"/>
      <c r="E87" s="3" t="s">
        <v>118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107</v>
      </c>
      <c r="O87" s="3"/>
      <c r="P87" s="3"/>
      <c r="Q87" s="3">
        <v>14.122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118</v>
      </c>
      <c r="D88" s="3"/>
      <c r="E88" s="3" t="s">
        <v>118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86.852999999999994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112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110</v>
      </c>
      <c r="O93" s="3"/>
      <c r="P93" s="3"/>
      <c r="Q93" s="3">
        <v>1.0129999999999999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275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158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119</v>
      </c>
      <c r="D96" s="3"/>
      <c r="E96" s="3" t="s">
        <v>119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119</v>
      </c>
      <c r="D97" s="3"/>
      <c r="E97" s="3" t="s">
        <v>119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109</v>
      </c>
      <c r="O97" s="3"/>
      <c r="P97" s="3"/>
      <c r="Q97" s="3">
        <v>3.556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119</v>
      </c>
      <c r="D98" s="3"/>
      <c r="E98" s="3" t="s">
        <v>119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18</v>
      </c>
      <c r="O98" s="3"/>
      <c r="P98" s="3"/>
      <c r="Q98" s="3">
        <v>115.824</v>
      </c>
      <c r="R98" s="3" t="s">
        <v>15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119</v>
      </c>
      <c r="D99" s="3"/>
      <c r="E99" s="3" t="s">
        <v>119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1.4670000000000001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119</v>
      </c>
      <c r="D100" s="3"/>
      <c r="E100" s="3" t="s">
        <v>119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107</v>
      </c>
      <c r="O100" s="3"/>
      <c r="P100" s="3"/>
      <c r="Q100" s="3">
        <v>14.731999999999999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90.602000000000004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112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21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110</v>
      </c>
      <c r="O106" s="3"/>
      <c r="P106" s="3"/>
      <c r="Q106" s="3">
        <v>1.0940000000000001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277</v>
      </c>
      <c r="O107" s="3"/>
      <c r="P107" s="3"/>
      <c r="Q107" s="3">
        <v>2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159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120</v>
      </c>
      <c r="D109" s="3"/>
      <c r="E109" s="3" t="s">
        <v>120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120</v>
      </c>
      <c r="D110" s="3"/>
      <c r="E110" s="3" t="s">
        <v>120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109</v>
      </c>
      <c r="O110" s="3"/>
      <c r="P110" s="3"/>
      <c r="Q110" s="3">
        <v>1.7270000000000001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120</v>
      </c>
      <c r="D111" s="3"/>
      <c r="E111" s="3" t="s">
        <v>120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18</v>
      </c>
      <c r="O111" s="3"/>
      <c r="P111" s="3"/>
      <c r="Q111" s="3">
        <v>89.001999999999995</v>
      </c>
      <c r="R111" s="3" t="s">
        <v>15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120</v>
      </c>
      <c r="D112" s="3"/>
      <c r="E112" s="3" t="s">
        <v>120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0.71899999999999997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107</v>
      </c>
      <c r="O113" s="3"/>
      <c r="P113" s="3"/>
      <c r="Q113" s="3">
        <v>11.379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69.981999999999999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112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110</v>
      </c>
      <c r="O119" s="3"/>
      <c r="P119" s="3"/>
      <c r="Q119" s="3">
        <v>0.60799999999999998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279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160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121</v>
      </c>
      <c r="D122" s="3"/>
      <c r="E122" s="3" t="s">
        <v>121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280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121</v>
      </c>
      <c r="D123" s="3"/>
      <c r="E123" s="3" t="s">
        <v>121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109</v>
      </c>
      <c r="O123" s="3"/>
      <c r="P123" s="3"/>
      <c r="Q123" s="3">
        <v>2.032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121</v>
      </c>
      <c r="D124" s="3"/>
      <c r="E124" s="3" t="s">
        <v>121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18</v>
      </c>
      <c r="O124" s="3"/>
      <c r="P124" s="3"/>
      <c r="Q124" s="3">
        <v>93.878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0.85399999999999998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107</v>
      </c>
      <c r="O126" s="3"/>
      <c r="P126" s="3"/>
      <c r="Q126" s="3">
        <v>11.989000000000001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73.730999999999995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112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110</v>
      </c>
      <c r="O132" s="3"/>
      <c r="P132" s="3"/>
      <c r="Q132" s="3">
        <v>0.68899999999999995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281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161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122</v>
      </c>
      <c r="D135" s="3"/>
      <c r="E135" s="3" t="s">
        <v>122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282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122</v>
      </c>
      <c r="D136" s="3"/>
      <c r="E136" s="3" t="s">
        <v>122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109</v>
      </c>
      <c r="O136" s="3"/>
      <c r="P136" s="3"/>
      <c r="Q136" s="3">
        <v>2.3370000000000002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18</v>
      </c>
      <c r="O137" s="3"/>
      <c r="P137" s="3"/>
      <c r="Q137" s="3">
        <v>98.754999999999995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122</v>
      </c>
      <c r="D138" s="3"/>
      <c r="E138" s="3" t="s">
        <v>122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0.98899999999999999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122</v>
      </c>
      <c r="D139" s="3"/>
      <c r="E139" s="3" t="s">
        <v>122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107</v>
      </c>
      <c r="O139" s="3"/>
      <c r="P139" s="3"/>
      <c r="Q139" s="3">
        <v>12.598000000000001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122</v>
      </c>
      <c r="D140" s="3"/>
      <c r="E140" s="3" t="s">
        <v>122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77.48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122</v>
      </c>
      <c r="D141" s="3"/>
      <c r="E141" s="3" t="s">
        <v>122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112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122</v>
      </c>
      <c r="D142" s="3"/>
      <c r="E142" s="3" t="s">
        <v>122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122</v>
      </c>
      <c r="D143" s="3"/>
      <c r="E143" s="3" t="s">
        <v>122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122</v>
      </c>
      <c r="D144" s="3"/>
      <c r="E144" s="3" t="s">
        <v>122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110</v>
      </c>
      <c r="O145" s="3"/>
      <c r="P145" s="3"/>
      <c r="Q145" s="3">
        <v>0.77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283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162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123</v>
      </c>
      <c r="D148" s="3"/>
      <c r="E148" s="3" t="s">
        <v>123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284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123</v>
      </c>
      <c r="D149" s="3"/>
      <c r="E149" s="3" t="s">
        <v>123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109</v>
      </c>
      <c r="O149" s="3"/>
      <c r="P149" s="3"/>
      <c r="Q149" s="3">
        <v>2.6419999999999999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123</v>
      </c>
      <c r="D150" s="3"/>
      <c r="E150" s="3" t="s">
        <v>123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18</v>
      </c>
      <c r="O150" s="3"/>
      <c r="P150" s="3"/>
      <c r="Q150" s="3">
        <v>103.63200000000001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123</v>
      </c>
      <c r="D151" s="3"/>
      <c r="E151" s="3" t="s">
        <v>123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1.1240000000000001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123</v>
      </c>
      <c r="D152" s="3"/>
      <c r="E152" s="3" t="s">
        <v>123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107</v>
      </c>
      <c r="O152" s="3"/>
      <c r="P152" s="3"/>
      <c r="Q152" s="3">
        <v>13.208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123</v>
      </c>
      <c r="D153" s="3"/>
      <c r="E153" s="3" t="s">
        <v>123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81.228999999999999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123</v>
      </c>
      <c r="D154" s="3"/>
      <c r="E154" s="3" t="s">
        <v>123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112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123</v>
      </c>
      <c r="D155" s="3"/>
      <c r="E155" s="3" t="s">
        <v>123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123</v>
      </c>
      <c r="D156" s="3"/>
      <c r="E156" s="3" t="s">
        <v>123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123</v>
      </c>
      <c r="D157" s="3"/>
      <c r="E157" s="3" t="s">
        <v>123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123</v>
      </c>
      <c r="D158" s="3"/>
      <c r="E158" s="3" t="s">
        <v>123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110</v>
      </c>
      <c r="O158" s="3"/>
      <c r="P158" s="3"/>
      <c r="Q158" s="3">
        <v>0.85099999999999998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285</v>
      </c>
      <c r="O159" s="3"/>
      <c r="P159" s="3"/>
      <c r="Q159" s="3">
        <v>2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163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286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2.794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18</v>
      </c>
      <c r="O163" s="3"/>
      <c r="P163" s="3"/>
      <c r="Q163" s="3">
        <v>106.07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1.1910000000000001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13.513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83.103999999999999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110</v>
      </c>
      <c r="O171" s="3"/>
      <c r="P171" s="3"/>
      <c r="Q171" s="3">
        <v>0.89200000000000002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287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124</v>
      </c>
      <c r="D173" s="3"/>
      <c r="E173" s="3" t="s">
        <v>124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164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125</v>
      </c>
      <c r="D174" s="3"/>
      <c r="E174" s="3" t="s">
        <v>125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288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125</v>
      </c>
      <c r="D175" s="3"/>
      <c r="E175" s="3" t="s">
        <v>125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109</v>
      </c>
      <c r="O175" s="3"/>
      <c r="P175" s="3"/>
      <c r="Q175" s="3">
        <v>2.9460000000000002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125</v>
      </c>
      <c r="D176" s="3"/>
      <c r="E176" s="3" t="s">
        <v>125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18</v>
      </c>
      <c r="O176" s="3"/>
      <c r="P176" s="3"/>
      <c r="Q176" s="3">
        <v>108.509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125</v>
      </c>
      <c r="D177" s="3"/>
      <c r="E177" s="3" t="s">
        <v>125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1.2589999999999999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125</v>
      </c>
      <c r="D178" s="3"/>
      <c r="E178" s="3" t="s">
        <v>125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107</v>
      </c>
      <c r="O178" s="3"/>
      <c r="P178" s="3"/>
      <c r="Q178" s="3">
        <v>13.818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125</v>
      </c>
      <c r="D179" s="3"/>
      <c r="E179" s="3" t="s">
        <v>125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84.977999999999994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125</v>
      </c>
      <c r="D180" s="3"/>
      <c r="E180" s="3" t="s">
        <v>125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112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125</v>
      </c>
      <c r="D181" s="3"/>
      <c r="E181" s="3" t="s">
        <v>125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125</v>
      </c>
      <c r="D182" s="3"/>
      <c r="E182" s="3" t="s">
        <v>125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125</v>
      </c>
      <c r="D183" s="3"/>
      <c r="E183" s="3" t="s">
        <v>125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125</v>
      </c>
      <c r="D184" s="3"/>
      <c r="E184" s="3" t="s">
        <v>125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110</v>
      </c>
      <c r="O184" s="3"/>
      <c r="P184" s="3"/>
      <c r="Q184" s="3">
        <v>0.93200000000000005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125</v>
      </c>
      <c r="D185" s="3"/>
      <c r="E185" s="3" t="s">
        <v>125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289</v>
      </c>
      <c r="O185" s="3"/>
      <c r="P185" s="3"/>
      <c r="Q185" s="3">
        <v>2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125</v>
      </c>
      <c r="D186" s="3"/>
      <c r="E186" s="3" t="s">
        <v>125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165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126</v>
      </c>
      <c r="D187" s="3"/>
      <c r="E187" s="3" t="s">
        <v>126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290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126</v>
      </c>
      <c r="D188" s="3"/>
      <c r="E188" s="3" t="s">
        <v>126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109</v>
      </c>
      <c r="O188" s="3"/>
      <c r="P188" s="3"/>
      <c r="Q188" s="3">
        <v>3.2509999999999999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126</v>
      </c>
      <c r="D189" s="3"/>
      <c r="E189" s="3" t="s">
        <v>126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18</v>
      </c>
      <c r="O189" s="3"/>
      <c r="P189" s="3"/>
      <c r="Q189" s="3">
        <v>113.386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126</v>
      </c>
      <c r="D190" s="3"/>
      <c r="E190" s="3" t="s">
        <v>126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1.3939999999999999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126</v>
      </c>
      <c r="D191" s="3"/>
      <c r="E191" s="3" t="s">
        <v>126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107</v>
      </c>
      <c r="O191" s="3"/>
      <c r="P191" s="3"/>
      <c r="Q191" s="3">
        <v>14.427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126</v>
      </c>
      <c r="D192" s="3"/>
      <c r="E192" s="3" t="s">
        <v>126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88.727000000000004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126</v>
      </c>
      <c r="D193" s="3"/>
      <c r="E193" s="3" t="s">
        <v>126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112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126</v>
      </c>
      <c r="D194" s="3"/>
      <c r="E194" s="3" t="s">
        <v>126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126</v>
      </c>
      <c r="D195" s="3"/>
      <c r="E195" s="3" t="s">
        <v>126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126</v>
      </c>
      <c r="D196" s="3"/>
      <c r="E196" s="3" t="s">
        <v>126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126</v>
      </c>
      <c r="D197" s="3"/>
      <c r="E197" s="3" t="s">
        <v>126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110</v>
      </c>
      <c r="O197" s="3"/>
      <c r="P197" s="3"/>
      <c r="Q197" s="3">
        <v>1.0129999999999999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126</v>
      </c>
      <c r="D198" s="3"/>
      <c r="E198" s="3" t="s">
        <v>126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291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126</v>
      </c>
      <c r="D199" s="3"/>
      <c r="E199" s="3" t="s">
        <v>126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166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127</v>
      </c>
      <c r="D200" s="3"/>
      <c r="E200" s="3" t="s">
        <v>127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292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127</v>
      </c>
      <c r="D201" s="3"/>
      <c r="E201" s="3" t="s">
        <v>127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109</v>
      </c>
      <c r="O201" s="3"/>
      <c r="P201" s="3"/>
      <c r="Q201" s="3">
        <v>3.556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127</v>
      </c>
      <c r="D202" s="3"/>
      <c r="E202" s="3" t="s">
        <v>127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18</v>
      </c>
      <c r="O202" s="3"/>
      <c r="P202" s="3"/>
      <c r="Q202" s="3">
        <v>118.262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127</v>
      </c>
      <c r="D203" s="3"/>
      <c r="E203" s="3" t="s">
        <v>127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1.528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127</v>
      </c>
      <c r="D204" s="3"/>
      <c r="E204" s="3" t="s">
        <v>127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107</v>
      </c>
      <c r="O204" s="3"/>
      <c r="P204" s="3"/>
      <c r="Q204" s="3">
        <v>15.037000000000001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127</v>
      </c>
      <c r="D205" s="3"/>
      <c r="E205" s="3" t="s">
        <v>127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92.475999999999999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127</v>
      </c>
      <c r="D206" s="3"/>
      <c r="E206" s="3" t="s">
        <v>127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112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127</v>
      </c>
      <c r="D207" s="3"/>
      <c r="E207" s="3" t="s">
        <v>127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127</v>
      </c>
      <c r="D208" s="3"/>
      <c r="E208" s="3" t="s">
        <v>127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127</v>
      </c>
      <c r="D209" s="3"/>
      <c r="E209" s="3" t="s">
        <v>127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127</v>
      </c>
      <c r="D210" s="3"/>
      <c r="E210" s="3" t="s">
        <v>127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110</v>
      </c>
      <c r="O210" s="3"/>
      <c r="P210" s="3"/>
      <c r="Q210" s="3">
        <v>1.0940000000000001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127</v>
      </c>
      <c r="D211" s="3"/>
      <c r="E211" s="3" t="s">
        <v>127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293</v>
      </c>
      <c r="O211" s="3"/>
      <c r="P211" s="3"/>
      <c r="Q211" s="3">
        <v>2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127</v>
      </c>
      <c r="D212" s="3"/>
      <c r="E212" s="3" t="s">
        <v>127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167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128</v>
      </c>
      <c r="D213" s="3"/>
      <c r="E213" s="3" t="s">
        <v>128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294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128</v>
      </c>
      <c r="D214" s="3"/>
      <c r="E214" s="3" t="s">
        <v>128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109</v>
      </c>
      <c r="O214" s="3"/>
      <c r="P214" s="3"/>
      <c r="Q214" s="3">
        <v>1.7270000000000001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128</v>
      </c>
      <c r="D215" s="3"/>
      <c r="E215" s="3" t="s">
        <v>128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18</v>
      </c>
      <c r="O215" s="3"/>
      <c r="P215" s="3"/>
      <c r="Q215" s="3">
        <v>91.44</v>
      </c>
      <c r="R215" s="3" t="s">
        <v>15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128</v>
      </c>
      <c r="D216" s="3"/>
      <c r="E216" s="3" t="s">
        <v>128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0.748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128</v>
      </c>
      <c r="D217" s="3"/>
      <c r="E217" s="3" t="s">
        <v>128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107</v>
      </c>
      <c r="O217" s="3"/>
      <c r="P217" s="3"/>
      <c r="Q217" s="3">
        <v>11.683999999999999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128</v>
      </c>
      <c r="D218" s="3"/>
      <c r="E218" s="3" t="s">
        <v>128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71.856999999999999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128</v>
      </c>
      <c r="D219" s="3"/>
      <c r="E219" s="3" t="s">
        <v>128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112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128</v>
      </c>
      <c r="D220" s="3"/>
      <c r="E220" s="3" t="s">
        <v>128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128</v>
      </c>
      <c r="D221" s="3"/>
      <c r="E221" s="3" t="s">
        <v>128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128</v>
      </c>
      <c r="D222" s="3"/>
      <c r="E222" s="3" t="s">
        <v>128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128</v>
      </c>
      <c r="D223" s="3"/>
      <c r="E223" s="3" t="s">
        <v>128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110</v>
      </c>
      <c r="O223" s="3"/>
      <c r="P223" s="3"/>
      <c r="Q223" s="3">
        <v>1.216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128</v>
      </c>
      <c r="D224" s="3"/>
      <c r="E224" s="3" t="s">
        <v>128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295</v>
      </c>
      <c r="O224" s="3"/>
      <c r="P224" s="3"/>
      <c r="Q224" s="3">
        <v>2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128</v>
      </c>
      <c r="D225" s="3"/>
      <c r="E225" s="3" t="s">
        <v>128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168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129</v>
      </c>
      <c r="D226" s="3"/>
      <c r="E226" s="3" t="s">
        <v>129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296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129</v>
      </c>
      <c r="D227" s="3"/>
      <c r="E227" s="3" t="s">
        <v>129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109</v>
      </c>
      <c r="O227" s="3"/>
      <c r="P227" s="3"/>
      <c r="Q227" s="3">
        <v>2.032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129</v>
      </c>
      <c r="D228" s="3"/>
      <c r="E228" s="3" t="s">
        <v>129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18</v>
      </c>
      <c r="O228" s="3"/>
      <c r="P228" s="3"/>
      <c r="Q228" s="3">
        <v>96.316999999999993</v>
      </c>
      <c r="R228" s="3" t="s">
        <v>15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129</v>
      </c>
      <c r="D229" s="3"/>
      <c r="E229" s="3" t="s">
        <v>129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0.88900000000000001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129</v>
      </c>
      <c r="D230" s="3"/>
      <c r="E230" s="3" t="s">
        <v>129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107</v>
      </c>
      <c r="O230" s="3"/>
      <c r="P230" s="3"/>
      <c r="Q230" s="3">
        <v>12.294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129</v>
      </c>
      <c r="D231" s="3"/>
      <c r="E231" s="3" t="s">
        <v>129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75.605999999999995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129</v>
      </c>
      <c r="D232" s="3"/>
      <c r="E232" s="3" t="s">
        <v>129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112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129</v>
      </c>
      <c r="D233" s="3"/>
      <c r="E233" s="3" t="s">
        <v>129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129</v>
      </c>
      <c r="D234" s="3"/>
      <c r="E234" s="3" t="s">
        <v>129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129</v>
      </c>
      <c r="D235" s="3"/>
      <c r="E235" s="3" t="s">
        <v>129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129</v>
      </c>
      <c r="D236" s="3"/>
      <c r="E236" s="3" t="s">
        <v>129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110</v>
      </c>
      <c r="O236" s="3"/>
      <c r="P236" s="3"/>
      <c r="Q236" s="3">
        <v>1.216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129</v>
      </c>
      <c r="D237" s="3"/>
      <c r="E237" s="3" t="s">
        <v>129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297</v>
      </c>
      <c r="O237" s="3"/>
      <c r="P237" s="3"/>
      <c r="Q237" s="3">
        <v>2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129</v>
      </c>
      <c r="D238" s="3"/>
      <c r="E238" s="3" t="s">
        <v>129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169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130</v>
      </c>
      <c r="D239" s="3"/>
      <c r="E239" s="3" t="s">
        <v>130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298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130</v>
      </c>
      <c r="D240" s="3"/>
      <c r="E240" s="3" t="s">
        <v>130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109</v>
      </c>
      <c r="O240" s="3"/>
      <c r="P240" s="3"/>
      <c r="Q240" s="3">
        <v>2.3370000000000002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130</v>
      </c>
      <c r="D241" s="3"/>
      <c r="E241" s="3" t="s">
        <v>130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18</v>
      </c>
      <c r="O241" s="3"/>
      <c r="P241" s="3"/>
      <c r="Q241" s="3">
        <v>101.194</v>
      </c>
      <c r="R241" s="3" t="s">
        <v>15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130</v>
      </c>
      <c r="D242" s="3"/>
      <c r="E242" s="3" t="s">
        <v>130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1.0289999999999999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130</v>
      </c>
      <c r="D243" s="3"/>
      <c r="E243" s="3" t="s">
        <v>130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107</v>
      </c>
      <c r="O243" s="3"/>
      <c r="P243" s="3"/>
      <c r="Q243" s="3">
        <v>12.903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130</v>
      </c>
      <c r="D244" s="3"/>
      <c r="E244" s="3" t="s">
        <v>130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79.355000000000004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130</v>
      </c>
      <c r="D245" s="3"/>
      <c r="E245" s="3" t="s">
        <v>130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112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130</v>
      </c>
      <c r="D246" s="3"/>
      <c r="E246" s="3" t="s">
        <v>130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21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130</v>
      </c>
      <c r="D247" s="3"/>
      <c r="E247" s="3" t="s">
        <v>130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130</v>
      </c>
      <c r="D248" s="3"/>
      <c r="E248" s="3" t="s">
        <v>130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130</v>
      </c>
      <c r="D249" s="3"/>
      <c r="E249" s="3" t="s">
        <v>130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110</v>
      </c>
      <c r="O249" s="3"/>
      <c r="P249" s="3"/>
      <c r="Q249" s="3">
        <v>1.216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130</v>
      </c>
      <c r="D250" s="3"/>
      <c r="E250" s="3" t="s">
        <v>130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299</v>
      </c>
      <c r="O250" s="3"/>
      <c r="P250" s="3"/>
      <c r="Q250" s="3">
        <v>2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130</v>
      </c>
      <c r="D251" s="3"/>
      <c r="E251" s="3" t="s">
        <v>130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170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131</v>
      </c>
      <c r="D252" s="3"/>
      <c r="E252" s="3" t="s">
        <v>131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300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131</v>
      </c>
      <c r="D253" s="3"/>
      <c r="E253" s="3" t="s">
        <v>131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109</v>
      </c>
      <c r="O253" s="3"/>
      <c r="P253" s="3"/>
      <c r="Q253" s="3">
        <v>2.6419999999999999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131</v>
      </c>
      <c r="D254" s="3"/>
      <c r="E254" s="3" t="s">
        <v>131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18</v>
      </c>
      <c r="O254" s="3"/>
      <c r="P254" s="3"/>
      <c r="Q254" s="3">
        <v>106.07</v>
      </c>
      <c r="R254" s="3" t="s">
        <v>15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131</v>
      </c>
      <c r="D255" s="3"/>
      <c r="E255" s="3" t="s">
        <v>131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1.169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131</v>
      </c>
      <c r="D256" s="3"/>
      <c r="E256" s="3" t="s">
        <v>131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107</v>
      </c>
      <c r="O256" s="3"/>
      <c r="P256" s="3"/>
      <c r="Q256" s="3">
        <v>13.513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131</v>
      </c>
      <c r="D257" s="3"/>
      <c r="E257" s="3" t="s">
        <v>131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83.103999999999999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131</v>
      </c>
      <c r="D258" s="3"/>
      <c r="E258" s="3" t="s">
        <v>131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112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131</v>
      </c>
      <c r="D259" s="3"/>
      <c r="E259" s="3" t="s">
        <v>131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21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131</v>
      </c>
      <c r="D260" s="3"/>
      <c r="E260" s="3" t="s">
        <v>131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131</v>
      </c>
      <c r="D261" s="3"/>
      <c r="E261" s="3" t="s">
        <v>131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131</v>
      </c>
      <c r="D262" s="3"/>
      <c r="E262" s="3" t="s">
        <v>131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110</v>
      </c>
      <c r="O262" s="3"/>
      <c r="P262" s="3"/>
      <c r="Q262" s="3">
        <v>1.216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131</v>
      </c>
      <c r="D263" s="3"/>
      <c r="E263" s="3" t="s">
        <v>131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301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131</v>
      </c>
      <c r="D264" s="3"/>
      <c r="E264" s="3" t="s">
        <v>131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171</v>
      </c>
      <c r="O264" s="3"/>
      <c r="P264" s="3"/>
      <c r="Q264" s="3">
        <v>2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132</v>
      </c>
      <c r="D265" s="3"/>
      <c r="E265" s="3" t="s">
        <v>132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302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132</v>
      </c>
      <c r="D266" s="3"/>
      <c r="E266" s="3" t="s">
        <v>132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109</v>
      </c>
      <c r="O266" s="3"/>
      <c r="P266" s="3"/>
      <c r="Q266" s="3">
        <v>2.794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132</v>
      </c>
      <c r="D267" s="3"/>
      <c r="E267" s="3" t="s">
        <v>132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18</v>
      </c>
      <c r="O267" s="3"/>
      <c r="P267" s="3"/>
      <c r="Q267" s="3">
        <v>108.509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132</v>
      </c>
      <c r="D268" s="3"/>
      <c r="E268" s="3" t="s">
        <v>132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1.24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132</v>
      </c>
      <c r="D269" s="3"/>
      <c r="E269" s="3" t="s">
        <v>132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107</v>
      </c>
      <c r="O269" s="3"/>
      <c r="P269" s="3"/>
      <c r="Q269" s="3">
        <v>13.818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132</v>
      </c>
      <c r="D270" s="3"/>
      <c r="E270" s="3" t="s">
        <v>132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84.977999999999994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132</v>
      </c>
      <c r="D271" s="3"/>
      <c r="E271" s="3" t="s">
        <v>132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112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132</v>
      </c>
      <c r="D272" s="3"/>
      <c r="E272" s="3" t="s">
        <v>132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132</v>
      </c>
      <c r="D273" s="3"/>
      <c r="E273" s="3" t="s">
        <v>132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132</v>
      </c>
      <c r="D274" s="3"/>
      <c r="E274" s="3" t="s">
        <v>132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132</v>
      </c>
      <c r="D275" s="3"/>
      <c r="E275" s="3" t="s">
        <v>132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110</v>
      </c>
      <c r="O275" s="3"/>
      <c r="P275" s="3"/>
      <c r="Q275" s="3">
        <v>1.216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132</v>
      </c>
      <c r="D276" s="3"/>
      <c r="E276" s="3" t="s">
        <v>132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303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132</v>
      </c>
      <c r="D277" s="3"/>
      <c r="E277" s="3" t="s">
        <v>132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172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133</v>
      </c>
      <c r="D278" s="3"/>
      <c r="E278" s="3" t="s">
        <v>133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304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133</v>
      </c>
      <c r="D279" s="3"/>
      <c r="E279" s="3" t="s">
        <v>133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109</v>
      </c>
      <c r="O279" s="3"/>
      <c r="P279" s="3"/>
      <c r="Q279" s="3">
        <v>2.9460000000000002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133</v>
      </c>
      <c r="D280" s="3"/>
      <c r="E280" s="3" t="s">
        <v>133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18</v>
      </c>
      <c r="O280" s="3"/>
      <c r="P280" s="3"/>
      <c r="Q280" s="3">
        <v>110.947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133</v>
      </c>
      <c r="D281" s="3"/>
      <c r="E281" s="3" t="s">
        <v>133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1.31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133</v>
      </c>
      <c r="D282" s="3"/>
      <c r="E282" s="3" t="s">
        <v>133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107</v>
      </c>
      <c r="O282" s="3"/>
      <c r="P282" s="3"/>
      <c r="Q282" s="3">
        <v>14.122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133</v>
      </c>
      <c r="D283" s="3"/>
      <c r="E283" s="3" t="s">
        <v>133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86.852999999999994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133</v>
      </c>
      <c r="D284" s="3"/>
      <c r="E284" s="3" t="s">
        <v>133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112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133</v>
      </c>
      <c r="D285" s="3"/>
      <c r="E285" s="3" t="s">
        <v>133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133</v>
      </c>
      <c r="D286" s="3"/>
      <c r="E286" s="3" t="s">
        <v>133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133</v>
      </c>
      <c r="D287" s="3"/>
      <c r="E287" s="3" t="s">
        <v>133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133</v>
      </c>
      <c r="D288" s="3"/>
      <c r="E288" s="3" t="s">
        <v>133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110</v>
      </c>
      <c r="O288" s="3"/>
      <c r="P288" s="3"/>
      <c r="Q288" s="3">
        <v>1.216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133</v>
      </c>
      <c r="D289" s="3"/>
      <c r="E289" s="3" t="s">
        <v>133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305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133</v>
      </c>
      <c r="D290" s="3"/>
      <c r="E290" s="3" t="s">
        <v>133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173</v>
      </c>
      <c r="O290" s="3"/>
      <c r="P290" s="3"/>
      <c r="Q290" s="3">
        <v>2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134</v>
      </c>
      <c r="D291" s="3"/>
      <c r="E291" s="3" t="s">
        <v>134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306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134</v>
      </c>
      <c r="D292" s="3"/>
      <c r="E292" s="3" t="s">
        <v>134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109</v>
      </c>
      <c r="O292" s="3"/>
      <c r="P292" s="3"/>
      <c r="Q292" s="3">
        <v>3.2509999999999999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134</v>
      </c>
      <c r="D293" s="3"/>
      <c r="E293" s="3" t="s">
        <v>134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18</v>
      </c>
      <c r="O293" s="3"/>
      <c r="P293" s="3"/>
      <c r="Q293" s="3">
        <v>115.824</v>
      </c>
      <c r="R293" s="3" t="s">
        <v>15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134</v>
      </c>
      <c r="D294" s="3"/>
      <c r="E294" s="3" t="s">
        <v>134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1.45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134</v>
      </c>
      <c r="D295" s="3"/>
      <c r="E295" s="3" t="s">
        <v>134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107</v>
      </c>
      <c r="O295" s="3"/>
      <c r="P295" s="3"/>
      <c r="Q295" s="3">
        <v>14.731999999999999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134</v>
      </c>
      <c r="D296" s="3"/>
      <c r="E296" s="3" t="s">
        <v>134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90.602000000000004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134</v>
      </c>
      <c r="D297" s="3"/>
      <c r="E297" s="3" t="s">
        <v>134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112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134</v>
      </c>
      <c r="D298" s="3"/>
      <c r="E298" s="3" t="s">
        <v>134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134</v>
      </c>
      <c r="D299" s="3"/>
      <c r="E299" s="3" t="s">
        <v>134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134</v>
      </c>
      <c r="D300" s="3"/>
      <c r="E300" s="3" t="s">
        <v>134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134</v>
      </c>
      <c r="D301" s="3"/>
      <c r="E301" s="3" t="s">
        <v>134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110</v>
      </c>
      <c r="O301" s="3"/>
      <c r="P301" s="3"/>
      <c r="Q301" s="3">
        <v>1.216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134</v>
      </c>
      <c r="D302" s="3"/>
      <c r="E302" s="3" t="s">
        <v>134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307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134</v>
      </c>
      <c r="D303" s="3"/>
      <c r="E303" s="3" t="s">
        <v>134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174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135</v>
      </c>
      <c r="D304" s="3"/>
      <c r="E304" s="3" t="s">
        <v>135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308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135</v>
      </c>
      <c r="D305" s="3"/>
      <c r="E305" s="3" t="s">
        <v>135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109</v>
      </c>
      <c r="O305" s="3"/>
      <c r="P305" s="3"/>
      <c r="Q305" s="3">
        <v>3.556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135</v>
      </c>
      <c r="D306" s="3"/>
      <c r="E306" s="3" t="s">
        <v>135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18</v>
      </c>
      <c r="O306" s="3"/>
      <c r="P306" s="3"/>
      <c r="Q306" s="3">
        <v>120.70099999999999</v>
      </c>
      <c r="R306" s="3" t="s">
        <v>15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135</v>
      </c>
      <c r="D307" s="3"/>
      <c r="E307" s="3" t="s">
        <v>135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1.59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135</v>
      </c>
      <c r="D308" s="3"/>
      <c r="E308" s="3" t="s">
        <v>135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107</v>
      </c>
      <c r="O308" s="3"/>
      <c r="P308" s="3"/>
      <c r="Q308" s="3">
        <v>15.342000000000001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135</v>
      </c>
      <c r="D309" s="3"/>
      <c r="E309" s="3" t="s">
        <v>135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94.350999999999999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135</v>
      </c>
      <c r="D310" s="3"/>
      <c r="E310" s="3" t="s">
        <v>135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112</v>
      </c>
      <c r="O310" s="3"/>
      <c r="P310" s="3"/>
      <c r="Q310" s="3">
        <v>4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135</v>
      </c>
      <c r="D311" s="3"/>
      <c r="E311" s="3" t="s">
        <v>135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135</v>
      </c>
      <c r="D312" s="3"/>
      <c r="E312" s="3" t="s">
        <v>135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135</v>
      </c>
      <c r="D313" s="3"/>
      <c r="E313" s="3" t="s">
        <v>135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135</v>
      </c>
      <c r="D314" s="3"/>
      <c r="E314" s="3" t="s">
        <v>135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110</v>
      </c>
      <c r="O314" s="3"/>
      <c r="P314" s="3"/>
      <c r="Q314" s="3">
        <v>1.216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135</v>
      </c>
      <c r="D315" s="3"/>
      <c r="E315" s="3" t="s">
        <v>135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309</v>
      </c>
      <c r="O315" s="3"/>
      <c r="P315" s="3"/>
      <c r="Q315" s="3">
        <v>2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135</v>
      </c>
      <c r="D316" s="3"/>
      <c r="E316" s="3" t="s">
        <v>135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175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136</v>
      </c>
      <c r="D317" s="3"/>
      <c r="E317" s="3" t="s">
        <v>136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310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136</v>
      </c>
      <c r="D318" s="3"/>
      <c r="E318" s="3" t="s">
        <v>136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136</v>
      </c>
      <c r="D319" s="3"/>
      <c r="E319" s="3" t="s">
        <v>136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18</v>
      </c>
      <c r="O319" s="3"/>
      <c r="P319" s="3"/>
      <c r="Q319" s="3">
        <v>93.066000000000003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136</v>
      </c>
      <c r="D320" s="3"/>
      <c r="E320" s="3" t="s">
        <v>136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0.76800000000000002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136</v>
      </c>
      <c r="D321" s="3"/>
      <c r="E321" s="3" t="s">
        <v>136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11.887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136</v>
      </c>
      <c r="D322" s="3"/>
      <c r="E322" s="3" t="s">
        <v>136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73.105999999999995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136</v>
      </c>
      <c r="D323" s="3"/>
      <c r="E323" s="3" t="s">
        <v>136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136</v>
      </c>
      <c r="D324" s="3"/>
      <c r="E324" s="3" t="s">
        <v>136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136</v>
      </c>
      <c r="D325" s="3"/>
      <c r="E325" s="3" t="s">
        <v>136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136</v>
      </c>
      <c r="D326" s="3"/>
      <c r="E326" s="3" t="s">
        <v>136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136</v>
      </c>
      <c r="D327" s="3"/>
      <c r="E327" s="3" t="s">
        <v>136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110</v>
      </c>
      <c r="O327" s="3"/>
      <c r="P327" s="3"/>
      <c r="Q327" s="3">
        <v>1.2430000000000001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136</v>
      </c>
      <c r="D328" s="3"/>
      <c r="E328" s="3" t="s">
        <v>136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311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176</v>
      </c>
      <c r="O329" s="3"/>
      <c r="P329" s="3"/>
      <c r="Q329" s="3">
        <v>2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137</v>
      </c>
      <c r="D330" s="3"/>
      <c r="E330" s="3" t="s">
        <v>137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312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137</v>
      </c>
      <c r="D331" s="3"/>
      <c r="E331" s="3" t="s">
        <v>137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109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137</v>
      </c>
      <c r="D332" s="3"/>
      <c r="E332" s="3" t="s">
        <v>137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18</v>
      </c>
      <c r="O332" s="3"/>
      <c r="P332" s="3"/>
      <c r="Q332" s="3">
        <v>97.941999999999993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137</v>
      </c>
      <c r="D333" s="3"/>
      <c r="E333" s="3" t="s">
        <v>137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0.91200000000000003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137</v>
      </c>
      <c r="D334" s="3"/>
      <c r="E334" s="3" t="s">
        <v>137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107</v>
      </c>
      <c r="O334" s="3"/>
      <c r="P334" s="3"/>
      <c r="Q334" s="3">
        <v>12.497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137</v>
      </c>
      <c r="D335" s="3"/>
      <c r="E335" s="3" t="s">
        <v>137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76.855000000000004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137</v>
      </c>
      <c r="D336" s="3"/>
      <c r="E336" s="3" t="s">
        <v>137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112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137</v>
      </c>
      <c r="D337" s="3"/>
      <c r="E337" s="3" t="s">
        <v>137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137</v>
      </c>
      <c r="D338" s="3"/>
      <c r="E338" s="3" t="s">
        <v>137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137</v>
      </c>
      <c r="D339" s="3"/>
      <c r="E339" s="3" t="s">
        <v>137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137</v>
      </c>
      <c r="D340" s="3"/>
      <c r="E340" s="3" t="s">
        <v>137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110</v>
      </c>
      <c r="O340" s="3"/>
      <c r="P340" s="3"/>
      <c r="Q340" s="3">
        <v>1.2430000000000001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313</v>
      </c>
      <c r="O341" s="3"/>
      <c r="P341" s="3"/>
      <c r="Q341" s="3">
        <v>2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177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138</v>
      </c>
      <c r="D343" s="3"/>
      <c r="E343" s="3" t="s">
        <v>138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314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138</v>
      </c>
      <c r="D344" s="3"/>
      <c r="E344" s="3" t="s">
        <v>138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109</v>
      </c>
      <c r="O344" s="3"/>
      <c r="P344" s="3"/>
      <c r="Q344" s="3">
        <v>4.1150000000000002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138</v>
      </c>
      <c r="D345" s="3"/>
      <c r="E345" s="3" t="s">
        <v>138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18</v>
      </c>
      <c r="O345" s="3"/>
      <c r="P345" s="3"/>
      <c r="Q345" s="3">
        <v>102.819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138</v>
      </c>
      <c r="D346" s="3"/>
      <c r="E346" s="3" t="s">
        <v>138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1.056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138</v>
      </c>
      <c r="D347" s="3"/>
      <c r="E347" s="3" t="s">
        <v>138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107</v>
      </c>
      <c r="O347" s="3"/>
      <c r="P347" s="3"/>
      <c r="Q347" s="3">
        <v>13.106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138</v>
      </c>
      <c r="D348" s="3"/>
      <c r="E348" s="3" t="s">
        <v>138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80.603999999999999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138</v>
      </c>
      <c r="D349" s="3"/>
      <c r="E349" s="3" t="s">
        <v>138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112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138</v>
      </c>
      <c r="D350" s="3"/>
      <c r="E350" s="3" t="s">
        <v>138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138</v>
      </c>
      <c r="D351" s="3"/>
      <c r="E351" s="3" t="s">
        <v>138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138</v>
      </c>
      <c r="D352" s="3"/>
      <c r="E352" s="3" t="s">
        <v>138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110</v>
      </c>
      <c r="O353" s="3"/>
      <c r="P353" s="3"/>
      <c r="Q353" s="3">
        <v>1.2430000000000001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315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178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139</v>
      </c>
      <c r="D356" s="3"/>
      <c r="E356" s="3" t="s">
        <v>139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316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139</v>
      </c>
      <c r="D357" s="3"/>
      <c r="E357" s="3" t="s">
        <v>139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109</v>
      </c>
      <c r="O357" s="3"/>
      <c r="P357" s="3"/>
      <c r="Q357" s="3">
        <v>4.1150000000000002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139</v>
      </c>
      <c r="D358" s="3"/>
      <c r="E358" s="3" t="s">
        <v>139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18</v>
      </c>
      <c r="O358" s="3"/>
      <c r="P358" s="3"/>
      <c r="Q358" s="3">
        <v>107.696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139</v>
      </c>
      <c r="D359" s="3"/>
      <c r="E359" s="3" t="s">
        <v>139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1.2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139</v>
      </c>
      <c r="D360" s="3"/>
      <c r="E360" s="3" t="s">
        <v>139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107</v>
      </c>
      <c r="O360" s="3"/>
      <c r="P360" s="3"/>
      <c r="Q360" s="3">
        <v>13.715999999999999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139</v>
      </c>
      <c r="D361" s="3"/>
      <c r="E361" s="3" t="s">
        <v>139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84.352999999999994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139</v>
      </c>
      <c r="D362" s="3"/>
      <c r="E362" s="3" t="s">
        <v>139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112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139</v>
      </c>
      <c r="D363" s="3"/>
      <c r="E363" s="3" t="s">
        <v>139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139</v>
      </c>
      <c r="D364" s="3"/>
      <c r="E364" s="3" t="s">
        <v>139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110</v>
      </c>
      <c r="O366" s="3"/>
      <c r="P366" s="3"/>
      <c r="Q366" s="3">
        <v>1.2430000000000001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317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179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140</v>
      </c>
      <c r="D369" s="3"/>
      <c r="E369" s="3" t="s">
        <v>140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318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140</v>
      </c>
      <c r="D370" s="3"/>
      <c r="E370" s="3" t="s">
        <v>140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109</v>
      </c>
      <c r="O370" s="3"/>
      <c r="P370" s="3"/>
      <c r="Q370" s="3">
        <v>4.1150000000000002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140</v>
      </c>
      <c r="D371" s="3"/>
      <c r="E371" s="3" t="s">
        <v>140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18</v>
      </c>
      <c r="O371" s="3"/>
      <c r="P371" s="3"/>
      <c r="Q371" s="3">
        <v>110.134</v>
      </c>
      <c r="R371" s="3" t="s">
        <v>15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140</v>
      </c>
      <c r="D372" s="3"/>
      <c r="E372" s="3" t="s">
        <v>140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1.272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140</v>
      </c>
      <c r="D373" s="3"/>
      <c r="E373" s="3" t="s">
        <v>140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107</v>
      </c>
      <c r="O373" s="3"/>
      <c r="P373" s="3"/>
      <c r="Q373" s="3">
        <v>14.021000000000001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140</v>
      </c>
      <c r="D374" s="3"/>
      <c r="E374" s="3" t="s">
        <v>140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86.227999999999994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140</v>
      </c>
      <c r="D375" s="3"/>
      <c r="E375" s="3" t="s">
        <v>140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112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140</v>
      </c>
      <c r="D376" s="3"/>
      <c r="E376" s="3" t="s">
        <v>140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110</v>
      </c>
      <c r="O379" s="3"/>
      <c r="P379" s="3"/>
      <c r="Q379" s="3">
        <v>1.2430000000000001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319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180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141</v>
      </c>
      <c r="D382" s="3"/>
      <c r="E382" s="3" t="s">
        <v>141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320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141</v>
      </c>
      <c r="D383" s="3"/>
      <c r="E383" s="3" t="s">
        <v>141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109</v>
      </c>
      <c r="O383" s="3"/>
      <c r="P383" s="3"/>
      <c r="Q383" s="3">
        <v>4.1150000000000002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141</v>
      </c>
      <c r="D384" s="3"/>
      <c r="E384" s="3" t="s">
        <v>141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18</v>
      </c>
      <c r="O384" s="3"/>
      <c r="P384" s="3"/>
      <c r="Q384" s="3">
        <v>112.57299999999999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141</v>
      </c>
      <c r="D385" s="3"/>
      <c r="E385" s="3" t="s">
        <v>141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1.3440000000000001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141</v>
      </c>
      <c r="D386" s="3"/>
      <c r="E386" s="3" t="s">
        <v>141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107</v>
      </c>
      <c r="O386" s="3"/>
      <c r="P386" s="3"/>
      <c r="Q386" s="3">
        <v>14.326000000000001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141</v>
      </c>
      <c r="D387" s="3"/>
      <c r="E387" s="3" t="s">
        <v>141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88.102000000000004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141</v>
      </c>
      <c r="D388" s="3"/>
      <c r="E388" s="3" t="s">
        <v>141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112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110</v>
      </c>
      <c r="O392" s="3"/>
      <c r="P392" s="3"/>
      <c r="Q392" s="3">
        <v>1.2430000000000001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321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181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142</v>
      </c>
      <c r="D395" s="3"/>
      <c r="E395" s="3" t="s">
        <v>142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322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142</v>
      </c>
      <c r="D396" s="3"/>
      <c r="E396" s="3" t="s">
        <v>142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109</v>
      </c>
      <c r="O396" s="3"/>
      <c r="P396" s="3"/>
      <c r="Q396" s="3">
        <v>4.1150000000000002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142</v>
      </c>
      <c r="D397" s="3"/>
      <c r="E397" s="3" t="s">
        <v>142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18</v>
      </c>
      <c r="O397" s="3"/>
      <c r="P397" s="3"/>
      <c r="Q397" s="3">
        <v>117.45</v>
      </c>
      <c r="R397" s="3" t="s">
        <v>15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142</v>
      </c>
      <c r="D398" s="3"/>
      <c r="E398" s="3" t="s">
        <v>142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1.488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142</v>
      </c>
      <c r="D399" s="3"/>
      <c r="E399" s="3" t="s">
        <v>142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107</v>
      </c>
      <c r="O399" s="3"/>
      <c r="P399" s="3"/>
      <c r="Q399" s="3">
        <v>14.935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142</v>
      </c>
      <c r="D400" s="3"/>
      <c r="E400" s="3" t="s">
        <v>142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91.850999999999999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112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21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110</v>
      </c>
      <c r="O405" s="3"/>
      <c r="P405" s="3"/>
      <c r="Q405" s="3">
        <v>1.2430000000000001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323</v>
      </c>
      <c r="O406" s="3"/>
      <c r="P406" s="3"/>
      <c r="Q406" s="3">
        <v>2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182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143</v>
      </c>
      <c r="D408" s="3"/>
      <c r="E408" s="3" t="s">
        <v>143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324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143</v>
      </c>
      <c r="D409" s="3"/>
      <c r="E409" s="3" t="s">
        <v>143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109</v>
      </c>
      <c r="O409" s="3"/>
      <c r="P409" s="3"/>
      <c r="Q409" s="3">
        <v>4.1150000000000002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143</v>
      </c>
      <c r="D410" s="3"/>
      <c r="E410" s="3" t="s">
        <v>143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18</v>
      </c>
      <c r="O410" s="3"/>
      <c r="P410" s="3"/>
      <c r="Q410" s="3">
        <v>122.32599999999999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143</v>
      </c>
      <c r="D411" s="3"/>
      <c r="E411" s="3" t="s">
        <v>143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1.6319999999999999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143</v>
      </c>
      <c r="D412" s="3"/>
      <c r="E412" s="3" t="s">
        <v>143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107</v>
      </c>
      <c r="O412" s="3"/>
      <c r="P412" s="3"/>
      <c r="Q412" s="3">
        <v>15.545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95.600999999999999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112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110</v>
      </c>
      <c r="O418" s="3"/>
      <c r="P418" s="3"/>
      <c r="Q418" s="3">
        <v>1.2430000000000001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325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183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144</v>
      </c>
      <c r="D421" s="3"/>
      <c r="E421" s="3" t="s">
        <v>144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326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144</v>
      </c>
      <c r="D422" s="3"/>
      <c r="E422" s="3" t="s">
        <v>144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144</v>
      </c>
      <c r="D423" s="3"/>
      <c r="E423" s="3" t="s">
        <v>144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18</v>
      </c>
      <c r="O423" s="3"/>
      <c r="P423" s="3"/>
      <c r="Q423" s="3">
        <v>96.316999999999993</v>
      </c>
      <c r="R423" s="3" t="s">
        <v>15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144</v>
      </c>
      <c r="D424" s="3"/>
      <c r="E424" s="3" t="s">
        <v>144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0.80700000000000005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107</v>
      </c>
      <c r="O425" s="3"/>
      <c r="P425" s="3"/>
      <c r="Q425" s="3">
        <v>12.294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75.605999999999995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112</v>
      </c>
      <c r="O427" s="3"/>
      <c r="P427" s="3"/>
      <c r="Q427" s="3">
        <v>4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21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110</v>
      </c>
      <c r="O431" s="3"/>
      <c r="P431" s="3"/>
      <c r="Q431" s="3">
        <v>1.2969999999999999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327</v>
      </c>
      <c r="O432" s="3"/>
      <c r="P432" s="3"/>
      <c r="Q432" s="3">
        <v>2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184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145</v>
      </c>
      <c r="D434" s="3"/>
      <c r="E434" s="3" t="s">
        <v>145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328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145</v>
      </c>
      <c r="D435" s="3"/>
      <c r="E435" s="3" t="s">
        <v>145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109</v>
      </c>
      <c r="O435" s="3"/>
      <c r="P435" s="3"/>
      <c r="Q435" s="3">
        <v>4.3179999999999996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145</v>
      </c>
      <c r="D436" s="3"/>
      <c r="E436" s="3" t="s">
        <v>145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18</v>
      </c>
      <c r="O436" s="3"/>
      <c r="P436" s="3"/>
      <c r="Q436" s="3">
        <v>101.194</v>
      </c>
      <c r="R436" s="3" t="s">
        <v>15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145</v>
      </c>
      <c r="D437" s="3"/>
      <c r="E437" s="3" t="s">
        <v>145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0.95799999999999996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145</v>
      </c>
      <c r="D438" s="3"/>
      <c r="E438" s="3" t="s">
        <v>145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107</v>
      </c>
      <c r="O438" s="3"/>
      <c r="P438" s="3"/>
      <c r="Q438" s="3">
        <v>12.903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145</v>
      </c>
      <c r="D439" s="3"/>
      <c r="E439" s="3" t="s">
        <v>145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79.355000000000004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145</v>
      </c>
      <c r="D440" s="3"/>
      <c r="E440" s="3" t="s">
        <v>145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112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145</v>
      </c>
      <c r="D441" s="3"/>
      <c r="E441" s="3" t="s">
        <v>145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21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145</v>
      </c>
      <c r="D442" s="3"/>
      <c r="E442" s="3" t="s">
        <v>145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145</v>
      </c>
      <c r="D443" s="3"/>
      <c r="E443" s="3" t="s">
        <v>145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145</v>
      </c>
      <c r="D444" s="3"/>
      <c r="E444" s="3" t="s">
        <v>145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110</v>
      </c>
      <c r="O444" s="3"/>
      <c r="P444" s="3"/>
      <c r="Q444" s="3">
        <v>1.2969999999999999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145</v>
      </c>
      <c r="D445" s="3"/>
      <c r="E445" s="3" t="s">
        <v>145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329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145</v>
      </c>
      <c r="D446" s="3"/>
      <c r="E446" s="3" t="s">
        <v>145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185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330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109</v>
      </c>
      <c r="O448" s="3"/>
      <c r="P448" s="3"/>
      <c r="Q448" s="3">
        <v>4.3179999999999996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146</v>
      </c>
      <c r="D449" s="3"/>
      <c r="E449" s="3" t="s">
        <v>146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18</v>
      </c>
      <c r="O449" s="3"/>
      <c r="P449" s="3"/>
      <c r="Q449" s="3">
        <v>106.07</v>
      </c>
      <c r="R449" s="3" t="s">
        <v>15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146</v>
      </c>
      <c r="D450" s="3"/>
      <c r="E450" s="3" t="s">
        <v>146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1.109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146</v>
      </c>
      <c r="D451" s="3"/>
      <c r="E451" s="3" t="s">
        <v>146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107</v>
      </c>
      <c r="O451" s="3"/>
      <c r="P451" s="3"/>
      <c r="Q451" s="3">
        <v>13.513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146</v>
      </c>
      <c r="D452" s="3"/>
      <c r="E452" s="3" t="s">
        <v>146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83.103999999999999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146</v>
      </c>
      <c r="D453" s="3"/>
      <c r="E453" s="3" t="s">
        <v>146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112</v>
      </c>
      <c r="O453" s="3"/>
      <c r="P453" s="3"/>
      <c r="Q453" s="3">
        <v>4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146</v>
      </c>
      <c r="D454" s="3"/>
      <c r="E454" s="3" t="s">
        <v>146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21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146</v>
      </c>
      <c r="D455" s="3"/>
      <c r="E455" s="3" t="s">
        <v>146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146</v>
      </c>
      <c r="D456" s="3"/>
      <c r="E456" s="3" t="s">
        <v>146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146</v>
      </c>
      <c r="D457" s="3"/>
      <c r="E457" s="3" t="s">
        <v>146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110</v>
      </c>
      <c r="O457" s="3"/>
      <c r="P457" s="3"/>
      <c r="Q457" s="3">
        <v>1.2969999999999999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146</v>
      </c>
      <c r="D458" s="3"/>
      <c r="E458" s="3" t="s">
        <v>146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331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146</v>
      </c>
      <c r="D459" s="3"/>
      <c r="E459" s="3" t="s">
        <v>146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186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332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147</v>
      </c>
      <c r="D461" s="3"/>
      <c r="E461" s="3" t="s">
        <v>147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109</v>
      </c>
      <c r="O461" s="3"/>
      <c r="P461" s="3"/>
      <c r="Q461" s="3">
        <v>4.3179999999999996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147</v>
      </c>
      <c r="D462" s="3"/>
      <c r="E462" s="3" t="s">
        <v>147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18</v>
      </c>
      <c r="O462" s="3"/>
      <c r="P462" s="3"/>
      <c r="Q462" s="3">
        <v>110.947</v>
      </c>
      <c r="R462" s="3" t="s">
        <v>15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147</v>
      </c>
      <c r="D463" s="3"/>
      <c r="E463" s="3" t="s">
        <v>147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1.2609999999999999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147</v>
      </c>
      <c r="D464" s="3"/>
      <c r="E464" s="3" t="s">
        <v>147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107</v>
      </c>
      <c r="O464" s="3"/>
      <c r="P464" s="3"/>
      <c r="Q464" s="3">
        <v>14.122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147</v>
      </c>
      <c r="D465" s="3"/>
      <c r="E465" s="3" t="s">
        <v>147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18</v>
      </c>
      <c r="O465" s="3"/>
      <c r="P465" s="3"/>
      <c r="Q465" s="3">
        <v>86.852999999999994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147</v>
      </c>
      <c r="D466" s="3"/>
      <c r="E466" s="3" t="s">
        <v>147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112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147</v>
      </c>
      <c r="D467" s="3"/>
      <c r="E467" s="3" t="s">
        <v>147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147</v>
      </c>
      <c r="D468" s="3"/>
      <c r="E468" s="3" t="s">
        <v>147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147</v>
      </c>
      <c r="D469" s="3"/>
      <c r="E469" s="3" t="s">
        <v>147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147</v>
      </c>
      <c r="D470" s="3"/>
      <c r="E470" s="3" t="s">
        <v>147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110</v>
      </c>
      <c r="O470" s="3"/>
      <c r="P470" s="3"/>
      <c r="Q470" s="3">
        <v>1.2969999999999999</v>
      </c>
      <c r="R470" s="3" t="s">
        <v>13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147</v>
      </c>
      <c r="D471" s="3"/>
      <c r="E471" s="3" t="s">
        <v>147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333</v>
      </c>
      <c r="O471" s="3"/>
      <c r="P471" s="3"/>
      <c r="Q471" s="3">
        <v>2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147</v>
      </c>
      <c r="D472" s="3"/>
      <c r="E472" s="3" t="s">
        <v>147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187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148</v>
      </c>
      <c r="D473" s="3"/>
      <c r="E473" s="3" t="s">
        <v>148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334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148</v>
      </c>
      <c r="D474" s="3"/>
      <c r="E474" s="3" t="s">
        <v>148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148</v>
      </c>
      <c r="D475" s="3"/>
      <c r="E475" s="3" t="s">
        <v>148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18</v>
      </c>
      <c r="O475" s="3"/>
      <c r="P475" s="3"/>
      <c r="Q475" s="3">
        <v>113.386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148</v>
      </c>
      <c r="D476" s="3"/>
      <c r="E476" s="3" t="s">
        <v>148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1.3360000000000001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148</v>
      </c>
      <c r="D477" s="3"/>
      <c r="E477" s="3" t="s">
        <v>148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14.427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148</v>
      </c>
      <c r="D478" s="3"/>
      <c r="E478" s="3" t="s">
        <v>148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88.727000000000004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148</v>
      </c>
      <c r="D479" s="3"/>
      <c r="E479" s="3" t="s">
        <v>148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148</v>
      </c>
      <c r="D480" s="3"/>
      <c r="E480" s="3" t="s">
        <v>148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148</v>
      </c>
      <c r="D481" s="3"/>
      <c r="E481" s="3" t="s">
        <v>148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148</v>
      </c>
      <c r="D482" s="3"/>
      <c r="E482" s="3" t="s">
        <v>148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148</v>
      </c>
      <c r="D483" s="3"/>
      <c r="E483" s="3" t="s">
        <v>148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110</v>
      </c>
      <c r="O483" s="3"/>
      <c r="P483" s="3"/>
      <c r="Q483" s="3">
        <v>1.2969999999999999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148</v>
      </c>
      <c r="D484" s="3"/>
      <c r="E484" s="3" t="s">
        <v>148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335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148</v>
      </c>
      <c r="D485" s="3"/>
      <c r="E485" s="3" t="s">
        <v>148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188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149</v>
      </c>
      <c r="D486" s="3"/>
      <c r="E486" s="3" t="s">
        <v>149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336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149</v>
      </c>
      <c r="D487" s="3"/>
      <c r="E487" s="3" t="s">
        <v>149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109</v>
      </c>
      <c r="O487" s="3"/>
      <c r="P487" s="3"/>
      <c r="Q487" s="3">
        <v>4.3179999999999996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149</v>
      </c>
      <c r="D488" s="3"/>
      <c r="E488" s="3" t="s">
        <v>149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18</v>
      </c>
      <c r="O488" s="3"/>
      <c r="P488" s="3"/>
      <c r="Q488" s="3">
        <v>115.824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149</v>
      </c>
      <c r="D489" s="3"/>
      <c r="E489" s="3" t="s">
        <v>149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1.4119999999999999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149</v>
      </c>
      <c r="D490" s="3"/>
      <c r="E490" s="3" t="s">
        <v>149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107</v>
      </c>
      <c r="O490" s="3"/>
      <c r="P490" s="3"/>
      <c r="Q490" s="3">
        <v>14.731999999999999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149</v>
      </c>
      <c r="D491" s="3"/>
      <c r="E491" s="3" t="s">
        <v>149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18</v>
      </c>
      <c r="O491" s="3"/>
      <c r="P491" s="3"/>
      <c r="Q491" s="3">
        <v>90.602000000000004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149</v>
      </c>
      <c r="D492" s="3"/>
      <c r="E492" s="3" t="s">
        <v>149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112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149</v>
      </c>
      <c r="D493" s="3"/>
      <c r="E493" s="3" t="s">
        <v>149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21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149</v>
      </c>
      <c r="D494" s="3"/>
      <c r="E494" s="3" t="s">
        <v>149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149</v>
      </c>
      <c r="D495" s="3"/>
      <c r="E495" s="3" t="s">
        <v>149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149</v>
      </c>
      <c r="D496" s="3"/>
      <c r="E496" s="3" t="s">
        <v>149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110</v>
      </c>
      <c r="O496" s="3"/>
      <c r="P496" s="3"/>
      <c r="Q496" s="3">
        <v>1.2969999999999999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149</v>
      </c>
      <c r="D497" s="3"/>
      <c r="E497" s="3" t="s">
        <v>149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337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149</v>
      </c>
      <c r="D498" s="3"/>
      <c r="E498" s="3" t="s">
        <v>149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189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150</v>
      </c>
      <c r="D499" s="3"/>
      <c r="E499" s="3" t="s">
        <v>150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338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150</v>
      </c>
      <c r="D500" s="3"/>
      <c r="E500" s="3" t="s">
        <v>150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109</v>
      </c>
      <c r="O500" s="3"/>
      <c r="P500" s="3"/>
      <c r="Q500" s="3">
        <v>4.3179999999999996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150</v>
      </c>
      <c r="D501" s="3"/>
      <c r="E501" s="3" t="s">
        <v>150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18</v>
      </c>
      <c r="O501" s="3"/>
      <c r="P501" s="3"/>
      <c r="Q501" s="3">
        <v>120.70099999999999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150</v>
      </c>
      <c r="D502" s="3"/>
      <c r="E502" s="3" t="s">
        <v>150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1.5629999999999999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150</v>
      </c>
      <c r="D503" s="3"/>
      <c r="E503" s="3" t="s">
        <v>150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107</v>
      </c>
      <c r="O503" s="3"/>
      <c r="P503" s="3"/>
      <c r="Q503" s="3">
        <v>15.342000000000001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150</v>
      </c>
      <c r="D504" s="3"/>
      <c r="E504" s="3" t="s">
        <v>150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18</v>
      </c>
      <c r="O504" s="3"/>
      <c r="P504" s="3"/>
      <c r="Q504" s="3">
        <v>94.350999999999999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150</v>
      </c>
      <c r="D505" s="3"/>
      <c r="E505" s="3" t="s">
        <v>150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112</v>
      </c>
      <c r="O505" s="3"/>
      <c r="P505" s="3"/>
      <c r="Q505" s="3">
        <v>4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150</v>
      </c>
      <c r="D506" s="3"/>
      <c r="E506" s="3" t="s">
        <v>150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150</v>
      </c>
      <c r="D507" s="3"/>
      <c r="E507" s="3" t="s">
        <v>150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22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150</v>
      </c>
      <c r="D508" s="3"/>
      <c r="E508" s="3" t="s">
        <v>150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150</v>
      </c>
      <c r="D509" s="3"/>
      <c r="E509" s="3" t="s">
        <v>150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110</v>
      </c>
      <c r="O509" s="3"/>
      <c r="P509" s="3"/>
      <c r="Q509" s="3">
        <v>1.2969999999999999</v>
      </c>
      <c r="R509" s="3" t="s">
        <v>13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150</v>
      </c>
      <c r="D510" s="3"/>
      <c r="E510" s="3" t="s">
        <v>150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339</v>
      </c>
      <c r="O510" s="3"/>
      <c r="P510" s="3"/>
      <c r="Q510" s="3">
        <v>2</v>
      </c>
      <c r="R510" s="3" t="s">
        <v>11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150</v>
      </c>
      <c r="D511" s="3"/>
      <c r="E511" s="3" t="s">
        <v>150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190</v>
      </c>
      <c r="O511" s="3"/>
      <c r="P511" s="3"/>
      <c r="Q511" s="3">
        <v>2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151</v>
      </c>
      <c r="D512" s="3"/>
      <c r="E512" s="3" t="s">
        <v>151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340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151</v>
      </c>
      <c r="D513" s="3"/>
      <c r="E513" s="3" t="s">
        <v>151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109</v>
      </c>
      <c r="O513" s="3"/>
      <c r="P513" s="3"/>
      <c r="Q513" s="3">
        <v>4.3179999999999996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151</v>
      </c>
      <c r="D514" s="3"/>
      <c r="E514" s="3" t="s">
        <v>151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18</v>
      </c>
      <c r="O514" s="3"/>
      <c r="P514" s="3"/>
      <c r="Q514" s="3">
        <v>125.578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151</v>
      </c>
      <c r="D515" s="3"/>
      <c r="E515" s="3" t="s">
        <v>151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1.714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151</v>
      </c>
      <c r="D516" s="3"/>
      <c r="E516" s="3" t="s">
        <v>151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107</v>
      </c>
      <c r="O516" s="3"/>
      <c r="P516" s="3"/>
      <c r="Q516" s="3">
        <v>15.951000000000001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151</v>
      </c>
      <c r="D517" s="3"/>
      <c r="E517" s="3" t="s">
        <v>151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18</v>
      </c>
      <c r="O517" s="3"/>
      <c r="P517" s="3"/>
      <c r="Q517" s="3">
        <v>98.1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151</v>
      </c>
      <c r="D518" s="3"/>
      <c r="E518" s="3" t="s">
        <v>151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112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151</v>
      </c>
      <c r="D519" s="3"/>
      <c r="E519" s="3" t="s">
        <v>151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21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151</v>
      </c>
      <c r="D520" s="3"/>
      <c r="E520" s="3" t="s">
        <v>151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151</v>
      </c>
      <c r="D521" s="3"/>
      <c r="E521" s="3" t="s">
        <v>151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151</v>
      </c>
      <c r="D522" s="3"/>
      <c r="E522" s="3" t="s">
        <v>151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110</v>
      </c>
      <c r="O522" s="3"/>
      <c r="P522" s="3"/>
      <c r="Q522" s="3">
        <v>1.2969999999999999</v>
      </c>
      <c r="R522" s="3" t="s">
        <v>13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151</v>
      </c>
      <c r="D523" s="3"/>
      <c r="E523" s="3" t="s">
        <v>151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341</v>
      </c>
      <c r="O523" s="3"/>
      <c r="P523" s="3"/>
      <c r="Q523" s="3">
        <v>2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151</v>
      </c>
      <c r="D524" s="3"/>
      <c r="E524" s="3" t="s">
        <v>151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191</v>
      </c>
      <c r="O524" s="3"/>
      <c r="P524" s="3"/>
      <c r="Q524" s="3">
        <v>2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342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109</v>
      </c>
      <c r="O526" s="3"/>
      <c r="P526" s="3"/>
      <c r="Q526" s="3">
        <v>1.575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18</v>
      </c>
      <c r="O527" s="3"/>
      <c r="P527" s="3"/>
      <c r="Q527" s="3">
        <v>84.125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0.625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107</v>
      </c>
      <c r="O529" s="3"/>
      <c r="P529" s="3"/>
      <c r="Q529" s="3">
        <v>10.77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18</v>
      </c>
      <c r="O530" s="3"/>
      <c r="P530" s="3"/>
      <c r="Q530" s="3">
        <v>66.233000000000004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112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21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110</v>
      </c>
      <c r="O535" s="3"/>
      <c r="P535" s="3"/>
      <c r="Q535" s="3">
        <v>0.56699999999999995</v>
      </c>
      <c r="R535" s="3" t="s">
        <v>13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343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193</v>
      </c>
      <c r="O537" s="3"/>
      <c r="P537" s="3"/>
      <c r="Q537" s="3">
        <v>2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344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109</v>
      </c>
      <c r="O539" s="3"/>
      <c r="P539" s="3"/>
      <c r="Q539" s="3">
        <v>1.88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18</v>
      </c>
      <c r="O540" s="3"/>
      <c r="P540" s="3"/>
      <c r="Q540" s="3">
        <v>89.001999999999995</v>
      </c>
      <c r="R540" s="3" t="s">
        <v>15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0.755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107</v>
      </c>
      <c r="O542" s="3"/>
      <c r="P542" s="3"/>
      <c r="Q542" s="3">
        <v>11.379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18</v>
      </c>
      <c r="O543" s="3"/>
      <c r="P543" s="3"/>
      <c r="Q543" s="3">
        <v>69.981999999999999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112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110</v>
      </c>
      <c r="O548" s="3"/>
      <c r="P548" s="3"/>
      <c r="Q548" s="3">
        <v>0.64900000000000002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345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195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346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109</v>
      </c>
      <c r="O552" s="3"/>
      <c r="P552" s="3"/>
      <c r="Q552" s="3">
        <v>2.1840000000000002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18</v>
      </c>
      <c r="O553" s="3"/>
      <c r="P553" s="3"/>
      <c r="Q553" s="3">
        <v>93.878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0.88400000000000001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107</v>
      </c>
      <c r="O555" s="3"/>
      <c r="P555" s="3"/>
      <c r="Q555" s="3">
        <v>11.989000000000001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18</v>
      </c>
      <c r="O556" s="3"/>
      <c r="P556" s="3"/>
      <c r="Q556" s="3">
        <v>73.730999999999995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112</v>
      </c>
      <c r="O557" s="3"/>
      <c r="P557" s="3"/>
      <c r="Q557" s="3">
        <v>4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21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22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110</v>
      </c>
      <c r="O561" s="3"/>
      <c r="P561" s="3"/>
      <c r="Q561" s="3">
        <v>0.73</v>
      </c>
      <c r="R561" s="3" t="s">
        <v>13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347</v>
      </c>
      <c r="O562" s="3"/>
      <c r="P562" s="3"/>
      <c r="Q562" s="3">
        <v>2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197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348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109</v>
      </c>
      <c r="O565" s="3"/>
      <c r="P565" s="3"/>
      <c r="Q565" s="3">
        <v>2.4889999999999999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18</v>
      </c>
      <c r="O566" s="3"/>
      <c r="P566" s="3"/>
      <c r="Q566" s="3">
        <v>98.754999999999995</v>
      </c>
      <c r="R566" s="3" t="s">
        <v>15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1.014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107</v>
      </c>
      <c r="O568" s="3"/>
      <c r="P568" s="3"/>
      <c r="Q568" s="3">
        <v>12.598000000000001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18</v>
      </c>
      <c r="O569" s="3"/>
      <c r="P569" s="3"/>
      <c r="Q569" s="3">
        <v>77.48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112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110</v>
      </c>
      <c r="O574" s="3"/>
      <c r="P574" s="3"/>
      <c r="Q574" s="3">
        <v>0.81100000000000005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198</v>
      </c>
      <c r="D575" s="3"/>
      <c r="E575" s="3" t="s">
        <v>198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349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198</v>
      </c>
      <c r="D576" s="3"/>
      <c r="E576" s="3" t="s">
        <v>198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199</v>
      </c>
      <c r="O576" s="3"/>
      <c r="P576" s="3"/>
      <c r="Q576" s="3">
        <v>2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350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109</v>
      </c>
      <c r="O578" s="3"/>
      <c r="P578" s="3"/>
      <c r="Q578" s="3">
        <v>3.0990000000000002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18</v>
      </c>
      <c r="O579" s="3"/>
      <c r="P579" s="3"/>
      <c r="Q579" s="3">
        <v>108.509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1.272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107</v>
      </c>
      <c r="O581" s="3"/>
      <c r="P581" s="3"/>
      <c r="Q581" s="3">
        <v>13.818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18</v>
      </c>
      <c r="O582" s="3"/>
      <c r="P582" s="3"/>
      <c r="Q582" s="3">
        <v>84.977999999999994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112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21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110</v>
      </c>
      <c r="O587" s="3"/>
      <c r="P587" s="3"/>
      <c r="Q587" s="3">
        <v>0.97299999999999998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351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201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352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109</v>
      </c>
      <c r="O591" s="3"/>
      <c r="P591" s="3"/>
      <c r="Q591" s="3">
        <v>3.4039999999999999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18</v>
      </c>
      <c r="O592" s="3"/>
      <c r="P592" s="3"/>
      <c r="Q592" s="3">
        <v>113.386</v>
      </c>
      <c r="R592" s="3" t="s">
        <v>15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1.4019999999999999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107</v>
      </c>
      <c r="O594" s="3"/>
      <c r="P594" s="3"/>
      <c r="Q594" s="3">
        <v>14.427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88.727000000000004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112</v>
      </c>
      <c r="O596" s="3"/>
      <c r="P596" s="3"/>
      <c r="Q596" s="3">
        <v>4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21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110</v>
      </c>
      <c r="O600" s="3"/>
      <c r="P600" s="3"/>
      <c r="Q600" s="3">
        <v>1.054</v>
      </c>
      <c r="R600" s="3" t="s">
        <v>13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353</v>
      </c>
      <c r="O601" s="3"/>
      <c r="P601" s="3"/>
      <c r="Q601" s="3">
        <v>2</v>
      </c>
      <c r="R601" s="3" t="s">
        <v>11</v>
      </c>
      <c r="S601" s="3"/>
      <c r="T601" s="3">
        <v>10</v>
      </c>
      <c r="U601" s="3"/>
      <c r="V601" s="3" t="s">
        <v>16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203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204</v>
      </c>
      <c r="D603" s="3"/>
      <c r="E603" s="3" t="s">
        <v>204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354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204</v>
      </c>
      <c r="D604" s="3"/>
      <c r="E604" s="3" t="s">
        <v>204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109</v>
      </c>
      <c r="O604" s="3"/>
      <c r="P604" s="3"/>
      <c r="Q604" s="3">
        <v>3.7080000000000002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204</v>
      </c>
      <c r="D605" s="3"/>
      <c r="E605" s="3" t="s">
        <v>204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18</v>
      </c>
      <c r="O605" s="3"/>
      <c r="P605" s="3"/>
      <c r="Q605" s="3">
        <v>118.262</v>
      </c>
      <c r="R605" s="3" t="s">
        <v>15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204</v>
      </c>
      <c r="D606" s="3"/>
      <c r="E606" s="3" t="s">
        <v>204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1.5309999999999999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204</v>
      </c>
      <c r="D607" s="3"/>
      <c r="E607" s="3" t="s">
        <v>204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107</v>
      </c>
      <c r="O607" s="3"/>
      <c r="P607" s="3"/>
      <c r="Q607" s="3">
        <v>15.037000000000001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204</v>
      </c>
      <c r="D608" s="3"/>
      <c r="E608" s="3" t="s">
        <v>204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18</v>
      </c>
      <c r="O608" s="3"/>
      <c r="P608" s="3"/>
      <c r="Q608" s="3">
        <v>92.475999999999999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204</v>
      </c>
      <c r="D609" s="3"/>
      <c r="E609" s="3" t="s">
        <v>204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112</v>
      </c>
      <c r="O609" s="3"/>
      <c r="P609" s="3"/>
      <c r="Q609" s="3">
        <v>4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204</v>
      </c>
      <c r="D610" s="3"/>
      <c r="E610" s="3" t="s">
        <v>204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21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204</v>
      </c>
      <c r="D611" s="3"/>
      <c r="E611" s="3" t="s">
        <v>204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22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204</v>
      </c>
      <c r="D612" s="3"/>
      <c r="E612" s="3" t="s">
        <v>204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23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204</v>
      </c>
      <c r="D613" s="3"/>
      <c r="E613" s="3" t="s">
        <v>204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110</v>
      </c>
      <c r="O613" s="3"/>
      <c r="P613" s="3"/>
      <c r="Q613" s="3">
        <v>1.135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204</v>
      </c>
      <c r="D614" s="3"/>
      <c r="E614" s="3" t="s">
        <v>204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355</v>
      </c>
      <c r="O614" s="3"/>
      <c r="P614" s="3"/>
      <c r="Q614" s="3">
        <v>2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204</v>
      </c>
      <c r="D615" s="3"/>
      <c r="E615" s="3" t="s">
        <v>204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205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206</v>
      </c>
      <c r="D616" s="3"/>
      <c r="E616" s="3" t="s">
        <v>206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356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206</v>
      </c>
      <c r="D617" s="3"/>
      <c r="E617" s="3" t="s">
        <v>206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109</v>
      </c>
      <c r="O617" s="3"/>
      <c r="P617" s="3"/>
      <c r="Q617" s="3">
        <v>1.575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206</v>
      </c>
      <c r="D618" s="3"/>
      <c r="E618" s="3" t="s">
        <v>206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18</v>
      </c>
      <c r="O618" s="3"/>
      <c r="P618" s="3"/>
      <c r="Q618" s="3">
        <v>86.563000000000002</v>
      </c>
      <c r="R618" s="3" t="s">
        <v>15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206</v>
      </c>
      <c r="D619" s="3"/>
      <c r="E619" s="3" t="s">
        <v>206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0.65200000000000002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206</v>
      </c>
      <c r="D620" s="3"/>
      <c r="E620" s="3" t="s">
        <v>206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107</v>
      </c>
      <c r="O620" s="3"/>
      <c r="P620" s="3"/>
      <c r="Q620" s="3">
        <v>11.074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206</v>
      </c>
      <c r="D621" s="3"/>
      <c r="E621" s="3" t="s">
        <v>206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18</v>
      </c>
      <c r="O621" s="3"/>
      <c r="P621" s="3"/>
      <c r="Q621" s="3">
        <v>68.108000000000004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206</v>
      </c>
      <c r="D622" s="3"/>
      <c r="E622" s="3" t="s">
        <v>206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112</v>
      </c>
      <c r="O622" s="3"/>
      <c r="P622" s="3"/>
      <c r="Q622" s="3">
        <v>4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206</v>
      </c>
      <c r="D623" s="3"/>
      <c r="E623" s="3" t="s">
        <v>206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21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206</v>
      </c>
      <c r="D624" s="3"/>
      <c r="E624" s="3" t="s">
        <v>206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206</v>
      </c>
      <c r="D625" s="3"/>
      <c r="E625" s="3" t="s">
        <v>206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206</v>
      </c>
      <c r="D626" s="3"/>
      <c r="E626" s="3" t="s">
        <v>206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110</v>
      </c>
      <c r="O626" s="3"/>
      <c r="P626" s="3"/>
      <c r="Q626" s="3">
        <v>0.56699999999999995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206</v>
      </c>
      <c r="D627" s="3"/>
      <c r="E627" s="3" t="s">
        <v>206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357</v>
      </c>
      <c r="O627" s="3"/>
      <c r="P627" s="3"/>
      <c r="Q627" s="3">
        <v>2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206</v>
      </c>
      <c r="D628" s="3"/>
      <c r="E628" s="3" t="s">
        <v>206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207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208</v>
      </c>
      <c r="D629" s="3"/>
      <c r="E629" s="3" t="s">
        <v>208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358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208</v>
      </c>
      <c r="D630" s="3"/>
      <c r="E630" s="3" t="s">
        <v>208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1.88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208</v>
      </c>
      <c r="D631" s="3"/>
      <c r="E631" s="3" t="s">
        <v>208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18</v>
      </c>
      <c r="O631" s="3"/>
      <c r="P631" s="3"/>
      <c r="Q631" s="3">
        <v>91.44</v>
      </c>
      <c r="R631" s="3" t="s">
        <v>15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208</v>
      </c>
      <c r="D632" s="3"/>
      <c r="E632" s="3" t="s">
        <v>208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0.78700000000000003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208</v>
      </c>
      <c r="D633" s="3"/>
      <c r="E633" s="3" t="s">
        <v>208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11.683999999999999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208</v>
      </c>
      <c r="D634" s="3"/>
      <c r="E634" s="3" t="s">
        <v>208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71.856999999999999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208</v>
      </c>
      <c r="D635" s="3"/>
      <c r="E635" s="3" t="s">
        <v>208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208</v>
      </c>
      <c r="D636" s="3"/>
      <c r="E636" s="3" t="s">
        <v>208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208</v>
      </c>
      <c r="D637" s="3"/>
      <c r="E637" s="3" t="s">
        <v>208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208</v>
      </c>
      <c r="D638" s="3"/>
      <c r="E638" s="3" t="s">
        <v>208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208</v>
      </c>
      <c r="D639" s="3"/>
      <c r="E639" s="3" t="s">
        <v>208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110</v>
      </c>
      <c r="O639" s="3"/>
      <c r="P639" s="3"/>
      <c r="Q639" s="3">
        <v>0.64900000000000002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208</v>
      </c>
      <c r="D640" s="3"/>
      <c r="E640" s="3" t="s">
        <v>208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359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208</v>
      </c>
      <c r="D641" s="3"/>
      <c r="E641" s="3" t="s">
        <v>208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209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210</v>
      </c>
      <c r="D642" s="3"/>
      <c r="E642" s="3" t="s">
        <v>210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360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210</v>
      </c>
      <c r="D643" s="3"/>
      <c r="E643" s="3" t="s">
        <v>210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109</v>
      </c>
      <c r="O643" s="3"/>
      <c r="P643" s="3"/>
      <c r="Q643" s="3">
        <v>2.1840000000000002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210</v>
      </c>
      <c r="D644" s="3"/>
      <c r="E644" s="3" t="s">
        <v>210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18</v>
      </c>
      <c r="O644" s="3"/>
      <c r="P644" s="3"/>
      <c r="Q644" s="3">
        <v>96.316999999999993</v>
      </c>
      <c r="R644" s="3" t="s">
        <v>15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210</v>
      </c>
      <c r="D645" s="3"/>
      <c r="E645" s="3" t="s">
        <v>210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0.92200000000000004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210</v>
      </c>
      <c r="D646" s="3"/>
      <c r="E646" s="3" t="s">
        <v>210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107</v>
      </c>
      <c r="O646" s="3"/>
      <c r="P646" s="3"/>
      <c r="Q646" s="3">
        <v>12.294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210</v>
      </c>
      <c r="D647" s="3"/>
      <c r="E647" s="3" t="s">
        <v>210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18</v>
      </c>
      <c r="O647" s="3"/>
      <c r="P647" s="3"/>
      <c r="Q647" s="3">
        <v>75.605999999999995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210</v>
      </c>
      <c r="D648" s="3"/>
      <c r="E648" s="3" t="s">
        <v>210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112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210</v>
      </c>
      <c r="D649" s="3"/>
      <c r="E649" s="3" t="s">
        <v>210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21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210</v>
      </c>
      <c r="D650" s="3"/>
      <c r="E650" s="3" t="s">
        <v>210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210</v>
      </c>
      <c r="D651" s="3"/>
      <c r="E651" s="3" t="s">
        <v>210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210</v>
      </c>
      <c r="D652" s="3"/>
      <c r="E652" s="3" t="s">
        <v>210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110</v>
      </c>
      <c r="O652" s="3"/>
      <c r="P652" s="3"/>
      <c r="Q652" s="3">
        <v>0.73</v>
      </c>
      <c r="R652" s="3" t="s">
        <v>13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210</v>
      </c>
      <c r="D653" s="3"/>
      <c r="E653" s="3" t="s">
        <v>210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361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210</v>
      </c>
      <c r="D654" s="3"/>
      <c r="E654" s="3" t="s">
        <v>210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211</v>
      </c>
      <c r="O654" s="3"/>
      <c r="P654" s="3"/>
      <c r="Q654" s="3">
        <v>2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212</v>
      </c>
      <c r="D655" s="3"/>
      <c r="E655" s="3" t="s">
        <v>212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362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212</v>
      </c>
      <c r="D656" s="3"/>
      <c r="E656" s="3" t="s">
        <v>212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109</v>
      </c>
      <c r="O656" s="3"/>
      <c r="P656" s="3"/>
      <c r="Q656" s="3">
        <v>2.4889999999999999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212</v>
      </c>
      <c r="D657" s="3"/>
      <c r="E657" s="3" t="s">
        <v>212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18</v>
      </c>
      <c r="O657" s="3"/>
      <c r="P657" s="3"/>
      <c r="Q657" s="3">
        <v>101.194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212</v>
      </c>
      <c r="D658" s="3"/>
      <c r="E658" s="3" t="s">
        <v>212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1.056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212</v>
      </c>
      <c r="D659" s="3"/>
      <c r="E659" s="3" t="s">
        <v>212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107</v>
      </c>
      <c r="O659" s="3"/>
      <c r="P659" s="3"/>
      <c r="Q659" s="3">
        <v>12.903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212</v>
      </c>
      <c r="D660" s="3"/>
      <c r="E660" s="3" t="s">
        <v>212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18</v>
      </c>
      <c r="O660" s="3"/>
      <c r="P660" s="3"/>
      <c r="Q660" s="3">
        <v>79.355000000000004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212</v>
      </c>
      <c r="D661" s="3"/>
      <c r="E661" s="3" t="s">
        <v>212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112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212</v>
      </c>
      <c r="D662" s="3"/>
      <c r="E662" s="3" t="s">
        <v>212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212</v>
      </c>
      <c r="D663" s="3"/>
      <c r="E663" s="3" t="s">
        <v>212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212</v>
      </c>
      <c r="D664" s="3"/>
      <c r="E664" s="3" t="s">
        <v>212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23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212</v>
      </c>
      <c r="D665" s="3"/>
      <c r="E665" s="3" t="s">
        <v>212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110</v>
      </c>
      <c r="O665" s="3"/>
      <c r="P665" s="3"/>
      <c r="Q665" s="3">
        <v>0.81100000000000005</v>
      </c>
      <c r="R665" s="3" t="s">
        <v>13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212</v>
      </c>
      <c r="D666" s="3"/>
      <c r="E666" s="3" t="s">
        <v>212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363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212</v>
      </c>
      <c r="D667" s="3"/>
      <c r="E667" s="3" t="s">
        <v>212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213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214</v>
      </c>
      <c r="D668" s="3"/>
      <c r="E668" s="3" t="s">
        <v>214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364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214</v>
      </c>
      <c r="D669" s="3"/>
      <c r="E669" s="3" t="s">
        <v>214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109</v>
      </c>
      <c r="O669" s="3"/>
      <c r="P669" s="3"/>
      <c r="Q669" s="3">
        <v>3.0990000000000002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214</v>
      </c>
      <c r="D670" s="3"/>
      <c r="E670" s="3" t="s">
        <v>214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18</v>
      </c>
      <c r="O670" s="3"/>
      <c r="P670" s="3"/>
      <c r="Q670" s="3">
        <v>110.947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214</v>
      </c>
      <c r="D671" s="3"/>
      <c r="E671" s="3" t="s">
        <v>214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1.3260000000000001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214</v>
      </c>
      <c r="D672" s="3"/>
      <c r="E672" s="3" t="s">
        <v>214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107</v>
      </c>
      <c r="O672" s="3"/>
      <c r="P672" s="3"/>
      <c r="Q672" s="3">
        <v>14.122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214</v>
      </c>
      <c r="D673" s="3"/>
      <c r="E673" s="3" t="s">
        <v>214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18</v>
      </c>
      <c r="O673" s="3"/>
      <c r="P673" s="3"/>
      <c r="Q673" s="3">
        <v>86.852999999999994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214</v>
      </c>
      <c r="D674" s="3"/>
      <c r="E674" s="3" t="s">
        <v>214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112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214</v>
      </c>
      <c r="D675" s="3"/>
      <c r="E675" s="3" t="s">
        <v>214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21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214</v>
      </c>
      <c r="D676" s="3"/>
      <c r="E676" s="3" t="s">
        <v>214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214</v>
      </c>
      <c r="D677" s="3"/>
      <c r="E677" s="3" t="s">
        <v>214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214</v>
      </c>
      <c r="D678" s="3"/>
      <c r="E678" s="3" t="s">
        <v>214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110</v>
      </c>
      <c r="O678" s="3"/>
      <c r="P678" s="3"/>
      <c r="Q678" s="3">
        <v>0.97299999999999998</v>
      </c>
      <c r="R678" s="3" t="s">
        <v>13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214</v>
      </c>
      <c r="D679" s="3"/>
      <c r="E679" s="3" t="s">
        <v>214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365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214</v>
      </c>
      <c r="D680" s="3"/>
      <c r="E680" s="3" t="s">
        <v>214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216</v>
      </c>
      <c r="D681" s="3"/>
      <c r="E681" s="3" t="s">
        <v>216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366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216</v>
      </c>
      <c r="D682" s="3"/>
      <c r="E682" s="3" t="s">
        <v>216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109</v>
      </c>
      <c r="O682" s="3"/>
      <c r="P682" s="3"/>
      <c r="Q682" s="3">
        <v>3.4039999999999999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216</v>
      </c>
      <c r="D683" s="3"/>
      <c r="E683" s="3" t="s">
        <v>216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18</v>
      </c>
      <c r="O683" s="3"/>
      <c r="P683" s="3"/>
      <c r="Q683" s="3">
        <v>115.824</v>
      </c>
      <c r="R683" s="3" t="s">
        <v>15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216</v>
      </c>
      <c r="D684" s="3"/>
      <c r="E684" s="3" t="s">
        <v>216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1.4610000000000001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216</v>
      </c>
      <c r="D685" s="3"/>
      <c r="E685" s="3" t="s">
        <v>216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107</v>
      </c>
      <c r="O685" s="3"/>
      <c r="P685" s="3"/>
      <c r="Q685" s="3">
        <v>14.731999999999999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216</v>
      </c>
      <c r="D686" s="3"/>
      <c r="E686" s="3" t="s">
        <v>216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18</v>
      </c>
      <c r="O686" s="3"/>
      <c r="P686" s="3"/>
      <c r="Q686" s="3">
        <v>90.602000000000004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216</v>
      </c>
      <c r="D687" s="3"/>
      <c r="E687" s="3" t="s">
        <v>216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112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216</v>
      </c>
      <c r="D688" s="3"/>
      <c r="E688" s="3" t="s">
        <v>216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216</v>
      </c>
      <c r="D689" s="3"/>
      <c r="E689" s="3" t="s">
        <v>216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22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216</v>
      </c>
      <c r="D690" s="3"/>
      <c r="E690" s="3" t="s">
        <v>216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216</v>
      </c>
      <c r="D691" s="3"/>
      <c r="E691" s="3" t="s">
        <v>216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110</v>
      </c>
      <c r="O691" s="3"/>
      <c r="P691" s="3"/>
      <c r="Q691" s="3">
        <v>1.054</v>
      </c>
      <c r="R691" s="3" t="s">
        <v>13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216</v>
      </c>
      <c r="D692" s="3"/>
      <c r="E692" s="3" t="s">
        <v>216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367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216</v>
      </c>
      <c r="D693" s="3"/>
      <c r="E693" s="3" t="s">
        <v>216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217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218</v>
      </c>
      <c r="D694" s="3"/>
      <c r="E694" s="3" t="s">
        <v>218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368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218</v>
      </c>
      <c r="D695" s="3"/>
      <c r="E695" s="3" t="s">
        <v>218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109</v>
      </c>
      <c r="O695" s="3"/>
      <c r="P695" s="3"/>
      <c r="Q695" s="3">
        <v>3.7080000000000002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218</v>
      </c>
      <c r="D696" s="3"/>
      <c r="E696" s="3" t="s">
        <v>218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18</v>
      </c>
      <c r="O696" s="3"/>
      <c r="P696" s="3"/>
      <c r="Q696" s="3">
        <v>120.70099999999999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218</v>
      </c>
      <c r="D697" s="3"/>
      <c r="E697" s="3" t="s">
        <v>218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1.5960000000000001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218</v>
      </c>
      <c r="D698" s="3"/>
      <c r="E698" s="3" t="s">
        <v>218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107</v>
      </c>
      <c r="O698" s="3"/>
      <c r="P698" s="3"/>
      <c r="Q698" s="3">
        <v>15.342000000000001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218</v>
      </c>
      <c r="D699" s="3"/>
      <c r="E699" s="3" t="s">
        <v>218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18</v>
      </c>
      <c r="O699" s="3"/>
      <c r="P699" s="3"/>
      <c r="Q699" s="3">
        <v>94.350999999999999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218</v>
      </c>
      <c r="D700" s="3"/>
      <c r="E700" s="3" t="s">
        <v>218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112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218</v>
      </c>
      <c r="D701" s="3"/>
      <c r="E701" s="3" t="s">
        <v>218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218</v>
      </c>
      <c r="D702" s="3"/>
      <c r="E702" s="3" t="s">
        <v>218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218</v>
      </c>
      <c r="D703" s="3"/>
      <c r="E703" s="3" t="s">
        <v>218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23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218</v>
      </c>
      <c r="D704" s="3"/>
      <c r="E704" s="3" t="s">
        <v>218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110</v>
      </c>
      <c r="O704" s="3"/>
      <c r="P704" s="3"/>
      <c r="Q704" s="3">
        <v>1.135</v>
      </c>
      <c r="R704" s="3" t="s">
        <v>13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218</v>
      </c>
      <c r="D705" s="3"/>
      <c r="E705" s="3" t="s">
        <v>218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369</v>
      </c>
      <c r="O705" s="3"/>
      <c r="P705" s="3"/>
      <c r="Q705" s="3">
        <v>2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218</v>
      </c>
      <c r="D706" s="3"/>
      <c r="E706" s="3" t="s">
        <v>218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219</v>
      </c>
      <c r="O706" s="3"/>
      <c r="P706" s="3"/>
      <c r="Q706" s="3">
        <v>2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220</v>
      </c>
      <c r="D707" s="3"/>
      <c r="E707" s="3" t="s">
        <v>220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370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220</v>
      </c>
      <c r="D708" s="3"/>
      <c r="E708" s="3" t="s">
        <v>220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109</v>
      </c>
      <c r="O708" s="3"/>
      <c r="P708" s="3"/>
      <c r="Q708" s="3">
        <v>1.575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220</v>
      </c>
      <c r="D709" s="3"/>
      <c r="E709" s="3" t="s">
        <v>220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18</v>
      </c>
      <c r="O709" s="3"/>
      <c r="P709" s="3"/>
      <c r="Q709" s="3">
        <v>89.001999999999995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220</v>
      </c>
      <c r="D710" s="3"/>
      <c r="E710" s="3" t="s">
        <v>220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0.67800000000000005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220</v>
      </c>
      <c r="D711" s="3"/>
      <c r="E711" s="3" t="s">
        <v>220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107</v>
      </c>
      <c r="O711" s="3"/>
      <c r="P711" s="3"/>
      <c r="Q711" s="3">
        <v>11.379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220</v>
      </c>
      <c r="D712" s="3"/>
      <c r="E712" s="3" t="s">
        <v>220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18</v>
      </c>
      <c r="O712" s="3"/>
      <c r="P712" s="3"/>
      <c r="Q712" s="3">
        <v>69.981999999999999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220</v>
      </c>
      <c r="D713" s="3"/>
      <c r="E713" s="3" t="s">
        <v>220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112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220</v>
      </c>
      <c r="D714" s="3"/>
      <c r="E714" s="3" t="s">
        <v>220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220</v>
      </c>
      <c r="D715" s="3"/>
      <c r="E715" s="3" t="s">
        <v>220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220</v>
      </c>
      <c r="D716" s="3"/>
      <c r="E716" s="3" t="s">
        <v>220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220</v>
      </c>
      <c r="D717" s="3"/>
      <c r="E717" s="3" t="s">
        <v>220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110</v>
      </c>
      <c r="O717" s="3"/>
      <c r="P717" s="3"/>
      <c r="Q717" s="3">
        <v>1.216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220</v>
      </c>
      <c r="D718" s="3"/>
      <c r="E718" s="3" t="s">
        <v>220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371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220</v>
      </c>
      <c r="D719" s="3"/>
      <c r="E719" s="3" t="s">
        <v>220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221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222</v>
      </c>
      <c r="D720" s="3"/>
      <c r="E720" s="3" t="s">
        <v>222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372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222</v>
      </c>
      <c r="D721" s="3"/>
      <c r="E721" s="3" t="s">
        <v>222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109</v>
      </c>
      <c r="O721" s="3"/>
      <c r="P721" s="3"/>
      <c r="Q721" s="3">
        <v>1.88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222</v>
      </c>
      <c r="D722" s="3"/>
      <c r="E722" s="3" t="s">
        <v>222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18</v>
      </c>
      <c r="O722" s="3"/>
      <c r="P722" s="3"/>
      <c r="Q722" s="3">
        <v>93.878</v>
      </c>
      <c r="R722" s="3" t="s">
        <v>15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222</v>
      </c>
      <c r="D723" s="3"/>
      <c r="E723" s="3" t="s">
        <v>222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0.81899999999999995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222</v>
      </c>
      <c r="D724" s="3"/>
      <c r="E724" s="3" t="s">
        <v>222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107</v>
      </c>
      <c r="O724" s="3"/>
      <c r="P724" s="3"/>
      <c r="Q724" s="3">
        <v>11.989000000000001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222</v>
      </c>
      <c r="D725" s="3"/>
      <c r="E725" s="3" t="s">
        <v>222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18</v>
      </c>
      <c r="O725" s="3"/>
      <c r="P725" s="3"/>
      <c r="Q725" s="3">
        <v>73.730999999999995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222</v>
      </c>
      <c r="D726" s="3"/>
      <c r="E726" s="3" t="s">
        <v>222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112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222</v>
      </c>
      <c r="D727" s="3"/>
      <c r="E727" s="3" t="s">
        <v>222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222</v>
      </c>
      <c r="D728" s="3"/>
      <c r="E728" s="3" t="s">
        <v>222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222</v>
      </c>
      <c r="D729" s="3"/>
      <c r="E729" s="3" t="s">
        <v>222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222</v>
      </c>
      <c r="D730" s="3"/>
      <c r="E730" s="3" t="s">
        <v>222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110</v>
      </c>
      <c r="O730" s="3"/>
      <c r="P730" s="3"/>
      <c r="Q730" s="3">
        <v>1.216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222</v>
      </c>
      <c r="D731" s="3"/>
      <c r="E731" s="3" t="s">
        <v>222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373</v>
      </c>
      <c r="O731" s="3"/>
      <c r="P731" s="3"/>
      <c r="Q731" s="3">
        <v>2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222</v>
      </c>
      <c r="D732" s="3"/>
      <c r="E732" s="3" t="s">
        <v>222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223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224</v>
      </c>
      <c r="D733" s="3"/>
      <c r="E733" s="3" t="s">
        <v>224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374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224</v>
      </c>
      <c r="D734" s="3"/>
      <c r="E734" s="3" t="s">
        <v>224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109</v>
      </c>
      <c r="O734" s="3"/>
      <c r="P734" s="3"/>
      <c r="Q734" s="3">
        <v>2.1840000000000002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224</v>
      </c>
      <c r="D735" s="3"/>
      <c r="E735" s="3" t="s">
        <v>224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18</v>
      </c>
      <c r="O735" s="3"/>
      <c r="P735" s="3"/>
      <c r="Q735" s="3">
        <v>98.754999999999995</v>
      </c>
      <c r="R735" s="3" t="s">
        <v>15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224</v>
      </c>
      <c r="D736" s="3"/>
      <c r="E736" s="3" t="s">
        <v>224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0.95899999999999996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224</v>
      </c>
      <c r="D737" s="3"/>
      <c r="E737" s="3" t="s">
        <v>224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107</v>
      </c>
      <c r="O737" s="3"/>
      <c r="P737" s="3"/>
      <c r="Q737" s="3">
        <v>12.598000000000001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224</v>
      </c>
      <c r="D738" s="3"/>
      <c r="E738" s="3" t="s">
        <v>224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18</v>
      </c>
      <c r="O738" s="3"/>
      <c r="P738" s="3"/>
      <c r="Q738" s="3">
        <v>77.48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224</v>
      </c>
      <c r="D739" s="3"/>
      <c r="E739" s="3" t="s">
        <v>224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112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224</v>
      </c>
      <c r="D740" s="3"/>
      <c r="E740" s="3" t="s">
        <v>224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224</v>
      </c>
      <c r="D741" s="3"/>
      <c r="E741" s="3" t="s">
        <v>224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224</v>
      </c>
      <c r="D742" s="3"/>
      <c r="E742" s="3" t="s">
        <v>224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224</v>
      </c>
      <c r="D743" s="3"/>
      <c r="E743" s="3" t="s">
        <v>224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110</v>
      </c>
      <c r="O743" s="3"/>
      <c r="P743" s="3"/>
      <c r="Q743" s="3">
        <v>1.216</v>
      </c>
      <c r="R743" s="3" t="s">
        <v>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224</v>
      </c>
      <c r="D744" s="3"/>
      <c r="E744" s="3" t="s">
        <v>224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375</v>
      </c>
      <c r="O744" s="3"/>
      <c r="P744" s="3"/>
      <c r="Q744" s="3">
        <v>2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224</v>
      </c>
      <c r="D745" s="3"/>
      <c r="E745" s="3" t="s">
        <v>224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225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226</v>
      </c>
      <c r="D746" s="3"/>
      <c r="E746" s="3" t="s">
        <v>226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376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226</v>
      </c>
      <c r="D747" s="3"/>
      <c r="E747" s="3" t="s">
        <v>226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109</v>
      </c>
      <c r="O747" s="3"/>
      <c r="P747" s="3"/>
      <c r="Q747" s="3">
        <v>2.4889999999999999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226</v>
      </c>
      <c r="D748" s="3"/>
      <c r="E748" s="3" t="s">
        <v>226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18</v>
      </c>
      <c r="O748" s="3"/>
      <c r="P748" s="3"/>
      <c r="Q748" s="3">
        <v>103.63200000000001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226</v>
      </c>
      <c r="D749" s="3"/>
      <c r="E749" s="3" t="s">
        <v>226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1.099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226</v>
      </c>
      <c r="D750" s="3"/>
      <c r="E750" s="3" t="s">
        <v>226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107</v>
      </c>
      <c r="O750" s="3"/>
      <c r="P750" s="3"/>
      <c r="Q750" s="3">
        <v>13.208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226</v>
      </c>
      <c r="D751" s="3"/>
      <c r="E751" s="3" t="s">
        <v>226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18</v>
      </c>
      <c r="O751" s="3"/>
      <c r="P751" s="3"/>
      <c r="Q751" s="3">
        <v>81.228999999999999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226</v>
      </c>
      <c r="D752" s="3"/>
      <c r="E752" s="3" t="s">
        <v>226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112</v>
      </c>
      <c r="O752" s="3"/>
      <c r="P752" s="3"/>
      <c r="Q752" s="3">
        <v>4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226</v>
      </c>
      <c r="D753" s="3"/>
      <c r="E753" s="3" t="s">
        <v>226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21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226</v>
      </c>
      <c r="D754" s="3"/>
      <c r="E754" s="3" t="s">
        <v>226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226</v>
      </c>
      <c r="D755" s="3"/>
      <c r="E755" s="3" t="s">
        <v>226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226</v>
      </c>
      <c r="D756" s="3"/>
      <c r="E756" s="3" t="s">
        <v>226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110</v>
      </c>
      <c r="O756" s="3"/>
      <c r="P756" s="3"/>
      <c r="Q756" s="3">
        <v>1.216</v>
      </c>
      <c r="R756" s="3" t="s">
        <v>13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226</v>
      </c>
      <c r="D757" s="3"/>
      <c r="E757" s="3" t="s">
        <v>226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377</v>
      </c>
      <c r="O757" s="3"/>
      <c r="P757" s="3"/>
      <c r="Q757" s="3">
        <v>2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226</v>
      </c>
      <c r="D758" s="3"/>
      <c r="E758" s="3" t="s">
        <v>226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227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228</v>
      </c>
      <c r="D759" s="3"/>
      <c r="E759" s="3" t="s">
        <v>228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378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228</v>
      </c>
      <c r="D760" s="3"/>
      <c r="E760" s="3" t="s">
        <v>228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109</v>
      </c>
      <c r="O760" s="3"/>
      <c r="P760" s="3"/>
      <c r="Q760" s="3">
        <v>3.0990000000000002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228</v>
      </c>
      <c r="D761" s="3"/>
      <c r="E761" s="3" t="s">
        <v>228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18</v>
      </c>
      <c r="O761" s="3"/>
      <c r="P761" s="3"/>
      <c r="Q761" s="3">
        <v>113.386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228</v>
      </c>
      <c r="D762" s="3"/>
      <c r="E762" s="3" t="s">
        <v>228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1.38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228</v>
      </c>
      <c r="D763" s="3"/>
      <c r="E763" s="3" t="s">
        <v>228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107</v>
      </c>
      <c r="O763" s="3"/>
      <c r="P763" s="3"/>
      <c r="Q763" s="3">
        <v>14.427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228</v>
      </c>
      <c r="D764" s="3"/>
      <c r="E764" s="3" t="s">
        <v>228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18</v>
      </c>
      <c r="O764" s="3"/>
      <c r="P764" s="3"/>
      <c r="Q764" s="3">
        <v>88.727000000000004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228</v>
      </c>
      <c r="D765" s="3"/>
      <c r="E765" s="3" t="s">
        <v>228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112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228</v>
      </c>
      <c r="D766" s="3"/>
      <c r="E766" s="3" t="s">
        <v>228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21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228</v>
      </c>
      <c r="D767" s="3"/>
      <c r="E767" s="3" t="s">
        <v>228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22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228</v>
      </c>
      <c r="D768" s="3"/>
      <c r="E768" s="3" t="s">
        <v>228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228</v>
      </c>
      <c r="D769" s="3"/>
      <c r="E769" s="3" t="s">
        <v>228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110</v>
      </c>
      <c r="O769" s="3"/>
      <c r="P769" s="3"/>
      <c r="Q769" s="3">
        <v>1.216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228</v>
      </c>
      <c r="D770" s="3"/>
      <c r="E770" s="3" t="s">
        <v>228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379</v>
      </c>
      <c r="O770" s="3"/>
      <c r="P770" s="3"/>
      <c r="Q770" s="3">
        <v>2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228</v>
      </c>
      <c r="D771" s="3"/>
      <c r="E771" s="3" t="s">
        <v>228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229</v>
      </c>
      <c r="O771" s="3"/>
      <c r="P771" s="3"/>
      <c r="Q771" s="3">
        <v>2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230</v>
      </c>
      <c r="D772" s="3"/>
      <c r="E772" s="3" t="s">
        <v>230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380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230</v>
      </c>
      <c r="D773" s="3"/>
      <c r="E773" s="3" t="s">
        <v>230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109</v>
      </c>
      <c r="O773" s="3"/>
      <c r="P773" s="3"/>
      <c r="Q773" s="3">
        <v>3.4039999999999999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230</v>
      </c>
      <c r="D774" s="3"/>
      <c r="E774" s="3" t="s">
        <v>230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18</v>
      </c>
      <c r="O774" s="3"/>
      <c r="P774" s="3"/>
      <c r="Q774" s="3">
        <v>118.262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230</v>
      </c>
      <c r="D775" s="3"/>
      <c r="E775" s="3" t="s">
        <v>230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1.52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230</v>
      </c>
      <c r="D776" s="3"/>
      <c r="E776" s="3" t="s">
        <v>230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107</v>
      </c>
      <c r="O776" s="3"/>
      <c r="P776" s="3"/>
      <c r="Q776" s="3">
        <v>15.037000000000001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230</v>
      </c>
      <c r="D777" s="3"/>
      <c r="E777" s="3" t="s">
        <v>230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18</v>
      </c>
      <c r="O777" s="3"/>
      <c r="P777" s="3"/>
      <c r="Q777" s="3">
        <v>92.475999999999999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230</v>
      </c>
      <c r="D778" s="3"/>
      <c r="E778" s="3" t="s">
        <v>230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112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230</v>
      </c>
      <c r="D779" s="3"/>
      <c r="E779" s="3" t="s">
        <v>230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230</v>
      </c>
      <c r="D780" s="3"/>
      <c r="E780" s="3" t="s">
        <v>230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230</v>
      </c>
      <c r="D781" s="3"/>
      <c r="E781" s="3" t="s">
        <v>230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230</v>
      </c>
      <c r="D782" s="3"/>
      <c r="E782" s="3" t="s">
        <v>230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110</v>
      </c>
      <c r="O782" s="3"/>
      <c r="P782" s="3"/>
      <c r="Q782" s="3">
        <v>1.216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230</v>
      </c>
      <c r="D783" s="3"/>
      <c r="E783" s="3" t="s">
        <v>230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381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230</v>
      </c>
      <c r="D784" s="3"/>
      <c r="E784" s="3" t="s">
        <v>230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232</v>
      </c>
      <c r="D785" s="3"/>
      <c r="E785" s="3" t="s">
        <v>232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232</v>
      </c>
      <c r="D786" s="3"/>
      <c r="E786" s="3" t="s">
        <v>232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3.7080000000000002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232</v>
      </c>
      <c r="D787" s="3"/>
      <c r="E787" s="3" t="s">
        <v>232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18</v>
      </c>
      <c r="O787" s="3"/>
      <c r="P787" s="3"/>
      <c r="Q787" s="3">
        <v>123.139</v>
      </c>
      <c r="R787" s="3" t="s">
        <v>15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232</v>
      </c>
      <c r="D788" s="3"/>
      <c r="E788" s="3" t="s">
        <v>232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1.661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232</v>
      </c>
      <c r="D789" s="3"/>
      <c r="E789" s="3" t="s">
        <v>232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15.646000000000001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232</v>
      </c>
      <c r="D790" s="3"/>
      <c r="E790" s="3" t="s">
        <v>232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96.224999999999994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232</v>
      </c>
      <c r="D791" s="3"/>
      <c r="E791" s="3" t="s">
        <v>232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232</v>
      </c>
      <c r="D792" s="3"/>
      <c r="E792" s="3" t="s">
        <v>232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232</v>
      </c>
      <c r="D793" s="3"/>
      <c r="E793" s="3" t="s">
        <v>232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232</v>
      </c>
      <c r="D794" s="3"/>
      <c r="E794" s="3" t="s">
        <v>232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232</v>
      </c>
      <c r="D795" s="3"/>
      <c r="E795" s="3" t="s">
        <v>232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110</v>
      </c>
      <c r="O795" s="3"/>
      <c r="P795" s="3"/>
      <c r="Q795" s="3">
        <v>1.216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232</v>
      </c>
      <c r="D796" s="3"/>
      <c r="E796" s="3" t="s">
        <v>232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383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232</v>
      </c>
      <c r="D797" s="3"/>
      <c r="E797" s="3" t="s">
        <v>232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233</v>
      </c>
      <c r="O797" s="3"/>
      <c r="P797" s="3"/>
      <c r="Q797" s="3">
        <v>2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234</v>
      </c>
      <c r="D798" s="3"/>
      <c r="E798" s="3" t="s">
        <v>234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384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234</v>
      </c>
      <c r="D799" s="3"/>
      <c r="E799" s="3" t="s">
        <v>234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109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234</v>
      </c>
      <c r="D800" s="3"/>
      <c r="E800" s="3" t="s">
        <v>234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18</v>
      </c>
      <c r="O800" s="3"/>
      <c r="P800" s="3"/>
      <c r="Q800" s="3">
        <v>90.626999999999995</v>
      </c>
      <c r="R800" s="3" t="s">
        <v>15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234</v>
      </c>
      <c r="D801" s="3"/>
      <c r="E801" s="3" t="s">
        <v>234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0.69599999999999995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234</v>
      </c>
      <c r="D802" s="3"/>
      <c r="E802" s="3" t="s">
        <v>234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107</v>
      </c>
      <c r="O802" s="3"/>
      <c r="P802" s="3"/>
      <c r="Q802" s="3">
        <v>11.582000000000001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234</v>
      </c>
      <c r="D803" s="3"/>
      <c r="E803" s="3" t="s">
        <v>234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18</v>
      </c>
      <c r="O803" s="3"/>
      <c r="P803" s="3"/>
      <c r="Q803" s="3">
        <v>71.231999999999999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234</v>
      </c>
      <c r="D804" s="3"/>
      <c r="E804" s="3" t="s">
        <v>234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112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234</v>
      </c>
      <c r="D805" s="3"/>
      <c r="E805" s="3" t="s">
        <v>234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21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234</v>
      </c>
      <c r="D806" s="3"/>
      <c r="E806" s="3" t="s">
        <v>234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22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234</v>
      </c>
      <c r="D807" s="3"/>
      <c r="E807" s="3" t="s">
        <v>234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23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234</v>
      </c>
      <c r="D808" s="3"/>
      <c r="E808" s="3" t="s">
        <v>234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110</v>
      </c>
      <c r="O808" s="3"/>
      <c r="P808" s="3"/>
      <c r="Q808" s="3">
        <v>1.2430000000000001</v>
      </c>
      <c r="R808" s="3" t="s">
        <v>13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234</v>
      </c>
      <c r="D809" s="3"/>
      <c r="E809" s="3" t="s">
        <v>234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385</v>
      </c>
      <c r="O809" s="3"/>
      <c r="P809" s="3"/>
      <c r="Q809" s="3">
        <v>2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234</v>
      </c>
      <c r="D810" s="3"/>
      <c r="E810" s="3" t="s">
        <v>234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235</v>
      </c>
      <c r="O810" s="3"/>
      <c r="P810" s="3"/>
      <c r="Q810" s="3">
        <v>2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236</v>
      </c>
      <c r="D811" s="3"/>
      <c r="E811" s="3" t="s">
        <v>236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386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236</v>
      </c>
      <c r="D812" s="3"/>
      <c r="E812" s="3" t="s">
        <v>236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109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236</v>
      </c>
      <c r="D813" s="3"/>
      <c r="E813" s="3" t="s">
        <v>236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18</v>
      </c>
      <c r="O813" s="3"/>
      <c r="P813" s="3"/>
      <c r="Q813" s="3">
        <v>95.504000000000005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236</v>
      </c>
      <c r="D814" s="3"/>
      <c r="E814" s="3" t="s">
        <v>236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0.84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236</v>
      </c>
      <c r="D815" s="3"/>
      <c r="E815" s="3" t="s">
        <v>236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107</v>
      </c>
      <c r="O815" s="3"/>
      <c r="P815" s="3"/>
      <c r="Q815" s="3">
        <v>12.192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236</v>
      </c>
      <c r="D816" s="3"/>
      <c r="E816" s="3" t="s">
        <v>236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18</v>
      </c>
      <c r="O816" s="3"/>
      <c r="P816" s="3"/>
      <c r="Q816" s="3">
        <v>74.980999999999995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236</v>
      </c>
      <c r="D817" s="3"/>
      <c r="E817" s="3" t="s">
        <v>236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112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236</v>
      </c>
      <c r="D818" s="3"/>
      <c r="E818" s="3" t="s">
        <v>236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21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236</v>
      </c>
      <c r="D819" s="3"/>
      <c r="E819" s="3" t="s">
        <v>236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236</v>
      </c>
      <c r="D820" s="3"/>
      <c r="E820" s="3" t="s">
        <v>236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236</v>
      </c>
      <c r="D821" s="3"/>
      <c r="E821" s="3" t="s">
        <v>236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110</v>
      </c>
      <c r="O821" s="3"/>
      <c r="P821" s="3"/>
      <c r="Q821" s="3">
        <v>1.2430000000000001</v>
      </c>
      <c r="R821" s="3" t="s">
        <v>13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236</v>
      </c>
      <c r="D822" s="3"/>
      <c r="E822" s="3" t="s">
        <v>236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387</v>
      </c>
      <c r="O822" s="3"/>
      <c r="P822" s="3"/>
      <c r="Q822" s="3">
        <v>2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236</v>
      </c>
      <c r="D823" s="3"/>
      <c r="E823" s="3" t="s">
        <v>236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237</v>
      </c>
      <c r="O823" s="3"/>
      <c r="P823" s="3"/>
      <c r="Q823" s="3">
        <v>2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238</v>
      </c>
      <c r="D824" s="3"/>
      <c r="E824" s="3" t="s">
        <v>238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388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238</v>
      </c>
      <c r="D825" s="3"/>
      <c r="E825" s="3" t="s">
        <v>238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109</v>
      </c>
      <c r="O825" s="3"/>
      <c r="P825" s="3"/>
      <c r="Q825" s="3">
        <v>4.1150000000000002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238</v>
      </c>
      <c r="D826" s="3"/>
      <c r="E826" s="3" t="s">
        <v>238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18</v>
      </c>
      <c r="O826" s="3"/>
      <c r="P826" s="3"/>
      <c r="Q826" s="3">
        <v>100.381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238</v>
      </c>
      <c r="D827" s="3"/>
      <c r="E827" s="3" t="s">
        <v>238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0.98399999999999999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238</v>
      </c>
      <c r="D828" s="3"/>
      <c r="E828" s="3" t="s">
        <v>238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107</v>
      </c>
      <c r="O828" s="3"/>
      <c r="P828" s="3"/>
      <c r="Q828" s="3">
        <v>12.802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238</v>
      </c>
      <c r="D829" s="3"/>
      <c r="E829" s="3" t="s">
        <v>238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18</v>
      </c>
      <c r="O829" s="3"/>
      <c r="P829" s="3"/>
      <c r="Q829" s="3">
        <v>78.73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238</v>
      </c>
      <c r="D830" s="3"/>
      <c r="E830" s="3" t="s">
        <v>238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112</v>
      </c>
      <c r="O830" s="3"/>
      <c r="P830" s="3"/>
      <c r="Q830" s="3">
        <v>4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238</v>
      </c>
      <c r="D831" s="3"/>
      <c r="E831" s="3" t="s">
        <v>238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21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238</v>
      </c>
      <c r="D832" s="3"/>
      <c r="E832" s="3" t="s">
        <v>238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238</v>
      </c>
      <c r="D833" s="3"/>
      <c r="E833" s="3" t="s">
        <v>238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238</v>
      </c>
      <c r="D834" s="3"/>
      <c r="E834" s="3" t="s">
        <v>238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110</v>
      </c>
      <c r="O834" s="3"/>
      <c r="P834" s="3"/>
      <c r="Q834" s="3">
        <v>1.2430000000000001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238</v>
      </c>
      <c r="D835" s="3"/>
      <c r="E835" s="3" t="s">
        <v>238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389</v>
      </c>
      <c r="O835" s="3"/>
      <c r="P835" s="3"/>
      <c r="Q835" s="3">
        <v>2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238</v>
      </c>
      <c r="D836" s="3"/>
      <c r="E836" s="3" t="s">
        <v>238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239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240</v>
      </c>
      <c r="D837" s="3"/>
      <c r="E837" s="3" t="s">
        <v>240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390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240</v>
      </c>
      <c r="D838" s="3"/>
      <c r="E838" s="3" t="s">
        <v>240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109</v>
      </c>
      <c r="O838" s="3"/>
      <c r="P838" s="3"/>
      <c r="Q838" s="3">
        <v>4.1150000000000002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240</v>
      </c>
      <c r="D839" s="3"/>
      <c r="E839" s="3" t="s">
        <v>240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18</v>
      </c>
      <c r="O839" s="3"/>
      <c r="P839" s="3"/>
      <c r="Q839" s="3">
        <v>105.258</v>
      </c>
      <c r="R839" s="3" t="s">
        <v>15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240</v>
      </c>
      <c r="D840" s="3"/>
      <c r="E840" s="3" t="s">
        <v>240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1.1279999999999999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240</v>
      </c>
      <c r="D841" s="3"/>
      <c r="E841" s="3" t="s">
        <v>240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107</v>
      </c>
      <c r="O841" s="3"/>
      <c r="P841" s="3"/>
      <c r="Q841" s="3">
        <v>13.411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240</v>
      </c>
      <c r="D842" s="3"/>
      <c r="E842" s="3" t="s">
        <v>240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82.478999999999999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240</v>
      </c>
      <c r="D843" s="3"/>
      <c r="E843" s="3" t="s">
        <v>240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112</v>
      </c>
      <c r="O843" s="3"/>
      <c r="P843" s="3"/>
      <c r="Q843" s="3">
        <v>4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240</v>
      </c>
      <c r="D844" s="3"/>
      <c r="E844" s="3" t="s">
        <v>240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21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240</v>
      </c>
      <c r="D845" s="3"/>
      <c r="E845" s="3" t="s">
        <v>240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240</v>
      </c>
      <c r="D846" s="3"/>
      <c r="E846" s="3" t="s">
        <v>240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23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240</v>
      </c>
      <c r="D847" s="3"/>
      <c r="E847" s="3" t="s">
        <v>240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110</v>
      </c>
      <c r="O847" s="3"/>
      <c r="P847" s="3"/>
      <c r="Q847" s="3">
        <v>1.2430000000000001</v>
      </c>
      <c r="R847" s="3" t="s">
        <v>13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240</v>
      </c>
      <c r="D848" s="3"/>
      <c r="E848" s="3" t="s">
        <v>240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391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240</v>
      </c>
      <c r="D849" s="3"/>
      <c r="E849" s="3" t="s">
        <v>240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241</v>
      </c>
      <c r="O849" s="3"/>
      <c r="P849" s="3"/>
      <c r="Q849" s="3">
        <v>2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242</v>
      </c>
      <c r="D850" s="3"/>
      <c r="E850" s="3" t="s">
        <v>242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392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242</v>
      </c>
      <c r="D851" s="3"/>
      <c r="E851" s="3" t="s">
        <v>242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109</v>
      </c>
      <c r="O851" s="3"/>
      <c r="P851" s="3"/>
      <c r="Q851" s="3">
        <v>4.1150000000000002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242</v>
      </c>
      <c r="D852" s="3"/>
      <c r="E852" s="3" t="s">
        <v>242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18</v>
      </c>
      <c r="O852" s="3"/>
      <c r="P852" s="3"/>
      <c r="Q852" s="3">
        <v>115.011</v>
      </c>
      <c r="R852" s="3" t="s">
        <v>15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242</v>
      </c>
      <c r="D853" s="3"/>
      <c r="E853" s="3" t="s">
        <v>242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1.4159999999999999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242</v>
      </c>
      <c r="D854" s="3"/>
      <c r="E854" s="3" t="s">
        <v>242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107</v>
      </c>
      <c r="O854" s="3"/>
      <c r="P854" s="3"/>
      <c r="Q854" s="3">
        <v>14.63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242</v>
      </c>
      <c r="D855" s="3"/>
      <c r="E855" s="3" t="s">
        <v>242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18</v>
      </c>
      <c r="O855" s="3"/>
      <c r="P855" s="3"/>
      <c r="Q855" s="3">
        <v>89.977000000000004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242</v>
      </c>
      <c r="D856" s="3"/>
      <c r="E856" s="3" t="s">
        <v>242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112</v>
      </c>
      <c r="O856" s="3"/>
      <c r="P856" s="3"/>
      <c r="Q856" s="3">
        <v>4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242</v>
      </c>
      <c r="D857" s="3"/>
      <c r="E857" s="3" t="s">
        <v>242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242</v>
      </c>
      <c r="D858" s="3"/>
      <c r="E858" s="3" t="s">
        <v>242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242</v>
      </c>
      <c r="D859" s="3"/>
      <c r="E859" s="3" t="s">
        <v>242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23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242</v>
      </c>
      <c r="D860" s="3"/>
      <c r="E860" s="3" t="s">
        <v>242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110</v>
      </c>
      <c r="O860" s="3"/>
      <c r="P860" s="3"/>
      <c r="Q860" s="3">
        <v>1.2430000000000001</v>
      </c>
      <c r="R860" s="3" t="s">
        <v>13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242</v>
      </c>
      <c r="D861" s="3"/>
      <c r="E861" s="3" t="s">
        <v>242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393</v>
      </c>
      <c r="O861" s="3"/>
      <c r="P861" s="3"/>
      <c r="Q861" s="3">
        <v>2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242</v>
      </c>
      <c r="D862" s="3"/>
      <c r="E862" s="3" t="s">
        <v>242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243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244</v>
      </c>
      <c r="D863" s="3"/>
      <c r="E863" s="3" t="s">
        <v>244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394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244</v>
      </c>
      <c r="D864" s="3"/>
      <c r="E864" s="3" t="s">
        <v>244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109</v>
      </c>
      <c r="O864" s="3"/>
      <c r="P864" s="3"/>
      <c r="Q864" s="3">
        <v>4.1150000000000002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244</v>
      </c>
      <c r="D865" s="3"/>
      <c r="E865" s="3" t="s">
        <v>244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18</v>
      </c>
      <c r="O865" s="3"/>
      <c r="P865" s="3"/>
      <c r="Q865" s="3">
        <v>119.88800000000001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244</v>
      </c>
      <c r="D866" s="3"/>
      <c r="E866" s="3" t="s">
        <v>244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1.56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244</v>
      </c>
      <c r="D867" s="3"/>
      <c r="E867" s="3" t="s">
        <v>244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107</v>
      </c>
      <c r="O867" s="3"/>
      <c r="P867" s="3"/>
      <c r="Q867" s="3">
        <v>15.24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244</v>
      </c>
      <c r="D868" s="3"/>
      <c r="E868" s="3" t="s">
        <v>244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18</v>
      </c>
      <c r="O868" s="3"/>
      <c r="P868" s="3"/>
      <c r="Q868" s="3">
        <v>93.725999999999999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244</v>
      </c>
      <c r="D869" s="3"/>
      <c r="E869" s="3" t="s">
        <v>244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112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244</v>
      </c>
      <c r="D870" s="3"/>
      <c r="E870" s="3" t="s">
        <v>244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244</v>
      </c>
      <c r="D871" s="3"/>
      <c r="E871" s="3" t="s">
        <v>244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244</v>
      </c>
      <c r="D872" s="3"/>
      <c r="E872" s="3" t="s">
        <v>244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244</v>
      </c>
      <c r="D873" s="3"/>
      <c r="E873" s="3" t="s">
        <v>244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110</v>
      </c>
      <c r="O873" s="3"/>
      <c r="P873" s="3"/>
      <c r="Q873" s="3">
        <v>1.2430000000000001</v>
      </c>
      <c r="R873" s="3" t="s">
        <v>13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244</v>
      </c>
      <c r="D874" s="3"/>
      <c r="E874" s="3" t="s">
        <v>244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395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244</v>
      </c>
      <c r="D875" s="3"/>
      <c r="E875" s="3" t="s">
        <v>244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245</v>
      </c>
      <c r="O875" s="3"/>
      <c r="P875" s="3"/>
      <c r="Q875" s="3">
        <v>2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246</v>
      </c>
      <c r="D876" s="3"/>
      <c r="E876" s="3" t="s">
        <v>246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396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246</v>
      </c>
      <c r="D877" s="3"/>
      <c r="E877" s="3" t="s">
        <v>246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109</v>
      </c>
      <c r="O877" s="3"/>
      <c r="P877" s="3"/>
      <c r="Q877" s="3">
        <v>4.1150000000000002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246</v>
      </c>
      <c r="D878" s="3"/>
      <c r="E878" s="3" t="s">
        <v>246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18</v>
      </c>
      <c r="O878" s="3"/>
      <c r="P878" s="3"/>
      <c r="Q878" s="3">
        <v>124.765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246</v>
      </c>
      <c r="D879" s="3"/>
      <c r="E879" s="3" t="s">
        <v>246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1.704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246</v>
      </c>
      <c r="D880" s="3"/>
      <c r="E880" s="3" t="s">
        <v>246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107</v>
      </c>
      <c r="O880" s="3"/>
      <c r="P880" s="3"/>
      <c r="Q880" s="3">
        <v>15.85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246</v>
      </c>
      <c r="D881" s="3"/>
      <c r="E881" s="3" t="s">
        <v>246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18</v>
      </c>
      <c r="O881" s="3"/>
      <c r="P881" s="3"/>
      <c r="Q881" s="3">
        <v>97.474999999999994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246</v>
      </c>
      <c r="D882" s="3"/>
      <c r="E882" s="3" t="s">
        <v>246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112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246</v>
      </c>
      <c r="D883" s="3"/>
      <c r="E883" s="3" t="s">
        <v>246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21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246</v>
      </c>
      <c r="D884" s="3"/>
      <c r="E884" s="3" t="s">
        <v>246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246</v>
      </c>
      <c r="D885" s="3"/>
      <c r="E885" s="3" t="s">
        <v>246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246</v>
      </c>
      <c r="D886" s="3"/>
      <c r="E886" s="3" t="s">
        <v>246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110</v>
      </c>
      <c r="O886" s="3"/>
      <c r="P886" s="3"/>
      <c r="Q886" s="3">
        <v>1.2430000000000001</v>
      </c>
      <c r="R886" s="3" t="s">
        <v>13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246</v>
      </c>
      <c r="D887" s="3"/>
      <c r="E887" s="3" t="s">
        <v>246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397</v>
      </c>
      <c r="O887" s="3"/>
      <c r="P887" s="3"/>
      <c r="Q887" s="3">
        <v>2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246</v>
      </c>
      <c r="D888" s="3"/>
      <c r="E888" s="3" t="s">
        <v>246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247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248</v>
      </c>
      <c r="D889" s="3"/>
      <c r="E889" s="3" t="s">
        <v>248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398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248</v>
      </c>
      <c r="D890" s="3"/>
      <c r="E890" s="3" t="s">
        <v>248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109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248</v>
      </c>
      <c r="D891" s="3"/>
      <c r="E891" s="3" t="s">
        <v>248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18</v>
      </c>
      <c r="O891" s="3"/>
      <c r="P891" s="3"/>
      <c r="Q891" s="3">
        <v>93.878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248</v>
      </c>
      <c r="D892" s="3"/>
      <c r="E892" s="3" t="s">
        <v>248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0.73099999999999998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248</v>
      </c>
      <c r="D893" s="3"/>
      <c r="E893" s="3" t="s">
        <v>248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107</v>
      </c>
      <c r="O893" s="3"/>
      <c r="P893" s="3"/>
      <c r="Q893" s="3">
        <v>11.989000000000001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248</v>
      </c>
      <c r="D894" s="3"/>
      <c r="E894" s="3" t="s">
        <v>248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18</v>
      </c>
      <c r="O894" s="3"/>
      <c r="P894" s="3"/>
      <c r="Q894" s="3">
        <v>73.730999999999995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248</v>
      </c>
      <c r="D895" s="3"/>
      <c r="E895" s="3" t="s">
        <v>248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112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248</v>
      </c>
      <c r="D896" s="3"/>
      <c r="E896" s="3" t="s">
        <v>248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248</v>
      </c>
      <c r="D897" s="3"/>
      <c r="E897" s="3" t="s">
        <v>248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248</v>
      </c>
      <c r="D898" s="3"/>
      <c r="E898" s="3" t="s">
        <v>248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248</v>
      </c>
      <c r="D899" s="3"/>
      <c r="E899" s="3" t="s">
        <v>248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110</v>
      </c>
      <c r="O899" s="3"/>
      <c r="P899" s="3"/>
      <c r="Q899" s="3">
        <v>1.2969999999999999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248</v>
      </c>
      <c r="D900" s="3"/>
      <c r="E900" s="3" t="s">
        <v>248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399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248</v>
      </c>
      <c r="D901" s="3"/>
      <c r="E901" s="3" t="s">
        <v>248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249</v>
      </c>
      <c r="O901" s="3"/>
      <c r="P901" s="3"/>
      <c r="Q901" s="3">
        <v>2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250</v>
      </c>
      <c r="D902" s="3"/>
      <c r="E902" s="3" t="s">
        <v>250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400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250</v>
      </c>
      <c r="D903" s="3"/>
      <c r="E903" s="3" t="s">
        <v>250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109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250</v>
      </c>
      <c r="D904" s="3"/>
      <c r="E904" s="3" t="s">
        <v>250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18</v>
      </c>
      <c r="O904" s="3"/>
      <c r="P904" s="3"/>
      <c r="Q904" s="3">
        <v>98.754999999999995</v>
      </c>
      <c r="R904" s="3" t="s">
        <v>15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250</v>
      </c>
      <c r="D905" s="3"/>
      <c r="E905" s="3" t="s">
        <v>250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0.88200000000000001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250</v>
      </c>
      <c r="D906" s="3"/>
      <c r="E906" s="3" t="s">
        <v>250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107</v>
      </c>
      <c r="O906" s="3"/>
      <c r="P906" s="3"/>
      <c r="Q906" s="3">
        <v>12.598000000000001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250</v>
      </c>
      <c r="D907" s="3"/>
      <c r="E907" s="3" t="s">
        <v>250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18</v>
      </c>
      <c r="O907" s="3"/>
      <c r="P907" s="3"/>
      <c r="Q907" s="3">
        <v>77.48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250</v>
      </c>
      <c r="D908" s="3"/>
      <c r="E908" s="3" t="s">
        <v>250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112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250</v>
      </c>
      <c r="D909" s="3"/>
      <c r="E909" s="3" t="s">
        <v>250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250</v>
      </c>
      <c r="D910" s="3"/>
      <c r="E910" s="3" t="s">
        <v>250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250</v>
      </c>
      <c r="D911" s="3"/>
      <c r="E911" s="3" t="s">
        <v>250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250</v>
      </c>
      <c r="D912" s="3"/>
      <c r="E912" s="3" t="s">
        <v>250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110</v>
      </c>
      <c r="O912" s="3"/>
      <c r="P912" s="3"/>
      <c r="Q912" s="3">
        <v>1.2969999999999999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250</v>
      </c>
      <c r="D913" s="3"/>
      <c r="E913" s="3" t="s">
        <v>250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401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250</v>
      </c>
      <c r="D914" s="3"/>
      <c r="E914" s="3" t="s">
        <v>250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251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252</v>
      </c>
      <c r="D915" s="3"/>
      <c r="E915" s="3" t="s">
        <v>252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402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252</v>
      </c>
      <c r="D916" s="3"/>
      <c r="E916" s="3" t="s">
        <v>252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109</v>
      </c>
      <c r="O916" s="3"/>
      <c r="P916" s="3"/>
      <c r="Q916" s="3">
        <v>4.3179999999999996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252</v>
      </c>
      <c r="D917" s="3"/>
      <c r="E917" s="3" t="s">
        <v>252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18</v>
      </c>
      <c r="O917" s="3"/>
      <c r="P917" s="3"/>
      <c r="Q917" s="3">
        <v>103.63200000000001</v>
      </c>
      <c r="R917" s="3" t="s">
        <v>15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252</v>
      </c>
      <c r="D918" s="3"/>
      <c r="E918" s="3" t="s">
        <v>252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1.034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252</v>
      </c>
      <c r="D919" s="3"/>
      <c r="E919" s="3" t="s">
        <v>252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107</v>
      </c>
      <c r="O919" s="3"/>
      <c r="P919" s="3"/>
      <c r="Q919" s="3">
        <v>13.208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252</v>
      </c>
      <c r="D920" s="3"/>
      <c r="E920" s="3" t="s">
        <v>252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18</v>
      </c>
      <c r="O920" s="3"/>
      <c r="P920" s="3"/>
      <c r="Q920" s="3">
        <v>81.228999999999999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252</v>
      </c>
      <c r="D921" s="3"/>
      <c r="E921" s="3" t="s">
        <v>252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112</v>
      </c>
      <c r="O921" s="3"/>
      <c r="P921" s="3"/>
      <c r="Q921" s="3">
        <v>4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252</v>
      </c>
      <c r="D922" s="3"/>
      <c r="E922" s="3" t="s">
        <v>252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21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252</v>
      </c>
      <c r="D923" s="3"/>
      <c r="E923" s="3" t="s">
        <v>252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252</v>
      </c>
      <c r="D924" s="3"/>
      <c r="E924" s="3" t="s">
        <v>252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23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252</v>
      </c>
      <c r="D925" s="3"/>
      <c r="E925" s="3" t="s">
        <v>252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110</v>
      </c>
      <c r="O925" s="3"/>
      <c r="P925" s="3"/>
      <c r="Q925" s="3">
        <v>1.2969999999999999</v>
      </c>
      <c r="R925" s="3" t="s">
        <v>13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252</v>
      </c>
      <c r="D926" s="3"/>
      <c r="E926" s="3" t="s">
        <v>252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403</v>
      </c>
      <c r="O926" s="3"/>
      <c r="P926" s="3"/>
      <c r="Q926" s="3">
        <v>2</v>
      </c>
      <c r="R926" s="3" t="s">
        <v>11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252</v>
      </c>
      <c r="D927" s="3"/>
      <c r="E927" s="3" t="s">
        <v>252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253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254</v>
      </c>
      <c r="D928" s="3"/>
      <c r="E928" s="3" t="s">
        <v>254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404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254</v>
      </c>
      <c r="D929" s="3"/>
      <c r="E929" s="3" t="s">
        <v>254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109</v>
      </c>
      <c r="O929" s="3"/>
      <c r="P929" s="3"/>
      <c r="Q929" s="3">
        <v>4.3179999999999996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254</v>
      </c>
      <c r="D930" s="3"/>
      <c r="E930" s="3" t="s">
        <v>254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18</v>
      </c>
      <c r="O930" s="3"/>
      <c r="P930" s="3"/>
      <c r="Q930" s="3">
        <v>108.509</v>
      </c>
      <c r="R930" s="3" t="s">
        <v>15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254</v>
      </c>
      <c r="D931" s="3"/>
      <c r="E931" s="3" t="s">
        <v>254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1.1850000000000001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254</v>
      </c>
      <c r="D932" s="3"/>
      <c r="E932" s="3" t="s">
        <v>254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107</v>
      </c>
      <c r="O932" s="3"/>
      <c r="P932" s="3"/>
      <c r="Q932" s="3">
        <v>13.818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254</v>
      </c>
      <c r="D933" s="3"/>
      <c r="E933" s="3" t="s">
        <v>254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18</v>
      </c>
      <c r="O933" s="3"/>
      <c r="P933" s="3"/>
      <c r="Q933" s="3">
        <v>84.977999999999994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254</v>
      </c>
      <c r="D934" s="3"/>
      <c r="E934" s="3" t="s">
        <v>254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112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254</v>
      </c>
      <c r="D935" s="3"/>
      <c r="E935" s="3" t="s">
        <v>254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254</v>
      </c>
      <c r="D936" s="3"/>
      <c r="E936" s="3" t="s">
        <v>254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254</v>
      </c>
      <c r="D937" s="3"/>
      <c r="E937" s="3" t="s">
        <v>254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23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254</v>
      </c>
      <c r="D938" s="3"/>
      <c r="E938" s="3" t="s">
        <v>254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110</v>
      </c>
      <c r="O938" s="3"/>
      <c r="P938" s="3"/>
      <c r="Q938" s="3">
        <v>1.2969999999999999</v>
      </c>
      <c r="R938" s="3" t="s">
        <v>13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254</v>
      </c>
      <c r="D939" s="3"/>
      <c r="E939" s="3" t="s">
        <v>254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405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254</v>
      </c>
      <c r="D940" s="3"/>
      <c r="E940" s="3" t="s">
        <v>254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255</v>
      </c>
      <c r="O940" s="3"/>
      <c r="P940" s="3"/>
      <c r="Q940" s="3">
        <v>2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256</v>
      </c>
      <c r="D941" s="3"/>
      <c r="E941" s="3" t="s">
        <v>256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406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256</v>
      </c>
      <c r="D942" s="3"/>
      <c r="E942" s="3" t="s">
        <v>256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109</v>
      </c>
      <c r="O942" s="3"/>
      <c r="P942" s="3"/>
      <c r="Q942" s="3">
        <v>4.3179999999999996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256</v>
      </c>
      <c r="D943" s="3"/>
      <c r="E943" s="3" t="s">
        <v>256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18</v>
      </c>
      <c r="O943" s="3"/>
      <c r="P943" s="3"/>
      <c r="Q943" s="3">
        <v>118.262</v>
      </c>
      <c r="R943" s="3" t="s">
        <v>15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256</v>
      </c>
      <c r="D944" s="3"/>
      <c r="E944" s="3" t="s">
        <v>256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1.4870000000000001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256</v>
      </c>
      <c r="D945" s="3"/>
      <c r="E945" s="3" t="s">
        <v>256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107</v>
      </c>
      <c r="O945" s="3"/>
      <c r="P945" s="3"/>
      <c r="Q945" s="3">
        <v>15.037000000000001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256</v>
      </c>
      <c r="D946" s="3"/>
      <c r="E946" s="3" t="s">
        <v>256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18</v>
      </c>
      <c r="O946" s="3"/>
      <c r="P946" s="3"/>
      <c r="Q946" s="3">
        <v>92.475999999999999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256</v>
      </c>
      <c r="D947" s="3"/>
      <c r="E947" s="3" t="s">
        <v>256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112</v>
      </c>
      <c r="O947" s="3"/>
      <c r="P947" s="3"/>
      <c r="Q947" s="3">
        <v>4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256</v>
      </c>
      <c r="D948" s="3"/>
      <c r="E948" s="3" t="s">
        <v>256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21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256</v>
      </c>
      <c r="D949" s="3"/>
      <c r="E949" s="3" t="s">
        <v>256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256</v>
      </c>
      <c r="D950" s="3"/>
      <c r="E950" s="3" t="s">
        <v>256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256</v>
      </c>
      <c r="D951" s="3"/>
      <c r="E951" s="3" t="s">
        <v>256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110</v>
      </c>
      <c r="O951" s="3"/>
      <c r="P951" s="3"/>
      <c r="Q951" s="3">
        <v>1.2969999999999999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256</v>
      </c>
      <c r="D952" s="3"/>
      <c r="E952" s="3" t="s">
        <v>256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407</v>
      </c>
      <c r="O952" s="3"/>
      <c r="P952" s="3"/>
      <c r="Q952" s="3">
        <v>2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256</v>
      </c>
      <c r="D953" s="3"/>
      <c r="E953" s="3" t="s">
        <v>256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257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258</v>
      </c>
      <c r="D954" s="3"/>
      <c r="E954" s="3" t="s">
        <v>258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408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258</v>
      </c>
      <c r="D955" s="3"/>
      <c r="E955" s="3" t="s">
        <v>258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109</v>
      </c>
      <c r="O955" s="3"/>
      <c r="P955" s="3"/>
      <c r="Q955" s="3">
        <v>4.3179999999999996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258</v>
      </c>
      <c r="D956" s="3"/>
      <c r="E956" s="3" t="s">
        <v>258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18</v>
      </c>
      <c r="O956" s="3"/>
      <c r="P956" s="3"/>
      <c r="Q956" s="3">
        <v>123.139</v>
      </c>
      <c r="R956" s="3" t="s">
        <v>15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258</v>
      </c>
      <c r="D957" s="3"/>
      <c r="E957" s="3" t="s">
        <v>258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1.639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258</v>
      </c>
      <c r="D958" s="3"/>
      <c r="E958" s="3" t="s">
        <v>258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107</v>
      </c>
      <c r="O958" s="3"/>
      <c r="P958" s="3"/>
      <c r="Q958" s="3">
        <v>15.646000000000001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258</v>
      </c>
      <c r="D959" s="3"/>
      <c r="E959" s="3" t="s">
        <v>258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18</v>
      </c>
      <c r="O959" s="3"/>
      <c r="P959" s="3"/>
      <c r="Q959" s="3">
        <v>96.224999999999994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258</v>
      </c>
      <c r="D960" s="3"/>
      <c r="E960" s="3" t="s">
        <v>258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112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258</v>
      </c>
      <c r="D961" s="3"/>
      <c r="E961" s="3" t="s">
        <v>258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21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258</v>
      </c>
      <c r="D962" s="3"/>
      <c r="E962" s="3" t="s">
        <v>258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258</v>
      </c>
      <c r="D963" s="3"/>
      <c r="E963" s="3" t="s">
        <v>258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23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258</v>
      </c>
      <c r="D964" s="3"/>
      <c r="E964" s="3" t="s">
        <v>258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110</v>
      </c>
      <c r="O964" s="3"/>
      <c r="P964" s="3"/>
      <c r="Q964" s="3">
        <v>1.2969999999999999</v>
      </c>
      <c r="R964" s="3" t="s">
        <v>13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258</v>
      </c>
      <c r="D965" s="3"/>
      <c r="E965" s="3" t="s">
        <v>258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409</v>
      </c>
      <c r="O965" s="3"/>
      <c r="P965" s="3"/>
      <c r="Q965" s="3">
        <v>2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258</v>
      </c>
      <c r="D966" s="3"/>
      <c r="E966" s="3" t="s">
        <v>258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259</v>
      </c>
      <c r="O966" s="3"/>
      <c r="P966" s="3"/>
      <c r="Q966" s="3">
        <v>2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260</v>
      </c>
      <c r="D967" s="3"/>
      <c r="E967" s="3" t="s">
        <v>260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410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260</v>
      </c>
      <c r="D968" s="3"/>
      <c r="E968" s="3" t="s">
        <v>260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109</v>
      </c>
      <c r="O968" s="3"/>
      <c r="P968" s="3"/>
      <c r="Q968" s="3">
        <v>4.3179999999999996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260</v>
      </c>
      <c r="D969" s="3"/>
      <c r="E969" s="3" t="s">
        <v>260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18</v>
      </c>
      <c r="O969" s="3"/>
      <c r="P969" s="3"/>
      <c r="Q969" s="3">
        <v>128.01599999999999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260</v>
      </c>
      <c r="D970" s="3"/>
      <c r="E970" s="3" t="s">
        <v>260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1.79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260</v>
      </c>
      <c r="D971" s="3"/>
      <c r="E971" s="3" t="s">
        <v>260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107</v>
      </c>
      <c r="O971" s="3"/>
      <c r="P971" s="3"/>
      <c r="Q971" s="3">
        <v>16.256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260</v>
      </c>
      <c r="D972" s="3"/>
      <c r="E972" s="3" t="s">
        <v>260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18</v>
      </c>
      <c r="O972" s="3"/>
      <c r="P972" s="3"/>
      <c r="Q972" s="3">
        <v>99.974000000000004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260</v>
      </c>
      <c r="D973" s="3"/>
      <c r="E973" s="3" t="s">
        <v>260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112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260</v>
      </c>
      <c r="D974" s="3"/>
      <c r="E974" s="3" t="s">
        <v>260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21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260</v>
      </c>
      <c r="D975" s="3"/>
      <c r="E975" s="3" t="s">
        <v>260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260</v>
      </c>
      <c r="D976" s="3"/>
      <c r="E976" s="3" t="s">
        <v>260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260</v>
      </c>
      <c r="D977" s="3"/>
      <c r="E977" s="3" t="s">
        <v>260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110</v>
      </c>
      <c r="O977" s="3"/>
      <c r="P977" s="3"/>
      <c r="Q977" s="3">
        <v>1.2969999999999999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260</v>
      </c>
      <c r="D978" s="3"/>
      <c r="E978" s="3" t="s">
        <v>260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411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260</v>
      </c>
      <c r="D979" s="3"/>
      <c r="E979" s="3" t="s">
        <v>260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261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2026-05-29T05:32:36Z</dcterms:modified>
</cp:coreProperties>
</file>